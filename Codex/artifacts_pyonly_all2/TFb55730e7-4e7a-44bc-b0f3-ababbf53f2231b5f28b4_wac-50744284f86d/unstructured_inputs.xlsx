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Income[[#Totals],[Annual]]-Expenses[[#Totals],[Annual]]-Discretionary[[#Totals],[Annual]]-Savings[[#Totals],[Annual]]</definedName>
    <definedName name="ColumnTitleRegion1..B6.1">Guide!$D$3</definedName>
    <definedName name="ColumnTitleRegion1..E8.4">'Daily cash flow'!$B$4</definedName>
    <definedName name="ColumnTitleRegion2..D6.1">Guide!$C$3</definedName>
    <definedName name="ColumnTitleRegion3..F6.1">Guide!$B$3</definedName>
    <definedName name="DailyCashFlow">SUM('Daily cash flow'!$C$5:$C$8)</definedName>
    <definedName name="MonthlyCashFlowToDate">Monthly[[#Totals],[Total]]</definedName>
    <definedName name="RowTitleRegion1..D2.2">'Annual cash flow'!#REF!</definedName>
    <definedName name="RowTitleRegion1..D2.3">'Monthly cash flow'!#REF!</definedName>
    <definedName name="RowTitleRegion1..D2.4">'Daily cash flow'!#REF!</definedName>
    <definedName name="RowTitleRegion1..D2.5">Income!#REF!</definedName>
    <definedName name="RowTitleRegion1..D2.6">Expenses!#REF!</definedName>
    <definedName name="RowTitleRegion1..D2.7">Discretionary!#REF!</definedName>
    <definedName name="RowTitleRegion1..D2.8">Savings!#REF!</definedName>
    <definedName name="RowTitleRegion2..C4.2">'Annual cash flow'!$B$4</definedName>
    <definedName name="RowTitleRegion3..G4.2">'Annual cash flow'!$F$4</definedName>
    <definedName name="RowTitleRegion4..K4.2">'Annual cash flow'!$J$4</definedName>
    <definedName name="RowTitleRegion5..O4.2">'Annual cash flow'!$N$4</definedName>
    <definedName name="RowTitleRegion6..C6.2">'Annual cash flow'!$B$7</definedName>
    <definedName name="RowTitleRegion7..G6.2">'Annual cash flow'!$F$7</definedName>
    <definedName name="RowTitleRegion8..K6.2">'Annual cash flow'!$J$7</definedName>
    <definedName name="RowTitleRegion9..O6.2">'Annual cash flow'!$N$7</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flow'!$10:$10</definedName>
    <definedName name="_xlnm.Print_Titles" localSheetId="2">'Monthly cash flow'!$3:$3</definedName>
  </definedNames>
  <calcPr calcId="191028" fullCalcOnLoad="1"/>
  <pivotCaches>
    <pivotCache cacheId="1124" r:id="rId9"/>
    <pivotCache cacheId="1122" r:id="rId10"/>
    <pivotCache cacheId="1123" r:id="rId11"/>
    <pivotCache cacheId="1125"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2">
    <font>
      <name val="Arial"/>
      <family val="2"/>
      <sz val="11"/>
      <scheme val="minor"/>
    </font>
    <font>
      <name val="Arial"/>
      <family val="2"/>
      <b val="1"/>
      <color theme="5" tint="-0.249946592608417"/>
      <sz val="24"/>
      <scheme val="major"/>
    </font>
    <font>
      <name val="Arial"/>
      <family val="2"/>
      <b val="1"/>
      <color theme="3" tint="0.249946592608417"/>
      <sz val="14"/>
      <scheme val="major"/>
    </font>
    <font>
      <name val="Arial"/>
      <family val="2"/>
      <b val="1"/>
      <color theme="3" tint="0.249946592608417"/>
      <sz val="11"/>
      <scheme val="major"/>
    </font>
    <font>
      <name val="Arial"/>
      <family val="2"/>
      <b val="1"/>
      <color theme="3" tint="0.249946592608417"/>
      <sz val="12"/>
      <scheme val="major"/>
    </font>
    <font>
      <name val="Arial"/>
      <family val="2"/>
      <color theme="3" tint="0.249946592608417"/>
      <sz val="36"/>
      <scheme val="major"/>
    </font>
    <font>
      <name val="Arial"/>
      <family val="2"/>
      <b val="1"/>
      <color theme="1"/>
      <sz val="11"/>
      <scheme val="minor"/>
    </font>
    <font>
      <name val="Arial"/>
      <family val="2"/>
      <sz val="11"/>
      <scheme val="minor"/>
    </font>
    <font>
      <name val="Arial"/>
      <family val="2"/>
      <i val="1"/>
      <color theme="1" tint="0.3499862666707358"/>
      <sz val="11"/>
      <scheme val="minor"/>
    </font>
    <font>
      <name val="Arial"/>
      <family val="2"/>
      <b val="1"/>
      <color theme="3" tint="0.8999603259376812"/>
      <sz val="16"/>
      <scheme val="minor"/>
    </font>
    <font>
      <name val="Arial"/>
      <family val="2"/>
      <b val="1"/>
      <color theme="3" tint="0.8999603259376812"/>
      <sz val="12"/>
      <scheme val="minor"/>
    </font>
    <font>
      <name val="Arial"/>
      <family val="2"/>
      <b val="1"/>
      <color theme="3" tint="0.8999298074282052"/>
      <sz val="12"/>
      <scheme val="minor"/>
    </font>
    <font>
      <name val="Arial"/>
      <family val="2"/>
      <b val="1"/>
      <color theme="3" tint="0.8999603259376812"/>
      <sz val="11"/>
      <scheme val="minor"/>
    </font>
    <font>
      <name val="Arial"/>
      <family val="2"/>
      <color theme="1" tint="0.249977111117893"/>
      <sz val="11"/>
      <scheme val="minor"/>
    </font>
    <font>
      <name val="Arial"/>
      <family val="2"/>
      <color theme="1" tint="0.3499862666707358"/>
      <sz val="11"/>
      <scheme val="minor"/>
    </font>
    <font>
      <name val="Arial"/>
      <family val="2"/>
      <color theme="4" tint="-0.249977111117893"/>
      <sz val="11"/>
    </font>
    <font>
      <name val="Arial"/>
      <family val="2"/>
      <sz val="8"/>
      <scheme val="minor"/>
    </font>
    <font>
      <name val="Arial"/>
      <family val="2"/>
      <b val="1"/>
      <color rgb="FF0B0BD0"/>
      <sz val="36"/>
      <scheme val="minor"/>
    </font>
    <font>
      <name val="Arial"/>
      <family val="2"/>
      <color theme="3" tint="0.8999603259376812"/>
      <sz val="16"/>
      <scheme val="minor"/>
    </font>
    <font>
      <name val="Arial"/>
      <family val="2"/>
      <color theme="4" tint="-0.249977111117893"/>
      <sz val="16"/>
      <scheme val="minor"/>
    </font>
    <font>
      <name val="Arial"/>
      <family val="2"/>
      <color theme="4" tint="-0.249977111117893"/>
      <sz val="11"/>
      <scheme val="minor"/>
    </font>
    <font>
      <name val="Arial"/>
      <family val="2"/>
      <b val="1"/>
      <color theme="4" tint="-0.249977111117893"/>
      <sz val="18"/>
      <scheme val="minor"/>
    </font>
    <font>
      <name val="Arial"/>
      <family val="2"/>
      <b val="1"/>
      <color theme="4" tint="-0.249977111117893"/>
      <sz val="16"/>
      <scheme val="minor"/>
    </font>
    <font>
      <name val="Arial"/>
      <family val="2"/>
      <b val="1"/>
      <color theme="4" tint="-0.249977111117893"/>
      <sz val="11"/>
      <scheme val="minor"/>
    </font>
    <font>
      <name val="Arial"/>
      <family val="2"/>
      <b val="1"/>
      <color theme="3" tint="0.8999603259376812"/>
      <sz val="8"/>
      <scheme val="minor"/>
    </font>
    <font>
      <name val="Arial"/>
      <family val="2"/>
      <b val="1"/>
      <color theme="4" tint="-0.249977111117893"/>
      <sz val="36"/>
      <scheme val="minor"/>
    </font>
    <font>
      <name val="Arial"/>
      <family val="2"/>
      <color theme="3" tint="0.249977111117893"/>
      <sz val="11"/>
      <scheme val="minor"/>
    </font>
    <font>
      <name val="Arial"/>
      <family val="2"/>
      <b val="1"/>
      <color theme="4" tint="-0.249977111117893"/>
      <sz val="14"/>
      <scheme val="minor"/>
    </font>
    <font>
      <name val="Arial"/>
      <family val="2"/>
      <color theme="1" tint="0.249977111117893"/>
      <sz val="10"/>
      <scheme val="minor"/>
    </font>
    <font>
      <name val="Arial"/>
      <family val="2"/>
      <b val="1"/>
      <sz val="12"/>
      <scheme val="minor"/>
    </font>
    <font>
      <name val="Arial"/>
      <family val="2"/>
      <b val="1"/>
      <color theme="4" tint="-0.249977111117893"/>
      <sz val="24"/>
      <scheme val="minor"/>
    </font>
    <font>
      <name val="Arial"/>
      <family val="2"/>
      <color theme="4" tint="-0.249977111117893"/>
      <sz val="10"/>
      <scheme val="minor"/>
    </font>
    <font>
      <name val="Arial"/>
      <family val="2"/>
      <sz val="16"/>
      <scheme val="minor"/>
    </font>
    <font>
      <name val="Arial"/>
      <family val="2"/>
      <b val="1"/>
      <color indexed="12"/>
      <sz val="36"/>
      <scheme val="minor"/>
    </font>
    <font>
      <name val="Arial"/>
      <family val="2"/>
      <b val="1"/>
      <color indexed="12" tint="-0.249977111117893"/>
      <sz val="36"/>
      <scheme val="minor"/>
    </font>
    <font>
      <name val="Arial"/>
      <family val="2"/>
      <b val="1"/>
      <color theme="1" tint="0.249977111117893"/>
      <sz val="14"/>
      <scheme val="minor"/>
    </font>
    <font>
      <name val="Arial"/>
      <family val="2"/>
      <b val="1"/>
      <color theme="1" tint="0.249977111117893"/>
      <sz val="16"/>
      <scheme val="minor"/>
    </font>
    <font>
      <name val="Arial"/>
      <family val="2"/>
      <b val="1"/>
      <color theme="1" tint="0.249977111117893"/>
      <sz val="12"/>
      <scheme val="minor"/>
    </font>
    <font>
      <name val="Arial"/>
      <family val="2"/>
      <b val="1"/>
      <color theme="1" tint="0.249977111117893"/>
      <sz val="11"/>
      <scheme val="minor"/>
    </font>
    <font>
      <name val="Arial"/>
      <family val="2"/>
      <b val="1"/>
      <sz val="11"/>
      <scheme val="minor"/>
    </font>
    <font>
      <name val="Arial"/>
      <family val="2"/>
      <b val="1"/>
      <sz val="16"/>
      <scheme val="minor"/>
    </font>
    <font>
      <name val="Arial"/>
      <family val="2"/>
      <sz val="14"/>
      <scheme val="minor"/>
    </font>
  </fonts>
  <fills count="9">
    <fill>
      <patternFill/>
    </fill>
    <fill>
      <patternFill patternType="gray125"/>
    </fill>
    <fill>
      <patternFill patternType="solid">
        <fgColor theme="3" tint="0.249946592608417"/>
        <bgColor indexed="64"/>
      </patternFill>
    </fill>
    <fill>
      <patternFill patternType="solid">
        <fgColor theme="2"/>
        <bgColor indexed="64"/>
      </patternFill>
    </fill>
    <fill>
      <patternFill patternType="solid">
        <fgColor theme="4" tint="0.7999816888943144"/>
        <bgColor indexed="64"/>
      </patternFill>
    </fill>
    <fill>
      <patternFill patternType="solid">
        <fgColor rgb="FFFFFFCC"/>
      </patternFill>
    </fill>
    <fill>
      <patternFill patternType="solid">
        <fgColor theme="6"/>
        <bgColor indexed="64"/>
      </patternFill>
    </fill>
    <fill>
      <patternFill patternType="solid">
        <fgColor theme="6" tint="0.7999816888943144"/>
        <bgColor indexed="64"/>
      </patternFill>
    </fill>
    <fill>
      <patternFill patternType="solid">
        <fgColor theme="6"/>
        <bgColor rgb="FF000000"/>
      </patternFill>
    </fill>
  </fills>
  <borders count="10">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right/>
      <top style="thick">
        <color theme="6"/>
      </top>
      <bottom/>
      <diagonal/>
    </border>
    <border>
      <left/>
      <right/>
      <top/>
      <bottom style="thick">
        <color theme="6"/>
      </bottom>
      <diagonal/>
    </border>
    <border>
      <left/>
      <right/>
      <top style="thick">
        <color theme="6"/>
      </top>
      <bottom style="thick">
        <color theme="6"/>
      </bottom>
      <diagonal/>
    </border>
  </borders>
  <cellStyleXfs count="17">
    <xf numFmtId="0" fontId="7" fillId="3"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4" borderId="2" applyAlignment="1">
      <alignment horizontal="left"/>
    </xf>
    <xf numFmtId="0" fontId="5" fillId="3" borderId="0"/>
    <xf numFmtId="43" fontId="7" fillId="0" borderId="0"/>
    <xf numFmtId="169" fontId="7" fillId="0" borderId="0"/>
    <xf numFmtId="170" fontId="7" fillId="0" borderId="0"/>
    <xf numFmtId="171" fontId="7" fillId="0" borderId="0"/>
    <xf numFmtId="9" fontId="7" fillId="0" borderId="0"/>
    <xf numFmtId="0" fontId="7" fillId="5" borderId="3"/>
    <xf numFmtId="0" fontId="8" fillId="0" borderId="0"/>
    <xf numFmtId="0" fontId="6" fillId="0" borderId="5"/>
    <xf numFmtId="0" fontId="10" fillId="2" borderId="6" applyAlignment="1">
      <alignment horizontal="center" vertical="center" wrapText="1"/>
    </xf>
    <xf numFmtId="0" fontId="11" fillId="2" borderId="6" applyAlignment="1">
      <alignment horizontal="center" vertical="center" wrapText="1"/>
    </xf>
  </cellStyleXfs>
  <cellXfs count="125">
    <xf numFmtId="0" fontId="0" fillId="3" borderId="0" applyAlignment="1" pivotButton="0" quotePrefix="0" xfId="0">
      <alignment vertical="center" wrapText="1"/>
    </xf>
    <xf numFmtId="0" fontId="12" fillId="6" borderId="0" applyAlignment="1" pivotButton="0" quotePrefix="0" xfId="1">
      <alignment vertical="center"/>
    </xf>
    <xf numFmtId="0" fontId="14" fillId="0" borderId="0" applyAlignment="1" pivotButton="0" quotePrefix="0" xfId="0">
      <alignment vertical="center" wrapText="1"/>
    </xf>
    <xf numFmtId="0" fontId="7" fillId="0" borderId="0" applyAlignment="1" pivotButton="0" quotePrefix="0" xfId="0">
      <alignment vertical="center" wrapText="1"/>
    </xf>
    <xf numFmtId="0" fontId="13" fillId="0" borderId="0" applyAlignment="1" pivotButton="0" quotePrefix="0" xfId="0">
      <alignment vertical="center" wrapText="1"/>
    </xf>
    <xf numFmtId="0" fontId="14" fillId="7" borderId="0" applyAlignment="1" pivotButton="0" quotePrefix="0" xfId="0">
      <alignment vertical="center" wrapText="1"/>
    </xf>
    <xf numFmtId="0" fontId="13" fillId="7" borderId="0" applyAlignment="1" pivotButton="0" quotePrefix="0" xfId="0">
      <alignment vertical="center" wrapText="1"/>
    </xf>
    <xf numFmtId="0" fontId="7" fillId="7" borderId="0" applyAlignment="1" pivotButton="0" quotePrefix="0" xfId="0">
      <alignment vertical="center" wrapText="1"/>
    </xf>
    <xf numFmtId="0" fontId="12" fillId="7" borderId="0" applyAlignment="1" pivotButton="0" quotePrefix="0" xfId="1">
      <alignment vertical="center"/>
    </xf>
    <xf numFmtId="0" fontId="14" fillId="7" borderId="8" applyAlignment="1" pivotButton="0" quotePrefix="0" xfId="0">
      <alignment vertical="center" wrapText="1"/>
    </xf>
    <xf numFmtId="0" fontId="15" fillId="7" borderId="0" applyAlignment="1" pivotButton="0" quotePrefix="0" xfId="0">
      <alignment vertical="center" wrapText="1"/>
    </xf>
    <xf numFmtId="0" fontId="9" fillId="6" borderId="0" applyAlignment="1" pivotButton="0" quotePrefix="0" xfId="1">
      <alignment vertical="center"/>
    </xf>
    <xf numFmtId="0" fontId="18" fillId="6" borderId="0" applyAlignment="1" pivotButton="0" quotePrefix="0" xfId="1">
      <alignment vertical="center"/>
    </xf>
    <xf numFmtId="0" fontId="9" fillId="7" borderId="0" applyAlignment="1" pivotButton="0" quotePrefix="0" xfId="1">
      <alignment vertical="center"/>
    </xf>
    <xf numFmtId="0" fontId="19" fillId="7" borderId="0" applyAlignment="1" pivotButton="0" quotePrefix="0" xfId="0">
      <alignment horizontal="left" vertical="center"/>
    </xf>
    <xf numFmtId="0" fontId="20" fillId="7" borderId="0" applyAlignment="1" pivotButton="0" quotePrefix="0" xfId="0">
      <alignment vertical="center" wrapText="1"/>
    </xf>
    <xf numFmtId="164" fontId="21" fillId="7" borderId="0" applyAlignment="1" pivotButton="0" quotePrefix="0" xfId="2">
      <alignment horizontal="right" vertical="center"/>
    </xf>
    <xf numFmtId="0" fontId="18" fillId="7" borderId="0" applyAlignment="1" pivotButton="0" quotePrefix="0" xfId="1">
      <alignment vertical="center"/>
    </xf>
    <xf numFmtId="164" fontId="21" fillId="7" borderId="8" applyAlignment="1" pivotButton="0" quotePrefix="0" xfId="2">
      <alignment horizontal="right" vertical="center"/>
    </xf>
    <xf numFmtId="0" fontId="17" fillId="6" borderId="0" applyAlignment="1" pivotButton="0" quotePrefix="0" xfId="0">
      <alignment horizontal="left" vertical="center" indent="1"/>
    </xf>
    <xf numFmtId="0" fontId="20" fillId="7" borderId="8" applyAlignment="1" pivotButton="0" quotePrefix="0" xfId="0">
      <alignment vertical="center" wrapText="1"/>
    </xf>
    <xf numFmtId="0" fontId="19" fillId="6" borderId="0" applyAlignment="1" pivotButton="0" quotePrefix="0" xfId="1">
      <alignment vertical="center"/>
    </xf>
    <xf numFmtId="0" fontId="19" fillId="7" borderId="0" applyAlignment="1" pivotButton="0" quotePrefix="0" xfId="1">
      <alignment vertical="center"/>
    </xf>
    <xf numFmtId="0" fontId="20" fillId="7" borderId="0" applyAlignment="1" pivotButton="0" quotePrefix="0" xfId="0">
      <alignment horizontal="left" vertical="center"/>
    </xf>
    <xf numFmtId="0" fontId="20" fillId="7" borderId="0" applyAlignment="1" pivotButton="0" quotePrefix="0" xfId="0">
      <alignment vertical="center"/>
    </xf>
    <xf numFmtId="0" fontId="22" fillId="7" borderId="0" applyAlignment="1" pivotButton="0" quotePrefix="0" xfId="0">
      <alignment horizontal="left" vertical="center" wrapText="1"/>
    </xf>
    <xf numFmtId="0" fontId="23" fillId="7" borderId="0" applyAlignment="1" pivotButton="0" quotePrefix="0" xfId="4">
      <alignment horizontal="left" vertical="center"/>
    </xf>
    <xf numFmtId="0" fontId="23" fillId="7" borderId="0" applyAlignment="1" pivotButton="0" quotePrefix="0" xfId="4">
      <alignment horizontal="left" vertical="center"/>
    </xf>
    <xf numFmtId="0" fontId="20" fillId="7" borderId="0" applyAlignment="1" pivotButton="0" quotePrefix="0" xfId="0">
      <alignment horizontal="center" vertical="center" wrapText="1"/>
    </xf>
    <xf numFmtId="0" fontId="23" fillId="7" borderId="9" applyAlignment="1" pivotButton="0" quotePrefix="0" xfId="4">
      <alignment horizontal="left" vertical="center"/>
    </xf>
    <xf numFmtId="0" fontId="23" fillId="7" borderId="9" applyAlignment="1" pivotButton="0" quotePrefix="0" xfId="4">
      <alignment vertical="center"/>
    </xf>
    <xf numFmtId="0" fontId="24" fillId="6" borderId="0" applyAlignment="1" pivotButton="0" quotePrefix="0" xfId="1">
      <alignment vertical="center"/>
    </xf>
    <xf numFmtId="0" fontId="24" fillId="7" borderId="0" applyAlignment="1" pivotButton="0" quotePrefix="0" xfId="1">
      <alignment vertical="center"/>
    </xf>
    <xf numFmtId="0" fontId="26" fillId="7" borderId="0" applyAlignment="1" pivotButton="0" quotePrefix="0" xfId="0">
      <alignment vertical="center" wrapText="1"/>
    </xf>
    <xf numFmtId="0" fontId="7" fillId="7" borderId="8" applyAlignment="1" pivotButton="0" quotePrefix="0" xfId="0">
      <alignment vertical="center" wrapText="1"/>
    </xf>
    <xf numFmtId="0" fontId="27" fillId="7" borderId="0" applyAlignment="1" pivotButton="0" quotePrefix="0" xfId="0">
      <alignment vertical="center" wrapText="1"/>
    </xf>
    <xf numFmtId="0" fontId="27" fillId="7" borderId="9" applyAlignment="1" pivotButton="0" quotePrefix="0" xfId="0">
      <alignment vertical="center" wrapText="1"/>
    </xf>
    <xf numFmtId="0" fontId="28" fillId="7" borderId="0" applyAlignment="1" pivotButton="0" quotePrefix="0" xfId="0">
      <alignment vertical="center" wrapText="1"/>
    </xf>
    <xf numFmtId="0" fontId="28" fillId="7" borderId="0" applyAlignment="1" pivotButton="0" quotePrefix="0" xfId="0">
      <alignment wrapText="1"/>
    </xf>
    <xf numFmtId="0" fontId="13" fillId="7" borderId="0" applyAlignment="1" pivotButton="0" quotePrefix="0" xfId="0">
      <alignment horizontal="center"/>
    </xf>
    <xf numFmtId="0" fontId="22" fillId="7" borderId="9" applyAlignment="1" pivotButton="0" quotePrefix="0" xfId="0">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4" fontId="30" fillId="7" borderId="0" applyAlignment="1" pivotButton="0" quotePrefix="0" xfId="2">
      <alignment horizontal="left" vertical="center"/>
    </xf>
    <xf numFmtId="0" fontId="31" fillId="7" borderId="0" applyAlignment="1" pivotButton="0" quotePrefix="0" xfId="0">
      <alignment vertical="center" wrapText="1"/>
    </xf>
    <xf numFmtId="0" fontId="32" fillId="7" borderId="0" applyAlignment="1" pivotButton="0" quotePrefix="0" xfId="0">
      <alignment vertical="center" wrapText="1"/>
    </xf>
    <xf numFmtId="0" fontId="22" fillId="7" borderId="9" applyAlignment="1" pivotButton="0" quotePrefix="0" xfId="0">
      <alignment horizontal="left" vertical="center" indent="1"/>
    </xf>
    <xf numFmtId="0" fontId="32" fillId="0" borderId="0" applyAlignment="1" pivotButton="0" quotePrefix="0" xfId="0">
      <alignment vertical="center" wrapText="1"/>
    </xf>
    <xf numFmtId="0" fontId="22" fillId="7" borderId="0" applyAlignment="1" pivotButton="0" quotePrefix="0" xfId="0">
      <alignment horizontal="left" vertical="center"/>
    </xf>
    <xf numFmtId="0" fontId="22" fillId="7" borderId="0" applyAlignment="1" pivotButton="0" quotePrefix="0" xfId="0">
      <alignment horizontal="left" vertical="center" indent="1"/>
    </xf>
    <xf numFmtId="0" fontId="13" fillId="7" borderId="0" applyAlignment="1" pivotButton="0" quotePrefix="0" xfId="0">
      <alignment horizontal="left" vertical="top" wrapText="1"/>
    </xf>
    <xf numFmtId="0" fontId="13" fillId="7" borderId="0" applyAlignment="1" pivotButton="0" quotePrefix="0" xfId="0">
      <alignment horizontal="left" vertical="top" wrapText="1" indent="1"/>
    </xf>
    <xf numFmtId="0" fontId="33" fillId="6" borderId="0" applyAlignment="1" pivotButton="0" quotePrefix="0" xfId="0">
      <alignment horizontal="left" vertical="center"/>
    </xf>
    <xf numFmtId="0" fontId="35" fillId="7" borderId="0" applyAlignment="1" pivotButton="0" quotePrefix="0" xfId="0">
      <alignment vertical="center" wrapText="1"/>
    </xf>
    <xf numFmtId="0" fontId="36" fillId="7" borderId="0" applyAlignment="1" pivotButton="0" quotePrefix="0" xfId="0">
      <alignment vertical="center" wrapText="1"/>
    </xf>
    <xf numFmtId="0" fontId="37" fillId="7" borderId="0" applyAlignment="1" pivotButton="0" quotePrefix="0" xfId="0">
      <alignment vertical="center" wrapText="1"/>
    </xf>
    <xf numFmtId="0" fontId="38" fillId="7" borderId="0" applyAlignment="1" pivotButton="0" quotePrefix="0" xfId="0">
      <alignment vertical="top" wrapText="1"/>
    </xf>
    <xf numFmtId="0" fontId="22" fillId="7" borderId="0" applyAlignment="1" pivotButton="0" quotePrefix="0" xfId="0">
      <alignment horizontal="left" vertical="center" wrapText="1" indent="1"/>
    </xf>
    <xf numFmtId="0" fontId="23" fillId="7" borderId="0" applyAlignment="1" pivotButton="0" quotePrefix="0" xfId="0">
      <alignment vertical="center" wrapText="1"/>
    </xf>
    <xf numFmtId="0" fontId="39" fillId="7" borderId="7" applyAlignment="1" pivotButton="0" quotePrefix="0" xfId="0">
      <alignment horizontal="left" vertical="center" wrapText="1"/>
    </xf>
    <xf numFmtId="0" fontId="23" fillId="7" borderId="9" applyAlignment="1" pivotButton="0" quotePrefix="0" xfId="0">
      <alignment horizontal="left" vertical="center" wrapText="1"/>
    </xf>
    <xf numFmtId="0" fontId="23" fillId="7" borderId="7" applyAlignment="1" pivotButton="0" quotePrefix="0" xfId="0">
      <alignment horizontal="left" vertical="center" wrapText="1"/>
    </xf>
    <xf numFmtId="0" fontId="23" fillId="7" borderId="0" applyAlignment="1" pivotButton="0" quotePrefix="0" xfId="0">
      <alignment horizontal="left" vertical="center" wrapText="1"/>
    </xf>
    <xf numFmtId="0" fontId="40" fillId="7" borderId="0" applyAlignment="1" pivotButton="0" quotePrefix="0" xfId="0">
      <alignment vertical="center" wrapText="1"/>
    </xf>
    <xf numFmtId="0" fontId="40" fillId="7" borderId="9" applyAlignment="1" pivotButton="0" quotePrefix="0" xfId="0">
      <alignment vertical="center" wrapText="1"/>
    </xf>
    <xf numFmtId="0" fontId="40" fillId="0" borderId="0" applyAlignment="1" pivotButton="0" quotePrefix="0" xfId="0">
      <alignment vertical="center" wrapText="1"/>
    </xf>
    <xf numFmtId="0" fontId="22" fillId="7" borderId="8" applyAlignment="1" pivotButton="0" quotePrefix="0" xfId="0">
      <alignment horizontal="left" vertical="center"/>
    </xf>
    <xf numFmtId="0" fontId="0" fillId="3" borderId="0" applyAlignment="1" pivotButton="0" quotePrefix="0" xfId="0">
      <alignment horizontal="left" vertical="center"/>
    </xf>
    <xf numFmtId="9" fontId="0" fillId="3" borderId="0" applyAlignment="1" pivotButton="0" quotePrefix="0" xfId="0">
      <alignment vertical="center"/>
    </xf>
    <xf numFmtId="166" fontId="0" fillId="3" borderId="0" applyAlignment="1" pivotButton="0" quotePrefix="0" xfId="0">
      <alignment horizontal="right" vertical="center"/>
    </xf>
    <xf numFmtId="0" fontId="41" fillId="3" borderId="0" applyAlignment="1" pivotButton="0" quotePrefix="0" xfId="0">
      <alignment horizontal="left" vertical="center"/>
    </xf>
    <xf numFmtId="0" fontId="41" fillId="3" borderId="0" applyAlignment="1" pivotButton="0" quotePrefix="0" xfId="0">
      <alignment horizontal="right" vertical="center"/>
    </xf>
    <xf numFmtId="0" fontId="0" fillId="3" borderId="0" applyAlignment="1" pivotButton="0" quotePrefix="0" xfId="0">
      <alignment horizontal="left" vertical="center" wrapText="1"/>
    </xf>
    <xf numFmtId="167" fontId="0" fillId="3" borderId="0" applyAlignment="1" pivotButton="0" quotePrefix="0" xfId="0">
      <alignment vertical="center"/>
    </xf>
    <xf numFmtId="166" fontId="0" fillId="3" borderId="0" applyAlignment="1" pivotButton="0" quotePrefix="0" xfId="0">
      <alignment horizontal="left" vertical="center" wrapText="1"/>
    </xf>
    <xf numFmtId="10" fontId="0" fillId="3" borderId="0" applyAlignment="1" pivotButton="0" quotePrefix="0" xfId="0">
      <alignment horizontal="left" vertical="center" wrapText="1"/>
    </xf>
    <xf numFmtId="164" fontId="0" fillId="3" borderId="0" applyAlignment="1" pivotButton="0" quotePrefix="0" xfId="0">
      <alignment horizontal="left" vertical="center" wrapText="1"/>
    </xf>
    <xf numFmtId="166" fontId="0" fillId="3" borderId="0" applyAlignment="1" pivotButton="0" quotePrefix="0" xfId="0">
      <alignment horizontal="left" vertical="center"/>
    </xf>
    <xf numFmtId="0" fontId="0" fillId="3" borderId="0" applyAlignment="1" pivotButton="0" quotePrefix="0" xfId="0">
      <alignment horizontal="right" vertical="center"/>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164" fontId="21" fillId="7" borderId="0" applyAlignment="1" pivotButton="0" quotePrefix="0" xfId="2">
      <alignment horizontal="left" vertical="center"/>
    </xf>
    <xf numFmtId="0" fontId="22" fillId="7" borderId="9" applyAlignment="1" pivotButton="0" quotePrefix="0" xfId="3">
      <alignment horizontal="left" vertical="center"/>
    </xf>
    <xf numFmtId="0" fontId="14" fillId="7" borderId="0" applyAlignment="1" pivotButton="0" quotePrefix="0" xfId="0">
      <alignment horizontal="left" vertical="center" wrapText="1"/>
    </xf>
    <xf numFmtId="0" fontId="13" fillId="7" borderId="0" applyAlignment="1" pivotButton="0" quotePrefix="0" xfId="0">
      <alignment vertical="center" wrapText="1"/>
    </xf>
    <xf numFmtId="0" fontId="13" fillId="7" borderId="0" applyAlignment="1" pivotButton="0" quotePrefix="0" xfId="0">
      <alignment horizontal="left" vertical="center" wrapText="1"/>
    </xf>
    <xf numFmtId="0" fontId="15" fillId="7" borderId="0" applyAlignment="1" pivotButton="0" quotePrefix="0" xfId="0">
      <alignment horizontal="left" vertical="center" wrapText="1"/>
    </xf>
    <xf numFmtId="167" fontId="15" fillId="7" borderId="0" applyAlignment="1" pivotButton="0" quotePrefix="0" xfId="0">
      <alignment vertical="center" wrapText="1"/>
    </xf>
    <xf numFmtId="168" fontId="15" fillId="7" borderId="0" applyAlignment="1" pivotButton="0" quotePrefix="0" xfId="0">
      <alignment vertical="center" wrapText="1"/>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0" fontId="13" fillId="7" borderId="0" applyAlignment="1" pivotButton="0" quotePrefix="0" xfId="0">
      <alignment horizontal="left" vertical="center" wrapText="1" indent="4"/>
    </xf>
    <xf numFmtId="0" fontId="34" fillId="6" borderId="0" applyAlignment="1" pivotButton="0" quotePrefix="0" xfId="6">
      <alignment horizontal="left" vertical="center"/>
    </xf>
    <xf numFmtId="0" fontId="33" fillId="8" borderId="0" applyAlignment="1" pivotButton="0" quotePrefix="0" xfId="0">
      <alignment horizontal="left" vertical="center"/>
    </xf>
    <xf numFmtId="0" fontId="17" fillId="8" borderId="0" applyAlignment="1" pivotButton="0" quotePrefix="0" xfId="0">
      <alignment horizontal="left" vertical="center"/>
    </xf>
    <xf numFmtId="0" fontId="13" fillId="7" borderId="0" applyAlignment="1" pivotButton="0" quotePrefix="0" xfId="0">
      <alignment horizontal="left" vertical="center" wrapText="1" indent="5"/>
    </xf>
    <xf numFmtId="0" fontId="22" fillId="7" borderId="9" applyAlignment="1" pivotButton="0" quotePrefix="0" xfId="3">
      <alignment horizontal="left" vertical="center"/>
    </xf>
    <xf numFmtId="164" fontId="23" fillId="7" borderId="9"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6" fontId="23" fillId="7" borderId="0" applyAlignment="1" pivotButton="0" quotePrefix="0" xfId="4">
      <alignment horizontal="right" vertical="center"/>
    </xf>
    <xf numFmtId="0" fontId="14" fillId="7" borderId="0" applyAlignment="1" pivotButton="0" quotePrefix="0" xfId="0">
      <alignment horizontal="left" vertical="center" wrapText="1"/>
    </xf>
    <xf numFmtId="0" fontId="13" fillId="7" borderId="0" applyAlignment="1" pivotButton="0" quotePrefix="0" xfId="0">
      <alignment horizontal="left" vertical="center" wrapText="1"/>
    </xf>
    <xf numFmtId="164" fontId="21" fillId="7" borderId="0" applyAlignment="1" pivotButton="0" quotePrefix="0" xfId="2">
      <alignment horizontal="left" vertical="center"/>
    </xf>
    <xf numFmtId="0" fontId="13" fillId="7" borderId="0" applyAlignment="1" pivotButton="0" quotePrefix="0" xfId="0">
      <alignment vertical="center" wrapText="1"/>
    </xf>
    <xf numFmtId="0" fontId="0" fillId="0" borderId="8" pivotButton="0" quotePrefix="0" xfId="0"/>
    <xf numFmtId="164" fontId="21" fillId="7" borderId="0" applyAlignment="1" pivotButton="0" quotePrefix="0" xfId="2">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6" fontId="0" fillId="3" borderId="0" applyAlignment="1" pivotButton="0" quotePrefix="0" xfId="0">
      <alignment horizontal="left" vertical="center"/>
    </xf>
    <xf numFmtId="166" fontId="0" fillId="3" borderId="0" applyAlignment="1" pivotButton="0" quotePrefix="0" xfId="0">
      <alignment horizontal="left" vertical="center" wrapText="1"/>
    </xf>
    <xf numFmtId="164" fontId="30" fillId="7" borderId="0" applyAlignment="1" pivotButton="0" quotePrefix="0" xfId="2">
      <alignment horizontal="left" vertical="center"/>
    </xf>
    <xf numFmtId="0" fontId="0" fillId="0" borderId="0" pivotButton="0" quotePrefix="0" xfId="0"/>
    <xf numFmtId="164" fontId="0" fillId="3" borderId="0" applyAlignment="1" pivotButton="0" quotePrefix="0" xfId="0">
      <alignment horizontal="left" vertical="center" wrapText="1"/>
    </xf>
    <xf numFmtId="0" fontId="0" fillId="0" borderId="9" pivotButton="0" quotePrefix="0" xfId="0"/>
    <xf numFmtId="166" fontId="23" fillId="7" borderId="0"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4" fontId="23" fillId="7" borderId="9" applyAlignment="1" pivotButton="0" quotePrefix="0" xfId="4">
      <alignment horizontal="right" vertical="center"/>
    </xf>
    <xf numFmtId="167" fontId="15" fillId="7" borderId="0" applyAlignment="1" pivotButton="0" quotePrefix="0" xfId="0">
      <alignment vertical="center" wrapText="1"/>
    </xf>
    <xf numFmtId="168" fontId="15" fillId="7" borderId="0" applyAlignment="1" pivotButton="0" quotePrefix="0" xfId="0">
      <alignment vertical="center" wrapText="1"/>
    </xf>
    <xf numFmtId="164" fontId="21" fillId="7" borderId="8" applyAlignment="1" pivotButton="0" quotePrefix="0" xfId="2">
      <alignment horizontal="right" vertical="center"/>
    </xf>
    <xf numFmtId="166" fontId="0" fillId="3" borderId="0" applyAlignment="1" pivotButton="0" quotePrefix="0" xfId="0">
      <alignment horizontal="right" vertical="center"/>
    </xf>
    <xf numFmtId="164" fontId="21" fillId="7" borderId="0" applyAlignment="1" pivotButton="0" quotePrefix="0" xfId="2">
      <alignment horizontal="right" vertical="center"/>
    </xf>
    <xf numFmtId="167" fontId="0" fillId="3" borderId="0" applyAlignment="1" pivotButton="0" quotePrefix="0" xfId="0">
      <alignment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37">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fill>
        <patternFill patternType="solid">
          <fgColor indexed="64"/>
          <bgColor theme="2"/>
        </patternFill>
      </fill>
      <alignment horizontal="left" vertical="center"/>
      <border outline="0">
        <left/>
        <right/>
        <top/>
        <bottom/>
      </border>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67" formatCode="&quot;$&quot;#,##0.00"/>
      <alignment horizontal="left" vertical="center" wrapText="1"/>
    </dxf>
    <dxf>
      <alignment horizontal="left" vertical="center"/>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b val="1"/>
        <color theme="4" tint="-0.249946592608417"/>
      </font>
      <fill>
        <patternFill>
          <bgColor theme="6" tint="0.7999816888943144"/>
        </patternFill>
      </fill>
      <border>
        <top style="thick">
          <color theme="6"/>
        </top>
        <bottom style="thick">
          <color theme="6"/>
        </bottom>
      </border>
    </dxf>
    <dxf>
      <font>
        <b val="1"/>
        <color theme="4" tint="-0.249946592608417"/>
      </font>
      <fill>
        <patternFill>
          <bgColor theme="6" tint="0.7999816888943144"/>
        </patternFill>
      </fill>
      <border>
        <top style="thick">
          <color theme="6"/>
        </top>
        <bottom style="thick">
          <color theme="6"/>
        </bottom>
      </border>
    </dxf>
    <dxf>
      <font>
        <color theme="1" tint="0.249946592608417"/>
      </font>
      <fill>
        <patternFill>
          <fgColor theme="6" tint="0.7999816888943144"/>
          <bgColor theme="6" tint="0.7999816888943144"/>
        </patternFill>
      </fill>
      <border>
        <left/>
        <right/>
        <top style="medium">
          <color theme="6"/>
        </top>
        <bottom style="medium">
          <color theme="6"/>
        </bottom>
        <vertical/>
        <horizontal style="thin">
          <color theme="6"/>
        </horizontal>
      </border>
    </dxf>
  </dxfs>
  <tableStyles count="3" defaultTableStyle="Personal Cash Flow Statement" defaultPivotStyle="PivotStyleLight15">
    <tableStyle name="Daily Summary" pivot="0" count="3">
      <tableStyleElement type="wholeTable" dxfId="136"/>
      <tableStyleElement type="headerRow" dxfId="135"/>
      <tableStyleElement type="totalRow" dxfId="134"/>
    </tableStyle>
    <tableStyle name="Monthly Cash Flow" pivot="0" count="5">
      <tableStyleElement type="wholeTable" dxfId="133"/>
      <tableStyleElement type="headerRow" dxfId="132"/>
      <tableStyleElement type="totalRow" dxfId="131"/>
      <tableStyleElement type="firstRowStripe" dxfId="130"/>
      <tableStyleElement type="secondRowStripe" dxfId="129"/>
    </tableStyle>
    <tableStyle name="Personal Cash Flow Statement" pivot="0" count="9">
      <tableStyleElement type="wholeTable" dxfId="128"/>
      <tableStyleElement type="headerRow" dxfId="127"/>
      <tableStyleElement type="totalRow" dxfId="126"/>
      <tableStyleElement type="firstColumn" dxfId="125"/>
      <tableStyleElement type="lastColumn" dxfId="124"/>
      <tableStyleElement type="firstHeaderCell" dxfId="123"/>
      <tableStyleElement type="lastHeaderCell" dxfId="122"/>
      <tableStyleElement type="firstTotalCell" dxfId="121"/>
      <tableStyleElement type="lastTotalCell"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[TFb55730e7-4e7a-44bc-b0f3-ababbf53f2231b5f28b4_wac-50744284f86d.xlsx]Annual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flow'!$S$9</f>
              <strCache>
                <ptCount val="1"/>
                <pt idx="0">
                  <v>Total</v>
                </pt>
              </strCache>
            </strRef>
          </tx>
          <spPr>
            <a:solidFill>
              <a:schemeClr val="accent1"/>
            </a:solidFill>
            <a:ln>
              <a:noFill/>
              <a:prstDash val="solid"/>
            </a:ln>
          </spPr>
          <invertIfNegative val="0"/>
          <cat>
            <strRef>
              <f>'Annual cash flow'!$R$10:$R$16</f>
              <strCache>
                <ptCount val="6"/>
                <pt idx="0">
                  <v>Other 2</v>
                </pt>
                <pt idx="1">
                  <v>Other 3</v>
                </pt>
                <pt idx="2">
                  <v>Other 4</v>
                </pt>
                <pt idx="3">
                  <v>Commissions/Bonus</v>
                </pt>
                <pt idx="4">
                  <v>Other 1</v>
                </pt>
                <pt idx="5">
                  <v>Salary</v>
                </pt>
              </strCache>
            </strRef>
          </cat>
          <val>
            <numRef>
              <f>'Annual cash flow'!$S$10:$S$16</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[TFb55730e7-4e7a-44bc-b0f3-ababbf53f2231b5f28b4_wac-50744284f86d.xlsx]Annual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flow'!$Y$9</f>
              <strCache>
                <ptCount val="1"/>
                <pt idx="0">
                  <v>Total</v>
                </pt>
              </strCache>
            </strRef>
          </tx>
          <spPr>
            <a:solidFill>
              <a:schemeClr val="accent1"/>
            </a:solidFill>
            <a:ln>
              <a:noFill/>
              <a:prstDash val="solid"/>
            </a:ln>
          </spPr>
          <invertIfNegative val="0"/>
          <cat>
            <strRef>
              <f>'Annual cash flow'!$X$10:$X$21</f>
              <strCache>
                <ptCount val="11"/>
                <pt idx="0">
                  <v>Other 2</v>
                </pt>
                <pt idx="1">
                  <v>Other 1</v>
                </pt>
                <pt idx="2">
                  <v>Club memberships</v>
                </pt>
                <pt idx="3">
                  <v>Personal care</v>
                </pt>
                <pt idx="4">
                  <v>Gifts</v>
                </pt>
                <pt idx="5">
                  <v>Charity</v>
                </pt>
                <pt idx="6">
                  <v>Entertainment</v>
                </pt>
                <pt idx="7">
                  <v>Dining</v>
                </pt>
                <pt idx="8">
                  <v>Shopping</v>
                </pt>
                <pt idx="9">
                  <v>Travel</v>
                </pt>
                <pt idx="10">
                  <v>Home improvements</v>
                </pt>
              </strCache>
            </strRef>
          </cat>
          <val>
            <numRef>
              <f>'Annual cash flow'!$Y$10:$Y$21</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[TFb55730e7-4e7a-44bc-b0f3-ababbf53f2231b5f28b4_wac-50744284f86d.xlsx]Annual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flow'!$V$9</f>
              <strCache>
                <ptCount val="1"/>
                <pt idx="0">
                  <v>Total</v>
                </pt>
              </strCache>
            </strRef>
          </tx>
          <spPr>
            <a:solidFill>
              <a:schemeClr val="accent1"/>
            </a:solidFill>
            <a:ln>
              <a:noFill/>
              <a:prstDash val="solid"/>
            </a:ln>
          </spPr>
          <invertIfNegative val="0"/>
          <cat>
            <strRef>
              <f>'Annual cash flow'!$U$10:$U$28</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flow'!$V$10:$V$28</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[TFb55730e7-4e7a-44bc-b0f3-ababbf53f2231b5f28b4_wac-50744284f86d.xlsx]Annual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051433674957297"/>
          <y val="0.03182870370370371"/>
          <w val="0.6212291171936841"/>
          <h val="0.9045717592592593"/>
        </manualLayout>
      </layout>
      <barChart>
        <barDir val="bar"/>
        <grouping val="clustered"/>
        <varyColors val="0"/>
        <ser>
          <idx val="0"/>
          <order val="0"/>
          <tx>
            <strRef>
              <f>'Annual cash flow'!$AB$9</f>
              <strCache>
                <ptCount val="1"/>
                <pt idx="0">
                  <v>Total</v>
                </pt>
              </strCache>
            </strRef>
          </tx>
          <spPr>
            <a:solidFill>
              <a:schemeClr val="accent1"/>
            </a:solidFill>
            <a:ln>
              <a:noFill/>
              <a:prstDash val="solid"/>
            </a:ln>
          </spPr>
          <invertIfNegative val="0"/>
          <cat>
            <strRef>
              <f>'Annual cash flow'!$AA$10:$AA$15</f>
              <strCache>
                <ptCount val="5"/>
                <pt idx="0">
                  <v>Other 1</v>
                </pt>
                <pt idx="1">
                  <v>Other 2</v>
                </pt>
                <pt idx="2">
                  <v>Cash reserves</v>
                </pt>
                <pt idx="3">
                  <v>Savings/investment</v>
                </pt>
                <pt idx="4">
                  <v>401k etc.</v>
                </pt>
              </strCache>
            </strRef>
          </cat>
          <val>
            <numRef>
              <f>'Annual cash flow'!$AB$10:$AB$15</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416"/>
        <crosses val="autoZero"/>
        <auto val="1"/>
        <lblAlgn val="ctr"/>
        <lblOffset val="100"/>
        <noMultiLvlLbl val="0"/>
      </catAx>
      <valAx>
        <axId val="527863416"/>
        <scaling>
          <orientation val="minMax"/>
          <max val="14000"/>
          <min val="0"/>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088"/>
        <crosses val="autoZero"/>
        <crossBetween val="between"/>
        <majorUnit val="4000"/>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4</row>
      <rowOff>0</rowOff>
    </from>
    <to>
      <col>4</col>
      <colOff>0</colOff>
      <row>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4</row>
      <rowOff>0</rowOff>
    </from>
    <to>
      <col>12</col>
      <colOff>0</colOff>
      <row>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4</row>
      <rowOff>0</rowOff>
    </from>
    <to>
      <col>8</col>
      <colOff>0</colOff>
      <row>5</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3</row>
      <rowOff>428624</rowOff>
    </from>
    <to>
      <col>16</col>
      <colOff>0</colOff>
      <row>4</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5088.77569050926"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5088.77567974537"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 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5088.77568483796"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5088.77569606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 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1" cacheId="11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9:V28"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formats count="24">
    <format action="formatting" dxfId="48">
      <pivotArea type="all" dataOnly="0" outline="0" fieldPosition="0"/>
    </format>
    <format action="formatting" dxfId="49">
      <pivotArea type="normal" dataOnly="1" outline="0" collapsedLevelsAreSubtotals="1" fieldPosition="0"/>
    </format>
    <format action="formatting" dxfId="50">
      <pivotArea field="0" type="button" dataOnly="0" labelOnly="1" outline="0" axis="axisRow" fieldPosition="0"/>
    </format>
    <format action="formatting" dxfId="51">
      <pivotArea type="normal" dataOnly="0" labelOnly="1" outline="1" fieldPosition="0">
        <references count="1">
          <reference field="0"/>
        </references>
      </pivotArea>
    </format>
    <format action="formatting" dxfId="52">
      <pivotArea type="normal" dataOnly="0" labelOnly="1" grandRow="1" outline="0" fieldPosition="0"/>
    </format>
    <format action="formatting" dxfId="53">
      <pivotArea type="normal" dataOnly="0" labelOnly="1" outline="0" axis="axisValues" fieldPosition="0"/>
    </format>
    <format action="formatting" dxfId="54">
      <pivotArea type="all" dataOnly="0" outline="0" fieldPosition="0"/>
    </format>
    <format action="formatting" dxfId="55">
      <pivotArea type="normal" dataOnly="1" outline="0" collapsedLevelsAreSubtotals="1" fieldPosition="0"/>
    </format>
    <format action="formatting" dxfId="56">
      <pivotArea field="0" type="button" dataOnly="0" labelOnly="1" outline="0" axis="axisRow" fieldPosition="0"/>
    </format>
    <format action="formatting" dxfId="57">
      <pivotArea type="normal" dataOnly="0" labelOnly="1" outline="1" fieldPosition="0">
        <references count="1">
          <reference field="0"/>
        </references>
      </pivotArea>
    </format>
    <format action="formatting" dxfId="58">
      <pivotArea type="normal" dataOnly="0" labelOnly="1" grandRow="1" outline="0" fieldPosition="0"/>
    </format>
    <format action="formatting" dxfId="59">
      <pivotArea type="normal" dataOnly="0" labelOnly="1" outline="0" axis="axisValues" fieldPosition="0"/>
    </format>
    <format action="formatting" dxfId="60">
      <pivotArea type="all" dataOnly="0" outline="0" fieldPosition="0"/>
    </format>
    <format action="formatting" dxfId="61">
      <pivotArea type="normal" dataOnly="1" outline="0" collapsedLevelsAreSubtotals="1" fieldPosition="0"/>
    </format>
    <format action="formatting" dxfId="62">
      <pivotArea field="0" type="button" dataOnly="0" labelOnly="1" outline="0" axis="axisRow" fieldPosition="0"/>
    </format>
    <format action="formatting" dxfId="63">
      <pivotArea type="normal" dataOnly="0" labelOnly="1" outline="1" fieldPosition="0">
        <references count="1">
          <reference field="0"/>
        </references>
      </pivotArea>
    </format>
    <format action="formatting" dxfId="64">
      <pivotArea type="normal" dataOnly="0" labelOnly="1" grandRow="1" outline="0" fieldPosition="0"/>
    </format>
    <format action="formatting" dxfId="65">
      <pivotArea type="normal" dataOnly="0" labelOnly="1" outline="0" axis="axisValues" fieldPosition="0"/>
    </format>
    <format action="formatting" dxfId="66">
      <pivotArea type="all" dataOnly="0" outline="0" fieldPosition="0"/>
    </format>
    <format action="formatting" dxfId="67">
      <pivotArea type="normal" dataOnly="1" outline="0" collapsedLevelsAreSubtotals="1" fieldPosition="0"/>
    </format>
    <format action="formatting" dxfId="68">
      <pivotArea field="0" type="button" dataOnly="0" labelOnly="1" outline="0" axis="axisRow" fieldPosition="0"/>
    </format>
    <format action="formatting" dxfId="69">
      <pivotArea type="normal" dataOnly="0" labelOnly="1" outline="1" fieldPosition="0">
        <references count="1">
          <reference field="0"/>
        </references>
      </pivotArea>
    </format>
    <format action="formatting" dxfId="70">
      <pivotArea type="normal" dataOnly="0" labelOnly="1" grandRow="1" outline="0" fieldPosition="0"/>
    </format>
    <format action="formatting" dxfId="71">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2.xml><?xml version="1.0" encoding="utf-8"?>
<pivotTableDefinition xmlns:r="http://schemas.openxmlformats.org/officeDocument/2006/relationships" xmlns="http://schemas.openxmlformats.org/spreadsheetml/2006/main" name="PVT_Savings" cacheId="11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9:AB15"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formats count="24">
    <format action="formatting" dxfId="72">
      <pivotArea type="all" dataOnly="0" outline="0" fieldPosition="0"/>
    </format>
    <format action="formatting" dxfId="73">
      <pivotArea type="normal" dataOnly="1" outline="0" collapsedLevelsAreSubtotals="1" fieldPosition="0"/>
    </format>
    <format action="formatting" dxfId="74">
      <pivotArea field="0" type="button" dataOnly="0" labelOnly="1" outline="0" axis="axisRow" fieldPosition="0"/>
    </format>
    <format action="formatting" dxfId="75">
      <pivotArea type="normal" dataOnly="0" labelOnly="1" outline="1" fieldPosition="0">
        <references count="1">
          <reference field="0"/>
        </references>
      </pivotArea>
    </format>
    <format action="formatting" dxfId="76">
      <pivotArea type="normal" dataOnly="0" labelOnly="1" grandRow="1" outline="0" fieldPosition="0"/>
    </format>
    <format action="formatting" dxfId="77">
      <pivotArea type="normal" dataOnly="0" labelOnly="1" outline="0" axis="axisValues" fieldPosition="0"/>
    </format>
    <format action="formatting" dxfId="78">
      <pivotArea type="all" dataOnly="0" outline="0" fieldPosition="0"/>
    </format>
    <format action="formatting" dxfId="79">
      <pivotArea type="normal" dataOnly="1" outline="0" collapsedLevelsAreSubtotals="1" fieldPosition="0"/>
    </format>
    <format action="formatting" dxfId="80">
      <pivotArea field="0" type="button" dataOnly="0" labelOnly="1" outline="0" axis="axisRow" fieldPosition="0"/>
    </format>
    <format action="formatting" dxfId="81">
      <pivotArea type="normal" dataOnly="0" labelOnly="1" outline="1" fieldPosition="0">
        <references count="1">
          <reference field="0"/>
        </references>
      </pivotArea>
    </format>
    <format action="formatting" dxfId="82">
      <pivotArea type="normal" dataOnly="0" labelOnly="1" grandRow="1" outline="0" fieldPosition="0"/>
    </format>
    <format action="formatting" dxfId="83">
      <pivotArea type="normal" dataOnly="0" labelOnly="1" outline="0" axis="axisValues" fieldPosition="0"/>
    </format>
    <format action="formatting" dxfId="84">
      <pivotArea type="all" dataOnly="0" outline="0" fieldPosition="0"/>
    </format>
    <format action="formatting" dxfId="85">
      <pivotArea type="normal" dataOnly="1" outline="0" collapsedLevelsAreSubtotals="1" fieldPosition="0"/>
    </format>
    <format action="formatting" dxfId="86">
      <pivotArea field="0" type="button" dataOnly="0" labelOnly="1" outline="0" axis="axisRow" fieldPosition="0"/>
    </format>
    <format action="formatting" dxfId="87">
      <pivotArea type="normal" dataOnly="0" labelOnly="1" outline="1" fieldPosition="0">
        <references count="1">
          <reference field="0"/>
        </references>
      </pivotArea>
    </format>
    <format action="formatting" dxfId="88">
      <pivotArea type="normal" dataOnly="0" labelOnly="1" grandRow="1" outline="0" fieldPosition="0"/>
    </format>
    <format action="formatting" dxfId="89">
      <pivotArea type="normal" dataOnly="0" labelOnly="1" outline="0" axis="axisValues" fieldPosition="0"/>
    </format>
    <format action="formatting" dxfId="90">
      <pivotArea type="all" dataOnly="0" outline="0" fieldPosition="0"/>
    </format>
    <format action="formatting" dxfId="91">
      <pivotArea type="normal" dataOnly="1" outline="0" collapsedLevelsAreSubtotals="1" fieldPosition="0"/>
    </format>
    <format action="formatting" dxfId="92">
      <pivotArea field="0" type="button" dataOnly="0" labelOnly="1" outline="0" axis="axisRow" fieldPosition="0"/>
    </format>
    <format action="formatting" dxfId="93">
      <pivotArea type="normal" dataOnly="0" labelOnly="1" outline="1" fieldPosition="0">
        <references count="1">
          <reference field="0"/>
        </references>
      </pivotArea>
    </format>
    <format action="formatting" dxfId="94">
      <pivotArea type="normal" dataOnly="0" labelOnly="1" grandRow="1" outline="0" fieldPosition="0"/>
    </format>
    <format action="formatting" dxfId="95">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3.xml><?xml version="1.0" encoding="utf-8"?>
<pivotTableDefinition xmlns:r="http://schemas.openxmlformats.org/officeDocument/2006/relationships" xmlns="http://schemas.openxmlformats.org/spreadsheetml/2006/main" name="PVT_Income" cacheId="11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9:S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formats count="24">
    <format action="formatting" dxfId="96">
      <pivotArea type="all" dataOnly="0" outline="0" fieldPosition="0"/>
    </format>
    <format action="formatting" dxfId="97">
      <pivotArea type="normal" dataOnly="1" outline="0" collapsedLevelsAreSubtotals="1" fieldPosition="0"/>
    </format>
    <format action="formatting" dxfId="98">
      <pivotArea field="0" type="button" dataOnly="0" labelOnly="1" outline="0" axis="axisRow" fieldPosition="0"/>
    </format>
    <format action="formatting" dxfId="99">
      <pivotArea type="normal" dataOnly="0" labelOnly="1" outline="1" fieldPosition="0">
        <references count="1">
          <reference field="0"/>
        </references>
      </pivotArea>
    </format>
    <format action="formatting" dxfId="100">
      <pivotArea type="normal" dataOnly="0" labelOnly="1" grandRow="1" outline="0" fieldPosition="0"/>
    </format>
    <format action="formatting" dxfId="101">
      <pivotArea type="normal" dataOnly="0" labelOnly="1" outline="0" axis="axisValues" fieldPosition="0"/>
    </format>
    <format action="formatting" dxfId="102">
      <pivotArea type="all" dataOnly="0" outline="0" fieldPosition="0"/>
    </format>
    <format action="formatting" dxfId="103">
      <pivotArea type="normal" dataOnly="1" outline="0" collapsedLevelsAreSubtotals="1" fieldPosition="0"/>
    </format>
    <format action="formatting" dxfId="104">
      <pivotArea field="0" type="button" dataOnly="0" labelOnly="1" outline="0" axis="axisRow" fieldPosition="0"/>
    </format>
    <format action="formatting" dxfId="105">
      <pivotArea type="normal" dataOnly="0" labelOnly="1" outline="1" fieldPosition="0">
        <references count="1">
          <reference field="0"/>
        </references>
      </pivotArea>
    </format>
    <format action="formatting" dxfId="106">
      <pivotArea type="normal" dataOnly="0" labelOnly="1" grandRow="1" outline="0" fieldPosition="0"/>
    </format>
    <format action="formatting" dxfId="107">
      <pivotArea type="normal" dataOnly="0" labelOnly="1" outline="0" axis="axisValues" fieldPosition="0"/>
    </format>
    <format action="formatting" dxfId="108">
      <pivotArea type="all" dataOnly="0" outline="0" fieldPosition="0"/>
    </format>
    <format action="formatting" dxfId="109">
      <pivotArea type="normal" dataOnly="1" outline="0" collapsedLevelsAreSubtotals="1" fieldPosition="0"/>
    </format>
    <format action="formatting" dxfId="110">
      <pivotArea field="0" type="button" dataOnly="0" labelOnly="1" outline="0" axis="axisRow" fieldPosition="0"/>
    </format>
    <format action="formatting" dxfId="111">
      <pivotArea type="normal" dataOnly="0" labelOnly="1" outline="1" fieldPosition="0">
        <references count="1">
          <reference field="0"/>
        </references>
      </pivotArea>
    </format>
    <format action="formatting" dxfId="112">
      <pivotArea type="normal" dataOnly="0" labelOnly="1" grandRow="1" outline="0" fieldPosition="0"/>
    </format>
    <format action="formatting" dxfId="113">
      <pivotArea type="normal" dataOnly="0" labelOnly="1" outline="0" axis="axisValues" fieldPosition="0"/>
    </format>
    <format action="formatting" dxfId="114">
      <pivotArea type="all" dataOnly="0" outline="0" fieldPosition="0"/>
    </format>
    <format action="formatting" dxfId="115">
      <pivotArea type="normal" dataOnly="1" outline="0" collapsedLevelsAreSubtotals="1" fieldPosition="0"/>
    </format>
    <format action="formatting" dxfId="116">
      <pivotArea field="0" type="button" dataOnly="0" labelOnly="1" outline="0" axis="axisRow" fieldPosition="0"/>
    </format>
    <format action="formatting" dxfId="117">
      <pivotArea type="normal" dataOnly="0" labelOnly="1" outline="1" fieldPosition="0">
        <references count="1">
          <reference field="0"/>
        </references>
      </pivotArea>
    </format>
    <format action="formatting" dxfId="118">
      <pivotArea type="normal" dataOnly="0" labelOnly="1" grandRow="1" outline="0" fieldPosition="0"/>
    </format>
    <format action="formatting" dxfId="119">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pivotTables/pivotTable4.xml><?xml version="1.0" encoding="utf-8"?>
<pivotTableDefinition xmlns:r="http://schemas.openxmlformats.org/officeDocument/2006/relationships" xmlns="http://schemas.openxmlformats.org/spreadsheetml/2006/main" name="PVT_Expenses2" cacheId="11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9:Y21"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formats count="24">
    <format action="formatting" dxfId="24">
      <pivotArea type="all" dataOnly="0" outline="0" fieldPosition="0"/>
    </format>
    <format action="formatting" dxfId="25">
      <pivotArea type="normal" dataOnly="1" outline="0" collapsedLevelsAreSubtotals="1" fieldPosition="0"/>
    </format>
    <format action="formatting" dxfId="26">
      <pivotArea field="0" type="button" dataOnly="0" labelOnly="1" outline="0" axis="axisRow" fieldPosition="0"/>
    </format>
    <format action="formatting" dxfId="27">
      <pivotArea type="normal" dataOnly="0" labelOnly="1" outline="1" fieldPosition="0">
        <references count="1">
          <reference field="0"/>
        </references>
      </pivotArea>
    </format>
    <format action="formatting" dxfId="28">
      <pivotArea type="normal" dataOnly="0" labelOnly="1" grandRow="1" outline="0" fieldPosition="0"/>
    </format>
    <format action="formatting" dxfId="29">
      <pivotArea type="normal" dataOnly="0" labelOnly="1" outline="0" axis="axisValues" fieldPosition="0"/>
    </format>
    <format action="formatting" dxfId="30">
      <pivotArea type="all" dataOnly="0" outline="0" fieldPosition="0"/>
    </format>
    <format action="formatting" dxfId="31">
      <pivotArea type="normal" dataOnly="1" outline="0" collapsedLevelsAreSubtotals="1" fieldPosition="0"/>
    </format>
    <format action="formatting" dxfId="32">
      <pivotArea field="0" type="button" dataOnly="0" labelOnly="1" outline="0" axis="axisRow" fieldPosition="0"/>
    </format>
    <format action="formatting" dxfId="33">
      <pivotArea type="normal" dataOnly="0" labelOnly="1" outline="1" fieldPosition="0">
        <references count="1">
          <reference field="0"/>
        </references>
      </pivotArea>
    </format>
    <format action="formatting" dxfId="34">
      <pivotArea type="normal" dataOnly="0" labelOnly="1" grandRow="1" outline="0" fieldPosition="0"/>
    </format>
    <format action="formatting" dxfId="35">
      <pivotArea type="normal" dataOnly="0" labelOnly="1" outline="0" axis="axisValues" fieldPosition="0"/>
    </format>
    <format action="formatting" dxfId="36">
      <pivotArea type="all" dataOnly="0" outline="0" fieldPosition="0"/>
    </format>
    <format action="formatting" dxfId="37">
      <pivotArea type="normal" dataOnly="1" outline="0" collapsedLevelsAreSubtotals="1" fieldPosition="0"/>
    </format>
    <format action="formatting" dxfId="38">
      <pivotArea field="0" type="button" dataOnly="0" labelOnly="1" outline="0" axis="axisRow" fieldPosition="0"/>
    </format>
    <format action="formatting" dxfId="39">
      <pivotArea type="normal" dataOnly="0" labelOnly="1" outline="1" fieldPosition="0">
        <references count="1">
          <reference field="0"/>
        </references>
      </pivotArea>
    </format>
    <format action="formatting" dxfId="40">
      <pivotArea type="normal" dataOnly="0" labelOnly="1" grandRow="1" outline="0" fieldPosition="0"/>
    </format>
    <format action="formatting" dxfId="41">
      <pivotArea type="normal" dataOnly="0" labelOnly="1" outline="0" axis="axisValues" fieldPosition="0"/>
    </format>
    <format action="formatting" dxfId="42">
      <pivotArea type="all" dataOnly="0" outline="0" fieldPosition="0"/>
    </format>
    <format action="formatting" dxfId="43">
      <pivotArea type="normal" dataOnly="1" outline="0" collapsedLevelsAreSubtotals="1" fieldPosition="0"/>
    </format>
    <format action="formatting" dxfId="44">
      <pivotArea field="0" type="button" dataOnly="0" labelOnly="1" outline="0" axis="axisRow" fieldPosition="0"/>
    </format>
    <format action="formatting" dxfId="45">
      <pivotArea type="normal" dataOnly="0" labelOnly="1" outline="1" fieldPosition="0">
        <references count="1">
          <reference field="0"/>
        </references>
      </pivotArea>
    </format>
    <format action="formatting" dxfId="46">
      <pivotArea type="normal" dataOnly="0" labelOnly="1" grandRow="1" outline="0" fieldPosition="0"/>
    </format>
    <format action="formatting" dxfId="47">
      <pivotArea type="normal" dataOnly="0" labelOnly="1" outline="0" axis="axisValues" fieldPosition="0"/>
    </format>
  </format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tables/table1.xml><?xml version="1.0" encoding="utf-8"?>
<table xmlns="http://schemas.openxmlformats.org/spreadsheetml/2006/main" id="1" name="Daily" displayName="Daily" ref="G4:K48" headerRowCount="1" totalsRowCount="1" headerRowDxfId="23">
  <autoFilter ref="G4:K47">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Type" totalsRowLabel="Total"/>
    <tableColumn id="2" name="Description"/>
    <tableColumn id="3" name="Daily" totalsRowFunction="custom">
      <totalsRowFormula>SUMIF(Daily[Type],"Income",Daily[Daily])-SUMIF(Daily[Type],"&lt;&gt;Income",Daily[Daily])</totalsRowFormula>
    </tableColumn>
    <tableColumn id="14" name="Monthly" totalsRowFunction="custom">
      <calculatedColumnFormula>Daily[[#This Row],[Annual]]/12</calculatedColumnFormula>
      <totalsRowFormula>SUMIF(Daily[Type],"Income",Daily[Monthly])-SUMIF(Daily[Type],"&lt;&gt;Income",Daily[Monthly])</totalsRowFormula>
    </tableColumn>
    <tableColumn id="15" name="Annual" totalsRowFunction="custom">
      <calculatedColumnFormula>Daily[[#This Row],[Daily]]*365</calculatedColumnFormula>
      <totalsRowFormula>SUMIF(Daily[Type],"Income",Daily[Annual])-SUMIF(Daily[Type],"&lt;&gt;Income",Daily[Annual])</totalsRowFormula>
    </tableColumn>
  </tableColumns>
  <tableStyleInfo name="Daily Summary" showFirstColumn="0" showLastColumn="0" showRowStripes="0" showColumnStripes="0"/>
</table>
</file>

<file path=xl/tables/table2.xml><?xml version="1.0" encoding="utf-8"?>
<table xmlns="http://schemas.openxmlformats.org/spreadsheetml/2006/main" id="2" name="Table2" displayName="Table2" ref="B4:E8" headerRowCount="1" totalsRowShown="0" headerRowDxfId="22">
  <autoFilter ref="B4:E8">
    <filterColumn colId="0" hiddenButton="1" showButton="1"/>
    <filterColumn colId="1" hiddenButton="1" showButton="1"/>
    <filterColumn colId="2" hiddenButton="1" showButton="1"/>
    <filterColumn colId="3" hiddenButton="1" showButton="1"/>
  </autoFilter>
  <tableColumns count="4">
    <tableColumn id="1" name="Totals"/>
    <tableColumn id="3" name="Daily">
      <calculatedColumnFormula>SUMIF(Daily[Type],$B5,Daily[Daily])</calculatedColumnFormula>
    </tableColumn>
    <tableColumn id="4" name="Monthly">
      <calculatedColumnFormula>SUMIF(Daily[Type],$B5,Daily[Monthly])</calculatedColumnFormula>
    </tableColumn>
    <tableColumn id="5" name="Annual ">
      <calculatedColumnFormula>SUMIF(Daily[Type],$B5,Daily[Annual])</calculatedColumnFormula>
    </tableColumn>
  </tableColumns>
  <tableStyleInfo name="Daily Summary" showFirstColumn="0" showLastColumn="0" showRowStripes="0" showColumnStripes="0"/>
</table>
</file>

<file path=xl/tables/table3.xml><?xml version="1.0" encoding="utf-8"?>
<table xmlns="http://schemas.openxmlformats.org/spreadsheetml/2006/main" id="3" name="Monthly" displayName="Monthly" ref="B3:P47" headerRowCount="1" totalsRowCount="1" headerRowDxfId="21">
  <autoFilter ref="B3:P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Type" totalsRowLabel="Total" totalsRowDxfId="20"/>
    <tableColumn id="2" name="Descriptions" totalsRowDxfId="19"/>
    <tableColumn id="3" name="Jan" totalsRowFunction="custom" totalsRowDxfId="18">
      <totalsRowFormula>SUMIF(Monthly[Type],"Income",Monthly[Jan])-SUMIF(Monthly[Type],"&lt;&gt;Income",Monthly[Jan])</totalsRowFormula>
    </tableColumn>
    <tableColumn id="4" name="Feb" totalsRowFunction="custom" totalsRowDxfId="17">
      <totalsRowFormula>SUMIF(Monthly[Type],"Income",Monthly[Feb])-SUMIF(Monthly[Type],"&lt;&gt;Income",Monthly[Feb])</totalsRowFormula>
    </tableColumn>
    <tableColumn id="5" name="Mar" totalsRowFunction="custom" totalsRowDxfId="16">
      <totalsRowFormula>SUMIF(Monthly[Type],"Income",Monthly[Mar])-SUMIF(Monthly[Type],"&lt;&gt;Income",Monthly[Mar])</totalsRowFormula>
    </tableColumn>
    <tableColumn id="6" name="Apr" totalsRowFunction="custom" totalsRowDxfId="15">
      <totalsRowFormula>SUMIF(Monthly[Type],"Income",Monthly[Apr])-SUMIF(Monthly[Type],"&lt;&gt;Income",Monthly[Apr])</totalsRowFormula>
    </tableColumn>
    <tableColumn id="7" name="May" totalsRowFunction="custom" totalsRowDxfId="14">
      <totalsRowFormula>SUMIF(Monthly[Type],"Income",Monthly[May])-SUMIF(Monthly[Type],"&lt;&gt;Income",Monthly[May])</totalsRowFormula>
    </tableColumn>
    <tableColumn id="8" name="Jun" totalsRowFunction="custom" totalsRowDxfId="13">
      <totalsRowFormula>SUMIF(Monthly[Type],"Income",Monthly[Jun])-SUMIF(Monthly[Type],"&lt;&gt;Income",Monthly[Jun])</totalsRowFormula>
    </tableColumn>
    <tableColumn id="9" name="Jul" totalsRowFunction="custom" totalsRowDxfId="12">
      <totalsRowFormula>SUMIF(Monthly[Type],"Income",Monthly[Jul])-SUMIF(Monthly[Type],"&lt;&gt;Income",Monthly[Jul])</totalsRowFormula>
    </tableColumn>
    <tableColumn id="10" name="Aug" totalsRowFunction="custom" totalsRowDxfId="11">
      <totalsRowFormula>SUMIF(Monthly[Type],"Income",Monthly[Aug])-SUMIF(Monthly[Type],"&lt;&gt;Income",Monthly[Aug])</totalsRowFormula>
    </tableColumn>
    <tableColumn id="11" name="Sep" totalsRowFunction="custom" totalsRowDxfId="10">
      <totalsRowFormula>SUMIF(Monthly[Type],"Income",Monthly[Sep])-SUMIF(Monthly[Type],"&lt;&gt;Income",Monthly[Sep])</totalsRowFormula>
    </tableColumn>
    <tableColumn id="12" name="Oct" totalsRowFunction="custom" totalsRowDxfId="9">
      <totalsRowFormula>SUMIF(Monthly[Type],"Income",Monthly[Oct])-SUMIF(Monthly[Type],"&lt;&gt;Income",Monthly[Oct])</totalsRowFormula>
    </tableColumn>
    <tableColumn id="13" name="Nov" totalsRowFunction="custom" totalsRowDxfId="8">
      <totalsRowFormula>SUMIF(Monthly[Type],"Income",Monthly[Nov])-SUMIF(Monthly[Type],"&lt;&gt;Income",Monthly[Nov])</totalsRowFormula>
    </tableColumn>
    <tableColumn id="14" name="Dec" totalsRowFunction="custom" totalsRowDxfId="7">
      <totalsRowFormula>SUMIF(Monthly[Type],"Income",Monthly[Dec])-SUMIF(Monthly[Type],"&lt;&gt;Income",Monthly[Dec])</totalsRowFormula>
    </tableColumn>
    <tableColumn id="15" name="Total" totalsRowFunction="custom" totalsRowDxfId="6">
      <calculatedColumnFormula>SUM(Monthly[[#This Row],[Jan]:[Dec]])</calculatedColumnFormula>
      <totalsRowFormula>SUMIF(Monthly[Type],"Income",Monthly[Total])-SUMIF(Monthly[Type],"&lt;&gt;Income",Monthly[Total])</totalsRowFormula>
    </tableColumn>
  </tableColumns>
  <tableStyleInfo name="Daily Summary" showFirstColumn="0" showLastColumn="0" showRowStripes="1" showColumnStripes="0"/>
</table>
</file>

<file path=xl/tables/table4.xml><?xml version="1.0" encoding="utf-8"?>
<table xmlns="http://schemas.openxmlformats.org/spreadsheetml/2006/main" id="4" name="Income" displayName="Income" ref="B3:D10" headerRowCount="1" totalsRowCount="1">
  <tableColumns count="3">
    <tableColumn id="1" name="Income" totalsRowLabel="Total" totalsRowDxfId="5"/>
    <tableColumn id="2" name="Annual" totalsRowFunction="sum" totalsRowDxfId="4"/>
    <tableColumn id="3" name="Monthly" totalsRowFunction="sum" totalsRowDxfId="3">
      <calculatedColumnFormula>Income[[#This Row],[Annual]]/12</calculatedColumnFormula>
    </tableColumn>
  </tableColumns>
  <tableStyleInfo name="Daily Summary" showFirstColumn="1" showLastColumn="1" showRowStripes="0" showColumnStripes="0"/>
</table>
</file>

<file path=xl/tables/table5.xml><?xml version="1.0" encoding="utf-8"?>
<table xmlns="http://schemas.openxmlformats.org/spreadsheetml/2006/main" id="5" name="Expenses" displayName="Expenses" ref="B3:D22" headerRowCount="1" totalsRowCount="1" headerRowDxfId="2">
  <tableColumns count="3">
    <tableColumn id="1" name="Expenses" totalsRowLabel="Total"/>
    <tableColumn id="2" name="Annual" totalsRowFunction="sum"/>
    <tableColumn id="3" name="Monthly" totalsRowFunction="sum">
      <calculatedColumnFormula>Expenses[[#This Row],[Annual]]/12</calculatedColumnFormula>
    </tableColumn>
  </tableColumns>
  <tableStyleInfo name="Daily Summary" showFirstColumn="1" showLastColumn="1" showRowStripes="0" showColumnStripes="0"/>
</table>
</file>

<file path=xl/tables/table6.xml><?xml version="1.0" encoding="utf-8"?>
<table xmlns="http://schemas.openxmlformats.org/spreadsheetml/2006/main" id="6" name="Discretionary" displayName="Discretionary" ref="B3:D15" headerRowCount="1" totalsRowCount="1" headerRowDxfId="1">
  <tableColumns count="3">
    <tableColumn id="1" name="Expenses" totalsRowLabel="Total"/>
    <tableColumn id="2" name="Annual" totalsRowFunction="sum"/>
    <tableColumn id="3" name="Monthly" totalsRowFunction="sum">
      <calculatedColumnFormula>Discretionary[[#This Row],[Annual]]/12</calculatedColumnFormula>
    </tableColumn>
  </tableColumns>
  <tableStyleInfo name="Daily Summary" showFirstColumn="1" showLastColumn="1" showRowStripes="0" showColumnStripes="0"/>
</table>
</file>

<file path=xl/tables/table7.xml><?xml version="1.0" encoding="utf-8"?>
<table xmlns="http://schemas.openxmlformats.org/spreadsheetml/2006/main" id="7" name="Savings" displayName="Savings" ref="B3:D9" headerRowCount="1" totalsRowCount="1" headerRowDxfId="0">
  <tableColumns count="3">
    <tableColumn id="1" name="Savings" totalsRowLabel="Total"/>
    <tableColumn id="2" name="Annual" totalsRowFunction="sum"/>
    <tableColumn id="3" name="Monthly" totalsRowFunction="sum">
      <calculatedColumnFormula>Savings[[#This Row],[Annual]]/12</calculatedColumnFormula>
    </tableColumn>
  </tableColumns>
  <tableStyleInfo name="Daily Summary" showFirstColumn="0" showLastColumn="0" showRowStripes="0" showColumnStripes="0"/>
</table>
</file>

<file path=xl/theme/theme1.xml><?xml version="1.0" encoding="utf-8"?>
<a:theme xmlns:a="http://schemas.openxmlformats.org/drawingml/2006/main" name="Office Theme">
  <a:themeElements>
    <a:clrScheme name="Blue-Purple-Green">
      <a:dk1>
        <a:srgbClr val="000000"/>
      </a:dk1>
      <a:lt1>
        <a:srgbClr val="FFFFFF"/>
      </a:lt1>
      <a:dk2>
        <a:srgbClr val="44546A"/>
      </a:dk2>
      <a:lt2>
        <a:srgbClr val="E7E6E6"/>
      </a:lt2>
      <a:accent1>
        <a:srgbClr val="3234F4"/>
      </a:accent1>
      <a:accent2>
        <a:srgbClr val="D4A8F3"/>
      </a:accent2>
      <a:accent3>
        <a:srgbClr val="D0E582"/>
      </a:accent3>
      <a:accent4>
        <a:srgbClr val="F0E2CF"/>
      </a:accent4>
      <a:accent5>
        <a:srgbClr val="E8E7ED"/>
      </a:accent5>
      <a:accent6>
        <a:srgbClr val="005D3D"/>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codeName="Sheet1">
    <tabColor theme="6"/>
    <outlinePr summaryBelow="1" summaryRight="1"/>
    <pageSetUpPr autoPageBreaks="0" fitToPage="1"/>
  </sheetPr>
  <dimension ref="A1:X35"/>
  <sheetViews>
    <sheetView showGridLines="0" tabSelected="1" zoomScaleNormal="100" workbookViewId="0">
      <selection activeCell="A1" sqref="A1"/>
    </sheetView>
  </sheetViews>
  <sheetFormatPr baseColWidth="8" defaultColWidth="8.875" defaultRowHeight="13.9"/>
  <cols>
    <col width="2.75" customWidth="1" style="3" min="1" max="1"/>
    <col width="30.75" customWidth="1" style="3" min="2" max="4"/>
    <col width="10.75" customWidth="1" style="3" min="5" max="15"/>
    <col width="2.75" customWidth="1" style="3" min="16" max="16"/>
    <col width="8.875" customWidth="1" style="3" min="17" max="16384"/>
  </cols>
  <sheetData>
    <row r="1" ht="70.15000000000001" customFormat="1" customHeight="1" s="8">
      <c r="A1" s="1" t="n"/>
      <c r="B1" s="89" t="inlineStr">
        <is>
          <t>PERSONAL CASH FLOW</t>
        </is>
      </c>
      <c r="E1" s="1" t="n"/>
      <c r="F1" s="1" t="n"/>
      <c r="G1" s="1" t="n"/>
      <c r="H1" s="1" t="n"/>
      <c r="I1" s="1" t="n"/>
      <c r="J1" s="1" t="n"/>
      <c r="K1" s="1" t="n"/>
      <c r="L1" s="1" t="n"/>
      <c r="M1" s="1" t="n"/>
      <c r="N1" s="1" t="n"/>
      <c r="O1" s="1" t="n"/>
    </row>
    <row r="2" ht="70.15000000000001" customFormat="1" customHeight="1" s="2" thickBot="1">
      <c r="A2" s="5" t="n"/>
      <c r="B2" s="90" t="inlineStr">
        <is>
          <t>This workbook has annual, monthly and daily cash flow worksheets. Choose the cash flow type that works best for you or use them all to help gain insight on your personal cash flow.</t>
        </is>
      </c>
      <c r="C2" s="105" t="n"/>
      <c r="D2" s="105" t="n"/>
      <c r="E2" s="9" t="n"/>
      <c r="F2" s="9" t="n"/>
      <c r="G2" s="9" t="n"/>
      <c r="H2" s="9" t="n"/>
      <c r="I2" s="9" t="n"/>
      <c r="J2" s="9" t="n"/>
      <c r="K2" s="9" t="n"/>
      <c r="L2" s="9" t="n"/>
      <c r="M2" s="5" t="n"/>
      <c r="N2" s="5" t="n"/>
      <c r="O2" s="5" t="n"/>
      <c r="P2" s="5" t="n"/>
      <c r="Q2" s="5" t="n"/>
      <c r="R2" s="5" t="n"/>
      <c r="S2" s="5" t="n"/>
      <c r="T2" s="5" t="n"/>
      <c r="U2" s="5" t="n"/>
      <c r="V2" s="5" t="n"/>
      <c r="W2" s="5" t="n"/>
      <c r="X2" s="5" t="n"/>
    </row>
    <row r="3" ht="45" customFormat="1" customHeight="1" s="65" thickBot="1" thickTop="1">
      <c r="A3" s="63" t="n"/>
      <c r="B3" s="40" t="inlineStr">
        <is>
          <t>Daily cash flow</t>
        </is>
      </c>
      <c r="C3" s="46" t="inlineStr">
        <is>
          <t>Monthly cash flow</t>
        </is>
      </c>
      <c r="D3" s="46" t="inlineStr">
        <is>
          <t>Annual cash flow</t>
        </is>
      </c>
      <c r="E3" s="64" t="n"/>
      <c r="F3" s="64" t="n"/>
      <c r="G3" s="64" t="n"/>
      <c r="H3" s="64" t="n"/>
      <c r="I3" s="64" t="n"/>
      <c r="J3" s="64" t="n"/>
      <c r="K3" s="64" t="n"/>
      <c r="L3" s="64" t="n"/>
      <c r="M3" s="63" t="n"/>
      <c r="N3" s="63" t="n"/>
      <c r="O3" s="63" t="n"/>
      <c r="P3" s="63" t="n"/>
      <c r="Q3" s="63" t="n"/>
      <c r="R3" s="63" t="n"/>
      <c r="S3" s="63" t="n"/>
      <c r="T3" s="63" t="n"/>
      <c r="U3" s="63" t="n"/>
      <c r="V3" s="63" t="n"/>
      <c r="W3" s="63" t="n"/>
      <c r="X3" s="63" t="n"/>
    </row>
    <row r="4" ht="19.9" customFormat="1" customHeight="1" s="47" thickTop="1">
      <c r="A4" s="45" t="n"/>
      <c r="B4" s="48" t="n"/>
      <c r="C4" s="49" t="n"/>
      <c r="D4" s="49" t="n"/>
      <c r="E4" s="45" t="n"/>
      <c r="F4" s="45" t="n"/>
      <c r="G4" s="45" t="n"/>
      <c r="H4" s="45" t="n"/>
      <c r="I4" s="45" t="n"/>
      <c r="J4" s="45" t="n"/>
      <c r="K4" s="45" t="n"/>
      <c r="L4" s="45" t="n"/>
      <c r="M4" s="45" t="n"/>
      <c r="N4" s="45" t="n"/>
      <c r="O4" s="45" t="n"/>
      <c r="P4" s="45" t="n"/>
      <c r="Q4" s="45" t="n"/>
      <c r="R4" s="45" t="n"/>
      <c r="S4" s="45" t="n"/>
      <c r="T4" s="45" t="n"/>
      <c r="U4" s="45" t="n"/>
      <c r="V4" s="45" t="n"/>
      <c r="W4" s="45" t="n"/>
      <c r="X4" s="45" t="n"/>
    </row>
    <row r="5" ht="127.9" customFormat="1" customHeight="1" s="4">
      <c r="A5" s="104" t="n"/>
      <c r="B5" s="50" t="inlineStr">
        <is>
          <t>Enter an estimated amount of cash flow you experience daily and review the estimated monthly and annual totals.  Use this to get a sense of what your daily spending habits will look like over the course of a month or year.</t>
        </is>
      </c>
      <c r="C5" s="51" t="inlineStr">
        <is>
          <t>Enter the monthly cash flow you experience or estimate the remaining months to see the projected cash flow for the year for each month.</t>
        </is>
      </c>
      <c r="D5" s="51" t="inlineStr">
        <is>
          <t>Enter an annual cash flow amount in four worksheets: Income, Expenses, Discretionary, and Savings. 
See the monthly break down and how everything compares, and most importantly what your bottom line is in both annual and monthly figures.</t>
        </is>
      </c>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row>
  </sheetData>
  <mergeCells count="2">
    <mergeCell ref="B1:D1"/>
    <mergeCell ref="B2:D2"/>
  </mergeCells>
  <dataValidations count="1">
    <dataValidation sqref="A1" showDropDown="0" showInputMessage="1" showErrorMessage="1" allowBlank="1" prompt="Review details of the workbook on this sheet._x000a__x000a_Information about Daily cash flow, monthly cash flow, and annual cash flow can be found in cells B5, C5, and D5, respectively."/>
  </dataValidation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5"/>
    <outlinePr summaryBelow="1" summaryRight="1"/>
    <pageSetUpPr autoPageBreaks="0" fitToPage="1"/>
  </sheetPr>
  <dimension ref="A1:K48"/>
  <sheetViews>
    <sheetView showGridLines="0" zoomScaleNormal="100" workbookViewId="0">
      <selection activeCell="A1" sqref="A1"/>
    </sheetView>
  </sheetViews>
  <sheetFormatPr baseColWidth="8" defaultColWidth="16.625" defaultRowHeight="30" customHeight="1"/>
  <cols>
    <col width="2.75" customWidth="1" style="44" min="1" max="1"/>
    <col width="16.75" customWidth="1" style="44" min="2" max="5"/>
    <col width="10.75" customWidth="1" style="44" min="6" max="6"/>
    <col width="16.75" customWidth="1" style="44" min="7" max="7"/>
    <col width="17.875" customWidth="1" style="44" min="8" max="8"/>
    <col width="16.75" customWidth="1" style="44" min="9" max="11"/>
    <col width="2.75" customWidth="1" style="44" min="12" max="12"/>
    <col width="14.75" customWidth="1" style="44" min="13" max="15"/>
    <col width="16.625" customWidth="1" style="44" min="16" max="16384"/>
  </cols>
  <sheetData>
    <row r="1" ht="70.15000000000001" customFormat="1" customHeight="1" s="22">
      <c r="A1" s="21" t="n"/>
      <c r="B1" s="89" t="inlineStr">
        <is>
          <t>DAILY CASH FLOW</t>
        </is>
      </c>
      <c r="C1" s="89" t="n"/>
      <c r="D1" s="89" t="n"/>
      <c r="E1" s="89" t="n"/>
      <c r="F1" s="21" t="inlineStr">
        <is>
          <t>'Monthly Cash Flow'!A1</t>
        </is>
      </c>
      <c r="G1" s="21" t="inlineStr">
        <is>
          <t>'Daily Summary'!A1</t>
        </is>
      </c>
      <c r="H1" s="21" t="inlineStr">
        <is>
          <t>Income!A1</t>
        </is>
      </c>
      <c r="I1" s="21" t="n"/>
      <c r="J1" s="21" t="n"/>
      <c r="K1" s="21" t="n"/>
    </row>
    <row r="2" ht="70.15000000000001" customFormat="1" customHeight="1" s="15" thickBot="1">
      <c r="B2" s="66" t="inlineStr">
        <is>
          <t>Total available cash:</t>
        </is>
      </c>
      <c r="C2" s="66" t="n"/>
      <c r="D2" s="106" t="n"/>
      <c r="F2" s="102" t="n"/>
      <c r="G2" s="90" t="inlineStr">
        <is>
          <t>NOTE: If you wish to add daily items to the table, estimate their monthly amount/value and place value in the appropriate month column.</t>
        </is>
      </c>
      <c r="H2" s="105" t="n"/>
      <c r="I2" s="105" t="n"/>
      <c r="J2" s="105" t="n"/>
      <c r="K2" s="90" t="n"/>
    </row>
    <row r="3" ht="45" customFormat="1" customHeight="1" s="58" thickBot="1" thickTop="1">
      <c r="B3" s="40" t="inlineStr">
        <is>
          <t>Daily summary</t>
        </is>
      </c>
      <c r="C3" s="107" t="n"/>
      <c r="D3" s="108" t="n"/>
      <c r="E3" s="59" t="n"/>
      <c r="F3" s="60" t="n"/>
      <c r="G3" s="61" t="n"/>
      <c r="H3" s="61" t="n"/>
      <c r="I3" s="61" t="n"/>
      <c r="J3" s="61" t="n"/>
      <c r="K3" s="62" t="n"/>
    </row>
    <row r="4" ht="40.15" customFormat="1" customHeight="1" s="58" thickTop="1">
      <c r="B4" s="70" t="inlineStr">
        <is>
          <t>Totals</t>
        </is>
      </c>
      <c r="C4" s="70" t="inlineStr">
        <is>
          <t>Daily</t>
        </is>
      </c>
      <c r="D4" s="70" t="inlineStr">
        <is>
          <t>Monthly</t>
        </is>
      </c>
      <c r="E4" s="70" t="inlineStr">
        <is>
          <t xml:space="preserve">Annual </t>
        </is>
      </c>
      <c r="G4" s="70" t="inlineStr">
        <is>
          <t>Type</t>
        </is>
      </c>
      <c r="H4" s="70" t="inlineStr">
        <is>
          <t>Description</t>
        </is>
      </c>
      <c r="I4" s="70" t="inlineStr">
        <is>
          <t>Daily</t>
        </is>
      </c>
      <c r="J4" s="70" t="inlineStr">
        <is>
          <t>Monthly</t>
        </is>
      </c>
      <c r="K4" s="70" t="inlineStr">
        <is>
          <t>Annual</t>
        </is>
      </c>
    </row>
    <row r="5" ht="40.15" customFormat="1" customHeight="1" s="15">
      <c r="B5" s="72" t="inlineStr">
        <is>
          <t>Income</t>
        </is>
      </c>
      <c r="C5" s="109" t="n"/>
      <c r="D5" s="109" t="n"/>
      <c r="E5" s="109" t="n"/>
      <c r="G5" s="72" t="inlineStr">
        <is>
          <t>Income</t>
        </is>
      </c>
      <c r="H5" s="72" t="inlineStr">
        <is>
          <t>Salary</t>
        </is>
      </c>
      <c r="I5" s="110" t="n">
        <v>246.58</v>
      </c>
      <c r="J5" s="110" t="n"/>
      <c r="K5" s="110" t="n"/>
    </row>
    <row r="6" ht="40.15" customFormat="1" customHeight="1" s="15">
      <c r="B6" s="72" t="inlineStr">
        <is>
          <t>Expenses</t>
        </is>
      </c>
      <c r="C6" s="109" t="n"/>
      <c r="D6" s="109" t="n"/>
      <c r="E6" s="109" t="n"/>
      <c r="G6" s="72" t="inlineStr">
        <is>
          <t>Income</t>
        </is>
      </c>
      <c r="H6" s="72" t="inlineStr">
        <is>
          <t>Commissions/bonus</t>
        </is>
      </c>
      <c r="I6" s="110" t="n">
        <v>13.7</v>
      </c>
      <c r="J6" s="110" t="n"/>
      <c r="K6" s="110" t="n"/>
    </row>
    <row r="7" ht="40.15" customFormat="1" customHeight="1" s="15">
      <c r="B7" s="72" t="inlineStr">
        <is>
          <t>Discretionary</t>
        </is>
      </c>
      <c r="C7" s="109" t="n"/>
      <c r="D7" s="109" t="n"/>
      <c r="E7" s="109" t="n"/>
      <c r="G7" s="72" t="inlineStr">
        <is>
          <t>Income</t>
        </is>
      </c>
      <c r="H7" s="72" t="inlineStr">
        <is>
          <t>Other 1</t>
        </is>
      </c>
      <c r="I7" s="110" t="n">
        <v>82.19</v>
      </c>
      <c r="J7" s="110" t="n"/>
      <c r="K7" s="110" t="n"/>
    </row>
    <row r="8" ht="40.15" customFormat="1" customHeight="1" s="15">
      <c r="B8" s="72" t="inlineStr">
        <is>
          <t>Savings</t>
        </is>
      </c>
      <c r="C8" s="109" t="n"/>
      <c r="D8" s="109" t="n"/>
      <c r="E8" s="109" t="n"/>
      <c r="G8" s="72" t="inlineStr">
        <is>
          <t>Income</t>
        </is>
      </c>
      <c r="H8" s="72" t="inlineStr">
        <is>
          <t>Other 2</t>
        </is>
      </c>
      <c r="I8" s="110" t="n">
        <v>0</v>
      </c>
      <c r="J8" s="110" t="n"/>
      <c r="K8" s="110" t="n"/>
    </row>
    <row r="9" ht="40.15" customFormat="1" customHeight="1" s="15">
      <c r="B9" s="25" t="n"/>
      <c r="C9" s="111" t="n"/>
      <c r="D9" s="111" t="n"/>
      <c r="E9" s="23" t="n"/>
      <c r="F9" s="24" t="n"/>
      <c r="G9" s="72" t="inlineStr">
        <is>
          <t>Income</t>
        </is>
      </c>
      <c r="H9" s="72" t="inlineStr">
        <is>
          <t>Other 3</t>
        </is>
      </c>
      <c r="I9" s="110" t="n">
        <v>0</v>
      </c>
      <c r="J9" s="110" t="n"/>
      <c r="K9" s="110" t="n"/>
    </row>
    <row r="10" ht="40.15" customFormat="1" customHeight="1" s="15">
      <c r="G10" s="72" t="inlineStr">
        <is>
          <t>Income</t>
        </is>
      </c>
      <c r="H10" s="72" t="inlineStr">
        <is>
          <t>Other 4</t>
        </is>
      </c>
      <c r="I10" s="110" t="n">
        <v>0</v>
      </c>
      <c r="J10" s="110" t="n"/>
      <c r="K10" s="110" t="n"/>
    </row>
    <row r="11" ht="40.15" customHeight="1" s="112">
      <c r="G11" s="72" t="inlineStr">
        <is>
          <t>Expenses</t>
        </is>
      </c>
      <c r="H11" s="72" t="inlineStr">
        <is>
          <t>Federal/SS/Medicare</t>
        </is>
      </c>
      <c r="I11" s="110" t="n">
        <v>41.1</v>
      </c>
      <c r="J11" s="110" t="n"/>
      <c r="K11" s="110" t="n"/>
    </row>
    <row r="12" ht="40.15" customHeight="1" s="112">
      <c r="G12" s="72" t="inlineStr">
        <is>
          <t>Expenses</t>
        </is>
      </c>
      <c r="H12" s="72" t="inlineStr">
        <is>
          <t>State income tax</t>
        </is>
      </c>
      <c r="I12" s="110" t="n">
        <v>6.85</v>
      </c>
      <c r="J12" s="110" t="n"/>
      <c r="K12" s="110" t="n"/>
    </row>
    <row r="13" ht="40.15" customHeight="1" s="112">
      <c r="G13" s="72" t="inlineStr">
        <is>
          <t>Expenses</t>
        </is>
      </c>
      <c r="H13" s="72" t="inlineStr">
        <is>
          <t>Vehicle tax/fees</t>
        </is>
      </c>
      <c r="I13" s="110" t="n">
        <v>0.55</v>
      </c>
      <c r="J13" s="110" t="n"/>
      <c r="K13" s="110" t="n"/>
    </row>
    <row r="14" ht="40.15" customHeight="1" s="112">
      <c r="G14" s="72" t="inlineStr">
        <is>
          <t>Expenses</t>
        </is>
      </c>
      <c r="H14" s="72" t="inlineStr">
        <is>
          <t>Vehicle payments</t>
        </is>
      </c>
      <c r="I14" s="110" t="n">
        <v>10.96</v>
      </c>
      <c r="J14" s="110" t="n"/>
      <c r="K14" s="110" t="n"/>
    </row>
    <row r="15" ht="40.15" customHeight="1" s="112">
      <c r="G15" s="72" t="inlineStr">
        <is>
          <t>Expenses</t>
        </is>
      </c>
      <c r="H15" s="72" t="inlineStr">
        <is>
          <t>Mortgage/rent</t>
        </is>
      </c>
      <c r="I15" s="110" t="n">
        <v>41.1</v>
      </c>
      <c r="J15" s="110" t="n"/>
      <c r="K15" s="110" t="n"/>
    </row>
    <row r="16" ht="40.15" customHeight="1" s="112">
      <c r="G16" s="72" t="inlineStr">
        <is>
          <t>Expenses</t>
        </is>
      </c>
      <c r="H16" s="72" t="inlineStr">
        <is>
          <t>Insurance</t>
        </is>
      </c>
      <c r="I16" s="110" t="n">
        <v>0.68</v>
      </c>
      <c r="J16" s="110" t="n"/>
      <c r="K16" s="110" t="n"/>
    </row>
    <row r="17" ht="40.15" customHeight="1" s="112">
      <c r="G17" s="72" t="inlineStr">
        <is>
          <t>Expenses</t>
        </is>
      </c>
      <c r="H17" s="72" t="inlineStr">
        <is>
          <t>Electricity</t>
        </is>
      </c>
      <c r="I17" s="110" t="n">
        <v>3.29</v>
      </c>
      <c r="J17" s="110" t="n"/>
      <c r="K17" s="110" t="n"/>
    </row>
    <row r="18" ht="40.15" customHeight="1" s="112">
      <c r="G18" s="72" t="inlineStr">
        <is>
          <t>Expenses</t>
        </is>
      </c>
      <c r="H18" s="72" t="inlineStr">
        <is>
          <t>Gas</t>
        </is>
      </c>
      <c r="I18" s="110" t="n">
        <v>1.64</v>
      </c>
      <c r="J18" s="110" t="n"/>
      <c r="K18" s="110" t="n"/>
    </row>
    <row r="19" ht="40.15" customHeight="1" s="112">
      <c r="G19" s="72" t="inlineStr">
        <is>
          <t>Expenses</t>
        </is>
      </c>
      <c r="H19" s="72" t="inlineStr">
        <is>
          <t>Water</t>
        </is>
      </c>
      <c r="I19" s="110" t="n">
        <v>1.64</v>
      </c>
      <c r="J19" s="110" t="n"/>
      <c r="K19" s="110" t="n"/>
    </row>
    <row r="20" ht="40.15" customHeight="1" s="112">
      <c r="G20" s="72" t="inlineStr">
        <is>
          <t>Expenses</t>
        </is>
      </c>
      <c r="H20" s="72" t="inlineStr">
        <is>
          <t>Sewer</t>
        </is>
      </c>
      <c r="I20" s="110" t="n">
        <v>0.82</v>
      </c>
      <c r="J20" s="110" t="n"/>
      <c r="K20" s="110" t="n"/>
    </row>
    <row r="21" ht="40.15" customHeight="1" s="112">
      <c r="G21" s="72" t="inlineStr">
        <is>
          <t>Expenses</t>
        </is>
      </c>
      <c r="H21" s="72" t="inlineStr">
        <is>
          <t>Garbage</t>
        </is>
      </c>
      <c r="I21" s="110" t="n">
        <v>0.41</v>
      </c>
      <c r="J21" s="110" t="n"/>
      <c r="K21" s="110" t="n"/>
    </row>
    <row r="22" ht="40.15" customHeight="1" s="112">
      <c r="G22" s="72" t="inlineStr">
        <is>
          <t>Expenses</t>
        </is>
      </c>
      <c r="H22" s="72" t="inlineStr">
        <is>
          <t>Phone</t>
        </is>
      </c>
      <c r="I22" s="110" t="n">
        <v>1.64</v>
      </c>
      <c r="J22" s="110" t="n"/>
      <c r="K22" s="110" t="n"/>
    </row>
    <row r="23" ht="40.15" customHeight="1" s="112">
      <c r="G23" s="72" t="inlineStr">
        <is>
          <t>Expenses</t>
        </is>
      </c>
      <c r="H23" s="72" t="inlineStr">
        <is>
          <t>Internet</t>
        </is>
      </c>
      <c r="I23" s="110" t="n">
        <v>1.64</v>
      </c>
      <c r="J23" s="110" t="n"/>
      <c r="K23" s="110" t="n"/>
    </row>
    <row r="24" ht="40.15" customHeight="1" s="112">
      <c r="G24" s="72" t="inlineStr">
        <is>
          <t>Expenses</t>
        </is>
      </c>
      <c r="H24" s="72" t="inlineStr">
        <is>
          <t>Disability premiums</t>
        </is>
      </c>
      <c r="I24" s="110" t="n">
        <v>4.11</v>
      </c>
      <c r="J24" s="110" t="n"/>
      <c r="K24" s="110" t="n"/>
    </row>
    <row r="25" ht="40.15" customHeight="1" s="112">
      <c r="G25" s="72" t="inlineStr">
        <is>
          <t>Expenses</t>
        </is>
      </c>
      <c r="H25" s="72" t="inlineStr">
        <is>
          <t>Food</t>
        </is>
      </c>
      <c r="I25" s="110" t="n">
        <v>13.7</v>
      </c>
      <c r="J25" s="110" t="n"/>
      <c r="K25" s="110" t="n"/>
    </row>
    <row r="26" ht="40.15" customHeight="1" s="112">
      <c r="G26" s="72" t="inlineStr">
        <is>
          <t>Expenses</t>
        </is>
      </c>
      <c r="H26" s="72" t="inlineStr">
        <is>
          <t>Clothing</t>
        </is>
      </c>
      <c r="I26" s="110" t="n">
        <v>3.29</v>
      </c>
      <c r="J26" s="110" t="n"/>
      <c r="K26" s="110" t="n"/>
    </row>
    <row r="27" ht="40.15" customHeight="1" s="112">
      <c r="G27" s="72" t="inlineStr">
        <is>
          <t>Expenses</t>
        </is>
      </c>
      <c r="H27" s="72" t="inlineStr">
        <is>
          <t>Medical/dental/Rx</t>
        </is>
      </c>
      <c r="I27" s="110" t="n">
        <v>1.64</v>
      </c>
      <c r="J27" s="110" t="n"/>
      <c r="K27" s="110" t="n"/>
    </row>
    <row r="28" ht="40.15" customHeight="1" s="112">
      <c r="G28" s="72" t="inlineStr">
        <is>
          <t>Expenses</t>
        </is>
      </c>
      <c r="H28" s="72" t="inlineStr">
        <is>
          <t>Bus</t>
        </is>
      </c>
      <c r="I28" s="110" t="n">
        <v>1</v>
      </c>
      <c r="J28" s="110" t="n"/>
      <c r="K28" s="110" t="n"/>
    </row>
    <row r="29" ht="40.15" customHeight="1" s="112">
      <c r="G29" s="72" t="inlineStr">
        <is>
          <t>Expenses</t>
        </is>
      </c>
      <c r="H29" s="72" t="inlineStr">
        <is>
          <t>Other 2</t>
        </is>
      </c>
      <c r="I29" s="110" t="n">
        <v>0</v>
      </c>
      <c r="J29" s="110" t="n"/>
      <c r="K29" s="110" t="n"/>
    </row>
    <row r="30" ht="40.15" customHeight="1" s="112">
      <c r="G30" s="72" t="inlineStr">
        <is>
          <t>Expenses</t>
        </is>
      </c>
      <c r="H30" s="72" t="inlineStr">
        <is>
          <t>Other 3</t>
        </is>
      </c>
      <c r="I30" s="110" t="n">
        <v>0</v>
      </c>
      <c r="J30" s="110" t="n"/>
      <c r="K30" s="110" t="n"/>
    </row>
    <row r="31" ht="40.15" customHeight="1" s="112">
      <c r="G31" s="72" t="inlineStr">
        <is>
          <t>Expenses</t>
        </is>
      </c>
      <c r="H31" s="72" t="inlineStr">
        <is>
          <t>Other 4</t>
        </is>
      </c>
      <c r="I31" s="110" t="n">
        <v>0</v>
      </c>
      <c r="J31" s="110" t="n"/>
      <c r="K31" s="110" t="n"/>
    </row>
    <row r="32" ht="40.15" customHeight="1" s="112">
      <c r="G32" s="72" t="inlineStr">
        <is>
          <t>Discretionary</t>
        </is>
      </c>
      <c r="H32" s="72" t="inlineStr">
        <is>
          <t>Dining</t>
        </is>
      </c>
      <c r="I32" s="110" t="n">
        <v>3.29</v>
      </c>
      <c r="J32" s="110" t="n"/>
      <c r="K32" s="110" t="n"/>
    </row>
    <row r="33" ht="40.15" customHeight="1" s="112">
      <c r="G33" s="72" t="inlineStr">
        <is>
          <t>Discretionary</t>
        </is>
      </c>
      <c r="H33" s="72" t="inlineStr">
        <is>
          <t>Gifts</t>
        </is>
      </c>
      <c r="I33" s="110" t="n">
        <v>1.64</v>
      </c>
      <c r="J33" s="110" t="n"/>
      <c r="K33" s="110" t="n"/>
    </row>
    <row r="34" ht="40.15" customHeight="1" s="112">
      <c r="G34" s="72" t="inlineStr">
        <is>
          <t>Discretionary</t>
        </is>
      </c>
      <c r="H34" s="72" t="inlineStr">
        <is>
          <t>Travel</t>
        </is>
      </c>
      <c r="I34" s="110" t="n">
        <v>6.16</v>
      </c>
      <c r="J34" s="110" t="n"/>
      <c r="K34" s="110" t="n"/>
    </row>
    <row r="35" ht="40.15" customHeight="1" s="112">
      <c r="G35" s="72" t="inlineStr">
        <is>
          <t>Discretionary</t>
        </is>
      </c>
      <c r="H35" s="72" t="inlineStr">
        <is>
          <t>Entertainment</t>
        </is>
      </c>
      <c r="I35" s="110" t="n">
        <v>3.29</v>
      </c>
      <c r="J35" s="110" t="n"/>
      <c r="K35" s="110" t="n"/>
    </row>
    <row r="36" ht="40.15" customHeight="1" s="112">
      <c r="G36" s="72" t="inlineStr">
        <is>
          <t>Discretionary</t>
        </is>
      </c>
      <c r="H36" s="72" t="inlineStr">
        <is>
          <t>Personal care</t>
        </is>
      </c>
      <c r="I36" s="110" t="n">
        <v>0.82</v>
      </c>
      <c r="J36" s="110" t="n"/>
      <c r="K36" s="110" t="n"/>
    </row>
    <row r="37" ht="40.15" customHeight="1" s="112">
      <c r="G37" s="72" t="inlineStr">
        <is>
          <t>Discretionary</t>
        </is>
      </c>
      <c r="H37" s="72" t="inlineStr">
        <is>
          <t>Shopping</t>
        </is>
      </c>
      <c r="I37" s="110" t="n">
        <v>5.48</v>
      </c>
      <c r="J37" s="110" t="n"/>
      <c r="K37" s="110" t="n"/>
    </row>
    <row r="38" ht="40.15" customHeight="1" s="112">
      <c r="G38" s="72" t="inlineStr">
        <is>
          <t>Discretionary</t>
        </is>
      </c>
      <c r="H38" s="72" t="inlineStr">
        <is>
          <t>Charity</t>
        </is>
      </c>
      <c r="I38" s="110" t="n">
        <v>1.64</v>
      </c>
      <c r="J38" s="110" t="n"/>
      <c r="K38" s="110" t="n"/>
    </row>
    <row r="39" ht="40.15" customHeight="1" s="112">
      <c r="G39" s="72" t="inlineStr">
        <is>
          <t>Discretionary</t>
        </is>
      </c>
      <c r="H39" s="72" t="inlineStr">
        <is>
          <t>Club memberships</t>
        </is>
      </c>
      <c r="I39" s="110" t="n">
        <v>0.82</v>
      </c>
      <c r="J39" s="110" t="n"/>
      <c r="K39" s="110" t="n"/>
    </row>
    <row r="40" ht="40.15" customHeight="1" s="112">
      <c r="G40" s="72" t="inlineStr">
        <is>
          <t>Discretionary</t>
        </is>
      </c>
      <c r="H40" s="72" t="inlineStr">
        <is>
          <t>Home improvements</t>
        </is>
      </c>
      <c r="I40" s="110" t="n">
        <v>13.15</v>
      </c>
      <c r="J40" s="110" t="n"/>
      <c r="K40" s="110" t="n"/>
    </row>
    <row r="41" ht="40.15" customHeight="1" s="112">
      <c r="G41" s="72" t="inlineStr">
        <is>
          <t>Discretionary</t>
        </is>
      </c>
      <c r="H41" s="72" t="inlineStr">
        <is>
          <t>Other 1</t>
        </is>
      </c>
      <c r="I41" s="110" t="n">
        <v>0</v>
      </c>
      <c r="J41" s="110" t="n"/>
      <c r="K41" s="110" t="n"/>
    </row>
    <row r="42" ht="40.15" customHeight="1" s="112">
      <c r="G42" s="72" t="inlineStr">
        <is>
          <t>Discretionary</t>
        </is>
      </c>
      <c r="H42" s="72" t="inlineStr">
        <is>
          <t>Other 2</t>
        </is>
      </c>
      <c r="I42" s="110" t="n">
        <v>0</v>
      </c>
      <c r="J42" s="110" t="n"/>
      <c r="K42" s="110" t="n"/>
    </row>
    <row r="43" ht="40.15" customHeight="1" s="112">
      <c r="G43" s="72" t="inlineStr">
        <is>
          <t>Savings</t>
        </is>
      </c>
      <c r="H43" s="72" t="inlineStr">
        <is>
          <t>Cash reserves</t>
        </is>
      </c>
      <c r="I43" s="110" t="n">
        <v>13.7</v>
      </c>
      <c r="J43" s="110" t="n"/>
      <c r="K43" s="110" t="n"/>
    </row>
    <row r="44" ht="40.15" customHeight="1" s="112">
      <c r="G44" s="72" t="inlineStr">
        <is>
          <t>Savings</t>
        </is>
      </c>
      <c r="H44" s="72" t="inlineStr">
        <is>
          <t>401k etc.</t>
        </is>
      </c>
      <c r="I44" s="110" t="n">
        <v>32.88</v>
      </c>
      <c r="J44" s="110" t="n"/>
      <c r="K44" s="110" t="n"/>
    </row>
    <row r="45" ht="40.15" customHeight="1" s="112">
      <c r="G45" s="72" t="inlineStr">
        <is>
          <t>Savings</t>
        </is>
      </c>
      <c r="H45" s="72" t="inlineStr">
        <is>
          <t>Savings account</t>
        </is>
      </c>
      <c r="I45" s="110" t="n">
        <v>16.44</v>
      </c>
      <c r="J45" s="110" t="n"/>
      <c r="K45" s="110" t="n"/>
    </row>
    <row r="46" ht="40.15" customHeight="1" s="112">
      <c r="G46" s="72" t="inlineStr">
        <is>
          <t>Savings</t>
        </is>
      </c>
      <c r="H46" s="72" t="inlineStr">
        <is>
          <t>Other 1</t>
        </is>
      </c>
      <c r="I46" s="110" t="n">
        <v>0</v>
      </c>
      <c r="J46" s="110" t="n"/>
      <c r="K46" s="110" t="n"/>
    </row>
    <row r="47" ht="40.15" customHeight="1" s="112">
      <c r="G47" s="72" t="inlineStr">
        <is>
          <t>Savings</t>
        </is>
      </c>
      <c r="H47" s="72" t="inlineStr">
        <is>
          <t>Other 2</t>
        </is>
      </c>
      <c r="I47" s="110" t="n">
        <v>0</v>
      </c>
      <c r="J47" s="110" t="n"/>
      <c r="K47" s="110" t="n"/>
    </row>
    <row r="48" ht="40.15" customHeight="1" s="112">
      <c r="G48" s="67" t="inlineStr">
        <is>
          <t>Total</t>
        </is>
      </c>
      <c r="H48" s="113" t="n"/>
      <c r="I48" s="110" t="n"/>
      <c r="J48" s="110" t="n"/>
      <c r="K48" s="110" t="n"/>
    </row>
    <row r="49" ht="40.15" customHeight="1" s="112"/>
    <row r="50" ht="40.15" customHeight="1" s="112"/>
    <row r="51" ht="40.15" customHeight="1" s="112"/>
    <row r="52" ht="40.15" customHeight="1" s="112"/>
    <row r="53" ht="40.15" customHeight="1" s="112"/>
    <row r="54" ht="40.15" customFormat="1" customHeight="1" s="15"/>
    <row r="55" ht="40.15" customHeight="1" s="112"/>
  </sheetData>
  <mergeCells count="1">
    <mergeCell ref="G2:J2"/>
  </mergeCells>
  <dataValidations count="1">
    <dataValidation sqref="A1" showDropDown="0" showInputMessage="1" showErrorMessage="1" allowBlank="1" prompt="Create Daily Cash Flow Statement in this worksheet. _x000a__x000a_Enter details in Daily table. Total available cash flow is automatically calculated in cell D2. Tip is in cell G2. Daily summary table is automatically updated starting in cell B5."/>
  </dataValidations>
  <hyperlinks>
    <hyperlink ref="F1" location="'Monthly Cash Flow'!A1" tooltip="Select to navigate to Monthly Cash Flow worksheet" display="Navigation button for Monthly Cash Flow worksheet is in this cell. "/>
    <hyperlink ref="G1" location="'Daily Summary'!A1" tooltip="Select to navigate to cell A1 in this worksheet" display="DAILY SUMMARY"/>
    <hyperlink ref="H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Q48"/>
  <sheetViews>
    <sheetView showGridLines="0" zoomScaleNormal="100" workbookViewId="0">
      <selection activeCell="A1" sqref="A1"/>
    </sheetView>
  </sheetViews>
  <sheetFormatPr baseColWidth="8" defaultColWidth="8.875" defaultRowHeight="26.25" customHeight="1"/>
  <cols>
    <col width="2.75" customWidth="1" style="104" min="1" max="1"/>
    <col width="12.75" customWidth="1" style="104" min="2" max="2"/>
    <col width="20.75" customWidth="1" style="104" min="3" max="3"/>
    <col width="12.75" customWidth="1" style="104" min="4" max="16"/>
    <col width="19.75" customWidth="1" style="104" min="17" max="17"/>
    <col width="2.75" customWidth="1" style="104" min="18" max="18"/>
    <col width="8.875" customWidth="1" style="104" min="19" max="16384"/>
  </cols>
  <sheetData>
    <row r="1" ht="70.15000000000001" customFormat="1" customHeight="1" s="32">
      <c r="A1" s="31" t="n"/>
      <c r="B1" s="92" t="inlineStr">
        <is>
          <t>MONTHLY CASH FLOW</t>
        </is>
      </c>
      <c r="G1" s="12" t="n"/>
      <c r="H1" s="12" t="inlineStr">
        <is>
          <t>Guide!A1</t>
        </is>
      </c>
      <c r="I1" s="12" t="inlineStr">
        <is>
          <t>'Annual Cash Flow'!A1</t>
        </is>
      </c>
      <c r="J1" s="12" t="inlineStr">
        <is>
          <t>'Monthly Cash Flow'!A1</t>
        </is>
      </c>
      <c r="K1" s="12" t="inlineStr">
        <is>
          <t>'Daily Summary'!A1</t>
        </is>
      </c>
      <c r="L1" s="31" t="n"/>
      <c r="M1" s="31" t="n"/>
      <c r="N1" s="31" t="n"/>
      <c r="O1" s="31" t="n"/>
      <c r="P1" s="31" t="n"/>
      <c r="Q1" s="31" t="n"/>
    </row>
    <row r="2" ht="70.15000000000001" customFormat="1" customHeight="1" s="7" thickBot="1">
      <c r="B2" s="48" t="inlineStr">
        <is>
          <t>Total monthly cash flow:</t>
        </is>
      </c>
      <c r="C2" s="14" t="n"/>
      <c r="D2" s="106" t="n"/>
      <c r="F2" s="106" t="n"/>
      <c r="G2" s="91" t="inlineStr">
        <is>
          <t>NOTE: For daily items, estimate the monthly amount/value and place that value in the appropriate month column.</t>
        </is>
      </c>
      <c r="L2" s="101" t="n"/>
      <c r="O2" s="33" t="n"/>
      <c r="P2" s="33" t="n"/>
      <c r="Q2" s="34" t="n"/>
    </row>
    <row r="3" ht="45" customFormat="1" customHeight="1" s="35" thickBot="1" thickTop="1">
      <c r="B3" s="70" t="inlineStr">
        <is>
          <t>Type</t>
        </is>
      </c>
      <c r="C3" s="70" t="inlineStr">
        <is>
          <t>Descriptions</t>
        </is>
      </c>
      <c r="D3" s="70" t="inlineStr">
        <is>
          <t>Jan</t>
        </is>
      </c>
      <c r="E3" s="70" t="inlineStr">
        <is>
          <t>Feb</t>
        </is>
      </c>
      <c r="F3" s="70" t="inlineStr">
        <is>
          <t>Mar</t>
        </is>
      </c>
      <c r="G3" s="70" t="inlineStr">
        <is>
          <t>Apr</t>
        </is>
      </c>
      <c r="H3" s="70" t="inlineStr">
        <is>
          <t>May</t>
        </is>
      </c>
      <c r="I3" s="70" t="inlineStr">
        <is>
          <t>Jun</t>
        </is>
      </c>
      <c r="J3" s="70" t="inlineStr">
        <is>
          <t>Jul</t>
        </is>
      </c>
      <c r="K3" s="70" t="inlineStr">
        <is>
          <t>Aug</t>
        </is>
      </c>
      <c r="L3" s="70" t="inlineStr">
        <is>
          <t>Sep</t>
        </is>
      </c>
      <c r="M3" s="70" t="inlineStr">
        <is>
          <t>Oct</t>
        </is>
      </c>
      <c r="N3" s="70" t="inlineStr">
        <is>
          <t>Nov</t>
        </is>
      </c>
      <c r="O3" s="70" t="inlineStr">
        <is>
          <t>Dec</t>
        </is>
      </c>
      <c r="P3" s="70" t="inlineStr">
        <is>
          <t>Total</t>
        </is>
      </c>
      <c r="Q3" s="36" t="n"/>
    </row>
    <row r="4" ht="40.15" customFormat="1" customHeight="1" s="37" thickTop="1">
      <c r="B4" s="72" t="inlineStr">
        <is>
          <t>Income</t>
        </is>
      </c>
      <c r="C4" s="72" t="inlineStr">
        <is>
          <t>Salary</t>
        </is>
      </c>
      <c r="D4" s="110" t="n">
        <v>7500</v>
      </c>
      <c r="E4" s="110" t="n">
        <v>7500</v>
      </c>
      <c r="F4" s="110" t="n">
        <v>7500</v>
      </c>
      <c r="G4" s="110" t="n">
        <v>7500</v>
      </c>
      <c r="H4" s="110" t="n">
        <v>7500</v>
      </c>
      <c r="I4" s="110" t="n">
        <v>7500</v>
      </c>
      <c r="J4" s="110" t="n"/>
      <c r="K4" s="110" t="n"/>
      <c r="L4" s="110" t="n"/>
      <c r="M4" s="110" t="n"/>
      <c r="N4" s="110" t="n"/>
      <c r="O4" s="110" t="n"/>
      <c r="P4" s="110" t="n"/>
      <c r="Q4" s="38" t="n"/>
    </row>
    <row r="5" ht="40.15" customFormat="1" customHeight="1" s="37">
      <c r="B5" s="72" t="inlineStr">
        <is>
          <t>Income</t>
        </is>
      </c>
      <c r="C5" s="72" t="inlineStr">
        <is>
          <t>Commissions/Bonus</t>
        </is>
      </c>
      <c r="D5" s="110" t="n">
        <v>400</v>
      </c>
      <c r="E5" s="110" t="n">
        <v>400</v>
      </c>
      <c r="F5" s="110" t="n">
        <v>500</v>
      </c>
      <c r="G5" s="110" t="n">
        <v>200</v>
      </c>
      <c r="H5" s="110" t="n">
        <v>0</v>
      </c>
      <c r="I5" s="110" t="n">
        <v>600</v>
      </c>
      <c r="J5" s="110" t="n"/>
      <c r="K5" s="110" t="n"/>
      <c r="L5" s="110" t="n"/>
      <c r="M5" s="110" t="n"/>
      <c r="N5" s="110" t="n"/>
      <c r="O5" s="110" t="n"/>
      <c r="P5" s="110" t="n"/>
      <c r="Q5" s="38" t="n"/>
    </row>
    <row r="6" ht="40.15" customFormat="1" customHeight="1" s="37">
      <c r="B6" s="72" t="inlineStr">
        <is>
          <t>Income</t>
        </is>
      </c>
      <c r="C6" s="75" t="inlineStr">
        <is>
          <t>Other 1</t>
        </is>
      </c>
      <c r="D6" s="110" t="n">
        <v>2500</v>
      </c>
      <c r="E6" s="110" t="n">
        <v>2500</v>
      </c>
      <c r="F6" s="110" t="n">
        <v>2500</v>
      </c>
      <c r="G6" s="110" t="n">
        <v>2500</v>
      </c>
      <c r="H6" s="110" t="n">
        <v>2500</v>
      </c>
      <c r="I6" s="110" t="n">
        <v>2500</v>
      </c>
      <c r="J6" s="110" t="n"/>
      <c r="K6" s="110" t="n"/>
      <c r="L6" s="110" t="n"/>
      <c r="M6" s="110" t="n"/>
      <c r="N6" s="110" t="n"/>
      <c r="O6" s="110" t="n"/>
      <c r="P6" s="110" t="n"/>
      <c r="Q6" s="38" t="n"/>
    </row>
    <row r="7" ht="40.15" customFormat="1" customHeight="1" s="37">
      <c r="B7" s="72" t="inlineStr">
        <is>
          <t>Income</t>
        </is>
      </c>
      <c r="C7" s="75" t="inlineStr">
        <is>
          <t>Other 2</t>
        </is>
      </c>
      <c r="D7" s="110" t="n">
        <v>0</v>
      </c>
      <c r="E7" s="110" t="n">
        <v>0</v>
      </c>
      <c r="F7" s="110" t="n">
        <v>0</v>
      </c>
      <c r="G7" s="110" t="n">
        <v>0</v>
      </c>
      <c r="H7" s="110" t="n">
        <v>0</v>
      </c>
      <c r="I7" s="110" t="n">
        <v>0</v>
      </c>
      <c r="J7" s="110" t="n"/>
      <c r="K7" s="110" t="n"/>
      <c r="L7" s="110" t="n"/>
      <c r="M7" s="110" t="n"/>
      <c r="N7" s="110" t="n"/>
      <c r="O7" s="110" t="n"/>
      <c r="P7" s="110" t="n"/>
      <c r="Q7" s="38" t="n"/>
    </row>
    <row r="8" ht="40.15" customFormat="1" customHeight="1" s="37">
      <c r="B8" s="72" t="inlineStr">
        <is>
          <t>Income</t>
        </is>
      </c>
      <c r="C8" s="75" t="inlineStr">
        <is>
          <t>Other 3</t>
        </is>
      </c>
      <c r="D8" s="110" t="n">
        <v>0</v>
      </c>
      <c r="E8" s="110" t="n">
        <v>0</v>
      </c>
      <c r="F8" s="110" t="n">
        <v>0</v>
      </c>
      <c r="G8" s="110" t="n">
        <v>0</v>
      </c>
      <c r="H8" s="110" t="n">
        <v>0</v>
      </c>
      <c r="I8" s="110" t="n">
        <v>0</v>
      </c>
      <c r="J8" s="110" t="n"/>
      <c r="K8" s="110" t="n"/>
      <c r="L8" s="110" t="n"/>
      <c r="M8" s="110" t="n"/>
      <c r="N8" s="110" t="n"/>
      <c r="O8" s="110" t="n"/>
      <c r="P8" s="110" t="n"/>
      <c r="Q8" s="38" t="n"/>
    </row>
    <row r="9" ht="40.15" customFormat="1" customHeight="1" s="37">
      <c r="B9" s="72" t="inlineStr">
        <is>
          <t>Income</t>
        </is>
      </c>
      <c r="C9" s="75" t="inlineStr">
        <is>
          <t>Other 4</t>
        </is>
      </c>
      <c r="D9" s="110" t="n">
        <v>0</v>
      </c>
      <c r="E9" s="110" t="n">
        <v>0</v>
      </c>
      <c r="F9" s="110" t="n">
        <v>0</v>
      </c>
      <c r="G9" s="110" t="n">
        <v>0</v>
      </c>
      <c r="H9" s="110" t="n">
        <v>0</v>
      </c>
      <c r="I9" s="110" t="n">
        <v>0</v>
      </c>
      <c r="J9" s="110" t="n"/>
      <c r="K9" s="110" t="n"/>
      <c r="L9" s="110" t="n"/>
      <c r="M9" s="110" t="n"/>
      <c r="N9" s="110" t="n"/>
      <c r="O9" s="110" t="n"/>
      <c r="P9" s="110" t="n"/>
      <c r="Q9" s="38" t="n"/>
    </row>
    <row r="10" ht="40.15" customFormat="1" customHeight="1" s="37">
      <c r="B10" s="72" t="inlineStr">
        <is>
          <t>Expenses</t>
        </is>
      </c>
      <c r="C10" s="75" t="inlineStr">
        <is>
          <t>Federal/SS/Medicare</t>
        </is>
      </c>
      <c r="D10" s="110" t="n">
        <v>1250</v>
      </c>
      <c r="E10" s="110" t="n">
        <v>1250</v>
      </c>
      <c r="F10" s="110" t="n">
        <v>1250</v>
      </c>
      <c r="G10" s="110" t="n">
        <v>1250</v>
      </c>
      <c r="H10" s="110" t="n">
        <v>1250</v>
      </c>
      <c r="I10" s="110" t="n">
        <v>1250</v>
      </c>
      <c r="J10" s="110" t="n"/>
      <c r="K10" s="110" t="n"/>
      <c r="L10" s="110" t="n"/>
      <c r="M10" s="110" t="n"/>
      <c r="N10" s="110" t="n"/>
      <c r="O10" s="110" t="n"/>
      <c r="P10" s="110" t="n"/>
      <c r="Q10" s="38" t="n"/>
    </row>
    <row r="11" ht="40.15" customFormat="1" customHeight="1" s="37">
      <c r="B11" s="72" t="inlineStr">
        <is>
          <t>Expenses</t>
        </is>
      </c>
      <c r="C11" s="75" t="inlineStr">
        <is>
          <t>State income tax</t>
        </is>
      </c>
      <c r="D11" s="110" t="n">
        <v>208.3333333333333</v>
      </c>
      <c r="E11" s="110" t="n">
        <v>208.3333333333333</v>
      </c>
      <c r="F11" s="110" t="n">
        <v>208.3333333333333</v>
      </c>
      <c r="G11" s="110" t="n">
        <v>208.3333333333333</v>
      </c>
      <c r="H11" s="110" t="n">
        <v>208.3333333333333</v>
      </c>
      <c r="I11" s="110" t="n">
        <v>208.3333333333333</v>
      </c>
      <c r="J11" s="110" t="n"/>
      <c r="K11" s="110" t="n"/>
      <c r="L11" s="110" t="n"/>
      <c r="M11" s="110" t="n"/>
      <c r="N11" s="110" t="n"/>
      <c r="O11" s="110" t="n"/>
      <c r="P11" s="110" t="n"/>
      <c r="Q11" s="38" t="n"/>
    </row>
    <row r="12" ht="40.15" customHeight="1" s="112">
      <c r="A12" s="104" t="n"/>
      <c r="B12" s="72" t="inlineStr">
        <is>
          <t>Expenses</t>
        </is>
      </c>
      <c r="C12" s="75" t="inlineStr">
        <is>
          <t>Vehicle tax/fees</t>
        </is>
      </c>
      <c r="D12" s="110" t="n">
        <v>16.66666666666667</v>
      </c>
      <c r="E12" s="110" t="n">
        <v>16.66666666666667</v>
      </c>
      <c r="F12" s="110" t="n">
        <v>16.66666666666667</v>
      </c>
      <c r="G12" s="110" t="n">
        <v>16.66666666666667</v>
      </c>
      <c r="H12" s="110" t="n">
        <v>16.66666666666667</v>
      </c>
      <c r="I12" s="110" t="n">
        <v>16.66666666666667</v>
      </c>
      <c r="J12" s="110" t="n"/>
      <c r="K12" s="110" t="n"/>
      <c r="L12" s="110" t="n"/>
      <c r="M12" s="110" t="n"/>
      <c r="N12" s="110" t="n"/>
      <c r="O12" s="110" t="n"/>
      <c r="P12" s="110" t="n"/>
      <c r="Q12" s="38" t="n"/>
    </row>
    <row r="13" ht="40.15" customHeight="1" s="112">
      <c r="A13" s="104" t="n"/>
      <c r="B13" s="72" t="inlineStr">
        <is>
          <t>Expenses</t>
        </is>
      </c>
      <c r="C13" s="75" t="inlineStr">
        <is>
          <t>Vehicle payments</t>
        </is>
      </c>
      <c r="D13" s="110" t="n">
        <v>333.3333333333333</v>
      </c>
      <c r="E13" s="110" t="n">
        <v>333.3333333333333</v>
      </c>
      <c r="F13" s="110" t="n">
        <v>333.3333333333333</v>
      </c>
      <c r="G13" s="110" t="n">
        <v>333.3333333333333</v>
      </c>
      <c r="H13" s="110" t="n">
        <v>333.3333333333333</v>
      </c>
      <c r="I13" s="110" t="n">
        <v>333.3333333333333</v>
      </c>
      <c r="J13" s="110" t="n"/>
      <c r="K13" s="110" t="n"/>
      <c r="L13" s="110" t="n"/>
      <c r="M13" s="110" t="n"/>
      <c r="N13" s="110" t="n"/>
      <c r="O13" s="110" t="n"/>
      <c r="P13" s="110" t="n"/>
      <c r="Q13" s="38" t="n"/>
    </row>
    <row r="14" ht="40.15" customHeight="1" s="112">
      <c r="A14" s="104" t="n"/>
      <c r="B14" s="72" t="inlineStr">
        <is>
          <t>Expenses</t>
        </is>
      </c>
      <c r="C14" s="75" t="inlineStr">
        <is>
          <t>Mortgage/rent</t>
        </is>
      </c>
      <c r="D14" s="110" t="n">
        <v>1250</v>
      </c>
      <c r="E14" s="110" t="n">
        <v>1250</v>
      </c>
      <c r="F14" s="110" t="n">
        <v>1250</v>
      </c>
      <c r="G14" s="110" t="n">
        <v>1250</v>
      </c>
      <c r="H14" s="110" t="n">
        <v>1250</v>
      </c>
      <c r="I14" s="110" t="n">
        <v>1250</v>
      </c>
      <c r="J14" s="110" t="n"/>
      <c r="K14" s="110" t="n"/>
      <c r="L14" s="110" t="n"/>
      <c r="M14" s="110" t="n"/>
      <c r="N14" s="110" t="n"/>
      <c r="O14" s="110" t="n"/>
      <c r="P14" s="110" t="n"/>
      <c r="Q14" s="38" t="n"/>
    </row>
    <row r="15" ht="40.15" customHeight="1" s="112">
      <c r="A15" s="104" t="n"/>
      <c r="B15" s="72" t="inlineStr">
        <is>
          <t>Expenses</t>
        </is>
      </c>
      <c r="C15" s="75" t="inlineStr">
        <is>
          <t>Insurance</t>
        </is>
      </c>
      <c r="D15" s="110" t="n">
        <v>25</v>
      </c>
      <c r="E15" s="110" t="n">
        <v>25</v>
      </c>
      <c r="F15" s="110" t="n">
        <v>25</v>
      </c>
      <c r="G15" s="110" t="n">
        <v>25</v>
      </c>
      <c r="H15" s="110" t="n">
        <v>25</v>
      </c>
      <c r="I15" s="110" t="n">
        <v>25</v>
      </c>
      <c r="J15" s="110" t="n"/>
      <c r="K15" s="110" t="n"/>
      <c r="L15" s="110" t="n"/>
      <c r="M15" s="110" t="n"/>
      <c r="N15" s="110" t="n"/>
      <c r="O15" s="110" t="n"/>
      <c r="P15" s="110" t="n"/>
      <c r="Q15" s="38" t="n"/>
    </row>
    <row r="16" ht="40.15" customHeight="1" s="112">
      <c r="A16" s="104" t="n"/>
      <c r="B16" s="72" t="inlineStr">
        <is>
          <t>Expenses</t>
        </is>
      </c>
      <c r="C16" s="75" t="inlineStr">
        <is>
          <t>Electricity</t>
        </is>
      </c>
      <c r="D16" s="110" t="n">
        <v>100</v>
      </c>
      <c r="E16" s="110" t="n">
        <v>100</v>
      </c>
      <c r="F16" s="110" t="n">
        <v>100</v>
      </c>
      <c r="G16" s="110" t="n">
        <v>100</v>
      </c>
      <c r="H16" s="110" t="n">
        <v>100</v>
      </c>
      <c r="I16" s="110" t="n">
        <v>100</v>
      </c>
      <c r="J16" s="110" t="n"/>
      <c r="K16" s="110" t="n"/>
      <c r="L16" s="110" t="n"/>
      <c r="M16" s="110" t="n"/>
      <c r="N16" s="110" t="n"/>
      <c r="O16" s="110" t="n"/>
      <c r="P16" s="110" t="n"/>
      <c r="Q16" s="38" t="n"/>
    </row>
    <row r="17" ht="40.15" customHeight="1" s="112">
      <c r="B17" s="72" t="inlineStr">
        <is>
          <t>Expenses</t>
        </is>
      </c>
      <c r="C17" s="75" t="inlineStr">
        <is>
          <t>Gas</t>
        </is>
      </c>
      <c r="D17" s="110" t="n">
        <v>50</v>
      </c>
      <c r="E17" s="110" t="n">
        <v>50</v>
      </c>
      <c r="F17" s="110" t="n">
        <v>50</v>
      </c>
      <c r="G17" s="110" t="n">
        <v>50</v>
      </c>
      <c r="H17" s="110" t="n">
        <v>50</v>
      </c>
      <c r="I17" s="110" t="n">
        <v>50</v>
      </c>
      <c r="J17" s="110" t="n"/>
      <c r="K17" s="110" t="n"/>
      <c r="L17" s="110" t="n"/>
      <c r="M17" s="110" t="n"/>
      <c r="N17" s="110" t="n"/>
      <c r="O17" s="110" t="n"/>
      <c r="P17" s="110" t="n"/>
      <c r="Q17" s="38" t="n"/>
    </row>
    <row r="18" ht="40.15" customHeight="1" s="112">
      <c r="B18" s="72" t="inlineStr">
        <is>
          <t>Expenses</t>
        </is>
      </c>
      <c r="C18" s="75" t="inlineStr">
        <is>
          <t>Water</t>
        </is>
      </c>
      <c r="D18" s="110" t="n">
        <v>50</v>
      </c>
      <c r="E18" s="110" t="n">
        <v>50</v>
      </c>
      <c r="F18" s="110" t="n">
        <v>50</v>
      </c>
      <c r="G18" s="110" t="n">
        <v>50</v>
      </c>
      <c r="H18" s="110" t="n">
        <v>50</v>
      </c>
      <c r="I18" s="110" t="n">
        <v>50</v>
      </c>
      <c r="J18" s="110" t="n"/>
      <c r="K18" s="110" t="n"/>
      <c r="L18" s="110" t="n"/>
      <c r="M18" s="110" t="n"/>
      <c r="N18" s="110" t="n"/>
      <c r="O18" s="110" t="n"/>
      <c r="P18" s="110" t="n"/>
      <c r="Q18" s="38" t="n"/>
    </row>
    <row r="19" ht="40.15" customHeight="1" s="112">
      <c r="B19" s="72" t="inlineStr">
        <is>
          <t>Expenses</t>
        </is>
      </c>
      <c r="C19" s="75" t="inlineStr">
        <is>
          <t>Sewer</t>
        </is>
      </c>
      <c r="D19" s="110" t="n">
        <v>25</v>
      </c>
      <c r="E19" s="110" t="n">
        <v>25</v>
      </c>
      <c r="F19" s="110" t="n">
        <v>25</v>
      </c>
      <c r="G19" s="110" t="n">
        <v>25</v>
      </c>
      <c r="H19" s="110" t="n">
        <v>25</v>
      </c>
      <c r="I19" s="110" t="n">
        <v>25</v>
      </c>
      <c r="J19" s="110" t="n"/>
      <c r="K19" s="110" t="n"/>
      <c r="L19" s="110" t="n"/>
      <c r="M19" s="110" t="n"/>
      <c r="N19" s="110" t="n"/>
      <c r="O19" s="110" t="n"/>
      <c r="P19" s="110" t="n"/>
      <c r="Q19" s="38" t="n"/>
    </row>
    <row r="20" ht="40.15" customHeight="1" s="112">
      <c r="B20" s="72" t="inlineStr">
        <is>
          <t>Expenses</t>
        </is>
      </c>
      <c r="C20" s="75" t="inlineStr">
        <is>
          <t>Garbage</t>
        </is>
      </c>
      <c r="D20" s="110" t="n">
        <v>12.5</v>
      </c>
      <c r="E20" s="110" t="n">
        <v>12.5</v>
      </c>
      <c r="F20" s="110" t="n">
        <v>12.5</v>
      </c>
      <c r="G20" s="110" t="n">
        <v>12.5</v>
      </c>
      <c r="H20" s="110" t="n">
        <v>12.5</v>
      </c>
      <c r="I20" s="110" t="n">
        <v>12.5</v>
      </c>
      <c r="J20" s="110" t="n"/>
      <c r="K20" s="110" t="n"/>
      <c r="L20" s="110" t="n"/>
      <c r="M20" s="110" t="n"/>
      <c r="N20" s="110" t="n"/>
      <c r="O20" s="110" t="n"/>
      <c r="P20" s="110" t="n"/>
      <c r="Q20" s="38" t="n"/>
    </row>
    <row r="21" ht="40.15" customHeight="1" s="112">
      <c r="B21" s="72" t="inlineStr">
        <is>
          <t>Expenses</t>
        </is>
      </c>
      <c r="C21" s="75" t="inlineStr">
        <is>
          <t>Phone</t>
        </is>
      </c>
      <c r="D21" s="110" t="n">
        <v>50</v>
      </c>
      <c r="E21" s="110" t="n">
        <v>50</v>
      </c>
      <c r="F21" s="110" t="n">
        <v>50</v>
      </c>
      <c r="G21" s="110" t="n">
        <v>50</v>
      </c>
      <c r="H21" s="110" t="n">
        <v>50</v>
      </c>
      <c r="I21" s="110" t="n">
        <v>50</v>
      </c>
      <c r="J21" s="110" t="n"/>
      <c r="K21" s="110" t="n"/>
      <c r="L21" s="110" t="n"/>
      <c r="M21" s="110" t="n"/>
      <c r="N21" s="110" t="n"/>
      <c r="O21" s="110" t="n"/>
      <c r="P21" s="110" t="n"/>
      <c r="Q21" s="38" t="n"/>
    </row>
    <row r="22" ht="40.15" customHeight="1" s="112">
      <c r="B22" s="72" t="inlineStr">
        <is>
          <t>Expenses</t>
        </is>
      </c>
      <c r="C22" s="75" t="inlineStr">
        <is>
          <t>Internet</t>
        </is>
      </c>
      <c r="D22" s="110" t="n">
        <v>50</v>
      </c>
      <c r="E22" s="110" t="n">
        <v>50</v>
      </c>
      <c r="F22" s="110" t="n">
        <v>50</v>
      </c>
      <c r="G22" s="110" t="n">
        <v>50</v>
      </c>
      <c r="H22" s="110" t="n">
        <v>50</v>
      </c>
      <c r="I22" s="110" t="n">
        <v>50</v>
      </c>
      <c r="J22" s="110" t="n"/>
      <c r="K22" s="110" t="n"/>
      <c r="L22" s="110" t="n"/>
      <c r="M22" s="110" t="n"/>
      <c r="N22" s="110" t="n"/>
      <c r="O22" s="110" t="n"/>
      <c r="P22" s="110" t="n"/>
      <c r="Q22" s="38" t="n"/>
    </row>
    <row r="23" ht="40.15" customHeight="1" s="112">
      <c r="B23" s="72" t="inlineStr">
        <is>
          <t>Expenses</t>
        </is>
      </c>
      <c r="C23" s="75" t="inlineStr">
        <is>
          <t>Disability premiums</t>
        </is>
      </c>
      <c r="D23" s="110" t="n">
        <v>125</v>
      </c>
      <c r="E23" s="110" t="n">
        <v>125</v>
      </c>
      <c r="F23" s="110" t="n">
        <v>125</v>
      </c>
      <c r="G23" s="110" t="n">
        <v>125</v>
      </c>
      <c r="H23" s="110" t="n">
        <v>125</v>
      </c>
      <c r="I23" s="110" t="n">
        <v>125</v>
      </c>
      <c r="J23" s="110" t="n"/>
      <c r="K23" s="110" t="n"/>
      <c r="L23" s="110" t="n"/>
      <c r="M23" s="110" t="n"/>
      <c r="N23" s="110" t="n"/>
      <c r="O23" s="110" t="n"/>
      <c r="P23" s="110" t="n"/>
      <c r="Q23" s="38" t="n"/>
    </row>
    <row r="24" ht="40.15" customHeight="1" s="112">
      <c r="B24" s="72" t="inlineStr">
        <is>
          <t>Expenses</t>
        </is>
      </c>
      <c r="C24" s="75" t="inlineStr">
        <is>
          <t>Food</t>
        </is>
      </c>
      <c r="D24" s="110" t="n">
        <v>400</v>
      </c>
      <c r="E24" s="110" t="n">
        <v>500</v>
      </c>
      <c r="F24" s="110" t="n">
        <v>450</v>
      </c>
      <c r="G24" s="110" t="n">
        <v>400</v>
      </c>
      <c r="H24" s="110" t="n">
        <v>450</v>
      </c>
      <c r="I24" s="110" t="n">
        <v>425</v>
      </c>
      <c r="J24" s="110" t="n"/>
      <c r="K24" s="110" t="n"/>
      <c r="L24" s="110" t="n"/>
      <c r="M24" s="110" t="n"/>
      <c r="N24" s="110" t="n"/>
      <c r="O24" s="110" t="n"/>
      <c r="P24" s="110" t="n"/>
      <c r="Q24" s="38" t="n"/>
    </row>
    <row r="25" ht="40.15" customHeight="1" s="112">
      <c r="B25" s="72" t="inlineStr">
        <is>
          <t>Expenses</t>
        </is>
      </c>
      <c r="C25" s="75" t="inlineStr">
        <is>
          <t>Clothing</t>
        </is>
      </c>
      <c r="D25" s="110" t="n">
        <v>50</v>
      </c>
      <c r="E25" s="110" t="n">
        <v>75</v>
      </c>
      <c r="F25" s="110" t="n">
        <v>100</v>
      </c>
      <c r="G25" s="110" t="n">
        <v>75</v>
      </c>
      <c r="H25" s="110" t="n">
        <v>125</v>
      </c>
      <c r="I25" s="110" t="n">
        <v>75</v>
      </c>
      <c r="J25" s="110" t="n"/>
      <c r="K25" s="110" t="n"/>
      <c r="L25" s="110" t="n"/>
      <c r="M25" s="110" t="n"/>
      <c r="N25" s="110" t="n"/>
      <c r="O25" s="110" t="n"/>
      <c r="P25" s="110" t="n"/>
      <c r="Q25" s="38" t="n"/>
    </row>
    <row r="26" ht="40.15" customHeight="1" s="112">
      <c r="B26" s="72" t="inlineStr">
        <is>
          <t>Expenses</t>
        </is>
      </c>
      <c r="C26" s="75" t="inlineStr">
        <is>
          <t>Medical/dental/Rx</t>
        </is>
      </c>
      <c r="D26" s="110" t="n">
        <v>50</v>
      </c>
      <c r="E26" s="110" t="n">
        <v>10</v>
      </c>
      <c r="F26" s="110" t="n">
        <v>25</v>
      </c>
      <c r="G26" s="110" t="n">
        <v>25</v>
      </c>
      <c r="H26" s="110" t="n">
        <v>20</v>
      </c>
      <c r="I26" s="110" t="n">
        <v>70</v>
      </c>
      <c r="J26" s="110" t="n"/>
      <c r="K26" s="110" t="n"/>
      <c r="L26" s="110" t="n"/>
      <c r="M26" s="110" t="n"/>
      <c r="N26" s="110" t="n"/>
      <c r="O26" s="110" t="n"/>
      <c r="P26" s="110" t="n"/>
      <c r="Q26" s="38" t="n"/>
    </row>
    <row r="27" ht="40.15" customHeight="1" s="112">
      <c r="B27" s="72" t="inlineStr">
        <is>
          <t>Expenses</t>
        </is>
      </c>
      <c r="C27" s="75" t="inlineStr">
        <is>
          <t>Bus</t>
        </is>
      </c>
      <c r="D27" s="110" t="n">
        <v>30</v>
      </c>
      <c r="E27" s="110" t="n">
        <v>30</v>
      </c>
      <c r="F27" s="110" t="n">
        <v>30</v>
      </c>
      <c r="G27" s="110" t="n">
        <v>20</v>
      </c>
      <c r="H27" s="110" t="n">
        <v>30</v>
      </c>
      <c r="I27" s="110" t="n">
        <v>30</v>
      </c>
      <c r="J27" s="110" t="n"/>
      <c r="K27" s="110" t="n"/>
      <c r="L27" s="110" t="n"/>
      <c r="M27" s="110" t="n"/>
      <c r="N27" s="110" t="n"/>
      <c r="O27" s="110" t="n"/>
      <c r="P27" s="110" t="n"/>
      <c r="Q27" s="38" t="n"/>
    </row>
    <row r="28" ht="40.15" customHeight="1" s="112">
      <c r="B28" s="72" t="inlineStr">
        <is>
          <t>Expenses</t>
        </is>
      </c>
      <c r="C28" s="75" t="inlineStr">
        <is>
          <t>Other 2</t>
        </is>
      </c>
      <c r="D28" s="110" t="n">
        <v>0</v>
      </c>
      <c r="E28" s="110" t="n">
        <v>0</v>
      </c>
      <c r="F28" s="110" t="n">
        <v>0</v>
      </c>
      <c r="G28" s="110" t="n">
        <v>0</v>
      </c>
      <c r="H28" s="110" t="n">
        <v>0</v>
      </c>
      <c r="I28" s="110" t="n">
        <v>0</v>
      </c>
      <c r="J28" s="110" t="n"/>
      <c r="K28" s="110" t="n"/>
      <c r="L28" s="110" t="n"/>
      <c r="M28" s="110" t="n"/>
      <c r="N28" s="110" t="n"/>
      <c r="O28" s="110" t="n"/>
      <c r="P28" s="110" t="n"/>
      <c r="Q28" s="38" t="n"/>
    </row>
    <row r="29" ht="40.15" customHeight="1" s="112">
      <c r="B29" s="72" t="inlineStr">
        <is>
          <t>Expenses</t>
        </is>
      </c>
      <c r="C29" s="75" t="inlineStr">
        <is>
          <t>Other 3</t>
        </is>
      </c>
      <c r="D29" s="110" t="n">
        <v>0</v>
      </c>
      <c r="E29" s="110" t="n">
        <v>0</v>
      </c>
      <c r="F29" s="110" t="n">
        <v>0</v>
      </c>
      <c r="G29" s="110" t="n">
        <v>0</v>
      </c>
      <c r="H29" s="110" t="n">
        <v>0</v>
      </c>
      <c r="I29" s="110" t="n">
        <v>0</v>
      </c>
      <c r="J29" s="110" t="n"/>
      <c r="K29" s="110" t="n"/>
      <c r="L29" s="110" t="n"/>
      <c r="M29" s="110" t="n"/>
      <c r="N29" s="110" t="n"/>
      <c r="O29" s="110" t="n"/>
      <c r="P29" s="110" t="n"/>
      <c r="Q29" s="38" t="n"/>
    </row>
    <row r="30" ht="40.15" customHeight="1" s="112">
      <c r="B30" s="72" t="inlineStr">
        <is>
          <t>Expenses</t>
        </is>
      </c>
      <c r="C30" s="75" t="inlineStr">
        <is>
          <t>Other 4</t>
        </is>
      </c>
      <c r="D30" s="110" t="n">
        <v>0</v>
      </c>
      <c r="E30" s="110" t="n">
        <v>0</v>
      </c>
      <c r="F30" s="110" t="n">
        <v>0</v>
      </c>
      <c r="G30" s="110" t="n">
        <v>0</v>
      </c>
      <c r="H30" s="110" t="n">
        <v>0</v>
      </c>
      <c r="I30" s="110" t="n">
        <v>0</v>
      </c>
      <c r="J30" s="110" t="n"/>
      <c r="K30" s="110" t="n"/>
      <c r="L30" s="110" t="n"/>
      <c r="M30" s="110" t="n"/>
      <c r="N30" s="110" t="n"/>
      <c r="O30" s="110" t="n"/>
      <c r="P30" s="110" t="n"/>
      <c r="Q30" s="38" t="n"/>
    </row>
    <row r="31" ht="40.15" customHeight="1" s="112">
      <c r="B31" s="72" t="inlineStr">
        <is>
          <t>Discretionary</t>
        </is>
      </c>
      <c r="C31" s="75" t="inlineStr">
        <is>
          <t>Dining</t>
        </is>
      </c>
      <c r="D31" s="110" t="n">
        <v>50</v>
      </c>
      <c r="E31" s="110" t="n">
        <v>150</v>
      </c>
      <c r="F31" s="110" t="n">
        <v>100</v>
      </c>
      <c r="G31" s="110" t="n">
        <v>50</v>
      </c>
      <c r="H31" s="110" t="n">
        <v>150</v>
      </c>
      <c r="I31" s="110" t="n">
        <v>100</v>
      </c>
      <c r="J31" s="110" t="n"/>
      <c r="K31" s="110" t="n"/>
      <c r="L31" s="110" t="n"/>
      <c r="M31" s="110" t="n"/>
      <c r="N31" s="110" t="n"/>
      <c r="O31" s="110" t="n"/>
      <c r="P31" s="110" t="n"/>
      <c r="Q31" s="38" t="n"/>
    </row>
    <row r="32" ht="40.15" customHeight="1" s="112">
      <c r="B32" s="72" t="inlineStr">
        <is>
          <t>Discretionary</t>
        </is>
      </c>
      <c r="C32" s="75" t="inlineStr">
        <is>
          <t>Gifts</t>
        </is>
      </c>
      <c r="D32" s="110" t="n">
        <v>25</v>
      </c>
      <c r="E32" s="110" t="n">
        <v>75</v>
      </c>
      <c r="F32" s="110" t="n">
        <v>50</v>
      </c>
      <c r="G32" s="110" t="n">
        <v>25</v>
      </c>
      <c r="H32" s="110" t="n">
        <v>75</v>
      </c>
      <c r="I32" s="110" t="n">
        <v>50</v>
      </c>
      <c r="J32" s="110" t="n"/>
      <c r="K32" s="110" t="n"/>
      <c r="L32" s="110" t="n"/>
      <c r="M32" s="110" t="n"/>
      <c r="N32" s="110" t="n"/>
      <c r="O32" s="110" t="n"/>
      <c r="P32" s="110" t="n"/>
      <c r="Q32" s="38" t="n"/>
    </row>
    <row r="33" ht="40.15" customHeight="1" s="112">
      <c r="B33" s="72" t="inlineStr">
        <is>
          <t>Discretionary</t>
        </is>
      </c>
      <c r="C33" s="75" t="inlineStr">
        <is>
          <t>Travel</t>
        </is>
      </c>
      <c r="D33" s="110" t="n">
        <v>0</v>
      </c>
      <c r="E33" s="110" t="n">
        <v>0</v>
      </c>
      <c r="F33" s="110" t="n">
        <v>1000</v>
      </c>
      <c r="G33" s="110" t="n">
        <v>0</v>
      </c>
      <c r="H33" s="110" t="n">
        <v>0</v>
      </c>
      <c r="I33" s="110" t="n">
        <v>1000</v>
      </c>
      <c r="J33" s="110" t="n"/>
      <c r="K33" s="110" t="n"/>
      <c r="L33" s="110" t="n"/>
      <c r="M33" s="110" t="n"/>
      <c r="N33" s="110" t="n"/>
      <c r="O33" s="110" t="n"/>
      <c r="P33" s="110" t="n"/>
      <c r="Q33" s="38" t="n"/>
    </row>
    <row r="34" ht="40.15" customHeight="1" s="112">
      <c r="B34" s="72" t="inlineStr">
        <is>
          <t>Discretionary</t>
        </is>
      </c>
      <c r="C34" s="75" t="inlineStr">
        <is>
          <t>Entertainment</t>
        </is>
      </c>
      <c r="D34" s="110" t="n">
        <v>50</v>
      </c>
      <c r="E34" s="110" t="n">
        <v>150</v>
      </c>
      <c r="F34" s="110" t="n">
        <v>100</v>
      </c>
      <c r="G34" s="110" t="n">
        <v>50</v>
      </c>
      <c r="H34" s="110" t="n">
        <v>150</v>
      </c>
      <c r="I34" s="110" t="n">
        <v>100</v>
      </c>
      <c r="J34" s="110" t="n"/>
      <c r="K34" s="110" t="n"/>
      <c r="L34" s="110" t="n"/>
      <c r="M34" s="110" t="n"/>
      <c r="N34" s="110" t="n"/>
      <c r="O34" s="110" t="n"/>
      <c r="P34" s="110" t="n"/>
      <c r="Q34" s="38" t="n"/>
    </row>
    <row r="35" ht="40.15" customHeight="1" s="112">
      <c r="B35" s="72" t="inlineStr">
        <is>
          <t>Discretionary</t>
        </is>
      </c>
      <c r="C35" s="75" t="inlineStr">
        <is>
          <t>Personal care</t>
        </is>
      </c>
      <c r="D35" s="110" t="n">
        <v>15</v>
      </c>
      <c r="E35" s="110" t="n">
        <v>25</v>
      </c>
      <c r="F35" s="110" t="n">
        <v>35</v>
      </c>
      <c r="G35" s="110" t="n">
        <v>15</v>
      </c>
      <c r="H35" s="110" t="n">
        <v>25</v>
      </c>
      <c r="I35" s="110" t="n">
        <v>35</v>
      </c>
      <c r="J35" s="110" t="n"/>
      <c r="K35" s="110" t="n"/>
      <c r="L35" s="110" t="n"/>
      <c r="M35" s="110" t="n"/>
      <c r="N35" s="110" t="n"/>
      <c r="O35" s="110" t="n"/>
      <c r="P35" s="110" t="n"/>
      <c r="Q35" s="38" t="n"/>
    </row>
    <row r="36" ht="40.15" customHeight="1" s="112">
      <c r="B36" s="72" t="inlineStr">
        <is>
          <t>Discretionary</t>
        </is>
      </c>
      <c r="C36" s="75" t="inlineStr">
        <is>
          <t>Shopping</t>
        </is>
      </c>
      <c r="D36" s="110" t="n">
        <v>100</v>
      </c>
      <c r="E36" s="110" t="n">
        <v>200</v>
      </c>
      <c r="F36" s="110" t="n">
        <v>150</v>
      </c>
      <c r="G36" s="110" t="n">
        <v>175</v>
      </c>
      <c r="H36" s="110" t="n">
        <v>150</v>
      </c>
      <c r="I36" s="110" t="n">
        <v>175</v>
      </c>
      <c r="J36" s="110" t="n"/>
      <c r="K36" s="110" t="n"/>
      <c r="L36" s="110" t="n"/>
      <c r="M36" s="110" t="n"/>
      <c r="N36" s="110" t="n"/>
      <c r="O36" s="110" t="n"/>
      <c r="P36" s="110" t="n"/>
      <c r="Q36" s="38" t="n"/>
    </row>
    <row r="37" ht="40.15" customHeight="1" s="112">
      <c r="B37" s="72" t="inlineStr">
        <is>
          <t>Discretionary</t>
        </is>
      </c>
      <c r="C37" s="75" t="inlineStr">
        <is>
          <t>Charity</t>
        </is>
      </c>
      <c r="D37" s="110" t="n">
        <v>50</v>
      </c>
      <c r="E37" s="110" t="n">
        <v>50</v>
      </c>
      <c r="F37" s="110" t="n">
        <v>50</v>
      </c>
      <c r="G37" s="110" t="n">
        <v>50</v>
      </c>
      <c r="H37" s="110" t="n">
        <v>50</v>
      </c>
      <c r="I37" s="110" t="n">
        <v>50</v>
      </c>
      <c r="J37" s="110" t="n"/>
      <c r="K37" s="110" t="n"/>
      <c r="L37" s="110" t="n"/>
      <c r="M37" s="110" t="n"/>
      <c r="N37" s="110" t="n"/>
      <c r="O37" s="110" t="n"/>
      <c r="P37" s="110" t="n"/>
      <c r="Q37" s="38" t="n"/>
    </row>
    <row r="38" ht="40.15" customHeight="1" s="112">
      <c r="B38" s="72" t="inlineStr">
        <is>
          <t>Discretionary</t>
        </is>
      </c>
      <c r="C38" s="75" t="inlineStr">
        <is>
          <t>Club memberships</t>
        </is>
      </c>
      <c r="D38" s="110" t="n">
        <v>25</v>
      </c>
      <c r="E38" s="110" t="n">
        <v>25</v>
      </c>
      <c r="F38" s="110" t="n">
        <v>25</v>
      </c>
      <c r="G38" s="110" t="n">
        <v>25</v>
      </c>
      <c r="H38" s="110" t="n">
        <v>25</v>
      </c>
      <c r="I38" s="110" t="n">
        <v>25</v>
      </c>
      <c r="J38" s="110" t="n"/>
      <c r="K38" s="110" t="n"/>
      <c r="L38" s="110" t="n"/>
      <c r="M38" s="110" t="n"/>
      <c r="N38" s="110" t="n"/>
      <c r="O38" s="110" t="n"/>
      <c r="P38" s="110" t="n"/>
      <c r="Q38" s="38" t="n"/>
    </row>
    <row r="39" ht="40.15" customHeight="1" s="112">
      <c r="B39" s="72" t="inlineStr">
        <is>
          <t>Discretionary</t>
        </is>
      </c>
      <c r="C39" s="75" t="inlineStr">
        <is>
          <t>Home improvements</t>
        </is>
      </c>
      <c r="D39" s="110" t="n">
        <v>400</v>
      </c>
      <c r="E39" s="110" t="n">
        <v>400</v>
      </c>
      <c r="F39" s="110" t="n">
        <v>400</v>
      </c>
      <c r="G39" s="110" t="n">
        <v>400</v>
      </c>
      <c r="H39" s="110" t="n">
        <v>400</v>
      </c>
      <c r="I39" s="110" t="n">
        <v>400</v>
      </c>
      <c r="J39" s="110" t="n"/>
      <c r="K39" s="110" t="n"/>
      <c r="L39" s="110" t="n"/>
      <c r="M39" s="110" t="n"/>
      <c r="N39" s="110" t="n"/>
      <c r="O39" s="110" t="n"/>
      <c r="P39" s="110" t="n"/>
      <c r="Q39" s="38" t="n"/>
    </row>
    <row r="40" ht="40.15" customHeight="1" s="112">
      <c r="B40" s="72" t="inlineStr">
        <is>
          <t>Discretionary</t>
        </is>
      </c>
      <c r="C40" s="75" t="inlineStr">
        <is>
          <t>Other 1</t>
        </is>
      </c>
      <c r="D40" s="110" t="n">
        <v>0</v>
      </c>
      <c r="E40" s="110" t="n">
        <v>0</v>
      </c>
      <c r="F40" s="110" t="n">
        <v>0</v>
      </c>
      <c r="G40" s="110" t="n">
        <v>0</v>
      </c>
      <c r="H40" s="110" t="n">
        <v>0</v>
      </c>
      <c r="I40" s="110" t="n">
        <v>0</v>
      </c>
      <c r="J40" s="110" t="n"/>
      <c r="K40" s="110" t="n"/>
      <c r="L40" s="110" t="n"/>
      <c r="M40" s="110" t="n"/>
      <c r="N40" s="110" t="n"/>
      <c r="O40" s="110" t="n"/>
      <c r="P40" s="110" t="n"/>
      <c r="Q40" s="38" t="n"/>
    </row>
    <row r="41" ht="40.15" customHeight="1" s="112">
      <c r="B41" s="72" t="inlineStr">
        <is>
          <t>Discretionary</t>
        </is>
      </c>
      <c r="C41" s="75" t="inlineStr">
        <is>
          <t>Other 2</t>
        </is>
      </c>
      <c r="D41" s="110" t="n">
        <v>0</v>
      </c>
      <c r="E41" s="110" t="n">
        <v>0</v>
      </c>
      <c r="F41" s="110" t="n">
        <v>0</v>
      </c>
      <c r="G41" s="110" t="n">
        <v>0</v>
      </c>
      <c r="H41" s="110" t="n">
        <v>0</v>
      </c>
      <c r="I41" s="110" t="n">
        <v>0</v>
      </c>
      <c r="J41" s="110" t="n"/>
      <c r="K41" s="110" t="n"/>
      <c r="L41" s="110" t="n"/>
      <c r="M41" s="110" t="n"/>
      <c r="N41" s="110" t="n"/>
      <c r="O41" s="110" t="n"/>
      <c r="P41" s="110" t="n"/>
      <c r="Q41" s="38" t="n"/>
    </row>
    <row r="42" ht="40.15" customHeight="1" s="112">
      <c r="B42" s="72" t="inlineStr">
        <is>
          <t>Savings</t>
        </is>
      </c>
      <c r="C42" s="75" t="inlineStr">
        <is>
          <t>Cash reserves</t>
        </is>
      </c>
      <c r="D42" s="110" t="n">
        <v>416.6666666666667</v>
      </c>
      <c r="E42" s="110" t="n">
        <v>416.6666666666667</v>
      </c>
      <c r="F42" s="110" t="n">
        <v>416.6666666666667</v>
      </c>
      <c r="G42" s="110" t="n">
        <v>416.6666666666667</v>
      </c>
      <c r="H42" s="110" t="n">
        <v>416.6666666666667</v>
      </c>
      <c r="I42" s="110" t="n">
        <v>416.6666666666667</v>
      </c>
      <c r="J42" s="110" t="n"/>
      <c r="K42" s="110" t="n"/>
      <c r="L42" s="110" t="n"/>
      <c r="M42" s="110" t="n"/>
      <c r="N42" s="110" t="n"/>
      <c r="O42" s="110" t="n"/>
      <c r="P42" s="110" t="n"/>
      <c r="Q42" s="38" t="n"/>
    </row>
    <row r="43" ht="40.15" customHeight="1" s="112">
      <c r="B43" s="72" t="inlineStr">
        <is>
          <t>Savings</t>
        </is>
      </c>
      <c r="C43" s="75" t="inlineStr">
        <is>
          <t>401k etc.</t>
        </is>
      </c>
      <c r="D43" s="110" t="n">
        <v>1000</v>
      </c>
      <c r="E43" s="110" t="n">
        <v>1000</v>
      </c>
      <c r="F43" s="110" t="n">
        <v>1000</v>
      </c>
      <c r="G43" s="110" t="n">
        <v>1000</v>
      </c>
      <c r="H43" s="110" t="n">
        <v>1000</v>
      </c>
      <c r="I43" s="110" t="n">
        <v>1000</v>
      </c>
      <c r="J43" s="110" t="n"/>
      <c r="K43" s="110" t="n"/>
      <c r="L43" s="110" t="n"/>
      <c r="M43" s="110" t="n"/>
      <c r="N43" s="110" t="n"/>
      <c r="O43" s="110" t="n"/>
      <c r="P43" s="110" t="n"/>
      <c r="Q43" s="38" t="n"/>
    </row>
    <row r="44" ht="40.15" customHeight="1" s="112">
      <c r="B44" s="72" t="inlineStr">
        <is>
          <t>Savings</t>
        </is>
      </c>
      <c r="C44" s="75" t="inlineStr">
        <is>
          <t>Savings account</t>
        </is>
      </c>
      <c r="D44" s="110" t="n">
        <v>500</v>
      </c>
      <c r="E44" s="110" t="n">
        <v>500</v>
      </c>
      <c r="F44" s="110" t="n">
        <v>500</v>
      </c>
      <c r="G44" s="110" t="n">
        <v>500</v>
      </c>
      <c r="H44" s="110" t="n">
        <v>500</v>
      </c>
      <c r="I44" s="110" t="n">
        <v>500</v>
      </c>
      <c r="J44" s="110" t="n"/>
      <c r="K44" s="110" t="n"/>
      <c r="L44" s="110" t="n"/>
      <c r="M44" s="110" t="n"/>
      <c r="N44" s="110" t="n"/>
      <c r="O44" s="110" t="n"/>
      <c r="P44" s="110" t="n"/>
      <c r="Q44" s="38" t="n"/>
    </row>
    <row r="45" ht="40.15" customHeight="1" s="112">
      <c r="B45" s="72" t="inlineStr">
        <is>
          <t>Savings</t>
        </is>
      </c>
      <c r="C45" s="75" t="inlineStr">
        <is>
          <t>Other 1</t>
        </is>
      </c>
      <c r="D45" s="110" t="n">
        <v>0</v>
      </c>
      <c r="E45" s="110" t="n">
        <v>0</v>
      </c>
      <c r="F45" s="110" t="n">
        <v>0</v>
      </c>
      <c r="G45" s="110" t="n">
        <v>0</v>
      </c>
      <c r="H45" s="110" t="n">
        <v>0</v>
      </c>
      <c r="I45" s="110" t="n">
        <v>0</v>
      </c>
      <c r="J45" s="110" t="n"/>
      <c r="K45" s="110" t="n"/>
      <c r="L45" s="110" t="n"/>
      <c r="M45" s="110" t="n"/>
      <c r="N45" s="110" t="n"/>
      <c r="O45" s="110" t="n"/>
      <c r="P45" s="110" t="n"/>
      <c r="Q45" s="38" t="n"/>
    </row>
    <row r="46" ht="40.15" customHeight="1" s="112">
      <c r="B46" s="72" t="inlineStr">
        <is>
          <t>Savings</t>
        </is>
      </c>
      <c r="C46" s="75" t="inlineStr">
        <is>
          <t>Other 2</t>
        </is>
      </c>
      <c r="D46" s="110" t="n">
        <v>0</v>
      </c>
      <c r="E46" s="110" t="n">
        <v>0</v>
      </c>
      <c r="F46" s="110" t="n">
        <v>0</v>
      </c>
      <c r="G46" s="110" t="n">
        <v>0</v>
      </c>
      <c r="H46" s="110" t="n">
        <v>0</v>
      </c>
      <c r="I46" s="110" t="n">
        <v>0</v>
      </c>
      <c r="J46" s="110" t="n"/>
      <c r="K46" s="110" t="n"/>
      <c r="L46" s="110" t="n"/>
      <c r="M46" s="110" t="n"/>
      <c r="N46" s="110" t="n"/>
      <c r="O46" s="110" t="n"/>
      <c r="P46" s="110" t="n"/>
      <c r="Q46" s="38" t="n"/>
    </row>
    <row r="47" ht="40.15" customHeight="1" s="112">
      <c r="B47" s="67" t="inlineStr">
        <is>
          <t>Total</t>
        </is>
      </c>
      <c r="C47" s="113" t="n"/>
      <c r="D47" s="110" t="n"/>
      <c r="E47" s="110" t="n"/>
      <c r="F47" s="110" t="n"/>
      <c r="G47" s="110" t="n"/>
      <c r="H47" s="110" t="n"/>
      <c r="I47" s="110" t="n"/>
      <c r="J47" s="110" t="n"/>
      <c r="K47" s="110" t="n"/>
      <c r="L47" s="110" t="n"/>
      <c r="M47" s="110" t="n"/>
      <c r="N47" s="110" t="n"/>
      <c r="O47" s="110" t="n"/>
      <c r="P47" s="110" t="n"/>
      <c r="Q47" s="104" t="n"/>
    </row>
    <row r="48" ht="26.25" customHeight="1" s="112">
      <c r="B48" s="39" t="n"/>
      <c r="C48" s="39" t="n"/>
      <c r="D48" s="39" t="n"/>
      <c r="E48" s="39" t="n"/>
      <c r="F48" s="39" t="n"/>
      <c r="G48" s="39" t="n"/>
      <c r="H48" s="39" t="n"/>
      <c r="I48" s="39" t="n"/>
      <c r="J48" s="39" t="n"/>
      <c r="K48" s="39" t="n"/>
      <c r="L48" s="39" t="n"/>
      <c r="M48" s="39" t="n"/>
      <c r="N48" s="39" t="n"/>
      <c r="O48" s="39" t="n"/>
      <c r="P48" s="39" t="n"/>
      <c r="Q48" s="104" t="n"/>
    </row>
  </sheetData>
  <mergeCells count="3">
    <mergeCell ref="G2:K2"/>
    <mergeCell ref="B1:F1"/>
    <mergeCell ref="D2:E2"/>
  </mergeCells>
  <dataValidations count="1">
    <dataValidation sqref="A1" showDropDown="0" showInputMessage="1" showErrorMessage="1" allowBlank="1" prompt="Create Monthly Cash Flow Statement in this worksheet. _x000a__x000a_Enter details in Monthly table. Total monthly cash flow is automatically calculated in cell D2. Tip is in cell G2."/>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6"/>
    <outlinePr summaryBelow="1" summaryRight="1"/>
    <pageSetUpPr autoPageBreaks="0" fitToPage="1"/>
  </sheetPr>
  <dimension ref="A1:AB28"/>
  <sheetViews>
    <sheetView showGridLines="0" zoomScaleNormal="100" workbookViewId="0">
      <selection activeCell="A1" sqref="A1"/>
    </sheetView>
  </sheetViews>
  <sheetFormatPr baseColWidth="8" defaultColWidth="20.75" defaultRowHeight="13.9"/>
  <cols>
    <col width="2.75" customWidth="1" style="15" min="1" max="1"/>
    <col width="16.75" customWidth="1" style="15" min="2" max="4"/>
    <col width="3.75" customWidth="1" style="15" min="5" max="5"/>
    <col width="16.75" customWidth="1" style="15" min="6" max="8"/>
    <col width="3.75" customWidth="1" style="15" min="9" max="9"/>
    <col width="16.75" customWidth="1" style="15" min="10" max="12"/>
    <col width="3.75" customWidth="1" style="15" min="13" max="13"/>
    <col width="16.75" customWidth="1" style="15" min="14" max="16"/>
    <col width="2.75" customWidth="1" style="15" min="17" max="17"/>
    <col hidden="1" width="20.75" customWidth="1" style="15" min="18" max="19"/>
    <col hidden="1" width="1.75" customWidth="1" style="15" min="20" max="20"/>
    <col hidden="1" width="20.75" customWidth="1" style="15" min="21" max="22"/>
    <col hidden="1" width="1.75" customWidth="1" style="15" min="23" max="23"/>
    <col hidden="1" width="20.75" customWidth="1" style="15" min="24" max="25"/>
    <col hidden="1" width="1.75" customWidth="1" style="15" min="26" max="26"/>
    <col hidden="1" width="20.75" customWidth="1" style="15" min="27" max="28"/>
    <col width="14.75" customWidth="1" style="15" min="29" max="29"/>
    <col width="20.75" customWidth="1" style="15" min="30" max="16384"/>
  </cols>
  <sheetData>
    <row r="1" ht="70.15000000000001" customFormat="1" customHeight="1" s="22">
      <c r="A1" s="21" t="n"/>
      <c r="B1" s="93" t="inlineStr">
        <is>
          <t>ANNUAL CASH FLOW</t>
        </is>
      </c>
      <c r="G1" s="21" t="n"/>
      <c r="H1" s="21" t="inlineStr">
        <is>
          <t>'Annual Cash Flow'!A1</t>
        </is>
      </c>
      <c r="I1" s="21" t="inlineStr">
        <is>
          <t>'Annual Cash Flow'!A1</t>
        </is>
      </c>
      <c r="J1" s="21" t="inlineStr">
        <is>
          <t>Guide!A1</t>
        </is>
      </c>
      <c r="K1" s="21" t="n"/>
      <c r="L1" s="21" t="inlineStr">
        <is>
          <t>'Monthly Cash Flow'!A1</t>
        </is>
      </c>
      <c r="M1" s="21" t="n"/>
      <c r="N1" s="21" t="n"/>
      <c r="O1" s="21" t="n"/>
      <c r="P1" s="21" t="n"/>
      <c r="Q1" s="22" t="inlineStr">
        <is>
          <t> </t>
        </is>
      </c>
    </row>
    <row r="2" ht="70.15000000000001" customHeight="1" s="112" thickBot="1">
      <c r="B2" s="48" t="inlineStr">
        <is>
          <t>Total cash flow to date:</t>
        </is>
      </c>
      <c r="D2" s="106" t="n"/>
      <c r="F2" s="23" t="n"/>
      <c r="G2" s="95" t="inlineStr">
        <is>
          <t>This is an annual estimation. Use this worksheet if you wish to view annual amounts with estimated monthly values. Use income, expenses, discretionary, and savings worksheets to enter items.</t>
        </is>
      </c>
      <c r="M2" s="24" t="n"/>
      <c r="N2" s="24" t="n"/>
    </row>
    <row r="3" ht="45" customFormat="1" customHeight="1" s="57" thickBot="1" thickTop="1">
      <c r="B3" s="96" t="inlineStr">
        <is>
          <t>Income Summary</t>
        </is>
      </c>
      <c r="C3" s="96" t="n"/>
      <c r="D3" s="96" t="n"/>
      <c r="E3" s="25" t="n"/>
      <c r="F3" s="96" t="inlineStr">
        <is>
          <t>Expenses Summary</t>
        </is>
      </c>
      <c r="G3" s="96" t="n"/>
      <c r="H3" s="96" t="n"/>
      <c r="I3" s="25" t="n"/>
      <c r="J3" s="96" t="inlineStr">
        <is>
          <t>Discretionary Summary</t>
        </is>
      </c>
      <c r="K3" s="114" t="n"/>
      <c r="L3" s="114" t="n"/>
      <c r="M3" s="25" t="n"/>
      <c r="N3" s="96" t="inlineStr">
        <is>
          <t>Savings Summary</t>
        </is>
      </c>
      <c r="O3" s="114" t="n"/>
      <c r="P3" s="114" t="n"/>
    </row>
    <row r="4" ht="40.15" customHeight="1" s="112" thickTop="1">
      <c r="B4" s="27" t="inlineStr">
        <is>
          <t>Total annual:</t>
        </is>
      </c>
      <c r="C4" s="115" t="n"/>
      <c r="F4" s="27" t="inlineStr">
        <is>
          <t>Total annual:</t>
        </is>
      </c>
      <c r="G4" s="115" t="n"/>
      <c r="J4" s="27" t="inlineStr">
        <is>
          <t>Total annual:</t>
        </is>
      </c>
      <c r="K4" s="115" t="n"/>
      <c r="N4" s="27" t="inlineStr">
        <is>
          <t>Total annual:</t>
        </is>
      </c>
      <c r="O4" s="116" t="n"/>
    </row>
    <row r="5" ht="340.15" customHeight="1" s="112">
      <c r="B5" s="28" t="n"/>
      <c r="C5" s="28" t="n"/>
      <c r="D5" s="28" t="n"/>
      <c r="F5" s="28" t="n"/>
      <c r="G5" s="28" t="n"/>
      <c r="H5" s="28" t="n"/>
      <c r="J5" s="28" t="n"/>
      <c r="K5" s="28" t="n"/>
      <c r="L5" s="28" t="n"/>
      <c r="N5" s="28" t="n"/>
      <c r="O5" s="28" t="n"/>
      <c r="P5" s="28" t="n"/>
    </row>
    <row r="6" ht="12" customHeight="1" s="112" thickBot="1">
      <c r="B6" s="28" t="n"/>
      <c r="C6" s="28" t="n"/>
      <c r="D6" s="28" t="n"/>
      <c r="F6" s="28" t="n"/>
      <c r="G6" s="28" t="n"/>
      <c r="H6" s="28" t="n"/>
      <c r="J6" s="28" t="n"/>
      <c r="K6" s="28" t="n"/>
      <c r="L6" s="28" t="n"/>
      <c r="N6" s="28" t="n"/>
      <c r="O6" s="28" t="n"/>
      <c r="P6" s="28" t="n"/>
    </row>
    <row r="7" ht="34.15" customHeight="1" s="112" thickBot="1" thickTop="1">
      <c r="B7" s="29" t="inlineStr">
        <is>
          <t>Total Monthly:</t>
        </is>
      </c>
      <c r="C7" s="117" t="n"/>
      <c r="D7" s="114" t="n"/>
      <c r="F7" s="29" t="inlineStr">
        <is>
          <t>Total Monthly:</t>
        </is>
      </c>
      <c r="G7" s="117" t="n"/>
      <c r="H7" s="114" t="n"/>
      <c r="J7" s="29" t="inlineStr">
        <is>
          <t>Total Monthly:</t>
        </is>
      </c>
      <c r="K7" s="117" t="n"/>
      <c r="L7" s="114" t="n"/>
      <c r="N7" s="30" t="inlineStr">
        <is>
          <t>Total Monthly:</t>
        </is>
      </c>
      <c r="O7" s="118" t="n"/>
      <c r="P7" s="114" t="n"/>
    </row>
    <row r="8" ht="14.45" customHeight="1" s="112" thickTop="1"/>
    <row r="9">
      <c r="R9" s="10" t="inlineStr">
        <is>
          <t>Row Labels</t>
        </is>
      </c>
      <c r="S9" s="10" t="inlineStr">
        <is>
          <t>Annual Income</t>
        </is>
      </c>
      <c r="U9" s="10" t="inlineStr">
        <is>
          <t>Row Labels</t>
        </is>
      </c>
      <c r="V9" s="10" t="inlineStr">
        <is>
          <t>Sum of Annual</t>
        </is>
      </c>
      <c r="X9" s="10" t="inlineStr">
        <is>
          <t>Row Labels</t>
        </is>
      </c>
      <c r="Y9" s="10" t="inlineStr">
        <is>
          <t>Sum of Annual</t>
        </is>
      </c>
      <c r="AA9" s="10" t="inlineStr">
        <is>
          <t>Row Labels</t>
        </is>
      </c>
      <c r="AB9" s="10" t="inlineStr">
        <is>
          <t>Sum of Annual</t>
        </is>
      </c>
    </row>
    <row r="10">
      <c r="R10" s="86" t="inlineStr">
        <is>
          <t>Other 2</t>
        </is>
      </c>
      <c r="S10" s="119" t="n">
        <v>0</v>
      </c>
      <c r="U10" s="86" t="inlineStr">
        <is>
          <t>Other 1</t>
        </is>
      </c>
      <c r="V10" s="120" t="n">
        <v>0</v>
      </c>
      <c r="X10" s="86" t="inlineStr">
        <is>
          <t>Other 2</t>
        </is>
      </c>
      <c r="Y10" s="119" t="n">
        <v>0</v>
      </c>
      <c r="AA10" s="86" t="inlineStr">
        <is>
          <t>Other 1</t>
        </is>
      </c>
      <c r="AB10" s="119" t="n">
        <v>0</v>
      </c>
    </row>
    <row r="11">
      <c r="R11" s="86" t="inlineStr">
        <is>
          <t>Other 3</t>
        </is>
      </c>
      <c r="S11" s="119" t="n">
        <v>0</v>
      </c>
      <c r="U11" s="86" t="inlineStr">
        <is>
          <t>Other 2</t>
        </is>
      </c>
      <c r="V11" s="120" t="n">
        <v>0</v>
      </c>
      <c r="X11" s="86" t="inlineStr">
        <is>
          <t>Other 1</t>
        </is>
      </c>
      <c r="Y11" s="119" t="n">
        <v>0</v>
      </c>
      <c r="AA11" s="86" t="inlineStr">
        <is>
          <t>Other 2</t>
        </is>
      </c>
      <c r="AB11" s="119" t="n">
        <v>0</v>
      </c>
    </row>
    <row r="12">
      <c r="R12" s="86" t="inlineStr">
        <is>
          <t>Other 4</t>
        </is>
      </c>
      <c r="S12" s="119" t="n">
        <v>0</v>
      </c>
      <c r="U12" s="86" t="inlineStr">
        <is>
          <t>Garbage</t>
        </is>
      </c>
      <c r="V12" s="120" t="n">
        <v>150</v>
      </c>
      <c r="X12" s="86" t="inlineStr">
        <is>
          <t>Club memberships</t>
        </is>
      </c>
      <c r="Y12" s="119" t="n">
        <v>300</v>
      </c>
      <c r="AA12" s="86" t="inlineStr">
        <is>
          <t>Cash reserves</t>
        </is>
      </c>
      <c r="AB12" s="119" t="n">
        <v>5000</v>
      </c>
    </row>
    <row r="13">
      <c r="R13" s="86" t="inlineStr">
        <is>
          <t>Commissions/Bonus</t>
        </is>
      </c>
      <c r="S13" s="119" t="n">
        <v>5000</v>
      </c>
      <c r="U13" s="86" t="inlineStr">
        <is>
          <t>Vehicle tax/fees</t>
        </is>
      </c>
      <c r="V13" s="120" t="n">
        <v>200</v>
      </c>
      <c r="X13" s="86" t="inlineStr">
        <is>
          <t>Personal care</t>
        </is>
      </c>
      <c r="Y13" s="119" t="n">
        <v>300</v>
      </c>
      <c r="AA13" s="86" t="inlineStr">
        <is>
          <t>Savings/investment</t>
        </is>
      </c>
      <c r="AB13" s="119" t="n">
        <v>6000</v>
      </c>
    </row>
    <row r="14">
      <c r="R14" s="86" t="inlineStr">
        <is>
          <t>Other 1</t>
        </is>
      </c>
      <c r="S14" s="119" t="n">
        <v>30000</v>
      </c>
      <c r="U14" s="86" t="inlineStr">
        <is>
          <t>Insurance</t>
        </is>
      </c>
      <c r="V14" s="120" t="n">
        <v>250</v>
      </c>
      <c r="X14" s="86" t="inlineStr">
        <is>
          <t>Gifts</t>
        </is>
      </c>
      <c r="Y14" s="119" t="n">
        <v>600</v>
      </c>
      <c r="AA14" s="86" t="inlineStr">
        <is>
          <t>401k etc.</t>
        </is>
      </c>
      <c r="AB14" s="119" t="n">
        <v>12000</v>
      </c>
    </row>
    <row r="15">
      <c r="R15" s="86" t="inlineStr">
        <is>
          <t>Salary</t>
        </is>
      </c>
      <c r="S15" s="119" t="n">
        <v>90000</v>
      </c>
      <c r="U15" s="86" t="inlineStr">
        <is>
          <t>Internet</t>
        </is>
      </c>
      <c r="V15" s="120" t="n">
        <v>600</v>
      </c>
      <c r="X15" s="86" t="inlineStr">
        <is>
          <t>Charity</t>
        </is>
      </c>
      <c r="Y15" s="119" t="n">
        <v>600</v>
      </c>
      <c r="AA15" s="86" t="inlineStr">
        <is>
          <t>Grand Total</t>
        </is>
      </c>
      <c r="AB15" s="119" t="n">
        <v>23000</v>
      </c>
    </row>
    <row r="16">
      <c r="R16" s="86" t="inlineStr">
        <is>
          <t>Grand Total</t>
        </is>
      </c>
      <c r="S16" s="119" t="n">
        <v>125000</v>
      </c>
      <c r="U16" s="86" t="inlineStr">
        <is>
          <t>Gas</t>
        </is>
      </c>
      <c r="V16" s="120" t="n">
        <v>600</v>
      </c>
      <c r="X16" s="86" t="inlineStr">
        <is>
          <t>Entertainment</t>
        </is>
      </c>
      <c r="Y16" s="119" t="n">
        <v>1200</v>
      </c>
    </row>
    <row r="17">
      <c r="U17" s="86" t="inlineStr">
        <is>
          <t>Water/sewer</t>
        </is>
      </c>
      <c r="V17" s="120" t="n">
        <v>600</v>
      </c>
      <c r="X17" s="86" t="inlineStr">
        <is>
          <t>Dining</t>
        </is>
      </c>
      <c r="Y17" s="119" t="n">
        <v>1200</v>
      </c>
    </row>
    <row r="18">
      <c r="U18" s="86" t="inlineStr">
        <is>
          <t>Phone</t>
        </is>
      </c>
      <c r="V18" s="120" t="n">
        <v>600</v>
      </c>
      <c r="X18" s="86" t="inlineStr">
        <is>
          <t>Shopping</t>
        </is>
      </c>
      <c r="Y18" s="119" t="n">
        <v>2000</v>
      </c>
    </row>
    <row r="19">
      <c r="U19" s="86" t="inlineStr">
        <is>
          <t>Medical/dental/Rx</t>
        </is>
      </c>
      <c r="V19" s="120" t="n">
        <v>600</v>
      </c>
      <c r="X19" s="86" t="inlineStr">
        <is>
          <t>Travel</t>
        </is>
      </c>
      <c r="Y19" s="119" t="n">
        <v>2250</v>
      </c>
    </row>
    <row r="20">
      <c r="U20" s="86" t="inlineStr">
        <is>
          <t>Electricity</t>
        </is>
      </c>
      <c r="V20" s="120" t="n">
        <v>1200</v>
      </c>
      <c r="X20" s="86" t="inlineStr">
        <is>
          <t>Home improvements</t>
        </is>
      </c>
      <c r="Y20" s="119" t="n">
        <v>4800</v>
      </c>
    </row>
    <row r="21">
      <c r="U21" s="86" t="inlineStr">
        <is>
          <t>Clothing</t>
        </is>
      </c>
      <c r="V21" s="120" t="n">
        <v>1200</v>
      </c>
      <c r="X21" s="86" t="inlineStr">
        <is>
          <t>Grand Total</t>
        </is>
      </c>
      <c r="Y21" s="119" t="n">
        <v>13250</v>
      </c>
    </row>
    <row r="22">
      <c r="U22" s="86" t="inlineStr">
        <is>
          <t>Disability premiums</t>
        </is>
      </c>
      <c r="V22" s="120" t="n">
        <v>1500</v>
      </c>
    </row>
    <row r="23">
      <c r="U23" s="86" t="inlineStr">
        <is>
          <t>State income tax</t>
        </is>
      </c>
      <c r="V23" s="120" t="n">
        <v>2500</v>
      </c>
    </row>
    <row r="24">
      <c r="U24" s="86" t="inlineStr">
        <is>
          <t>Vehicle payments</t>
        </is>
      </c>
      <c r="V24" s="120" t="n">
        <v>4000</v>
      </c>
    </row>
    <row r="25">
      <c r="U25" s="86" t="inlineStr">
        <is>
          <t>Food</t>
        </is>
      </c>
      <c r="V25" s="120" t="n">
        <v>5000</v>
      </c>
    </row>
    <row r="26">
      <c r="U26" s="86" t="inlineStr">
        <is>
          <t>Federal/SS/Medicare</t>
        </is>
      </c>
      <c r="V26" s="120" t="n">
        <v>12500</v>
      </c>
    </row>
    <row r="27">
      <c r="U27" s="86" t="inlineStr">
        <is>
          <t>Mortgage/rent</t>
        </is>
      </c>
      <c r="V27" s="120" t="n">
        <v>15000</v>
      </c>
    </row>
    <row r="28">
      <c r="U28" s="86" t="inlineStr">
        <is>
          <t>Grand Total</t>
        </is>
      </c>
      <c r="V28" s="120" t="n">
        <v>46500</v>
      </c>
    </row>
  </sheetData>
  <mergeCells count="13">
    <mergeCell ref="O7:P7"/>
    <mergeCell ref="G4:H4"/>
    <mergeCell ref="K7:L7"/>
    <mergeCell ref="G2:L2"/>
    <mergeCell ref="D2:E2"/>
    <mergeCell ref="C7:D7"/>
    <mergeCell ref="G7:H7"/>
    <mergeCell ref="B1:F1"/>
    <mergeCell ref="K4:L4"/>
    <mergeCell ref="O4:P4"/>
    <mergeCell ref="J3:L3"/>
    <mergeCell ref="N3:P3"/>
    <mergeCell ref="C4:D4"/>
  </mergeCells>
  <dataValidations count="1">
    <dataValidation sqref="A1" showDropDown="0" showInputMessage="1" showErrorMessage="1" allowBlank="1" prompt="Create Annual Cash Flow Statement in this worksheet. _x000a__x000a_Details for each category are automatically updated. Total cash flow to date is automatically calculated in cell D2. Charts are automatically updated. Tip is in cell G2."/>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5"/>
    <outlinePr summaryBelow="1" summaryRight="1"/>
    <pageSetUpPr autoPageBreaks="0" fitToPage="1"/>
  </sheetPr>
  <dimension ref="A1:O10"/>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52" t="inlineStr">
        <is>
          <t>INCOME</t>
        </is>
      </c>
      <c r="C1" s="19" t="n"/>
      <c r="D1" s="19" t="n"/>
      <c r="E1" s="19" t="n"/>
      <c r="F1" s="19" t="n"/>
      <c r="G1" s="12" t="inlineStr">
        <is>
          <t>'Daily Summary'!A1</t>
        </is>
      </c>
      <c r="H1" s="12" t="inlineStr">
        <is>
          <t>Income!A1</t>
        </is>
      </c>
      <c r="I1" s="12" t="inlineStr">
        <is>
          <t>Expenses!A1</t>
        </is>
      </c>
      <c r="J1" s="12" t="n"/>
      <c r="K1" s="12" t="n"/>
      <c r="L1" s="12" t="n"/>
      <c r="M1" s="12" t="n"/>
      <c r="N1" s="12" t="n"/>
      <c r="O1" s="12" t="n"/>
    </row>
    <row r="2" ht="70.15000000000001" customFormat="1" customHeight="1" s="7" thickBot="1">
      <c r="B2" s="66" t="inlineStr">
        <is>
          <t>Total cash flow to date:</t>
        </is>
      </c>
      <c r="C2" s="20" t="n"/>
      <c r="D2" s="121" t="n"/>
      <c r="E2" s="106" t="n"/>
      <c r="G2" s="104"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5" thickTop="1">
      <c r="B3" s="67" t="inlineStr">
        <is>
          <t>Income</t>
        </is>
      </c>
      <c r="C3" s="78" t="inlineStr">
        <is>
          <t>Annual</t>
        </is>
      </c>
      <c r="D3" s="78" t="inlineStr">
        <is>
          <t>Monthly</t>
        </is>
      </c>
      <c r="F3" s="56" t="n"/>
      <c r="G3" s="56" t="n"/>
      <c r="H3" s="56" t="n"/>
      <c r="I3" s="56" t="n"/>
    </row>
    <row r="4" ht="40.15" customHeight="1" s="112">
      <c r="A4" s="104" t="n"/>
      <c r="B4" s="72" t="inlineStr">
        <is>
          <t>Salary</t>
        </is>
      </c>
      <c r="C4" s="122" t="n">
        <v>90000</v>
      </c>
      <c r="D4" s="122" t="n"/>
      <c r="E4" s="104" t="n"/>
      <c r="F4" s="104" t="n"/>
      <c r="G4" s="104" t="n"/>
      <c r="H4" s="104" t="n"/>
      <c r="I4" s="104" t="n"/>
      <c r="J4" s="104" t="n"/>
      <c r="K4" s="104" t="n"/>
      <c r="L4" s="104" t="n"/>
      <c r="M4" s="104" t="n"/>
      <c r="N4" s="104" t="n"/>
      <c r="O4" s="104" t="n"/>
    </row>
    <row r="5" ht="40.15" customHeight="1" s="112">
      <c r="A5" s="104" t="n"/>
      <c r="B5" s="72" t="inlineStr">
        <is>
          <t>Commissions/Bonus</t>
        </is>
      </c>
      <c r="C5" s="122" t="n">
        <v>5000</v>
      </c>
      <c r="D5" s="122" t="n"/>
      <c r="E5" s="104" t="n"/>
      <c r="F5" s="101" t="n"/>
      <c r="J5" s="104" t="n"/>
      <c r="K5" s="104" t="n"/>
      <c r="L5" s="104" t="n"/>
      <c r="M5" s="104" t="n"/>
      <c r="N5" s="104" t="n"/>
      <c r="O5" s="104" t="n"/>
    </row>
    <row r="6" ht="40.15" customHeight="1" s="112">
      <c r="A6" s="104" t="n"/>
      <c r="B6" s="72" t="inlineStr">
        <is>
          <t>Other 1</t>
        </is>
      </c>
      <c r="C6" s="122" t="n">
        <v>30000</v>
      </c>
      <c r="D6" s="122" t="n"/>
      <c r="E6" s="104" t="n"/>
      <c r="F6" s="104" t="n"/>
      <c r="G6" s="104" t="n"/>
      <c r="H6" s="104" t="n"/>
      <c r="I6" s="104" t="n"/>
      <c r="J6" s="104" t="n"/>
      <c r="K6" s="104" t="n"/>
      <c r="L6" s="104" t="n"/>
      <c r="M6" s="104" t="n"/>
      <c r="N6" s="104" t="n"/>
      <c r="O6" s="104" t="n"/>
    </row>
    <row r="7" ht="40.15" customHeight="1" s="112">
      <c r="A7" s="104" t="n"/>
      <c r="B7" s="72" t="inlineStr">
        <is>
          <t>Other 2</t>
        </is>
      </c>
      <c r="C7" s="122" t="n">
        <v>0</v>
      </c>
      <c r="D7" s="122" t="n"/>
      <c r="E7" s="104" t="n"/>
      <c r="F7" s="104" t="n"/>
      <c r="G7" s="104" t="n"/>
      <c r="H7" s="104" t="n"/>
      <c r="I7" s="104" t="n"/>
      <c r="J7" s="104" t="n"/>
      <c r="K7" s="104" t="n"/>
      <c r="L7" s="104" t="n"/>
      <c r="M7" s="104" t="n"/>
      <c r="N7" s="104" t="n"/>
      <c r="O7" s="104" t="n"/>
    </row>
    <row r="8" ht="40.15" customHeight="1" s="112">
      <c r="A8" s="104" t="n"/>
      <c r="B8" s="72" t="inlineStr">
        <is>
          <t>Other 3</t>
        </is>
      </c>
      <c r="C8" s="122" t="n">
        <v>0</v>
      </c>
      <c r="D8" s="122" t="n"/>
      <c r="E8" s="104" t="n"/>
      <c r="F8" s="104" t="n"/>
      <c r="G8" s="104" t="n"/>
      <c r="H8" s="104" t="n"/>
      <c r="I8" s="104" t="n"/>
      <c r="J8" s="104" t="n"/>
      <c r="K8" s="104" t="n"/>
      <c r="L8" s="104" t="n"/>
      <c r="M8" s="104" t="n"/>
      <c r="N8" s="104" t="n"/>
      <c r="O8" s="104" t="n"/>
    </row>
    <row r="9" ht="40.15" customHeight="1" s="112">
      <c r="A9" s="104" t="n"/>
      <c r="B9" s="72" t="inlineStr">
        <is>
          <t>Other 4</t>
        </is>
      </c>
      <c r="C9" s="122" t="n">
        <v>0</v>
      </c>
      <c r="D9" s="122" t="n"/>
      <c r="E9" s="104" t="n"/>
      <c r="F9" s="104" t="n"/>
      <c r="G9" s="104" t="n"/>
      <c r="H9" s="104" t="n"/>
      <c r="I9" s="104" t="n"/>
      <c r="J9" s="104" t="n"/>
      <c r="K9" s="104" t="n"/>
      <c r="L9" s="104" t="n"/>
      <c r="M9" s="104" t="n"/>
      <c r="N9" s="104" t="n"/>
      <c r="O9" s="104" t="n"/>
    </row>
    <row r="10" ht="30" customHeight="1" s="112">
      <c r="A10" s="104" t="n"/>
      <c r="B10" s="67" t="inlineStr">
        <is>
          <t>Total</t>
        </is>
      </c>
      <c r="C10" s="122" t="n"/>
      <c r="D10" s="122" t="n"/>
      <c r="E10" s="104" t="n"/>
      <c r="F10" s="104" t="n"/>
      <c r="G10" s="104" t="n"/>
      <c r="H10" s="104" t="n"/>
      <c r="I10" s="104" t="n"/>
      <c r="J10" s="104" t="n"/>
      <c r="K10" s="104" t="n"/>
      <c r="L10" s="104" t="n"/>
      <c r="M10" s="104" t="n"/>
      <c r="N10" s="104" t="n"/>
      <c r="O10" s="104" t="n"/>
    </row>
  </sheetData>
  <mergeCells count="2">
    <mergeCell ref="F5:I5"/>
    <mergeCell ref="G2:L2"/>
  </mergeCells>
  <dataValidations xWindow="999" yWindow="322" count="2">
    <dataValidation sqref="B2" showDropDown="0" showInputMessage="1" showErrorMessage="1" allowBlank="1" prompt="Total Cash Flow to Date is automatically calculated in cell at right"/>
    <dataValidation sqref="A1" showDropDown="0" showInputMessage="1" showErrorMessage="1" allowBlank="1" prompt="Create Income Cash Flow in this worksheet. _x000a__x000a_Enter details in Income table. Total cash flow to date is automatically calculated in cell D2. Tip is in cell G2."/>
  </dataValidations>
  <hyperlinks>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outlinePr summaryBelow="1" summaryRight="1"/>
    <pageSetUpPr autoPageBreaks="0" fitToPage="1"/>
  </sheetPr>
  <dimension ref="A1:O22"/>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EXPENSES</t>
        </is>
      </c>
      <c r="G1" s="12" t="inlineStr">
        <is>
          <t>Income!A1</t>
        </is>
      </c>
      <c r="H1" s="12" t="inlineStr">
        <is>
          <t>Expenses!A1</t>
        </is>
      </c>
      <c r="I1" s="12" t="inlineStr">
        <is>
          <t>Discretionary!A1</t>
        </is>
      </c>
      <c r="J1" s="12" t="n"/>
      <c r="K1" s="12" t="n"/>
      <c r="L1" s="12" t="n"/>
      <c r="M1" s="12" t="n"/>
      <c r="N1" s="12" t="n"/>
      <c r="O1" s="12" t="n"/>
    </row>
    <row r="2" ht="70.15000000000001" customFormat="1" customHeight="1" s="7">
      <c r="B2" s="48" t="inlineStr">
        <is>
          <t>Total cash flow to date:</t>
        </is>
      </c>
      <c r="C2" s="15" t="n"/>
      <c r="D2" s="123" t="n"/>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Expenses</t>
        </is>
      </c>
      <c r="C3" s="71" t="inlineStr">
        <is>
          <t>Annual</t>
        </is>
      </c>
      <c r="D3" s="71" t="inlineStr">
        <is>
          <t>Monthly</t>
        </is>
      </c>
    </row>
    <row r="4" ht="40.15" customHeight="1" s="112">
      <c r="A4" s="104" t="n"/>
      <c r="B4" s="72" t="inlineStr">
        <is>
          <t>Federal/SS/Medicare</t>
        </is>
      </c>
      <c r="C4" s="122" t="n">
        <v>12500</v>
      </c>
      <c r="D4" s="122" t="n"/>
      <c r="E4" s="104" t="n"/>
      <c r="F4" s="104" t="n"/>
      <c r="G4" s="104" t="n"/>
      <c r="H4" s="104" t="n"/>
      <c r="I4" s="104" t="n"/>
      <c r="J4" s="104" t="n"/>
      <c r="K4" s="104" t="n"/>
      <c r="L4" s="104" t="n"/>
      <c r="M4" s="104" t="n"/>
      <c r="N4" s="104" t="n"/>
      <c r="O4" s="104" t="n"/>
    </row>
    <row r="5" ht="40.15" customHeight="1" s="112">
      <c r="A5" s="104" t="n"/>
      <c r="B5" s="68" t="inlineStr">
        <is>
          <t>State income tax</t>
        </is>
      </c>
      <c r="C5" s="122" t="n">
        <v>2500</v>
      </c>
      <c r="D5" s="122" t="n"/>
      <c r="E5" s="104" t="n"/>
      <c r="F5" s="104" t="n"/>
      <c r="G5" s="104" t="n"/>
      <c r="H5" s="104" t="n"/>
      <c r="I5" s="104" t="n"/>
      <c r="J5" s="104" t="n"/>
      <c r="K5" s="104" t="n"/>
      <c r="L5" s="104" t="n"/>
      <c r="M5" s="104" t="n"/>
      <c r="N5" s="104" t="n"/>
      <c r="O5" s="104" t="n"/>
    </row>
    <row r="6" ht="40.15" customHeight="1" s="112">
      <c r="A6" s="104" t="n"/>
      <c r="B6" s="124" t="inlineStr">
        <is>
          <t>Vehicle tax/fees</t>
        </is>
      </c>
      <c r="C6" s="122" t="n">
        <v>200</v>
      </c>
      <c r="D6" s="122" t="n"/>
      <c r="E6" s="104" t="n"/>
      <c r="F6" s="104" t="n"/>
      <c r="G6" s="104" t="n"/>
      <c r="H6" s="104" t="n"/>
      <c r="I6" s="104" t="n"/>
      <c r="J6" s="104" t="n"/>
      <c r="K6" s="104" t="n"/>
      <c r="L6" s="104" t="n"/>
      <c r="M6" s="104" t="n"/>
      <c r="N6" s="104" t="n"/>
      <c r="O6" s="104" t="n"/>
    </row>
    <row r="7" ht="40.15" customHeight="1" s="112">
      <c r="A7" s="104" t="n"/>
      <c r="B7" s="124" t="inlineStr">
        <is>
          <t>Vehicle payments</t>
        </is>
      </c>
      <c r="C7" s="122" t="n">
        <v>4000</v>
      </c>
      <c r="D7" s="122" t="n"/>
      <c r="E7" s="104" t="n"/>
      <c r="F7" s="104" t="n"/>
      <c r="G7" s="104" t="n"/>
      <c r="H7" s="104" t="n"/>
      <c r="I7" s="104" t="n"/>
      <c r="J7" s="104" t="n"/>
      <c r="K7" s="104" t="n"/>
      <c r="L7" s="104" t="n"/>
      <c r="M7" s="104" t="n"/>
      <c r="N7" s="104" t="n"/>
      <c r="O7" s="104" t="n"/>
    </row>
    <row r="8" ht="40.15" customHeight="1" s="112">
      <c r="A8" s="104" t="n"/>
      <c r="B8" s="124" t="inlineStr">
        <is>
          <t>Mortgage/rent</t>
        </is>
      </c>
      <c r="C8" s="122" t="n">
        <v>15000</v>
      </c>
      <c r="D8" s="122" t="n"/>
      <c r="E8" s="104" t="n"/>
      <c r="F8" s="104" t="n"/>
      <c r="G8" s="104" t="n"/>
      <c r="H8" s="104" t="n"/>
      <c r="I8" s="104" t="n"/>
      <c r="J8" s="104" t="n"/>
      <c r="K8" s="104" t="n"/>
      <c r="L8" s="104" t="n"/>
      <c r="M8" s="104" t="n"/>
      <c r="N8" s="104" t="n"/>
      <c r="O8" s="104" t="n"/>
    </row>
    <row r="9" ht="40.15" customHeight="1" s="112">
      <c r="A9" s="104" t="n"/>
      <c r="B9" s="124" t="inlineStr">
        <is>
          <t>Insurance</t>
        </is>
      </c>
      <c r="C9" s="122" t="n">
        <v>250</v>
      </c>
      <c r="D9" s="122" t="n"/>
      <c r="E9" s="104" t="n"/>
      <c r="F9" s="104" t="n"/>
      <c r="G9" s="104" t="n"/>
      <c r="H9" s="104" t="n"/>
      <c r="I9" s="104" t="n"/>
      <c r="J9" s="104" t="n"/>
      <c r="K9" s="104" t="n"/>
      <c r="L9" s="104" t="n"/>
      <c r="M9" s="104" t="n"/>
      <c r="N9" s="104" t="n"/>
      <c r="O9" s="104" t="n"/>
    </row>
    <row r="10" ht="40.15" customHeight="1" s="112">
      <c r="A10" s="104" t="n"/>
      <c r="B10" s="124" t="inlineStr">
        <is>
          <t>Electricity</t>
        </is>
      </c>
      <c r="C10" s="122" t="n">
        <v>1200</v>
      </c>
      <c r="D10" s="122" t="n"/>
      <c r="E10" s="104" t="n"/>
      <c r="F10" s="104" t="n"/>
      <c r="G10" s="104" t="n"/>
      <c r="H10" s="104" t="n"/>
      <c r="I10" s="104" t="n"/>
      <c r="J10" s="104" t="n"/>
      <c r="K10" s="104" t="n"/>
      <c r="L10" s="104" t="n"/>
      <c r="M10" s="104" t="n"/>
      <c r="N10" s="104" t="n"/>
      <c r="O10" s="104" t="n"/>
    </row>
    <row r="11" ht="40.15" customHeight="1" s="112">
      <c r="A11" s="104" t="n"/>
      <c r="B11" s="124" t="inlineStr">
        <is>
          <t>Gas</t>
        </is>
      </c>
      <c r="C11" s="122" t="n">
        <v>600</v>
      </c>
      <c r="D11" s="122" t="n"/>
      <c r="E11" s="104" t="n"/>
      <c r="F11" s="104" t="n"/>
      <c r="G11" s="104" t="n"/>
      <c r="H11" s="104" t="n"/>
      <c r="I11" s="104" t="n"/>
      <c r="J11" s="104" t="n"/>
      <c r="K11" s="104" t="n"/>
      <c r="L11" s="104" t="n"/>
      <c r="M11" s="104" t="n"/>
      <c r="N11" s="104" t="n"/>
      <c r="O11" s="104" t="n"/>
    </row>
    <row r="12" ht="40.15" customHeight="1" s="112">
      <c r="A12" s="104" t="n"/>
      <c r="B12" s="124" t="inlineStr">
        <is>
          <t>Water/sewer</t>
        </is>
      </c>
      <c r="C12" s="122" t="n">
        <v>600</v>
      </c>
      <c r="D12" s="122" t="n"/>
      <c r="E12" s="104" t="n"/>
      <c r="F12" s="104" t="n"/>
      <c r="G12" s="104" t="n"/>
      <c r="H12" s="104" t="n"/>
      <c r="I12" s="104" t="n"/>
      <c r="J12" s="104" t="n"/>
      <c r="K12" s="104" t="n"/>
      <c r="L12" s="104" t="n"/>
      <c r="M12" s="104" t="n"/>
      <c r="N12" s="104" t="n"/>
      <c r="O12" s="104" t="n"/>
    </row>
    <row r="13" ht="40.15" customHeight="1" s="112">
      <c r="A13" s="104" t="n"/>
      <c r="B13" s="124" t="inlineStr">
        <is>
          <t>Garbage</t>
        </is>
      </c>
      <c r="C13" s="122" t="n">
        <v>150</v>
      </c>
      <c r="D13" s="122" t="n"/>
      <c r="E13" s="104" t="n"/>
      <c r="F13" s="104" t="n"/>
      <c r="G13" s="104" t="n"/>
      <c r="H13" s="104" t="n"/>
      <c r="I13" s="104" t="n"/>
      <c r="J13" s="104" t="n"/>
      <c r="K13" s="104" t="n"/>
      <c r="L13" s="104" t="n"/>
      <c r="M13" s="104" t="n"/>
      <c r="N13" s="104" t="n"/>
      <c r="O13" s="104" t="n"/>
    </row>
    <row r="14" ht="40.15" customHeight="1" s="112">
      <c r="A14" s="104" t="n"/>
      <c r="B14" s="124" t="inlineStr">
        <is>
          <t>Phone</t>
        </is>
      </c>
      <c r="C14" s="122" t="n">
        <v>600</v>
      </c>
      <c r="D14" s="122" t="n"/>
      <c r="E14" s="104" t="n"/>
      <c r="F14" s="104" t="n"/>
      <c r="G14" s="104" t="n"/>
      <c r="H14" s="104" t="n"/>
      <c r="I14" s="104" t="n"/>
      <c r="J14" s="104" t="n"/>
      <c r="K14" s="104" t="n"/>
      <c r="L14" s="104" t="n"/>
      <c r="M14" s="104" t="n"/>
      <c r="N14" s="104" t="n"/>
      <c r="O14" s="104" t="n"/>
    </row>
    <row r="15" ht="40.15" customHeight="1" s="112">
      <c r="A15" s="104" t="n"/>
      <c r="B15" s="124" t="inlineStr">
        <is>
          <t>Internet</t>
        </is>
      </c>
      <c r="C15" s="122" t="n">
        <v>600</v>
      </c>
      <c r="D15" s="122" t="n"/>
      <c r="E15" s="104" t="n"/>
      <c r="F15" s="104" t="n"/>
      <c r="G15" s="104" t="n"/>
      <c r="H15" s="104" t="n"/>
      <c r="I15" s="104" t="n"/>
      <c r="J15" s="104" t="n"/>
      <c r="K15" s="104" t="n"/>
      <c r="L15" s="104" t="n"/>
      <c r="M15" s="104" t="n"/>
      <c r="N15" s="104" t="n"/>
      <c r="O15" s="104" t="n"/>
    </row>
    <row r="16" ht="40.15" customHeight="1" s="112">
      <c r="A16" s="104" t="n"/>
      <c r="B16" s="124" t="inlineStr">
        <is>
          <t>Disability premiums</t>
        </is>
      </c>
      <c r="C16" s="122" t="n">
        <v>1500</v>
      </c>
      <c r="D16" s="122" t="n"/>
      <c r="E16" s="104" t="n"/>
      <c r="F16" s="104" t="n"/>
      <c r="G16" s="104" t="n"/>
      <c r="H16" s="104" t="n"/>
      <c r="I16" s="104" t="n"/>
      <c r="J16" s="104" t="n"/>
      <c r="K16" s="104" t="n"/>
      <c r="L16" s="104" t="n"/>
      <c r="M16" s="104" t="n"/>
      <c r="N16" s="104" t="n"/>
      <c r="O16" s="104" t="n"/>
    </row>
    <row r="17" ht="40.15" customHeight="1" s="112">
      <c r="B17" s="124" t="inlineStr">
        <is>
          <t>Food</t>
        </is>
      </c>
      <c r="C17" s="122" t="n">
        <v>5000</v>
      </c>
      <c r="D17" s="122" t="n"/>
    </row>
    <row r="18" ht="40.15" customHeight="1" s="112">
      <c r="B18" s="124" t="inlineStr">
        <is>
          <t>Clothing</t>
        </is>
      </c>
      <c r="C18" s="122" t="n">
        <v>1200</v>
      </c>
      <c r="D18" s="122" t="n"/>
    </row>
    <row r="19" ht="40.15" customHeight="1" s="112">
      <c r="B19" s="124" t="inlineStr">
        <is>
          <t>Medical/dental/Rx</t>
        </is>
      </c>
      <c r="C19" s="122" t="n">
        <v>600</v>
      </c>
      <c r="D19" s="122" t="n"/>
    </row>
    <row r="20" ht="40.15" customHeight="1" s="112">
      <c r="B20" s="124" t="inlineStr">
        <is>
          <t>Other 1</t>
        </is>
      </c>
      <c r="C20" s="122" t="n">
        <v>0</v>
      </c>
      <c r="D20" s="122" t="n"/>
    </row>
    <row r="21" ht="40.15" customHeight="1" s="112">
      <c r="B21" s="124" t="inlineStr">
        <is>
          <t>Other 2</t>
        </is>
      </c>
      <c r="C21" s="122" t="n">
        <v>0</v>
      </c>
      <c r="D21" s="122" t="n"/>
    </row>
    <row r="22" ht="40.15" customHeight="1" s="112">
      <c r="B22" s="67" t="inlineStr">
        <is>
          <t>Total</t>
        </is>
      </c>
      <c r="C22" s="122" t="n"/>
      <c r="D22" s="122" t="n"/>
    </row>
  </sheetData>
  <mergeCells count="2">
    <mergeCell ref="G2:L2"/>
    <mergeCell ref="B1:F1"/>
  </mergeCells>
  <dataValidations count="1">
    <dataValidation sqref="A1" showDropDown="0" showInputMessage="1" showErrorMessage="1" allowBlank="1" prompt="Enter details in Expenses table in this worksheet. _x000a__x000a_Total cash flow to date is automatically calculated in cell D2. Tip is in cell G2."/>
  </dataValidations>
  <hyperlinks>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6"/>
    <outlinePr summaryBelow="1" summaryRight="1"/>
    <pageSetUpPr autoPageBreaks="0" fitToPage="1"/>
  </sheetPr>
  <dimension ref="A1:O15"/>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DISCRETIONARY</t>
        </is>
      </c>
      <c r="G1" s="12" t="inlineStr">
        <is>
          <t>Expenses!A1</t>
        </is>
      </c>
      <c r="H1" s="12" t="inlineStr">
        <is>
          <t>Discretionary!A1</t>
        </is>
      </c>
      <c r="I1" s="12" t="inlineStr">
        <is>
          <t>Savings!A1</t>
        </is>
      </c>
      <c r="J1" s="12" t="n"/>
      <c r="K1" s="12" t="n"/>
      <c r="L1" s="12" t="n"/>
      <c r="M1" s="12" t="n"/>
      <c r="N1" s="12" t="n"/>
      <c r="O1" s="12" t="n"/>
    </row>
    <row r="2" ht="70.15000000000001" customFormat="1" customHeight="1" s="7" thickBot="1">
      <c r="B2" s="66" t="inlineStr">
        <is>
          <t>Total cash flow to date:</t>
        </is>
      </c>
      <c r="C2" s="15" t="n"/>
      <c r="D2" s="121" t="n"/>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4" thickTop="1">
      <c r="B3" s="70" t="inlineStr">
        <is>
          <t>Expenses</t>
        </is>
      </c>
      <c r="C3" s="71" t="inlineStr">
        <is>
          <t>Annual</t>
        </is>
      </c>
      <c r="D3" s="71" t="inlineStr">
        <is>
          <t>Monthly</t>
        </is>
      </c>
    </row>
    <row r="4" ht="40.15" customHeight="1" s="112">
      <c r="A4" s="104" t="n"/>
      <c r="B4" s="68" t="inlineStr">
        <is>
          <t>Dining</t>
        </is>
      </c>
      <c r="C4" s="122" t="n">
        <v>1200</v>
      </c>
      <c r="D4" s="122" t="n"/>
      <c r="E4" s="104" t="n"/>
      <c r="F4" s="104" t="n"/>
      <c r="G4" s="104" t="n"/>
      <c r="H4" s="104" t="n"/>
      <c r="I4" s="104" t="n"/>
      <c r="J4" s="104" t="n"/>
      <c r="K4" s="104" t="n"/>
      <c r="L4" s="104" t="n"/>
      <c r="M4" s="104" t="n"/>
      <c r="N4" s="104" t="n"/>
      <c r="O4" s="104" t="n"/>
    </row>
    <row r="5" ht="40.15" customHeight="1" s="112">
      <c r="A5" s="104" t="n"/>
      <c r="B5" s="68" t="inlineStr">
        <is>
          <t>Gifts</t>
        </is>
      </c>
      <c r="C5" s="122" t="n">
        <v>600</v>
      </c>
      <c r="D5" s="122" t="n"/>
      <c r="E5" s="104" t="n"/>
      <c r="F5" s="104" t="n"/>
      <c r="G5" s="104" t="n"/>
      <c r="H5" s="104" t="n"/>
      <c r="I5" s="104" t="n"/>
      <c r="J5" s="104" t="n"/>
      <c r="K5" s="104" t="n"/>
      <c r="L5" s="104" t="n"/>
      <c r="M5" s="104" t="n"/>
      <c r="N5" s="104" t="n"/>
      <c r="O5" s="104" t="n"/>
    </row>
    <row r="6" ht="40.15" customHeight="1" s="112">
      <c r="A6" s="104" t="n"/>
      <c r="B6" s="68" t="inlineStr">
        <is>
          <t>Travel</t>
        </is>
      </c>
      <c r="C6" s="122" t="n">
        <v>2250</v>
      </c>
      <c r="D6" s="122" t="n"/>
      <c r="E6" s="104" t="n"/>
      <c r="F6" s="104" t="n"/>
      <c r="G6" s="104" t="n"/>
      <c r="H6" s="104" t="n"/>
      <c r="I6" s="104" t="n"/>
      <c r="J6" s="104" t="n"/>
      <c r="K6" s="104" t="n"/>
      <c r="L6" s="104" t="n"/>
      <c r="M6" s="104" t="n"/>
      <c r="N6" s="104" t="n"/>
      <c r="O6" s="104" t="n"/>
    </row>
    <row r="7" ht="40.15" customHeight="1" s="112">
      <c r="A7" s="104" t="n"/>
      <c r="B7" s="68" t="inlineStr">
        <is>
          <t>Entertainment</t>
        </is>
      </c>
      <c r="C7" s="122" t="n">
        <v>1200</v>
      </c>
      <c r="D7" s="122" t="n"/>
      <c r="E7" s="104" t="n"/>
      <c r="F7" s="104" t="n"/>
      <c r="G7" s="104" t="n"/>
      <c r="H7" s="104" t="n"/>
      <c r="I7" s="104" t="n"/>
      <c r="J7" s="104" t="n"/>
      <c r="K7" s="104" t="n"/>
      <c r="L7" s="104" t="n"/>
      <c r="M7" s="104" t="n"/>
      <c r="N7" s="104" t="n"/>
      <c r="O7" s="104" t="n"/>
    </row>
    <row r="8" ht="40.15" customHeight="1" s="112">
      <c r="A8" s="104" t="n"/>
      <c r="B8" s="68" t="inlineStr">
        <is>
          <t>Personal care</t>
        </is>
      </c>
      <c r="C8" s="122" t="n">
        <v>300</v>
      </c>
      <c r="D8" s="122" t="n"/>
      <c r="E8" s="104" t="n"/>
      <c r="F8" s="104" t="n"/>
      <c r="G8" s="104" t="n"/>
      <c r="H8" s="104" t="n"/>
      <c r="I8" s="104" t="n"/>
      <c r="J8" s="104" t="n"/>
      <c r="K8" s="104" t="n"/>
      <c r="L8" s="104" t="n"/>
      <c r="M8" s="104" t="n"/>
      <c r="N8" s="104" t="n"/>
      <c r="O8" s="104" t="n"/>
    </row>
    <row r="9" ht="40.15" customHeight="1" s="112">
      <c r="A9" s="104" t="n"/>
      <c r="B9" s="68" t="inlineStr">
        <is>
          <t>Shopping</t>
        </is>
      </c>
      <c r="C9" s="122" t="n">
        <v>2000</v>
      </c>
      <c r="D9" s="122" t="n"/>
      <c r="E9" s="104" t="n"/>
      <c r="F9" s="104" t="n"/>
      <c r="G9" s="104" t="n"/>
      <c r="H9" s="104" t="n"/>
      <c r="I9" s="104" t="n"/>
      <c r="J9" s="104" t="n"/>
      <c r="K9" s="104" t="n"/>
      <c r="L9" s="104" t="n"/>
      <c r="M9" s="104" t="n"/>
      <c r="N9" s="104" t="n"/>
      <c r="O9" s="104" t="n"/>
    </row>
    <row r="10" ht="40.15" customHeight="1" s="112">
      <c r="A10" s="104" t="n"/>
      <c r="B10" s="68" t="inlineStr">
        <is>
          <t>Charity</t>
        </is>
      </c>
      <c r="C10" s="122" t="n">
        <v>600</v>
      </c>
      <c r="D10" s="122" t="n"/>
      <c r="E10" s="104" t="n"/>
      <c r="F10" s="104" t="n"/>
      <c r="G10" s="104" t="n"/>
      <c r="H10" s="104" t="n"/>
      <c r="I10" s="104" t="n"/>
      <c r="J10" s="104" t="n"/>
      <c r="K10" s="104" t="n"/>
      <c r="L10" s="104" t="n"/>
      <c r="M10" s="104" t="n"/>
      <c r="N10" s="104" t="n"/>
      <c r="O10" s="104" t="n"/>
    </row>
    <row r="11" ht="40.15" customHeight="1" s="112">
      <c r="A11" s="104" t="n"/>
      <c r="B11" s="68" t="inlineStr">
        <is>
          <t>Club memberships</t>
        </is>
      </c>
      <c r="C11" s="122" t="n">
        <v>300</v>
      </c>
      <c r="D11" s="122" t="n"/>
      <c r="E11" s="104" t="n"/>
      <c r="F11" s="104" t="n"/>
      <c r="G11" s="104" t="n"/>
      <c r="H11" s="104" t="n"/>
      <c r="I11" s="104" t="n"/>
      <c r="J11" s="104" t="n"/>
      <c r="K11" s="104" t="n"/>
      <c r="L11" s="104" t="n"/>
      <c r="M11" s="104" t="n"/>
      <c r="N11" s="104" t="n"/>
      <c r="O11" s="104" t="n"/>
    </row>
    <row r="12" ht="40.15" customHeight="1" s="112">
      <c r="A12" s="104" t="n"/>
      <c r="B12" s="68" t="inlineStr">
        <is>
          <t>Home improvements</t>
        </is>
      </c>
      <c r="C12" s="122" t="n">
        <v>4800</v>
      </c>
      <c r="D12" s="122" t="n"/>
      <c r="E12" s="104" t="n"/>
      <c r="F12" s="104" t="n"/>
      <c r="G12" s="104" t="n"/>
      <c r="H12" s="104" t="n"/>
      <c r="I12" s="104" t="n"/>
      <c r="J12" s="104" t="n"/>
      <c r="K12" s="104" t="n"/>
      <c r="L12" s="104" t="n"/>
      <c r="M12" s="104" t="n"/>
      <c r="N12" s="104" t="n"/>
      <c r="O12" s="104" t="n"/>
    </row>
    <row r="13" ht="40.15" customHeight="1" s="112">
      <c r="A13" s="104" t="n"/>
      <c r="B13" s="68" t="inlineStr">
        <is>
          <t>Other 1</t>
        </is>
      </c>
      <c r="C13" s="122" t="n">
        <v>0</v>
      </c>
      <c r="D13" s="122" t="n"/>
      <c r="E13" s="104" t="n"/>
      <c r="F13" s="104" t="n"/>
      <c r="G13" s="104" t="n"/>
      <c r="H13" s="104" t="n"/>
      <c r="I13" s="104" t="n"/>
      <c r="J13" s="104" t="n"/>
      <c r="K13" s="104" t="n"/>
      <c r="L13" s="104" t="n"/>
      <c r="M13" s="104" t="n"/>
      <c r="N13" s="104" t="n"/>
      <c r="O13" s="104" t="n"/>
    </row>
    <row r="14" ht="40.15" customHeight="1" s="112">
      <c r="A14" s="104" t="n"/>
      <c r="B14" s="68" t="inlineStr">
        <is>
          <t>Other 2</t>
        </is>
      </c>
      <c r="C14" s="122" t="n">
        <v>0</v>
      </c>
      <c r="D14" s="122" t="n"/>
      <c r="E14" s="104" t="n"/>
      <c r="F14" s="104" t="n"/>
      <c r="G14" s="104" t="n"/>
      <c r="H14" s="104" t="n"/>
      <c r="I14" s="104" t="n"/>
      <c r="J14" s="104" t="n"/>
      <c r="K14" s="104" t="n"/>
      <c r="L14" s="104" t="n"/>
      <c r="M14" s="104" t="n"/>
      <c r="N14" s="104" t="n"/>
      <c r="O14" s="104" t="n"/>
    </row>
    <row r="15" ht="40.15" customHeight="1" s="112">
      <c r="A15" s="104" t="n"/>
      <c r="B15" s="67" t="inlineStr">
        <is>
          <t>Total</t>
        </is>
      </c>
      <c r="C15" s="122" t="n"/>
      <c r="D15" s="122" t="n"/>
      <c r="E15" s="104" t="n"/>
      <c r="F15" s="104" t="n"/>
      <c r="G15" s="104" t="n"/>
      <c r="H15" s="104" t="n"/>
      <c r="I15" s="104" t="n"/>
      <c r="J15" s="104" t="n"/>
      <c r="K15" s="104" t="n"/>
      <c r="L15" s="104" t="n"/>
      <c r="M15" s="104" t="n"/>
      <c r="N15" s="104" t="n"/>
      <c r="O15" s="104" t="n"/>
    </row>
  </sheetData>
  <mergeCells count="2">
    <mergeCell ref="G2:L2"/>
    <mergeCell ref="B1:F1"/>
  </mergeCells>
  <dataValidations count="1">
    <dataValidation sqref="A1" showDropDown="0" showInputMessage="1" showErrorMessage="1" allowBlank="1" prompt="Create Discretionary Cash Flow Statement in this worksheet. _x000a__x000a_Enter details in Discretionary table. Total cash flow to date is automatically calculated in cell D2. Tip is in cell G2."/>
  </dataValidations>
  <hyperlinks>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5"/>
    <outlinePr summaryBelow="1" summaryRight="1"/>
    <pageSetUpPr autoPageBreaks="0" fitToPage="1"/>
  </sheetPr>
  <dimension ref="A1:O9"/>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3">
      <c r="A1" s="11" t="n"/>
      <c r="B1" s="93" t="inlineStr">
        <is>
          <t>SAVINGS</t>
        </is>
      </c>
      <c r="G1" s="12" t="inlineStr">
        <is>
          <t>'Annual Cash Flow'!A1</t>
        </is>
      </c>
      <c r="H1" s="12" t="inlineStr">
        <is>
          <t>Savings!A1</t>
        </is>
      </c>
      <c r="I1" s="12" t="n"/>
      <c r="J1" s="11" t="n"/>
      <c r="K1" s="11" t="n"/>
      <c r="L1" s="11" t="n"/>
      <c r="M1" s="11" t="n"/>
      <c r="N1" s="11" t="n"/>
      <c r="O1" s="11" t="n"/>
    </row>
    <row r="2" ht="70.15000000000001" customFormat="1" customHeight="1" s="7">
      <c r="B2" s="48" t="inlineStr">
        <is>
          <t>Total cash flow to date:</t>
        </is>
      </c>
      <c r="C2" s="15" t="n"/>
      <c r="D2" s="123" t="n"/>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Savings</t>
        </is>
      </c>
      <c r="C3" s="71" t="inlineStr">
        <is>
          <t>Annual</t>
        </is>
      </c>
      <c r="D3" s="71" t="inlineStr">
        <is>
          <t>Monthly</t>
        </is>
      </c>
    </row>
    <row r="4" ht="40.15" customHeight="1" s="112">
      <c r="A4" s="104" t="n"/>
      <c r="B4" s="68" t="inlineStr">
        <is>
          <t>Cash reserves</t>
        </is>
      </c>
      <c r="C4" s="122" t="n">
        <v>5000</v>
      </c>
      <c r="D4" s="122" t="n"/>
      <c r="E4" s="104" t="n"/>
      <c r="F4" s="104" t="n"/>
      <c r="G4" s="104" t="n"/>
      <c r="H4" s="104" t="n"/>
      <c r="I4" s="104" t="n"/>
      <c r="J4" s="104" t="n"/>
      <c r="K4" s="104" t="n"/>
      <c r="L4" s="104" t="n"/>
      <c r="M4" s="104" t="n"/>
      <c r="N4" s="104" t="n"/>
      <c r="O4" s="104" t="n"/>
    </row>
    <row r="5" ht="40.15" customHeight="1" s="112">
      <c r="A5" s="104" t="n"/>
      <c r="B5" s="68" t="inlineStr">
        <is>
          <t>401k etc.</t>
        </is>
      </c>
      <c r="C5" s="122" t="n">
        <v>12000</v>
      </c>
      <c r="D5" s="122" t="n"/>
      <c r="E5" s="104" t="n"/>
      <c r="F5" s="104" t="n"/>
      <c r="G5" s="104" t="n"/>
      <c r="H5" s="104" t="n"/>
      <c r="I5" s="104" t="n"/>
      <c r="J5" s="104" t="n"/>
      <c r="K5" s="104" t="n"/>
      <c r="L5" s="104" t="n"/>
      <c r="M5" s="104" t="n"/>
      <c r="N5" s="104" t="n"/>
      <c r="O5" s="104" t="n"/>
    </row>
    <row r="6" ht="40.15" customHeight="1" s="112">
      <c r="A6" s="104" t="n"/>
      <c r="B6" s="68" t="inlineStr">
        <is>
          <t>Savings/investment</t>
        </is>
      </c>
      <c r="C6" s="122" t="n">
        <v>6000</v>
      </c>
      <c r="D6" s="122" t="n"/>
      <c r="E6" s="104" t="n"/>
      <c r="F6" s="104" t="n"/>
      <c r="G6" s="104" t="n"/>
      <c r="H6" s="104" t="n"/>
      <c r="I6" s="104" t="n"/>
      <c r="J6" s="104" t="n"/>
      <c r="K6" s="104" t="n"/>
      <c r="L6" s="104" t="n"/>
      <c r="M6" s="104" t="n"/>
      <c r="N6" s="104" t="n"/>
      <c r="O6" s="104" t="n"/>
    </row>
    <row r="7" ht="40.15" customHeight="1" s="112">
      <c r="A7" s="104" t="n"/>
      <c r="B7" s="68" t="inlineStr">
        <is>
          <t>Other 1</t>
        </is>
      </c>
      <c r="C7" s="122" t="n">
        <v>0</v>
      </c>
      <c r="D7" s="122" t="n"/>
      <c r="E7" s="104" t="n"/>
      <c r="F7" s="104" t="n"/>
      <c r="G7" s="104" t="n"/>
      <c r="H7" s="104" t="n"/>
      <c r="I7" s="104" t="n"/>
      <c r="J7" s="104" t="n"/>
      <c r="K7" s="104" t="n"/>
      <c r="L7" s="104" t="n"/>
      <c r="M7" s="104" t="n"/>
      <c r="N7" s="104" t="n"/>
      <c r="O7" s="104" t="n"/>
    </row>
    <row r="8" ht="40.15" customHeight="1" s="112">
      <c r="A8" s="104" t="n"/>
      <c r="B8" s="68" t="inlineStr">
        <is>
          <t>Other 2</t>
        </is>
      </c>
      <c r="C8" s="122" t="n">
        <v>0</v>
      </c>
      <c r="D8" s="122" t="n"/>
      <c r="E8" s="104" t="n"/>
      <c r="F8" s="104" t="n"/>
      <c r="G8" s="104" t="n"/>
      <c r="H8" s="104" t="n"/>
      <c r="I8" s="104" t="n"/>
      <c r="J8" s="104" t="n"/>
      <c r="K8" s="104" t="n"/>
      <c r="L8" s="104" t="n"/>
      <c r="M8" s="104" t="n"/>
      <c r="N8" s="104" t="n"/>
      <c r="O8" s="104" t="n"/>
    </row>
    <row r="9" ht="40.15" customHeight="1" s="112">
      <c r="A9" s="104" t="n"/>
      <c r="B9" s="67" t="inlineStr">
        <is>
          <t>Total</t>
        </is>
      </c>
      <c r="C9" s="122" t="n"/>
      <c r="D9" s="122" t="n"/>
      <c r="E9" s="104" t="n"/>
      <c r="F9" s="104" t="n"/>
      <c r="G9" s="104" t="n"/>
      <c r="H9" s="104" t="n"/>
      <c r="I9" s="104" t="n"/>
      <c r="J9" s="104" t="n"/>
      <c r="K9" s="104" t="n"/>
      <c r="L9" s="104" t="n"/>
      <c r="M9" s="104" t="n"/>
      <c r="N9" s="104" t="n"/>
      <c r="O9" s="104" t="n"/>
    </row>
  </sheetData>
  <mergeCells count="2">
    <mergeCell ref="B1:F1"/>
    <mergeCell ref="G2:L2"/>
  </mergeCells>
  <dataValidations count="1">
    <dataValidation sqref="A1" showDropDown="0" showInputMessage="1" showErrorMessage="1" allowBlank="1" prompt="Create Savings Cash Flow Statement in this worksheet. _x000a__x000a_Enter details in Savings table. Total cash flow to date is automatically calculated in cell D2. Tip is in cell G2."/>
  </dataValidations>
  <hyperlinks>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2023-05-25T19:00:46Z</dcterms:created>
  <dcterms:modified xsi:type="dcterms:W3CDTF">2026-03-05T08:49:30Z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