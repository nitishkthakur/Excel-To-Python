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Cache/pivotCacheDefinition3.xml" ContentType="application/vnd.openxmlformats-officedocument.spreadsheetml.pivotCacheDefinition+xml"/>
  <Override PartName="/xl/pivotTables/pivotTable3.xml" ContentType="application/vnd.openxmlformats-officedocument.spreadsheetml.pivotTable+xml"/>
  <Override PartName="/xl/pivotCache/pivotCacheDefinition4.xml" ContentType="application/vnd.openxmlformats-officedocument.spreadsheetml.pivotCacheDefinition+xml"/>
  <Override PartName="/xl/pivotTables/pivotTable4.xml" ContentType="application/vnd.openxmlformats-officedocument.spreadsheetml.pivot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843"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s>
  <definedNames>
    <definedName name="_xlcn.WorksheetConnection_PersonalCashFlow.xlsxDiscretionary" hidden="1">Discretionary[]</definedName>
    <definedName name="_xlcn.WorksheetConnection_PersonalCashFlow.xlsxExpenses" hidden="1">Expenses[]</definedName>
    <definedName name="_xlcn.WorksheetConnection_PersonalCashFlow.xlsxIncome" hidden="1">Income[]</definedName>
    <definedName name="_xlcn.WorksheetConnection_PersonalCashFlow.xlsxSavings" hidden="1">Savings[]</definedName>
    <definedName name="AnnualCashFlowToDate">Income[[#Totals],[Annual]]-Expenses[[#Totals],[Annual]]-Discretionary[[#Totals],[Annual]]-Savings[[#Totals],[Annual]]</definedName>
    <definedName name="ColumnTitleRegion1..B6.1">Guide!$D$3</definedName>
    <definedName name="ColumnTitleRegion1..E8.4">'Daily cash flow'!$B$4</definedName>
    <definedName name="ColumnTitleRegion2..D6.1">Guide!$C$3</definedName>
    <definedName name="ColumnTitleRegion3..F6.1">Guide!$B$3</definedName>
    <definedName name="DailyCashFlow">SUM('Daily cash flow'!$C$5:$C$8)</definedName>
    <definedName name="MonthlyCashFlowToDate">Monthly[[#Totals],[Total]]</definedName>
    <definedName name="RowTitleRegion1..D2.2">'Annual cash flow'!#REF!</definedName>
    <definedName name="RowTitleRegion1..D2.3">'Monthly cash flow'!#REF!</definedName>
    <definedName name="RowTitleRegion1..D2.4">'Daily cash flow'!#REF!</definedName>
    <definedName name="RowTitleRegion1..D2.5">Income!#REF!</definedName>
    <definedName name="RowTitleRegion1..D2.6">Expenses!#REF!</definedName>
    <definedName name="RowTitleRegion1..D2.7">Discretionary!#REF!</definedName>
    <definedName name="RowTitleRegion1..D2.8">Savings!#REF!</definedName>
    <definedName name="RowTitleRegion2..C4.2">'Annual cash flow'!$B$4</definedName>
    <definedName name="RowTitleRegion3..G4.2">'Annual cash flow'!$F$4</definedName>
    <definedName name="RowTitleRegion4..K4.2">'Annual cash flow'!$J$4</definedName>
    <definedName name="RowTitleRegion5..O4.2">'Annual cash flow'!$N$4</definedName>
    <definedName name="RowTitleRegion6..C6.2">'Annual cash flow'!$B$7</definedName>
    <definedName name="RowTitleRegion7..G6.2">'Annual cash flow'!$F$7</definedName>
    <definedName name="RowTitleRegion8..K6.2">'Annual cash flow'!$J$7</definedName>
    <definedName name="RowTitleRegion9..O6.2">'Annual cash flow'!$N$7</definedName>
    <definedName name="Title3">Monthly[[#Headers],[Type]]</definedName>
    <definedName name="Title4">Daily[[#Headers],[Type]]</definedName>
    <definedName name="Title5">Income[[#Headers],[Income]]</definedName>
    <definedName name="Title6">Expenses[[#Headers],[Expenses]]</definedName>
    <definedName name="Title7">Discretionary[[#Headers],[Expenses]]</definedName>
    <definedName name="Type8">Savings[[#Headers],[Savings]]</definedName>
    <definedName name="_xlnm.Print_Titles" localSheetId="1">'Daily cash flow'!$10:$10</definedName>
    <definedName name="_xlnm.Print_Titles" localSheetId="2">'Monthly cash flow'!$3:$3</definedName>
  </definedNames>
  <calcPr calcId="191028" fullCalcOnLoad="1"/>
  <pivotCaches>
    <pivotCache cacheId="1124" r:id="rId9"/>
    <pivotCache cacheId="1122" r:id="rId10"/>
    <pivotCache cacheId="1123" r:id="rId11"/>
    <pivotCache cacheId="1125" r:id="rId12"/>
  </pivotCaches>
</workbook>
</file>

<file path=xl/styles.xml><?xml version="1.0" encoding="utf-8"?>
<styleSheet xmlns="http://schemas.openxmlformats.org/spreadsheetml/2006/main">
  <numFmts count="8">
    <numFmt numFmtId="164" formatCode="&quot;$&quot;#,##0.00"/>
    <numFmt numFmtId="165" formatCode="_)@"/>
    <numFmt numFmtId="166" formatCode="&quot;$&quot;#,##0.00_);\(&quot;$&quot;#,##0.00\)"/>
    <numFmt numFmtId="167" formatCode="&quot;$&quot;#,##0"/>
    <numFmt numFmtId="168" formatCode="&quot;$&quot;#,##0_);\(&quot;$&quot;#,##0\)"/>
    <numFmt numFmtId="169" formatCode="_ * #,##0_ ;_ * \-#,##0_ ;_ * &quot;-&quot;_ ;_ @_ "/>
    <numFmt numFmtId="170" formatCode="_ &quot;₹&quot;\ * #,##0.00_ ;_ &quot;₹&quot;\ * \-#,##0.00_ ;_ &quot;₹&quot;\ * &quot;-&quot;??_ ;_ @_ "/>
    <numFmt numFmtId="171" formatCode="_ &quot;₹&quot;\ * #,##0_ ;_ &quot;₹&quot;\ * \-#,##0_ ;_ &quot;₹&quot;\ * &quot;-&quot;_ ;_ @_ "/>
  </numFmts>
  <fonts count="42">
    <font>
      <name val="Arial"/>
      <family val="2"/>
      <sz val="11"/>
      <scheme val="minor"/>
    </font>
    <font>
      <name val="Arial"/>
      <family val="2"/>
      <b val="1"/>
      <color theme="5" tint="-0.249946592608417"/>
      <sz val="24"/>
      <scheme val="major"/>
    </font>
    <font>
      <name val="Arial"/>
      <family val="2"/>
      <b val="1"/>
      <color theme="3" tint="0.249946592608417"/>
      <sz val="14"/>
      <scheme val="major"/>
    </font>
    <font>
      <name val="Arial"/>
      <family val="2"/>
      <b val="1"/>
      <color theme="3" tint="0.249946592608417"/>
      <sz val="11"/>
      <scheme val="major"/>
    </font>
    <font>
      <name val="Arial"/>
      <family val="2"/>
      <b val="1"/>
      <color theme="3" tint="0.249946592608417"/>
      <sz val="12"/>
      <scheme val="major"/>
    </font>
    <font>
      <name val="Arial"/>
      <family val="2"/>
      <color theme="3" tint="0.249946592608417"/>
      <sz val="36"/>
      <scheme val="major"/>
    </font>
    <font>
      <name val="Arial"/>
      <family val="2"/>
      <b val="1"/>
      <color theme="1"/>
      <sz val="11"/>
      <scheme val="minor"/>
    </font>
    <font>
      <name val="Arial"/>
      <family val="2"/>
      <sz val="11"/>
      <scheme val="minor"/>
    </font>
    <font>
      <name val="Arial"/>
      <family val="2"/>
      <i val="1"/>
      <color theme="1" tint="0.3499862666707358"/>
      <sz val="11"/>
      <scheme val="minor"/>
    </font>
    <font>
      <name val="Arial"/>
      <family val="2"/>
      <b val="1"/>
      <color theme="3" tint="0.8999603259376812"/>
      <sz val="16"/>
      <scheme val="minor"/>
    </font>
    <font>
      <name val="Arial"/>
      <family val="2"/>
      <b val="1"/>
      <color theme="3" tint="0.8999603259376812"/>
      <sz val="12"/>
      <scheme val="minor"/>
    </font>
    <font>
      <name val="Arial"/>
      <family val="2"/>
      <b val="1"/>
      <color theme="3" tint="0.8999298074282052"/>
      <sz val="12"/>
      <scheme val="minor"/>
    </font>
    <font>
      <name val="Arial"/>
      <family val="2"/>
      <b val="1"/>
      <color theme="3" tint="0.8999603259376812"/>
      <sz val="11"/>
      <scheme val="minor"/>
    </font>
    <font>
      <name val="Arial"/>
      <family val="2"/>
      <color theme="1" tint="0.249977111117893"/>
      <sz val="11"/>
      <scheme val="minor"/>
    </font>
    <font>
      <name val="Arial"/>
      <family val="2"/>
      <color theme="1" tint="0.3499862666707358"/>
      <sz val="11"/>
      <scheme val="minor"/>
    </font>
    <font>
      <name val="Arial"/>
      <family val="2"/>
      <color theme="4" tint="-0.249977111117893"/>
      <sz val="11"/>
    </font>
    <font>
      <name val="Arial"/>
      <family val="2"/>
      <sz val="8"/>
      <scheme val="minor"/>
    </font>
    <font>
      <name val="Arial"/>
      <family val="2"/>
      <b val="1"/>
      <color rgb="FF0B0BD0"/>
      <sz val="36"/>
      <scheme val="minor"/>
    </font>
    <font>
      <name val="Arial"/>
      <family val="2"/>
      <color theme="3" tint="0.8999603259376812"/>
      <sz val="16"/>
      <scheme val="minor"/>
    </font>
    <font>
      <name val="Arial"/>
      <family val="2"/>
      <color theme="4" tint="-0.249977111117893"/>
      <sz val="16"/>
      <scheme val="minor"/>
    </font>
    <font>
      <name val="Arial"/>
      <family val="2"/>
      <color theme="4" tint="-0.249977111117893"/>
      <sz val="11"/>
      <scheme val="minor"/>
    </font>
    <font>
      <name val="Arial"/>
      <family val="2"/>
      <b val="1"/>
      <color theme="4" tint="-0.249977111117893"/>
      <sz val="18"/>
      <scheme val="minor"/>
    </font>
    <font>
      <name val="Arial"/>
      <family val="2"/>
      <b val="1"/>
      <color theme="4" tint="-0.249977111117893"/>
      <sz val="16"/>
      <scheme val="minor"/>
    </font>
    <font>
      <name val="Arial"/>
      <family val="2"/>
      <b val="1"/>
      <color theme="4" tint="-0.249977111117893"/>
      <sz val="11"/>
      <scheme val="minor"/>
    </font>
    <font>
      <name val="Arial"/>
      <family val="2"/>
      <b val="1"/>
      <color theme="3" tint="0.8999603259376812"/>
      <sz val="8"/>
      <scheme val="minor"/>
    </font>
    <font>
      <name val="Arial"/>
      <family val="2"/>
      <b val="1"/>
      <color theme="4" tint="-0.249977111117893"/>
      <sz val="36"/>
      <scheme val="minor"/>
    </font>
    <font>
      <name val="Arial"/>
      <family val="2"/>
      <color theme="3" tint="0.249977111117893"/>
      <sz val="11"/>
      <scheme val="minor"/>
    </font>
    <font>
      <name val="Arial"/>
      <family val="2"/>
      <b val="1"/>
      <color theme="4" tint="-0.249977111117893"/>
      <sz val="14"/>
      <scheme val="minor"/>
    </font>
    <font>
      <name val="Arial"/>
      <family val="2"/>
      <color theme="1" tint="0.249977111117893"/>
      <sz val="10"/>
      <scheme val="minor"/>
    </font>
    <font>
      <name val="Arial"/>
      <family val="2"/>
      <b val="1"/>
      <sz val="12"/>
      <scheme val="minor"/>
    </font>
    <font>
      <name val="Arial"/>
      <family val="2"/>
      <b val="1"/>
      <color theme="4" tint="-0.249977111117893"/>
      <sz val="24"/>
      <scheme val="minor"/>
    </font>
    <font>
      <name val="Arial"/>
      <family val="2"/>
      <color theme="4" tint="-0.249977111117893"/>
      <sz val="10"/>
      <scheme val="minor"/>
    </font>
    <font>
      <name val="Arial"/>
      <family val="2"/>
      <sz val="16"/>
      <scheme val="minor"/>
    </font>
    <font>
      <name val="Arial"/>
      <family val="2"/>
      <b val="1"/>
      <color indexed="12"/>
      <sz val="36"/>
      <scheme val="minor"/>
    </font>
    <font>
      <name val="Arial"/>
      <family val="2"/>
      <b val="1"/>
      <color indexed="12" tint="-0.249977111117893"/>
      <sz val="36"/>
      <scheme val="minor"/>
    </font>
    <font>
      <name val="Arial"/>
      <family val="2"/>
      <b val="1"/>
      <color theme="1" tint="0.249977111117893"/>
      <sz val="14"/>
      <scheme val="minor"/>
    </font>
    <font>
      <name val="Arial"/>
      <family val="2"/>
      <b val="1"/>
      <color theme="1" tint="0.249977111117893"/>
      <sz val="16"/>
      <scheme val="minor"/>
    </font>
    <font>
      <name val="Arial"/>
      <family val="2"/>
      <b val="1"/>
      <color theme="1" tint="0.249977111117893"/>
      <sz val="12"/>
      <scheme val="minor"/>
    </font>
    <font>
      <name val="Arial"/>
      <family val="2"/>
      <b val="1"/>
      <color theme="1" tint="0.249977111117893"/>
      <sz val="11"/>
      <scheme val="minor"/>
    </font>
    <font>
      <name val="Arial"/>
      <family val="2"/>
      <b val="1"/>
      <sz val="11"/>
      <scheme val="minor"/>
    </font>
    <font>
      <name val="Arial"/>
      <family val="2"/>
      <b val="1"/>
      <sz val="16"/>
      <scheme val="minor"/>
    </font>
    <font>
      <name val="Arial"/>
      <family val="2"/>
      <sz val="14"/>
      <scheme val="minor"/>
    </font>
  </fonts>
  <fills count="9">
    <fill>
      <patternFill/>
    </fill>
    <fill>
      <patternFill patternType="gray125"/>
    </fill>
    <fill>
      <patternFill patternType="solid">
        <fgColor theme="3" tint="0.249946592608417"/>
        <bgColor indexed="64"/>
      </patternFill>
    </fill>
    <fill>
      <patternFill patternType="solid">
        <fgColor theme="2"/>
        <bgColor indexed="64"/>
      </patternFill>
    </fill>
    <fill>
      <patternFill patternType="solid">
        <fgColor theme="4" tint="0.7999816888943144"/>
        <bgColor indexed="64"/>
      </patternFill>
    </fill>
    <fill>
      <patternFill patternType="solid">
        <fgColor rgb="FFFFFFCC"/>
      </patternFill>
    </fill>
    <fill>
      <patternFill patternType="solid">
        <fgColor theme="6"/>
        <bgColor indexed="64"/>
      </patternFill>
    </fill>
    <fill>
      <patternFill patternType="solid">
        <fgColor theme="6" tint="0.7999816888943144"/>
        <bgColor indexed="64"/>
      </patternFill>
    </fill>
    <fill>
      <patternFill patternType="solid">
        <fgColor theme="6"/>
        <bgColor rgb="FF000000"/>
      </patternFill>
    </fill>
  </fills>
  <borders count="10">
    <border>
      <left/>
      <right/>
      <top/>
      <bottom/>
      <diagonal/>
    </border>
    <border>
      <left/>
      <right/>
      <top/>
      <bottom style="thin">
        <color theme="3" tint="0.249946592608417"/>
      </bottom>
      <diagonal/>
    </border>
    <border>
      <left/>
      <right/>
      <top/>
      <bottom style="medium">
        <color theme="3" tint="0.249946592608417"/>
      </bottom>
      <diagonal/>
    </border>
    <border>
      <left style="thin">
        <color theme="1" tint="0.3499862666707358"/>
      </left>
      <right style="thin">
        <color theme="1" tint="0.3499862666707358"/>
      </right>
      <top style="thin">
        <color theme="1" tint="0.3499862666707358"/>
      </top>
      <bottom style="thin">
        <color theme="1" tint="0.3499862666707358"/>
      </bottom>
      <diagonal/>
    </border>
    <border>
      <left/>
      <right/>
      <top/>
      <bottom style="dashed">
        <color theme="3" tint="0.249946592608417"/>
      </bottom>
      <diagonal/>
    </border>
    <border>
      <left/>
      <right/>
      <top style="thin">
        <color theme="4" tint="-0.499984740745262"/>
      </top>
      <bottom style="double">
        <color theme="4" tint="-0.499984740745262"/>
      </bottom>
      <diagonal/>
    </border>
    <border>
      <left style="thin">
        <color auto="1"/>
      </left>
      <right style="thin">
        <color auto="1"/>
      </right>
      <top/>
      <bottom/>
      <diagonal/>
    </border>
    <border>
      <left/>
      <right/>
      <top style="thick">
        <color theme="6"/>
      </top>
      <bottom/>
      <diagonal/>
    </border>
    <border>
      <left/>
      <right/>
      <top/>
      <bottom style="thick">
        <color theme="6"/>
      </bottom>
      <diagonal/>
    </border>
    <border>
      <left/>
      <right/>
      <top style="thick">
        <color theme="6"/>
      </top>
      <bottom style="thick">
        <color theme="6"/>
      </bottom>
      <diagonal/>
    </border>
  </borders>
  <cellStyleXfs count="17">
    <xf numFmtId="0" fontId="7" fillId="3" borderId="0" applyAlignment="1">
      <alignment vertical="center" wrapText="1"/>
    </xf>
    <xf numFmtId="0" fontId="9" fillId="2" borderId="0" applyAlignment="1">
      <alignment vertical="center"/>
    </xf>
    <xf numFmtId="0" fontId="1" fillId="2" borderId="0" applyAlignment="1">
      <alignment horizontal="left" vertical="center"/>
    </xf>
    <xf numFmtId="0" fontId="2" fillId="0" borderId="1"/>
    <xf numFmtId="0" fontId="3" fillId="0" borderId="4" applyAlignment="1">
      <alignment vertical="center"/>
    </xf>
    <xf numFmtId="0" fontId="4" fillId="4" borderId="2" applyAlignment="1">
      <alignment horizontal="left"/>
    </xf>
    <xf numFmtId="0" fontId="5" fillId="3" borderId="0"/>
    <xf numFmtId="43" fontId="7" fillId="0" borderId="0"/>
    <xf numFmtId="169" fontId="7" fillId="0" borderId="0"/>
    <xf numFmtId="170" fontId="7" fillId="0" borderId="0"/>
    <xf numFmtId="171" fontId="7" fillId="0" borderId="0"/>
    <xf numFmtId="9" fontId="7" fillId="0" borderId="0"/>
    <xf numFmtId="0" fontId="7" fillId="5" borderId="3"/>
    <xf numFmtId="0" fontId="8" fillId="0" borderId="0"/>
    <xf numFmtId="0" fontId="6" fillId="0" borderId="5"/>
    <xf numFmtId="0" fontId="10" fillId="2" borderId="6" applyAlignment="1">
      <alignment horizontal="center" vertical="center" wrapText="1"/>
    </xf>
    <xf numFmtId="0" fontId="11" fillId="2" borderId="6" applyAlignment="1">
      <alignment horizontal="center" vertical="center" wrapText="1"/>
    </xf>
  </cellStyleXfs>
  <cellXfs count="125">
    <xf numFmtId="0" fontId="0" fillId="3" borderId="0" applyAlignment="1" pivotButton="0" quotePrefix="0" xfId="0">
      <alignment vertical="center" wrapText="1"/>
    </xf>
    <xf numFmtId="0" fontId="12" fillId="6" borderId="0" applyAlignment="1" pivotButton="0" quotePrefix="0" xfId="1">
      <alignment vertical="center"/>
    </xf>
    <xf numFmtId="0" fontId="14" fillId="0" borderId="0" applyAlignment="1" pivotButton="0" quotePrefix="0" xfId="0">
      <alignment vertical="center" wrapText="1"/>
    </xf>
    <xf numFmtId="0" fontId="7" fillId="0" borderId="0" applyAlignment="1" pivotButton="0" quotePrefix="0" xfId="0">
      <alignment vertical="center" wrapText="1"/>
    </xf>
    <xf numFmtId="0" fontId="13" fillId="0" borderId="0" applyAlignment="1" pivotButton="0" quotePrefix="0" xfId="0">
      <alignment vertical="center" wrapText="1"/>
    </xf>
    <xf numFmtId="0" fontId="14" fillId="7" borderId="0" applyAlignment="1" pivotButton="0" quotePrefix="0" xfId="0">
      <alignment vertical="center" wrapText="1"/>
    </xf>
    <xf numFmtId="0" fontId="13" fillId="7" borderId="0" applyAlignment="1" pivotButton="0" quotePrefix="0" xfId="0">
      <alignment vertical="center" wrapText="1"/>
    </xf>
    <xf numFmtId="0" fontId="7" fillId="7" borderId="0" applyAlignment="1" pivotButton="0" quotePrefix="0" xfId="0">
      <alignment vertical="center" wrapText="1"/>
    </xf>
    <xf numFmtId="0" fontId="12" fillId="7" borderId="0" applyAlignment="1" pivotButton="0" quotePrefix="0" xfId="1">
      <alignment vertical="center"/>
    </xf>
    <xf numFmtId="0" fontId="14" fillId="7" borderId="8" applyAlignment="1" pivotButton="0" quotePrefix="0" xfId="0">
      <alignment vertical="center" wrapText="1"/>
    </xf>
    <xf numFmtId="0" fontId="15" fillId="7" borderId="0" applyAlignment="1" pivotButton="0" quotePrefix="0" xfId="0">
      <alignment vertical="center" wrapText="1"/>
    </xf>
    <xf numFmtId="0" fontId="9" fillId="6" borderId="0" applyAlignment="1" pivotButton="0" quotePrefix="0" xfId="1">
      <alignment vertical="center"/>
    </xf>
    <xf numFmtId="0" fontId="18" fillId="6" borderId="0" applyAlignment="1" pivotButton="0" quotePrefix="0" xfId="1">
      <alignment vertical="center"/>
    </xf>
    <xf numFmtId="0" fontId="9" fillId="7" borderId="0" applyAlignment="1" pivotButton="0" quotePrefix="0" xfId="1">
      <alignment vertical="center"/>
    </xf>
    <xf numFmtId="0" fontId="19" fillId="7" borderId="0" applyAlignment="1" pivotButton="0" quotePrefix="0" xfId="0">
      <alignment horizontal="left" vertical="center"/>
    </xf>
    <xf numFmtId="0" fontId="20" fillId="7" borderId="0" applyAlignment="1" pivotButton="0" quotePrefix="0" xfId="0">
      <alignment vertical="center" wrapText="1"/>
    </xf>
    <xf numFmtId="164" fontId="21" fillId="7" borderId="0" applyAlignment="1" pivotButton="0" quotePrefix="0" xfId="2">
      <alignment horizontal="right" vertical="center"/>
    </xf>
    <xf numFmtId="0" fontId="18" fillId="7" borderId="0" applyAlignment="1" pivotButton="0" quotePrefix="0" xfId="1">
      <alignment vertical="center"/>
    </xf>
    <xf numFmtId="164" fontId="21" fillId="7" borderId="8" applyAlignment="1" pivotButton="0" quotePrefix="0" xfId="2">
      <alignment horizontal="right" vertical="center"/>
    </xf>
    <xf numFmtId="0" fontId="17" fillId="6" borderId="0" applyAlignment="1" pivotButton="0" quotePrefix="0" xfId="0">
      <alignment horizontal="left" vertical="center" indent="1"/>
    </xf>
    <xf numFmtId="0" fontId="20" fillId="7" borderId="8" applyAlignment="1" pivotButton="0" quotePrefix="0" xfId="0">
      <alignment vertical="center" wrapText="1"/>
    </xf>
    <xf numFmtId="0" fontId="19" fillId="6" borderId="0" applyAlignment="1" pivotButton="0" quotePrefix="0" xfId="1">
      <alignment vertical="center"/>
    </xf>
    <xf numFmtId="0" fontId="19" fillId="7" borderId="0" applyAlignment="1" pivotButton="0" quotePrefix="0" xfId="1">
      <alignment vertical="center"/>
    </xf>
    <xf numFmtId="0" fontId="20" fillId="7" borderId="0" applyAlignment="1" pivotButton="0" quotePrefix="0" xfId="0">
      <alignment horizontal="left" vertical="center"/>
    </xf>
    <xf numFmtId="0" fontId="20" fillId="7" borderId="0" applyAlignment="1" pivotButton="0" quotePrefix="0" xfId="0">
      <alignment vertical="center"/>
    </xf>
    <xf numFmtId="0" fontId="22" fillId="7" borderId="0" applyAlignment="1" pivotButton="0" quotePrefix="0" xfId="0">
      <alignment horizontal="left" vertical="center" wrapText="1"/>
    </xf>
    <xf numFmtId="0" fontId="23" fillId="7" borderId="0" applyAlignment="1" pivotButton="0" quotePrefix="0" xfId="4">
      <alignment horizontal="left" vertical="center"/>
    </xf>
    <xf numFmtId="0" fontId="23" fillId="7" borderId="0" applyAlignment="1" pivotButton="0" quotePrefix="0" xfId="4">
      <alignment horizontal="left" vertical="center"/>
    </xf>
    <xf numFmtId="0" fontId="20" fillId="7" borderId="0" applyAlignment="1" pivotButton="0" quotePrefix="0" xfId="0">
      <alignment horizontal="center" vertical="center" wrapText="1"/>
    </xf>
    <xf numFmtId="0" fontId="23" fillId="7" borderId="9" applyAlignment="1" pivotButton="0" quotePrefix="0" xfId="4">
      <alignment horizontal="left" vertical="center"/>
    </xf>
    <xf numFmtId="0" fontId="23" fillId="7" borderId="9" applyAlignment="1" pivotButton="0" quotePrefix="0" xfId="4">
      <alignment vertical="center"/>
    </xf>
    <xf numFmtId="0" fontId="24" fillId="6" borderId="0" applyAlignment="1" pivotButton="0" quotePrefix="0" xfId="1">
      <alignment vertical="center"/>
    </xf>
    <xf numFmtId="0" fontId="24" fillId="7" borderId="0" applyAlignment="1" pivotButton="0" quotePrefix="0" xfId="1">
      <alignment vertical="center"/>
    </xf>
    <xf numFmtId="0" fontId="26" fillId="7" borderId="0" applyAlignment="1" pivotButton="0" quotePrefix="0" xfId="0">
      <alignment vertical="center" wrapText="1"/>
    </xf>
    <xf numFmtId="0" fontId="7" fillId="7" borderId="8" applyAlignment="1" pivotButton="0" quotePrefix="0" xfId="0">
      <alignment vertical="center" wrapText="1"/>
    </xf>
    <xf numFmtId="0" fontId="27" fillId="7" borderId="0" applyAlignment="1" pivotButton="0" quotePrefix="0" xfId="0">
      <alignment vertical="center" wrapText="1"/>
    </xf>
    <xf numFmtId="0" fontId="27" fillId="7" borderId="9" applyAlignment="1" pivotButton="0" quotePrefix="0" xfId="0">
      <alignment vertical="center" wrapText="1"/>
    </xf>
    <xf numFmtId="0" fontId="28" fillId="7" borderId="0" applyAlignment="1" pivotButton="0" quotePrefix="0" xfId="0">
      <alignment vertical="center" wrapText="1"/>
    </xf>
    <xf numFmtId="0" fontId="28" fillId="7" borderId="0" applyAlignment="1" pivotButton="0" quotePrefix="0" xfId="0">
      <alignment wrapText="1"/>
    </xf>
    <xf numFmtId="0" fontId="13" fillId="7" borderId="0" applyAlignment="1" pivotButton="0" quotePrefix="0" xfId="0">
      <alignment horizontal="center"/>
    </xf>
    <xf numFmtId="0" fontId="22" fillId="7" borderId="9" applyAlignment="1" pivotButton="0" quotePrefix="0" xfId="0">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4" fontId="30" fillId="7" borderId="0" applyAlignment="1" pivotButton="0" quotePrefix="0" xfId="2">
      <alignment horizontal="left" vertical="center"/>
    </xf>
    <xf numFmtId="0" fontId="31" fillId="7" borderId="0" applyAlignment="1" pivotButton="0" quotePrefix="0" xfId="0">
      <alignment vertical="center" wrapText="1"/>
    </xf>
    <xf numFmtId="0" fontId="32" fillId="7" borderId="0" applyAlignment="1" pivotButton="0" quotePrefix="0" xfId="0">
      <alignment vertical="center" wrapText="1"/>
    </xf>
    <xf numFmtId="0" fontId="22" fillId="7" borderId="9" applyAlignment="1" pivotButton="0" quotePrefix="0" xfId="0">
      <alignment horizontal="left" vertical="center" indent="1"/>
    </xf>
    <xf numFmtId="0" fontId="32" fillId="0" borderId="0" applyAlignment="1" pivotButton="0" quotePrefix="0" xfId="0">
      <alignment vertical="center" wrapText="1"/>
    </xf>
    <xf numFmtId="0" fontId="22" fillId="7" borderId="0" applyAlignment="1" pivotButton="0" quotePrefix="0" xfId="0">
      <alignment horizontal="left" vertical="center"/>
    </xf>
    <xf numFmtId="0" fontId="22" fillId="7" borderId="0" applyAlignment="1" pivotButton="0" quotePrefix="0" xfId="0">
      <alignment horizontal="left" vertical="center" indent="1"/>
    </xf>
    <xf numFmtId="0" fontId="13" fillId="7" borderId="0" applyAlignment="1" pivotButton="0" quotePrefix="0" xfId="0">
      <alignment horizontal="left" vertical="top" wrapText="1"/>
    </xf>
    <xf numFmtId="0" fontId="13" fillId="7" borderId="0" applyAlignment="1" pivotButton="0" quotePrefix="0" xfId="0">
      <alignment horizontal="left" vertical="top" wrapText="1" indent="1"/>
    </xf>
    <xf numFmtId="0" fontId="33" fillId="6" borderId="0" applyAlignment="1" pivotButton="0" quotePrefix="0" xfId="0">
      <alignment horizontal="left" vertical="center"/>
    </xf>
    <xf numFmtId="0" fontId="35" fillId="7" borderId="0" applyAlignment="1" pivotButton="0" quotePrefix="0" xfId="0">
      <alignment vertical="center" wrapText="1"/>
    </xf>
    <xf numFmtId="0" fontId="36" fillId="7" borderId="0" applyAlignment="1" pivotButton="0" quotePrefix="0" xfId="0">
      <alignment vertical="center" wrapText="1"/>
    </xf>
    <xf numFmtId="0" fontId="37" fillId="7" borderId="0" applyAlignment="1" pivotButton="0" quotePrefix="0" xfId="0">
      <alignment vertical="center" wrapText="1"/>
    </xf>
    <xf numFmtId="0" fontId="38" fillId="7" borderId="0" applyAlignment="1" pivotButton="0" quotePrefix="0" xfId="0">
      <alignment vertical="top" wrapText="1"/>
    </xf>
    <xf numFmtId="0" fontId="22" fillId="7" borderId="0" applyAlignment="1" pivotButton="0" quotePrefix="0" xfId="0">
      <alignment horizontal="left" vertical="center" wrapText="1" indent="1"/>
    </xf>
    <xf numFmtId="0" fontId="23" fillId="7" borderId="0" applyAlignment="1" pivotButton="0" quotePrefix="0" xfId="0">
      <alignment vertical="center" wrapText="1"/>
    </xf>
    <xf numFmtId="0" fontId="39" fillId="7" borderId="7" applyAlignment="1" pivotButton="0" quotePrefix="0" xfId="0">
      <alignment horizontal="left" vertical="center" wrapText="1"/>
    </xf>
    <xf numFmtId="0" fontId="23" fillId="7" borderId="9" applyAlignment="1" pivotButton="0" quotePrefix="0" xfId="0">
      <alignment horizontal="left" vertical="center" wrapText="1"/>
    </xf>
    <xf numFmtId="0" fontId="23" fillId="7" borderId="7" applyAlignment="1" pivotButton="0" quotePrefix="0" xfId="0">
      <alignment horizontal="left" vertical="center" wrapText="1"/>
    </xf>
    <xf numFmtId="0" fontId="23" fillId="7" borderId="0" applyAlignment="1" pivotButton="0" quotePrefix="0" xfId="0">
      <alignment horizontal="left" vertical="center" wrapText="1"/>
    </xf>
    <xf numFmtId="0" fontId="40" fillId="7" borderId="0" applyAlignment="1" pivotButton="0" quotePrefix="0" xfId="0">
      <alignment vertical="center" wrapText="1"/>
    </xf>
    <xf numFmtId="0" fontId="40" fillId="7" borderId="9" applyAlignment="1" pivotButton="0" quotePrefix="0" xfId="0">
      <alignment vertical="center" wrapText="1"/>
    </xf>
    <xf numFmtId="0" fontId="40" fillId="0" borderId="0" applyAlignment="1" pivotButton="0" quotePrefix="0" xfId="0">
      <alignment vertical="center" wrapText="1"/>
    </xf>
    <xf numFmtId="0" fontId="22" fillId="7" borderId="8" applyAlignment="1" pivotButton="0" quotePrefix="0" xfId="0">
      <alignment horizontal="left" vertical="center"/>
    </xf>
    <xf numFmtId="0" fontId="0" fillId="3" borderId="0" applyAlignment="1" pivotButton="0" quotePrefix="0" xfId="0">
      <alignment horizontal="left" vertical="center"/>
    </xf>
    <xf numFmtId="9" fontId="0" fillId="3" borderId="0" applyAlignment="1" pivotButton="0" quotePrefix="0" xfId="0">
      <alignment vertical="center"/>
    </xf>
    <xf numFmtId="166" fontId="0" fillId="3" borderId="0" applyAlignment="1" pivotButton="0" quotePrefix="0" xfId="0">
      <alignment horizontal="right" vertical="center"/>
    </xf>
    <xf numFmtId="0" fontId="41" fillId="3" borderId="0" applyAlignment="1" pivotButton="0" quotePrefix="0" xfId="0">
      <alignment horizontal="left" vertical="center"/>
    </xf>
    <xf numFmtId="0" fontId="41" fillId="3" borderId="0" applyAlignment="1" pivotButton="0" quotePrefix="0" xfId="0">
      <alignment horizontal="right" vertical="center"/>
    </xf>
    <xf numFmtId="0" fontId="0" fillId="3" borderId="0" applyAlignment="1" pivotButton="0" quotePrefix="0" xfId="0">
      <alignment horizontal="left" vertical="center" wrapText="1"/>
    </xf>
    <xf numFmtId="167" fontId="0" fillId="3" borderId="0" applyAlignment="1" pivotButton="0" quotePrefix="0" xfId="0">
      <alignment vertical="center"/>
    </xf>
    <xf numFmtId="166" fontId="0" fillId="3" borderId="0" applyAlignment="1" pivotButton="0" quotePrefix="0" xfId="0">
      <alignment horizontal="left" vertical="center" wrapText="1"/>
    </xf>
    <xf numFmtId="10" fontId="0" fillId="3" borderId="0" applyAlignment="1" pivotButton="0" quotePrefix="0" xfId="0">
      <alignment horizontal="left" vertical="center" wrapText="1"/>
    </xf>
    <xf numFmtId="164" fontId="0" fillId="3" borderId="0" applyAlignment="1" pivotButton="0" quotePrefix="0" xfId="0">
      <alignment horizontal="left" vertical="center" wrapText="1"/>
    </xf>
    <xf numFmtId="166" fontId="0" fillId="3" borderId="0" applyAlignment="1" pivotButton="0" quotePrefix="0" xfId="0">
      <alignment horizontal="left" vertical="center"/>
    </xf>
    <xf numFmtId="0" fontId="0" fillId="3" borderId="0" applyAlignment="1" pivotButton="0" quotePrefix="0" xfId="0">
      <alignment horizontal="right" vertical="center"/>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164" fontId="21" fillId="7" borderId="0" applyAlignment="1" pivotButton="0" quotePrefix="0" xfId="2">
      <alignment horizontal="left" vertical="center"/>
    </xf>
    <xf numFmtId="0" fontId="22" fillId="7" borderId="9" applyAlignment="1" pivotButton="0" quotePrefix="0" xfId="3">
      <alignment horizontal="left" vertical="center"/>
    </xf>
    <xf numFmtId="0" fontId="14" fillId="7" borderId="0" applyAlignment="1" pivotButton="0" quotePrefix="0" xfId="0">
      <alignment horizontal="left" vertical="center" wrapText="1"/>
    </xf>
    <xf numFmtId="0" fontId="13" fillId="7" borderId="0" applyAlignment="1" pivotButton="0" quotePrefix="0" xfId="0">
      <alignment vertical="center" wrapText="1"/>
    </xf>
    <xf numFmtId="0" fontId="13" fillId="7" borderId="0" applyAlignment="1" pivotButton="0" quotePrefix="0" xfId="0">
      <alignment horizontal="left" vertical="center" wrapText="1"/>
    </xf>
    <xf numFmtId="0" fontId="15" fillId="7" borderId="0" applyAlignment="1" pivotButton="0" quotePrefix="0" xfId="0">
      <alignment horizontal="left" vertical="center" wrapText="1"/>
    </xf>
    <xf numFmtId="167" fontId="15" fillId="7" borderId="0" applyAlignment="1" pivotButton="0" quotePrefix="0" xfId="0">
      <alignment vertical="center" wrapText="1"/>
    </xf>
    <xf numFmtId="168" fontId="15" fillId="7" borderId="0" applyAlignment="1" pivotButton="0" quotePrefix="0" xfId="0">
      <alignment vertical="center" wrapText="1"/>
    </xf>
    <xf numFmtId="0" fontId="25" fillId="6" borderId="0" applyAlignment="1" pivotButton="0" quotePrefix="0" xfId="6">
      <alignment horizontal="left" vertical="center"/>
    </xf>
    <xf numFmtId="0" fontId="13" fillId="7" borderId="8" applyAlignment="1" pivotButton="0" quotePrefix="0" xfId="0">
      <alignment horizontal="left" vertical="center" wrapText="1"/>
    </xf>
    <xf numFmtId="0" fontId="13" fillId="7" borderId="0" applyAlignment="1" pivotButton="0" quotePrefix="0" xfId="0">
      <alignment horizontal="left" vertical="center" wrapText="1" indent="4"/>
    </xf>
    <xf numFmtId="0" fontId="34" fillId="6" borderId="0" applyAlignment="1" pivotButton="0" quotePrefix="0" xfId="6">
      <alignment horizontal="left" vertical="center"/>
    </xf>
    <xf numFmtId="0" fontId="33" fillId="8" borderId="0" applyAlignment="1" pivotButton="0" quotePrefix="0" xfId="0">
      <alignment horizontal="left" vertical="center"/>
    </xf>
    <xf numFmtId="0" fontId="17" fillId="8" borderId="0" applyAlignment="1" pivotButton="0" quotePrefix="0" xfId="0">
      <alignment horizontal="left" vertical="center"/>
    </xf>
    <xf numFmtId="0" fontId="13" fillId="7" borderId="0" applyAlignment="1" pivotButton="0" quotePrefix="0" xfId="0">
      <alignment horizontal="left" vertical="center" wrapText="1" indent="5"/>
    </xf>
    <xf numFmtId="0" fontId="22" fillId="7" borderId="9" applyAlignment="1" pivotButton="0" quotePrefix="0" xfId="3">
      <alignment horizontal="left" vertical="center"/>
    </xf>
    <xf numFmtId="164" fontId="23" fillId="7" borderId="9"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6" fontId="23" fillId="7" borderId="0" applyAlignment="1" pivotButton="0" quotePrefix="0" xfId="4">
      <alignment horizontal="right" vertical="center"/>
    </xf>
    <xf numFmtId="0" fontId="14" fillId="7" borderId="0" applyAlignment="1" pivotButton="0" quotePrefix="0" xfId="0">
      <alignment horizontal="left" vertical="center" wrapText="1"/>
    </xf>
    <xf numFmtId="0" fontId="13" fillId="7" borderId="0" applyAlignment="1" pivotButton="0" quotePrefix="0" xfId="0">
      <alignment horizontal="left" vertical="center" wrapText="1"/>
    </xf>
    <xf numFmtId="164" fontId="21" fillId="7" borderId="0" applyAlignment="1" pivotButton="0" quotePrefix="0" xfId="2">
      <alignment horizontal="left" vertical="center"/>
    </xf>
    <xf numFmtId="0" fontId="13" fillId="7" borderId="0" applyAlignment="1" pivotButton="0" quotePrefix="0" xfId="0">
      <alignment vertical="center" wrapText="1"/>
    </xf>
    <xf numFmtId="0" fontId="0" fillId="0" borderId="8" pivotButton="0" quotePrefix="0" xfId="0"/>
    <xf numFmtId="164" fontId="21" fillId="7" borderId="0" applyAlignment="1" pivotButton="0" quotePrefix="0" xfId="2">
      <alignment horizontal="left" vertical="center"/>
    </xf>
    <xf numFmtId="165" fontId="22" fillId="7" borderId="7" applyAlignment="1" pivotButton="0" quotePrefix="0" xfId="5">
      <alignment horizontal="left" vertical="center"/>
    </xf>
    <xf numFmtId="165" fontId="29" fillId="7" borderId="7" applyAlignment="1" pivotButton="0" quotePrefix="0" xfId="5">
      <alignment horizontal="left" vertical="center"/>
    </xf>
    <xf numFmtId="166" fontId="0" fillId="3" borderId="0" applyAlignment="1" pivotButton="0" quotePrefix="0" xfId="0">
      <alignment horizontal="left" vertical="center"/>
    </xf>
    <xf numFmtId="166" fontId="0" fillId="3" borderId="0" applyAlignment="1" pivotButton="0" quotePrefix="0" xfId="0">
      <alignment horizontal="left" vertical="center" wrapText="1"/>
    </xf>
    <xf numFmtId="164" fontId="30" fillId="7" borderId="0" applyAlignment="1" pivotButton="0" quotePrefix="0" xfId="2">
      <alignment horizontal="left" vertical="center"/>
    </xf>
    <xf numFmtId="0" fontId="0" fillId="0" borderId="0" pivotButton="0" quotePrefix="0" xfId="0"/>
    <xf numFmtId="164" fontId="0" fillId="3" borderId="0" applyAlignment="1" pivotButton="0" quotePrefix="0" xfId="0">
      <alignment horizontal="left" vertical="center" wrapText="1"/>
    </xf>
    <xf numFmtId="0" fontId="0" fillId="0" borderId="9" pivotButton="0" quotePrefix="0" xfId="0"/>
    <xf numFmtId="166" fontId="23" fillId="7" borderId="0" applyAlignment="1" pivotButton="0" quotePrefix="0" xfId="4">
      <alignment horizontal="right" vertical="center"/>
    </xf>
    <xf numFmtId="164" fontId="23" fillId="7" borderId="0" applyAlignment="1" pivotButton="0" quotePrefix="0" xfId="4">
      <alignment horizontal="right" vertical="center"/>
    </xf>
    <xf numFmtId="166" fontId="23" fillId="7" borderId="9" applyAlignment="1" pivotButton="0" quotePrefix="0" xfId="4">
      <alignment horizontal="right" vertical="center"/>
    </xf>
    <xf numFmtId="164" fontId="23" fillId="7" borderId="9" applyAlignment="1" pivotButton="0" quotePrefix="0" xfId="4">
      <alignment horizontal="right" vertical="center"/>
    </xf>
    <xf numFmtId="167" fontId="15" fillId="7" borderId="0" applyAlignment="1" pivotButton="0" quotePrefix="0" xfId="0">
      <alignment vertical="center" wrapText="1"/>
    </xf>
    <xf numFmtId="168" fontId="15" fillId="7" borderId="0" applyAlignment="1" pivotButton="0" quotePrefix="0" xfId="0">
      <alignment vertical="center" wrapText="1"/>
    </xf>
    <xf numFmtId="164" fontId="21" fillId="7" borderId="8" applyAlignment="1" pivotButton="0" quotePrefix="0" xfId="2">
      <alignment horizontal="right" vertical="center"/>
    </xf>
    <xf numFmtId="166" fontId="0" fillId="3" borderId="0" applyAlignment="1" pivotButton="0" quotePrefix="0" xfId="0">
      <alignment horizontal="right" vertical="center"/>
    </xf>
    <xf numFmtId="164" fontId="21" fillId="7" borderId="0" applyAlignment="1" pivotButton="0" quotePrefix="0" xfId="2">
      <alignment horizontal="right" vertical="center"/>
    </xf>
    <xf numFmtId="167" fontId="0" fillId="3" borderId="0" applyAlignment="1" pivotButton="0" quotePrefix="0" xfId="0">
      <alignment vertical="center"/>
    </xf>
  </cellXfs>
  <cellStyles count="17">
    <cellStyle name="Normal" xfId="0" builtinId="0"/>
    <cellStyle name="Heading 1" xfId="1" builtinId="16"/>
    <cellStyle name="Heading 2" xfId="2" builtinId="17"/>
    <cellStyle name="Heading 3" xfId="3" builtinId="18"/>
    <cellStyle name="Heading 4" xfId="4" builtinId="19"/>
    <cellStyle name="Heading 5" xfId="5"/>
    <cellStyle name="Title" xfId="6" builtinId="15"/>
    <cellStyle name="Comma" xfId="7" builtinId="3"/>
    <cellStyle name="Comma [0]" xfId="8" builtinId="6"/>
    <cellStyle name="Currency" xfId="9" builtinId="4"/>
    <cellStyle name="Currency [0]" xfId="10" builtinId="7"/>
    <cellStyle name="Percent" xfId="11" builtinId="5"/>
    <cellStyle name="Note" xfId="12" builtinId="10"/>
    <cellStyle name="Explanatory Text" xfId="13" builtinId="53"/>
    <cellStyle name="Total" xfId="14" builtinId="25"/>
    <cellStyle name="Hyperlink" xfId="15" builtinId="8"/>
    <cellStyle name="Followed Hyperlink" xfId="16" builtinId="9"/>
  </cellStyles>
  <dxfs count="137">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numFmt numFmtId="11" formatCode="&quot;$&quot;#,##0.00_);\(&quot;$&quot;#,##0.00\)"/>
      <fill>
        <patternFill patternType="solid">
          <fgColor indexed="64"/>
          <bgColor theme="2"/>
        </patternFill>
      </fill>
      <alignment horizontal="right" vertical="center"/>
      <border outline="0">
        <left/>
        <right/>
        <top/>
        <bottom/>
      </border>
    </dxf>
    <dxf>
      <font>
        <name val="Arial"/>
        <family val="2"/>
        <strike val="0"/>
        <outline val="0"/>
        <shadow val="0"/>
        <condense val="0"/>
        <color auto="1"/>
        <extend val="0"/>
        <sz val="11"/>
        <vertAlign val="baseline"/>
        <scheme val="minor"/>
      </font>
      <fill>
        <patternFill patternType="solid">
          <fgColor indexed="64"/>
          <bgColor theme="2"/>
        </patternFill>
      </fill>
      <alignment horizontal="left" vertical="center"/>
      <border outline="0">
        <left/>
        <right/>
        <top/>
        <bottom/>
      </border>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1" formatCode="&quot;$&quot;#,##0.00_);\(&quot;$&quot;#,##0.00\)"/>
      <alignment horizontal="left" vertical="center" wrapText="1"/>
    </dxf>
    <dxf>
      <numFmt numFmtId="167" formatCode="&quot;$&quot;#,##0.00"/>
      <alignment horizontal="left" vertical="center" wrapText="1"/>
    </dxf>
    <dxf>
      <alignment horizontal="left" vertical="center"/>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ont>
        <name val="Arial"/>
        <family val="2"/>
        <strike val="0"/>
        <outline val="0"/>
        <shadow val="0"/>
        <color auto="1"/>
        <sz val="14"/>
        <vertAlign val="baseline"/>
        <scheme val="minor"/>
      </font>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ont>
        <name val="Arial"/>
        <family val="2"/>
      </font>
    </dxf>
    <dxf>
      <font>
        <name val="Arial"/>
        <family val="2"/>
      </font>
    </dxf>
    <dxf>
      <font>
        <name val="Arial"/>
        <family val="2"/>
      </font>
    </dxf>
    <dxf>
      <font>
        <name val="Arial"/>
        <family val="2"/>
      </font>
    </dxf>
    <dxf>
      <font>
        <name val="Arial"/>
        <family val="2"/>
      </font>
    </dxf>
    <dxf>
      <font>
        <name val="Arial"/>
        <family val="2"/>
      </font>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6" tint="0.7999816888943144"/>
        </patternFill>
      </fill>
    </dxf>
    <dxf>
      <fill>
        <patternFill>
          <bgColor theme="5" tint="0.7999816888943144"/>
        </patternFill>
      </fill>
    </dxf>
    <dxf>
      <fill>
        <patternFill>
          <bgColor theme="0"/>
        </patternFill>
      </fill>
    </dxf>
    <dxf>
      <fill>
        <patternFill>
          <bgColor theme="5" tint="0.7999816888943144"/>
        </patternFill>
      </fill>
    </dxf>
    <dxf>
      <fill>
        <patternFill>
          <bgColor theme="0"/>
        </patternFill>
      </fill>
    </dxf>
    <dxf>
      <font>
        <color theme="3" tint="0.09994811853389081"/>
      </font>
      <fill>
        <patternFill>
          <bgColor theme="5" tint="0.7999816888943144"/>
        </patternFill>
      </fill>
      <border>
        <left/>
        <right/>
        <top/>
        <bottom/>
        <vertical/>
        <horizontal/>
      </border>
    </dxf>
    <dxf>
      <font>
        <color theme="3" tint="0.09994811853389081"/>
      </font>
      <fill>
        <patternFill>
          <bgColor theme="0"/>
        </patternFill>
      </fill>
      <border>
        <left/>
        <right/>
        <top/>
        <bottom/>
        <vertical/>
        <horizontal/>
      </border>
    </dxf>
    <dxf>
      <font>
        <color theme="3" tint="0.09994811853389081"/>
      </font>
      <fill>
        <patternFill>
          <bgColor theme="3" tint="0.8999603259376812"/>
        </patternFill>
      </fill>
      <border>
        <left/>
        <right/>
        <top style="medium">
          <color theme="3" tint="0.249946592608417"/>
        </top>
        <bottom/>
        <vertical/>
        <horizontal/>
      </border>
    </dxf>
    <dxf>
      <font>
        <color theme="3" tint="0.09994811853389081"/>
      </font>
      <fill>
        <patternFill patternType="solid">
          <fgColor theme="3" tint="0.8999603259376812"/>
          <bgColor theme="3" tint="0.8999298074282052"/>
        </patternFill>
      </fill>
      <border>
        <left/>
        <right/>
        <top/>
        <bottom style="medium">
          <color theme="3" tint="0.249946592608417"/>
        </bottom>
        <vertical/>
        <horizontal/>
      </border>
    </dxf>
    <dxf>
      <font>
        <color theme="3" tint="0.09994811853389081"/>
      </font>
      <fill>
        <patternFill>
          <bgColor theme="3" tint="0.8999603259376812"/>
        </patternFill>
      </fill>
      <border>
        <left/>
        <right/>
        <top/>
        <bottom/>
        <vertical/>
        <horizontal/>
      </border>
    </dxf>
    <dxf>
      <font>
        <color theme="3" tint="0.09994811853389081"/>
      </font>
      <fill>
        <patternFill>
          <fgColor theme="0" tint="-0.0499893185216834"/>
          <bgColor theme="0" tint="-0.0499893185216834"/>
        </patternFill>
      </fill>
    </dxf>
    <dxf>
      <font>
        <color theme="3" tint="0.09994811853389081"/>
      </font>
      <fill>
        <patternFill>
          <fgColor theme="0"/>
          <bgColor theme="0"/>
        </patternFill>
      </fill>
      <border>
        <left/>
        <right style="dashed">
          <color theme="3" tint="0.249946592608417"/>
        </right>
        <top/>
        <bottom/>
        <vertical style="dashed">
          <color theme="3" tint="0.249946592608417"/>
        </vertical>
        <horizontal/>
      </border>
    </dxf>
    <dxf>
      <font>
        <color theme="3" tint="0.09994811853389081"/>
      </font>
      <fill>
        <patternFill>
          <fgColor theme="0"/>
          <bgColor theme="0"/>
        </patternFill>
      </fill>
      <border>
        <left/>
        <right/>
        <top style="medium">
          <color theme="3" tint="0.249946592608417"/>
        </top>
        <bottom/>
        <vertical/>
        <horizontal/>
      </border>
    </dxf>
    <dxf>
      <font>
        <color theme="3" tint="0.09994811853389081"/>
      </font>
      <fill>
        <patternFill patternType="solid">
          <fgColor theme="2"/>
          <bgColor theme="2"/>
        </patternFill>
      </fill>
      <border>
        <left/>
        <right/>
        <top/>
        <bottom style="medium">
          <color theme="3" tint="0.249946592608417"/>
        </bottom>
        <vertical/>
        <horizontal/>
      </border>
    </dxf>
    <dxf>
      <font>
        <color theme="3" tint="0.09994811853389081"/>
      </font>
      <border>
        <left/>
        <right style="dashed">
          <color theme="3" tint="0.249946592608417"/>
        </right>
        <top/>
        <bottom/>
        <vertical style="dashed">
          <color theme="3" tint="0.249946592608417"/>
        </vertical>
        <horizontal/>
      </border>
    </dxf>
    <dxf>
      <font>
        <b val="1"/>
        <color theme="4" tint="-0.249946592608417"/>
      </font>
      <fill>
        <patternFill>
          <bgColor theme="6" tint="0.7999816888943144"/>
        </patternFill>
      </fill>
      <border>
        <top style="thick">
          <color theme="6"/>
        </top>
        <bottom style="thick">
          <color theme="6"/>
        </bottom>
      </border>
    </dxf>
    <dxf>
      <font>
        <b val="1"/>
        <color theme="4" tint="-0.249946592608417"/>
      </font>
      <fill>
        <patternFill>
          <bgColor theme="6" tint="0.7999816888943144"/>
        </patternFill>
      </fill>
      <border>
        <top style="thick">
          <color theme="6"/>
        </top>
        <bottom style="thick">
          <color theme="6"/>
        </bottom>
      </border>
    </dxf>
    <dxf>
      <font>
        <color theme="1" tint="0.249946592608417"/>
      </font>
      <fill>
        <patternFill>
          <fgColor theme="6" tint="0.7999816888943144"/>
          <bgColor theme="6" tint="0.7999816888943144"/>
        </patternFill>
      </fill>
      <border>
        <left/>
        <right/>
        <top style="medium">
          <color theme="6"/>
        </top>
        <bottom style="medium">
          <color theme="6"/>
        </bottom>
        <vertical/>
        <horizontal style="thin">
          <color theme="6"/>
        </horizontal>
      </border>
    </dxf>
  </dxfs>
  <tableStyles count="3" defaultTableStyle="Personal Cash Flow Statement" defaultPivotStyle="PivotStyleLight15">
    <tableStyle name="Daily Summary" pivot="0" count="3">
      <tableStyleElement type="wholeTable" dxfId="136"/>
      <tableStyleElement type="headerRow" dxfId="135"/>
      <tableStyleElement type="totalRow" dxfId="134"/>
    </tableStyle>
    <tableStyle name="Monthly Cash Flow" pivot="0" count="5">
      <tableStyleElement type="wholeTable" dxfId="133"/>
      <tableStyleElement type="headerRow" dxfId="132"/>
      <tableStyleElement type="totalRow" dxfId="131"/>
      <tableStyleElement type="firstRowStripe" dxfId="130"/>
      <tableStyleElement type="secondRowStripe" dxfId="129"/>
    </tableStyle>
    <tableStyle name="Personal Cash Flow Statement" pivot="0" count="9">
      <tableStyleElement type="wholeTable" dxfId="128"/>
      <tableStyleElement type="headerRow" dxfId="127"/>
      <tableStyleElement type="totalRow" dxfId="126"/>
      <tableStyleElement type="firstColumn" dxfId="125"/>
      <tableStyleElement type="lastColumn" dxfId="124"/>
      <tableStyleElement type="firstHeaderCell" dxfId="123"/>
      <tableStyleElement type="lastHeaderCell" dxfId="122"/>
      <tableStyleElement type="firstTotalCell" dxfId="121"/>
      <tableStyleElement type="lastTotalCell" dxfId="12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pivotCacheDefinition" Target="/xl/pivotCache/pivotCacheDefinition1.xml" Id="rId9" /><Relationship Type="http://schemas.openxmlformats.org/officeDocument/2006/relationships/pivotCacheDefinition" Target="/xl/pivotCache/pivotCacheDefinition2.xml" Id="rId10" /><Relationship Type="http://schemas.openxmlformats.org/officeDocument/2006/relationships/pivotCacheDefinition" Target="/xl/pivotCache/pivotCacheDefinition3.xml" Id="rId11" /><Relationship Type="http://schemas.openxmlformats.org/officeDocument/2006/relationships/pivotCacheDefinition" Target="/xl/pivotCache/pivotCacheDefinition4.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pivotSource>
    <name>[TFb55730e7-4e7a-44bc-b0f3-ababbf53f2231b5f28b4_wac-50744284f86d.xlsx]Annual cash flow!PVT_Income</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490342654536604"/>
          <y val="0.03410852713178295"/>
          <w val="0.5596039968688125"/>
          <h val="0.8966926692302997"/>
        </manualLayout>
      </layout>
      <barChart>
        <barDir val="bar"/>
        <grouping val="clustered"/>
        <varyColors val="0"/>
        <ser>
          <idx val="0"/>
          <order val="0"/>
          <tx>
            <strRef>
              <f>'Annual cash flow'!$S$9</f>
              <strCache>
                <ptCount val="1"/>
                <pt idx="0">
                  <v>Total</v>
                </pt>
              </strCache>
            </strRef>
          </tx>
          <spPr>
            <a:solidFill>
              <a:schemeClr val="accent1"/>
            </a:solidFill>
            <a:ln>
              <a:noFill/>
              <a:prstDash val="solid"/>
            </a:ln>
          </spPr>
          <invertIfNegative val="0"/>
          <cat>
            <strRef>
              <f>'Annual cash flow'!$R$10:$R$16</f>
              <strCache>
                <ptCount val="6"/>
                <pt idx="0">
                  <v>Other 2</v>
                </pt>
                <pt idx="1">
                  <v>Other 3</v>
                </pt>
                <pt idx="2">
                  <v>Other 4</v>
                </pt>
                <pt idx="3">
                  <v>Commissions/Bonus</v>
                </pt>
                <pt idx="4">
                  <v>Other 1</v>
                </pt>
                <pt idx="5">
                  <v>Salary</v>
                </pt>
              </strCache>
            </strRef>
          </cat>
          <val>
            <numRef>
              <f>'Annual cash flow'!$S$10:$S$16</f>
              <numCache>
                <formatCode>"$"#,##0</formatCode>
                <ptCount val="6"/>
                <pt idx="0">
                  <v>0</v>
                </pt>
                <pt idx="1">
                  <v>0</v>
                </pt>
                <pt idx="2">
                  <v>0</v>
                </pt>
                <pt idx="3">
                  <v>5000</v>
                </pt>
                <pt idx="4">
                  <v>30000</v>
                </pt>
                <pt idx="5">
                  <v>90000</v>
                </pt>
              </numCache>
            </numRef>
          </val>
        </ser>
        <dLbls>
          <showLegendKey val="0"/>
          <showVal val="0"/>
          <showCatName val="0"/>
          <showSerName val="0"/>
          <showPercent val="0"/>
          <showBubbleSize val="0"/>
        </dLbls>
        <gapWidth val="100"/>
        <axId val="305458912"/>
        <axId val="305465800"/>
      </barChart>
      <catAx>
        <axId val="305458912"/>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65800"/>
        <crosses val="autoZero"/>
        <auto val="1"/>
        <lblAlgn val="ctr"/>
        <lblOffset val="100"/>
        <noMultiLvlLbl val="0"/>
      </catAx>
      <valAx>
        <axId val="305465800"/>
        <scaling>
          <orientation val="minMax"/>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305458912"/>
        <crosses val="autoZero"/>
        <crossBetween val="between"/>
      </valAx>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pivotSource>
    <name>[TFb55730e7-4e7a-44bc-b0f3-ababbf53f2231b5f28b4_wac-50744284f86d.xlsx]Annual cash flow!PVT_Expenses2</name>
    <fmtId val="0"/>
  </pivotSource>
  <chart>
    <pivotFmts>
      <pivotFmt>
        <idx val="0"/>
        <spPr>
          <a:solidFill>
            <a:schemeClr val="accent1"/>
          </a:solidFill>
          <a:ln>
            <a:noFill/>
            <a:prstDash val="solid"/>
          </a:ln>
        </spPr>
        <marker>
          <symbol val="none"/>
          <spPr>
            <a:ln>
              <a:prstDash val="solid"/>
            </a:ln>
          </spPr>
        </marker>
      </pivotFmt>
      <pivotFmt>
        <idx val="1"/>
        <spPr>
          <a:solidFill>
            <a:schemeClr val="accent1"/>
          </a:solidFill>
          <a:ln>
            <a:noFill/>
            <a:prstDash val="solid"/>
          </a:ln>
        </spPr>
        <marker>
          <symbol val="none"/>
          <spPr>
            <a:ln>
              <a:prstDash val="solid"/>
            </a:ln>
          </spPr>
        </marker>
      </pivotFmt>
      <pivotFmt>
        <idx val="2"/>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519586367493537"/>
          <y val="0.03410852713178295"/>
          <w val="0.575693827745216"/>
          <h val="0.8966926692302997"/>
        </manualLayout>
      </layout>
      <barChart>
        <barDir val="bar"/>
        <grouping val="clustered"/>
        <varyColors val="0"/>
        <ser>
          <idx val="0"/>
          <order val="0"/>
          <tx>
            <strRef>
              <f>'Annual cash flow'!$Y$9</f>
              <strCache>
                <ptCount val="1"/>
                <pt idx="0">
                  <v>Total</v>
                </pt>
              </strCache>
            </strRef>
          </tx>
          <spPr>
            <a:solidFill>
              <a:schemeClr val="accent1"/>
            </a:solidFill>
            <a:ln>
              <a:noFill/>
              <a:prstDash val="solid"/>
            </a:ln>
          </spPr>
          <invertIfNegative val="0"/>
          <cat>
            <strRef>
              <f>'Annual cash flow'!$X$10:$X$21</f>
              <strCache>
                <ptCount val="11"/>
                <pt idx="0">
                  <v>Other 2</v>
                </pt>
                <pt idx="1">
                  <v>Other 1</v>
                </pt>
                <pt idx="2">
                  <v>Club memberships</v>
                </pt>
                <pt idx="3">
                  <v>Personal care</v>
                </pt>
                <pt idx="4">
                  <v>Gifts</v>
                </pt>
                <pt idx="5">
                  <v>Charity</v>
                </pt>
                <pt idx="6">
                  <v>Entertainment</v>
                </pt>
                <pt idx="7">
                  <v>Dining</v>
                </pt>
                <pt idx="8">
                  <v>Shopping</v>
                </pt>
                <pt idx="9">
                  <v>Travel</v>
                </pt>
                <pt idx="10">
                  <v>Home improvements</v>
                </pt>
              </strCache>
            </strRef>
          </cat>
          <val>
            <numRef>
              <f>'Annual cash flow'!$Y$10:$Y$21</f>
              <numCache>
                <formatCode>"$"#,##0</formatCode>
                <ptCount val="11"/>
                <pt idx="0">
                  <v>0</v>
                </pt>
                <pt idx="1">
                  <v>0</v>
                </pt>
                <pt idx="2">
                  <v>300</v>
                </pt>
                <pt idx="3">
                  <v>300</v>
                </pt>
                <pt idx="4">
                  <v>600</v>
                </pt>
                <pt idx="5">
                  <v>600</v>
                </pt>
                <pt idx="6">
                  <v>1200</v>
                </pt>
                <pt idx="7">
                  <v>1200</v>
                </pt>
                <pt idx="8">
                  <v>2000</v>
                </pt>
                <pt idx="9">
                  <v>2250</v>
                </pt>
                <pt idx="10">
                  <v>4800</v>
                </pt>
              </numCache>
            </numRef>
          </val>
        </ser>
        <dLbls>
          <showLegendKey val="0"/>
          <showVal val="0"/>
          <showCatName val="0"/>
          <showSerName val="0"/>
          <showPercent val="0"/>
          <showBubbleSize val="0"/>
        </dLbls>
        <gapWidth val="100"/>
        <axId val="512411144"/>
        <axId val="512410816"/>
      </barChart>
      <catAx>
        <axId val="512411144"/>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0816"/>
        <crosses val="autoZero"/>
        <auto val="1"/>
        <lblAlgn val="ctr"/>
        <lblOffset val="100"/>
        <noMultiLvlLbl val="0"/>
      </catAx>
      <valAx>
        <axId val="512410816"/>
        <scaling>
          <orientation val="minMax"/>
        </scaling>
        <delete val="0"/>
        <axPos val="b"/>
        <numFmt formatCode="&quot;$&quot;#,##0" sourceLinked="1"/>
        <majorTickMark val="out"/>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12411144"/>
        <crosses val="autoZero"/>
        <crossBetween val="between"/>
        <majorUnit val="2000"/>
      </valAx>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pivotSource>
    <name>[TFb55730e7-4e7a-44bc-b0f3-ababbf53f2231b5f28b4_wac-50744284f86d.xlsx]Annual cash flow!PVT_Expenses1</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barChart>
        <barDir val="bar"/>
        <grouping val="clustered"/>
        <varyColors val="0"/>
        <ser>
          <idx val="0"/>
          <order val="0"/>
          <tx>
            <strRef>
              <f>'Annual cash flow'!$V$9</f>
              <strCache>
                <ptCount val="1"/>
                <pt idx="0">
                  <v>Total</v>
                </pt>
              </strCache>
            </strRef>
          </tx>
          <spPr>
            <a:solidFill>
              <a:schemeClr val="accent1"/>
            </a:solidFill>
            <a:ln>
              <a:noFill/>
              <a:prstDash val="solid"/>
            </a:ln>
          </spPr>
          <invertIfNegative val="0"/>
          <cat>
            <strRef>
              <f>'Annual cash flow'!$U$10:$U$28</f>
              <strCache>
                <ptCount val="18"/>
                <pt idx="0">
                  <v>Other 1</v>
                </pt>
                <pt idx="1">
                  <v>Other 2</v>
                </pt>
                <pt idx="2">
                  <v>Garbage</v>
                </pt>
                <pt idx="3">
                  <v>Vehicle tax/fees</v>
                </pt>
                <pt idx="4">
                  <v>Insurance</v>
                </pt>
                <pt idx="5">
                  <v>Internet</v>
                </pt>
                <pt idx="6">
                  <v>Gas</v>
                </pt>
                <pt idx="7">
                  <v>Water/sewer</v>
                </pt>
                <pt idx="8">
                  <v>Phone</v>
                </pt>
                <pt idx="9">
                  <v>Medical/dental/Rx</v>
                </pt>
                <pt idx="10">
                  <v>Electricity</v>
                </pt>
                <pt idx="11">
                  <v>Clothing</v>
                </pt>
                <pt idx="12">
                  <v>Disability premiums</v>
                </pt>
                <pt idx="13">
                  <v>State income tax</v>
                </pt>
                <pt idx="14">
                  <v>Vehicle payments</v>
                </pt>
                <pt idx="15">
                  <v>Food</v>
                </pt>
                <pt idx="16">
                  <v>Federal/SS/Medicare</v>
                </pt>
                <pt idx="17">
                  <v>Mortgage/rent</v>
                </pt>
              </strCache>
            </strRef>
          </cat>
          <val>
            <numRef>
              <f>'Annual cash flow'!$V$10:$V$28</f>
              <numCache>
                <formatCode>"$"#,##0_);\("$"#,##0\)</formatCode>
                <ptCount val="18"/>
                <pt idx="0">
                  <v>0</v>
                </pt>
                <pt idx="1">
                  <v>0</v>
                </pt>
                <pt idx="2">
                  <v>150</v>
                </pt>
                <pt idx="3">
                  <v>200</v>
                </pt>
                <pt idx="4">
                  <v>250</v>
                </pt>
                <pt idx="5">
                  <v>600</v>
                </pt>
                <pt idx="6">
                  <v>600</v>
                </pt>
                <pt idx="7">
                  <v>600</v>
                </pt>
                <pt idx="8">
                  <v>600</v>
                </pt>
                <pt idx="9">
                  <v>600</v>
                </pt>
                <pt idx="10">
                  <v>1200</v>
                </pt>
                <pt idx="11">
                  <v>1200</v>
                </pt>
                <pt idx="12">
                  <v>1500</v>
                </pt>
                <pt idx="13">
                  <v>2500</v>
                </pt>
                <pt idx="14">
                  <v>4000</v>
                </pt>
                <pt idx="15">
                  <v>5000</v>
                </pt>
                <pt idx="16">
                  <v>12500</v>
                </pt>
                <pt idx="17">
                  <v>15000</v>
                </pt>
              </numCache>
            </numRef>
          </val>
        </ser>
        <dLbls>
          <showLegendKey val="0"/>
          <showVal val="0"/>
          <showCatName val="0"/>
          <showSerName val="0"/>
          <showPercent val="0"/>
          <showBubbleSize val="0"/>
        </dLbls>
        <gapWidth val="100"/>
        <axId val="287964960"/>
        <axId val="287968896"/>
      </barChart>
      <catAx>
        <axId val="287964960"/>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8896"/>
        <crosses val="autoZero"/>
        <auto val="1"/>
        <lblAlgn val="ctr"/>
        <lblOffset val="100"/>
        <noMultiLvlLbl val="0"/>
      </catAx>
      <valAx>
        <axId val="287968896"/>
        <scaling>
          <orientation val="minMax"/>
        </scaling>
        <delete val="0"/>
        <axPos val="b"/>
        <numFmt formatCode="&quot;$&quot;#,##0_);\(&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287964960"/>
        <crosses val="autoZero"/>
        <crossBetween val="between"/>
      </valAx>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pivotSource>
    <name>[TFb55730e7-4e7a-44bc-b0f3-ababbf53f2231b5f28b4_wac-50744284f86d.xlsx]Annual cash flow!PVT_Savings</name>
    <fmtId val="0"/>
  </pivotSource>
  <chart>
    <pivotFmts>
      <pivotFmt>
        <idx val="0"/>
        <spPr>
          <a:solidFill>
            <a:schemeClr val="accent1"/>
          </a:solidFill>
          <a:ln>
            <a:noFill/>
            <a:prstDash val="solid"/>
          </a:ln>
        </spPr>
        <marker>
          <symbol val="none"/>
          <spPr>
            <a:ln>
              <a:prstDash val="solid"/>
            </a:ln>
          </spPr>
        </marker>
        <dLbl>
          <idx val="0"/>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showLegendKey val="0"/>
          <showVal val="0"/>
          <showCatName val="0"/>
          <showSerName val="0"/>
          <showPercent val="0"/>
          <showBubbleSize val="0"/>
        </dLbl>
      </pivotFmt>
    </pivotFmts>
    <plotArea>
      <layout>
        <manualLayout>
          <layoutTarget val="inner"/>
          <xMode val="edge"/>
          <yMode val="edge"/>
          <wMode val="factor"/>
          <hMode val="factor"/>
          <x val="0.3051433674957297"/>
          <y val="0.03182870370370371"/>
          <w val="0.6212291171936841"/>
          <h val="0.9045717592592593"/>
        </manualLayout>
      </layout>
      <barChart>
        <barDir val="bar"/>
        <grouping val="clustered"/>
        <varyColors val="0"/>
        <ser>
          <idx val="0"/>
          <order val="0"/>
          <tx>
            <strRef>
              <f>'Annual cash flow'!$AB$9</f>
              <strCache>
                <ptCount val="1"/>
                <pt idx="0">
                  <v>Total</v>
                </pt>
              </strCache>
            </strRef>
          </tx>
          <spPr>
            <a:solidFill>
              <a:schemeClr val="accent1"/>
            </a:solidFill>
            <a:ln>
              <a:noFill/>
              <a:prstDash val="solid"/>
            </a:ln>
          </spPr>
          <invertIfNegative val="0"/>
          <cat>
            <strRef>
              <f>'Annual cash flow'!$AA$10:$AA$15</f>
              <strCache>
                <ptCount val="5"/>
                <pt idx="0">
                  <v>Other 1</v>
                </pt>
                <pt idx="1">
                  <v>Other 2</v>
                </pt>
                <pt idx="2">
                  <v>Cash reserves</v>
                </pt>
                <pt idx="3">
                  <v>Savings/investment</v>
                </pt>
                <pt idx="4">
                  <v>401k etc.</v>
                </pt>
              </strCache>
            </strRef>
          </cat>
          <val>
            <numRef>
              <f>'Annual cash flow'!$AB$10:$AB$15</f>
              <numCache>
                <formatCode>"$"#,##0</formatCode>
                <ptCount val="5"/>
                <pt idx="0">
                  <v>0</v>
                </pt>
                <pt idx="1">
                  <v>0</v>
                </pt>
                <pt idx="2">
                  <v>5000</v>
                </pt>
                <pt idx="3">
                  <v>6000</v>
                </pt>
                <pt idx="4">
                  <v>12000</v>
                </pt>
              </numCache>
            </numRef>
          </val>
        </ser>
        <dLbls>
          <showLegendKey val="0"/>
          <showVal val="0"/>
          <showCatName val="0"/>
          <showSerName val="0"/>
          <showPercent val="0"/>
          <showBubbleSize val="0"/>
        </dLbls>
        <gapWidth val="100"/>
        <axId val="527863088"/>
        <axId val="527863416"/>
      </barChart>
      <catAx>
        <axId val="527863088"/>
        <scaling>
          <orientation val="minMax"/>
        </scaling>
        <delete val="0"/>
        <axPos val="l"/>
        <numFmt formatCode="General"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416"/>
        <crosses val="autoZero"/>
        <auto val="1"/>
        <lblAlgn val="ctr"/>
        <lblOffset val="100"/>
        <noMultiLvlLbl val="0"/>
      </catAx>
      <valAx>
        <axId val="527863416"/>
        <scaling>
          <orientation val="minMax"/>
          <max val="14000"/>
          <min val="0"/>
        </scaling>
        <delete val="0"/>
        <axPos val="b"/>
        <numFmt formatCode="&quot;$&quot;#,##0" sourceLinked="1"/>
        <majorTickMark val="none"/>
        <minorTickMark val="none"/>
        <tickLblPos val="nextTo"/>
        <spPr>
          <a:noFill/>
          <a:ln>
            <a:noFill/>
            <a:prstDash val="solid"/>
          </a:ln>
        </spPr>
        <txPr>
          <a:bodyPr rot="-60000000" spcFirstLastPara="1" vertOverflow="ellipsis" vert="horz" wrap="square" anchor="ctr" anchorCtr="1"/>
          <a:lstStyle/>
          <a:p>
            <a:pPr>
              <a:defRPr sz="900" b="0" i="0"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r>
              <a:t/>
            </a:r>
            <a:endParaRPr lang="en-US"/>
          </a:p>
        </txPr>
        <crossAx val="527863088"/>
        <crosses val="autoZero"/>
        <crossBetween val="between"/>
        <majorUnit val="4000"/>
      </valAx>
    </plotArea>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0</colOff>
      <row>4</row>
      <rowOff>0</rowOff>
    </from>
    <to>
      <col>4</col>
      <colOff>0</colOff>
      <row>5</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9</col>
      <colOff>0</colOff>
      <row>4</row>
      <rowOff>0</rowOff>
    </from>
    <to>
      <col>12</col>
      <colOff>0</colOff>
      <row>5</row>
      <rowOff>0</rowOff>
    </to>
    <graphicFrame>
      <nvGraphicFramePr>
        <cNvPr id="2" name="Chart 2"/>
        <cNvGraphicFramePr/>
      </nvGraphicFramePr>
      <xfrm/>
      <a:graphic>
        <a:graphicData uri="http://schemas.openxmlformats.org/drawingml/2006/chart">
          <c:chart r:id="rId2"/>
        </a:graphicData>
      </a:graphic>
    </graphicFrame>
    <clientData/>
  </twoCellAnchor>
  <twoCellAnchor>
    <from>
      <col>5</col>
      <colOff>0</colOff>
      <row>4</row>
      <rowOff>0</rowOff>
    </from>
    <to>
      <col>8</col>
      <colOff>0</colOff>
      <row>5</row>
      <rowOff>0</rowOff>
    </to>
    <graphicFrame>
      <nvGraphicFramePr>
        <cNvPr id="3" name="Chart 3"/>
        <cNvGraphicFramePr/>
      </nvGraphicFramePr>
      <xfrm/>
      <a:graphic>
        <a:graphicData uri="http://schemas.openxmlformats.org/drawingml/2006/chart">
          <c:chart r:id="rId3"/>
        </a:graphicData>
      </a:graphic>
    </graphicFrame>
    <clientData/>
  </twoCellAnchor>
  <twoCellAnchor>
    <from>
      <col>13</col>
      <colOff>0</colOff>
      <row>3</row>
      <rowOff>428624</rowOff>
    </from>
    <to>
      <col>16</col>
      <colOff>0</colOff>
      <row>4</row>
      <rowOff>4314824</rowOff>
    </to>
    <graphicFrame>
      <nvGraphicFramePr>
        <cNvPr id="4" name="Chart 4"/>
        <cNvGraphicFramePr/>
      </nvGraphicFramePr>
      <xfrm/>
      <a:graphic>
        <a:graphicData uri="http://schemas.openxmlformats.org/drawingml/2006/chart">
          <c:chart r:id="rId4"/>
        </a:graphicData>
      </a:graphic>
    </graphicFrame>
    <clientData/>
  </twoCellAnchor>
</wsDr>
</file>

<file path=xl/pivotCache/pivotCacheDefinition1.xml><?xml version="1.0" encoding="utf-8"?>
<pivotCacheDefinition xmlns="http://schemas.openxmlformats.org/spreadsheetml/2006/main" saveData="0" refreshedBy="Author" refreshedDate="45088.77569050926" backgroundQuery="1" createdVersion="6" refreshedVersion="8" minRefreshableVersion="3" recordCount="0" supportSubquery="1" supportAdvancedDrill="1">
  <cacheSource type="external" connectionId="1"/>
  <cacheFields count="2">
    <cacheField name="[Expenses].[Expenses].[Expenses]" caption="Expenses" uniqueList="1" numFmtId="0" sqlType="0" hierarchy="3" level="1" databaseField="1">
      <sharedItems count="18">
        <s v="Clothing"/>
        <s v="Disability premiums"/>
        <s v="Electricity"/>
        <s v="Federal/SS/Medicare"/>
        <s v="Food"/>
        <s v="Garbage"/>
        <s v="Gas"/>
        <s v="Insurance"/>
        <s v="Internet"/>
        <s v="Medical/dental/Rx"/>
        <s v="Mortgage/rent"/>
        <s v="Other 1"/>
        <s v="Other 2"/>
        <s v="Phone"/>
        <s v="State income tax"/>
        <s v="Vehicle payments"/>
        <s v="Vehicle tax/fees"/>
        <s v="Water/sewer"/>
      </sharedItems>
    </cacheField>
    <cacheField name="[Measures].[Sum of Annual 3]" caption="Sum of Annual 3" uniqueList="1" numFmtId="0" sqlType="0" hierarchy="20"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2" oneField="0" memberValueDatatype="130" unbalanced="0" hidden="0">
      <fieldsUsage count="2">
        <fieldUsage x="-1"/>
        <fieldUsage x="0"/>
      </fieldsUsage>
    </cacheHierarchy>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1" hidden="1">
      <fieldsUsage count="1">
        <fieldUsage x="1"/>
      </fieldsUsage>
    </cacheHierarchy>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2.xml><?xml version="1.0" encoding="utf-8"?>
<pivotCacheDefinition xmlns="http://schemas.openxmlformats.org/spreadsheetml/2006/main" saveData="0" refreshedBy="Author" refreshedDate="45088.77567974537" backgroundQuery="1" createdVersion="6" refreshedVersion="8" minRefreshableVersion="3" recordCount="0" supportSubquery="1" supportAdvancedDrill="1">
  <cacheSource type="external" connectionId="1"/>
  <cacheFields count="2">
    <cacheField name="[Savings].[Savings].[Savings]" caption="Savings" uniqueList="1" numFmtId="0" sqlType="0" hierarchy="9" level="1" databaseField="1">
      <sharedItems count="5">
        <s v="401k etc."/>
        <s v="Cash reserves"/>
        <s v="Other 1"/>
        <s v="Other 2"/>
        <s v="Savings/investment"/>
      </sharedItems>
    </cacheField>
    <cacheField name="[Measures].[Sum of Annual 4]" caption="Sum of Annual 4" uniqueList="1" numFmtId="0" sqlType="0" hierarchy="21"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2" oneField="0" memberValueDatatype="130" unbalanced="0" hidden="0">
      <fieldsUsage count="2">
        <fieldUsage x="-1"/>
        <fieldUsage x="0"/>
      </fieldsUsage>
    </cacheHierarchy>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1" hidden="1">
      <fieldsUsage count="1">
        <fieldUsage x="1"/>
      </fieldsUsage>
    </cacheHierarchy>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3.xml><?xml version="1.0" encoding="utf-8"?>
<pivotCacheDefinition xmlns="http://schemas.openxmlformats.org/spreadsheetml/2006/main" saveData="0" refreshedBy="Author" refreshedDate="45088.77568483796" backgroundQuery="1" createdVersion="6" refreshedVersion="8" minRefreshableVersion="3" recordCount="0" supportSubquery="1" supportAdvancedDrill="1">
  <cacheSource type="external" connectionId="1"/>
  <cacheFields count="2">
    <cacheField name="[Income].[Income].[Income]" caption="Income" uniqueList="1" numFmtId="0" sqlType="0" hierarchy="6" level="1" databaseField="1">
      <sharedItems count="6">
        <s v="Commissions/Bonus"/>
        <s v="Other 1"/>
        <s v="Other 2"/>
        <s v="Other 3"/>
        <s v="Other 4"/>
        <s v="Salary"/>
      </sharedItems>
    </cacheField>
    <cacheField name="[Measures].[Sum of Annual]" caption="Sum of Annual" uniqueList="1" numFmtId="0" sqlType="0" hierarchy="17"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0" oneField="0" memberValueDatatype="130" unbalanced="0" hidden="0"/>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2" oneField="0" memberValueDatatype="130" unbalanced="0" hidden="0">
      <fieldsUsage count="2">
        <fieldUsage x="-1"/>
        <fieldUsage x="0"/>
      </fieldsUsage>
    </cacheHierarchy>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1" hidden="1">
      <fieldsUsage count="1">
        <fieldUsage x="1"/>
      </fieldsUsage>
    </cacheHierarchy>
    <cacheHierarchy uniqueName="[Measures].[Sum of Annual 2]" caption="Sum of Annual 2" measure="1" set="0" iconSet="0" attribute="0" time="0" keyAttribute="0" displayFolder="" measureGroup="Discretionary" measures="0" count="0" oneField="0" hidden="1"/>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Cache/pivotCacheDefinition4.xml><?xml version="1.0" encoding="utf-8"?>
<pivotCacheDefinition xmlns="http://schemas.openxmlformats.org/spreadsheetml/2006/main" saveData="0" refreshedBy="Author" refreshedDate="45088.77569606481" backgroundQuery="1" createdVersion="6" refreshedVersion="8" minRefreshableVersion="3" recordCount="0" supportSubquery="1" supportAdvancedDrill="1">
  <cacheSource type="external" connectionId="1"/>
  <cacheFields count="2">
    <cacheField name="[Discretionary].[Expenses].[Expenses]" caption="Expenses" uniqueList="1" numFmtId="0" sqlType="0" hierarchy="0" level="1" databaseField="1">
      <sharedItems count="11">
        <s v="Charity"/>
        <s v="Club memberships"/>
        <s v="Dining"/>
        <s v="Entertainment"/>
        <s v="Gifts"/>
        <s v="Home improvements"/>
        <s v="Other 1"/>
        <s v="Other 2"/>
        <s v="Personal care"/>
        <s v="Shopping"/>
        <s v="Travel"/>
      </sharedItems>
    </cacheField>
    <cacheField name="[Measures].[Sum of Annual 2]" caption="Sum of Annual 2" uniqueList="1" numFmtId="0" sqlType="0" hierarchy="18" level="32767" databaseField="1"/>
  </cacheFields>
  <cacheHierarchies>
    <cacheHierarchy uniqueName="[Discretionary].[Expenses]" caption="Expenses" measure="0" set="0" iconSet="0" attribute="1" time="0" keyAttribute="0" defaultMemberUniqueName="[Discretionary].[Expenses].[All]" allUniqueName="[Discretionary].[Expenses].[All]" dimensionUniqueName="[Discretionary]" displayFolder="" measures="0" count="2" oneField="0" memberValueDatatype="130" unbalanced="0" hidden="0">
      <fieldsUsage count="2">
        <fieldUsage x="-1"/>
        <fieldUsage x="0"/>
      </fieldsUsage>
    </cacheHierarchy>
    <cacheHierarchy uniqueName="[Discretionary].[Annual]" caption="Annual" measure="0" set="0" iconSet="0" attribute="1" time="0" keyAttribute="0" defaultMemberUniqueName="[Discretionary].[Annual].[All]" allUniqueName="[Discretionary].[Annual].[All]" dimensionUniqueName="[Discretionary]" displayFolder="" measures="0" count="0" oneField="0" memberValueDatatype="20" unbalanced="0" hidden="0"/>
    <cacheHierarchy uniqueName="[Discretionary].[Monthly]" caption="Monthly" measure="0" set="0" iconSet="0" attribute="1" time="0" keyAttribute="0" defaultMemberUniqueName="[Discretionary].[Monthly].[All]" allUniqueName="[Discretionary].[Monthly].[All]" dimensionUniqueName="[Discretionary]" displayFolder="" measures="0" count="0" oneField="0" memberValueDatatype="5" unbalanced="0" hidden="0"/>
    <cacheHierarchy uniqueName="[Expenses].[Expenses]" caption="Expenses" measure="0" set="0" iconSet="0" attribute="1" time="0" keyAttribute="0" defaultMemberUniqueName="[Expenses].[Expenses].[All]" allUniqueName="[Expenses].[Expenses].[All]" dimensionUniqueName="[Expenses]" displayFolder="" measures="0" count="0" oneField="0" memberValueDatatype="130" unbalanced="0" hidden="0"/>
    <cacheHierarchy uniqueName="[Expenses].[Annual]" caption="Annual" measure="0" set="0" iconSet="0" attribute="1" time="0" keyAttribute="0" defaultMemberUniqueName="[Expenses].[Annual].[All]" allUniqueName="[Expenses].[Annual].[All]" dimensionUniqueName="[Expenses]" displayFolder="" measures="0" count="0" oneField="0" memberValueDatatype="20" unbalanced="0" hidden="0"/>
    <cacheHierarchy uniqueName="[Expenses].[Monthly]" caption="Monthly" measure="0" set="0" iconSet="0" attribute="1" time="0" keyAttribute="0" defaultMemberUniqueName="[Expenses].[Monthly].[All]" allUniqueName="[Expenses].[Monthly].[All]" dimensionUniqueName="[Expenses]" displayFolder="" measures="0" count="0" oneField="0" memberValueDatatype="5" unbalanced="0" hidden="0"/>
    <cacheHierarchy uniqueName="[Income].[Income]" caption="Income" measure="0" set="0" iconSet="0" attribute="1" time="0" keyAttribute="0" defaultMemberUniqueName="[Income].[Income].[All]" allUniqueName="[Income].[Income].[All]" dimensionUniqueName="[Income]" displayFolder="" measures="0" count="0" oneField="0" memberValueDatatype="130" unbalanced="0" hidden="0"/>
    <cacheHierarchy uniqueName="[Income].[Annual]" caption="Annual" measure="0" set="0" iconSet="0" attribute="1" time="0" keyAttribute="0" defaultMemberUniqueName="[Income].[Annual].[All]" allUniqueName="[Income].[Annual].[All]" dimensionUniqueName="[Income]" displayFolder="" measures="0" count="0" oneField="0" memberValueDatatype="20" unbalanced="0" hidden="0"/>
    <cacheHierarchy uniqueName="[Income].[Monthly]" caption="Monthly" measure="0" set="0" iconSet="0" attribute="1" time="0" keyAttribute="0" defaultMemberUniqueName="[Income].[Monthly].[All]" allUniqueName="[Income].[Monthly].[All]" dimensionUniqueName="[Income]" displayFolder="" measures="0" count="0" oneField="0" memberValueDatatype="5" unbalanced="0" hidden="0"/>
    <cacheHierarchy uniqueName="[Savings].[Savings]" caption="Savings" measure="0" set="0" iconSet="0" attribute="1" time="0" keyAttribute="0" defaultMemberUniqueName="[Savings].[Savings].[All]" allUniqueName="[Savings].[Savings].[All]" dimensionUniqueName="[Savings]" displayFolder="" measures="0" count="0" oneField="0" memberValueDatatype="130" unbalanced="0" hidden="0"/>
    <cacheHierarchy uniqueName="[Savings].[Annual]" caption="Annual" measure="0" set="0" iconSet="0" attribute="1" time="0" keyAttribute="0" defaultMemberUniqueName="[Savings].[Annual].[All]" allUniqueName="[Savings].[Annual].[All]" dimensionUniqueName="[Savings]" displayFolder="" measures="0" count="0" oneField="0" memberValueDatatype="20" unbalanced="0" hidden="0"/>
    <cacheHierarchy uniqueName="[Savings].[Monthly]" caption="Monthly" measure="0" set="0" iconSet="0" attribute="1" time="0" keyAttribute="0" defaultMemberUniqueName="[Savings].[Monthly].[All]" allUniqueName="[Savings].[Monthly].[All]" dimensionUniqueName="[Savings]" displayFolder="" measures="0" count="0" oneField="0" memberValueDatatype="5" unbalanced="0" hidden="0"/>
    <cacheHierarchy uniqueName="[Measures].[__XL_Count Income]" caption="__XL_Count Income" measure="1" set="0" iconSet="0" attribute="0" time="0" keyAttribute="0" displayFolder="" measureGroup="Income" measures="0" count="0" oneField="0" hidden="1"/>
    <cacheHierarchy uniqueName="[Measures].[__XL_Count Discretionary]" caption="__XL_Count Discretionary" measure="1" set="0" iconSet="0" attribute="0" time="0" keyAttribute="0" displayFolder="" measureGroup="Discretionary" measures="0" count="0" oneField="0" hidden="1"/>
    <cacheHierarchy uniqueName="[Measures].[__XL_Count Expenses]" caption="__XL_Count Expenses" measure="1" set="0" iconSet="0" attribute="0" time="0" keyAttribute="0" displayFolder="" measureGroup="Expenses" measures="0" count="0" oneField="0" hidden="1"/>
    <cacheHierarchy uniqueName="[Measures].[__XL_Count Savings]" caption="__XL_Count Savings" measure="1" set="0" iconSet="0" attribute="0" time="0" keyAttribute="0" displayFolder="" measureGroup="Savings" measures="0" count="0" oneField="0" hidden="1"/>
    <cacheHierarchy uniqueName="[Measures].[__No measures defined]" caption="__No measures defined" measure="1" set="0" iconSet="0" attribute="0" time="0" keyAttribute="0" displayFolder="" measures="0" count="0" oneField="0" hidden="1"/>
    <cacheHierarchy uniqueName="[Measures].[Sum of Annual]" caption="Sum of Annual" measure="1" set="0" iconSet="0" attribute="0" time="0" keyAttribute="0" displayFolder="" measureGroup="Income" measures="0" count="0" oneField="0" hidden="1"/>
    <cacheHierarchy uniqueName="[Measures].[Sum of Annual 2]" caption="Sum of Annual 2" measure="1" set="0" iconSet="0" attribute="0" time="0" keyAttribute="0" displayFolder="" measureGroup="Discretionary" measures="0" count="0" oneField="1" hidden="1">
      <fieldsUsage count="1">
        <fieldUsage x="1"/>
      </fieldsUsage>
    </cacheHierarchy>
    <cacheHierarchy uniqueName="[Measures].[Sum of Monthly]" caption="Sum of Monthly" measure="1" set="0" iconSet="0" attribute="0" time="0" keyAttribute="0" displayFolder="" measureGroup="Discretionary" measures="0" count="0" oneField="0" hidden="1"/>
    <cacheHierarchy uniqueName="[Measures].[Sum of Annual 3]" caption="Sum of Annual 3" measure="1" set="0" iconSet="0" attribute="0" time="0" keyAttribute="0" displayFolder="" measureGroup="Expenses" measures="0" count="0" oneField="0" hidden="1"/>
    <cacheHierarchy uniqueName="[Measures].[Sum of Annual 4]" caption="Sum of Annual 4" measure="1" set="0" iconSet="0" attribute="0" time="0" keyAttribute="0" displayFolder="" measureGroup="Savings" measures="0" count="0" oneField="0" hidden="1"/>
  </cacheHierarchies>
  <dimensions>
    <dimension measure="0" name="Discretionary" uniqueName="[Discretionary]" caption="Discretionary"/>
    <dimension measure="0" name="Expenses" uniqueName="[Expenses]" caption="Expenses"/>
    <dimension measure="0" name="Income" uniqueName="[Income]" caption="Income"/>
    <dimension measure="1" name="Measures" uniqueName="[Measures]" caption="Measures"/>
    <dimension measure="0" name="Savings" uniqueName="[Savings]" caption="Savings"/>
  </dimensions>
  <measureGroups count="4">
    <measureGroup name="Discretionary" caption="Discretionary"/>
    <measureGroup name="Expenses" caption="Expenses"/>
    <measureGroup name="Income" caption="Income"/>
    <measureGroup name="Savings" caption="Savings"/>
  </measureGroups>
  <maps count="4">
    <map measureGroup="0" dimension="0"/>
    <map measureGroup="1" dimension="1"/>
    <map measureGroup="2" dimension="2"/>
    <map measureGroup="3" dimension="4"/>
  </maps>
</pivotCacheDefinition>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 /></Relationships>
</file>

<file path=xl/pivotTables/_rels/pivotTable3.xml.rels><Relationships xmlns="http://schemas.openxmlformats.org/package/2006/relationships"><Relationship Type="http://schemas.openxmlformats.org/officeDocument/2006/relationships/pivotCacheDefinition" Target="/xl/pivotCache/pivotCacheDefinition3.xml" Id="rId1" /></Relationships>
</file>

<file path=xl/pivotTables/_rels/pivotTable4.xml.rels><Relationships xmlns="http://schemas.openxmlformats.org/package/2006/relationships"><Relationship Type="http://schemas.openxmlformats.org/officeDocument/2006/relationships/pivotCacheDefinition" Target="/xl/pivotCache/pivotCacheDefinition4.xml" Id="rId1" /></Relationships>
</file>

<file path=xl/pivotTables/pivotTable1.xml><?xml version="1.0" encoding="utf-8"?>
<pivotTableDefinition xmlns:r="http://schemas.openxmlformats.org/officeDocument/2006/relationships" xmlns="http://schemas.openxmlformats.org/spreadsheetml/2006/main" name="PVT_Expenses1" cacheId="11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U9:V28"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9">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9">
    <i t="data" r="0" i="0">
      <x v="11"/>
    </i>
    <i t="data" r="0" i="0">
      <x v="12"/>
    </i>
    <i t="data" r="0" i="0">
      <x v="5"/>
    </i>
    <i t="data" r="0" i="0">
      <x v="16"/>
    </i>
    <i t="data" r="0" i="0">
      <x v="7"/>
    </i>
    <i t="data" r="0" i="0">
      <x v="8"/>
    </i>
    <i t="data" r="0" i="0">
      <x v="6"/>
    </i>
    <i t="data" r="0" i="0">
      <x v="17"/>
    </i>
    <i t="data" r="0" i="0">
      <x v="13"/>
    </i>
    <i t="data" r="0" i="0">
      <x v="9"/>
    </i>
    <i t="data" r="0" i="0">
      <x v="2"/>
    </i>
    <i t="data" r="0" i="0">
      <x v="0"/>
    </i>
    <i t="data" r="0" i="0">
      <x v="1"/>
    </i>
    <i t="data" r="0" i="0">
      <x v="14"/>
    </i>
    <i t="data" r="0" i="0">
      <x v="15"/>
    </i>
    <i t="data" r="0" i="0">
      <x v="4"/>
    </i>
    <i t="data" r="0" i="0">
      <x v="3"/>
    </i>
    <i t="data" r="0" i="0">
      <x v="10"/>
    </i>
    <i t="grand" r="0" i="0">
      <x v="0"/>
    </i>
  </rowItems>
  <colItems count="1">
    <i t="data" r="0" i="0"/>
  </colItems>
  <dataFields count="1">
    <dataField name="Sum of Annual" fld="1" subtotal="sum" showDataAs="normal" baseField="0" baseItem="7" numFmtId="5"/>
  </dataFields>
  <formats count="24">
    <format action="formatting" dxfId="48">
      <pivotArea type="all" dataOnly="0" outline="0" fieldPosition="0"/>
    </format>
    <format action="formatting" dxfId="49">
      <pivotArea type="normal" dataOnly="1" outline="0" collapsedLevelsAreSubtotals="1" fieldPosition="0"/>
    </format>
    <format action="formatting" dxfId="50">
      <pivotArea field="0" type="button" dataOnly="0" labelOnly="1" outline="0" axis="axisRow" fieldPosition="0"/>
    </format>
    <format action="formatting" dxfId="51">
      <pivotArea type="normal" dataOnly="0" labelOnly="1" outline="1" fieldPosition="0">
        <references count="1">
          <reference field="0"/>
        </references>
      </pivotArea>
    </format>
    <format action="formatting" dxfId="52">
      <pivotArea type="normal" dataOnly="0" labelOnly="1" grandRow="1" outline="0" fieldPosition="0"/>
    </format>
    <format action="formatting" dxfId="53">
      <pivotArea type="normal" dataOnly="0" labelOnly="1" outline="0" axis="axisValues" fieldPosition="0"/>
    </format>
    <format action="formatting" dxfId="54">
      <pivotArea type="all" dataOnly="0" outline="0" fieldPosition="0"/>
    </format>
    <format action="formatting" dxfId="55">
      <pivotArea type="normal" dataOnly="1" outline="0" collapsedLevelsAreSubtotals="1" fieldPosition="0"/>
    </format>
    <format action="formatting" dxfId="56">
      <pivotArea field="0" type="button" dataOnly="0" labelOnly="1" outline="0" axis="axisRow" fieldPosition="0"/>
    </format>
    <format action="formatting" dxfId="57">
      <pivotArea type="normal" dataOnly="0" labelOnly="1" outline="1" fieldPosition="0">
        <references count="1">
          <reference field="0"/>
        </references>
      </pivotArea>
    </format>
    <format action="formatting" dxfId="58">
      <pivotArea type="normal" dataOnly="0" labelOnly="1" grandRow="1" outline="0" fieldPosition="0"/>
    </format>
    <format action="formatting" dxfId="59">
      <pivotArea type="normal" dataOnly="0" labelOnly="1" outline="0" axis="axisValues" fieldPosition="0"/>
    </format>
    <format action="formatting" dxfId="60">
      <pivotArea type="all" dataOnly="0" outline="0" fieldPosition="0"/>
    </format>
    <format action="formatting" dxfId="61">
      <pivotArea type="normal" dataOnly="1" outline="0" collapsedLevelsAreSubtotals="1" fieldPosition="0"/>
    </format>
    <format action="formatting" dxfId="62">
      <pivotArea field="0" type="button" dataOnly="0" labelOnly="1" outline="0" axis="axisRow" fieldPosition="0"/>
    </format>
    <format action="formatting" dxfId="63">
      <pivotArea type="normal" dataOnly="0" labelOnly="1" outline="1" fieldPosition="0">
        <references count="1">
          <reference field="0"/>
        </references>
      </pivotArea>
    </format>
    <format action="formatting" dxfId="64">
      <pivotArea type="normal" dataOnly="0" labelOnly="1" grandRow="1" outline="0" fieldPosition="0"/>
    </format>
    <format action="formatting" dxfId="65">
      <pivotArea type="normal" dataOnly="0" labelOnly="1" outline="0" axis="axisValues" fieldPosition="0"/>
    </format>
    <format action="formatting" dxfId="66">
      <pivotArea type="all" dataOnly="0" outline="0" fieldPosition="0"/>
    </format>
    <format action="formatting" dxfId="67">
      <pivotArea type="normal" dataOnly="1" outline="0" collapsedLevelsAreSubtotals="1" fieldPosition="0"/>
    </format>
    <format action="formatting" dxfId="68">
      <pivotArea field="0" type="button" dataOnly="0" labelOnly="1" outline="0" axis="axisRow" fieldPosition="0"/>
    </format>
    <format action="formatting" dxfId="69">
      <pivotArea type="normal" dataOnly="0" labelOnly="1" outline="1" fieldPosition="0">
        <references count="1">
          <reference field="0"/>
        </references>
      </pivotArea>
    </format>
    <format action="formatting" dxfId="70">
      <pivotArea type="normal" dataOnly="0" labelOnly="1" grandRow="1" outline="0" fieldPosition="0"/>
    </format>
    <format action="formatting" dxfId="71">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3"/>
  </rowHierarchiesUsage>
</pivotTableDefinition>
</file>

<file path=xl/pivotTables/pivotTable2.xml><?xml version="1.0" encoding="utf-8"?>
<pivotTableDefinition xmlns:r="http://schemas.openxmlformats.org/officeDocument/2006/relationships" xmlns="http://schemas.openxmlformats.org/spreadsheetml/2006/main" name="PVT_Savings" cacheId="11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A9:AB15"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6">
        <item t="data" sd="1" x="0"/>
        <item t="data" sd="1" x="1"/>
        <item t="data" sd="1" x="2"/>
        <item t="data" sd="1" x="3"/>
        <item t="data" sd="1" x="4"/>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6">
    <i t="data" r="0" i="0">
      <x v="2"/>
    </i>
    <i t="data" r="0" i="0">
      <x v="3"/>
    </i>
    <i t="data" r="0" i="0">
      <x v="1"/>
    </i>
    <i t="data" r="0" i="0">
      <x v="4"/>
    </i>
    <i t="data" r="0" i="0">
      <x v="0"/>
    </i>
    <i t="grand" r="0" i="0">
      <x v="0"/>
    </i>
  </rowItems>
  <colItems count="1">
    <i t="data" r="0" i="0"/>
  </colItems>
  <dataFields count="1">
    <dataField name="Sum of Annual" fld="1" subtotal="sum" showDataAs="normal" baseField="0" baseItem="2" numFmtId="169"/>
  </dataFields>
  <formats count="24">
    <format action="formatting" dxfId="72">
      <pivotArea type="all" dataOnly="0" outline="0" fieldPosition="0"/>
    </format>
    <format action="formatting" dxfId="73">
      <pivotArea type="normal" dataOnly="1" outline="0" collapsedLevelsAreSubtotals="1" fieldPosition="0"/>
    </format>
    <format action="formatting" dxfId="74">
      <pivotArea field="0" type="button" dataOnly="0" labelOnly="1" outline="0" axis="axisRow" fieldPosition="0"/>
    </format>
    <format action="formatting" dxfId="75">
      <pivotArea type="normal" dataOnly="0" labelOnly="1" outline="1" fieldPosition="0">
        <references count="1">
          <reference field="0"/>
        </references>
      </pivotArea>
    </format>
    <format action="formatting" dxfId="76">
      <pivotArea type="normal" dataOnly="0" labelOnly="1" grandRow="1" outline="0" fieldPosition="0"/>
    </format>
    <format action="formatting" dxfId="77">
      <pivotArea type="normal" dataOnly="0" labelOnly="1" outline="0" axis="axisValues" fieldPosition="0"/>
    </format>
    <format action="formatting" dxfId="78">
      <pivotArea type="all" dataOnly="0" outline="0" fieldPosition="0"/>
    </format>
    <format action="formatting" dxfId="79">
      <pivotArea type="normal" dataOnly="1" outline="0" collapsedLevelsAreSubtotals="1" fieldPosition="0"/>
    </format>
    <format action="formatting" dxfId="80">
      <pivotArea field="0" type="button" dataOnly="0" labelOnly="1" outline="0" axis="axisRow" fieldPosition="0"/>
    </format>
    <format action="formatting" dxfId="81">
      <pivotArea type="normal" dataOnly="0" labelOnly="1" outline="1" fieldPosition="0">
        <references count="1">
          <reference field="0"/>
        </references>
      </pivotArea>
    </format>
    <format action="formatting" dxfId="82">
      <pivotArea type="normal" dataOnly="0" labelOnly="1" grandRow="1" outline="0" fieldPosition="0"/>
    </format>
    <format action="formatting" dxfId="83">
      <pivotArea type="normal" dataOnly="0" labelOnly="1" outline="0" axis="axisValues" fieldPosition="0"/>
    </format>
    <format action="formatting" dxfId="84">
      <pivotArea type="all" dataOnly="0" outline="0" fieldPosition="0"/>
    </format>
    <format action="formatting" dxfId="85">
      <pivotArea type="normal" dataOnly="1" outline="0" collapsedLevelsAreSubtotals="1" fieldPosition="0"/>
    </format>
    <format action="formatting" dxfId="86">
      <pivotArea field="0" type="button" dataOnly="0" labelOnly="1" outline="0" axis="axisRow" fieldPosition="0"/>
    </format>
    <format action="formatting" dxfId="87">
      <pivotArea type="normal" dataOnly="0" labelOnly="1" outline="1" fieldPosition="0">
        <references count="1">
          <reference field="0"/>
        </references>
      </pivotArea>
    </format>
    <format action="formatting" dxfId="88">
      <pivotArea type="normal" dataOnly="0" labelOnly="1" grandRow="1" outline="0" fieldPosition="0"/>
    </format>
    <format action="formatting" dxfId="89">
      <pivotArea type="normal" dataOnly="0" labelOnly="1" outline="0" axis="axisValues" fieldPosition="0"/>
    </format>
    <format action="formatting" dxfId="90">
      <pivotArea type="all" dataOnly="0" outline="0" fieldPosition="0"/>
    </format>
    <format action="formatting" dxfId="91">
      <pivotArea type="normal" dataOnly="1" outline="0" collapsedLevelsAreSubtotals="1" fieldPosition="0"/>
    </format>
    <format action="formatting" dxfId="92">
      <pivotArea field="0" type="button" dataOnly="0" labelOnly="1" outline="0" axis="axisRow" fieldPosition="0"/>
    </format>
    <format action="formatting" dxfId="93">
      <pivotArea type="normal" dataOnly="0" labelOnly="1" outline="1" fieldPosition="0">
        <references count="1">
          <reference field="0"/>
        </references>
      </pivotArea>
    </format>
    <format action="formatting" dxfId="94">
      <pivotArea type="normal" dataOnly="0" labelOnly="1" grandRow="1" outline="0" fieldPosition="0"/>
    </format>
    <format action="formatting" dxfId="95">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9"/>
  </rowHierarchiesUsage>
</pivotTableDefinition>
</file>

<file path=xl/pivotTables/pivotTable3.xml><?xml version="1.0" encoding="utf-8"?>
<pivotTableDefinition xmlns:r="http://schemas.openxmlformats.org/officeDocument/2006/relationships" xmlns="http://schemas.openxmlformats.org/spreadsheetml/2006/main" name="PVT_Income" cacheId="11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1"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R9:S16"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7">
        <item t="data" sd="1" x="0"/>
        <item t="data" sd="1" x="1"/>
        <item t="data" sd="1" x="2"/>
        <item t="data" sd="1" x="3"/>
        <item t="data" sd="1" x="4"/>
        <item t="data" sd="1" x="5"/>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7">
    <i t="data" r="0" i="0">
      <x v="2"/>
    </i>
    <i t="data" r="0" i="0">
      <x v="3"/>
    </i>
    <i t="data" r="0" i="0">
      <x v="4"/>
    </i>
    <i t="data" r="0" i="0">
      <x v="0"/>
    </i>
    <i t="data" r="0" i="0">
      <x v="1"/>
    </i>
    <i t="data" r="0" i="0">
      <x v="5"/>
    </i>
    <i t="grand" r="0" i="0">
      <x v="0"/>
    </i>
  </rowItems>
  <colItems count="1">
    <i t="data" r="0" i="0"/>
  </colItems>
  <dataFields count="1">
    <dataField name="Annual Income" fld="1" subtotal="sum" showDataAs="normal" baseField="0" baseItem="1" numFmtId="169"/>
  </dataFields>
  <formats count="24">
    <format action="formatting" dxfId="96">
      <pivotArea type="all" dataOnly="0" outline="0" fieldPosition="0"/>
    </format>
    <format action="formatting" dxfId="97">
      <pivotArea type="normal" dataOnly="1" outline="0" collapsedLevelsAreSubtotals="1" fieldPosition="0"/>
    </format>
    <format action="formatting" dxfId="98">
      <pivotArea field="0" type="button" dataOnly="0" labelOnly="1" outline="0" axis="axisRow" fieldPosition="0"/>
    </format>
    <format action="formatting" dxfId="99">
      <pivotArea type="normal" dataOnly="0" labelOnly="1" outline="1" fieldPosition="0">
        <references count="1">
          <reference field="0"/>
        </references>
      </pivotArea>
    </format>
    <format action="formatting" dxfId="100">
      <pivotArea type="normal" dataOnly="0" labelOnly="1" grandRow="1" outline="0" fieldPosition="0"/>
    </format>
    <format action="formatting" dxfId="101">
      <pivotArea type="normal" dataOnly="0" labelOnly="1" outline="0" axis="axisValues" fieldPosition="0"/>
    </format>
    <format action="formatting" dxfId="102">
      <pivotArea type="all" dataOnly="0" outline="0" fieldPosition="0"/>
    </format>
    <format action="formatting" dxfId="103">
      <pivotArea type="normal" dataOnly="1" outline="0" collapsedLevelsAreSubtotals="1" fieldPosition="0"/>
    </format>
    <format action="formatting" dxfId="104">
      <pivotArea field="0" type="button" dataOnly="0" labelOnly="1" outline="0" axis="axisRow" fieldPosition="0"/>
    </format>
    <format action="formatting" dxfId="105">
      <pivotArea type="normal" dataOnly="0" labelOnly="1" outline="1" fieldPosition="0">
        <references count="1">
          <reference field="0"/>
        </references>
      </pivotArea>
    </format>
    <format action="formatting" dxfId="106">
      <pivotArea type="normal" dataOnly="0" labelOnly="1" grandRow="1" outline="0" fieldPosition="0"/>
    </format>
    <format action="formatting" dxfId="107">
      <pivotArea type="normal" dataOnly="0" labelOnly="1" outline="0" axis="axisValues" fieldPosition="0"/>
    </format>
    <format action="formatting" dxfId="108">
      <pivotArea type="all" dataOnly="0" outline="0" fieldPosition="0"/>
    </format>
    <format action="formatting" dxfId="109">
      <pivotArea type="normal" dataOnly="1" outline="0" collapsedLevelsAreSubtotals="1" fieldPosition="0"/>
    </format>
    <format action="formatting" dxfId="110">
      <pivotArea field="0" type="button" dataOnly="0" labelOnly="1" outline="0" axis="axisRow" fieldPosition="0"/>
    </format>
    <format action="formatting" dxfId="111">
      <pivotArea type="normal" dataOnly="0" labelOnly="1" outline="1" fieldPosition="0">
        <references count="1">
          <reference field="0"/>
        </references>
      </pivotArea>
    </format>
    <format action="formatting" dxfId="112">
      <pivotArea type="normal" dataOnly="0" labelOnly="1" grandRow="1" outline="0" fieldPosition="0"/>
    </format>
    <format action="formatting" dxfId="113">
      <pivotArea type="normal" dataOnly="0" labelOnly="1" outline="0" axis="axisValues" fieldPosition="0"/>
    </format>
    <format action="formatting" dxfId="114">
      <pivotArea type="all" dataOnly="0" outline="0" fieldPosition="0"/>
    </format>
    <format action="formatting" dxfId="115">
      <pivotArea type="normal" dataOnly="1" outline="0" collapsedLevelsAreSubtotals="1" fieldPosition="0"/>
    </format>
    <format action="formatting" dxfId="116">
      <pivotArea field="0" type="button" dataOnly="0" labelOnly="1" outline="0" axis="axisRow" fieldPosition="0"/>
    </format>
    <format action="formatting" dxfId="117">
      <pivotArea type="normal" dataOnly="0" labelOnly="1" outline="1" fieldPosition="0">
        <references count="1">
          <reference field="0"/>
        </references>
      </pivotArea>
    </format>
    <format action="formatting" dxfId="118">
      <pivotArea type="normal" dataOnly="0" labelOnly="1" grandRow="1" outline="0" fieldPosition="0"/>
    </format>
    <format action="formatting" dxfId="119">
      <pivotArea type="normal" dataOnly="0" labelOnly="1" outline="0" axis="axisValues" fieldPosition="0"/>
    </format>
  </formats>
  <chartFormats count="1">
    <chartFormat chart="0" format="0"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18" showRowHeaders="1" showColHeaders="1" showRowStripes="0" showColStripes="0" showLastColumn="1"/>
  <rowHierarchiesUsage count="1">
    <rowHierarchyUsage hierarchyUsage="6"/>
  </rowHierarchiesUsage>
</pivotTableDefinition>
</file>

<file path=xl/pivotTables/pivotTable4.xml><?xml version="1.0" encoding="utf-8"?>
<pivotTableDefinition xmlns:r="http://schemas.openxmlformats.org/officeDocument/2006/relationships" xmlns="http://schemas.openxmlformats.org/spreadsheetml/2006/main" name="PVT_Expenses2" cacheId="11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0"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X9:Y21" firstHeaderRow="1" firstDataRow="1" firstDataCol="1"/>
  <pivotFields count="2">
    <pivotField axis="axisRow" showDropDowns="1" compact="1" allDrilled="1" outline="1" subtotalTop="1" dragToRow="1" dragToCol="1" dragToPage="1" dragToData="1" dragOff="1" showAll="0" topAutoShow="1" itemPageCount="10" sortType="ascending" defaultSubtotal="1" defaultAttributeDrillState="1">
      <items count="12">
        <item t="data" sd="1" x="0"/>
        <item t="data" sd="1" x="1"/>
        <item t="data" sd="1" x="2"/>
        <item t="data" sd="1" x="3"/>
        <item t="data" sd="1" x="4"/>
        <item t="data" sd="1" x="5"/>
        <item t="data" sd="1" x="6"/>
        <item t="data" sd="1" x="7"/>
        <item t="data" sd="1" x="8"/>
        <item t="data" sd="1" x="9"/>
        <item t="data" sd="1" x="10"/>
        <item t="default" sd="1"/>
      </items>
      <autoSortScope>
        <pivotArea type="normal" dataOnly="0" outline="0" fieldPosition="0">
          <references count="1">
            <reference field="4294967294" selected="0">
              <x v="0"/>
            </reference>
          </references>
        </pivotArea>
      </autoSortScope>
    </pivotField>
    <pivotField dataField="1" showDropDowns="1" compact="1" outline="1" subtotalTop="1" dragToRow="1" dragToCol="1" dragToPage="1" dragToData="1" dragOff="1" showAll="0" topAutoShow="1" itemPageCount="10" sortType="manual" defaultSubtotal="1"/>
  </pivotFields>
  <rowFields count="1">
    <field x="0"/>
  </rowFields>
  <rowItems count="12">
    <i t="data" r="0" i="0">
      <x v="7"/>
    </i>
    <i t="data" r="0" i="0">
      <x v="6"/>
    </i>
    <i t="data" r="0" i="0">
      <x v="1"/>
    </i>
    <i t="data" r="0" i="0">
      <x v="8"/>
    </i>
    <i t="data" r="0" i="0">
      <x v="4"/>
    </i>
    <i t="data" r="0" i="0">
      <x v="0"/>
    </i>
    <i t="data" r="0" i="0">
      <x v="3"/>
    </i>
    <i t="data" r="0" i="0">
      <x v="2"/>
    </i>
    <i t="data" r="0" i="0">
      <x v="9"/>
    </i>
    <i t="data" r="0" i="0">
      <x v="10"/>
    </i>
    <i t="data" r="0" i="0">
      <x v="5"/>
    </i>
    <i t="grand" r="0" i="0">
      <x v="0"/>
    </i>
  </rowItems>
  <colItems count="1">
    <i t="data" r="0" i="0"/>
  </colItems>
  <dataFields count="1">
    <dataField name="Sum of Annual" fld="1" subtotal="sum" showDataAs="normal" baseField="0" baseItem="6" numFmtId="169"/>
  </dataFields>
  <formats count="24">
    <format action="formatting" dxfId="24">
      <pivotArea type="all" dataOnly="0" outline="0" fieldPosition="0"/>
    </format>
    <format action="formatting" dxfId="25">
      <pivotArea type="normal" dataOnly="1" outline="0" collapsedLevelsAreSubtotals="1" fieldPosition="0"/>
    </format>
    <format action="formatting" dxfId="26">
      <pivotArea field="0" type="button" dataOnly="0" labelOnly="1" outline="0" axis="axisRow" fieldPosition="0"/>
    </format>
    <format action="formatting" dxfId="27">
      <pivotArea type="normal" dataOnly="0" labelOnly="1" outline="1" fieldPosition="0">
        <references count="1">
          <reference field="0"/>
        </references>
      </pivotArea>
    </format>
    <format action="formatting" dxfId="28">
      <pivotArea type="normal" dataOnly="0" labelOnly="1" grandRow="1" outline="0" fieldPosition="0"/>
    </format>
    <format action="formatting" dxfId="29">
      <pivotArea type="normal" dataOnly="0" labelOnly="1" outline="0" axis="axisValues" fieldPosition="0"/>
    </format>
    <format action="formatting" dxfId="30">
      <pivotArea type="all" dataOnly="0" outline="0" fieldPosition="0"/>
    </format>
    <format action="formatting" dxfId="31">
      <pivotArea type="normal" dataOnly="1" outline="0" collapsedLevelsAreSubtotals="1" fieldPosition="0"/>
    </format>
    <format action="formatting" dxfId="32">
      <pivotArea field="0" type="button" dataOnly="0" labelOnly="1" outline="0" axis="axisRow" fieldPosition="0"/>
    </format>
    <format action="formatting" dxfId="33">
      <pivotArea type="normal" dataOnly="0" labelOnly="1" outline="1" fieldPosition="0">
        <references count="1">
          <reference field="0"/>
        </references>
      </pivotArea>
    </format>
    <format action="formatting" dxfId="34">
      <pivotArea type="normal" dataOnly="0" labelOnly="1" grandRow="1" outline="0" fieldPosition="0"/>
    </format>
    <format action="formatting" dxfId="35">
      <pivotArea type="normal" dataOnly="0" labelOnly="1" outline="0" axis="axisValues" fieldPosition="0"/>
    </format>
    <format action="formatting" dxfId="36">
      <pivotArea type="all" dataOnly="0" outline="0" fieldPosition="0"/>
    </format>
    <format action="formatting" dxfId="37">
      <pivotArea type="normal" dataOnly="1" outline="0" collapsedLevelsAreSubtotals="1" fieldPosition="0"/>
    </format>
    <format action="formatting" dxfId="38">
      <pivotArea field="0" type="button" dataOnly="0" labelOnly="1" outline="0" axis="axisRow" fieldPosition="0"/>
    </format>
    <format action="formatting" dxfId="39">
      <pivotArea type="normal" dataOnly="0" labelOnly="1" outline="1" fieldPosition="0">
        <references count="1">
          <reference field="0"/>
        </references>
      </pivotArea>
    </format>
    <format action="formatting" dxfId="40">
      <pivotArea type="normal" dataOnly="0" labelOnly="1" grandRow="1" outline="0" fieldPosition="0"/>
    </format>
    <format action="formatting" dxfId="41">
      <pivotArea type="normal" dataOnly="0" labelOnly="1" outline="0" axis="axisValues" fieldPosition="0"/>
    </format>
    <format action="formatting" dxfId="42">
      <pivotArea type="all" dataOnly="0" outline="0" fieldPosition="0"/>
    </format>
    <format action="formatting" dxfId="43">
      <pivotArea type="normal" dataOnly="1" outline="0" collapsedLevelsAreSubtotals="1" fieldPosition="0"/>
    </format>
    <format action="formatting" dxfId="44">
      <pivotArea field="0" type="button" dataOnly="0" labelOnly="1" outline="0" axis="axisRow" fieldPosition="0"/>
    </format>
    <format action="formatting" dxfId="45">
      <pivotArea type="normal" dataOnly="0" labelOnly="1" outline="1" fieldPosition="0">
        <references count="1">
          <reference field="0"/>
        </references>
      </pivotArea>
    </format>
    <format action="formatting" dxfId="46">
      <pivotArea type="normal" dataOnly="0" labelOnly="1" grandRow="1" outline="0" fieldPosition="0"/>
    </format>
    <format action="formatting" dxfId="47">
      <pivotArea type="normal" dataOnly="0" labelOnly="1" outline="0" axis="axisValues" fieldPosition="0"/>
    </format>
  </formats>
  <chartFormats count="1">
    <chartFormat chart="0" format="2" series="1">
      <pivotArea type="data" dataOnly="1" outline="0" fieldPosition="0">
        <references count="1">
          <reference field="4294967294" selected="0">
            <x v="0"/>
          </reference>
        </references>
      </pivotArea>
    </chartFormat>
  </chartFormats>
  <pivotHierarchies count="22">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y outline="0" multipleItemSelectionAllowed="0" subtotalTop="0" showInFieldList="0" dragToRow="0" dragToCol="0" dragToPage="0" dragToData="1" dragOff="0" includeNewItemsInFilter="0"/>
  </pivotHierarchies>
  <pivotTableStyleInfo name="PivotStyleLight20" showRowHeaders="1" showColHeaders="1" showRowStripes="0" showColStripes="0" showLastColumn="1"/>
  <rowHierarchiesUsage count="1">
    <rowHierarchyUsage hierarchyUsage="0"/>
  </rowHierarchiesUsage>
</pivotTableDefinition>
</file>

<file path=xl/tables/table1.xml><?xml version="1.0" encoding="utf-8"?>
<table xmlns="http://schemas.openxmlformats.org/spreadsheetml/2006/main" id="1" name="Daily" displayName="Daily" ref="G4:K48" headerRowCount="1" totalsRowCount="1" headerRowDxfId="23">
  <autoFilter ref="G4:K47">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Type" totalsRowLabel="Total"/>
    <tableColumn id="2" name="Description"/>
    <tableColumn id="3" name="Daily" totalsRowFunction="custom">
      <totalsRowFormula>SUMIF(Daily[Type],"Income",Daily[Daily])-SUMIF(Daily[Type],"&lt;&gt;Income",Daily[Daily])</totalsRowFormula>
    </tableColumn>
    <tableColumn id="14" name="Monthly" totalsRowFunction="custom">
      <calculatedColumnFormula>Daily[[#This Row],[Annual]]/12</calculatedColumnFormula>
      <totalsRowFormula>SUMIF(Daily[Type],"Income",Daily[Monthly])-SUMIF(Daily[Type],"&lt;&gt;Income",Daily[Monthly])</totalsRowFormula>
    </tableColumn>
    <tableColumn id="15" name="Annual" totalsRowFunction="custom">
      <calculatedColumnFormula>Daily[[#This Row],[Daily]]*365</calculatedColumnFormula>
      <totalsRowFormula>SUMIF(Daily[Type],"Income",Daily[Annual])-SUMIF(Daily[Type],"&lt;&gt;Income",Daily[Annual])</totalsRowFormula>
    </tableColumn>
  </tableColumns>
  <tableStyleInfo name="Daily Summary" showFirstColumn="0" showLastColumn="0" showRowStripes="0" showColumnStripes="0"/>
</table>
</file>

<file path=xl/tables/table2.xml><?xml version="1.0" encoding="utf-8"?>
<table xmlns="http://schemas.openxmlformats.org/spreadsheetml/2006/main" id="2" name="Table2" displayName="Table2" ref="B4:E8" headerRowCount="1" totalsRowShown="0" headerRowDxfId="22">
  <autoFilter ref="B4:E8">
    <filterColumn colId="0" hiddenButton="1" showButton="1"/>
    <filterColumn colId="1" hiddenButton="1" showButton="1"/>
    <filterColumn colId="2" hiddenButton="1" showButton="1"/>
    <filterColumn colId="3" hiddenButton="1" showButton="1"/>
  </autoFilter>
  <tableColumns count="4">
    <tableColumn id="1" name="Totals"/>
    <tableColumn id="3" name="Daily">
      <calculatedColumnFormula>SUMIF(Daily[Type],$B5,Daily[Daily])</calculatedColumnFormula>
    </tableColumn>
    <tableColumn id="4" name="Monthly">
      <calculatedColumnFormula>SUMIF(Daily[Type],$B5,Daily[Monthly])</calculatedColumnFormula>
    </tableColumn>
    <tableColumn id="5" name="Annual ">
      <calculatedColumnFormula>SUMIF(Daily[Type],$B5,Daily[Annual])</calculatedColumnFormula>
    </tableColumn>
  </tableColumns>
  <tableStyleInfo name="Daily Summary" showFirstColumn="0" showLastColumn="0" showRowStripes="0" showColumnStripes="0"/>
</table>
</file>

<file path=xl/tables/table3.xml><?xml version="1.0" encoding="utf-8"?>
<table xmlns="http://schemas.openxmlformats.org/spreadsheetml/2006/main" id="3" name="Monthly" displayName="Monthly" ref="B3:P47" headerRowCount="1" totalsRowCount="1" headerRowDxfId="21">
  <autoFilter ref="B3:P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autoFilter>
  <tableColumns count="15">
    <tableColumn id="1" name="Type" totalsRowLabel="Total" totalsRowDxfId="20"/>
    <tableColumn id="2" name="Descriptions" totalsRowDxfId="19"/>
    <tableColumn id="3" name="Jan" totalsRowFunction="custom" totalsRowDxfId="18">
      <totalsRowFormula>SUMIF(Monthly[Type],"Income",Monthly[Jan])-SUMIF(Monthly[Type],"&lt;&gt;Income",Monthly[Jan])</totalsRowFormula>
    </tableColumn>
    <tableColumn id="4" name="Feb" totalsRowFunction="custom" totalsRowDxfId="17">
      <totalsRowFormula>SUMIF(Monthly[Type],"Income",Monthly[Feb])-SUMIF(Monthly[Type],"&lt;&gt;Income",Monthly[Feb])</totalsRowFormula>
    </tableColumn>
    <tableColumn id="5" name="Mar" totalsRowFunction="custom" totalsRowDxfId="16">
      <totalsRowFormula>SUMIF(Monthly[Type],"Income",Monthly[Mar])-SUMIF(Monthly[Type],"&lt;&gt;Income",Monthly[Mar])</totalsRowFormula>
    </tableColumn>
    <tableColumn id="6" name="Apr" totalsRowFunction="custom" totalsRowDxfId="15">
      <totalsRowFormula>SUMIF(Monthly[Type],"Income",Monthly[Apr])-SUMIF(Monthly[Type],"&lt;&gt;Income",Monthly[Apr])</totalsRowFormula>
    </tableColumn>
    <tableColumn id="7" name="May" totalsRowFunction="custom" totalsRowDxfId="14">
      <totalsRowFormula>SUMIF(Monthly[Type],"Income",Monthly[May])-SUMIF(Monthly[Type],"&lt;&gt;Income",Monthly[May])</totalsRowFormula>
    </tableColumn>
    <tableColumn id="8" name="Jun" totalsRowFunction="custom" totalsRowDxfId="13">
      <totalsRowFormula>SUMIF(Monthly[Type],"Income",Monthly[Jun])-SUMIF(Monthly[Type],"&lt;&gt;Income",Monthly[Jun])</totalsRowFormula>
    </tableColumn>
    <tableColumn id="9" name="Jul" totalsRowFunction="custom" totalsRowDxfId="12">
      <totalsRowFormula>SUMIF(Monthly[Type],"Income",Monthly[Jul])-SUMIF(Monthly[Type],"&lt;&gt;Income",Monthly[Jul])</totalsRowFormula>
    </tableColumn>
    <tableColumn id="10" name="Aug" totalsRowFunction="custom" totalsRowDxfId="11">
      <totalsRowFormula>SUMIF(Monthly[Type],"Income",Monthly[Aug])-SUMIF(Monthly[Type],"&lt;&gt;Income",Monthly[Aug])</totalsRowFormula>
    </tableColumn>
    <tableColumn id="11" name="Sep" totalsRowFunction="custom" totalsRowDxfId="10">
      <totalsRowFormula>SUMIF(Monthly[Type],"Income",Monthly[Sep])-SUMIF(Monthly[Type],"&lt;&gt;Income",Monthly[Sep])</totalsRowFormula>
    </tableColumn>
    <tableColumn id="12" name="Oct" totalsRowFunction="custom" totalsRowDxfId="9">
      <totalsRowFormula>SUMIF(Monthly[Type],"Income",Monthly[Oct])-SUMIF(Monthly[Type],"&lt;&gt;Income",Monthly[Oct])</totalsRowFormula>
    </tableColumn>
    <tableColumn id="13" name="Nov" totalsRowFunction="custom" totalsRowDxfId="8">
      <totalsRowFormula>SUMIF(Monthly[Type],"Income",Monthly[Nov])-SUMIF(Monthly[Type],"&lt;&gt;Income",Monthly[Nov])</totalsRowFormula>
    </tableColumn>
    <tableColumn id="14" name="Dec" totalsRowFunction="custom" totalsRowDxfId="7">
      <totalsRowFormula>SUMIF(Monthly[Type],"Income",Monthly[Dec])-SUMIF(Monthly[Type],"&lt;&gt;Income",Monthly[Dec])</totalsRowFormula>
    </tableColumn>
    <tableColumn id="15" name="Total" totalsRowFunction="custom" totalsRowDxfId="6">
      <calculatedColumnFormula>SUM(Monthly[[#This Row],[Jan]:[Dec]])</calculatedColumnFormula>
      <totalsRowFormula>SUMIF(Monthly[Type],"Income",Monthly[Total])-SUMIF(Monthly[Type],"&lt;&gt;Income",Monthly[Total])</totalsRowFormula>
    </tableColumn>
  </tableColumns>
  <tableStyleInfo name="Daily Summary" showFirstColumn="0" showLastColumn="0" showRowStripes="1" showColumnStripes="0"/>
</table>
</file>

<file path=xl/tables/table4.xml><?xml version="1.0" encoding="utf-8"?>
<table xmlns="http://schemas.openxmlformats.org/spreadsheetml/2006/main" id="4" name="Income" displayName="Income" ref="B3:D10" headerRowCount="1" totalsRowCount="1">
  <tableColumns count="3">
    <tableColumn id="1" name="Income" totalsRowLabel="Total" totalsRowDxfId="5"/>
    <tableColumn id="2" name="Annual" totalsRowFunction="sum" totalsRowDxfId="4"/>
    <tableColumn id="3" name="Monthly" totalsRowFunction="sum" totalsRowDxfId="3">
      <calculatedColumnFormula>Income[[#This Row],[Annual]]/12</calculatedColumnFormula>
    </tableColumn>
  </tableColumns>
  <tableStyleInfo name="Daily Summary" showFirstColumn="1" showLastColumn="1" showRowStripes="0" showColumnStripes="0"/>
</table>
</file>

<file path=xl/tables/table5.xml><?xml version="1.0" encoding="utf-8"?>
<table xmlns="http://schemas.openxmlformats.org/spreadsheetml/2006/main" id="5" name="Expenses" displayName="Expenses" ref="B3:D22" headerRowCount="1" totalsRowCount="1" headerRowDxfId="2">
  <tableColumns count="3">
    <tableColumn id="1" name="Expenses" totalsRowLabel="Total"/>
    <tableColumn id="2" name="Annual" totalsRowFunction="sum"/>
    <tableColumn id="3" name="Monthly" totalsRowFunction="sum">
      <calculatedColumnFormula>Expenses[[#This Row],[Annual]]/12</calculatedColumnFormula>
    </tableColumn>
  </tableColumns>
  <tableStyleInfo name="Daily Summary" showFirstColumn="1" showLastColumn="1" showRowStripes="0" showColumnStripes="0"/>
</table>
</file>

<file path=xl/tables/table6.xml><?xml version="1.0" encoding="utf-8"?>
<table xmlns="http://schemas.openxmlformats.org/spreadsheetml/2006/main" id="6" name="Discretionary" displayName="Discretionary" ref="B3:D15" headerRowCount="1" totalsRowCount="1" headerRowDxfId="1">
  <tableColumns count="3">
    <tableColumn id="1" name="Expenses" totalsRowLabel="Total"/>
    <tableColumn id="2" name="Annual" totalsRowFunction="sum"/>
    <tableColumn id="3" name="Monthly" totalsRowFunction="sum">
      <calculatedColumnFormula>Discretionary[[#This Row],[Annual]]/12</calculatedColumnFormula>
    </tableColumn>
  </tableColumns>
  <tableStyleInfo name="Daily Summary" showFirstColumn="1" showLastColumn="1" showRowStripes="0" showColumnStripes="0"/>
</table>
</file>

<file path=xl/tables/table7.xml><?xml version="1.0" encoding="utf-8"?>
<table xmlns="http://schemas.openxmlformats.org/spreadsheetml/2006/main" id="7" name="Savings" displayName="Savings" ref="B3:D9" headerRowCount="1" totalsRowCount="1" headerRowDxfId="0">
  <tableColumns count="3">
    <tableColumn id="1" name="Savings" totalsRowLabel="Total"/>
    <tableColumn id="2" name="Annual" totalsRowFunction="sum"/>
    <tableColumn id="3" name="Monthly" totalsRowFunction="sum">
      <calculatedColumnFormula>Savings[[#This Row],[Annual]]/12</calculatedColumnFormula>
    </tableColumn>
  </tableColumns>
  <tableStyleInfo name="Daily Summary" showFirstColumn="0" showLastColumn="0" showRowStripes="0" showColumnStripes="0"/>
</table>
</file>

<file path=xl/theme/theme1.xml><?xml version="1.0" encoding="utf-8"?>
<a:theme xmlns:a="http://schemas.openxmlformats.org/drawingml/2006/main" name="Office Theme">
  <a:themeElements>
    <a:clrScheme name="Blue-Purple-Green">
      <a:dk1>
        <a:srgbClr val="000000"/>
      </a:dk1>
      <a:lt1>
        <a:srgbClr val="FFFFFF"/>
      </a:lt1>
      <a:dk2>
        <a:srgbClr val="44546A"/>
      </a:dk2>
      <a:lt2>
        <a:srgbClr val="E7E6E6"/>
      </a:lt2>
      <a:accent1>
        <a:srgbClr val="3234F4"/>
      </a:accent1>
      <a:accent2>
        <a:srgbClr val="D4A8F3"/>
      </a:accent2>
      <a:accent3>
        <a:srgbClr val="D0E582"/>
      </a:accent3>
      <a:accent4>
        <a:srgbClr val="F0E2CF"/>
      </a:accent4>
      <a:accent5>
        <a:srgbClr val="E8E7ED"/>
      </a:accent5>
      <a:accent6>
        <a:srgbClr val="005D3D"/>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 Type="http://schemas.openxmlformats.org/officeDocument/2006/relationships/pivotTable" Target="/xl/pivotTables/pivotTable2.xml" Id="rId3" /><Relationship Type="http://schemas.openxmlformats.org/officeDocument/2006/relationships/pivotTable" Target="/xl/pivotTables/pivotTable3.xml" Id="rId4" /><Relationship Type="http://schemas.openxmlformats.org/officeDocument/2006/relationships/pivotTable" Target="/xl/pivotTables/pivotTable4.xml" Id="rId5"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codeName="Sheet1">
    <tabColor theme="6"/>
    <outlinePr summaryBelow="1" summaryRight="1"/>
    <pageSetUpPr autoPageBreaks="0" fitToPage="1"/>
  </sheetPr>
  <dimension ref="A1:X35"/>
  <sheetViews>
    <sheetView showGridLines="0" tabSelected="1" zoomScaleNormal="100" workbookViewId="0">
      <selection activeCell="A1" sqref="A1"/>
    </sheetView>
  </sheetViews>
  <sheetFormatPr baseColWidth="8" defaultColWidth="8.875" defaultRowHeight="13.9"/>
  <cols>
    <col width="2.75" customWidth="1" style="3" min="1" max="1"/>
    <col width="30.75" customWidth="1" style="3" min="2" max="4"/>
    <col width="10.75" customWidth="1" style="3" min="5" max="15"/>
    <col width="2.75" customWidth="1" style="3" min="16" max="16"/>
    <col width="8.875" customWidth="1" style="3" min="17" max="16384"/>
  </cols>
  <sheetData>
    <row r="1" ht="70.15000000000001" customFormat="1" customHeight="1" s="8">
      <c r="A1" s="1" t="n"/>
      <c r="B1" s="89" t="inlineStr">
        <is>
          <t>PERSONAL CASH FLOW</t>
        </is>
      </c>
      <c r="E1" s="1" t="n"/>
      <c r="F1" s="1" t="n"/>
      <c r="G1" s="1" t="n"/>
      <c r="H1" s="1" t="n"/>
      <c r="I1" s="1" t="n"/>
      <c r="J1" s="1" t="n"/>
      <c r="K1" s="1" t="n"/>
      <c r="L1" s="1" t="n"/>
      <c r="M1" s="1" t="n"/>
      <c r="N1" s="1" t="n"/>
      <c r="O1" s="1" t="n"/>
    </row>
    <row r="2" ht="70.15000000000001" customFormat="1" customHeight="1" s="2" thickBot="1">
      <c r="A2" s="5" t="n"/>
      <c r="B2" s="90" t="inlineStr">
        <is>
          <t>This workbook has annual, monthly and daily cash flow worksheets. Choose the cash flow type that works best for you or use them all to help gain insight on your personal cash flow.</t>
        </is>
      </c>
      <c r="C2" s="105" t="n"/>
      <c r="D2" s="105" t="n"/>
      <c r="E2" s="9" t="n"/>
      <c r="F2" s="9" t="n"/>
      <c r="G2" s="9" t="n"/>
      <c r="H2" s="9" t="n"/>
      <c r="I2" s="9" t="n"/>
      <c r="J2" s="9" t="n"/>
      <c r="K2" s="9" t="n"/>
      <c r="L2" s="9" t="n"/>
      <c r="M2" s="5" t="n"/>
      <c r="N2" s="5" t="n"/>
      <c r="O2" s="5" t="n"/>
      <c r="P2" s="5" t="n"/>
      <c r="Q2" s="5" t="n"/>
      <c r="R2" s="5" t="n"/>
      <c r="S2" s="5" t="n"/>
      <c r="T2" s="5" t="n"/>
      <c r="U2" s="5" t="n"/>
      <c r="V2" s="5" t="n"/>
      <c r="W2" s="5" t="n"/>
      <c r="X2" s="5" t="n"/>
    </row>
    <row r="3" ht="45" customFormat="1" customHeight="1" s="65" thickBot="1" thickTop="1">
      <c r="A3" s="63" t="n"/>
      <c r="B3" s="40" t="inlineStr">
        <is>
          <t>Daily cash flow</t>
        </is>
      </c>
      <c r="C3" s="46" t="inlineStr">
        <is>
          <t>Monthly cash flow</t>
        </is>
      </c>
      <c r="D3" s="46" t="inlineStr">
        <is>
          <t>Annual cash flow</t>
        </is>
      </c>
      <c r="E3" s="64" t="n"/>
      <c r="F3" s="64" t="n"/>
      <c r="G3" s="64" t="n"/>
      <c r="H3" s="64" t="n"/>
      <c r="I3" s="64" t="n"/>
      <c r="J3" s="64" t="n"/>
      <c r="K3" s="64" t="n"/>
      <c r="L3" s="64" t="n"/>
      <c r="M3" s="63" t="n"/>
      <c r="N3" s="63" t="n"/>
      <c r="O3" s="63" t="n"/>
      <c r="P3" s="63" t="n"/>
      <c r="Q3" s="63" t="n"/>
      <c r="R3" s="63" t="n"/>
      <c r="S3" s="63" t="n"/>
      <c r="T3" s="63" t="n"/>
      <c r="U3" s="63" t="n"/>
      <c r="V3" s="63" t="n"/>
      <c r="W3" s="63" t="n"/>
      <c r="X3" s="63" t="n"/>
    </row>
    <row r="4" ht="19.9" customFormat="1" customHeight="1" s="47" thickTop="1">
      <c r="A4" s="45" t="n"/>
      <c r="B4" s="48" t="n"/>
      <c r="C4" s="49" t="n"/>
      <c r="D4" s="49" t="n"/>
      <c r="E4" s="45" t="n"/>
      <c r="F4" s="45" t="n"/>
      <c r="G4" s="45" t="n"/>
      <c r="H4" s="45" t="n"/>
      <c r="I4" s="45" t="n"/>
      <c r="J4" s="45" t="n"/>
      <c r="K4" s="45" t="n"/>
      <c r="L4" s="45" t="n"/>
      <c r="M4" s="45" t="n"/>
      <c r="N4" s="45" t="n"/>
      <c r="O4" s="45" t="n"/>
      <c r="P4" s="45" t="n"/>
      <c r="Q4" s="45" t="n"/>
      <c r="R4" s="45" t="n"/>
      <c r="S4" s="45" t="n"/>
      <c r="T4" s="45" t="n"/>
      <c r="U4" s="45" t="n"/>
      <c r="V4" s="45" t="n"/>
      <c r="W4" s="45" t="n"/>
      <c r="X4" s="45" t="n"/>
    </row>
    <row r="5" ht="127.9" customFormat="1" customHeight="1" s="4">
      <c r="A5" s="104" t="n"/>
      <c r="B5" s="50" t="inlineStr">
        <is>
          <t>Enter an estimated amount of cash flow you experience daily and review the estimated monthly and annual totals.  Use this to get a sense of what your daily spending habits will look like over the course of a month or year.</t>
        </is>
      </c>
      <c r="C5" s="51" t="inlineStr">
        <is>
          <t>Enter the monthly cash flow you experience or estimate the remaining months to see the projected cash flow for the year for each month.</t>
        </is>
      </c>
      <c r="D5" s="51" t="inlineStr">
        <is>
          <t>Enter an annual cash flow amount in four worksheets: Income, Expenses, Discretionary, and Savings. 
See the monthly break down and how everything compares, and most importantly what your bottom line is in both annual and monthly figures.</t>
        </is>
      </c>
      <c r="E5" s="104" t="n"/>
      <c r="F5" s="104" t="n"/>
      <c r="G5" s="104" t="n"/>
      <c r="H5" s="104" t="n"/>
      <c r="I5" s="104" t="n"/>
      <c r="J5" s="104" t="n"/>
      <c r="K5" s="104" t="n"/>
      <c r="L5" s="104" t="n"/>
      <c r="M5" s="104" t="n"/>
      <c r="N5" s="104" t="n"/>
      <c r="O5" s="104" t="n"/>
      <c r="P5" s="104" t="n"/>
      <c r="Q5" s="104" t="n"/>
      <c r="R5" s="104" t="n"/>
      <c r="S5" s="104" t="n"/>
      <c r="T5" s="104" t="n"/>
      <c r="U5" s="104" t="n"/>
      <c r="V5" s="104" t="n"/>
      <c r="W5" s="104" t="n"/>
      <c r="X5" s="104"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c r="A12" s="7" t="n"/>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row>
  </sheetData>
  <mergeCells count="2">
    <mergeCell ref="B1:D1"/>
    <mergeCell ref="B2:D2"/>
  </mergeCells>
  <dataValidations count="1">
    <dataValidation sqref="A1" showDropDown="0" showInputMessage="1" showErrorMessage="1" allowBlank="1" prompt="Review details of the workbook on this sheet._x000a__x000a_Information about Daily cash flow, monthly cash flow, and annual cash flow can be found in cells B5, C5, and D5, respectively."/>
  </dataValidations>
  <printOptions horizontalCentered="1"/>
  <pageMargins left="0.25" right="0.25" top="0.5" bottom="0.5" header="0.5" footer="0.5"/>
  <pageSetup orientation="landscape" scale="82" fitToHeight="0"/>
  <headerFooter differentFirst="1">
    <oddHeader/>
    <oddFooter>&amp;L&amp;C&amp;R</oddFooter>
    <evenHeader/>
    <evenFooter/>
    <firstHeader/>
    <firstFooter/>
  </headerFooter>
</worksheet>
</file>

<file path=xl/worksheets/sheet2.xml><?xml version="1.0" encoding="utf-8"?>
<worksheet xmlns="http://schemas.openxmlformats.org/spreadsheetml/2006/main">
  <sheetPr>
    <tabColor theme="5"/>
    <outlinePr summaryBelow="1" summaryRight="1"/>
    <pageSetUpPr autoPageBreaks="0" fitToPage="1"/>
  </sheetPr>
  <dimension ref="A1:K48"/>
  <sheetViews>
    <sheetView showGridLines="0" zoomScaleNormal="100" workbookViewId="0">
      <selection activeCell="A1" sqref="A1"/>
    </sheetView>
  </sheetViews>
  <sheetFormatPr baseColWidth="8" defaultColWidth="16.625" defaultRowHeight="30" customHeight="1"/>
  <cols>
    <col width="2.75" customWidth="1" style="44" min="1" max="1"/>
    <col width="16.75" customWidth="1" style="44" min="2" max="5"/>
    <col width="10.75" customWidth="1" style="44" min="6" max="6"/>
    <col width="16.75" customWidth="1" style="44" min="7" max="7"/>
    <col width="17.875" customWidth="1" style="44" min="8" max="8"/>
    <col width="16.75" customWidth="1" style="44" min="9" max="11"/>
    <col width="2.75" customWidth="1" style="44" min="12" max="12"/>
    <col width="14.75" customWidth="1" style="44" min="13" max="15"/>
    <col width="16.625" customWidth="1" style="44" min="16" max="16384"/>
  </cols>
  <sheetData>
    <row r="1" ht="70.15000000000001" customFormat="1" customHeight="1" s="22">
      <c r="A1" s="21" t="n"/>
      <c r="B1" s="89" t="inlineStr">
        <is>
          <t>DAILY CASH FLOW</t>
        </is>
      </c>
      <c r="C1" s="89" t="n"/>
      <c r="D1" s="89" t="n"/>
      <c r="E1" s="89" t="n"/>
      <c r="F1" s="21" t="inlineStr">
        <is>
          <t>'Monthly Cash Flow'!A1</t>
        </is>
      </c>
      <c r="G1" s="21" t="inlineStr">
        <is>
          <t>'Daily Summary'!A1</t>
        </is>
      </c>
      <c r="H1" s="21" t="inlineStr">
        <is>
          <t>Income!A1</t>
        </is>
      </c>
      <c r="I1" s="21" t="n"/>
      <c r="J1" s="21" t="n"/>
      <c r="K1" s="21" t="n"/>
    </row>
    <row r="2" ht="70.15000000000001" customFormat="1" customHeight="1" s="15" thickBot="1">
      <c r="B2" s="66" t="inlineStr">
        <is>
          <t>Total available cash:</t>
        </is>
      </c>
      <c r="C2" s="66" t="n"/>
      <c r="D2" s="106" t="n">
        <v>577.8399999999999</v>
      </c>
      <c r="F2" s="102" t="n"/>
      <c r="G2" s="90" t="inlineStr">
        <is>
          <t>NOTE: If you wish to add daily items to the table, estimate their monthly amount/value and place value in the appropriate month column.</t>
        </is>
      </c>
      <c r="H2" s="105" t="n"/>
      <c r="I2" s="105" t="n"/>
      <c r="J2" s="105" t="n"/>
      <c r="K2" s="90" t="n"/>
    </row>
    <row r="3" ht="45" customFormat="1" customHeight="1" s="58" thickBot="1" thickTop="1">
      <c r="B3" s="40" t="inlineStr">
        <is>
          <t>Daily summary</t>
        </is>
      </c>
      <c r="C3" s="107" t="n"/>
      <c r="D3" s="108" t="n"/>
      <c r="E3" s="59" t="n"/>
      <c r="F3" s="60" t="n"/>
      <c r="G3" s="61" t="n"/>
      <c r="H3" s="61" t="n"/>
      <c r="I3" s="61" t="n"/>
      <c r="J3" s="61" t="n"/>
      <c r="K3" s="62" t="n"/>
    </row>
    <row r="4" ht="40.15" customFormat="1" customHeight="1" s="58" thickTop="1">
      <c r="B4" s="70" t="inlineStr">
        <is>
          <t>Totals</t>
        </is>
      </c>
      <c r="C4" s="70" t="inlineStr">
        <is>
          <t>Daily</t>
        </is>
      </c>
      <c r="D4" s="70" t="inlineStr">
        <is>
          <t>Monthly</t>
        </is>
      </c>
      <c r="E4" s="70" t="inlineStr">
        <is>
          <t xml:space="preserve">Annual </t>
        </is>
      </c>
      <c r="G4" s="70" t="inlineStr">
        <is>
          <t>Type</t>
        </is>
      </c>
      <c r="H4" s="70" t="inlineStr">
        <is>
          <t>Description</t>
        </is>
      </c>
      <c r="I4" s="70" t="inlineStr">
        <is>
          <t>Daily</t>
        </is>
      </c>
      <c r="J4" s="70" t="inlineStr">
        <is>
          <t>Monthly</t>
        </is>
      </c>
      <c r="K4" s="70" t="inlineStr">
        <is>
          <t>Annual</t>
        </is>
      </c>
    </row>
    <row r="5" ht="40.15" customFormat="1" customHeight="1" s="15">
      <c r="B5" s="72" t="inlineStr">
        <is>
          <t>Income</t>
        </is>
      </c>
      <c r="C5" s="109" t="n">
        <v>342.47</v>
      </c>
      <c r="D5" s="109" t="n">
        <v>10416.79583333333</v>
      </c>
      <c r="E5" s="109" t="n">
        <v>125001.55</v>
      </c>
      <c r="G5" s="72" t="inlineStr">
        <is>
          <t>Income</t>
        </is>
      </c>
      <c r="H5" s="72" t="inlineStr">
        <is>
          <t>Salary</t>
        </is>
      </c>
      <c r="I5" s="110" t="n">
        <v>246.58</v>
      </c>
      <c r="J5" s="110" t="n">
        <v>7500.141666666667</v>
      </c>
      <c r="K5" s="110" t="n">
        <v>90001.70000000001</v>
      </c>
    </row>
    <row r="6" ht="40.15" customFormat="1" customHeight="1" s="15">
      <c r="B6" s="72" t="inlineStr">
        <is>
          <t>Expenses</t>
        </is>
      </c>
      <c r="C6" s="109" t="n">
        <v>136.06</v>
      </c>
      <c r="D6" s="109" t="n">
        <v>4138.491666666667</v>
      </c>
      <c r="E6" s="109" t="n">
        <v>49661.89999999999</v>
      </c>
      <c r="G6" s="72" t="inlineStr">
        <is>
          <t>Income</t>
        </is>
      </c>
      <c r="H6" s="72" t="inlineStr">
        <is>
          <t>Commissions/bonus</t>
        </is>
      </c>
      <c r="I6" s="110" t="n">
        <v>13.7</v>
      </c>
      <c r="J6" s="110" t="n">
        <v>416.7083333333333</v>
      </c>
      <c r="K6" s="110" t="n">
        <v>5000.5</v>
      </c>
    </row>
    <row r="7" ht="40.15" customFormat="1" customHeight="1" s="15">
      <c r="B7" s="72" t="inlineStr">
        <is>
          <t>Discretionary</t>
        </is>
      </c>
      <c r="C7" s="109" t="n">
        <v>36.29</v>
      </c>
      <c r="D7" s="109" t="n">
        <v>1103.820833333333</v>
      </c>
      <c r="E7" s="109" t="n">
        <v>13245.85</v>
      </c>
      <c r="G7" s="72" t="inlineStr">
        <is>
          <t>Income</t>
        </is>
      </c>
      <c r="H7" s="72" t="inlineStr">
        <is>
          <t>Other 1</t>
        </is>
      </c>
      <c r="I7" s="110" t="n">
        <v>82.19</v>
      </c>
      <c r="J7" s="110" t="n">
        <v>2499.945833333333</v>
      </c>
      <c r="K7" s="110" t="n">
        <v>29999.35</v>
      </c>
    </row>
    <row r="8" ht="40.15" customFormat="1" customHeight="1" s="15">
      <c r="B8" s="72" t="inlineStr">
        <is>
          <t>Savings</t>
        </is>
      </c>
      <c r="C8" s="109" t="n">
        <v>63.02</v>
      </c>
      <c r="D8" s="109" t="n">
        <v>1916.858333333333</v>
      </c>
      <c r="E8" s="109" t="n">
        <v>23002.3</v>
      </c>
      <c r="G8" s="72" t="inlineStr">
        <is>
          <t>Income</t>
        </is>
      </c>
      <c r="H8" s="72" t="inlineStr">
        <is>
          <t>Other 2</t>
        </is>
      </c>
      <c r="I8" s="110" t="n">
        <v>0</v>
      </c>
      <c r="J8" s="110" t="n">
        <v>0</v>
      </c>
      <c r="K8" s="110" t="n">
        <v>0</v>
      </c>
    </row>
    <row r="9" ht="40.15" customFormat="1" customHeight="1" s="15">
      <c r="B9" s="25" t="n"/>
      <c r="C9" s="111" t="n"/>
      <c r="D9" s="111" t="n"/>
      <c r="E9" s="23" t="n"/>
      <c r="F9" s="24" t="n"/>
      <c r="G9" s="72" t="inlineStr">
        <is>
          <t>Income</t>
        </is>
      </c>
      <c r="H9" s="72" t="inlineStr">
        <is>
          <t>Other 3</t>
        </is>
      </c>
      <c r="I9" s="110" t="n">
        <v>0</v>
      </c>
      <c r="J9" s="110" t="n">
        <v>0</v>
      </c>
      <c r="K9" s="110" t="n">
        <v>0</v>
      </c>
    </row>
    <row r="10" ht="40.15" customFormat="1" customHeight="1" s="15">
      <c r="G10" s="72" t="inlineStr">
        <is>
          <t>Income</t>
        </is>
      </c>
      <c r="H10" s="72" t="inlineStr">
        <is>
          <t>Other 4</t>
        </is>
      </c>
      <c r="I10" s="110" t="n">
        <v>0</v>
      </c>
      <c r="J10" s="110" t="n">
        <v>0</v>
      </c>
      <c r="K10" s="110" t="n">
        <v>0</v>
      </c>
    </row>
    <row r="11" ht="40.15" customHeight="1" s="112">
      <c r="G11" s="72" t="inlineStr">
        <is>
          <t>Expenses</t>
        </is>
      </c>
      <c r="H11" s="72" t="inlineStr">
        <is>
          <t>Federal/SS/Medicare</t>
        </is>
      </c>
      <c r="I11" s="110" t="n">
        <v>41.1</v>
      </c>
      <c r="J11" s="110" t="n">
        <v>1250.125</v>
      </c>
      <c r="K11" s="110" t="n">
        <v>15001.5</v>
      </c>
    </row>
    <row r="12" ht="40.15" customHeight="1" s="112">
      <c r="G12" s="72" t="inlineStr">
        <is>
          <t>Expenses</t>
        </is>
      </c>
      <c r="H12" s="72" t="inlineStr">
        <is>
          <t>State income tax</t>
        </is>
      </c>
      <c r="I12" s="110" t="n">
        <v>6.85</v>
      </c>
      <c r="J12" s="110" t="n">
        <v>208.3541666666667</v>
      </c>
      <c r="K12" s="110" t="n">
        <v>2500.25</v>
      </c>
    </row>
    <row r="13" ht="40.15" customHeight="1" s="112">
      <c r="G13" s="72" t="inlineStr">
        <is>
          <t>Expenses</t>
        </is>
      </c>
      <c r="H13" s="72" t="inlineStr">
        <is>
          <t>Vehicle tax/fees</t>
        </is>
      </c>
      <c r="I13" s="110" t="n">
        <v>0.55</v>
      </c>
      <c r="J13" s="110" t="n">
        <v>16.72916666666667</v>
      </c>
      <c r="K13" s="110" t="n">
        <v>200.75</v>
      </c>
    </row>
    <row r="14" ht="40.15" customHeight="1" s="112">
      <c r="G14" s="72" t="inlineStr">
        <is>
          <t>Expenses</t>
        </is>
      </c>
      <c r="H14" s="72" t="inlineStr">
        <is>
          <t>Vehicle payments</t>
        </is>
      </c>
      <c r="I14" s="110" t="n">
        <v>10.96</v>
      </c>
      <c r="J14" s="110" t="n">
        <v>333.3666666666667</v>
      </c>
      <c r="K14" s="110" t="n">
        <v>4000.4</v>
      </c>
    </row>
    <row r="15" ht="40.15" customHeight="1" s="112">
      <c r="G15" s="72" t="inlineStr">
        <is>
          <t>Expenses</t>
        </is>
      </c>
      <c r="H15" s="72" t="inlineStr">
        <is>
          <t>Mortgage/rent</t>
        </is>
      </c>
      <c r="I15" s="110" t="n">
        <v>41.1</v>
      </c>
      <c r="J15" s="110" t="n">
        <v>1250.125</v>
      </c>
      <c r="K15" s="110" t="n">
        <v>15001.5</v>
      </c>
    </row>
    <row r="16" ht="40.15" customHeight="1" s="112">
      <c r="G16" s="72" t="inlineStr">
        <is>
          <t>Expenses</t>
        </is>
      </c>
      <c r="H16" s="72" t="inlineStr">
        <is>
          <t>Insurance</t>
        </is>
      </c>
      <c r="I16" s="110" t="n">
        <v>0.68</v>
      </c>
      <c r="J16" s="110" t="n">
        <v>20.68333333333333</v>
      </c>
      <c r="K16" s="110" t="n">
        <v>248.2</v>
      </c>
    </row>
    <row r="17" ht="40.15" customHeight="1" s="112">
      <c r="G17" s="72" t="inlineStr">
        <is>
          <t>Expenses</t>
        </is>
      </c>
      <c r="H17" s="72" t="inlineStr">
        <is>
          <t>Electricity</t>
        </is>
      </c>
      <c r="I17" s="110" t="n">
        <v>3.29</v>
      </c>
      <c r="J17" s="110" t="n">
        <v>100.0708333333333</v>
      </c>
      <c r="K17" s="110" t="n">
        <v>1200.85</v>
      </c>
    </row>
    <row r="18" ht="40.15" customHeight="1" s="112">
      <c r="G18" s="72" t="inlineStr">
        <is>
          <t>Expenses</t>
        </is>
      </c>
      <c r="H18" s="72" t="inlineStr">
        <is>
          <t>Gas</t>
        </is>
      </c>
      <c r="I18" s="110" t="n">
        <v>1.64</v>
      </c>
      <c r="J18" s="110" t="n">
        <v>49.88333333333333</v>
      </c>
      <c r="K18" s="110" t="n">
        <v>598.5999999999999</v>
      </c>
    </row>
    <row r="19" ht="40.15" customHeight="1" s="112">
      <c r="G19" s="72" t="inlineStr">
        <is>
          <t>Expenses</t>
        </is>
      </c>
      <c r="H19" s="72" t="inlineStr">
        <is>
          <t>Water</t>
        </is>
      </c>
      <c r="I19" s="110" t="n">
        <v>1.64</v>
      </c>
      <c r="J19" s="110" t="n">
        <v>49.88333333333333</v>
      </c>
      <c r="K19" s="110" t="n">
        <v>598.5999999999999</v>
      </c>
    </row>
    <row r="20" ht="40.15" customHeight="1" s="112">
      <c r="G20" s="72" t="inlineStr">
        <is>
          <t>Expenses</t>
        </is>
      </c>
      <c r="H20" s="72" t="inlineStr">
        <is>
          <t>Sewer</t>
        </is>
      </c>
      <c r="I20" s="110" t="n">
        <v>0.82</v>
      </c>
      <c r="J20" s="110" t="n">
        <v>24.94166666666666</v>
      </c>
      <c r="K20" s="110" t="n">
        <v>299.3</v>
      </c>
    </row>
    <row r="21" ht="40.15" customHeight="1" s="112">
      <c r="G21" s="72" t="inlineStr">
        <is>
          <t>Expenses</t>
        </is>
      </c>
      <c r="H21" s="72" t="inlineStr">
        <is>
          <t>Garbage</t>
        </is>
      </c>
      <c r="I21" s="110" t="n">
        <v>0.41</v>
      </c>
      <c r="J21" s="110" t="n">
        <v>12.47083333333333</v>
      </c>
      <c r="K21" s="110" t="n">
        <v>149.65</v>
      </c>
    </row>
    <row r="22" ht="40.15" customHeight="1" s="112">
      <c r="G22" s="72" t="inlineStr">
        <is>
          <t>Expenses</t>
        </is>
      </c>
      <c r="H22" s="72" t="inlineStr">
        <is>
          <t>Phone</t>
        </is>
      </c>
      <c r="I22" s="110" t="n">
        <v>1.64</v>
      </c>
      <c r="J22" s="110" t="n">
        <v>49.88333333333333</v>
      </c>
      <c r="K22" s="110" t="n">
        <v>598.5999999999999</v>
      </c>
    </row>
    <row r="23" ht="40.15" customHeight="1" s="112">
      <c r="G23" s="72" t="inlineStr">
        <is>
          <t>Expenses</t>
        </is>
      </c>
      <c r="H23" s="72" t="inlineStr">
        <is>
          <t>Internet</t>
        </is>
      </c>
      <c r="I23" s="110" t="n">
        <v>1.64</v>
      </c>
      <c r="J23" s="110" t="n">
        <v>49.88333333333333</v>
      </c>
      <c r="K23" s="110" t="n">
        <v>598.5999999999999</v>
      </c>
    </row>
    <row r="24" ht="40.15" customHeight="1" s="112">
      <c r="G24" s="72" t="inlineStr">
        <is>
          <t>Expenses</t>
        </is>
      </c>
      <c r="H24" s="72" t="inlineStr">
        <is>
          <t>Disability premiums</t>
        </is>
      </c>
      <c r="I24" s="110" t="n">
        <v>4.11</v>
      </c>
      <c r="J24" s="110" t="n">
        <v>125.0125</v>
      </c>
      <c r="K24" s="110" t="n">
        <v>1500.15</v>
      </c>
    </row>
    <row r="25" ht="40.15" customHeight="1" s="112">
      <c r="G25" s="72" t="inlineStr">
        <is>
          <t>Expenses</t>
        </is>
      </c>
      <c r="H25" s="72" t="inlineStr">
        <is>
          <t>Food</t>
        </is>
      </c>
      <c r="I25" s="110" t="n">
        <v>13.7</v>
      </c>
      <c r="J25" s="110" t="n">
        <v>416.7083333333333</v>
      </c>
      <c r="K25" s="110" t="n">
        <v>5000.5</v>
      </c>
    </row>
    <row r="26" ht="40.15" customHeight="1" s="112">
      <c r="G26" s="72" t="inlineStr">
        <is>
          <t>Expenses</t>
        </is>
      </c>
      <c r="H26" s="72" t="inlineStr">
        <is>
          <t>Clothing</t>
        </is>
      </c>
      <c r="I26" s="110" t="n">
        <v>3.29</v>
      </c>
      <c r="J26" s="110" t="n">
        <v>100.0708333333333</v>
      </c>
      <c r="K26" s="110" t="n">
        <v>1200.85</v>
      </c>
    </row>
    <row r="27" ht="40.15" customHeight="1" s="112">
      <c r="G27" s="72" t="inlineStr">
        <is>
          <t>Expenses</t>
        </is>
      </c>
      <c r="H27" s="72" t="inlineStr">
        <is>
          <t>Medical/dental/Rx</t>
        </is>
      </c>
      <c r="I27" s="110" t="n">
        <v>1.64</v>
      </c>
      <c r="J27" s="110" t="n">
        <v>49.88333333333333</v>
      </c>
      <c r="K27" s="110" t="n">
        <v>598.5999999999999</v>
      </c>
    </row>
    <row r="28" ht="40.15" customHeight="1" s="112">
      <c r="G28" s="72" t="inlineStr">
        <is>
          <t>Expenses</t>
        </is>
      </c>
      <c r="H28" s="72" t="inlineStr">
        <is>
          <t>Bus</t>
        </is>
      </c>
      <c r="I28" s="110" t="n">
        <v>1</v>
      </c>
      <c r="J28" s="110" t="n">
        <v>30.41666666666667</v>
      </c>
      <c r="K28" s="110" t="n">
        <v>365</v>
      </c>
    </row>
    <row r="29" ht="40.15" customHeight="1" s="112">
      <c r="G29" s="72" t="inlineStr">
        <is>
          <t>Expenses</t>
        </is>
      </c>
      <c r="H29" s="72" t="inlineStr">
        <is>
          <t>Other 2</t>
        </is>
      </c>
      <c r="I29" s="110" t="n">
        <v>0</v>
      </c>
      <c r="J29" s="110" t="n">
        <v>0</v>
      </c>
      <c r="K29" s="110" t="n">
        <v>0</v>
      </c>
    </row>
    <row r="30" ht="40.15" customHeight="1" s="112">
      <c r="G30" s="72" t="inlineStr">
        <is>
          <t>Expenses</t>
        </is>
      </c>
      <c r="H30" s="72" t="inlineStr">
        <is>
          <t>Other 3</t>
        </is>
      </c>
      <c r="I30" s="110" t="n">
        <v>0</v>
      </c>
      <c r="J30" s="110" t="n">
        <v>0</v>
      </c>
      <c r="K30" s="110" t="n">
        <v>0</v>
      </c>
    </row>
    <row r="31" ht="40.15" customHeight="1" s="112">
      <c r="G31" s="72" t="inlineStr">
        <is>
          <t>Expenses</t>
        </is>
      </c>
      <c r="H31" s="72" t="inlineStr">
        <is>
          <t>Other 4</t>
        </is>
      </c>
      <c r="I31" s="110" t="n">
        <v>0</v>
      </c>
      <c r="J31" s="110" t="n">
        <v>0</v>
      </c>
      <c r="K31" s="110" t="n">
        <v>0</v>
      </c>
    </row>
    <row r="32" ht="40.15" customHeight="1" s="112">
      <c r="G32" s="72" t="inlineStr">
        <is>
          <t>Discretionary</t>
        </is>
      </c>
      <c r="H32" s="72" t="inlineStr">
        <is>
          <t>Dining</t>
        </is>
      </c>
      <c r="I32" s="110" t="n">
        <v>3.29</v>
      </c>
      <c r="J32" s="110" t="n">
        <v>100.0708333333333</v>
      </c>
      <c r="K32" s="110" t="n">
        <v>1200.85</v>
      </c>
    </row>
    <row r="33" ht="40.15" customHeight="1" s="112">
      <c r="G33" s="72" t="inlineStr">
        <is>
          <t>Discretionary</t>
        </is>
      </c>
      <c r="H33" s="72" t="inlineStr">
        <is>
          <t>Gifts</t>
        </is>
      </c>
      <c r="I33" s="110" t="n">
        <v>1.64</v>
      </c>
      <c r="J33" s="110" t="n">
        <v>49.88333333333333</v>
      </c>
      <c r="K33" s="110" t="n">
        <v>598.5999999999999</v>
      </c>
    </row>
    <row r="34" ht="40.15" customHeight="1" s="112">
      <c r="G34" s="72" t="inlineStr">
        <is>
          <t>Discretionary</t>
        </is>
      </c>
      <c r="H34" s="72" t="inlineStr">
        <is>
          <t>Travel</t>
        </is>
      </c>
      <c r="I34" s="110" t="n">
        <v>6.16</v>
      </c>
      <c r="J34" s="110" t="n">
        <v>187.3666666666667</v>
      </c>
      <c r="K34" s="110" t="n">
        <v>2248.4</v>
      </c>
    </row>
    <row r="35" ht="40.15" customHeight="1" s="112">
      <c r="G35" s="72" t="inlineStr">
        <is>
          <t>Discretionary</t>
        </is>
      </c>
      <c r="H35" s="72" t="inlineStr">
        <is>
          <t>Entertainment</t>
        </is>
      </c>
      <c r="I35" s="110" t="n">
        <v>3.29</v>
      </c>
      <c r="J35" s="110" t="n">
        <v>100.0708333333333</v>
      </c>
      <c r="K35" s="110" t="n">
        <v>1200.85</v>
      </c>
    </row>
    <row r="36" ht="40.15" customHeight="1" s="112">
      <c r="G36" s="72" t="inlineStr">
        <is>
          <t>Discretionary</t>
        </is>
      </c>
      <c r="H36" s="72" t="inlineStr">
        <is>
          <t>Personal care</t>
        </is>
      </c>
      <c r="I36" s="110" t="n">
        <v>0.82</v>
      </c>
      <c r="J36" s="110" t="n">
        <v>24.94166666666666</v>
      </c>
      <c r="K36" s="110" t="n">
        <v>299.3</v>
      </c>
    </row>
    <row r="37" ht="40.15" customHeight="1" s="112">
      <c r="G37" s="72" t="inlineStr">
        <is>
          <t>Discretionary</t>
        </is>
      </c>
      <c r="H37" s="72" t="inlineStr">
        <is>
          <t>Shopping</t>
        </is>
      </c>
      <c r="I37" s="110" t="n">
        <v>5.48</v>
      </c>
      <c r="J37" s="110" t="n">
        <v>166.6833333333333</v>
      </c>
      <c r="K37" s="110" t="n">
        <v>2000.2</v>
      </c>
    </row>
    <row r="38" ht="40.15" customHeight="1" s="112">
      <c r="G38" s="72" t="inlineStr">
        <is>
          <t>Discretionary</t>
        </is>
      </c>
      <c r="H38" s="72" t="inlineStr">
        <is>
          <t>Charity</t>
        </is>
      </c>
      <c r="I38" s="110" t="n">
        <v>1.64</v>
      </c>
      <c r="J38" s="110" t="n">
        <v>49.88333333333333</v>
      </c>
      <c r="K38" s="110" t="n">
        <v>598.5999999999999</v>
      </c>
    </row>
    <row r="39" ht="40.15" customHeight="1" s="112">
      <c r="G39" s="72" t="inlineStr">
        <is>
          <t>Discretionary</t>
        </is>
      </c>
      <c r="H39" s="72" t="inlineStr">
        <is>
          <t>Club memberships</t>
        </is>
      </c>
      <c r="I39" s="110" t="n">
        <v>0.82</v>
      </c>
      <c r="J39" s="110" t="n">
        <v>24.94166666666666</v>
      </c>
      <c r="K39" s="110" t="n">
        <v>299.3</v>
      </c>
    </row>
    <row r="40" ht="40.15" customHeight="1" s="112">
      <c r="G40" s="72" t="inlineStr">
        <is>
          <t>Discretionary</t>
        </is>
      </c>
      <c r="H40" s="72" t="inlineStr">
        <is>
          <t>Home improvements</t>
        </is>
      </c>
      <c r="I40" s="110" t="n">
        <v>13.15</v>
      </c>
      <c r="J40" s="110" t="n">
        <v>399.9791666666667</v>
      </c>
      <c r="K40" s="110" t="n">
        <v>4799.75</v>
      </c>
    </row>
    <row r="41" ht="40.15" customHeight="1" s="112">
      <c r="G41" s="72" t="inlineStr">
        <is>
          <t>Discretionary</t>
        </is>
      </c>
      <c r="H41" s="72" t="inlineStr">
        <is>
          <t>Other 1</t>
        </is>
      </c>
      <c r="I41" s="110" t="n">
        <v>0</v>
      </c>
      <c r="J41" s="110" t="n">
        <v>0</v>
      </c>
      <c r="K41" s="110" t="n">
        <v>0</v>
      </c>
    </row>
    <row r="42" ht="40.15" customHeight="1" s="112">
      <c r="G42" s="72" t="inlineStr">
        <is>
          <t>Discretionary</t>
        </is>
      </c>
      <c r="H42" s="72" t="inlineStr">
        <is>
          <t>Other 2</t>
        </is>
      </c>
      <c r="I42" s="110" t="n">
        <v>0</v>
      </c>
      <c r="J42" s="110" t="n">
        <v>0</v>
      </c>
      <c r="K42" s="110" t="n">
        <v>0</v>
      </c>
    </row>
    <row r="43" ht="40.15" customHeight="1" s="112">
      <c r="G43" s="72" t="inlineStr">
        <is>
          <t>Savings</t>
        </is>
      </c>
      <c r="H43" s="72" t="inlineStr">
        <is>
          <t>Cash reserves</t>
        </is>
      </c>
      <c r="I43" s="110" t="n">
        <v>13.7</v>
      </c>
      <c r="J43" s="110" t="n">
        <v>416.7083333333333</v>
      </c>
      <c r="K43" s="110" t="n">
        <v>5000.5</v>
      </c>
    </row>
    <row r="44" ht="40.15" customHeight="1" s="112">
      <c r="G44" s="72" t="inlineStr">
        <is>
          <t>Savings</t>
        </is>
      </c>
      <c r="H44" s="72" t="inlineStr">
        <is>
          <t>401k etc.</t>
        </is>
      </c>
      <c r="I44" s="110" t="n">
        <v>32.88</v>
      </c>
      <c r="J44" s="110" t="n">
        <v>1000.1</v>
      </c>
      <c r="K44" s="110" t="n">
        <v>12001.2</v>
      </c>
    </row>
    <row r="45" ht="40.15" customHeight="1" s="112">
      <c r="G45" s="72" t="inlineStr">
        <is>
          <t>Savings</t>
        </is>
      </c>
      <c r="H45" s="72" t="inlineStr">
        <is>
          <t>Savings account</t>
        </is>
      </c>
      <c r="I45" s="110" t="n">
        <v>16.44</v>
      </c>
      <c r="J45" s="110" t="n">
        <v>500.05</v>
      </c>
      <c r="K45" s="110" t="n">
        <v>6000.6</v>
      </c>
    </row>
    <row r="46" ht="40.15" customHeight="1" s="112">
      <c r="G46" s="72" t="inlineStr">
        <is>
          <t>Savings</t>
        </is>
      </c>
      <c r="H46" s="72" t="inlineStr">
        <is>
          <t>Other 1</t>
        </is>
      </c>
      <c r="I46" s="110" t="n">
        <v>0</v>
      </c>
      <c r="J46" s="110" t="n">
        <v>0</v>
      </c>
      <c r="K46" s="110" t="n">
        <v>0</v>
      </c>
    </row>
    <row r="47" ht="40.15" customHeight="1" s="112">
      <c r="G47" s="72" t="inlineStr">
        <is>
          <t>Savings</t>
        </is>
      </c>
      <c r="H47" s="72" t="inlineStr">
        <is>
          <t>Other 2</t>
        </is>
      </c>
      <c r="I47" s="110" t="n">
        <v>0</v>
      </c>
      <c r="J47" s="110" t="n">
        <v>0</v>
      </c>
      <c r="K47" s="110" t="n">
        <v>0</v>
      </c>
    </row>
    <row r="48" ht="40.15" customHeight="1" s="112">
      <c r="G48" s="67" t="inlineStr">
        <is>
          <t>Total</t>
        </is>
      </c>
      <c r="H48" s="113" t="n"/>
      <c r="I48" s="110" t="n">
        <v>107.1000000000001</v>
      </c>
      <c r="J48" s="110" t="n">
        <v>3257.625</v>
      </c>
      <c r="K48" s="110" t="n">
        <v>39091.50000000001</v>
      </c>
    </row>
    <row r="49" ht="40.15" customHeight="1" s="112"/>
    <row r="50" ht="40.15" customHeight="1" s="112"/>
    <row r="51" ht="40.15" customHeight="1" s="112"/>
    <row r="52" ht="40.15" customHeight="1" s="112"/>
    <row r="53" ht="40.15" customHeight="1" s="112"/>
    <row r="54" ht="40.15" customFormat="1" customHeight="1" s="15"/>
    <row r="55" ht="40.15" customHeight="1" s="112"/>
  </sheetData>
  <mergeCells count="1">
    <mergeCell ref="G2:J2"/>
  </mergeCells>
  <dataValidations count="1">
    <dataValidation sqref="A1" showDropDown="0" showInputMessage="1" showErrorMessage="1" allowBlank="1" prompt="Create Daily Cash Flow Statement in this worksheet. _x000a__x000a_Enter details in Daily table. Total available cash flow is automatically calculated in cell D2. Tip is in cell G2. Daily summary table is automatically updated starting in cell B5."/>
  </dataValidations>
  <hyperlinks>
    <hyperlink ref="F1" location="'Monthly Cash Flow'!A1" tooltip="Select to navigate to Monthly Cash Flow worksheet" display="Navigation button for Monthly Cash Flow worksheet is in this cell. "/>
    <hyperlink ref="G1" location="'Daily Summary'!A1" tooltip="Select to navigate to cell A1 in this worksheet" display="DAILY SUMMARY"/>
    <hyperlink ref="H1" location="Income!A1" tooltip="Select to navigate to Income worksheet" display="INCOME"/>
  </hyperlinks>
  <printOptions horizontalCentered="1"/>
  <pageMargins left="0.25" right="0.25" top="0.5" bottom="0.5" header="0.3" footer="0.3"/>
  <pageSetup orientation="portrait" scale="63" fitToHeight="0"/>
  <headerFooter differentFirst="1">
    <oddHeader/>
    <oddFooter>&amp;L&amp;C&amp;R</oddFooter>
    <evenHeader/>
    <evenFooter/>
    <firstHeader/>
    <firstFooter/>
  </headerFooter>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Q48"/>
  <sheetViews>
    <sheetView showGridLines="0" zoomScaleNormal="100" workbookViewId="0">
      <selection activeCell="A1" sqref="A1"/>
    </sheetView>
  </sheetViews>
  <sheetFormatPr baseColWidth="8" defaultColWidth="8.875" defaultRowHeight="26.25" customHeight="1"/>
  <cols>
    <col width="2.75" customWidth="1" style="104" min="1" max="1"/>
    <col width="12.75" customWidth="1" style="104" min="2" max="2"/>
    <col width="20.75" customWidth="1" style="104" min="3" max="3"/>
    <col width="12.75" customWidth="1" style="104" min="4" max="16"/>
    <col width="19.75" customWidth="1" style="104" min="17" max="17"/>
    <col width="2.75" customWidth="1" style="104" min="18" max="18"/>
    <col width="8.875" customWidth="1" style="104" min="19" max="16384"/>
  </cols>
  <sheetData>
    <row r="1" ht="70.15000000000001" customFormat="1" customHeight="1" s="32">
      <c r="A1" s="31" t="n"/>
      <c r="B1" s="92" t="inlineStr">
        <is>
          <t>MONTHLY CASH FLOW</t>
        </is>
      </c>
      <c r="G1" s="12" t="n"/>
      <c r="H1" s="12" t="inlineStr">
        <is>
          <t>Guide!A1</t>
        </is>
      </c>
      <c r="I1" s="12" t="inlineStr">
        <is>
          <t>'Annual Cash Flow'!A1</t>
        </is>
      </c>
      <c r="J1" s="12" t="inlineStr">
        <is>
          <t>'Monthly Cash Flow'!A1</t>
        </is>
      </c>
      <c r="K1" s="12" t="inlineStr">
        <is>
          <t>'Daily Summary'!A1</t>
        </is>
      </c>
      <c r="L1" s="31" t="n"/>
      <c r="M1" s="31" t="n"/>
      <c r="N1" s="31" t="n"/>
      <c r="O1" s="31" t="n"/>
      <c r="P1" s="31" t="n"/>
      <c r="Q1" s="31" t="n"/>
    </row>
    <row r="2" ht="70.15000000000001" customFormat="1" customHeight="1" s="7" thickBot="1">
      <c r="B2" s="48" t="inlineStr">
        <is>
          <t>Total monthly cash flow:</t>
        </is>
      </c>
      <c r="C2" s="14" t="n"/>
      <c r="D2" s="106" t="n">
        <v>18380</v>
      </c>
      <c r="F2" s="106" t="n"/>
      <c r="G2" s="91" t="inlineStr">
        <is>
          <t>NOTE: For daily items, estimate the monthly amount/value and place that value in the appropriate month column.</t>
        </is>
      </c>
      <c r="L2" s="101" t="n"/>
      <c r="O2" s="33" t="n"/>
      <c r="P2" s="33" t="n"/>
      <c r="Q2" s="34" t="n"/>
    </row>
    <row r="3" ht="45" customFormat="1" customHeight="1" s="35" thickBot="1" thickTop="1">
      <c r="B3" s="70" t="inlineStr">
        <is>
          <t>Type</t>
        </is>
      </c>
      <c r="C3" s="70" t="inlineStr">
        <is>
          <t>Descriptions</t>
        </is>
      </c>
      <c r="D3" s="70" t="inlineStr">
        <is>
          <t>Jan</t>
        </is>
      </c>
      <c r="E3" s="70" t="inlineStr">
        <is>
          <t>Feb</t>
        </is>
      </c>
      <c r="F3" s="70" t="inlineStr">
        <is>
          <t>Mar</t>
        </is>
      </c>
      <c r="G3" s="70" t="inlineStr">
        <is>
          <t>Apr</t>
        </is>
      </c>
      <c r="H3" s="70" t="inlineStr">
        <is>
          <t>May</t>
        </is>
      </c>
      <c r="I3" s="70" t="inlineStr">
        <is>
          <t>Jun</t>
        </is>
      </c>
      <c r="J3" s="70" t="inlineStr">
        <is>
          <t>Jul</t>
        </is>
      </c>
      <c r="K3" s="70" t="inlineStr">
        <is>
          <t>Aug</t>
        </is>
      </c>
      <c r="L3" s="70" t="inlineStr">
        <is>
          <t>Sep</t>
        </is>
      </c>
      <c r="M3" s="70" t="inlineStr">
        <is>
          <t>Oct</t>
        </is>
      </c>
      <c r="N3" s="70" t="inlineStr">
        <is>
          <t>Nov</t>
        </is>
      </c>
      <c r="O3" s="70" t="inlineStr">
        <is>
          <t>Dec</t>
        </is>
      </c>
      <c r="P3" s="70" t="inlineStr">
        <is>
          <t>Total</t>
        </is>
      </c>
      <c r="Q3" s="36" t="n"/>
    </row>
    <row r="4" ht="40.15" customFormat="1" customHeight="1" s="37" thickTop="1">
      <c r="B4" s="72" t="inlineStr">
        <is>
          <t>Income</t>
        </is>
      </c>
      <c r="C4" s="72" t="inlineStr">
        <is>
          <t>Salary</t>
        </is>
      </c>
      <c r="D4" s="110" t="n">
        <v>7500</v>
      </c>
      <c r="E4" s="110" t="n">
        <v>7500</v>
      </c>
      <c r="F4" s="110" t="n">
        <v>7500</v>
      </c>
      <c r="G4" s="110" t="n">
        <v>7500</v>
      </c>
      <c r="H4" s="110" t="n">
        <v>7500</v>
      </c>
      <c r="I4" s="110" t="n">
        <v>7500</v>
      </c>
      <c r="J4" s="110" t="n"/>
      <c r="K4" s="110" t="n"/>
      <c r="L4" s="110" t="n"/>
      <c r="M4" s="110" t="n"/>
      <c r="N4" s="110" t="n"/>
      <c r="O4" s="110" t="n"/>
      <c r="P4" s="110" t="n">
        <v>45000</v>
      </c>
      <c r="Q4" s="38" t="n"/>
    </row>
    <row r="5" ht="40.15" customFormat="1" customHeight="1" s="37">
      <c r="B5" s="72" t="inlineStr">
        <is>
          <t>Income</t>
        </is>
      </c>
      <c r="C5" s="72" t="inlineStr">
        <is>
          <t>Commissions/Bonus</t>
        </is>
      </c>
      <c r="D5" s="110" t="n">
        <v>400</v>
      </c>
      <c r="E5" s="110" t="n">
        <v>400</v>
      </c>
      <c r="F5" s="110" t="n">
        <v>500</v>
      </c>
      <c r="G5" s="110" t="n">
        <v>200</v>
      </c>
      <c r="H5" s="110" t="n">
        <v>0</v>
      </c>
      <c r="I5" s="110" t="n">
        <v>600</v>
      </c>
      <c r="J5" s="110" t="n"/>
      <c r="K5" s="110" t="n"/>
      <c r="L5" s="110" t="n"/>
      <c r="M5" s="110" t="n"/>
      <c r="N5" s="110" t="n"/>
      <c r="O5" s="110" t="n"/>
      <c r="P5" s="110" t="n">
        <v>2100</v>
      </c>
      <c r="Q5" s="38" t="n"/>
    </row>
    <row r="6" ht="40.15" customFormat="1" customHeight="1" s="37">
      <c r="B6" s="72" t="inlineStr">
        <is>
          <t>Income</t>
        </is>
      </c>
      <c r="C6" s="75" t="inlineStr">
        <is>
          <t>Other 1</t>
        </is>
      </c>
      <c r="D6" s="110" t="n">
        <v>2500</v>
      </c>
      <c r="E6" s="110" t="n">
        <v>2500</v>
      </c>
      <c r="F6" s="110" t="n">
        <v>2500</v>
      </c>
      <c r="G6" s="110" t="n">
        <v>2500</v>
      </c>
      <c r="H6" s="110" t="n">
        <v>2500</v>
      </c>
      <c r="I6" s="110" t="n">
        <v>2500</v>
      </c>
      <c r="J6" s="110" t="n"/>
      <c r="K6" s="110" t="n"/>
      <c r="L6" s="110" t="n"/>
      <c r="M6" s="110" t="n"/>
      <c r="N6" s="110" t="n"/>
      <c r="O6" s="110" t="n"/>
      <c r="P6" s="110" t="n">
        <v>15000</v>
      </c>
      <c r="Q6" s="38" t="n"/>
    </row>
    <row r="7" ht="40.15" customFormat="1" customHeight="1" s="37">
      <c r="B7" s="72" t="inlineStr">
        <is>
          <t>Income</t>
        </is>
      </c>
      <c r="C7" s="75" t="inlineStr">
        <is>
          <t>Other 2</t>
        </is>
      </c>
      <c r="D7" s="110" t="n">
        <v>0</v>
      </c>
      <c r="E7" s="110" t="n">
        <v>0</v>
      </c>
      <c r="F7" s="110" t="n">
        <v>0</v>
      </c>
      <c r="G7" s="110" t="n">
        <v>0</v>
      </c>
      <c r="H7" s="110" t="n">
        <v>0</v>
      </c>
      <c r="I7" s="110" t="n">
        <v>0</v>
      </c>
      <c r="J7" s="110" t="n"/>
      <c r="K7" s="110" t="n"/>
      <c r="L7" s="110" t="n"/>
      <c r="M7" s="110" t="n"/>
      <c r="N7" s="110" t="n"/>
      <c r="O7" s="110" t="n"/>
      <c r="P7" s="110" t="n">
        <v>0</v>
      </c>
      <c r="Q7" s="38" t="n"/>
    </row>
    <row r="8" ht="40.15" customFormat="1" customHeight="1" s="37">
      <c r="B8" s="72" t="inlineStr">
        <is>
          <t>Income</t>
        </is>
      </c>
      <c r="C8" s="75" t="inlineStr">
        <is>
          <t>Other 3</t>
        </is>
      </c>
      <c r="D8" s="110" t="n">
        <v>0</v>
      </c>
      <c r="E8" s="110" t="n">
        <v>0</v>
      </c>
      <c r="F8" s="110" t="n">
        <v>0</v>
      </c>
      <c r="G8" s="110" t="n">
        <v>0</v>
      </c>
      <c r="H8" s="110" t="n">
        <v>0</v>
      </c>
      <c r="I8" s="110" t="n">
        <v>0</v>
      </c>
      <c r="J8" s="110" t="n"/>
      <c r="K8" s="110" t="n"/>
      <c r="L8" s="110" t="n"/>
      <c r="M8" s="110" t="n"/>
      <c r="N8" s="110" t="n"/>
      <c r="O8" s="110" t="n"/>
      <c r="P8" s="110" t="n">
        <v>0</v>
      </c>
      <c r="Q8" s="38" t="n"/>
    </row>
    <row r="9" ht="40.15" customFormat="1" customHeight="1" s="37">
      <c r="B9" s="72" t="inlineStr">
        <is>
          <t>Income</t>
        </is>
      </c>
      <c r="C9" s="75" t="inlineStr">
        <is>
          <t>Other 4</t>
        </is>
      </c>
      <c r="D9" s="110" t="n">
        <v>0</v>
      </c>
      <c r="E9" s="110" t="n">
        <v>0</v>
      </c>
      <c r="F9" s="110" t="n">
        <v>0</v>
      </c>
      <c r="G9" s="110" t="n">
        <v>0</v>
      </c>
      <c r="H9" s="110" t="n">
        <v>0</v>
      </c>
      <c r="I9" s="110" t="n">
        <v>0</v>
      </c>
      <c r="J9" s="110" t="n"/>
      <c r="K9" s="110" t="n"/>
      <c r="L9" s="110" t="n"/>
      <c r="M9" s="110" t="n"/>
      <c r="N9" s="110" t="n"/>
      <c r="O9" s="110" t="n"/>
      <c r="P9" s="110" t="n">
        <v>0</v>
      </c>
      <c r="Q9" s="38" t="n"/>
    </row>
    <row r="10" ht="40.15" customFormat="1" customHeight="1" s="37">
      <c r="B10" s="72" t="inlineStr">
        <is>
          <t>Expenses</t>
        </is>
      </c>
      <c r="C10" s="75" t="inlineStr">
        <is>
          <t>Federal/SS/Medicare</t>
        </is>
      </c>
      <c r="D10" s="110" t="n">
        <v>1250</v>
      </c>
      <c r="E10" s="110" t="n">
        <v>1250</v>
      </c>
      <c r="F10" s="110" t="n">
        <v>1250</v>
      </c>
      <c r="G10" s="110" t="n">
        <v>1250</v>
      </c>
      <c r="H10" s="110" t="n">
        <v>1250</v>
      </c>
      <c r="I10" s="110" t="n">
        <v>1250</v>
      </c>
      <c r="J10" s="110" t="n"/>
      <c r="K10" s="110" t="n"/>
      <c r="L10" s="110" t="n"/>
      <c r="M10" s="110" t="n"/>
      <c r="N10" s="110" t="n"/>
      <c r="O10" s="110" t="n"/>
      <c r="P10" s="110" t="n">
        <v>7500</v>
      </c>
      <c r="Q10" s="38" t="n"/>
    </row>
    <row r="11" ht="40.15" customFormat="1" customHeight="1" s="37">
      <c r="B11" s="72" t="inlineStr">
        <is>
          <t>Expenses</t>
        </is>
      </c>
      <c r="C11" s="75" t="inlineStr">
        <is>
          <t>State income tax</t>
        </is>
      </c>
      <c r="D11" s="110" t="n">
        <v>208.3333333333333</v>
      </c>
      <c r="E11" s="110" t="n">
        <v>208.3333333333333</v>
      </c>
      <c r="F11" s="110" t="n">
        <v>208.3333333333333</v>
      </c>
      <c r="G11" s="110" t="n">
        <v>208.3333333333333</v>
      </c>
      <c r="H11" s="110" t="n">
        <v>208.3333333333333</v>
      </c>
      <c r="I11" s="110" t="n">
        <v>208.3333333333333</v>
      </c>
      <c r="J11" s="110" t="n"/>
      <c r="K11" s="110" t="n"/>
      <c r="L11" s="110" t="n"/>
      <c r="M11" s="110" t="n"/>
      <c r="N11" s="110" t="n"/>
      <c r="O11" s="110" t="n"/>
      <c r="P11" s="110" t="n">
        <v>1250</v>
      </c>
      <c r="Q11" s="38" t="n"/>
    </row>
    <row r="12" ht="40.15" customHeight="1" s="112">
      <c r="A12" s="104" t="n"/>
      <c r="B12" s="72" t="inlineStr">
        <is>
          <t>Expenses</t>
        </is>
      </c>
      <c r="C12" s="75" t="inlineStr">
        <is>
          <t>Vehicle tax/fees</t>
        </is>
      </c>
      <c r="D12" s="110" t="n">
        <v>16.66666666666667</v>
      </c>
      <c r="E12" s="110" t="n">
        <v>16.66666666666667</v>
      </c>
      <c r="F12" s="110" t="n">
        <v>16.66666666666667</v>
      </c>
      <c r="G12" s="110" t="n">
        <v>16.66666666666667</v>
      </c>
      <c r="H12" s="110" t="n">
        <v>16.66666666666667</v>
      </c>
      <c r="I12" s="110" t="n">
        <v>16.66666666666667</v>
      </c>
      <c r="J12" s="110" t="n"/>
      <c r="K12" s="110" t="n"/>
      <c r="L12" s="110" t="n"/>
      <c r="M12" s="110" t="n"/>
      <c r="N12" s="110" t="n"/>
      <c r="O12" s="110" t="n"/>
      <c r="P12" s="110" t="n">
        <v>100</v>
      </c>
      <c r="Q12" s="38" t="n"/>
    </row>
    <row r="13" ht="40.15" customHeight="1" s="112">
      <c r="A13" s="104" t="n"/>
      <c r="B13" s="72" t="inlineStr">
        <is>
          <t>Expenses</t>
        </is>
      </c>
      <c r="C13" s="75" t="inlineStr">
        <is>
          <t>Vehicle payments</t>
        </is>
      </c>
      <c r="D13" s="110" t="n">
        <v>333.3333333333333</v>
      </c>
      <c r="E13" s="110" t="n">
        <v>333.3333333333333</v>
      </c>
      <c r="F13" s="110" t="n">
        <v>333.3333333333333</v>
      </c>
      <c r="G13" s="110" t="n">
        <v>333.3333333333333</v>
      </c>
      <c r="H13" s="110" t="n">
        <v>333.3333333333333</v>
      </c>
      <c r="I13" s="110" t="n">
        <v>333.3333333333333</v>
      </c>
      <c r="J13" s="110" t="n"/>
      <c r="K13" s="110" t="n"/>
      <c r="L13" s="110" t="n"/>
      <c r="M13" s="110" t="n"/>
      <c r="N13" s="110" t="n"/>
      <c r="O13" s="110" t="n"/>
      <c r="P13" s="110" t="n">
        <v>2000</v>
      </c>
      <c r="Q13" s="38" t="n"/>
    </row>
    <row r="14" ht="40.15" customHeight="1" s="112">
      <c r="A14" s="104" t="n"/>
      <c r="B14" s="72" t="inlineStr">
        <is>
          <t>Expenses</t>
        </is>
      </c>
      <c r="C14" s="75" t="inlineStr">
        <is>
          <t>Mortgage/rent</t>
        </is>
      </c>
      <c r="D14" s="110" t="n">
        <v>1250</v>
      </c>
      <c r="E14" s="110" t="n">
        <v>1250</v>
      </c>
      <c r="F14" s="110" t="n">
        <v>1250</v>
      </c>
      <c r="G14" s="110" t="n">
        <v>1250</v>
      </c>
      <c r="H14" s="110" t="n">
        <v>1250</v>
      </c>
      <c r="I14" s="110" t="n">
        <v>1250</v>
      </c>
      <c r="J14" s="110" t="n"/>
      <c r="K14" s="110" t="n"/>
      <c r="L14" s="110" t="n"/>
      <c r="M14" s="110" t="n"/>
      <c r="N14" s="110" t="n"/>
      <c r="O14" s="110" t="n"/>
      <c r="P14" s="110" t="n">
        <v>7500</v>
      </c>
      <c r="Q14" s="38" t="n"/>
    </row>
    <row r="15" ht="40.15" customHeight="1" s="112">
      <c r="A15" s="104" t="n"/>
      <c r="B15" s="72" t="inlineStr">
        <is>
          <t>Expenses</t>
        </is>
      </c>
      <c r="C15" s="75" t="inlineStr">
        <is>
          <t>Insurance</t>
        </is>
      </c>
      <c r="D15" s="110" t="n">
        <v>25</v>
      </c>
      <c r="E15" s="110" t="n">
        <v>25</v>
      </c>
      <c r="F15" s="110" t="n">
        <v>25</v>
      </c>
      <c r="G15" s="110" t="n">
        <v>25</v>
      </c>
      <c r="H15" s="110" t="n">
        <v>25</v>
      </c>
      <c r="I15" s="110" t="n">
        <v>25</v>
      </c>
      <c r="J15" s="110" t="n"/>
      <c r="K15" s="110" t="n"/>
      <c r="L15" s="110" t="n"/>
      <c r="M15" s="110" t="n"/>
      <c r="N15" s="110" t="n"/>
      <c r="O15" s="110" t="n"/>
      <c r="P15" s="110" t="n">
        <v>150</v>
      </c>
      <c r="Q15" s="38" t="n"/>
    </row>
    <row r="16" ht="40.15" customHeight="1" s="112">
      <c r="A16" s="104" t="n"/>
      <c r="B16" s="72" t="inlineStr">
        <is>
          <t>Expenses</t>
        </is>
      </c>
      <c r="C16" s="75" t="inlineStr">
        <is>
          <t>Electricity</t>
        </is>
      </c>
      <c r="D16" s="110" t="n">
        <v>100</v>
      </c>
      <c r="E16" s="110" t="n">
        <v>100</v>
      </c>
      <c r="F16" s="110" t="n">
        <v>100</v>
      </c>
      <c r="G16" s="110" t="n">
        <v>100</v>
      </c>
      <c r="H16" s="110" t="n">
        <v>100</v>
      </c>
      <c r="I16" s="110" t="n">
        <v>100</v>
      </c>
      <c r="J16" s="110" t="n"/>
      <c r="K16" s="110" t="n"/>
      <c r="L16" s="110" t="n"/>
      <c r="M16" s="110" t="n"/>
      <c r="N16" s="110" t="n"/>
      <c r="O16" s="110" t="n"/>
      <c r="P16" s="110" t="n">
        <v>600</v>
      </c>
      <c r="Q16" s="38" t="n"/>
    </row>
    <row r="17" ht="40.15" customHeight="1" s="112">
      <c r="B17" s="72" t="inlineStr">
        <is>
          <t>Expenses</t>
        </is>
      </c>
      <c r="C17" s="75" t="inlineStr">
        <is>
          <t>Gas</t>
        </is>
      </c>
      <c r="D17" s="110" t="n">
        <v>50</v>
      </c>
      <c r="E17" s="110" t="n">
        <v>50</v>
      </c>
      <c r="F17" s="110" t="n">
        <v>50</v>
      </c>
      <c r="G17" s="110" t="n">
        <v>50</v>
      </c>
      <c r="H17" s="110" t="n">
        <v>50</v>
      </c>
      <c r="I17" s="110" t="n">
        <v>50</v>
      </c>
      <c r="J17" s="110" t="n"/>
      <c r="K17" s="110" t="n"/>
      <c r="L17" s="110" t="n"/>
      <c r="M17" s="110" t="n"/>
      <c r="N17" s="110" t="n"/>
      <c r="O17" s="110" t="n"/>
      <c r="P17" s="110" t="n">
        <v>300</v>
      </c>
      <c r="Q17" s="38" t="n"/>
    </row>
    <row r="18" ht="40.15" customHeight="1" s="112">
      <c r="B18" s="72" t="inlineStr">
        <is>
          <t>Expenses</t>
        </is>
      </c>
      <c r="C18" s="75" t="inlineStr">
        <is>
          <t>Water</t>
        </is>
      </c>
      <c r="D18" s="110" t="n">
        <v>50</v>
      </c>
      <c r="E18" s="110" t="n">
        <v>50</v>
      </c>
      <c r="F18" s="110" t="n">
        <v>50</v>
      </c>
      <c r="G18" s="110" t="n">
        <v>50</v>
      </c>
      <c r="H18" s="110" t="n">
        <v>50</v>
      </c>
      <c r="I18" s="110" t="n">
        <v>50</v>
      </c>
      <c r="J18" s="110" t="n"/>
      <c r="K18" s="110" t="n"/>
      <c r="L18" s="110" t="n"/>
      <c r="M18" s="110" t="n"/>
      <c r="N18" s="110" t="n"/>
      <c r="O18" s="110" t="n"/>
      <c r="P18" s="110" t="n">
        <v>300</v>
      </c>
      <c r="Q18" s="38" t="n"/>
    </row>
    <row r="19" ht="40.15" customHeight="1" s="112">
      <c r="B19" s="72" t="inlineStr">
        <is>
          <t>Expenses</t>
        </is>
      </c>
      <c r="C19" s="75" t="inlineStr">
        <is>
          <t>Sewer</t>
        </is>
      </c>
      <c r="D19" s="110" t="n">
        <v>25</v>
      </c>
      <c r="E19" s="110" t="n">
        <v>25</v>
      </c>
      <c r="F19" s="110" t="n">
        <v>25</v>
      </c>
      <c r="G19" s="110" t="n">
        <v>25</v>
      </c>
      <c r="H19" s="110" t="n">
        <v>25</v>
      </c>
      <c r="I19" s="110" t="n">
        <v>25</v>
      </c>
      <c r="J19" s="110" t="n"/>
      <c r="K19" s="110" t="n"/>
      <c r="L19" s="110" t="n"/>
      <c r="M19" s="110" t="n"/>
      <c r="N19" s="110" t="n"/>
      <c r="O19" s="110" t="n"/>
      <c r="P19" s="110" t="n">
        <v>150</v>
      </c>
      <c r="Q19" s="38" t="n"/>
    </row>
    <row r="20" ht="40.15" customHeight="1" s="112">
      <c r="B20" s="72" t="inlineStr">
        <is>
          <t>Expenses</t>
        </is>
      </c>
      <c r="C20" s="75" t="inlineStr">
        <is>
          <t>Garbage</t>
        </is>
      </c>
      <c r="D20" s="110" t="n">
        <v>12.5</v>
      </c>
      <c r="E20" s="110" t="n">
        <v>12.5</v>
      </c>
      <c r="F20" s="110" t="n">
        <v>12.5</v>
      </c>
      <c r="G20" s="110" t="n">
        <v>12.5</v>
      </c>
      <c r="H20" s="110" t="n">
        <v>12.5</v>
      </c>
      <c r="I20" s="110" t="n">
        <v>12.5</v>
      </c>
      <c r="J20" s="110" t="n"/>
      <c r="K20" s="110" t="n"/>
      <c r="L20" s="110" t="n"/>
      <c r="M20" s="110" t="n"/>
      <c r="N20" s="110" t="n"/>
      <c r="O20" s="110" t="n"/>
      <c r="P20" s="110" t="n">
        <v>75</v>
      </c>
      <c r="Q20" s="38" t="n"/>
    </row>
    <row r="21" ht="40.15" customHeight="1" s="112">
      <c r="B21" s="72" t="inlineStr">
        <is>
          <t>Expenses</t>
        </is>
      </c>
      <c r="C21" s="75" t="inlineStr">
        <is>
          <t>Phone</t>
        </is>
      </c>
      <c r="D21" s="110" t="n">
        <v>50</v>
      </c>
      <c r="E21" s="110" t="n">
        <v>50</v>
      </c>
      <c r="F21" s="110" t="n">
        <v>50</v>
      </c>
      <c r="G21" s="110" t="n">
        <v>50</v>
      </c>
      <c r="H21" s="110" t="n">
        <v>50</v>
      </c>
      <c r="I21" s="110" t="n">
        <v>50</v>
      </c>
      <c r="J21" s="110" t="n"/>
      <c r="K21" s="110" t="n"/>
      <c r="L21" s="110" t="n"/>
      <c r="M21" s="110" t="n"/>
      <c r="N21" s="110" t="n"/>
      <c r="O21" s="110" t="n"/>
      <c r="P21" s="110" t="n">
        <v>300</v>
      </c>
      <c r="Q21" s="38" t="n"/>
    </row>
    <row r="22" ht="40.15" customHeight="1" s="112">
      <c r="B22" s="72" t="inlineStr">
        <is>
          <t>Expenses</t>
        </is>
      </c>
      <c r="C22" s="75" t="inlineStr">
        <is>
          <t>Internet</t>
        </is>
      </c>
      <c r="D22" s="110" t="n">
        <v>50</v>
      </c>
      <c r="E22" s="110" t="n">
        <v>50</v>
      </c>
      <c r="F22" s="110" t="n">
        <v>50</v>
      </c>
      <c r="G22" s="110" t="n">
        <v>50</v>
      </c>
      <c r="H22" s="110" t="n">
        <v>50</v>
      </c>
      <c r="I22" s="110" t="n">
        <v>50</v>
      </c>
      <c r="J22" s="110" t="n"/>
      <c r="K22" s="110" t="n"/>
      <c r="L22" s="110" t="n"/>
      <c r="M22" s="110" t="n"/>
      <c r="N22" s="110" t="n"/>
      <c r="O22" s="110" t="n"/>
      <c r="P22" s="110" t="n">
        <v>300</v>
      </c>
      <c r="Q22" s="38" t="n"/>
    </row>
    <row r="23" ht="40.15" customHeight="1" s="112">
      <c r="B23" s="72" t="inlineStr">
        <is>
          <t>Expenses</t>
        </is>
      </c>
      <c r="C23" s="75" t="inlineStr">
        <is>
          <t>Disability premiums</t>
        </is>
      </c>
      <c r="D23" s="110" t="n">
        <v>125</v>
      </c>
      <c r="E23" s="110" t="n">
        <v>125</v>
      </c>
      <c r="F23" s="110" t="n">
        <v>125</v>
      </c>
      <c r="G23" s="110" t="n">
        <v>125</v>
      </c>
      <c r="H23" s="110" t="n">
        <v>125</v>
      </c>
      <c r="I23" s="110" t="n">
        <v>125</v>
      </c>
      <c r="J23" s="110" t="n"/>
      <c r="K23" s="110" t="n"/>
      <c r="L23" s="110" t="n"/>
      <c r="M23" s="110" t="n"/>
      <c r="N23" s="110" t="n"/>
      <c r="O23" s="110" t="n"/>
      <c r="P23" s="110" t="n">
        <v>750</v>
      </c>
      <c r="Q23" s="38" t="n"/>
    </row>
    <row r="24" ht="40.15" customHeight="1" s="112">
      <c r="B24" s="72" t="inlineStr">
        <is>
          <t>Expenses</t>
        </is>
      </c>
      <c r="C24" s="75" t="inlineStr">
        <is>
          <t>Food</t>
        </is>
      </c>
      <c r="D24" s="110" t="n">
        <v>400</v>
      </c>
      <c r="E24" s="110" t="n">
        <v>500</v>
      </c>
      <c r="F24" s="110" t="n">
        <v>450</v>
      </c>
      <c r="G24" s="110" t="n">
        <v>400</v>
      </c>
      <c r="H24" s="110" t="n">
        <v>450</v>
      </c>
      <c r="I24" s="110" t="n">
        <v>425</v>
      </c>
      <c r="J24" s="110" t="n"/>
      <c r="K24" s="110" t="n"/>
      <c r="L24" s="110" t="n"/>
      <c r="M24" s="110" t="n"/>
      <c r="N24" s="110" t="n"/>
      <c r="O24" s="110" t="n"/>
      <c r="P24" s="110" t="n">
        <v>2625</v>
      </c>
      <c r="Q24" s="38" t="n"/>
    </row>
    <row r="25" ht="40.15" customHeight="1" s="112">
      <c r="B25" s="72" t="inlineStr">
        <is>
          <t>Expenses</t>
        </is>
      </c>
      <c r="C25" s="75" t="inlineStr">
        <is>
          <t>Clothing</t>
        </is>
      </c>
      <c r="D25" s="110" t="n">
        <v>50</v>
      </c>
      <c r="E25" s="110" t="n">
        <v>75</v>
      </c>
      <c r="F25" s="110" t="n">
        <v>100</v>
      </c>
      <c r="G25" s="110" t="n">
        <v>75</v>
      </c>
      <c r="H25" s="110" t="n">
        <v>125</v>
      </c>
      <c r="I25" s="110" t="n">
        <v>75</v>
      </c>
      <c r="J25" s="110" t="n"/>
      <c r="K25" s="110" t="n"/>
      <c r="L25" s="110" t="n"/>
      <c r="M25" s="110" t="n"/>
      <c r="N25" s="110" t="n"/>
      <c r="O25" s="110" t="n"/>
      <c r="P25" s="110" t="n">
        <v>500</v>
      </c>
      <c r="Q25" s="38" t="n"/>
    </row>
    <row r="26" ht="40.15" customHeight="1" s="112">
      <c r="B26" s="72" t="inlineStr">
        <is>
          <t>Expenses</t>
        </is>
      </c>
      <c r="C26" s="75" t="inlineStr">
        <is>
          <t>Medical/dental/Rx</t>
        </is>
      </c>
      <c r="D26" s="110" t="n">
        <v>50</v>
      </c>
      <c r="E26" s="110" t="n">
        <v>10</v>
      </c>
      <c r="F26" s="110" t="n">
        <v>25</v>
      </c>
      <c r="G26" s="110" t="n">
        <v>25</v>
      </c>
      <c r="H26" s="110" t="n">
        <v>20</v>
      </c>
      <c r="I26" s="110" t="n">
        <v>70</v>
      </c>
      <c r="J26" s="110" t="n"/>
      <c r="K26" s="110" t="n"/>
      <c r="L26" s="110" t="n"/>
      <c r="M26" s="110" t="n"/>
      <c r="N26" s="110" t="n"/>
      <c r="O26" s="110" t="n"/>
      <c r="P26" s="110" t="n">
        <v>200</v>
      </c>
      <c r="Q26" s="38" t="n"/>
    </row>
    <row r="27" ht="40.15" customHeight="1" s="112">
      <c r="B27" s="72" t="inlineStr">
        <is>
          <t>Expenses</t>
        </is>
      </c>
      <c r="C27" s="75" t="inlineStr">
        <is>
          <t>Bus</t>
        </is>
      </c>
      <c r="D27" s="110" t="n">
        <v>30</v>
      </c>
      <c r="E27" s="110" t="n">
        <v>30</v>
      </c>
      <c r="F27" s="110" t="n">
        <v>30</v>
      </c>
      <c r="G27" s="110" t="n">
        <v>20</v>
      </c>
      <c r="H27" s="110" t="n">
        <v>30</v>
      </c>
      <c r="I27" s="110" t="n">
        <v>30</v>
      </c>
      <c r="J27" s="110" t="n"/>
      <c r="K27" s="110" t="n"/>
      <c r="L27" s="110" t="n"/>
      <c r="M27" s="110" t="n"/>
      <c r="N27" s="110" t="n"/>
      <c r="O27" s="110" t="n"/>
      <c r="P27" s="110" t="n">
        <v>170</v>
      </c>
      <c r="Q27" s="38" t="n"/>
    </row>
    <row r="28" ht="40.15" customHeight="1" s="112">
      <c r="B28" s="72" t="inlineStr">
        <is>
          <t>Expenses</t>
        </is>
      </c>
      <c r="C28" s="75" t="inlineStr">
        <is>
          <t>Other 2</t>
        </is>
      </c>
      <c r="D28" s="110" t="n">
        <v>0</v>
      </c>
      <c r="E28" s="110" t="n">
        <v>0</v>
      </c>
      <c r="F28" s="110" t="n">
        <v>0</v>
      </c>
      <c r="G28" s="110" t="n">
        <v>0</v>
      </c>
      <c r="H28" s="110" t="n">
        <v>0</v>
      </c>
      <c r="I28" s="110" t="n">
        <v>0</v>
      </c>
      <c r="J28" s="110" t="n"/>
      <c r="K28" s="110" t="n"/>
      <c r="L28" s="110" t="n"/>
      <c r="M28" s="110" t="n"/>
      <c r="N28" s="110" t="n"/>
      <c r="O28" s="110" t="n"/>
      <c r="P28" s="110" t="n">
        <v>0</v>
      </c>
      <c r="Q28" s="38" t="n"/>
    </row>
    <row r="29" ht="40.15" customHeight="1" s="112">
      <c r="B29" s="72" t="inlineStr">
        <is>
          <t>Expenses</t>
        </is>
      </c>
      <c r="C29" s="75" t="inlineStr">
        <is>
          <t>Other 3</t>
        </is>
      </c>
      <c r="D29" s="110" t="n">
        <v>0</v>
      </c>
      <c r="E29" s="110" t="n">
        <v>0</v>
      </c>
      <c r="F29" s="110" t="n">
        <v>0</v>
      </c>
      <c r="G29" s="110" t="n">
        <v>0</v>
      </c>
      <c r="H29" s="110" t="n">
        <v>0</v>
      </c>
      <c r="I29" s="110" t="n">
        <v>0</v>
      </c>
      <c r="J29" s="110" t="n"/>
      <c r="K29" s="110" t="n"/>
      <c r="L29" s="110" t="n"/>
      <c r="M29" s="110" t="n"/>
      <c r="N29" s="110" t="n"/>
      <c r="O29" s="110" t="n"/>
      <c r="P29" s="110" t="n">
        <v>0</v>
      </c>
      <c r="Q29" s="38" t="n"/>
    </row>
    <row r="30" ht="40.15" customHeight="1" s="112">
      <c r="B30" s="72" t="inlineStr">
        <is>
          <t>Expenses</t>
        </is>
      </c>
      <c r="C30" s="75" t="inlineStr">
        <is>
          <t>Other 4</t>
        </is>
      </c>
      <c r="D30" s="110" t="n">
        <v>0</v>
      </c>
      <c r="E30" s="110" t="n">
        <v>0</v>
      </c>
      <c r="F30" s="110" t="n">
        <v>0</v>
      </c>
      <c r="G30" s="110" t="n">
        <v>0</v>
      </c>
      <c r="H30" s="110" t="n">
        <v>0</v>
      </c>
      <c r="I30" s="110" t="n">
        <v>0</v>
      </c>
      <c r="J30" s="110" t="n"/>
      <c r="K30" s="110" t="n"/>
      <c r="L30" s="110" t="n"/>
      <c r="M30" s="110" t="n"/>
      <c r="N30" s="110" t="n"/>
      <c r="O30" s="110" t="n"/>
      <c r="P30" s="110" t="n">
        <v>0</v>
      </c>
      <c r="Q30" s="38" t="n"/>
    </row>
    <row r="31" ht="40.15" customHeight="1" s="112">
      <c r="B31" s="72" t="inlineStr">
        <is>
          <t>Discretionary</t>
        </is>
      </c>
      <c r="C31" s="75" t="inlineStr">
        <is>
          <t>Dining</t>
        </is>
      </c>
      <c r="D31" s="110" t="n">
        <v>50</v>
      </c>
      <c r="E31" s="110" t="n">
        <v>150</v>
      </c>
      <c r="F31" s="110" t="n">
        <v>100</v>
      </c>
      <c r="G31" s="110" t="n">
        <v>50</v>
      </c>
      <c r="H31" s="110" t="n">
        <v>150</v>
      </c>
      <c r="I31" s="110" t="n">
        <v>100</v>
      </c>
      <c r="J31" s="110" t="n"/>
      <c r="K31" s="110" t="n"/>
      <c r="L31" s="110" t="n"/>
      <c r="M31" s="110" t="n"/>
      <c r="N31" s="110" t="n"/>
      <c r="O31" s="110" t="n"/>
      <c r="P31" s="110" t="n">
        <v>600</v>
      </c>
      <c r="Q31" s="38" t="n"/>
    </row>
    <row r="32" ht="40.15" customHeight="1" s="112">
      <c r="B32" s="72" t="inlineStr">
        <is>
          <t>Discretionary</t>
        </is>
      </c>
      <c r="C32" s="75" t="inlineStr">
        <is>
          <t>Gifts</t>
        </is>
      </c>
      <c r="D32" s="110" t="n">
        <v>25</v>
      </c>
      <c r="E32" s="110" t="n">
        <v>75</v>
      </c>
      <c r="F32" s="110" t="n">
        <v>50</v>
      </c>
      <c r="G32" s="110" t="n">
        <v>25</v>
      </c>
      <c r="H32" s="110" t="n">
        <v>75</v>
      </c>
      <c r="I32" s="110" t="n">
        <v>50</v>
      </c>
      <c r="J32" s="110" t="n"/>
      <c r="K32" s="110" t="n"/>
      <c r="L32" s="110" t="n"/>
      <c r="M32" s="110" t="n"/>
      <c r="N32" s="110" t="n"/>
      <c r="O32" s="110" t="n"/>
      <c r="P32" s="110" t="n">
        <v>300</v>
      </c>
      <c r="Q32" s="38" t="n"/>
    </row>
    <row r="33" ht="40.15" customHeight="1" s="112">
      <c r="B33" s="72" t="inlineStr">
        <is>
          <t>Discretionary</t>
        </is>
      </c>
      <c r="C33" s="75" t="inlineStr">
        <is>
          <t>Travel</t>
        </is>
      </c>
      <c r="D33" s="110" t="n">
        <v>0</v>
      </c>
      <c r="E33" s="110" t="n">
        <v>0</v>
      </c>
      <c r="F33" s="110" t="n">
        <v>1000</v>
      </c>
      <c r="G33" s="110" t="n">
        <v>0</v>
      </c>
      <c r="H33" s="110" t="n">
        <v>0</v>
      </c>
      <c r="I33" s="110" t="n">
        <v>1000</v>
      </c>
      <c r="J33" s="110" t="n"/>
      <c r="K33" s="110" t="n"/>
      <c r="L33" s="110" t="n"/>
      <c r="M33" s="110" t="n"/>
      <c r="N33" s="110" t="n"/>
      <c r="O33" s="110" t="n"/>
      <c r="P33" s="110" t="n">
        <v>2000</v>
      </c>
      <c r="Q33" s="38" t="n"/>
    </row>
    <row r="34" ht="40.15" customHeight="1" s="112">
      <c r="B34" s="72" t="inlineStr">
        <is>
          <t>Discretionary</t>
        </is>
      </c>
      <c r="C34" s="75" t="inlineStr">
        <is>
          <t>Entertainment</t>
        </is>
      </c>
      <c r="D34" s="110" t="n">
        <v>50</v>
      </c>
      <c r="E34" s="110" t="n">
        <v>150</v>
      </c>
      <c r="F34" s="110" t="n">
        <v>100</v>
      </c>
      <c r="G34" s="110" t="n">
        <v>50</v>
      </c>
      <c r="H34" s="110" t="n">
        <v>150</v>
      </c>
      <c r="I34" s="110" t="n">
        <v>100</v>
      </c>
      <c r="J34" s="110" t="n"/>
      <c r="K34" s="110" t="n"/>
      <c r="L34" s="110" t="n"/>
      <c r="M34" s="110" t="n"/>
      <c r="N34" s="110" t="n"/>
      <c r="O34" s="110" t="n"/>
      <c r="P34" s="110" t="n">
        <v>600</v>
      </c>
      <c r="Q34" s="38" t="n"/>
    </row>
    <row r="35" ht="40.15" customHeight="1" s="112">
      <c r="B35" s="72" t="inlineStr">
        <is>
          <t>Discretionary</t>
        </is>
      </c>
      <c r="C35" s="75" t="inlineStr">
        <is>
          <t>Personal care</t>
        </is>
      </c>
      <c r="D35" s="110" t="n">
        <v>15</v>
      </c>
      <c r="E35" s="110" t="n">
        <v>25</v>
      </c>
      <c r="F35" s="110" t="n">
        <v>35</v>
      </c>
      <c r="G35" s="110" t="n">
        <v>15</v>
      </c>
      <c r="H35" s="110" t="n">
        <v>25</v>
      </c>
      <c r="I35" s="110" t="n">
        <v>35</v>
      </c>
      <c r="J35" s="110" t="n"/>
      <c r="K35" s="110" t="n"/>
      <c r="L35" s="110" t="n"/>
      <c r="M35" s="110" t="n"/>
      <c r="N35" s="110" t="n"/>
      <c r="O35" s="110" t="n"/>
      <c r="P35" s="110" t="n">
        <v>150</v>
      </c>
      <c r="Q35" s="38" t="n"/>
    </row>
    <row r="36" ht="40.15" customHeight="1" s="112">
      <c r="B36" s="72" t="inlineStr">
        <is>
          <t>Discretionary</t>
        </is>
      </c>
      <c r="C36" s="75" t="inlineStr">
        <is>
          <t>Shopping</t>
        </is>
      </c>
      <c r="D36" s="110" t="n">
        <v>100</v>
      </c>
      <c r="E36" s="110" t="n">
        <v>200</v>
      </c>
      <c r="F36" s="110" t="n">
        <v>150</v>
      </c>
      <c r="G36" s="110" t="n">
        <v>175</v>
      </c>
      <c r="H36" s="110" t="n">
        <v>150</v>
      </c>
      <c r="I36" s="110" t="n">
        <v>175</v>
      </c>
      <c r="J36" s="110" t="n"/>
      <c r="K36" s="110" t="n"/>
      <c r="L36" s="110" t="n"/>
      <c r="M36" s="110" t="n"/>
      <c r="N36" s="110" t="n"/>
      <c r="O36" s="110" t="n"/>
      <c r="P36" s="110" t="n">
        <v>950</v>
      </c>
      <c r="Q36" s="38" t="n"/>
    </row>
    <row r="37" ht="40.15" customHeight="1" s="112">
      <c r="B37" s="72" t="inlineStr">
        <is>
          <t>Discretionary</t>
        </is>
      </c>
      <c r="C37" s="75" t="inlineStr">
        <is>
          <t>Charity</t>
        </is>
      </c>
      <c r="D37" s="110" t="n">
        <v>50</v>
      </c>
      <c r="E37" s="110" t="n">
        <v>50</v>
      </c>
      <c r="F37" s="110" t="n">
        <v>50</v>
      </c>
      <c r="G37" s="110" t="n">
        <v>50</v>
      </c>
      <c r="H37" s="110" t="n">
        <v>50</v>
      </c>
      <c r="I37" s="110" t="n">
        <v>50</v>
      </c>
      <c r="J37" s="110" t="n"/>
      <c r="K37" s="110" t="n"/>
      <c r="L37" s="110" t="n"/>
      <c r="M37" s="110" t="n"/>
      <c r="N37" s="110" t="n"/>
      <c r="O37" s="110" t="n"/>
      <c r="P37" s="110" t="n">
        <v>300</v>
      </c>
      <c r="Q37" s="38" t="n"/>
    </row>
    <row r="38" ht="40.15" customHeight="1" s="112">
      <c r="B38" s="72" t="inlineStr">
        <is>
          <t>Discretionary</t>
        </is>
      </c>
      <c r="C38" s="75" t="inlineStr">
        <is>
          <t>Club memberships</t>
        </is>
      </c>
      <c r="D38" s="110" t="n">
        <v>25</v>
      </c>
      <c r="E38" s="110" t="n">
        <v>25</v>
      </c>
      <c r="F38" s="110" t="n">
        <v>25</v>
      </c>
      <c r="G38" s="110" t="n">
        <v>25</v>
      </c>
      <c r="H38" s="110" t="n">
        <v>25</v>
      </c>
      <c r="I38" s="110" t="n">
        <v>25</v>
      </c>
      <c r="J38" s="110" t="n"/>
      <c r="K38" s="110" t="n"/>
      <c r="L38" s="110" t="n"/>
      <c r="M38" s="110" t="n"/>
      <c r="N38" s="110" t="n"/>
      <c r="O38" s="110" t="n"/>
      <c r="P38" s="110" t="n">
        <v>150</v>
      </c>
      <c r="Q38" s="38" t="n"/>
    </row>
    <row r="39" ht="40.15" customHeight="1" s="112">
      <c r="B39" s="72" t="inlineStr">
        <is>
          <t>Discretionary</t>
        </is>
      </c>
      <c r="C39" s="75" t="inlineStr">
        <is>
          <t>Home improvements</t>
        </is>
      </c>
      <c r="D39" s="110" t="n">
        <v>400</v>
      </c>
      <c r="E39" s="110" t="n">
        <v>400</v>
      </c>
      <c r="F39" s="110" t="n">
        <v>400</v>
      </c>
      <c r="G39" s="110" t="n">
        <v>400</v>
      </c>
      <c r="H39" s="110" t="n">
        <v>400</v>
      </c>
      <c r="I39" s="110" t="n">
        <v>400</v>
      </c>
      <c r="J39" s="110" t="n"/>
      <c r="K39" s="110" t="n"/>
      <c r="L39" s="110" t="n"/>
      <c r="M39" s="110" t="n"/>
      <c r="N39" s="110" t="n"/>
      <c r="O39" s="110" t="n"/>
      <c r="P39" s="110" t="n">
        <v>2400</v>
      </c>
      <c r="Q39" s="38" t="n"/>
    </row>
    <row r="40" ht="40.15" customHeight="1" s="112">
      <c r="B40" s="72" t="inlineStr">
        <is>
          <t>Discretionary</t>
        </is>
      </c>
      <c r="C40" s="75" t="inlineStr">
        <is>
          <t>Other 1</t>
        </is>
      </c>
      <c r="D40" s="110" t="n">
        <v>0</v>
      </c>
      <c r="E40" s="110" t="n">
        <v>0</v>
      </c>
      <c r="F40" s="110" t="n">
        <v>0</v>
      </c>
      <c r="G40" s="110" t="n">
        <v>0</v>
      </c>
      <c r="H40" s="110" t="n">
        <v>0</v>
      </c>
      <c r="I40" s="110" t="n">
        <v>0</v>
      </c>
      <c r="J40" s="110" t="n"/>
      <c r="K40" s="110" t="n"/>
      <c r="L40" s="110" t="n"/>
      <c r="M40" s="110" t="n"/>
      <c r="N40" s="110" t="n"/>
      <c r="O40" s="110" t="n"/>
      <c r="P40" s="110" t="n">
        <v>0</v>
      </c>
      <c r="Q40" s="38" t="n"/>
    </row>
    <row r="41" ht="40.15" customHeight="1" s="112">
      <c r="B41" s="72" t="inlineStr">
        <is>
          <t>Discretionary</t>
        </is>
      </c>
      <c r="C41" s="75" t="inlineStr">
        <is>
          <t>Other 2</t>
        </is>
      </c>
      <c r="D41" s="110" t="n">
        <v>0</v>
      </c>
      <c r="E41" s="110" t="n">
        <v>0</v>
      </c>
      <c r="F41" s="110" t="n">
        <v>0</v>
      </c>
      <c r="G41" s="110" t="n">
        <v>0</v>
      </c>
      <c r="H41" s="110" t="n">
        <v>0</v>
      </c>
      <c r="I41" s="110" t="n">
        <v>0</v>
      </c>
      <c r="J41" s="110" t="n"/>
      <c r="K41" s="110" t="n"/>
      <c r="L41" s="110" t="n"/>
      <c r="M41" s="110" t="n"/>
      <c r="N41" s="110" t="n"/>
      <c r="O41" s="110" t="n"/>
      <c r="P41" s="110" t="n">
        <v>0</v>
      </c>
      <c r="Q41" s="38" t="n"/>
    </row>
    <row r="42" ht="40.15" customHeight="1" s="112">
      <c r="B42" s="72" t="inlineStr">
        <is>
          <t>Savings</t>
        </is>
      </c>
      <c r="C42" s="75" t="inlineStr">
        <is>
          <t>Cash reserves</t>
        </is>
      </c>
      <c r="D42" s="110" t="n">
        <v>416.6666666666667</v>
      </c>
      <c r="E42" s="110" t="n">
        <v>416.6666666666667</v>
      </c>
      <c r="F42" s="110" t="n">
        <v>416.6666666666667</v>
      </c>
      <c r="G42" s="110" t="n">
        <v>416.6666666666667</v>
      </c>
      <c r="H42" s="110" t="n">
        <v>416.6666666666667</v>
      </c>
      <c r="I42" s="110" t="n">
        <v>416.6666666666667</v>
      </c>
      <c r="J42" s="110" t="n"/>
      <c r="K42" s="110" t="n"/>
      <c r="L42" s="110" t="n"/>
      <c r="M42" s="110" t="n"/>
      <c r="N42" s="110" t="n"/>
      <c r="O42" s="110" t="n"/>
      <c r="P42" s="110" t="n">
        <v>2500</v>
      </c>
      <c r="Q42" s="38" t="n"/>
    </row>
    <row r="43" ht="40.15" customHeight="1" s="112">
      <c r="B43" s="72" t="inlineStr">
        <is>
          <t>Savings</t>
        </is>
      </c>
      <c r="C43" s="75" t="inlineStr">
        <is>
          <t>401k etc.</t>
        </is>
      </c>
      <c r="D43" s="110" t="n">
        <v>1000</v>
      </c>
      <c r="E43" s="110" t="n">
        <v>1000</v>
      </c>
      <c r="F43" s="110" t="n">
        <v>1000</v>
      </c>
      <c r="G43" s="110" t="n">
        <v>1000</v>
      </c>
      <c r="H43" s="110" t="n">
        <v>1000</v>
      </c>
      <c r="I43" s="110" t="n">
        <v>1000</v>
      </c>
      <c r="J43" s="110" t="n"/>
      <c r="K43" s="110" t="n"/>
      <c r="L43" s="110" t="n"/>
      <c r="M43" s="110" t="n"/>
      <c r="N43" s="110" t="n"/>
      <c r="O43" s="110" t="n"/>
      <c r="P43" s="110" t="n">
        <v>6000</v>
      </c>
      <c r="Q43" s="38" t="n"/>
    </row>
    <row r="44" ht="40.15" customHeight="1" s="112">
      <c r="B44" s="72" t="inlineStr">
        <is>
          <t>Savings</t>
        </is>
      </c>
      <c r="C44" s="75" t="inlineStr">
        <is>
          <t>Savings account</t>
        </is>
      </c>
      <c r="D44" s="110" t="n">
        <v>500</v>
      </c>
      <c r="E44" s="110" t="n">
        <v>500</v>
      </c>
      <c r="F44" s="110" t="n">
        <v>500</v>
      </c>
      <c r="G44" s="110" t="n">
        <v>500</v>
      </c>
      <c r="H44" s="110" t="n">
        <v>500</v>
      </c>
      <c r="I44" s="110" t="n">
        <v>500</v>
      </c>
      <c r="J44" s="110" t="n"/>
      <c r="K44" s="110" t="n"/>
      <c r="L44" s="110" t="n"/>
      <c r="M44" s="110" t="n"/>
      <c r="N44" s="110" t="n"/>
      <c r="O44" s="110" t="n"/>
      <c r="P44" s="110" t="n">
        <v>3000</v>
      </c>
      <c r="Q44" s="38" t="n"/>
    </row>
    <row r="45" ht="40.15" customHeight="1" s="112">
      <c r="B45" s="72" t="inlineStr">
        <is>
          <t>Savings</t>
        </is>
      </c>
      <c r="C45" s="75" t="inlineStr">
        <is>
          <t>Other 1</t>
        </is>
      </c>
      <c r="D45" s="110" t="n">
        <v>0</v>
      </c>
      <c r="E45" s="110" t="n">
        <v>0</v>
      </c>
      <c r="F45" s="110" t="n">
        <v>0</v>
      </c>
      <c r="G45" s="110" t="n">
        <v>0</v>
      </c>
      <c r="H45" s="110" t="n">
        <v>0</v>
      </c>
      <c r="I45" s="110" t="n">
        <v>0</v>
      </c>
      <c r="J45" s="110" t="n"/>
      <c r="K45" s="110" t="n"/>
      <c r="L45" s="110" t="n"/>
      <c r="M45" s="110" t="n"/>
      <c r="N45" s="110" t="n"/>
      <c r="O45" s="110" t="n"/>
      <c r="P45" s="110" t="n">
        <v>0</v>
      </c>
      <c r="Q45" s="38" t="n"/>
    </row>
    <row r="46" ht="40.15" customHeight="1" s="112">
      <c r="B46" s="72" t="inlineStr">
        <is>
          <t>Savings</t>
        </is>
      </c>
      <c r="C46" s="75" t="inlineStr">
        <is>
          <t>Other 2</t>
        </is>
      </c>
      <c r="D46" s="110" t="n">
        <v>0</v>
      </c>
      <c r="E46" s="110" t="n">
        <v>0</v>
      </c>
      <c r="F46" s="110" t="n">
        <v>0</v>
      </c>
      <c r="G46" s="110" t="n">
        <v>0</v>
      </c>
      <c r="H46" s="110" t="n">
        <v>0</v>
      </c>
      <c r="I46" s="110" t="n">
        <v>0</v>
      </c>
      <c r="J46" s="110" t="n"/>
      <c r="K46" s="110" t="n"/>
      <c r="L46" s="110" t="n"/>
      <c r="M46" s="110" t="n"/>
      <c r="N46" s="110" t="n"/>
      <c r="O46" s="110" t="n"/>
      <c r="P46" s="110" t="n">
        <v>0</v>
      </c>
      <c r="Q46" s="38" t="n"/>
    </row>
    <row r="47" ht="40.15" customHeight="1" s="112">
      <c r="B47" s="67" t="inlineStr">
        <is>
          <t>Total</t>
        </is>
      </c>
      <c r="C47" s="113" t="n"/>
      <c r="D47" s="110" t="n">
        <v>3692.5</v>
      </c>
      <c r="E47" s="110" t="n">
        <v>3247.5</v>
      </c>
      <c r="F47" s="110" t="n">
        <v>2522.5</v>
      </c>
      <c r="G47" s="110" t="n">
        <v>3427.5</v>
      </c>
      <c r="H47" s="110" t="n">
        <v>2887.5</v>
      </c>
      <c r="I47" s="110" t="n">
        <v>2602.5</v>
      </c>
      <c r="J47" s="110" t="n">
        <v>0</v>
      </c>
      <c r="K47" s="110" t="n">
        <v>0</v>
      </c>
      <c r="L47" s="110" t="n">
        <v>0</v>
      </c>
      <c r="M47" s="110" t="n">
        <v>0</v>
      </c>
      <c r="N47" s="110" t="n">
        <v>0</v>
      </c>
      <c r="O47" s="110" t="n">
        <v>0</v>
      </c>
      <c r="P47" s="110" t="n">
        <v>18380</v>
      </c>
      <c r="Q47" s="104" t="n"/>
    </row>
    <row r="48" ht="26.25" customHeight="1" s="112">
      <c r="B48" s="39" t="n"/>
      <c r="C48" s="39" t="n"/>
      <c r="D48" s="39" t="n"/>
      <c r="E48" s="39" t="n"/>
      <c r="F48" s="39" t="n"/>
      <c r="G48" s="39" t="n"/>
      <c r="H48" s="39" t="n"/>
      <c r="I48" s="39" t="n"/>
      <c r="J48" s="39" t="n"/>
      <c r="K48" s="39" t="n"/>
      <c r="L48" s="39" t="n"/>
      <c r="M48" s="39" t="n"/>
      <c r="N48" s="39" t="n"/>
      <c r="O48" s="39" t="n"/>
      <c r="P48" s="39" t="n"/>
      <c r="Q48" s="104" t="n"/>
    </row>
  </sheetData>
  <mergeCells count="3">
    <mergeCell ref="G2:K2"/>
    <mergeCell ref="B1:F1"/>
    <mergeCell ref="D2:E2"/>
  </mergeCells>
  <dataValidations count="1">
    <dataValidation sqref="A1" showDropDown="0" showInputMessage="1" showErrorMessage="1" allowBlank="1" prompt="Create Monthly Cash Flow Statement in this worksheet. _x000a__x000a_Enter details in Monthly table. Total monthly cash flow is automatically calculated in cell D2. Tip is in cell G2."/>
  </dataValidations>
  <hyperlinks>
    <hyperlink ref="H1" location="Guide!A1" tooltip="Select to navigate to Guide worksheet" display="Navigation button for Guide worksheet is in this cell."/>
    <hyperlink ref="I1" location="'Annual Cash Flow'!A1" tooltip="Select to navigate to Annual Cash Flow worksheet" display="ANNUAL CASH FLOW"/>
    <hyperlink ref="J1" location="'Monthly Cash Flow'!A1" tooltip="Select to navigate to cell A1 in this worksheet" display="MONTHLY CASH FLOW"/>
    <hyperlink ref="K1" location="'Daily Summary'!A1" tooltip="Select to navigate to Daily Summary worksheet" display="DAILY SUMMARY"/>
  </hyperlinks>
  <printOptions horizontalCentered="1"/>
  <pageMargins left="0.25" right="0.25" top="0.75" bottom="0.75" header="0.3" footer="0.3"/>
  <pageSetup orientation="landscape" scale="4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theme="6"/>
    <outlinePr summaryBelow="1" summaryRight="1"/>
    <pageSetUpPr autoPageBreaks="0" fitToPage="1"/>
  </sheetPr>
  <dimension ref="A1:AB28"/>
  <sheetViews>
    <sheetView showGridLines="0" zoomScaleNormal="100" workbookViewId="0">
      <selection activeCell="A1" sqref="A1"/>
    </sheetView>
  </sheetViews>
  <sheetFormatPr baseColWidth="8" defaultColWidth="20.75" defaultRowHeight="13.9"/>
  <cols>
    <col width="2.75" customWidth="1" style="15" min="1" max="1"/>
    <col width="16.75" customWidth="1" style="15" min="2" max="4"/>
    <col width="3.75" customWidth="1" style="15" min="5" max="5"/>
    <col width="16.75" customWidth="1" style="15" min="6" max="8"/>
    <col width="3.75" customWidth="1" style="15" min="9" max="9"/>
    <col width="16.75" customWidth="1" style="15" min="10" max="12"/>
    <col width="3.75" customWidth="1" style="15" min="13" max="13"/>
    <col width="16.75" customWidth="1" style="15" min="14" max="16"/>
    <col width="2.75" customWidth="1" style="15" min="17" max="17"/>
    <col hidden="1" width="20.75" customWidth="1" style="15" min="18" max="19"/>
    <col hidden="1" width="1.75" customWidth="1" style="15" min="20" max="20"/>
    <col hidden="1" width="20.75" customWidth="1" style="15" min="21" max="22"/>
    <col hidden="1" width="1.75" customWidth="1" style="15" min="23" max="23"/>
    <col hidden="1" width="20.75" customWidth="1" style="15" min="24" max="25"/>
    <col hidden="1" width="1.75" customWidth="1" style="15" min="26" max="26"/>
    <col hidden="1" width="20.75" customWidth="1" style="15" min="27" max="28"/>
    <col width="14.75" customWidth="1" style="15" min="29" max="29"/>
    <col width="20.75" customWidth="1" style="15" min="30" max="16384"/>
  </cols>
  <sheetData>
    <row r="1" ht="70.15000000000001" customFormat="1" customHeight="1" s="22">
      <c r="A1" s="21" t="n"/>
      <c r="B1" s="93" t="inlineStr">
        <is>
          <t>ANNUAL CASH FLOW</t>
        </is>
      </c>
      <c r="G1" s="21" t="n"/>
      <c r="H1" s="21" t="inlineStr">
        <is>
          <t>'Annual Cash Flow'!A1</t>
        </is>
      </c>
      <c r="I1" s="21" t="inlineStr">
        <is>
          <t>'Annual Cash Flow'!A1</t>
        </is>
      </c>
      <c r="J1" s="21" t="inlineStr">
        <is>
          <t>Guide!A1</t>
        </is>
      </c>
      <c r="K1" s="21" t="n"/>
      <c r="L1" s="21" t="inlineStr">
        <is>
          <t>'Monthly Cash Flow'!A1</t>
        </is>
      </c>
      <c r="M1" s="21" t="n"/>
      <c r="N1" s="21" t="n"/>
      <c r="O1" s="21" t="n"/>
      <c r="P1" s="21" t="n"/>
      <c r="Q1" s="22" t="inlineStr">
        <is>
          <t> </t>
        </is>
      </c>
    </row>
    <row r="2" ht="70.15000000000001" customHeight="1" s="112" thickBot="1">
      <c r="B2" s="48" t="inlineStr">
        <is>
          <t>Total cash flow to date:</t>
        </is>
      </c>
      <c r="D2" s="106" t="n">
        <v>42250</v>
      </c>
      <c r="F2" s="23" t="n"/>
      <c r="G2" s="95" t="inlineStr">
        <is>
          <t>This is an annual estimation. Use this worksheet if you wish to view annual amounts with estimated monthly values. Use income, expenses, discretionary, and savings worksheets to enter items.</t>
        </is>
      </c>
      <c r="M2" s="24" t="n"/>
      <c r="N2" s="24" t="n"/>
    </row>
    <row r="3" ht="45" customFormat="1" customHeight="1" s="57" thickBot="1" thickTop="1">
      <c r="B3" s="96" t="inlineStr">
        <is>
          <t>Income Summary</t>
        </is>
      </c>
      <c r="C3" s="96" t="n"/>
      <c r="D3" s="96" t="n"/>
      <c r="E3" s="25" t="n"/>
      <c r="F3" s="96" t="inlineStr">
        <is>
          <t>Expenses Summary</t>
        </is>
      </c>
      <c r="G3" s="96" t="n"/>
      <c r="H3" s="96" t="n"/>
      <c r="I3" s="25" t="n"/>
      <c r="J3" s="96" t="inlineStr">
        <is>
          <t>Discretionary Summary</t>
        </is>
      </c>
      <c r="K3" s="114" t="n"/>
      <c r="L3" s="114" t="n"/>
      <c r="M3" s="25" t="n"/>
      <c r="N3" s="96" t="inlineStr">
        <is>
          <t>Savings Summary</t>
        </is>
      </c>
      <c r="O3" s="114" t="n"/>
      <c r="P3" s="114" t="n"/>
    </row>
    <row r="4" ht="40.15" customHeight="1" s="112" thickTop="1">
      <c r="B4" s="27" t="inlineStr">
        <is>
          <t>Total annual:</t>
        </is>
      </c>
      <c r="C4" s="115" t="n">
        <v>125000</v>
      </c>
      <c r="F4" s="27" t="inlineStr">
        <is>
          <t>Total annual:</t>
        </is>
      </c>
      <c r="G4" s="115" t="n">
        <v>46500</v>
      </c>
      <c r="J4" s="27" t="inlineStr">
        <is>
          <t>Total annual:</t>
        </is>
      </c>
      <c r="K4" s="115" t="n">
        <v>13250</v>
      </c>
      <c r="N4" s="27" t="inlineStr">
        <is>
          <t>Total annual:</t>
        </is>
      </c>
      <c r="O4" s="116" t="n">
        <v>23000</v>
      </c>
    </row>
    <row r="5" ht="340.15" customHeight="1" s="112">
      <c r="B5" s="28" t="n"/>
      <c r="C5" s="28" t="n"/>
      <c r="D5" s="28" t="n"/>
      <c r="F5" s="28" t="n"/>
      <c r="G5" s="28" t="n"/>
      <c r="H5" s="28" t="n"/>
      <c r="J5" s="28" t="n"/>
      <c r="K5" s="28" t="n"/>
      <c r="L5" s="28" t="n"/>
      <c r="N5" s="28" t="n"/>
      <c r="O5" s="28" t="n"/>
      <c r="P5" s="28" t="n"/>
    </row>
    <row r="6" ht="12" customHeight="1" s="112" thickBot="1">
      <c r="B6" s="28" t="n"/>
      <c r="C6" s="28" t="n"/>
      <c r="D6" s="28" t="n"/>
      <c r="F6" s="28" t="n"/>
      <c r="G6" s="28" t="n"/>
      <c r="H6" s="28" t="n"/>
      <c r="J6" s="28" t="n"/>
      <c r="K6" s="28" t="n"/>
      <c r="L6" s="28" t="n"/>
      <c r="N6" s="28" t="n"/>
      <c r="O6" s="28" t="n"/>
      <c r="P6" s="28" t="n"/>
    </row>
    <row r="7" ht="34.15" customHeight="1" s="112" thickBot="1" thickTop="1">
      <c r="B7" s="29" t="inlineStr">
        <is>
          <t>Total Monthly:</t>
        </is>
      </c>
      <c r="C7" s="117" t="n">
        <v>10416.66666666667</v>
      </c>
      <c r="D7" s="114" t="n"/>
      <c r="F7" s="29" t="inlineStr">
        <is>
          <t>Total Monthly:</t>
        </is>
      </c>
      <c r="G7" s="117" t="n">
        <v>3875</v>
      </c>
      <c r="H7" s="114" t="n"/>
      <c r="J7" s="29" t="inlineStr">
        <is>
          <t>Total Monthly:</t>
        </is>
      </c>
      <c r="K7" s="117" t="n">
        <v>1104.166666666667</v>
      </c>
      <c r="L7" s="114" t="n"/>
      <c r="N7" s="30" t="inlineStr">
        <is>
          <t>Total Monthly:</t>
        </is>
      </c>
      <c r="O7" s="118" t="n">
        <v>1916.666666666667</v>
      </c>
      <c r="P7" s="114" t="n"/>
    </row>
    <row r="8" ht="14.45" customHeight="1" s="112" thickTop="1"/>
    <row r="9">
      <c r="R9" s="10" t="inlineStr">
        <is>
          <t>Row Labels</t>
        </is>
      </c>
      <c r="S9" s="10" t="inlineStr">
        <is>
          <t>Annual Income</t>
        </is>
      </c>
      <c r="U9" s="10" t="inlineStr">
        <is>
          <t>Row Labels</t>
        </is>
      </c>
      <c r="V9" s="10" t="inlineStr">
        <is>
          <t>Sum of Annual</t>
        </is>
      </c>
      <c r="X9" s="10" t="inlineStr">
        <is>
          <t>Row Labels</t>
        </is>
      </c>
      <c r="Y9" s="10" t="inlineStr">
        <is>
          <t>Sum of Annual</t>
        </is>
      </c>
      <c r="AA9" s="10" t="inlineStr">
        <is>
          <t>Row Labels</t>
        </is>
      </c>
      <c r="AB9" s="10" t="inlineStr">
        <is>
          <t>Sum of Annual</t>
        </is>
      </c>
    </row>
    <row r="10">
      <c r="R10" s="86" t="inlineStr">
        <is>
          <t>Other 2</t>
        </is>
      </c>
      <c r="S10" s="119" t="n">
        <v>0</v>
      </c>
      <c r="U10" s="86" t="inlineStr">
        <is>
          <t>Other 1</t>
        </is>
      </c>
      <c r="V10" s="120" t="n">
        <v>0</v>
      </c>
      <c r="X10" s="86" t="inlineStr">
        <is>
          <t>Other 2</t>
        </is>
      </c>
      <c r="Y10" s="119" t="n">
        <v>0</v>
      </c>
      <c r="AA10" s="86" t="inlineStr">
        <is>
          <t>Other 1</t>
        </is>
      </c>
      <c r="AB10" s="119" t="n">
        <v>0</v>
      </c>
    </row>
    <row r="11">
      <c r="R11" s="86" t="inlineStr">
        <is>
          <t>Other 3</t>
        </is>
      </c>
      <c r="S11" s="119" t="n">
        <v>0</v>
      </c>
      <c r="U11" s="86" t="inlineStr">
        <is>
          <t>Other 2</t>
        </is>
      </c>
      <c r="V11" s="120" t="n">
        <v>0</v>
      </c>
      <c r="X11" s="86" t="inlineStr">
        <is>
          <t>Other 1</t>
        </is>
      </c>
      <c r="Y11" s="119" t="n">
        <v>0</v>
      </c>
      <c r="AA11" s="86" t="inlineStr">
        <is>
          <t>Other 2</t>
        </is>
      </c>
      <c r="AB11" s="119" t="n">
        <v>0</v>
      </c>
    </row>
    <row r="12">
      <c r="R12" s="86" t="inlineStr">
        <is>
          <t>Other 4</t>
        </is>
      </c>
      <c r="S12" s="119" t="n">
        <v>0</v>
      </c>
      <c r="U12" s="86" t="inlineStr">
        <is>
          <t>Garbage</t>
        </is>
      </c>
      <c r="V12" s="120" t="n">
        <v>150</v>
      </c>
      <c r="X12" s="86" t="inlineStr">
        <is>
          <t>Club memberships</t>
        </is>
      </c>
      <c r="Y12" s="119" t="n">
        <v>300</v>
      </c>
      <c r="AA12" s="86" t="inlineStr">
        <is>
          <t>Cash reserves</t>
        </is>
      </c>
      <c r="AB12" s="119" t="n">
        <v>5000</v>
      </c>
    </row>
    <row r="13">
      <c r="R13" s="86" t="inlineStr">
        <is>
          <t>Commissions/Bonus</t>
        </is>
      </c>
      <c r="S13" s="119" t="n">
        <v>5000</v>
      </c>
      <c r="U13" s="86" t="inlineStr">
        <is>
          <t>Vehicle tax/fees</t>
        </is>
      </c>
      <c r="V13" s="120" t="n">
        <v>200</v>
      </c>
      <c r="X13" s="86" t="inlineStr">
        <is>
          <t>Personal care</t>
        </is>
      </c>
      <c r="Y13" s="119" t="n">
        <v>300</v>
      </c>
      <c r="AA13" s="86" t="inlineStr">
        <is>
          <t>Savings/investment</t>
        </is>
      </c>
      <c r="AB13" s="119" t="n">
        <v>6000</v>
      </c>
    </row>
    <row r="14">
      <c r="R14" s="86" t="inlineStr">
        <is>
          <t>Other 1</t>
        </is>
      </c>
      <c r="S14" s="119" t="n">
        <v>30000</v>
      </c>
      <c r="U14" s="86" t="inlineStr">
        <is>
          <t>Insurance</t>
        </is>
      </c>
      <c r="V14" s="120" t="n">
        <v>250</v>
      </c>
      <c r="X14" s="86" t="inlineStr">
        <is>
          <t>Gifts</t>
        </is>
      </c>
      <c r="Y14" s="119" t="n">
        <v>600</v>
      </c>
      <c r="AA14" s="86" t="inlineStr">
        <is>
          <t>401k etc.</t>
        </is>
      </c>
      <c r="AB14" s="119" t="n">
        <v>12000</v>
      </c>
    </row>
    <row r="15">
      <c r="R15" s="86" t="inlineStr">
        <is>
          <t>Salary</t>
        </is>
      </c>
      <c r="S15" s="119" t="n">
        <v>90000</v>
      </c>
      <c r="U15" s="86" t="inlineStr">
        <is>
          <t>Internet</t>
        </is>
      </c>
      <c r="V15" s="120" t="n">
        <v>600</v>
      </c>
      <c r="X15" s="86" t="inlineStr">
        <is>
          <t>Charity</t>
        </is>
      </c>
      <c r="Y15" s="119" t="n">
        <v>600</v>
      </c>
      <c r="AA15" s="86" t="inlineStr">
        <is>
          <t>Grand Total</t>
        </is>
      </c>
      <c r="AB15" s="119" t="n">
        <v>23000</v>
      </c>
    </row>
    <row r="16">
      <c r="R16" s="86" t="inlineStr">
        <is>
          <t>Grand Total</t>
        </is>
      </c>
      <c r="S16" s="119" t="n">
        <v>125000</v>
      </c>
      <c r="U16" s="86" t="inlineStr">
        <is>
          <t>Gas</t>
        </is>
      </c>
      <c r="V16" s="120" t="n">
        <v>600</v>
      </c>
      <c r="X16" s="86" t="inlineStr">
        <is>
          <t>Entertainment</t>
        </is>
      </c>
      <c r="Y16" s="119" t="n">
        <v>1200</v>
      </c>
    </row>
    <row r="17">
      <c r="U17" s="86" t="inlineStr">
        <is>
          <t>Water/sewer</t>
        </is>
      </c>
      <c r="V17" s="120" t="n">
        <v>600</v>
      </c>
      <c r="X17" s="86" t="inlineStr">
        <is>
          <t>Dining</t>
        </is>
      </c>
      <c r="Y17" s="119" t="n">
        <v>1200</v>
      </c>
    </row>
    <row r="18">
      <c r="U18" s="86" t="inlineStr">
        <is>
          <t>Phone</t>
        </is>
      </c>
      <c r="V18" s="120" t="n">
        <v>600</v>
      </c>
      <c r="X18" s="86" t="inlineStr">
        <is>
          <t>Shopping</t>
        </is>
      </c>
      <c r="Y18" s="119" t="n">
        <v>2000</v>
      </c>
    </row>
    <row r="19">
      <c r="U19" s="86" t="inlineStr">
        <is>
          <t>Medical/dental/Rx</t>
        </is>
      </c>
      <c r="V19" s="120" t="n">
        <v>600</v>
      </c>
      <c r="X19" s="86" t="inlineStr">
        <is>
          <t>Travel</t>
        </is>
      </c>
      <c r="Y19" s="119" t="n">
        <v>2250</v>
      </c>
    </row>
    <row r="20">
      <c r="U20" s="86" t="inlineStr">
        <is>
          <t>Electricity</t>
        </is>
      </c>
      <c r="V20" s="120" t="n">
        <v>1200</v>
      </c>
      <c r="X20" s="86" t="inlineStr">
        <is>
          <t>Home improvements</t>
        </is>
      </c>
      <c r="Y20" s="119" t="n">
        <v>4800</v>
      </c>
    </row>
    <row r="21">
      <c r="U21" s="86" t="inlineStr">
        <is>
          <t>Clothing</t>
        </is>
      </c>
      <c r="V21" s="120" t="n">
        <v>1200</v>
      </c>
      <c r="X21" s="86" t="inlineStr">
        <is>
          <t>Grand Total</t>
        </is>
      </c>
      <c r="Y21" s="119" t="n">
        <v>13250</v>
      </c>
    </row>
    <row r="22">
      <c r="U22" s="86" t="inlineStr">
        <is>
          <t>Disability premiums</t>
        </is>
      </c>
      <c r="V22" s="120" t="n">
        <v>1500</v>
      </c>
    </row>
    <row r="23">
      <c r="U23" s="86" t="inlineStr">
        <is>
          <t>State income tax</t>
        </is>
      </c>
      <c r="V23" s="120" t="n">
        <v>2500</v>
      </c>
    </row>
    <row r="24">
      <c r="U24" s="86" t="inlineStr">
        <is>
          <t>Vehicle payments</t>
        </is>
      </c>
      <c r="V24" s="120" t="n">
        <v>4000</v>
      </c>
    </row>
    <row r="25">
      <c r="U25" s="86" t="inlineStr">
        <is>
          <t>Food</t>
        </is>
      </c>
      <c r="V25" s="120" t="n">
        <v>5000</v>
      </c>
    </row>
    <row r="26">
      <c r="U26" s="86" t="inlineStr">
        <is>
          <t>Federal/SS/Medicare</t>
        </is>
      </c>
      <c r="V26" s="120" t="n">
        <v>12500</v>
      </c>
    </row>
    <row r="27">
      <c r="U27" s="86" t="inlineStr">
        <is>
          <t>Mortgage/rent</t>
        </is>
      </c>
      <c r="V27" s="120" t="n">
        <v>15000</v>
      </c>
    </row>
    <row r="28">
      <c r="U28" s="86" t="inlineStr">
        <is>
          <t>Grand Total</t>
        </is>
      </c>
      <c r="V28" s="120" t="n">
        <v>46500</v>
      </c>
    </row>
  </sheetData>
  <mergeCells count="13">
    <mergeCell ref="O7:P7"/>
    <mergeCell ref="G4:H4"/>
    <mergeCell ref="K7:L7"/>
    <mergeCell ref="G2:L2"/>
    <mergeCell ref="D2:E2"/>
    <mergeCell ref="C7:D7"/>
    <mergeCell ref="G7:H7"/>
    <mergeCell ref="B1:F1"/>
    <mergeCell ref="K4:L4"/>
    <mergeCell ref="O4:P4"/>
    <mergeCell ref="J3:L3"/>
    <mergeCell ref="N3:P3"/>
    <mergeCell ref="C4:D4"/>
  </mergeCells>
  <dataValidations count="1">
    <dataValidation sqref="A1" showDropDown="0" showInputMessage="1" showErrorMessage="1" allowBlank="1" prompt="Create Annual Cash Flow Statement in this worksheet. _x000a__x000a_Details for each category are automatically updated. Total cash flow to date is automatically calculated in cell D2. Charts are automatically updated. Tip is in cell G2."/>
  </dataValidations>
  <hyperlinks>
    <hyperlink ref="H1" location="'Annual Cash Flow'!A1" tooltip="Select to navigate to cell A1 in this worksheet" display="ANNUAL CASH FLOW"/>
    <hyperlink ref="I1" location="'Annual Cash Flow'!A1" tooltip="Select to navigate to cell A1 in this worksheet" display="ANNUAL CASH FLOW"/>
    <hyperlink ref="J1" location="Guide!A1" tooltip="Select to navigate to Guide worksheet" display="Navigation button for Guide worksheet is in this cell."/>
    <hyperlink ref="L1" location="'Monthly Cash Flow'!A1" tooltip="Select to navigate to Monthly Cash Flow worksheet" display="'Monthly Cash Flow'!A1"/>
  </hyperlinks>
  <printOptions horizontalCentered="1"/>
  <pageMargins left="0.25" right="0.25" top="0.75" bottom="0.75" header="0.3" footer="0.3"/>
  <pageSetup orientation="landscape" scale="57" fitToHeight="0"/>
  <headerFooter differentFirst="1">
    <oddHeader/>
    <oddFooter>&amp;L&amp;C&amp;R</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theme="5"/>
    <outlinePr summaryBelow="1" summaryRight="1"/>
    <pageSetUpPr autoPageBreaks="0" fitToPage="1"/>
  </sheetPr>
  <dimension ref="A1:O10"/>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52" t="inlineStr">
        <is>
          <t>INCOME</t>
        </is>
      </c>
      <c r="C1" s="19" t="n"/>
      <c r="D1" s="19" t="n"/>
      <c r="E1" s="19" t="n"/>
      <c r="F1" s="19" t="n"/>
      <c r="G1" s="12" t="inlineStr">
        <is>
          <t>'Daily Summary'!A1</t>
        </is>
      </c>
      <c r="H1" s="12" t="inlineStr">
        <is>
          <t>Income!A1</t>
        </is>
      </c>
      <c r="I1" s="12" t="inlineStr">
        <is>
          <t>Expenses!A1</t>
        </is>
      </c>
      <c r="J1" s="12" t="n"/>
      <c r="K1" s="12" t="n"/>
      <c r="L1" s="12" t="n"/>
      <c r="M1" s="12" t="n"/>
      <c r="N1" s="12" t="n"/>
      <c r="O1" s="12" t="n"/>
    </row>
    <row r="2" ht="70.15000000000001" customFormat="1" customHeight="1" s="7" thickBot="1">
      <c r="B2" s="66" t="inlineStr">
        <is>
          <t>Total cash flow to date:</t>
        </is>
      </c>
      <c r="C2" s="20" t="n"/>
      <c r="D2" s="121" t="n">
        <v>42250</v>
      </c>
      <c r="E2" s="106" t="n"/>
      <c r="G2" s="104"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5" thickTop="1">
      <c r="B3" s="67" t="inlineStr">
        <is>
          <t>Income</t>
        </is>
      </c>
      <c r="C3" s="78" t="inlineStr">
        <is>
          <t>Annual</t>
        </is>
      </c>
      <c r="D3" s="78" t="inlineStr">
        <is>
          <t>Monthly</t>
        </is>
      </c>
      <c r="F3" s="56" t="n"/>
      <c r="G3" s="56" t="n"/>
      <c r="H3" s="56" t="n"/>
      <c r="I3" s="56" t="n"/>
    </row>
    <row r="4" ht="40.15" customHeight="1" s="112">
      <c r="A4" s="104" t="n"/>
      <c r="B4" s="72" t="inlineStr">
        <is>
          <t>Salary</t>
        </is>
      </c>
      <c r="C4" s="122" t="n">
        <v>90000</v>
      </c>
      <c r="D4" s="122" t="n">
        <v>7500</v>
      </c>
      <c r="E4" s="104" t="n"/>
      <c r="F4" s="104" t="n"/>
      <c r="G4" s="104" t="n"/>
      <c r="H4" s="104" t="n"/>
      <c r="I4" s="104" t="n"/>
      <c r="J4" s="104" t="n"/>
      <c r="K4" s="104" t="n"/>
      <c r="L4" s="104" t="n"/>
      <c r="M4" s="104" t="n"/>
      <c r="N4" s="104" t="n"/>
      <c r="O4" s="104" t="n"/>
    </row>
    <row r="5" ht="40.15" customHeight="1" s="112">
      <c r="A5" s="104" t="n"/>
      <c r="B5" s="72" t="inlineStr">
        <is>
          <t>Commissions/Bonus</t>
        </is>
      </c>
      <c r="C5" s="122" t="n">
        <v>5000</v>
      </c>
      <c r="D5" s="122" t="n">
        <v>416.6666666666667</v>
      </c>
      <c r="E5" s="104" t="n"/>
      <c r="F5" s="101" t="n"/>
      <c r="J5" s="104" t="n"/>
      <c r="K5" s="104" t="n"/>
      <c r="L5" s="104" t="n"/>
      <c r="M5" s="104" t="n"/>
      <c r="N5" s="104" t="n"/>
      <c r="O5" s="104" t="n"/>
    </row>
    <row r="6" ht="40.15" customHeight="1" s="112">
      <c r="A6" s="104" t="n"/>
      <c r="B6" s="72" t="inlineStr">
        <is>
          <t>Other 1</t>
        </is>
      </c>
      <c r="C6" s="122" t="n">
        <v>30000</v>
      </c>
      <c r="D6" s="122" t="n">
        <v>2500</v>
      </c>
      <c r="E6" s="104" t="n"/>
      <c r="F6" s="104" t="n"/>
      <c r="G6" s="104" t="n"/>
      <c r="H6" s="104" t="n"/>
      <c r="I6" s="104" t="n"/>
      <c r="J6" s="104" t="n"/>
      <c r="K6" s="104" t="n"/>
      <c r="L6" s="104" t="n"/>
      <c r="M6" s="104" t="n"/>
      <c r="N6" s="104" t="n"/>
      <c r="O6" s="104" t="n"/>
    </row>
    <row r="7" ht="40.15" customHeight="1" s="112">
      <c r="A7" s="104" t="n"/>
      <c r="B7" s="72" t="inlineStr">
        <is>
          <t>Other 2</t>
        </is>
      </c>
      <c r="C7" s="122" t="n">
        <v>0</v>
      </c>
      <c r="D7" s="122" t="n">
        <v>0</v>
      </c>
      <c r="E7" s="104" t="n"/>
      <c r="F7" s="104" t="n"/>
      <c r="G7" s="104" t="n"/>
      <c r="H7" s="104" t="n"/>
      <c r="I7" s="104" t="n"/>
      <c r="J7" s="104" t="n"/>
      <c r="K7" s="104" t="n"/>
      <c r="L7" s="104" t="n"/>
      <c r="M7" s="104" t="n"/>
      <c r="N7" s="104" t="n"/>
      <c r="O7" s="104" t="n"/>
    </row>
    <row r="8" ht="40.15" customHeight="1" s="112">
      <c r="A8" s="104" t="n"/>
      <c r="B8" s="72" t="inlineStr">
        <is>
          <t>Other 3</t>
        </is>
      </c>
      <c r="C8" s="122" t="n">
        <v>0</v>
      </c>
      <c r="D8" s="122" t="n">
        <v>0</v>
      </c>
      <c r="E8" s="104" t="n"/>
      <c r="F8" s="104" t="n"/>
      <c r="G8" s="104" t="n"/>
      <c r="H8" s="104" t="n"/>
      <c r="I8" s="104" t="n"/>
      <c r="J8" s="104" t="n"/>
      <c r="K8" s="104" t="n"/>
      <c r="L8" s="104" t="n"/>
      <c r="M8" s="104" t="n"/>
      <c r="N8" s="104" t="n"/>
      <c r="O8" s="104" t="n"/>
    </row>
    <row r="9" ht="40.15" customHeight="1" s="112">
      <c r="A9" s="104" t="n"/>
      <c r="B9" s="72" t="inlineStr">
        <is>
          <t>Other 4</t>
        </is>
      </c>
      <c r="C9" s="122" t="n">
        <v>0</v>
      </c>
      <c r="D9" s="122" t="n">
        <v>0</v>
      </c>
      <c r="E9" s="104" t="n"/>
      <c r="F9" s="104" t="n"/>
      <c r="G9" s="104" t="n"/>
      <c r="H9" s="104" t="n"/>
      <c r="I9" s="104" t="n"/>
      <c r="J9" s="104" t="n"/>
      <c r="K9" s="104" t="n"/>
      <c r="L9" s="104" t="n"/>
      <c r="M9" s="104" t="n"/>
      <c r="N9" s="104" t="n"/>
      <c r="O9" s="104" t="n"/>
    </row>
    <row r="10" ht="30" customHeight="1" s="112">
      <c r="A10" s="104" t="n"/>
      <c r="B10" s="67" t="inlineStr">
        <is>
          <t>Total</t>
        </is>
      </c>
      <c r="C10" s="122" t="n">
        <v>125000</v>
      </c>
      <c r="D10" s="122" t="n">
        <v>10416.66666666667</v>
      </c>
      <c r="E10" s="104" t="n"/>
      <c r="F10" s="104" t="n"/>
      <c r="G10" s="104" t="n"/>
      <c r="H10" s="104" t="n"/>
      <c r="I10" s="104" t="n"/>
      <c r="J10" s="104" t="n"/>
      <c r="K10" s="104" t="n"/>
      <c r="L10" s="104" t="n"/>
      <c r="M10" s="104" t="n"/>
      <c r="N10" s="104" t="n"/>
      <c r="O10" s="104" t="n"/>
    </row>
  </sheetData>
  <mergeCells count="2">
    <mergeCell ref="F5:I5"/>
    <mergeCell ref="G2:L2"/>
  </mergeCells>
  <dataValidations xWindow="999" yWindow="322" count="2">
    <dataValidation sqref="B2" showDropDown="0" showInputMessage="1" showErrorMessage="1" allowBlank="1" prompt="Total Cash Flow to Date is automatically calculated in cell at right"/>
    <dataValidation sqref="A1" showDropDown="0" showInputMessage="1" showErrorMessage="1" allowBlank="1" prompt="Create Income Cash Flow in this worksheet. _x000a__x000a_Enter details in Income table. Total cash flow to date is automatically calculated in cell D2. Tip is in cell G2."/>
  </dataValidations>
  <hyperlinks>
    <hyperlink ref="G1" location="'Daily Summary'!A1" tooltip="Select to navigate to Daily Summary worksheet" display="DAILY SUMMARY"/>
    <hyperlink ref="H1" location="Income!A1" tooltip="Select to navigate to cell A1 in this worksheet" display="INCOME"/>
    <hyperlink ref="I1" location="Expenses!A1" tooltip="Select to navigate to Expenses worksheet" display="EXPENSE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theme="4"/>
    <outlinePr summaryBelow="1" summaryRight="1"/>
    <pageSetUpPr autoPageBreaks="0" fitToPage="1"/>
  </sheetPr>
  <dimension ref="A1:O22"/>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EXPENSES</t>
        </is>
      </c>
      <c r="G1" s="12" t="inlineStr">
        <is>
          <t>Income!A1</t>
        </is>
      </c>
      <c r="H1" s="12" t="inlineStr">
        <is>
          <t>Expenses!A1</t>
        </is>
      </c>
      <c r="I1" s="12" t="inlineStr">
        <is>
          <t>Discretionary!A1</t>
        </is>
      </c>
      <c r="J1" s="12" t="n"/>
      <c r="K1" s="12" t="n"/>
      <c r="L1" s="12" t="n"/>
      <c r="M1" s="12" t="n"/>
      <c r="N1" s="12" t="n"/>
      <c r="O1" s="12" t="n"/>
    </row>
    <row r="2" ht="70.15000000000001" customFormat="1" customHeight="1" s="7">
      <c r="B2" s="48" t="inlineStr">
        <is>
          <t>Total cash flow to date:</t>
        </is>
      </c>
      <c r="C2" s="15" t="n"/>
      <c r="D2" s="123" t="n">
        <v>42250</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Expenses</t>
        </is>
      </c>
      <c r="C3" s="71" t="inlineStr">
        <is>
          <t>Annual</t>
        </is>
      </c>
      <c r="D3" s="71" t="inlineStr">
        <is>
          <t>Monthly</t>
        </is>
      </c>
    </row>
    <row r="4" ht="40.15" customHeight="1" s="112">
      <c r="A4" s="104" t="n"/>
      <c r="B4" s="72" t="inlineStr">
        <is>
          <t>Federal/SS/Medicare</t>
        </is>
      </c>
      <c r="C4" s="122" t="n">
        <v>12500</v>
      </c>
      <c r="D4" s="122" t="n">
        <v>1041.666666666667</v>
      </c>
      <c r="E4" s="104" t="n"/>
      <c r="F4" s="104" t="n"/>
      <c r="G4" s="104" t="n"/>
      <c r="H4" s="104" t="n"/>
      <c r="I4" s="104" t="n"/>
      <c r="J4" s="104" t="n"/>
      <c r="K4" s="104" t="n"/>
      <c r="L4" s="104" t="n"/>
      <c r="M4" s="104" t="n"/>
      <c r="N4" s="104" t="n"/>
      <c r="O4" s="104" t="n"/>
    </row>
    <row r="5" ht="40.15" customHeight="1" s="112">
      <c r="A5" s="104" t="n"/>
      <c r="B5" s="68" t="inlineStr">
        <is>
          <t>State income tax</t>
        </is>
      </c>
      <c r="C5" s="122" t="n">
        <v>2500</v>
      </c>
      <c r="D5" s="122" t="n">
        <v>208.3333333333333</v>
      </c>
      <c r="E5" s="104" t="n"/>
      <c r="F5" s="104" t="n"/>
      <c r="G5" s="104" t="n"/>
      <c r="H5" s="104" t="n"/>
      <c r="I5" s="104" t="n"/>
      <c r="J5" s="104" t="n"/>
      <c r="K5" s="104" t="n"/>
      <c r="L5" s="104" t="n"/>
      <c r="M5" s="104" t="n"/>
      <c r="N5" s="104" t="n"/>
      <c r="O5" s="104" t="n"/>
    </row>
    <row r="6" ht="40.15" customHeight="1" s="112">
      <c r="A6" s="104" t="n"/>
      <c r="B6" s="124" t="inlineStr">
        <is>
          <t>Vehicle tax/fees</t>
        </is>
      </c>
      <c r="C6" s="122" t="n">
        <v>200</v>
      </c>
      <c r="D6" s="122" t="n">
        <v>16.66666666666667</v>
      </c>
      <c r="E6" s="104" t="n"/>
      <c r="F6" s="104" t="n"/>
      <c r="G6" s="104" t="n"/>
      <c r="H6" s="104" t="n"/>
      <c r="I6" s="104" t="n"/>
      <c r="J6" s="104" t="n"/>
      <c r="K6" s="104" t="n"/>
      <c r="L6" s="104" t="n"/>
      <c r="M6" s="104" t="n"/>
      <c r="N6" s="104" t="n"/>
      <c r="O6" s="104" t="n"/>
    </row>
    <row r="7" ht="40.15" customHeight="1" s="112">
      <c r="A7" s="104" t="n"/>
      <c r="B7" s="124" t="inlineStr">
        <is>
          <t>Vehicle payments</t>
        </is>
      </c>
      <c r="C7" s="122" t="n">
        <v>4000</v>
      </c>
      <c r="D7" s="122" t="n">
        <v>333.3333333333333</v>
      </c>
      <c r="E7" s="104" t="n"/>
      <c r="F7" s="104" t="n"/>
      <c r="G7" s="104" t="n"/>
      <c r="H7" s="104" t="n"/>
      <c r="I7" s="104" t="n"/>
      <c r="J7" s="104" t="n"/>
      <c r="K7" s="104" t="n"/>
      <c r="L7" s="104" t="n"/>
      <c r="M7" s="104" t="n"/>
      <c r="N7" s="104" t="n"/>
      <c r="O7" s="104" t="n"/>
    </row>
    <row r="8" ht="40.15" customHeight="1" s="112">
      <c r="A8" s="104" t="n"/>
      <c r="B8" s="124" t="inlineStr">
        <is>
          <t>Mortgage/rent</t>
        </is>
      </c>
      <c r="C8" s="122" t="n">
        <v>15000</v>
      </c>
      <c r="D8" s="122" t="n">
        <v>1250</v>
      </c>
      <c r="E8" s="104" t="n"/>
      <c r="F8" s="104" t="n"/>
      <c r="G8" s="104" t="n"/>
      <c r="H8" s="104" t="n"/>
      <c r="I8" s="104" t="n"/>
      <c r="J8" s="104" t="n"/>
      <c r="K8" s="104" t="n"/>
      <c r="L8" s="104" t="n"/>
      <c r="M8" s="104" t="n"/>
      <c r="N8" s="104" t="n"/>
      <c r="O8" s="104" t="n"/>
    </row>
    <row r="9" ht="40.15" customHeight="1" s="112">
      <c r="A9" s="104" t="n"/>
      <c r="B9" s="124" t="inlineStr">
        <is>
          <t>Insurance</t>
        </is>
      </c>
      <c r="C9" s="122" t="n">
        <v>250</v>
      </c>
      <c r="D9" s="122" t="n">
        <v>20.83333333333333</v>
      </c>
      <c r="E9" s="104" t="n"/>
      <c r="F9" s="104" t="n"/>
      <c r="G9" s="104" t="n"/>
      <c r="H9" s="104" t="n"/>
      <c r="I9" s="104" t="n"/>
      <c r="J9" s="104" t="n"/>
      <c r="K9" s="104" t="n"/>
      <c r="L9" s="104" t="n"/>
      <c r="M9" s="104" t="n"/>
      <c r="N9" s="104" t="n"/>
      <c r="O9" s="104" t="n"/>
    </row>
    <row r="10" ht="40.15" customHeight="1" s="112">
      <c r="A10" s="104" t="n"/>
      <c r="B10" s="124" t="inlineStr">
        <is>
          <t>Electricity</t>
        </is>
      </c>
      <c r="C10" s="122" t="n">
        <v>1200</v>
      </c>
      <c r="D10" s="122" t="n">
        <v>100</v>
      </c>
      <c r="E10" s="104" t="n"/>
      <c r="F10" s="104" t="n"/>
      <c r="G10" s="104" t="n"/>
      <c r="H10" s="104" t="n"/>
      <c r="I10" s="104" t="n"/>
      <c r="J10" s="104" t="n"/>
      <c r="K10" s="104" t="n"/>
      <c r="L10" s="104" t="n"/>
      <c r="M10" s="104" t="n"/>
      <c r="N10" s="104" t="n"/>
      <c r="O10" s="104" t="n"/>
    </row>
    <row r="11" ht="40.15" customHeight="1" s="112">
      <c r="A11" s="104" t="n"/>
      <c r="B11" s="124" t="inlineStr">
        <is>
          <t>Gas</t>
        </is>
      </c>
      <c r="C11" s="122" t="n">
        <v>600</v>
      </c>
      <c r="D11" s="122" t="n">
        <v>50</v>
      </c>
      <c r="E11" s="104" t="n"/>
      <c r="F11" s="104" t="n"/>
      <c r="G11" s="104" t="n"/>
      <c r="H11" s="104" t="n"/>
      <c r="I11" s="104" t="n"/>
      <c r="J11" s="104" t="n"/>
      <c r="K11" s="104" t="n"/>
      <c r="L11" s="104" t="n"/>
      <c r="M11" s="104" t="n"/>
      <c r="N11" s="104" t="n"/>
      <c r="O11" s="104" t="n"/>
    </row>
    <row r="12" ht="40.15" customHeight="1" s="112">
      <c r="A12" s="104" t="n"/>
      <c r="B12" s="124" t="inlineStr">
        <is>
          <t>Water/sewer</t>
        </is>
      </c>
      <c r="C12" s="122" t="n">
        <v>600</v>
      </c>
      <c r="D12" s="122" t="n">
        <v>50</v>
      </c>
      <c r="E12" s="104" t="n"/>
      <c r="F12" s="104" t="n"/>
      <c r="G12" s="104" t="n"/>
      <c r="H12" s="104" t="n"/>
      <c r="I12" s="104" t="n"/>
      <c r="J12" s="104" t="n"/>
      <c r="K12" s="104" t="n"/>
      <c r="L12" s="104" t="n"/>
      <c r="M12" s="104" t="n"/>
      <c r="N12" s="104" t="n"/>
      <c r="O12" s="104" t="n"/>
    </row>
    <row r="13" ht="40.15" customHeight="1" s="112">
      <c r="A13" s="104" t="n"/>
      <c r="B13" s="124" t="inlineStr">
        <is>
          <t>Garbage</t>
        </is>
      </c>
      <c r="C13" s="122" t="n">
        <v>150</v>
      </c>
      <c r="D13" s="122" t="n">
        <v>12.5</v>
      </c>
      <c r="E13" s="104" t="n"/>
      <c r="F13" s="104" t="n"/>
      <c r="G13" s="104" t="n"/>
      <c r="H13" s="104" t="n"/>
      <c r="I13" s="104" t="n"/>
      <c r="J13" s="104" t="n"/>
      <c r="K13" s="104" t="n"/>
      <c r="L13" s="104" t="n"/>
      <c r="M13" s="104" t="n"/>
      <c r="N13" s="104" t="n"/>
      <c r="O13" s="104" t="n"/>
    </row>
    <row r="14" ht="40.15" customHeight="1" s="112">
      <c r="A14" s="104" t="n"/>
      <c r="B14" s="124" t="inlineStr">
        <is>
          <t>Phone</t>
        </is>
      </c>
      <c r="C14" s="122" t="n">
        <v>600</v>
      </c>
      <c r="D14" s="122" t="n">
        <v>50</v>
      </c>
      <c r="E14" s="104" t="n"/>
      <c r="F14" s="104" t="n"/>
      <c r="G14" s="104" t="n"/>
      <c r="H14" s="104" t="n"/>
      <c r="I14" s="104" t="n"/>
      <c r="J14" s="104" t="n"/>
      <c r="K14" s="104" t="n"/>
      <c r="L14" s="104" t="n"/>
      <c r="M14" s="104" t="n"/>
      <c r="N14" s="104" t="n"/>
      <c r="O14" s="104" t="n"/>
    </row>
    <row r="15" ht="40.15" customHeight="1" s="112">
      <c r="A15" s="104" t="n"/>
      <c r="B15" s="124" t="inlineStr">
        <is>
          <t>Internet</t>
        </is>
      </c>
      <c r="C15" s="122" t="n">
        <v>600</v>
      </c>
      <c r="D15" s="122" t="n">
        <v>50</v>
      </c>
      <c r="E15" s="104" t="n"/>
      <c r="F15" s="104" t="n"/>
      <c r="G15" s="104" t="n"/>
      <c r="H15" s="104" t="n"/>
      <c r="I15" s="104" t="n"/>
      <c r="J15" s="104" t="n"/>
      <c r="K15" s="104" t="n"/>
      <c r="L15" s="104" t="n"/>
      <c r="M15" s="104" t="n"/>
      <c r="N15" s="104" t="n"/>
      <c r="O15" s="104" t="n"/>
    </row>
    <row r="16" ht="40.15" customHeight="1" s="112">
      <c r="A16" s="104" t="n"/>
      <c r="B16" s="124" t="inlineStr">
        <is>
          <t>Disability premiums</t>
        </is>
      </c>
      <c r="C16" s="122" t="n">
        <v>1500</v>
      </c>
      <c r="D16" s="122" t="n">
        <v>125</v>
      </c>
      <c r="E16" s="104" t="n"/>
      <c r="F16" s="104" t="n"/>
      <c r="G16" s="104" t="n"/>
      <c r="H16" s="104" t="n"/>
      <c r="I16" s="104" t="n"/>
      <c r="J16" s="104" t="n"/>
      <c r="K16" s="104" t="n"/>
      <c r="L16" s="104" t="n"/>
      <c r="M16" s="104" t="n"/>
      <c r="N16" s="104" t="n"/>
      <c r="O16" s="104" t="n"/>
    </row>
    <row r="17" ht="40.15" customHeight="1" s="112">
      <c r="B17" s="124" t="inlineStr">
        <is>
          <t>Food</t>
        </is>
      </c>
      <c r="C17" s="122" t="n">
        <v>5000</v>
      </c>
      <c r="D17" s="122" t="n">
        <v>416.6666666666667</v>
      </c>
    </row>
    <row r="18" ht="40.15" customHeight="1" s="112">
      <c r="B18" s="124" t="inlineStr">
        <is>
          <t>Clothing</t>
        </is>
      </c>
      <c r="C18" s="122" t="n">
        <v>1200</v>
      </c>
      <c r="D18" s="122" t="n">
        <v>100</v>
      </c>
    </row>
    <row r="19" ht="40.15" customHeight="1" s="112">
      <c r="B19" s="124" t="inlineStr">
        <is>
          <t>Medical/dental/Rx</t>
        </is>
      </c>
      <c r="C19" s="122" t="n">
        <v>600</v>
      </c>
      <c r="D19" s="122" t="n">
        <v>50</v>
      </c>
    </row>
    <row r="20" ht="40.15" customHeight="1" s="112">
      <c r="B20" s="124" t="inlineStr">
        <is>
          <t>Other 1</t>
        </is>
      </c>
      <c r="C20" s="122" t="n">
        <v>0</v>
      </c>
      <c r="D20" s="122" t="n">
        <v>0</v>
      </c>
    </row>
    <row r="21" ht="40.15" customHeight="1" s="112">
      <c r="B21" s="124" t="inlineStr">
        <is>
          <t>Other 2</t>
        </is>
      </c>
      <c r="C21" s="122" t="n">
        <v>0</v>
      </c>
      <c r="D21" s="122" t="n">
        <v>0</v>
      </c>
    </row>
    <row r="22" ht="40.15" customHeight="1" s="112">
      <c r="B22" s="67" t="inlineStr">
        <is>
          <t>Total</t>
        </is>
      </c>
      <c r="C22" s="122" t="n">
        <v>46500</v>
      </c>
      <c r="D22" s="122" t="n">
        <v>3875</v>
      </c>
    </row>
  </sheetData>
  <mergeCells count="2">
    <mergeCell ref="G2:L2"/>
    <mergeCell ref="B1:F1"/>
  </mergeCells>
  <dataValidations count="1">
    <dataValidation sqref="A1" showDropDown="0" showInputMessage="1" showErrorMessage="1" allowBlank="1" prompt="Enter details in Expenses table in this worksheet. _x000a__x000a_Total cash flow to date is automatically calculated in cell D2. Tip is in cell G2."/>
  </dataValidations>
  <hyperlinks>
    <hyperlink ref="G1" location="Income!A1" tooltip="Select to navigate to Income worksheet" display="INCOME"/>
    <hyperlink ref="H1" location="Expenses!A1" tooltip="Select to navigate to cell A1 in this worksheet" display="EXPENSES"/>
    <hyperlink ref="I1" location="Discretionary!A1" tooltip="Select to navigate to Discretionary worksheet" display="DISCRETIONARY"/>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theme="6"/>
    <outlinePr summaryBelow="1" summaryRight="1"/>
    <pageSetUpPr autoPageBreaks="0" fitToPage="1"/>
  </sheetPr>
  <dimension ref="A1:O15"/>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7">
      <c r="A1" s="12" t="n"/>
      <c r="B1" s="93" t="inlineStr">
        <is>
          <t>DISCRETIONARY</t>
        </is>
      </c>
      <c r="G1" s="12" t="inlineStr">
        <is>
          <t>Expenses!A1</t>
        </is>
      </c>
      <c r="H1" s="12" t="inlineStr">
        <is>
          <t>Discretionary!A1</t>
        </is>
      </c>
      <c r="I1" s="12" t="inlineStr">
        <is>
          <t>Savings!A1</t>
        </is>
      </c>
      <c r="J1" s="12" t="n"/>
      <c r="K1" s="12" t="n"/>
      <c r="L1" s="12" t="n"/>
      <c r="M1" s="12" t="n"/>
      <c r="N1" s="12" t="n"/>
      <c r="O1" s="12" t="n"/>
    </row>
    <row r="2" ht="70.15000000000001" customFormat="1" customHeight="1" s="7" thickBot="1">
      <c r="B2" s="66" t="inlineStr">
        <is>
          <t>Total cash flow to date:</t>
        </is>
      </c>
      <c r="C2" s="15" t="n"/>
      <c r="D2" s="121" t="n">
        <v>42250</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4" thickTop="1">
      <c r="B3" s="70" t="inlineStr">
        <is>
          <t>Expenses</t>
        </is>
      </c>
      <c r="C3" s="71" t="inlineStr">
        <is>
          <t>Annual</t>
        </is>
      </c>
      <c r="D3" s="71" t="inlineStr">
        <is>
          <t>Monthly</t>
        </is>
      </c>
    </row>
    <row r="4" ht="40.15" customHeight="1" s="112">
      <c r="A4" s="104" t="n"/>
      <c r="B4" s="68" t="inlineStr">
        <is>
          <t>Dining</t>
        </is>
      </c>
      <c r="C4" s="122" t="n">
        <v>1200</v>
      </c>
      <c r="D4" s="122" t="n">
        <v>100</v>
      </c>
      <c r="E4" s="104" t="n"/>
      <c r="F4" s="104" t="n"/>
      <c r="G4" s="104" t="n"/>
      <c r="H4" s="104" t="n"/>
      <c r="I4" s="104" t="n"/>
      <c r="J4" s="104" t="n"/>
      <c r="K4" s="104" t="n"/>
      <c r="L4" s="104" t="n"/>
      <c r="M4" s="104" t="n"/>
      <c r="N4" s="104" t="n"/>
      <c r="O4" s="104" t="n"/>
    </row>
    <row r="5" ht="40.15" customHeight="1" s="112">
      <c r="A5" s="104" t="n"/>
      <c r="B5" s="68" t="inlineStr">
        <is>
          <t>Gifts</t>
        </is>
      </c>
      <c r="C5" s="122" t="n">
        <v>600</v>
      </c>
      <c r="D5" s="122" t="n">
        <v>50</v>
      </c>
      <c r="E5" s="104" t="n"/>
      <c r="F5" s="104" t="n"/>
      <c r="G5" s="104" t="n"/>
      <c r="H5" s="104" t="n"/>
      <c r="I5" s="104" t="n"/>
      <c r="J5" s="104" t="n"/>
      <c r="K5" s="104" t="n"/>
      <c r="L5" s="104" t="n"/>
      <c r="M5" s="104" t="n"/>
      <c r="N5" s="104" t="n"/>
      <c r="O5" s="104" t="n"/>
    </row>
    <row r="6" ht="40.15" customHeight="1" s="112">
      <c r="A6" s="104" t="n"/>
      <c r="B6" s="68" t="inlineStr">
        <is>
          <t>Travel</t>
        </is>
      </c>
      <c r="C6" s="122" t="n">
        <v>2250</v>
      </c>
      <c r="D6" s="122" t="n">
        <v>187.5</v>
      </c>
      <c r="E6" s="104" t="n"/>
      <c r="F6" s="104" t="n"/>
      <c r="G6" s="104" t="n"/>
      <c r="H6" s="104" t="n"/>
      <c r="I6" s="104" t="n"/>
      <c r="J6" s="104" t="n"/>
      <c r="K6" s="104" t="n"/>
      <c r="L6" s="104" t="n"/>
      <c r="M6" s="104" t="n"/>
      <c r="N6" s="104" t="n"/>
      <c r="O6" s="104" t="n"/>
    </row>
    <row r="7" ht="40.15" customHeight="1" s="112">
      <c r="A7" s="104" t="n"/>
      <c r="B7" s="68" t="inlineStr">
        <is>
          <t>Entertainment</t>
        </is>
      </c>
      <c r="C7" s="122" t="n">
        <v>1200</v>
      </c>
      <c r="D7" s="122" t="n">
        <v>100</v>
      </c>
      <c r="E7" s="104" t="n"/>
      <c r="F7" s="104" t="n"/>
      <c r="G7" s="104" t="n"/>
      <c r="H7" s="104" t="n"/>
      <c r="I7" s="104" t="n"/>
      <c r="J7" s="104" t="n"/>
      <c r="K7" s="104" t="n"/>
      <c r="L7" s="104" t="n"/>
      <c r="M7" s="104" t="n"/>
      <c r="N7" s="104" t="n"/>
      <c r="O7" s="104" t="n"/>
    </row>
    <row r="8" ht="40.15" customHeight="1" s="112">
      <c r="A8" s="104" t="n"/>
      <c r="B8" s="68" t="inlineStr">
        <is>
          <t>Personal care</t>
        </is>
      </c>
      <c r="C8" s="122" t="n">
        <v>300</v>
      </c>
      <c r="D8" s="122" t="n">
        <v>25</v>
      </c>
      <c r="E8" s="104" t="n"/>
      <c r="F8" s="104" t="n"/>
      <c r="G8" s="104" t="n"/>
      <c r="H8" s="104" t="n"/>
      <c r="I8" s="104" t="n"/>
      <c r="J8" s="104" t="n"/>
      <c r="K8" s="104" t="n"/>
      <c r="L8" s="104" t="n"/>
      <c r="M8" s="104" t="n"/>
      <c r="N8" s="104" t="n"/>
      <c r="O8" s="104" t="n"/>
    </row>
    <row r="9" ht="40.15" customHeight="1" s="112">
      <c r="A9" s="104" t="n"/>
      <c r="B9" s="68" t="inlineStr">
        <is>
          <t>Shopping</t>
        </is>
      </c>
      <c r="C9" s="122" t="n">
        <v>2000</v>
      </c>
      <c r="D9" s="122" t="n">
        <v>166.6666666666667</v>
      </c>
      <c r="E9" s="104" t="n"/>
      <c r="F9" s="104" t="n"/>
      <c r="G9" s="104" t="n"/>
      <c r="H9" s="104" t="n"/>
      <c r="I9" s="104" t="n"/>
      <c r="J9" s="104" t="n"/>
      <c r="K9" s="104" t="n"/>
      <c r="L9" s="104" t="n"/>
      <c r="M9" s="104" t="n"/>
      <c r="N9" s="104" t="n"/>
      <c r="O9" s="104" t="n"/>
    </row>
    <row r="10" ht="40.15" customHeight="1" s="112">
      <c r="A10" s="104" t="n"/>
      <c r="B10" s="68" t="inlineStr">
        <is>
          <t>Charity</t>
        </is>
      </c>
      <c r="C10" s="122" t="n">
        <v>600</v>
      </c>
      <c r="D10" s="122" t="n">
        <v>50</v>
      </c>
      <c r="E10" s="104" t="n"/>
      <c r="F10" s="104" t="n"/>
      <c r="G10" s="104" t="n"/>
      <c r="H10" s="104" t="n"/>
      <c r="I10" s="104" t="n"/>
      <c r="J10" s="104" t="n"/>
      <c r="K10" s="104" t="n"/>
      <c r="L10" s="104" t="n"/>
      <c r="M10" s="104" t="n"/>
      <c r="N10" s="104" t="n"/>
      <c r="O10" s="104" t="n"/>
    </row>
    <row r="11" ht="40.15" customHeight="1" s="112">
      <c r="A11" s="104" t="n"/>
      <c r="B11" s="68" t="inlineStr">
        <is>
          <t>Club memberships</t>
        </is>
      </c>
      <c r="C11" s="122" t="n">
        <v>300</v>
      </c>
      <c r="D11" s="122" t="n">
        <v>25</v>
      </c>
      <c r="E11" s="104" t="n"/>
      <c r="F11" s="104" t="n"/>
      <c r="G11" s="104" t="n"/>
      <c r="H11" s="104" t="n"/>
      <c r="I11" s="104" t="n"/>
      <c r="J11" s="104" t="n"/>
      <c r="K11" s="104" t="n"/>
      <c r="L11" s="104" t="n"/>
      <c r="M11" s="104" t="n"/>
      <c r="N11" s="104" t="n"/>
      <c r="O11" s="104" t="n"/>
    </row>
    <row r="12" ht="40.15" customHeight="1" s="112">
      <c r="A12" s="104" t="n"/>
      <c r="B12" s="68" t="inlineStr">
        <is>
          <t>Home improvements</t>
        </is>
      </c>
      <c r="C12" s="122" t="n">
        <v>4800</v>
      </c>
      <c r="D12" s="122" t="n">
        <v>400</v>
      </c>
      <c r="E12" s="104" t="n"/>
      <c r="F12" s="104" t="n"/>
      <c r="G12" s="104" t="n"/>
      <c r="H12" s="104" t="n"/>
      <c r="I12" s="104" t="n"/>
      <c r="J12" s="104" t="n"/>
      <c r="K12" s="104" t="n"/>
      <c r="L12" s="104" t="n"/>
      <c r="M12" s="104" t="n"/>
      <c r="N12" s="104" t="n"/>
      <c r="O12" s="104" t="n"/>
    </row>
    <row r="13" ht="40.15" customHeight="1" s="112">
      <c r="A13" s="104" t="n"/>
      <c r="B13" s="68" t="inlineStr">
        <is>
          <t>Other 1</t>
        </is>
      </c>
      <c r="C13" s="122" t="n">
        <v>0</v>
      </c>
      <c r="D13" s="122" t="n">
        <v>0</v>
      </c>
      <c r="E13" s="104" t="n"/>
      <c r="F13" s="104" t="n"/>
      <c r="G13" s="104" t="n"/>
      <c r="H13" s="104" t="n"/>
      <c r="I13" s="104" t="n"/>
      <c r="J13" s="104" t="n"/>
      <c r="K13" s="104" t="n"/>
      <c r="L13" s="104" t="n"/>
      <c r="M13" s="104" t="n"/>
      <c r="N13" s="104" t="n"/>
      <c r="O13" s="104" t="n"/>
    </row>
    <row r="14" ht="40.15" customHeight="1" s="112">
      <c r="A14" s="104" t="n"/>
      <c r="B14" s="68" t="inlineStr">
        <is>
          <t>Other 2</t>
        </is>
      </c>
      <c r="C14" s="122" t="n">
        <v>0</v>
      </c>
      <c r="D14" s="122" t="n">
        <v>0</v>
      </c>
      <c r="E14" s="104" t="n"/>
      <c r="F14" s="104" t="n"/>
      <c r="G14" s="104" t="n"/>
      <c r="H14" s="104" t="n"/>
      <c r="I14" s="104" t="n"/>
      <c r="J14" s="104" t="n"/>
      <c r="K14" s="104" t="n"/>
      <c r="L14" s="104" t="n"/>
      <c r="M14" s="104" t="n"/>
      <c r="N14" s="104" t="n"/>
      <c r="O14" s="104" t="n"/>
    </row>
    <row r="15" ht="40.15" customHeight="1" s="112">
      <c r="A15" s="104" t="n"/>
      <c r="B15" s="67" t="inlineStr">
        <is>
          <t>Total</t>
        </is>
      </c>
      <c r="C15" s="122" t="n">
        <v>13250</v>
      </c>
      <c r="D15" s="122" t="n">
        <v>1104.166666666667</v>
      </c>
      <c r="E15" s="104" t="n"/>
      <c r="F15" s="104" t="n"/>
      <c r="G15" s="104" t="n"/>
      <c r="H15" s="104" t="n"/>
      <c r="I15" s="104" t="n"/>
      <c r="J15" s="104" t="n"/>
      <c r="K15" s="104" t="n"/>
      <c r="L15" s="104" t="n"/>
      <c r="M15" s="104" t="n"/>
      <c r="N15" s="104" t="n"/>
      <c r="O15" s="104" t="n"/>
    </row>
  </sheetData>
  <mergeCells count="2">
    <mergeCell ref="G2:L2"/>
    <mergeCell ref="B1:F1"/>
  </mergeCells>
  <dataValidations count="1">
    <dataValidation sqref="A1" showDropDown="0" showInputMessage="1" showErrorMessage="1" allowBlank="1" prompt="Create Discretionary Cash Flow Statement in this worksheet. _x000a__x000a_Enter details in Discretionary table. Total cash flow to date is automatically calculated in cell D2. Tip is in cell G2."/>
  </dataValidations>
  <hyperlinks>
    <hyperlink ref="G1" location="Expenses!A1" tooltip="Select to navigate to Expenses worksheet" display="EXPENSES"/>
    <hyperlink ref="H1" location="Discretionary!A1" tooltip="Select to navigate to cell A1 in this worksheet" display="DISCRETIONARY"/>
    <hyperlink ref="I1" location="Savings!A1" tooltip="Select to navigate to Saving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theme="5"/>
    <outlinePr summaryBelow="1" summaryRight="1"/>
    <pageSetUpPr autoPageBreaks="0" fitToPage="1"/>
  </sheetPr>
  <dimension ref="A1:O9"/>
  <sheetViews>
    <sheetView showGridLines="0" zoomScaleNormal="100" workbookViewId="0">
      <selection activeCell="A1" sqref="A1"/>
    </sheetView>
  </sheetViews>
  <sheetFormatPr baseColWidth="8" defaultColWidth="16.625" defaultRowHeight="30" customHeight="1"/>
  <cols>
    <col width="2.75" customWidth="1" style="104" min="1" max="1"/>
    <col width="20.75" customWidth="1" style="104" min="2" max="2"/>
    <col width="14.75" customWidth="1" style="104" min="3" max="3"/>
    <col width="16.625" bestFit="1" customWidth="1" style="104" min="4" max="4"/>
    <col width="14.75" customWidth="1" style="104" min="5" max="15"/>
    <col width="2.75" customWidth="1" style="104" min="16" max="16"/>
    <col width="16.625" customWidth="1" style="104" min="17" max="16384"/>
  </cols>
  <sheetData>
    <row r="1" ht="70.15000000000001" customFormat="1" customHeight="1" s="13">
      <c r="A1" s="11" t="n"/>
      <c r="B1" s="93" t="inlineStr">
        <is>
          <t>SAVINGS</t>
        </is>
      </c>
      <c r="G1" s="12" t="inlineStr">
        <is>
          <t>'Annual Cash Flow'!A1</t>
        </is>
      </c>
      <c r="H1" s="12" t="inlineStr">
        <is>
          <t>Savings!A1</t>
        </is>
      </c>
      <c r="I1" s="12" t="n"/>
      <c r="J1" s="11" t="n"/>
      <c r="K1" s="11" t="n"/>
      <c r="L1" s="11" t="n"/>
      <c r="M1" s="11" t="n"/>
      <c r="N1" s="11" t="n"/>
      <c r="O1" s="11" t="n"/>
    </row>
    <row r="2" ht="70.15000000000001" customFormat="1" customHeight="1" s="7">
      <c r="B2" s="48" t="inlineStr">
        <is>
          <t>Total cash flow to date:</t>
        </is>
      </c>
      <c r="C2" s="15" t="n"/>
      <c r="D2" s="123" t="n">
        <v>42250</v>
      </c>
      <c r="E2" s="106" t="n"/>
      <c r="G2" s="102" t="inlineStr">
        <is>
          <t>This is an annual estimation.  Use this worksheet if you wish to view annual amounts with estimated monthly values
If you wish to add daily items to the tables, estimate their annual amount/value and place value in the annual column.</t>
        </is>
      </c>
    </row>
    <row r="3" ht="45" customFormat="1" customHeight="1" s="53">
      <c r="B3" s="70" t="inlineStr">
        <is>
          <t>Savings</t>
        </is>
      </c>
      <c r="C3" s="71" t="inlineStr">
        <is>
          <t>Annual</t>
        </is>
      </c>
      <c r="D3" s="71" t="inlineStr">
        <is>
          <t>Monthly</t>
        </is>
      </c>
    </row>
    <row r="4" ht="40.15" customHeight="1" s="112">
      <c r="A4" s="104" t="n"/>
      <c r="B4" s="68" t="inlineStr">
        <is>
          <t>Cash reserves</t>
        </is>
      </c>
      <c r="C4" s="122" t="n">
        <v>5000</v>
      </c>
      <c r="D4" s="122" t="n">
        <v>416.6666666666667</v>
      </c>
      <c r="E4" s="104" t="n"/>
      <c r="F4" s="104" t="n"/>
      <c r="G4" s="104" t="n"/>
      <c r="H4" s="104" t="n"/>
      <c r="I4" s="104" t="n"/>
      <c r="J4" s="104" t="n"/>
      <c r="K4" s="104" t="n"/>
      <c r="L4" s="104" t="n"/>
      <c r="M4" s="104" t="n"/>
      <c r="N4" s="104" t="n"/>
      <c r="O4" s="104" t="n"/>
    </row>
    <row r="5" ht="40.15" customHeight="1" s="112">
      <c r="A5" s="104" t="n"/>
      <c r="B5" s="68" t="inlineStr">
        <is>
          <t>401k etc.</t>
        </is>
      </c>
      <c r="C5" s="122" t="n">
        <v>12000</v>
      </c>
      <c r="D5" s="122" t="n">
        <v>1000</v>
      </c>
      <c r="E5" s="104" t="n"/>
      <c r="F5" s="104" t="n"/>
      <c r="G5" s="104" t="n"/>
      <c r="H5" s="104" t="n"/>
      <c r="I5" s="104" t="n"/>
      <c r="J5" s="104" t="n"/>
      <c r="K5" s="104" t="n"/>
      <c r="L5" s="104" t="n"/>
      <c r="M5" s="104" t="n"/>
      <c r="N5" s="104" t="n"/>
      <c r="O5" s="104" t="n"/>
    </row>
    <row r="6" ht="40.15" customHeight="1" s="112">
      <c r="A6" s="104" t="n"/>
      <c r="B6" s="68" t="inlineStr">
        <is>
          <t>Savings/investment</t>
        </is>
      </c>
      <c r="C6" s="122" t="n">
        <v>6000</v>
      </c>
      <c r="D6" s="122" t="n">
        <v>500</v>
      </c>
      <c r="E6" s="104" t="n"/>
      <c r="F6" s="104" t="n"/>
      <c r="G6" s="104" t="n"/>
      <c r="H6" s="104" t="n"/>
      <c r="I6" s="104" t="n"/>
      <c r="J6" s="104" t="n"/>
      <c r="K6" s="104" t="n"/>
      <c r="L6" s="104" t="n"/>
      <c r="M6" s="104" t="n"/>
      <c r="N6" s="104" t="n"/>
      <c r="O6" s="104" t="n"/>
    </row>
    <row r="7" ht="40.15" customHeight="1" s="112">
      <c r="A7" s="104" t="n"/>
      <c r="B7" s="68" t="inlineStr">
        <is>
          <t>Other 1</t>
        </is>
      </c>
      <c r="C7" s="122" t="n">
        <v>0</v>
      </c>
      <c r="D7" s="122" t="n">
        <v>0</v>
      </c>
      <c r="E7" s="104" t="n"/>
      <c r="F7" s="104" t="n"/>
      <c r="G7" s="104" t="n"/>
      <c r="H7" s="104" t="n"/>
      <c r="I7" s="104" t="n"/>
      <c r="J7" s="104" t="n"/>
      <c r="K7" s="104" t="n"/>
      <c r="L7" s="104" t="n"/>
      <c r="M7" s="104" t="n"/>
      <c r="N7" s="104" t="n"/>
      <c r="O7" s="104" t="n"/>
    </row>
    <row r="8" ht="40.15" customHeight="1" s="112">
      <c r="A8" s="104" t="n"/>
      <c r="B8" s="68" t="inlineStr">
        <is>
          <t>Other 2</t>
        </is>
      </c>
      <c r="C8" s="122" t="n">
        <v>0</v>
      </c>
      <c r="D8" s="122" t="n">
        <v>0</v>
      </c>
      <c r="E8" s="104" t="n"/>
      <c r="F8" s="104" t="n"/>
      <c r="G8" s="104" t="n"/>
      <c r="H8" s="104" t="n"/>
      <c r="I8" s="104" t="n"/>
      <c r="J8" s="104" t="n"/>
      <c r="K8" s="104" t="n"/>
      <c r="L8" s="104" t="n"/>
      <c r="M8" s="104" t="n"/>
      <c r="N8" s="104" t="n"/>
      <c r="O8" s="104" t="n"/>
    </row>
    <row r="9" ht="40.15" customHeight="1" s="112">
      <c r="A9" s="104" t="n"/>
      <c r="B9" s="67" t="inlineStr">
        <is>
          <t>Total</t>
        </is>
      </c>
      <c r="C9" s="122" t="n">
        <v>23000</v>
      </c>
      <c r="D9" s="122" t="n">
        <v>1916.666666666667</v>
      </c>
      <c r="E9" s="104" t="n"/>
      <c r="F9" s="104" t="n"/>
      <c r="G9" s="104" t="n"/>
      <c r="H9" s="104" t="n"/>
      <c r="I9" s="104" t="n"/>
      <c r="J9" s="104" t="n"/>
      <c r="K9" s="104" t="n"/>
      <c r="L9" s="104" t="n"/>
      <c r="M9" s="104" t="n"/>
      <c r="N9" s="104" t="n"/>
      <c r="O9" s="104" t="n"/>
    </row>
  </sheetData>
  <mergeCells count="2">
    <mergeCell ref="B1:F1"/>
    <mergeCell ref="G2:L2"/>
  </mergeCells>
  <dataValidations count="1">
    <dataValidation sqref="A1" showDropDown="0" showInputMessage="1" showErrorMessage="1" allowBlank="1" prompt="Create Savings Cash Flow Statement in this worksheet. _x000a__x000a_Enter details in Savings table. Total cash flow to date is automatically calculated in cell D2. Tip is in cell G2."/>
  </dataValidations>
  <hyperlinks>
    <hyperlink ref="G1" location="Discretionary!A1" tooltip="Select to navigate to Discretionary worksheet" display="DISCRETIONARY"/>
    <hyperlink ref="H1" location="Savings!A1" tooltip="Select to navigate to cell A1 in this worksheet" display="SAVINGS"/>
  </hyperlinks>
  <printOptions horizontalCentered="1"/>
  <pageMargins left="0.25" right="0.25" top="0.5" bottom="0.5" header="0.3" footer="0.3"/>
  <pageSetup orientation="landscape" scale="84" fitToHeight="0"/>
  <headerFooter differentFirst="1">
    <oddHeader/>
    <oddFooter>&amp;L&amp;C&amp;R</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2023-05-25T19:00:46Z</dcterms:created>
  <dcterms:modified xsi:type="dcterms:W3CDTF">2026-03-05T08:49:34Z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