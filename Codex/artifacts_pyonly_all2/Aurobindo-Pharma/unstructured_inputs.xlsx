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comments/comment7.xml" ContentType="application/vnd.openxmlformats-officedocument.spreadsheetml.comments+xml"/>
  <Override PartName="/xl/worksheets/sheet12.xml" ContentType="application/vnd.openxmlformats-officedocument.spreadsheetml.worksheet+xml"/>
  <Override PartName="/xl/comments/comment8.xml" ContentType="application/vnd.openxmlformats-officedocument.spreadsheetml.comments+xml"/>
  <Override PartName="/xl/worksheets/sheet13.xml" ContentType="application/vnd.openxmlformats-officedocument.spreadsheetml.worksheet+xml"/>
  <Override PartName="/xl/comments/comment9.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sheetId="1" state="visible" r:id="rId1"/>
    <sheet name="Directions" sheetId="2" state="visible" r:id="rId2"/>
    <sheet name="Company Overview" sheetId="3" state="visible" r:id="rId3"/>
    <sheet name="Presentation sheet" sheetId="4" state="visible" r:id="rId4"/>
    <sheet name="Profit &amp; Loss Consolidated" sheetId="5" state="visible" r:id="rId5"/>
    <sheet name="Balance Sheet" sheetId="6" state="visible" r:id="rId6"/>
    <sheet name="Cash Flow Statement" sheetId="7" state="visible" r:id="rId7"/>
    <sheet name="Geographic Revenue Model" sheetId="8" state="visible" r:id="rId8"/>
    <sheet name="Segment Revenue Model" sheetId="9" state="visible" r:id="rId9"/>
    <sheet name="Cost Model" sheetId="10" state="visible" r:id="rId10"/>
    <sheet name="Debt Schedule" sheetId="11" state="visible" r:id="rId11"/>
    <sheet name="Fixed Asset" sheetId="12" state="visible" r:id="rId12"/>
    <sheet name="DCF Valuation" sheetId="13" state="visible" r:id="rId13"/>
  </sheets>
  <definedNames/>
  <calcPr calcId="124519" fullCalcOnLoad="1" refMode="A1" iterate="0" iterateCount="100" iterateDelta="0.001"/>
</workbook>
</file>

<file path=xl/styles.xml><?xml version="1.0" encoding="utf-8"?>
<styleSheet xmlns="http://schemas.openxmlformats.org/spreadsheetml/2006/main">
  <numFmts count="14">
    <numFmt numFmtId="164" formatCode="0.00_);[RED]\(0.00\)"/>
    <numFmt numFmtId="165" formatCode="_(* #,##0.00_);_(* \(#,##0.00\);_(* \-??_);_(@_)"/>
    <numFmt numFmtId="166" formatCode="[$-409]d\-mmm"/>
    <numFmt numFmtId="167" formatCode="_(* #,##0.0_);_(* \(#,##0.0\);_(* \-??_);_(@_)"/>
    <numFmt numFmtId="168" formatCode="0.0"/>
    <numFmt numFmtId="169" formatCode="_(* #,##0.000_);_(* \(#,##0.000\);_(* \-??_);_(@_)"/>
    <numFmt numFmtId="170" formatCode="_(* #,##0.000000_);_(* \(#,##0.000000\);_(* \-??_);_(@_)"/>
    <numFmt numFmtId="171" formatCode="_(* #,##0_);_(* \(#,##0\);_(* \-??_);_(@_)"/>
    <numFmt numFmtId="172" formatCode="0.0%"/>
    <numFmt numFmtId="173" formatCode="0_);[RED]\(0\)"/>
    <numFmt numFmtId="174" formatCode="0.000%"/>
    <numFmt numFmtId="175" formatCode="[$-409]m/d/yyyy"/>
    <numFmt numFmtId="176" formatCode="[$-409]mmm\-yy"/>
    <numFmt numFmtId="177" formatCode="_(\$* #,##0.00_);_(\$* \(#,##0.00\);_(\$* \-??_);_(@_)"/>
  </numFmts>
  <fonts count="52">
    <font>
      <name val="Calibri"/>
      <family val="2"/>
      <color rgb="FF000000"/>
      <sz val="11"/>
    </font>
    <font>
      <name val="Arial"/>
      <family val="0"/>
      <sz val="10"/>
    </font>
    <font>
      <name val="Arial"/>
      <family val="0"/>
      <sz val="10"/>
    </font>
    <font>
      <name val="Arial"/>
      <family val="0"/>
      <sz val="10"/>
    </font>
    <font>
      <name val="Arial"/>
      <family val="2"/>
      <sz val="10"/>
    </font>
    <font>
      <name val="Arial"/>
      <family val="2"/>
      <sz val="8"/>
    </font>
    <font>
      <name val="Calibri"/>
      <family val="2"/>
      <b val="1"/>
      <color rgb="FF333333"/>
      <sz val="22"/>
      <u val="single"/>
    </font>
    <font>
      <name val="Calibri"/>
      <family val="2"/>
      <b val="1"/>
      <color rgb="FF808080"/>
      <sz val="32"/>
    </font>
    <font>
      <name val="Calibri"/>
      <family val="2"/>
      <b val="1"/>
      <color rgb="FF333333"/>
      <sz val="11"/>
    </font>
    <font>
      <name val="Calibri"/>
      <family val="2"/>
      <color rgb="FF0000FF"/>
      <sz val="11"/>
      <u val="single"/>
    </font>
    <font>
      <name val="Tahoma"/>
      <family val="2"/>
      <b val="1"/>
      <color rgb="FF333333"/>
      <sz val="9"/>
    </font>
    <font>
      <name val="Tahoma"/>
      <family val="2"/>
      <color rgb="FF333333"/>
      <sz val="9"/>
    </font>
    <font>
      <name val="Arial"/>
      <family val="2"/>
      <b val="1"/>
      <color rgb="FF993300"/>
      <sz val="14"/>
    </font>
    <font>
      <name val="Arial"/>
      <family val="2"/>
      <color rgb="FF0000FF"/>
      <sz val="10"/>
      <u val="single"/>
    </font>
    <font>
      <name val="Arial"/>
      <family val="2"/>
      <i val="1"/>
      <sz val="10"/>
    </font>
    <font>
      <name val="Calibri"/>
      <family val="2"/>
      <b val="1"/>
      <color rgb="FF000000"/>
      <sz val="14"/>
    </font>
    <font>
      <name val="Calibri"/>
      <family val="2"/>
      <b val="1"/>
      <color rgb="FF000000"/>
      <sz val="12"/>
    </font>
    <font>
      <name val="Calibri"/>
      <family val="2"/>
      <sz val="11"/>
    </font>
    <font>
      <name val="Calibri"/>
      <family val="2"/>
      <b val="1"/>
      <color rgb="FFFFFFFF"/>
      <sz val="11"/>
    </font>
    <font>
      <name val="Calibri"/>
      <family val="2"/>
      <b val="1"/>
      <color rgb="FF000000"/>
      <sz val="11"/>
    </font>
    <font>
      <name val="Calibri"/>
      <family val="2"/>
      <b val="1"/>
      <sz val="11"/>
    </font>
    <font>
      <name val="Calibri"/>
      <family val="2"/>
      <b val="1"/>
      <color rgb="FF0000FF"/>
      <sz val="11"/>
    </font>
    <font>
      <name val="Calibri"/>
      <family val="2"/>
      <color rgb="FF0000FF"/>
      <sz val="11"/>
    </font>
    <font>
      <name val="Calibri"/>
      <family val="2"/>
      <color rgb="FF000000"/>
      <sz val="10"/>
    </font>
    <font>
      <name val="Calibri"/>
      <family val="2"/>
      <color rgb="FFFFFFFF"/>
      <sz val="9"/>
    </font>
    <font>
      <name val="Calibri"/>
      <family val="2"/>
      <color rgb="FFFFFFFF"/>
      <sz val="10"/>
    </font>
    <font>
      <name val="Calibri"/>
      <family val="2"/>
      <i val="1"/>
      <sz val="11"/>
    </font>
    <font>
      <name val="Calibri"/>
      <family val="2"/>
      <i val="1"/>
      <color rgb="FF000000"/>
      <sz val="11"/>
    </font>
    <font>
      <name val="Calibri"/>
      <family val="2"/>
      <b val="1"/>
      <i val="1"/>
      <color rgb="FF000000"/>
      <sz val="11"/>
    </font>
    <font>
      <name val="Arial"/>
      <family val="2"/>
      <b val="1"/>
      <sz val="8"/>
    </font>
    <font>
      <name val="Arial"/>
      <family val="2"/>
      <b val="1"/>
      <color rgb="FF0000FF"/>
      <sz val="8"/>
    </font>
    <font>
      <name val="Arial"/>
      <family val="2"/>
      <b val="1"/>
      <color rgb="FFFF0000"/>
      <sz val="8"/>
    </font>
    <font>
      <name val="Calibri"/>
      <family val="2"/>
      <b val="1"/>
      <color rgb="FFFF0000"/>
      <sz val="11"/>
    </font>
    <font>
      <name val="Calibri"/>
      <family val="2"/>
      <color rgb="FFFF0000"/>
      <sz val="11"/>
    </font>
    <font>
      <name val="Tahoma"/>
      <family val="2"/>
      <b val="1"/>
      <color rgb="FF000000"/>
      <sz val="8"/>
    </font>
    <font>
      <name val="Tahoma"/>
      <family val="2"/>
      <color rgb="FF000000"/>
      <sz val="8"/>
    </font>
    <font>
      <name val="Calibri"/>
      <family val="2"/>
      <b val="1"/>
      <color rgb="FF000000"/>
      <sz val="11"/>
      <u val="single"/>
    </font>
    <font>
      <name val="Calibri"/>
      <family val="2"/>
      <color rgb="FF000000"/>
      <sz val="11"/>
      <u val="single"/>
    </font>
    <font>
      <name val="Calibri"/>
      <family val="2"/>
      <color rgb="FFFF0000"/>
      <sz val="11"/>
      <u val="single"/>
    </font>
    <font>
      <name val="Calibri"/>
      <family val="2"/>
      <b val="1"/>
      <sz val="11"/>
      <u val="single"/>
    </font>
    <font>
      <name val="Calibri"/>
      <family val="2"/>
      <color rgb="FFFFFFFF"/>
      <sz val="11"/>
    </font>
    <font>
      <name val="Calibri"/>
      <family val="2"/>
      <i val="1"/>
      <color rgb="FFFF0000"/>
      <sz val="11"/>
    </font>
    <font>
      <name val="Calibri"/>
      <family val="2"/>
      <b val="1"/>
      <i val="1"/>
      <sz val="11"/>
    </font>
    <font>
      <name val="Calibri"/>
      <family val="2"/>
      <i val="1"/>
      <color rgb="FF0000FF"/>
      <sz val="11"/>
    </font>
    <font>
      <name val="Calibri"/>
      <family val="2"/>
      <b val="1"/>
      <sz val="12"/>
    </font>
    <font>
      <name val="Calibri"/>
      <family val="2"/>
      <b val="1"/>
      <color rgb="FF993300"/>
      <sz val="11"/>
    </font>
    <font>
      <name val="Calibri"/>
      <family val="2"/>
      <sz val="8"/>
    </font>
    <font>
      <name val="Calibri"/>
      <family val="2"/>
      <color rgb="FF000000"/>
      <sz val="8"/>
    </font>
    <font>
      <name val="Calibri"/>
      <family val="2"/>
      <color rgb="FFFF6600"/>
      <sz val="11"/>
    </font>
    <font>
      <name val="Calibri"/>
      <family val="2"/>
      <b val="1"/>
      <sz val="8"/>
    </font>
    <font>
      <name val="Tahoma"/>
      <family val="2"/>
      <b val="1"/>
      <color rgb="FF000000"/>
      <sz val="9"/>
    </font>
    <font>
      <name val="Tahoma"/>
      <family val="2"/>
      <color rgb="FF000000"/>
      <sz val="9"/>
    </font>
  </fonts>
  <fills count="10">
    <fill>
      <patternFill/>
    </fill>
    <fill>
      <patternFill patternType="gray125"/>
    </fill>
    <fill>
      <patternFill patternType="solid">
        <fgColor rgb="FFFFCC00"/>
        <bgColor rgb="FFFFFF00"/>
      </patternFill>
    </fill>
    <fill>
      <patternFill patternType="solid">
        <fgColor rgb="FFFFFFFF"/>
        <bgColor rgb="FFFFFFCC"/>
      </patternFill>
    </fill>
    <fill>
      <patternFill patternType="solid">
        <fgColor rgb="FF333399"/>
        <bgColor rgb="FF003366"/>
      </patternFill>
    </fill>
    <fill>
      <patternFill patternType="solid">
        <fgColor rgb="FFCC99FF"/>
        <bgColor rgb="FF9999FF"/>
      </patternFill>
    </fill>
    <fill>
      <patternFill patternType="solid">
        <fgColor rgb="FFFFFF00"/>
        <bgColor rgb="FFFFFF00"/>
      </patternFill>
    </fill>
    <fill>
      <patternFill patternType="solid">
        <fgColor rgb="FFFFFF99"/>
        <bgColor rgb="FFFFFFCC"/>
      </patternFill>
    </fill>
    <fill>
      <patternFill patternType="solid">
        <fgColor rgb="FF0066CC"/>
        <bgColor rgb="FF008080"/>
      </patternFill>
    </fill>
    <fill>
      <patternFill patternType="solid">
        <fgColor rgb="FFCCCCFF"/>
        <bgColor rgb="FFC0C0C0"/>
      </patternFill>
    </fill>
  </fills>
  <borders count="15">
    <border>
      <left/>
      <right/>
      <top/>
      <bottom/>
      <diagonal/>
    </border>
    <border>
      <left/>
      <right style="medium">
        <color rgb="FFFFCC00"/>
      </right>
      <top/>
      <bottom/>
      <diagonal/>
    </border>
    <border>
      <left/>
      <right/>
      <top/>
      <bottom style="medium">
        <color rgb="FFFFCC00"/>
      </bottom>
      <diagonal/>
    </border>
    <border>
      <left/>
      <right style="medium">
        <color rgb="FFFFCC00"/>
      </right>
      <top/>
      <bottom style="medium">
        <color rgb="FFFFCC00"/>
      </bottom>
      <diagonal/>
    </border>
    <border>
      <left/>
      <right/>
      <top/>
      <bottom style="medium">
        <color rgb="FF0000FF"/>
      </bottom>
      <diagonal/>
    </border>
    <border>
      <left/>
      <right/>
      <top/>
      <bottom style="thin">
        <color rgb="FF0000FF"/>
      </bottom>
      <diagonal/>
    </border>
    <border>
      <left/>
      <right/>
      <top style="thin"/>
      <bottom style="double"/>
      <diagonal/>
    </border>
    <border>
      <left/>
      <right/>
      <top/>
      <bottom style="double"/>
      <diagonal/>
    </border>
    <border>
      <left/>
      <right/>
      <top style="medium">
        <color rgb="FF0000FF"/>
      </top>
      <bottom/>
      <diagonal/>
    </border>
    <border>
      <left/>
      <right/>
      <top/>
      <bottom style="thin"/>
      <diagonal/>
    </border>
    <border>
      <left/>
      <right/>
      <top style="medium">
        <color rgb="FF9999FF"/>
      </top>
      <bottom/>
      <diagonal/>
    </border>
    <border>
      <left/>
      <right/>
      <top/>
      <bottom style="thin">
        <color rgb="FF808080"/>
      </bottom>
      <diagonal/>
    </border>
    <border>
      <left/>
      <right/>
      <top/>
      <bottom style="medium">
        <color rgb="FF9999FF"/>
      </bottom>
      <diagonal/>
    </border>
    <border>
      <left style="thin">
        <color rgb="FF0000FF"/>
      </left>
      <right/>
      <top/>
      <bottom/>
      <diagonal/>
    </border>
    <border>
      <left style="thin">
        <color rgb="FF0000FF"/>
      </left>
      <right/>
      <top/>
      <bottom style="thin">
        <color rgb="FF0000FF"/>
      </bottom>
      <diagonal/>
    </border>
  </borders>
  <cellStyleXfs count="11">
    <xf numFmtId="0" fontId="0" fillId="0" borderId="0" applyAlignment="1">
      <alignment horizontal="general" vertical="bottom"/>
    </xf>
    <xf numFmtId="165" fontId="0" fillId="0" borderId="0"/>
    <xf numFmtId="41" fontId="3" fillId="0" borderId="0"/>
    <xf numFmtId="177" fontId="0" fillId="0" borderId="0"/>
    <xf numFmtId="42" fontId="3" fillId="0" borderId="0"/>
    <xf numFmtId="9" fontId="0" fillId="0" borderId="0"/>
    <xf numFmtId="0" fontId="9" fillId="0" borderId="0"/>
    <xf numFmtId="0" fontId="4" fillId="0" borderId="0" applyAlignment="1">
      <alignment horizontal="general" vertical="bottom"/>
    </xf>
    <xf numFmtId="0" fontId="4" fillId="0" borderId="0" applyAlignment="1">
      <alignment horizontal="general" vertical="bottom"/>
    </xf>
    <xf numFmtId="0" fontId="5" fillId="0" borderId="0" applyAlignment="1">
      <alignment horizontal="general" vertical="bottom"/>
    </xf>
    <xf numFmtId="9" fontId="0" fillId="0" borderId="0"/>
  </cellStyleXfs>
  <cellXfs count="84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6" fillId="0" borderId="0" applyAlignment="1" pivotButton="0" quotePrefix="0" xfId="0">
      <alignment horizontal="center" vertical="bottom"/>
    </xf>
    <xf numFmtId="0" fontId="7" fillId="0" borderId="0" applyAlignment="1" pivotButton="0" quotePrefix="0" xfId="0">
      <alignment horizontal="center" vertical="bottom"/>
    </xf>
    <xf numFmtId="0" fontId="8" fillId="0" borderId="0" applyAlignment="1" pivotButton="0" quotePrefix="0" xfId="0">
      <alignment horizontal="center" vertical="bottom"/>
    </xf>
    <xf numFmtId="0" fontId="9" fillId="0" borderId="0" applyAlignment="1" pivotButton="0" quotePrefix="0" xfId="20">
      <alignment horizontal="center" vertical="bottom"/>
    </xf>
    <xf numFmtId="0" fontId="10" fillId="0" borderId="0" applyAlignment="1" pivotButton="0" quotePrefix="0" xfId="0">
      <alignment horizontal="center" vertical="bottom"/>
    </xf>
    <xf numFmtId="0" fontId="0" fillId="0" borderId="0" applyAlignment="1" pivotButton="0" quotePrefix="0" xfId="0">
      <alignment horizontal="center" vertical="bottom"/>
    </xf>
    <xf numFmtId="0" fontId="11" fillId="0" borderId="0" applyAlignment="1" pivotButton="0" quotePrefix="0" xfId="0">
      <alignment horizontal="center" vertical="bottom"/>
    </xf>
    <xf numFmtId="0" fontId="12" fillId="2" borderId="0" applyAlignment="1" pivotButton="0" quotePrefix="0" xfId="22">
      <alignment horizontal="general" vertical="bottom"/>
    </xf>
    <xf numFmtId="0" fontId="4" fillId="2" borderId="0" applyAlignment="1" pivotButton="0" quotePrefix="0" xfId="22">
      <alignment horizontal="general" vertical="bottom"/>
    </xf>
    <xf numFmtId="0" fontId="4" fillId="2" borderId="1" applyAlignment="1" pivotButton="0" quotePrefix="0" xfId="22">
      <alignment horizontal="general" vertical="bottom"/>
    </xf>
    <xf numFmtId="0" fontId="4" fillId="3" borderId="0" applyAlignment="1" pivotButton="0" quotePrefix="0" xfId="22">
      <alignment horizontal="general" vertical="bottom"/>
    </xf>
    <xf numFmtId="0" fontId="4" fillId="3" borderId="1" applyAlignment="1" pivotButton="0" quotePrefix="0" xfId="22">
      <alignment horizontal="general" vertical="bottom"/>
    </xf>
    <xf numFmtId="0" fontId="4" fillId="3" borderId="1" applyAlignment="1" pivotButton="0" quotePrefix="0" xfId="22">
      <alignment horizontal="left" vertical="top" wrapText="1"/>
    </xf>
    <xf numFmtId="0" fontId="4" fillId="3" borderId="0" applyAlignment="1" pivotButton="0" quotePrefix="0" xfId="22">
      <alignment horizontal="general" vertical="top" wrapText="1"/>
    </xf>
    <xf numFmtId="0" fontId="4" fillId="3" borderId="1" applyAlignment="1" pivotButton="0" quotePrefix="0" xfId="22">
      <alignment horizontal="general" vertical="top" wrapText="1"/>
    </xf>
    <xf numFmtId="0" fontId="4" fillId="3" borderId="0" applyAlignment="1" pivotButton="0" quotePrefix="0" xfId="22">
      <alignment horizontal="left" vertical="top" wrapText="1"/>
    </xf>
    <xf numFmtId="0" fontId="11" fillId="0" borderId="0" applyAlignment="1" pivotButton="0" quotePrefix="0" xfId="0">
      <alignment horizontal="left" vertical="bottom"/>
    </xf>
    <xf numFmtId="0" fontId="0" fillId="0" borderId="0" applyAlignment="1" pivotButton="0" quotePrefix="0" xfId="0">
      <alignment horizontal="general" vertical="bottom"/>
    </xf>
    <xf numFmtId="0" fontId="4" fillId="3" borderId="1" applyAlignment="1" pivotButton="0" quotePrefix="0" xfId="22">
      <alignment horizontal="left" vertical="top" wrapText="1"/>
    </xf>
    <xf numFmtId="0" fontId="4" fillId="3" borderId="0" applyAlignment="1" pivotButton="0" quotePrefix="0" xfId="22">
      <alignment horizontal="general" vertical="bottom"/>
    </xf>
    <xf numFmtId="0" fontId="13" fillId="3" borderId="0" applyAlignment="1" pivotButton="0" quotePrefix="0" xfId="20">
      <alignment horizontal="general" vertical="bottom"/>
    </xf>
    <xf numFmtId="0" fontId="10" fillId="0" borderId="0" applyAlignment="1" pivotButton="0" quotePrefix="0" xfId="0">
      <alignment horizontal="left" vertical="bottom"/>
    </xf>
    <xf numFmtId="0" fontId="4" fillId="3" borderId="2" applyAlignment="1" pivotButton="0" quotePrefix="0" xfId="22">
      <alignment horizontal="general" vertical="bottom"/>
    </xf>
    <xf numFmtId="0" fontId="4" fillId="3" borderId="2" applyAlignment="1" pivotButton="0" quotePrefix="0" xfId="22">
      <alignment horizontal="general" vertical="bottom"/>
    </xf>
    <xf numFmtId="0" fontId="13" fillId="3" borderId="2" applyAlignment="1" pivotButton="0" quotePrefix="0" xfId="20">
      <alignment horizontal="general" vertical="bottom"/>
    </xf>
    <xf numFmtId="0" fontId="4" fillId="3" borderId="3" applyAlignment="1" pivotButton="0" quotePrefix="0" xfId="22">
      <alignment horizontal="general" vertical="bottom"/>
    </xf>
    <xf numFmtId="0" fontId="14" fillId="3" borderId="0" applyAlignment="1" pivotButton="0" quotePrefix="0" xfId="22">
      <alignment horizontal="left" vertical="top" wrapText="1"/>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4" applyAlignment="1" pivotButton="0" quotePrefix="0" xfId="0">
      <alignment horizontal="general" vertical="bottom"/>
    </xf>
    <xf numFmtId="0" fontId="17" fillId="0" borderId="0" applyAlignment="1" pivotButton="0" quotePrefix="0" xfId="0">
      <alignment horizontal="general" vertical="bottom"/>
    </xf>
    <xf numFmtId="164" fontId="18" fillId="4" borderId="0" applyAlignment="1" pivotButton="0" quotePrefix="0" xfId="0">
      <alignment horizontal="general" vertical="bottom"/>
    </xf>
    <xf numFmtId="164" fontId="18" fillId="4" borderId="0" applyAlignment="1" pivotButton="0" quotePrefix="0" xfId="0">
      <alignment horizontal="general" vertical="bottom"/>
    </xf>
    <xf numFmtId="0" fontId="0" fillId="0" borderId="5" applyAlignment="1" pivotButton="0" quotePrefix="0" xfId="0">
      <alignment horizontal="left" vertical="top"/>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center" vertical="bottom"/>
    </xf>
    <xf numFmtId="0" fontId="0" fillId="0" borderId="0" applyAlignment="1" pivotButton="0" quotePrefix="0" xfId="0">
      <alignment horizontal="justify" vertical="bottom" wrapText="1"/>
    </xf>
    <xf numFmtId="0" fontId="0" fillId="0" borderId="0" applyAlignment="1" pivotButton="0" quotePrefix="0" xfId="0">
      <alignment horizontal="justify" vertical="bottom" wrapText="1"/>
    </xf>
    <xf numFmtId="165" fontId="0" fillId="0" borderId="0" applyAlignment="1" pivotButton="0" quotePrefix="0" xfId="0">
      <alignment horizontal="center" vertical="bottom"/>
    </xf>
    <xf numFmtId="0" fontId="0" fillId="0" borderId="0" applyAlignment="1" pivotButton="0" quotePrefix="0" xfId="0">
      <alignment horizontal="left" vertical="bottom" indent="1"/>
    </xf>
    <xf numFmtId="166" fontId="0" fillId="0" borderId="0" applyAlignment="1" pivotButton="0" quotePrefix="0" xfId="0">
      <alignment horizontal="center" vertical="bottom"/>
    </xf>
    <xf numFmtId="0" fontId="0" fillId="0" borderId="0" applyAlignment="1" pivotButton="0" quotePrefix="0" xfId="0">
      <alignment horizontal="left" vertical="top"/>
    </xf>
    <xf numFmtId="0" fontId="0" fillId="0" borderId="0" applyAlignment="1" pivotButton="0" quotePrefix="0" xfId="0">
      <alignment horizontal="general" vertical="bottom"/>
    </xf>
    <xf numFmtId="0" fontId="0" fillId="0" borderId="5" applyAlignment="1" pivotButton="0" quotePrefix="0" xfId="0">
      <alignment horizontal="general" vertical="bottom"/>
    </xf>
    <xf numFmtId="0" fontId="0" fillId="0" borderId="0" applyAlignment="1" pivotButton="0" quotePrefix="0" xfId="0">
      <alignment horizontal="left" vertical="top"/>
    </xf>
    <xf numFmtId="0" fontId="19" fillId="0" borderId="6" applyAlignment="1" pivotButton="0" quotePrefix="0" xfId="0">
      <alignment horizontal="general" vertical="center"/>
    </xf>
    <xf numFmtId="164" fontId="19" fillId="0" borderId="7" applyAlignment="1" pivotButton="0" quotePrefix="0" xfId="0">
      <alignment horizontal="center" vertical="center" wrapText="1"/>
    </xf>
    <xf numFmtId="164" fontId="20" fillId="5" borderId="7" applyAlignment="1" pivotButton="0" quotePrefix="0" xfId="0">
      <alignment horizontal="center" vertical="center"/>
    </xf>
    <xf numFmtId="164" fontId="21" fillId="0" borderId="7" applyAlignment="1" pivotButton="0" quotePrefix="0" xfId="0">
      <alignment horizontal="center" vertical="center" wrapText="1"/>
    </xf>
    <xf numFmtId="164" fontId="21" fillId="5" borderId="7" applyAlignment="1" pivotButton="0" quotePrefix="0" xfId="0">
      <alignment horizontal="center" vertical="center"/>
    </xf>
    <xf numFmtId="165" fontId="21" fillId="0" borderId="7" applyAlignment="1" pivotButton="0" quotePrefix="0" xfId="15">
      <alignment horizontal="center" vertical="center" wrapText="1"/>
    </xf>
    <xf numFmtId="0" fontId="17" fillId="0" borderId="0" applyAlignment="1" pivotButton="0" quotePrefix="0" xfId="23">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0" borderId="0" applyAlignment="1" pivotButton="0" quotePrefix="0" xfId="0">
      <alignment horizontal="general" vertical="bottom" wrapText="1"/>
    </xf>
    <xf numFmtId="10" fontId="0" fillId="0" borderId="0" applyAlignment="1" pivotButton="0" quotePrefix="0" xfId="0">
      <alignment horizontal="general" vertical="bottom"/>
    </xf>
    <xf numFmtId="10" fontId="0" fillId="5" borderId="0" applyAlignment="1" pivotButton="0" quotePrefix="0" xfId="0">
      <alignment horizontal="general" vertical="bottom"/>
    </xf>
    <xf numFmtId="167" fontId="17" fillId="0" borderId="0" applyAlignment="1" pivotButton="0" quotePrefix="0" xfId="15">
      <alignment horizontal="general" vertical="bottom" wrapText="1"/>
    </xf>
    <xf numFmtId="2" fontId="0" fillId="0" borderId="0" applyAlignment="1" pivotButton="0" quotePrefix="0" xfId="0">
      <alignment horizontal="general" vertical="bottom"/>
    </xf>
    <xf numFmtId="2" fontId="0" fillId="5" borderId="0" applyAlignment="1" pivotButton="0" quotePrefix="0" xfId="0">
      <alignment horizontal="general" vertical="bottom"/>
    </xf>
    <xf numFmtId="10" fontId="22" fillId="0" borderId="0" applyAlignment="1" pivotButton="0" quotePrefix="0" xfId="19">
      <alignment horizontal="center" vertical="bottom" wrapText="1"/>
    </xf>
    <xf numFmtId="0" fontId="0" fillId="5" borderId="0" applyAlignment="1" pivotButton="0" quotePrefix="0" xfId="0">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5" borderId="0" applyAlignment="1" pivotButton="0" quotePrefix="0" xfId="0">
      <alignment horizontal="general" vertical="bottom" wrapText="1"/>
    </xf>
    <xf numFmtId="2" fontId="17" fillId="5" borderId="0" applyAlignment="1" pivotButton="0" quotePrefix="0" xfId="0">
      <alignment horizontal="general" vertical="bottom" wrapText="1"/>
    </xf>
    <xf numFmtId="10" fontId="0" fillId="0" borderId="0" applyAlignment="1" pivotButton="0" quotePrefix="0" xfId="19">
      <alignment horizontal="center" vertical="bottom" wrapText="1"/>
    </xf>
    <xf numFmtId="165" fontId="17" fillId="0" borderId="0" applyAlignment="1" pivotButton="0" quotePrefix="0" xfId="0">
      <alignment horizontal="general" vertical="bottom" wrapText="1"/>
    </xf>
    <xf numFmtId="164" fontId="18" fillId="4" borderId="0" applyAlignment="1" pivotButton="0" quotePrefix="0" xfId="0">
      <alignment horizontal="general" vertical="bottom" wrapText="1"/>
    </xf>
    <xf numFmtId="0" fontId="0" fillId="0" borderId="0" applyAlignment="1" pivotButton="0" quotePrefix="0" xfId="0">
      <alignment horizontal="general" vertical="bottom"/>
    </xf>
    <xf numFmtId="165" fontId="0" fillId="0" borderId="0" applyAlignment="1" pivotButton="0" quotePrefix="0" xfId="15">
      <alignment horizontal="general" vertical="bottom"/>
    </xf>
    <xf numFmtId="0" fontId="19" fillId="0" borderId="0" applyAlignment="1" pivotButton="0" quotePrefix="0" xfId="0">
      <alignment horizontal="general" vertical="bottom"/>
    </xf>
    <xf numFmtId="164" fontId="17" fillId="0" borderId="0" applyAlignment="1" pivotButton="0" quotePrefix="0" xfId="0">
      <alignment horizontal="center" vertical="center"/>
    </xf>
    <xf numFmtId="165" fontId="17" fillId="0" borderId="0" applyAlignment="1" pivotButton="0" quotePrefix="0" xfId="15">
      <alignment horizontal="center" vertical="center"/>
    </xf>
    <xf numFmtId="0" fontId="19" fillId="0" borderId="0" applyAlignment="1" pivotButton="0" quotePrefix="0" xfId="0">
      <alignment horizontal="general" vertical="bottom"/>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15">
      <alignment horizontal="center" vertical="top"/>
    </xf>
    <xf numFmtId="165" fontId="17" fillId="0" borderId="0" applyAlignment="1" pivotButton="0" quotePrefix="0" xfId="15">
      <alignment horizontal="general" vertical="top"/>
    </xf>
    <xf numFmtId="9" fontId="0" fillId="0" borderId="0" applyAlignment="1" pivotButton="0" quotePrefix="0" xfId="19">
      <alignment horizontal="general" vertical="bottom"/>
    </xf>
    <xf numFmtId="9" fontId="0" fillId="0" borderId="0" applyAlignment="1" pivotButton="0" quotePrefix="0" xfId="19">
      <alignment horizontal="general" vertical="top"/>
    </xf>
    <xf numFmtId="165" fontId="17" fillId="0" borderId="4" applyAlignment="1" pivotButton="0" quotePrefix="0" xfId="15">
      <alignment horizontal="general" vertical="bottom"/>
    </xf>
    <xf numFmtId="0" fontId="19" fillId="0" borderId="0" applyAlignment="1" pivotButton="0" quotePrefix="0" xfId="0">
      <alignment horizontal="general" vertical="center"/>
    </xf>
    <xf numFmtId="164" fontId="20" fillId="5" borderId="0" applyAlignment="1" pivotButton="0" quotePrefix="0" xfId="0">
      <alignment horizontal="center" vertical="center"/>
    </xf>
    <xf numFmtId="164" fontId="19" fillId="0" borderId="0" applyAlignment="1" pivotButton="0" quotePrefix="0" xfId="0">
      <alignment horizontal="center" vertical="center" wrapText="1"/>
    </xf>
    <xf numFmtId="164" fontId="21" fillId="0" borderId="0" applyAlignment="1" pivotButton="0" quotePrefix="0" xfId="0">
      <alignment horizontal="center" vertical="center" wrapText="1"/>
    </xf>
    <xf numFmtId="164" fontId="21" fillId="5" borderId="0" applyAlignment="1" pivotButton="0" quotePrefix="0" xfId="0">
      <alignment horizontal="center" vertical="center"/>
    </xf>
    <xf numFmtId="165" fontId="21" fillId="0" borderId="0" applyAlignment="1" pivotButton="0" quotePrefix="0" xfId="15">
      <alignment horizontal="center" vertical="center" wrapText="1"/>
    </xf>
    <xf numFmtId="0" fontId="17" fillId="5" borderId="4" applyAlignment="1" pivotButton="0" quotePrefix="0" xfId="0">
      <alignment horizontal="general" vertical="bottom"/>
    </xf>
    <xf numFmtId="10" fontId="22" fillId="0" borderId="8" applyAlignment="1" pivotButton="0" quotePrefix="0" xfId="19">
      <alignment horizontal="center" vertical="center" wrapText="1"/>
    </xf>
    <xf numFmtId="165" fontId="19" fillId="5" borderId="0" applyAlignment="1" pivotButton="0" quotePrefix="0" xfId="0">
      <alignment horizontal="general" vertical="bottom"/>
    </xf>
    <xf numFmtId="165" fontId="19" fillId="0" borderId="0" applyAlignment="1" pivotButton="0" quotePrefix="0" xfId="0">
      <alignment horizontal="general" vertical="bottom"/>
    </xf>
    <xf numFmtId="0" fontId="0" fillId="0" borderId="0" applyAlignment="1" pivotButton="0" quotePrefix="0" xfId="0">
      <alignment horizontal="left" vertical="bottom"/>
    </xf>
    <xf numFmtId="0" fontId="19" fillId="0" borderId="0" applyAlignment="1" pivotButton="0" quotePrefix="0" xfId="0">
      <alignment horizontal="general" vertical="bottom"/>
    </xf>
    <xf numFmtId="0" fontId="17" fillId="0" borderId="0" applyAlignment="1" pivotButton="0" quotePrefix="0" xfId="0">
      <alignment horizontal="left" vertical="bottom" wrapText="1" indent="1"/>
    </xf>
    <xf numFmtId="0" fontId="20" fillId="0" borderId="0" applyAlignment="1" pivotButton="0" quotePrefix="0" xfId="0">
      <alignment horizontal="left" vertical="bottom" wrapText="1"/>
    </xf>
    <xf numFmtId="0" fontId="26" fillId="0" borderId="0" applyAlignment="1" pivotButton="0" quotePrefix="0" xfId="0">
      <alignment horizontal="left" vertical="bottom" wrapText="1"/>
    </xf>
    <xf numFmtId="10" fontId="27" fillId="5" borderId="0" applyAlignment="1" pivotButton="0" quotePrefix="0" xfId="19">
      <alignment horizontal="general" vertical="bottom"/>
    </xf>
    <xf numFmtId="10" fontId="27" fillId="0" borderId="0" applyAlignment="1" pivotButton="0" quotePrefix="0" xfId="19">
      <alignment horizontal="general" vertical="bottom"/>
    </xf>
    <xf numFmtId="0" fontId="27" fillId="0" borderId="0" applyAlignment="1" pivotButton="0" quotePrefix="0" xfId="0">
      <alignment horizontal="general" vertical="bottom"/>
    </xf>
    <xf numFmtId="10" fontId="27" fillId="5" borderId="0" applyAlignment="1" pivotButton="0" quotePrefix="0" xfId="0">
      <alignment horizontal="general" vertical="bottom"/>
    </xf>
    <xf numFmtId="10" fontId="27" fillId="0" borderId="0" applyAlignment="1" pivotButton="0" quotePrefix="0" xfId="0">
      <alignment horizontal="general" vertical="bottom"/>
    </xf>
    <xf numFmtId="10" fontId="0" fillId="0" borderId="0" applyAlignment="1" pivotButton="0" quotePrefix="0" xfId="19">
      <alignment horizontal="general" vertical="bottom"/>
    </xf>
    <xf numFmtId="0" fontId="20" fillId="0" borderId="0" applyAlignment="1" pivotButton="0" quotePrefix="0" xfId="0">
      <alignment horizontal="general" vertical="bottom" wrapText="1"/>
    </xf>
    <xf numFmtId="0" fontId="26" fillId="0" borderId="0" applyAlignment="1" pivotButton="0" quotePrefix="0" xfId="0">
      <alignment horizontal="general" vertical="bottom" wrapText="1"/>
    </xf>
    <xf numFmtId="9" fontId="0" fillId="5" borderId="0" applyAlignment="1" pivotButton="0" quotePrefix="0" xfId="19">
      <alignment horizontal="general" vertical="bottom"/>
    </xf>
    <xf numFmtId="0" fontId="0" fillId="0" borderId="0" applyAlignment="1" pivotButton="0" quotePrefix="0" xfId="0">
      <alignment horizontal="general" vertical="bottom" wrapText="1"/>
    </xf>
    <xf numFmtId="0" fontId="28" fillId="0" borderId="0" applyAlignment="1" pivotButton="0" quotePrefix="0" xfId="0">
      <alignment horizontal="general" vertical="bottom"/>
    </xf>
    <xf numFmtId="0" fontId="27" fillId="0" borderId="0" applyAlignment="1" pivotButton="0" quotePrefix="0" xfId="0">
      <alignment horizontal="general" vertical="bottom"/>
    </xf>
    <xf numFmtId="0" fontId="17" fillId="5" borderId="0" applyAlignment="1" pivotButton="0" quotePrefix="0" xfId="0">
      <alignment horizontal="general" vertical="bottom"/>
    </xf>
    <xf numFmtId="10" fontId="22" fillId="0" borderId="0" applyAlignment="1" pivotButton="0" quotePrefix="0" xfId="19">
      <alignment horizontal="center" vertical="center" wrapText="1"/>
    </xf>
    <xf numFmtId="168" fontId="0" fillId="5" borderId="0" applyAlignment="1" pivotButton="0" quotePrefix="0" xfId="0">
      <alignment horizontal="center" vertical="center"/>
    </xf>
    <xf numFmtId="9" fontId="17" fillId="0" borderId="0" applyAlignment="1" pivotButton="0" quotePrefix="0" xfId="19">
      <alignment horizontal="general" vertical="bottom" wrapText="1"/>
    </xf>
    <xf numFmtId="10" fontId="0" fillId="5" borderId="0" applyAlignment="1" pivotButton="0" quotePrefix="0" xfId="19">
      <alignment horizontal="general" vertical="bottom"/>
    </xf>
    <xf numFmtId="165" fontId="0" fillId="5" borderId="0" applyAlignment="1" pivotButton="0" quotePrefix="0" xfId="15">
      <alignment horizontal="general" vertical="bottom"/>
    </xf>
    <xf numFmtId="0" fontId="17" fillId="0" borderId="4" applyAlignment="1" pivotButton="0" quotePrefix="0" xfId="0">
      <alignment horizontal="general" vertical="bottom" wrapText="1"/>
    </xf>
    <xf numFmtId="167" fontId="17" fillId="5" borderId="4" applyAlignment="1" pivotButton="0" quotePrefix="0" xfId="0">
      <alignment horizontal="general" vertical="bottom" wrapText="1"/>
    </xf>
    <xf numFmtId="167" fontId="17" fillId="0" borderId="4" applyAlignment="1" pivotButton="0" quotePrefix="0" xfId="0">
      <alignment horizontal="general" vertical="bottom" wrapText="1"/>
    </xf>
    <xf numFmtId="167" fontId="0" fillId="0" borderId="0" applyAlignment="1" pivotButton="0" quotePrefix="0" xfId="0">
      <alignment horizontal="general" vertical="bottom"/>
    </xf>
    <xf numFmtId="164" fontId="29" fillId="0" borderId="0" applyAlignment="1" pivotButton="0" quotePrefix="0" xfId="0">
      <alignment horizontal="right" vertical="bottom"/>
    </xf>
    <xf numFmtId="0" fontId="0" fillId="0" borderId="0" applyAlignment="1" pivotButton="0" quotePrefix="0" xfId="0">
      <alignment horizontal="center" vertical="bottom"/>
    </xf>
    <xf numFmtId="164" fontId="30" fillId="0" borderId="0" applyAlignment="1" pivotButton="0" quotePrefix="0" xfId="0">
      <alignment horizontal="center" vertical="bottom"/>
    </xf>
    <xf numFmtId="164" fontId="29" fillId="0" borderId="0" applyAlignment="1" pivotButton="0" quotePrefix="0" xfId="0">
      <alignment horizontal="center" vertical="bottom"/>
    </xf>
    <xf numFmtId="0" fontId="31" fillId="0" borderId="0" applyAlignment="1" pivotButton="0" quotePrefix="0" xfId="0">
      <alignment horizontal="center" vertical="bottom"/>
    </xf>
    <xf numFmtId="169" fontId="22" fillId="0" borderId="0" applyAlignment="1" pivotButton="0" quotePrefix="0" xfId="15">
      <alignment horizontal="general" vertical="bottom"/>
    </xf>
    <xf numFmtId="164" fontId="18" fillId="0" borderId="0" applyAlignment="1" pivotButton="0" quotePrefix="0" xfId="0">
      <alignment horizontal="general" vertical="bottom"/>
    </xf>
    <xf numFmtId="0" fontId="32" fillId="6" borderId="0" applyAlignment="1" pivotButton="0" quotePrefix="0" xfId="0">
      <alignment horizontal="center" vertical="bottom" wrapText="1"/>
    </xf>
    <xf numFmtId="165" fontId="0" fillId="0" borderId="0" applyAlignment="1" pivotButton="0" quotePrefix="0" xfId="0">
      <alignment horizontal="general" vertical="bottom"/>
    </xf>
    <xf numFmtId="0" fontId="17" fillId="5" borderId="0" applyAlignment="1" pivotButton="0" quotePrefix="0" xfId="0">
      <alignment horizontal="general" vertical="bottom"/>
    </xf>
    <xf numFmtId="9" fontId="0" fillId="5" borderId="0" applyAlignment="1" pivotButton="0" quotePrefix="0" xfId="19">
      <alignment horizontal="general" vertical="bottom"/>
    </xf>
    <xf numFmtId="165" fontId="22" fillId="5" borderId="0" applyAlignment="1" pivotButton="0" quotePrefix="0" xfId="15">
      <alignment horizontal="general" vertical="bottom"/>
    </xf>
    <xf numFmtId="165" fontId="22" fillId="0" borderId="0" applyAlignment="1" pivotButton="0" quotePrefix="0" xfId="15">
      <alignment horizontal="general" vertical="bottom"/>
    </xf>
    <xf numFmtId="165" fontId="17" fillId="5" borderId="0" applyAlignment="1" pivotButton="0" quotePrefix="0" xfId="15">
      <alignment horizontal="general" vertical="bottom"/>
    </xf>
    <xf numFmtId="0" fontId="0" fillId="0" borderId="0" applyAlignment="1" pivotButton="0" quotePrefix="0" xfId="0">
      <alignment horizontal="left" vertical="bottom" indent="2"/>
    </xf>
    <xf numFmtId="165" fontId="22" fillId="0" borderId="0" applyAlignment="1" pivotButton="0" quotePrefix="0" xfId="0">
      <alignment horizontal="general" vertical="bottom"/>
    </xf>
    <xf numFmtId="165" fontId="17" fillId="0" borderId="0" applyAlignment="1" pivotButton="0" quotePrefix="0" xfId="15">
      <alignment horizontal="general" vertical="bottom"/>
    </xf>
    <xf numFmtId="165" fontId="0" fillId="0" borderId="0" applyAlignment="1" pivotButton="0" quotePrefix="0" xfId="0">
      <alignment horizontal="general" vertical="bottom"/>
    </xf>
    <xf numFmtId="165" fontId="33" fillId="0" borderId="0" applyAlignment="1" pivotButton="0" quotePrefix="0" xfId="0">
      <alignment horizontal="general" vertical="bottom"/>
    </xf>
    <xf numFmtId="165" fontId="19" fillId="5" borderId="0" applyAlignment="1" pivotButton="0" quotePrefix="0" xfId="15">
      <alignment horizontal="general" vertical="bottom"/>
    </xf>
    <xf numFmtId="165" fontId="19" fillId="0" borderId="0" applyAlignment="1" pivotButton="0" quotePrefix="0" xfId="15">
      <alignment horizontal="general" vertical="bottom"/>
    </xf>
    <xf numFmtId="165" fontId="19" fillId="0" borderId="0" applyAlignment="1" pivotButton="0" quotePrefix="0" xfId="0">
      <alignment horizontal="general" vertical="bottom"/>
    </xf>
    <xf numFmtId="165" fontId="20" fillId="5" borderId="0" applyAlignment="1" pivotButton="0" quotePrefix="0" xfId="15">
      <alignment horizontal="general" vertical="bottom"/>
    </xf>
    <xf numFmtId="9" fontId="0" fillId="0" borderId="0" applyAlignment="1" pivotButton="0" quotePrefix="0" xfId="19">
      <alignment horizontal="general" vertical="bottom"/>
    </xf>
    <xf numFmtId="9" fontId="19" fillId="5" borderId="0" applyAlignment="1" pivotButton="0" quotePrefix="0" xfId="19">
      <alignment horizontal="general" vertical="bottom"/>
    </xf>
    <xf numFmtId="0" fontId="19" fillId="0" borderId="0" applyAlignment="1" pivotButton="0" quotePrefix="0" xfId="0">
      <alignment horizontal="general" vertical="bottom" wrapText="1"/>
    </xf>
    <xf numFmtId="165" fontId="33" fillId="0" borderId="0" applyAlignment="1" pivotButton="0" quotePrefix="0" xfId="15">
      <alignment horizontal="general" vertical="bottom"/>
    </xf>
    <xf numFmtId="10" fontId="26" fillId="5" borderId="0" applyAlignment="1" pivotButton="0" quotePrefix="0" xfId="19">
      <alignment horizontal="general" vertical="bottom"/>
    </xf>
    <xf numFmtId="10" fontId="28" fillId="0" borderId="0" applyAlignment="1" pivotButton="0" quotePrefix="0" xfId="19">
      <alignment horizontal="general" vertical="bottom"/>
    </xf>
    <xf numFmtId="165" fontId="22" fillId="5" borderId="0" applyAlignment="1" pivotButton="0" quotePrefix="0" xfId="0">
      <alignment horizontal="general" vertical="bottom"/>
    </xf>
    <xf numFmtId="2" fontId="22" fillId="0" borderId="0" applyAlignment="1" pivotButton="0" quotePrefix="0" xfId="15">
      <alignment horizontal="general" vertical="bottom"/>
    </xf>
    <xf numFmtId="165" fontId="17" fillId="5" borderId="0" applyAlignment="1" pivotButton="0" quotePrefix="0" xfId="0">
      <alignment horizontal="general" vertical="bottom"/>
    </xf>
    <xf numFmtId="165" fontId="27" fillId="0" borderId="0" applyAlignment="1" pivotButton="0" quotePrefix="0" xfId="15">
      <alignment horizontal="general" vertical="bottom"/>
    </xf>
    <xf numFmtId="2" fontId="0" fillId="0" borderId="0" applyAlignment="1" pivotButton="0" quotePrefix="0" xfId="15">
      <alignment horizontal="general" vertical="bottom"/>
    </xf>
    <xf numFmtId="9" fontId="20" fillId="5" borderId="0" applyAlignment="1" pivotButton="0" quotePrefix="0" xfId="19">
      <alignment horizontal="general" vertical="bottom"/>
    </xf>
    <xf numFmtId="0" fontId="0" fillId="0" borderId="0" applyAlignment="1" pivotButton="0" quotePrefix="0" xfId="0">
      <alignment horizontal="general" vertical="bottom"/>
    </xf>
    <xf numFmtId="165" fontId="22" fillId="0" borderId="0" applyAlignment="1" pivotButton="0" quotePrefix="0" xfId="15">
      <alignment horizontal="general" vertical="bottom"/>
    </xf>
    <xf numFmtId="165" fontId="33" fillId="5" borderId="0" applyAlignment="1" pivotButton="0" quotePrefix="0" xfId="15">
      <alignment horizontal="general" vertical="bottom"/>
    </xf>
    <xf numFmtId="167" fontId="0" fillId="0" borderId="0" applyAlignment="1" pivotButton="0" quotePrefix="0" xfId="15">
      <alignment horizontal="general" vertical="bottom"/>
    </xf>
    <xf numFmtId="165" fontId="21" fillId="5" borderId="0" applyAlignment="1" pivotButton="0" quotePrefix="0" xfId="15">
      <alignment horizontal="general" vertical="bottom"/>
    </xf>
    <xf numFmtId="165" fontId="21" fillId="0" borderId="0" applyAlignment="1" pivotButton="0" quotePrefix="0" xfId="15">
      <alignment horizontal="general" vertical="bottom"/>
    </xf>
    <xf numFmtId="2" fontId="21" fillId="0" borderId="0" applyAlignment="1" pivotButton="0" quotePrefix="0" xfId="15">
      <alignment horizontal="general" vertical="bottom"/>
    </xf>
    <xf numFmtId="167" fontId="0" fillId="5" borderId="0" applyAlignment="1" pivotButton="0" quotePrefix="0" xfId="15">
      <alignment horizontal="general" vertical="bottom"/>
    </xf>
    <xf numFmtId="167" fontId="33" fillId="0" borderId="0" applyAlignment="1" pivotButton="0" quotePrefix="0" xfId="15">
      <alignment horizontal="general" vertical="bottom"/>
    </xf>
    <xf numFmtId="167" fontId="33" fillId="5" borderId="0" applyAlignment="1" pivotButton="0" quotePrefix="0" xfId="15">
      <alignment horizontal="general" vertical="bottom"/>
    </xf>
    <xf numFmtId="167" fontId="33" fillId="0" borderId="0" applyAlignment="1" pivotButton="0" quotePrefix="0" xfId="0">
      <alignment horizontal="general" vertical="bottom"/>
    </xf>
    <xf numFmtId="167" fontId="32" fillId="5" borderId="0" applyAlignment="1" pivotButton="0" quotePrefix="0" xfId="15">
      <alignment horizontal="general" vertical="bottom"/>
    </xf>
    <xf numFmtId="167" fontId="19" fillId="5" borderId="0" applyAlignment="1" pivotButton="0" quotePrefix="0" xfId="15">
      <alignment horizontal="general" vertical="bottom"/>
    </xf>
    <xf numFmtId="167" fontId="19" fillId="0" borderId="0" applyAlignment="1" pivotButton="0" quotePrefix="0" xfId="15">
      <alignment horizontal="general" vertical="bottom"/>
    </xf>
    <xf numFmtId="167" fontId="32" fillId="0" borderId="0" applyAlignment="1" pivotButton="0" quotePrefix="0" xfId="15">
      <alignment horizontal="general" vertical="bottom"/>
    </xf>
    <xf numFmtId="167" fontId="32" fillId="0" borderId="0" applyAlignment="1" pivotButton="0" quotePrefix="0" xfId="0">
      <alignment horizontal="general" vertical="bottom"/>
    </xf>
    <xf numFmtId="167" fontId="17" fillId="5" borderId="0" applyAlignment="1" pivotButton="0" quotePrefix="0" xfId="15">
      <alignment horizontal="general" vertical="bottom"/>
    </xf>
    <xf numFmtId="10" fontId="17" fillId="5" borderId="0" applyAlignment="1" pivotButton="0" quotePrefix="0" xfId="19">
      <alignment horizontal="general" vertical="bottom"/>
    </xf>
    <xf numFmtId="9" fontId="17" fillId="5" borderId="0" applyAlignment="1" pivotButton="0" quotePrefix="0" xfId="19">
      <alignment horizontal="general" vertical="bottom"/>
    </xf>
    <xf numFmtId="165" fontId="22" fillId="0" borderId="0" applyAlignment="1" pivotButton="0" quotePrefix="0" xfId="15">
      <alignment horizontal="center" vertical="bottom"/>
    </xf>
    <xf numFmtId="165" fontId="33" fillId="0" borderId="0" applyAlignment="1" pivotButton="0" quotePrefix="0" xfId="15">
      <alignment horizontal="general" vertical="bottom"/>
    </xf>
    <xf numFmtId="165" fontId="0" fillId="0" borderId="0" applyAlignment="1" pivotButton="0" quotePrefix="0" xfId="15">
      <alignment horizontal="center" vertical="bottom"/>
    </xf>
    <xf numFmtId="0" fontId="0" fillId="0" borderId="0" applyAlignment="1" pivotButton="0" quotePrefix="0" xfId="0">
      <alignment horizontal="general" vertical="bottom"/>
    </xf>
    <xf numFmtId="164" fontId="30" fillId="0" borderId="0" applyAlignment="1" pivotButton="0" quotePrefix="0" xfId="0">
      <alignment horizontal="center" vertical="bottom"/>
    </xf>
    <xf numFmtId="164" fontId="31" fillId="0" borderId="0" applyAlignment="1" pivotButton="0" quotePrefix="0" xfId="0">
      <alignment horizontal="center" vertical="bottom"/>
    </xf>
    <xf numFmtId="0" fontId="29" fillId="0" borderId="0" applyAlignment="1" pivotButton="0" quotePrefix="0" xfId="0">
      <alignment horizontal="center" vertical="bottom"/>
    </xf>
    <xf numFmtId="0" fontId="19" fillId="5" borderId="0" applyAlignment="1" pivotButton="0" quotePrefix="0" xfId="0">
      <alignment horizontal="center" vertical="center"/>
    </xf>
    <xf numFmtId="0" fontId="36" fillId="0" borderId="0" applyAlignment="1" pivotButton="0" quotePrefix="0" xfId="0">
      <alignment horizontal="general" vertical="bottom"/>
    </xf>
    <xf numFmtId="0" fontId="0" fillId="0" borderId="0" applyAlignment="1" pivotButton="0" quotePrefix="0" xfId="0">
      <alignment horizontal="left" vertical="bottom" indent="5"/>
    </xf>
    <xf numFmtId="165" fontId="22" fillId="0" borderId="0" applyAlignment="1" pivotButton="0" quotePrefix="0" xfId="15">
      <alignment horizontal="left" vertical="bottom" indent="5"/>
    </xf>
    <xf numFmtId="165" fontId="0" fillId="0" borderId="0" applyAlignment="1" pivotButton="0" quotePrefix="0" xfId="15">
      <alignment horizontal="general" vertical="bottom"/>
    </xf>
    <xf numFmtId="165" fontId="9" fillId="0" borderId="0" applyAlignment="1" pivotButton="0" quotePrefix="0" xfId="15">
      <alignment horizontal="left" vertical="bottom" indent="5"/>
    </xf>
    <xf numFmtId="165" fontId="9" fillId="0" borderId="0" applyAlignment="1" pivotButton="0" quotePrefix="0" xfId="15">
      <alignment horizontal="general" vertical="bottom"/>
    </xf>
    <xf numFmtId="165" fontId="9" fillId="0" borderId="0" applyAlignment="1" pivotButton="0" quotePrefix="0" xfId="15">
      <alignment horizontal="general" vertical="bottom"/>
    </xf>
    <xf numFmtId="165" fontId="37" fillId="0" borderId="0" applyAlignment="1" pivotButton="0" quotePrefix="0" xfId="15">
      <alignment horizontal="general" vertical="bottom"/>
    </xf>
    <xf numFmtId="165" fontId="37" fillId="0" borderId="0" applyAlignment="1" pivotButton="0" quotePrefix="0" xfId="15">
      <alignment horizontal="general" vertical="bottom"/>
    </xf>
    <xf numFmtId="165" fontId="19" fillId="0" borderId="0" applyAlignment="1" pivotButton="0" quotePrefix="0" xfId="15">
      <alignment horizontal="general" vertical="bottom"/>
    </xf>
    <xf numFmtId="165" fontId="38" fillId="0" borderId="0" applyAlignment="1" pivotButton="0" quotePrefix="0" xfId="15">
      <alignment horizontal="general" vertical="bottom"/>
    </xf>
    <xf numFmtId="165" fontId="38" fillId="0" borderId="0" applyAlignment="1" pivotButton="0" quotePrefix="0" xfId="15">
      <alignment horizontal="general" vertical="bottom"/>
    </xf>
    <xf numFmtId="0" fontId="19" fillId="0" borderId="0" applyAlignment="1" pivotButton="0" quotePrefix="0" xfId="0">
      <alignment horizontal="left" vertical="bottom" indent="15"/>
    </xf>
    <xf numFmtId="165" fontId="19" fillId="0" borderId="6" applyAlignment="1" pivotButton="0" quotePrefix="0" xfId="15">
      <alignment horizontal="general" vertical="bottom"/>
    </xf>
    <xf numFmtId="165" fontId="19" fillId="0" borderId="6" applyAlignment="1" pivotButton="0" quotePrefix="0" xfId="15">
      <alignment horizontal="general" vertical="bottom"/>
    </xf>
    <xf numFmtId="165" fontId="36" fillId="0" borderId="0" applyAlignment="1" pivotButton="0" quotePrefix="0" xfId="15">
      <alignment horizontal="general" vertical="bottom"/>
    </xf>
    <xf numFmtId="0" fontId="0" fillId="0" borderId="0" applyAlignment="1" pivotButton="0" quotePrefix="0" xfId="0">
      <alignment horizontal="left" vertical="bottom" wrapText="1" indent="5"/>
    </xf>
    <xf numFmtId="165" fontId="9" fillId="0" borderId="0" applyAlignment="1" pivotButton="0" quotePrefix="0" xfId="15">
      <alignment horizontal="left" vertical="bottom" wrapText="1" indent="5"/>
    </xf>
    <xf numFmtId="165" fontId="22" fillId="0" borderId="0" applyAlignment="1" pivotButton="0" quotePrefix="0" xfId="0">
      <alignment horizontal="general" vertical="bottom"/>
    </xf>
    <xf numFmtId="0" fontId="0" fillId="0" borderId="0" applyAlignment="1" pivotButton="0" quotePrefix="0" xfId="0">
      <alignment horizontal="left" vertical="bottom" indent="15"/>
    </xf>
    <xf numFmtId="0" fontId="32" fillId="0" borderId="0" applyAlignment="1" pivotButton="0" quotePrefix="0" xfId="0">
      <alignment horizontal="general" vertical="bottom"/>
    </xf>
    <xf numFmtId="170" fontId="0" fillId="0" borderId="0" applyAlignment="1" pivotButton="0" quotePrefix="0" xfId="15">
      <alignment horizontal="general" vertical="bottom"/>
    </xf>
    <xf numFmtId="0" fontId="0" fillId="0" borderId="0" applyAlignment="1" pivotButton="0" quotePrefix="0" xfId="0">
      <alignment horizontal="left" vertical="bottom" wrapText="1" indent="1"/>
    </xf>
    <xf numFmtId="164" fontId="21" fillId="5" borderId="0" applyAlignment="1" pivotButton="0" quotePrefix="0" xfId="0">
      <alignment horizontal="center" vertical="center"/>
    </xf>
    <xf numFmtId="0" fontId="0" fillId="0" borderId="0" applyAlignment="1" pivotButton="0" quotePrefix="0" xfId="0">
      <alignment horizontal="left" vertical="bottom" indent="9"/>
    </xf>
    <xf numFmtId="0" fontId="19" fillId="0" borderId="0" applyAlignment="1" pivotButton="0" quotePrefix="0" xfId="0">
      <alignment horizontal="left" vertical="bottom" indent="5"/>
    </xf>
    <xf numFmtId="165" fontId="36" fillId="0" borderId="0" applyAlignment="1" pivotButton="0" quotePrefix="0" xfId="15">
      <alignment horizontal="general" vertical="bottom"/>
    </xf>
    <xf numFmtId="0" fontId="36" fillId="0" borderId="0" applyAlignment="1" pivotButton="0" quotePrefix="0" xfId="0">
      <alignment horizontal="general" vertical="bottom"/>
    </xf>
    <xf numFmtId="0" fontId="0" fillId="0" borderId="0" applyAlignment="1" pivotButton="0" quotePrefix="0" xfId="0">
      <alignment horizontal="left" vertical="bottom" wrapText="1" indent="9"/>
    </xf>
    <xf numFmtId="165" fontId="0" fillId="6" borderId="0" applyAlignment="1" pivotButton="0" quotePrefix="0" xfId="15">
      <alignment horizontal="general" vertical="bottom"/>
    </xf>
    <xf numFmtId="0" fontId="36" fillId="0" borderId="0" applyAlignment="1" pivotButton="0" quotePrefix="0" xfId="0">
      <alignment horizontal="general" vertical="bottom" wrapText="1"/>
    </xf>
    <xf numFmtId="0" fontId="22" fillId="0" borderId="0" applyAlignment="1" pivotButton="0" quotePrefix="0" xfId="0">
      <alignment horizontal="general" vertical="bottom"/>
    </xf>
    <xf numFmtId="0" fontId="19" fillId="0" borderId="0" applyAlignment="1" pivotButton="0" quotePrefix="0" xfId="0">
      <alignment horizontal="left" vertical="bottom" indent="9"/>
    </xf>
    <xf numFmtId="9" fontId="17" fillId="0" borderId="0" applyAlignment="1" pivotButton="0" quotePrefix="0" xfId="19">
      <alignment horizontal="general" vertical="bottom"/>
    </xf>
    <xf numFmtId="0" fontId="0" fillId="0" borderId="0" applyAlignment="1" pivotButton="0" quotePrefix="0" xfId="0">
      <alignment horizontal="left" vertical="bottom" indent="13"/>
    </xf>
    <xf numFmtId="0" fontId="20" fillId="0" borderId="0" applyAlignment="1" pivotButton="0" quotePrefix="0" xfId="0">
      <alignment horizontal="general" vertical="bottom"/>
    </xf>
    <xf numFmtId="171" fontId="0" fillId="0" borderId="0" applyAlignment="1" pivotButton="0" quotePrefix="0" xfId="15">
      <alignment horizontal="left" vertical="bottom" indent="1"/>
    </xf>
    <xf numFmtId="0" fontId="20" fillId="0" borderId="0" applyAlignment="1" pivotButton="0" quotePrefix="0" xfId="0">
      <alignment horizontal="general" vertical="bottom"/>
    </xf>
    <xf numFmtId="165" fontId="39" fillId="0" borderId="0" applyAlignment="1" pivotButton="0" quotePrefix="0" xfId="15">
      <alignment horizontal="general" vertical="bottom"/>
    </xf>
    <xf numFmtId="0" fontId="20" fillId="0" borderId="4" applyAlignment="1" pivotButton="0" quotePrefix="0" xfId="0">
      <alignment horizontal="general" vertical="bottom"/>
    </xf>
    <xf numFmtId="165" fontId="39" fillId="0" borderId="4" applyAlignment="1" pivotButton="0" quotePrefix="0" xfId="15">
      <alignment horizontal="general" vertical="bottom"/>
    </xf>
    <xf numFmtId="0" fontId="15" fillId="0" borderId="0" applyAlignment="1" pivotButton="0" quotePrefix="0" xfId="0">
      <alignment horizontal="general" vertical="bottom"/>
    </xf>
    <xf numFmtId="0" fontId="19" fillId="0" borderId="0" applyAlignment="1" pivotButton="0" quotePrefix="0" xfId="0">
      <alignment horizontal="general" vertical="center"/>
    </xf>
    <xf numFmtId="164" fontId="20" fillId="0" borderId="0" applyAlignment="1" pivotButton="0" quotePrefix="0" xfId="0">
      <alignment horizontal="center" vertical="center"/>
    </xf>
    <xf numFmtId="164" fontId="19" fillId="0" borderId="0" applyAlignment="1" pivotButton="0" quotePrefix="0" xfId="0">
      <alignment horizontal="center" vertical="center" wrapText="1"/>
    </xf>
    <xf numFmtId="164" fontId="20" fillId="0" borderId="0" applyAlignment="1" pivotButton="0" quotePrefix="0" xfId="0">
      <alignment horizontal="center" vertical="center"/>
    </xf>
    <xf numFmtId="0" fontId="19" fillId="5" borderId="0" applyAlignment="1" pivotButton="0" quotePrefix="0" xfId="0">
      <alignment horizontal="center" vertical="bottom"/>
    </xf>
    <xf numFmtId="0" fontId="21" fillId="5" borderId="0" applyAlignment="1" pivotButton="0" quotePrefix="0" xfId="0">
      <alignment horizontal="center" vertical="bottom"/>
    </xf>
    <xf numFmtId="165" fontId="22" fillId="0" borderId="0" applyAlignment="1" pivotButton="0" quotePrefix="0" xfId="15">
      <alignment horizontal="center" vertical="center"/>
    </xf>
    <xf numFmtId="165" fontId="20" fillId="0" borderId="0" applyAlignment="1" pivotButton="0" quotePrefix="0" xfId="15">
      <alignment horizontal="center" vertical="center"/>
    </xf>
    <xf numFmtId="167" fontId="22" fillId="0" borderId="0" applyAlignment="1" pivotButton="0" quotePrefix="0" xfId="15">
      <alignment horizontal="general" vertical="bottom"/>
    </xf>
    <xf numFmtId="165" fontId="0" fillId="0" borderId="0" applyAlignment="1" pivotButton="0" quotePrefix="0" xfId="15">
      <alignment horizontal="left" vertical="top" indent="5"/>
    </xf>
    <xf numFmtId="165" fontId="18" fillId="0" borderId="0" applyAlignment="1" pivotButton="0" quotePrefix="0" xfId="15">
      <alignment horizontal="general" vertical="bottom"/>
    </xf>
    <xf numFmtId="165" fontId="0" fillId="0" borderId="0" applyAlignment="1" pivotButton="0" quotePrefix="0" xfId="15">
      <alignment horizontal="left" vertical="bottom" indent="5"/>
    </xf>
    <xf numFmtId="9" fontId="32" fillId="0" borderId="0" applyAlignment="1" pivotButton="0" quotePrefix="0" xfId="19">
      <alignment horizontal="right" vertical="bottom"/>
    </xf>
    <xf numFmtId="9" fontId="17" fillId="0" borderId="0" applyAlignment="1" pivotButton="0" quotePrefix="0" xfId="19">
      <alignment horizontal="right" vertical="bottom"/>
    </xf>
    <xf numFmtId="0" fontId="0" fillId="0" borderId="0" applyAlignment="1" pivotButton="0" quotePrefix="0" xfId="0">
      <alignment horizontal="center" vertical="bottom"/>
    </xf>
    <xf numFmtId="164" fontId="17" fillId="5" borderId="0" applyAlignment="1" pivotButton="0" quotePrefix="0" xfId="0">
      <alignment horizontal="center" vertical="center"/>
    </xf>
    <xf numFmtId="9" fontId="17" fillId="5" borderId="0" applyAlignment="1" pivotButton="0" quotePrefix="0" xfId="19">
      <alignment horizontal="center" vertical="center"/>
    </xf>
    <xf numFmtId="165" fontId="22" fillId="5" borderId="0" applyAlignment="1" pivotButton="0" quotePrefix="0" xfId="15">
      <alignment horizontal="center" vertical="center"/>
    </xf>
    <xf numFmtId="165" fontId="17" fillId="5" borderId="0" applyAlignment="1" pivotButton="0" quotePrefix="0" xfId="15">
      <alignment horizontal="center" vertical="center"/>
    </xf>
    <xf numFmtId="165" fontId="0" fillId="0" borderId="0" applyAlignment="1" pivotButton="0" quotePrefix="0" xfId="0">
      <alignment horizontal="general" vertical="bottom"/>
    </xf>
    <xf numFmtId="164" fontId="22" fillId="0" borderId="0" applyAlignment="1" pivotButton="0" quotePrefix="0" xfId="0">
      <alignment horizontal="center" vertical="center" wrapText="1"/>
    </xf>
    <xf numFmtId="9" fontId="17" fillId="5" borderId="0" applyAlignment="1" pivotButton="0" quotePrefix="0" xfId="19">
      <alignment horizontal="center" vertical="center"/>
    </xf>
    <xf numFmtId="9" fontId="17" fillId="5" borderId="0" applyAlignment="1" pivotButton="0" quotePrefix="0" xfId="19">
      <alignment horizontal="center" vertical="bottom"/>
    </xf>
    <xf numFmtId="9" fontId="0" fillId="5" borderId="0" applyAlignment="1" pivotButton="0" quotePrefix="0" xfId="19">
      <alignment horizontal="center" vertical="bottom"/>
    </xf>
    <xf numFmtId="9" fontId="0" fillId="5" borderId="0" applyAlignment="1" pivotButton="0" quotePrefix="0" xfId="19">
      <alignment horizontal="center" vertical="top"/>
    </xf>
    <xf numFmtId="0" fontId="0" fillId="5" borderId="0" applyAlignment="1" pivotButton="0" quotePrefix="0" xfId="0">
      <alignment horizontal="general" vertical="bottom"/>
    </xf>
    <xf numFmtId="164" fontId="40" fillId="5" borderId="0" applyAlignment="1" pivotButton="0" quotePrefix="0" xfId="0">
      <alignment horizontal="general" vertical="bottom"/>
    </xf>
    <xf numFmtId="164" fontId="18" fillId="5" borderId="0" applyAlignment="1" pivotButton="0" quotePrefix="0" xfId="0">
      <alignment horizontal="general" vertical="bottom"/>
    </xf>
    <xf numFmtId="9" fontId="32" fillId="5" borderId="0" applyAlignment="1" pivotButton="0" quotePrefix="0" xfId="19">
      <alignment horizontal="right" vertical="bottom"/>
    </xf>
    <xf numFmtId="164" fontId="20" fillId="0" borderId="0" applyAlignment="1" pivotButton="0" quotePrefix="0" xfId="0">
      <alignment horizontal="center" vertical="center" wrapText="1"/>
    </xf>
    <xf numFmtId="172" fontId="0" fillId="5" borderId="0" applyAlignment="1" pivotButton="0" quotePrefix="0" xfId="19">
      <alignment horizontal="general" vertical="bottom"/>
    </xf>
    <xf numFmtId="172" fontId="0" fillId="0" borderId="0" applyAlignment="1" pivotButton="0" quotePrefix="0" xfId="19">
      <alignment horizontal="general" vertical="bottom"/>
    </xf>
    <xf numFmtId="172" fontId="32" fillId="0" borderId="0" applyAlignment="1" pivotButton="0" quotePrefix="0" xfId="19">
      <alignment horizontal="general" vertical="bottom"/>
    </xf>
    <xf numFmtId="9" fontId="32" fillId="0" borderId="0" applyAlignment="1" pivotButton="0" quotePrefix="0" xfId="19">
      <alignment horizontal="general" vertical="bottom"/>
    </xf>
    <xf numFmtId="165" fontId="19" fillId="0" borderId="0" applyAlignment="1" pivotButton="0" quotePrefix="0" xfId="15">
      <alignment horizontal="center" vertical="center" wrapText="1"/>
    </xf>
    <xf numFmtId="9" fontId="32" fillId="0" borderId="0" applyAlignment="1" pivotButton="0" quotePrefix="0" xfId="19">
      <alignment horizontal="general" vertical="bottom"/>
    </xf>
    <xf numFmtId="0" fontId="32" fillId="0" borderId="0" applyAlignment="1" pivotButton="0" quotePrefix="0" xfId="0">
      <alignment horizontal="general" vertical="bottom"/>
    </xf>
    <xf numFmtId="9" fontId="32" fillId="0" borderId="0" applyAlignment="1" pivotButton="0" quotePrefix="0" xfId="0">
      <alignment horizontal="general" vertical="bottom"/>
    </xf>
    <xf numFmtId="173" fontId="0" fillId="0" borderId="0" applyAlignment="1" pivotButton="0" quotePrefix="0" xfId="0">
      <alignment horizontal="general" vertical="bottom"/>
    </xf>
    <xf numFmtId="173" fontId="5" fillId="0" borderId="0" applyAlignment="1" pivotButton="0" quotePrefix="0" xfId="0">
      <alignment horizontal="general" vertical="bottom"/>
    </xf>
    <xf numFmtId="164" fontId="5" fillId="0" borderId="0" applyAlignment="1" pivotButton="0" quotePrefix="0" xfId="0">
      <alignment horizontal="general" vertical="bottom"/>
    </xf>
    <xf numFmtId="173" fontId="17" fillId="0" borderId="4" applyAlignment="1" pivotButton="0" quotePrefix="0" xfId="0">
      <alignment horizontal="general" vertical="bottom"/>
    </xf>
    <xf numFmtId="0" fontId="19" fillId="0" borderId="0" applyAlignment="1" pivotButton="0" quotePrefix="0" xfId="0">
      <alignment horizontal="general" vertical="center" wrapText="1"/>
    </xf>
    <xf numFmtId="173" fontId="19" fillId="5" borderId="0" applyAlignment="1" pivotButton="0" quotePrefix="0" xfId="0">
      <alignment horizontal="center" vertical="center"/>
    </xf>
    <xf numFmtId="0" fontId="21" fillId="5" borderId="0" applyAlignment="1" pivotButton="0" quotePrefix="0" xfId="0">
      <alignment horizontal="center" vertical="center"/>
    </xf>
    <xf numFmtId="173" fontId="29" fillId="0" borderId="0" applyAlignment="1" pivotButton="0" quotePrefix="0" xfId="0">
      <alignment horizontal="right" vertical="bottom"/>
    </xf>
    <xf numFmtId="164" fontId="5" fillId="0" borderId="0" applyAlignment="1" pivotButton="0" quotePrefix="0" xfId="0">
      <alignment horizontal="right" vertical="bottom"/>
    </xf>
    <xf numFmtId="164" fontId="5" fillId="0" borderId="0" applyAlignment="1" pivotButton="0" quotePrefix="0" xfId="0">
      <alignment horizontal="general" vertical="bottom"/>
    </xf>
    <xf numFmtId="173" fontId="0" fillId="0" borderId="0" applyAlignment="1" pivotButton="0" quotePrefix="0" xfId="15">
      <alignment horizontal="general" vertical="bottom"/>
    </xf>
    <xf numFmtId="0" fontId="20" fillId="0" borderId="0" applyAlignment="1" pivotButton="0" quotePrefix="0" xfId="0">
      <alignment horizontal="general" vertical="bottom"/>
    </xf>
    <xf numFmtId="173" fontId="17" fillId="0" borderId="0" applyAlignment="1" pivotButton="0" quotePrefix="0" xfId="15">
      <alignment horizontal="general" vertical="bottom"/>
    </xf>
    <xf numFmtId="0" fontId="17" fillId="0" borderId="0" applyAlignment="1" pivotButton="0" quotePrefix="0" xfId="0">
      <alignment horizontal="left" vertical="bottom" indent="2"/>
    </xf>
    <xf numFmtId="173" fontId="22" fillId="0" borderId="0" applyAlignment="1" pivotButton="0" quotePrefix="0" xfId="15">
      <alignment horizontal="general" vertical="bottom"/>
    </xf>
    <xf numFmtId="0" fontId="17" fillId="0" borderId="0" applyAlignment="1" pivotButton="0" quotePrefix="0" xfId="0">
      <alignment horizontal="left" vertical="bottom" indent="5"/>
    </xf>
    <xf numFmtId="0" fontId="20" fillId="0" borderId="0" applyAlignment="1" pivotButton="0" quotePrefix="0" xfId="0">
      <alignment horizontal="center" vertical="bottom"/>
    </xf>
    <xf numFmtId="165" fontId="20" fillId="0" borderId="0" applyAlignment="1" pivotButton="0" quotePrefix="0" xfId="15">
      <alignment horizontal="general" vertical="bottom"/>
    </xf>
    <xf numFmtId="173" fontId="20" fillId="0" borderId="0" applyAlignment="1" pivotButton="0" quotePrefix="0" xfId="15">
      <alignment horizontal="general" vertical="bottom"/>
    </xf>
    <xf numFmtId="0" fontId="26" fillId="0" borderId="0" applyAlignment="1" pivotButton="0" quotePrefix="0" xfId="0">
      <alignment horizontal="general" vertical="bottom"/>
    </xf>
    <xf numFmtId="165" fontId="26" fillId="0" borderId="0" applyAlignment="1" pivotButton="0" quotePrefix="0" xfId="15">
      <alignment horizontal="general" vertical="bottom"/>
    </xf>
    <xf numFmtId="173" fontId="26" fillId="0" borderId="0" applyAlignment="1" pivotButton="0" quotePrefix="0" xfId="19">
      <alignment horizontal="general" vertical="bottom"/>
    </xf>
    <xf numFmtId="172" fontId="26" fillId="0" borderId="0" applyAlignment="1" pivotButton="0" quotePrefix="0" xfId="19">
      <alignment horizontal="general" vertical="bottom"/>
    </xf>
    <xf numFmtId="165" fontId="41" fillId="0" borderId="0" applyAlignment="1" pivotButton="0" quotePrefix="0" xfId="15">
      <alignment horizontal="general" vertical="bottom"/>
    </xf>
    <xf numFmtId="172" fontId="41" fillId="0" borderId="0" applyAlignment="1" pivotButton="0" quotePrefix="0" xfId="15">
      <alignment horizontal="general" vertical="bottom"/>
    </xf>
    <xf numFmtId="0" fontId="42" fillId="0" borderId="0" applyAlignment="1" pivotButton="0" quotePrefix="0" xfId="0">
      <alignment horizontal="left" vertical="bottom" indent="5"/>
    </xf>
    <xf numFmtId="165" fontId="43" fillId="0" borderId="0" applyAlignment="1" pivotButton="0" quotePrefix="0" xfId="15">
      <alignment horizontal="general" vertical="bottom"/>
    </xf>
    <xf numFmtId="171" fontId="17" fillId="0" borderId="0" applyAlignment="1" pivotButton="0" quotePrefix="0" xfId="15">
      <alignment horizontal="general" vertical="bottom"/>
    </xf>
    <xf numFmtId="0" fontId="17" fillId="0" borderId="0" applyAlignment="1" pivotButton="0" quotePrefix="0" xfId="0">
      <alignment horizontal="left" vertical="bottom" indent="5"/>
    </xf>
    <xf numFmtId="173" fontId="26" fillId="0" borderId="0" applyAlignment="1" pivotButton="0" quotePrefix="0" xfId="15">
      <alignment horizontal="general" vertical="bottom"/>
    </xf>
    <xf numFmtId="0" fontId="18" fillId="0" borderId="0" applyAlignment="1" pivotButton="0" quotePrefix="0" xfId="0">
      <alignment horizontal="general" vertical="bottom"/>
    </xf>
    <xf numFmtId="0" fontId="0" fillId="0" borderId="0" applyAlignment="1" pivotButton="0" quotePrefix="0" xfId="0">
      <alignment horizontal="left" vertical="bottom" indent="1"/>
    </xf>
    <xf numFmtId="0" fontId="17" fillId="0" borderId="9" applyAlignment="1" pivotButton="0" quotePrefix="0" xfId="0">
      <alignment horizontal="left" vertical="bottom" wrapText="1" indent="1"/>
    </xf>
    <xf numFmtId="172" fontId="33" fillId="0" borderId="0" applyAlignment="1" pivotButton="0" quotePrefix="0" xfId="0">
      <alignment horizontal="general" vertical="bottom"/>
    </xf>
    <xf numFmtId="173" fontId="0" fillId="0" borderId="0" applyAlignment="1" pivotButton="0" quotePrefix="0" xfId="19">
      <alignment horizontal="general" vertical="bottom"/>
    </xf>
    <xf numFmtId="0" fontId="0" fillId="0" borderId="0" applyAlignment="1" pivotButton="0" quotePrefix="0" xfId="0">
      <alignment horizontal="general" vertical="bottom"/>
    </xf>
    <xf numFmtId="0" fontId="17" fillId="0" borderId="0" applyAlignment="1" pivotButton="0" quotePrefix="0" xfId="0">
      <alignment horizontal="general" vertical="bottom"/>
    </xf>
    <xf numFmtId="165" fontId="0" fillId="6" borderId="0" applyAlignment="1" pivotButton="0" quotePrefix="0" xfId="0">
      <alignment horizontal="general" vertical="bottom"/>
    </xf>
    <xf numFmtId="165" fontId="22" fillId="0" borderId="0" applyAlignment="1" pivotButton="0" quotePrefix="0" xfId="15">
      <alignment horizontal="center" vertical="bottom"/>
    </xf>
    <xf numFmtId="165" fontId="32" fillId="0" borderId="0" applyAlignment="1" pivotButton="0" quotePrefix="0" xfId="15">
      <alignment horizontal="center" vertical="bottom"/>
    </xf>
    <xf numFmtId="173" fontId="19" fillId="0" borderId="0" applyAlignment="1" pivotButton="0" quotePrefix="0" xfId="0">
      <alignment horizontal="center" vertical="center"/>
    </xf>
    <xf numFmtId="0" fontId="19"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0">
      <alignment horizontal="general" vertical="bottom"/>
    </xf>
    <xf numFmtId="173" fontId="17" fillId="0" borderId="0" applyAlignment="1" pivotButton="0" quotePrefix="0" xfId="0">
      <alignment horizontal="general" vertical="bottom"/>
    </xf>
    <xf numFmtId="0" fontId="17" fillId="0" borderId="0" applyAlignment="1" pivotButton="0" quotePrefix="0" xfId="0">
      <alignment horizontal="center" vertical="bottom"/>
    </xf>
    <xf numFmtId="0" fontId="32" fillId="6" borderId="0" applyAlignment="1" pivotButton="0" quotePrefix="0" xfId="0">
      <alignment horizontal="general" vertical="bottom"/>
    </xf>
    <xf numFmtId="0" fontId="17" fillId="0" borderId="0" applyAlignment="1" pivotButton="0" quotePrefix="0" xfId="0">
      <alignment horizontal="general" vertical="top"/>
    </xf>
    <xf numFmtId="0" fontId="20" fillId="0" borderId="0" applyAlignment="1" pivotButton="0" quotePrefix="0" xfId="0">
      <alignment horizontal="center" vertical="top" wrapText="1"/>
    </xf>
    <xf numFmtId="173" fontId="20" fillId="0" borderId="0" applyAlignment="1" pivotButton="0" quotePrefix="0" xfId="0">
      <alignment horizontal="center" vertical="top" wrapText="1"/>
    </xf>
    <xf numFmtId="0" fontId="20" fillId="0" borderId="0" applyAlignment="1" pivotButton="0" quotePrefix="0" xfId="0">
      <alignment horizontal="general" vertical="top" wrapText="1"/>
    </xf>
    <xf numFmtId="171" fontId="17" fillId="0" borderId="0" applyAlignment="1" pivotButton="0" quotePrefix="0" xfId="15">
      <alignment horizontal="center" vertical="bottom"/>
    </xf>
    <xf numFmtId="173" fontId="17" fillId="0" borderId="0" applyAlignment="1" pivotButton="0" quotePrefix="0" xfId="0">
      <alignment horizontal="center" vertical="bottom"/>
    </xf>
    <xf numFmtId="174" fontId="22" fillId="0" borderId="0" applyAlignment="1" pivotButton="0" quotePrefix="0" xfId="0">
      <alignment horizontal="center" vertical="bottom"/>
    </xf>
    <xf numFmtId="165" fontId="17" fillId="0" borderId="0" applyAlignment="1" pivotButton="0" quotePrefix="0" xfId="15">
      <alignment horizontal="center" vertical="bottom"/>
    </xf>
    <xf numFmtId="171" fontId="22" fillId="0" borderId="0" applyAlignment="1" pivotButton="0" quotePrefix="0" xfId="15">
      <alignment horizontal="general" vertical="bottom"/>
    </xf>
    <xf numFmtId="171" fontId="22" fillId="0" borderId="0" applyAlignment="1" pivotButton="0" quotePrefix="0" xfId="15">
      <alignment horizontal="center" vertical="bottom"/>
    </xf>
    <xf numFmtId="165" fontId="17" fillId="0" borderId="0" applyAlignment="1" pivotButton="0" quotePrefix="0" xfId="0">
      <alignment horizontal="center" vertical="bottom"/>
    </xf>
    <xf numFmtId="0" fontId="20" fillId="0" borderId="0" applyAlignment="1" pivotButton="0" quotePrefix="0" xfId="0">
      <alignment horizontal="general" vertical="bottom"/>
    </xf>
    <xf numFmtId="171" fontId="20" fillId="0" borderId="0" applyAlignment="1" pivotButton="0" quotePrefix="0" xfId="0">
      <alignment horizontal="general" vertical="bottom"/>
    </xf>
    <xf numFmtId="165" fontId="20" fillId="0" borderId="0" applyAlignment="1" pivotButton="0" quotePrefix="0" xfId="0">
      <alignment horizontal="general" vertical="bottom"/>
    </xf>
    <xf numFmtId="0" fontId="20" fillId="6" borderId="0" applyAlignment="1" pivotButton="0" quotePrefix="0" xfId="0">
      <alignment horizontal="general" vertical="bottom"/>
    </xf>
    <xf numFmtId="171" fontId="17" fillId="0" borderId="0" applyAlignment="1" pivotButton="0" quotePrefix="0" xfId="0">
      <alignment horizontal="general" vertical="center" wrapText="1"/>
    </xf>
    <xf numFmtId="0" fontId="17" fillId="0" borderId="0" applyAlignment="1" pivotButton="0" quotePrefix="0" xfId="0">
      <alignment horizontal="general" vertical="bottom" wrapText="1"/>
    </xf>
    <xf numFmtId="0" fontId="20" fillId="0" borderId="0" applyAlignment="1" pivotButton="0" quotePrefix="0" xfId="0">
      <alignment horizontal="right" vertical="bottom"/>
    </xf>
    <xf numFmtId="0" fontId="17" fillId="0" borderId="0" applyAlignment="1" pivotButton="0" quotePrefix="0" xfId="0">
      <alignment horizontal="right" vertical="bottom"/>
    </xf>
    <xf numFmtId="173" fontId="33" fillId="6" borderId="0" applyAlignment="1" pivotButton="0" quotePrefix="0" xfId="0">
      <alignment horizontal="center" vertical="bottom"/>
    </xf>
    <xf numFmtId="0" fontId="20" fillId="0" borderId="0" applyAlignment="1" pivotButton="0" quotePrefix="0" xfId="0">
      <alignment horizontal="center" vertical="bottom" wrapText="1"/>
    </xf>
    <xf numFmtId="0" fontId="17" fillId="0" borderId="0" applyAlignment="1" pivotButton="0" quotePrefix="0" xfId="0">
      <alignment horizontal="general" vertical="bottom"/>
    </xf>
    <xf numFmtId="165" fontId="17" fillId="0" borderId="0" applyAlignment="1" pivotButton="0" quotePrefix="0" xfId="0">
      <alignment horizontal="general" vertical="bottom"/>
    </xf>
    <xf numFmtId="0" fontId="17" fillId="0" borderId="0" applyAlignment="1" pivotButton="0" quotePrefix="0" xfId="0">
      <alignment horizontal="center" vertical="bottom"/>
    </xf>
    <xf numFmtId="175" fontId="20" fillId="5" borderId="0" applyAlignment="1" pivotButton="0" quotePrefix="0" xfId="0">
      <alignment horizontal="left" vertical="bottom"/>
    </xf>
    <xf numFmtId="176" fontId="20" fillId="5" borderId="0" applyAlignment="1" pivotButton="0" quotePrefix="0" xfId="0">
      <alignment horizontal="center" vertical="center" wrapText="1"/>
    </xf>
    <xf numFmtId="0" fontId="19" fillId="5" borderId="0" applyAlignment="1" pivotButton="0" quotePrefix="0" xfId="0">
      <alignment horizontal="center" vertical="center" wrapText="1"/>
    </xf>
    <xf numFmtId="0" fontId="22" fillId="5" borderId="0" applyAlignment="1" pivotButton="0" quotePrefix="0" xfId="0">
      <alignment horizontal="center" vertical="center"/>
    </xf>
    <xf numFmtId="173" fontId="22" fillId="5" borderId="0" applyAlignment="1" pivotButton="0" quotePrefix="0" xfId="0">
      <alignment horizontal="center" vertical="center"/>
    </xf>
    <xf numFmtId="10" fontId="22" fillId="5" borderId="0" applyAlignment="1" pivotButton="0" quotePrefix="0" xfId="19">
      <alignment horizontal="center" vertical="center"/>
    </xf>
    <xf numFmtId="10" fontId="22" fillId="5" borderId="0" applyAlignment="1" pivotButton="0" quotePrefix="0" xfId="0">
      <alignment horizontal="center" vertical="center"/>
    </xf>
    <xf numFmtId="0" fontId="17" fillId="5" borderId="0" applyAlignment="1" pivotButton="0" quotePrefix="0" xfId="0">
      <alignment horizontal="center" vertical="center"/>
    </xf>
    <xf numFmtId="173" fontId="0" fillId="5" borderId="0" applyAlignment="1" pivotButton="0" quotePrefix="0" xfId="0">
      <alignment horizontal="center" vertical="center"/>
    </xf>
    <xf numFmtId="0" fontId="0" fillId="5" borderId="0" applyAlignment="1" pivotButton="0" quotePrefix="0" xfId="0">
      <alignment horizontal="center" vertical="center"/>
    </xf>
    <xf numFmtId="0" fontId="17" fillId="5" borderId="0" applyAlignment="1" pivotButton="0" quotePrefix="0" xfId="0">
      <alignment horizontal="left" vertical="top"/>
    </xf>
    <xf numFmtId="173" fontId="0" fillId="5" borderId="0" applyAlignment="1" pivotButton="0" quotePrefix="0" xfId="0">
      <alignment horizontal="left" vertical="top"/>
    </xf>
    <xf numFmtId="0" fontId="0" fillId="5" borderId="0" applyAlignment="1" pivotButton="0" quotePrefix="0" xfId="0">
      <alignment horizontal="left" vertical="top"/>
    </xf>
    <xf numFmtId="165" fontId="17" fillId="5" borderId="0" applyAlignment="1" pivotButton="0" quotePrefix="0" xfId="0">
      <alignment horizontal="left" vertical="top"/>
    </xf>
    <xf numFmtId="165" fontId="0" fillId="5" borderId="0" applyAlignment="1" pivotButton="0" quotePrefix="0" xfId="15">
      <alignment horizontal="left" vertical="top"/>
    </xf>
    <xf numFmtId="0" fontId="44" fillId="6" borderId="0" applyAlignment="1" pivotButton="0" quotePrefix="0" xfId="0">
      <alignment horizontal="general" vertical="bottom"/>
    </xf>
    <xf numFmtId="0" fontId="39" fillId="0" borderId="0" applyAlignment="1" pivotButton="0" quotePrefix="0" xfId="0">
      <alignment horizontal="general" vertical="bottom"/>
    </xf>
    <xf numFmtId="171" fontId="0" fillId="0" borderId="0" applyAlignment="1" pivotButton="0" quotePrefix="0" xfId="15">
      <alignment horizontal="center" vertical="center"/>
    </xf>
    <xf numFmtId="171" fontId="0" fillId="0" borderId="0" applyAlignment="1" pivotButton="0" quotePrefix="0" xfId="15">
      <alignment horizontal="general" vertical="bottom"/>
    </xf>
    <xf numFmtId="171" fontId="22" fillId="0" borderId="0" applyAlignment="1" pivotButton="0" quotePrefix="0" xfId="15">
      <alignment horizontal="general" vertical="top"/>
    </xf>
    <xf numFmtId="10" fontId="22" fillId="0" borderId="0" applyAlignment="1" pivotButton="0" quotePrefix="0" xfId="19">
      <alignment horizontal="center" vertical="center"/>
    </xf>
    <xf numFmtId="0" fontId="33" fillId="0" borderId="0" applyAlignment="1" pivotButton="0" quotePrefix="0" xfId="0">
      <alignment horizontal="general" vertical="bottom"/>
    </xf>
    <xf numFmtId="0" fontId="45" fillId="0" borderId="0" applyAlignment="1" pivotButton="0" quotePrefix="0" xfId="0">
      <alignment horizontal="center" vertical="center" wrapText="1"/>
    </xf>
    <xf numFmtId="171" fontId="0" fillId="0" borderId="0" applyAlignment="1" pivotButton="0" quotePrefix="0" xfId="15">
      <alignment horizontal="center" vertical="top" wrapText="1"/>
    </xf>
    <xf numFmtId="0" fontId="22" fillId="6"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33" fillId="0" borderId="0" applyAlignment="1" pivotButton="0" quotePrefix="0" xfId="0">
      <alignment horizontal="center" vertical="center"/>
    </xf>
    <xf numFmtId="173" fontId="19" fillId="0" borderId="0" applyAlignment="1" pivotButton="0" quotePrefix="0" xfId="0">
      <alignment horizontal="center" vertical="bottom" wrapText="1"/>
    </xf>
    <xf numFmtId="165" fontId="19" fillId="0" borderId="0" applyAlignment="1" pivotButton="0" quotePrefix="0" xfId="15">
      <alignment horizontal="center" vertical="bottom"/>
    </xf>
    <xf numFmtId="0" fontId="0" fillId="0" borderId="0" applyAlignment="1" pivotButton="0" quotePrefix="0" xfId="15">
      <alignment horizontal="center" vertical="bottom"/>
    </xf>
    <xf numFmtId="0" fontId="19" fillId="0" borderId="0" applyAlignment="1" pivotButton="0" quotePrefix="0" xfId="0">
      <alignment horizontal="right" vertical="bottom" textRotation="90" wrapText="1"/>
    </xf>
    <xf numFmtId="0" fontId="0" fillId="7" borderId="0" applyAlignment="1" pivotButton="0" quotePrefix="0" xfId="0">
      <alignment horizontal="center" vertical="center"/>
    </xf>
    <xf numFmtId="173" fontId="0" fillId="0" borderId="0" applyAlignment="1" pivotButton="0" quotePrefix="0" xfId="0">
      <alignment horizontal="general" vertical="bottom"/>
    </xf>
    <xf numFmtId="171" fontId="0" fillId="0" borderId="0" applyAlignment="1" pivotButton="0" quotePrefix="0" xfId="15">
      <alignment horizontal="general" vertical="top"/>
    </xf>
    <xf numFmtId="10" fontId="0" fillId="0" borderId="0" applyAlignment="1" pivotButton="0" quotePrefix="0" xfId="19">
      <alignment horizontal="center" vertical="center"/>
    </xf>
    <xf numFmtId="0" fontId="17" fillId="0"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19" fillId="0" borderId="0" applyAlignment="1" pivotButton="0" quotePrefix="0" xfId="0">
      <alignment horizontal="center" vertical="bottom"/>
    </xf>
    <xf numFmtId="0" fontId="17" fillId="6" borderId="0" applyAlignment="1" pivotButton="0" quotePrefix="0" xfId="15">
      <alignment horizontal="center" vertical="center"/>
    </xf>
    <xf numFmtId="0" fontId="19" fillId="0" borderId="0" applyAlignment="1" pivotButton="0" quotePrefix="0" xfId="0">
      <alignment horizontal="right" vertical="center" textRotation="90"/>
    </xf>
    <xf numFmtId="0" fontId="19" fillId="6" borderId="0" applyAlignment="1" pivotButton="0" quotePrefix="0" xfId="0">
      <alignment horizontal="general" vertical="bottom" wrapText="1"/>
    </xf>
    <xf numFmtId="0" fontId="0" fillId="0" borderId="0" applyAlignment="1" pivotButton="0" quotePrefix="0" xfId="0">
      <alignment horizontal="general" vertical="top"/>
    </xf>
    <xf numFmtId="169" fontId="32" fillId="0" borderId="0" applyAlignment="1" pivotButton="0" quotePrefix="0" xfId="15">
      <alignment horizontal="general" vertical="bottom"/>
    </xf>
    <xf numFmtId="2" fontId="0" fillId="0" borderId="0" applyAlignment="1" pivotButton="0" quotePrefix="0" xfId="0">
      <alignment horizontal="general" vertical="bottom"/>
    </xf>
    <xf numFmtId="0" fontId="0" fillId="0" borderId="0" applyAlignment="1" pivotButton="0" quotePrefix="0" xfId="0">
      <alignment horizontal="general" vertical="top" wrapText="1"/>
    </xf>
    <xf numFmtId="165" fontId="0" fillId="0" borderId="0" applyAlignment="1" pivotButton="0" quotePrefix="0" xfId="0">
      <alignment horizontal="general" vertical="center"/>
    </xf>
    <xf numFmtId="0" fontId="0" fillId="0" borderId="0" applyAlignment="1" pivotButton="0" quotePrefix="0" xfId="0">
      <alignment horizontal="center" vertical="center" wrapText="1"/>
    </xf>
    <xf numFmtId="0" fontId="32" fillId="0" borderId="0" applyAlignment="1" pivotButton="0" quotePrefix="0" xfId="0">
      <alignment horizontal="center" vertical="center"/>
    </xf>
    <xf numFmtId="2" fontId="32" fillId="0" borderId="0" applyAlignment="1" pivotButton="0" quotePrefix="0" xfId="0">
      <alignment horizontal="center" vertical="center"/>
    </xf>
    <xf numFmtId="165" fontId="19" fillId="6" borderId="0" applyAlignment="1" pivotButton="0" quotePrefix="0" xfId="0">
      <alignment horizontal="general" vertical="bottom"/>
    </xf>
    <xf numFmtId="165" fontId="15" fillId="0" borderId="0" applyAlignment="1" pivotButton="0" quotePrefix="0" xfId="15">
      <alignment horizontal="center" vertical="bottom"/>
    </xf>
    <xf numFmtId="165" fontId="19" fillId="0" borderId="0" applyAlignment="1" pivotButton="0" quotePrefix="0" xfId="15">
      <alignment horizontal="center" vertical="bottom"/>
    </xf>
    <xf numFmtId="165" fontId="17" fillId="0" borderId="4" applyAlignment="1" pivotButton="0" quotePrefix="0" xfId="15">
      <alignment horizontal="center" vertical="bottom"/>
    </xf>
    <xf numFmtId="165" fontId="18" fillId="0" borderId="0" applyAlignment="1" pivotButton="0" quotePrefix="0" xfId="15">
      <alignment horizontal="center" vertical="bottom"/>
    </xf>
    <xf numFmtId="0" fontId="17" fillId="0" borderId="0" applyAlignment="1" pivotButton="0" quotePrefix="0" xfId="0">
      <alignment horizontal="general" vertical="bottom"/>
    </xf>
    <xf numFmtId="165" fontId="26" fillId="0" borderId="0" applyAlignment="1" pivotButton="0" quotePrefix="0" xfId="15">
      <alignment horizontal="center" vertical="top"/>
    </xf>
    <xf numFmtId="10" fontId="17" fillId="0" borderId="0" applyAlignment="1" pivotButton="0" quotePrefix="0" xfId="19">
      <alignment horizontal="general" vertical="bottom"/>
    </xf>
    <xf numFmtId="165" fontId="17" fillId="0" borderId="0" applyAlignment="1" pivotButton="0" quotePrefix="0" xfId="15">
      <alignment horizontal="center" vertical="bottom"/>
    </xf>
    <xf numFmtId="165" fontId="17" fillId="0" borderId="4" applyAlignment="1" pivotButton="0" quotePrefix="0" xfId="15">
      <alignment horizontal="center" vertical="top"/>
    </xf>
    <xf numFmtId="0" fontId="46" fillId="0" borderId="4" applyAlignment="1" pivotButton="0" quotePrefix="0" xfId="21">
      <alignment horizontal="general" vertical="bottom"/>
    </xf>
    <xf numFmtId="0" fontId="17" fillId="0" borderId="0" applyAlignment="1" pivotButton="0" quotePrefix="0" xfId="21">
      <alignment horizontal="general" vertical="center"/>
    </xf>
    <xf numFmtId="0" fontId="17" fillId="0" borderId="0" applyAlignment="1" pivotButton="0" quotePrefix="0" xfId="21">
      <alignment horizontal="general" vertical="bottom"/>
    </xf>
    <xf numFmtId="0" fontId="17" fillId="0" borderId="10" applyAlignment="1" pivotButton="0" quotePrefix="0" xfId="21">
      <alignment horizontal="general" vertical="center" wrapText="1"/>
    </xf>
    <xf numFmtId="0" fontId="17" fillId="0" borderId="0" applyAlignment="1" pivotButton="0" quotePrefix="0" xfId="21">
      <alignment horizontal="left" vertical="bottom"/>
    </xf>
    <xf numFmtId="165" fontId="33" fillId="6" borderId="0" applyAlignment="1" pivotButton="0" quotePrefix="0" xfId="15">
      <alignment horizontal="general" vertical="bottom"/>
    </xf>
    <xf numFmtId="0" fontId="17" fillId="0" borderId="0" applyAlignment="1" pivotButton="0" quotePrefix="0" xfId="21">
      <alignment horizontal="left" vertical="top" wrapText="1"/>
    </xf>
    <xf numFmtId="165" fontId="17" fillId="0" borderId="0" applyAlignment="1" pivotButton="0" quotePrefix="0" xfId="15">
      <alignment horizontal="right" vertical="bottom"/>
    </xf>
    <xf numFmtId="0" fontId="17" fillId="0" borderId="0" applyAlignment="1" pivotButton="0" quotePrefix="0" xfId="21">
      <alignment horizontal="general" vertical="bottom"/>
    </xf>
    <xf numFmtId="165" fontId="20" fillId="0" borderId="0" applyAlignment="1" pivotButton="0" quotePrefix="0" xfId="15">
      <alignment horizontal="left" vertical="bottom"/>
    </xf>
    <xf numFmtId="9" fontId="33" fillId="0" borderId="0" applyAlignment="1" pivotButton="0" quotePrefix="0" xfId="24">
      <alignment horizontal="general" vertical="bottom"/>
    </xf>
    <xf numFmtId="0" fontId="17" fillId="0" borderId="0" applyAlignment="1" pivotButton="0" quotePrefix="0" xfId="21">
      <alignment horizontal="left" vertical="bottom" wrapText="1"/>
    </xf>
    <xf numFmtId="2" fontId="33" fillId="0" borderId="0" applyAlignment="1" pivotButton="0" quotePrefix="0" xfId="21">
      <alignment horizontal="general" vertical="bottom"/>
    </xf>
    <xf numFmtId="9" fontId="33" fillId="0" borderId="0" applyAlignment="1" pivotButton="0" quotePrefix="0" xfId="19">
      <alignment horizontal="general" vertical="bottom"/>
    </xf>
    <xf numFmtId="165" fontId="17" fillId="0" borderId="0" applyAlignment="1" pivotButton="0" quotePrefix="0" xfId="15">
      <alignment horizontal="left" vertical="bottom"/>
    </xf>
    <xf numFmtId="0" fontId="17" fillId="0" borderId="0" applyAlignment="1" pivotButton="0" quotePrefix="0" xfId="21">
      <alignment horizontal="general" vertical="bottom"/>
    </xf>
    <xf numFmtId="172" fontId="0" fillId="6" borderId="0" applyAlignment="1" pivotButton="0" quotePrefix="0" xfId="19">
      <alignment horizontal="general" vertical="bottom"/>
    </xf>
    <xf numFmtId="164" fontId="18" fillId="4" borderId="0" applyAlignment="1" pivotButton="0" quotePrefix="0" xfId="0">
      <alignment horizontal="center" vertical="bottom"/>
    </xf>
    <xf numFmtId="164" fontId="20" fillId="8" borderId="0" applyAlignment="1" pivotButton="0" quotePrefix="0" xfId="0">
      <alignment horizontal="center" vertical="bottom"/>
    </xf>
    <xf numFmtId="164" fontId="20" fillId="9" borderId="0" applyAlignment="1" pivotButton="0" quotePrefix="0" xfId="0">
      <alignment horizontal="center" vertical="bottom"/>
    </xf>
    <xf numFmtId="0" fontId="19" fillId="5" borderId="0" applyAlignment="1" pivotButton="0" quotePrefix="0" xfId="0">
      <alignment horizontal="center" vertical="top"/>
    </xf>
    <xf numFmtId="164" fontId="21" fillId="5" borderId="0" applyAlignment="1" pivotButton="0" quotePrefix="0" xfId="0">
      <alignment horizontal="center" vertical="top"/>
    </xf>
    <xf numFmtId="164" fontId="21" fillId="5" borderId="0" applyAlignment="1" pivotButton="0" quotePrefix="0" xfId="0">
      <alignment horizontal="center" vertical="top"/>
    </xf>
    <xf numFmtId="0" fontId="17" fillId="0" borderId="0" applyAlignment="1" pivotButton="0" quotePrefix="0" xfId="21">
      <alignment horizontal="left" vertical="bottom" indent="1"/>
    </xf>
    <xf numFmtId="165" fontId="0" fillId="0" borderId="0" applyAlignment="1" pivotButton="0" quotePrefix="0" xfId="0">
      <alignment horizontal="center" vertical="top"/>
    </xf>
    <xf numFmtId="172" fontId="17" fillId="0" borderId="0" applyAlignment="1" pivotButton="0" quotePrefix="0" xfId="24">
      <alignment horizontal="left" vertical="bottom" indent="1"/>
    </xf>
    <xf numFmtId="172" fontId="17" fillId="0" borderId="11" applyAlignment="1" pivotButton="0" quotePrefix="0" xfId="24">
      <alignment horizontal="left" vertical="bottom" indent="1"/>
    </xf>
    <xf numFmtId="0" fontId="20" fillId="0" borderId="0" applyAlignment="1" pivotButton="0" quotePrefix="0" xfId="21">
      <alignment horizontal="general" vertical="bottom"/>
    </xf>
    <xf numFmtId="172" fontId="17" fillId="0" borderId="11" applyAlignment="1" pivotButton="0" quotePrefix="0" xfId="24">
      <alignment horizontal="left" vertical="bottom"/>
    </xf>
    <xf numFmtId="2" fontId="0" fillId="0" borderId="0" applyAlignment="1" pivotButton="0" quotePrefix="0" xfId="15">
      <alignment horizontal="center" vertical="bottom"/>
    </xf>
    <xf numFmtId="165" fontId="0" fillId="0" borderId="0" applyAlignment="1" pivotButton="0" quotePrefix="0" xfId="0">
      <alignment horizontal="left" vertical="bottom"/>
    </xf>
    <xf numFmtId="9" fontId="0" fillId="0" borderId="0" applyAlignment="1" pivotButton="0" quotePrefix="0" xfId="19">
      <alignment horizontal="center" vertical="bottom"/>
    </xf>
    <xf numFmtId="9" fontId="0" fillId="0" borderId="0" applyAlignment="1" pivotButton="0" quotePrefix="0" xfId="19">
      <alignment horizontal="center" vertical="bottom"/>
    </xf>
    <xf numFmtId="9" fontId="33" fillId="0" borderId="0" applyAlignment="1" pivotButton="0" quotePrefix="0" xfId="0">
      <alignment horizontal="center" vertical="bottom"/>
    </xf>
    <xf numFmtId="0" fontId="17" fillId="0" borderId="0" applyAlignment="1" pivotButton="0" quotePrefix="0" xfId="21">
      <alignment horizontal="left" vertical="bottom" indent="1"/>
    </xf>
    <xf numFmtId="0" fontId="33" fillId="0" borderId="0" applyAlignment="1" pivotButton="0" quotePrefix="0" xfId="0">
      <alignment horizontal="center" vertical="bottom"/>
    </xf>
    <xf numFmtId="172" fontId="17" fillId="0" borderId="0" applyAlignment="1" pivotButton="0" quotePrefix="0" xfId="24">
      <alignment horizontal="left" vertical="bottom"/>
    </xf>
    <xf numFmtId="171" fontId="0" fillId="0" borderId="0" applyAlignment="1" pivotButton="0" quotePrefix="0" xfId="0">
      <alignment horizontal="general" vertical="bottom"/>
    </xf>
    <xf numFmtId="9" fontId="0" fillId="0" borderId="0" applyAlignment="1" pivotButton="0" quotePrefix="0" xfId="0">
      <alignment horizontal="general" vertical="bottom"/>
    </xf>
    <xf numFmtId="171" fontId="32" fillId="6" borderId="0" applyAlignment="1" pivotButton="0" quotePrefix="0" xfId="17">
      <alignment horizontal="general" vertical="bottom"/>
    </xf>
    <xf numFmtId="171" fontId="47" fillId="0" borderId="12" applyAlignment="1" pivotButton="0" quotePrefix="0" xfId="15">
      <alignment horizontal="general" vertical="bottom"/>
    </xf>
    <xf numFmtId="0" fontId="46" fillId="0" borderId="0" applyAlignment="1" pivotButton="0" quotePrefix="0" xfId="21">
      <alignment horizontal="general" vertical="bottom"/>
    </xf>
    <xf numFmtId="0" fontId="46" fillId="0" borderId="13" applyAlignment="1" pivotButton="0" quotePrefix="0" xfId="21">
      <alignment horizontal="right" vertical="bottom"/>
    </xf>
    <xf numFmtId="164" fontId="18" fillId="0" borderId="0" applyAlignment="1" pivotButton="0" quotePrefix="0" xfId="0">
      <alignment horizontal="center" vertical="bottom"/>
    </xf>
    <xf numFmtId="0" fontId="20" fillId="0" borderId="5" applyAlignment="1" pivotButton="0" quotePrefix="0" xfId="21">
      <alignment horizontal="right" vertical="bottom"/>
    </xf>
    <xf numFmtId="0" fontId="20" fillId="0" borderId="14" applyAlignment="1" pivotButton="0" quotePrefix="0" xfId="21">
      <alignment horizontal="center" vertical="bottom"/>
    </xf>
    <xf numFmtId="171" fontId="48" fillId="0" borderId="5" applyAlignment="1" pivotButton="0" quotePrefix="0" xfId="21">
      <alignment horizontal="general" vertical="bottom"/>
    </xf>
    <xf numFmtId="172" fontId="20" fillId="0" borderId="5" applyAlignment="1" pivotButton="0" quotePrefix="0" xfId="21">
      <alignment horizontal="center" vertical="bottom"/>
    </xf>
    <xf numFmtId="0" fontId="46" fillId="0" borderId="5" applyAlignment="1" pivotButton="0" quotePrefix="0" xfId="21">
      <alignment horizontal="general" vertical="bottom"/>
    </xf>
    <xf numFmtId="9" fontId="49" fillId="0" borderId="0" applyAlignment="1" pivotButton="0" quotePrefix="0" xfId="21">
      <alignment horizontal="center" vertical="bottom"/>
    </xf>
    <xf numFmtId="172" fontId="17" fillId="0" borderId="0" applyAlignment="1" pivotButton="0" quotePrefix="0" xfId="21">
      <alignment horizontal="right" vertical="bottom"/>
    </xf>
    <xf numFmtId="171" fontId="17" fillId="0" borderId="13" applyAlignment="1" pivotButton="0" quotePrefix="0" xfId="21">
      <alignment horizontal="center" vertical="bottom"/>
    </xf>
    <xf numFmtId="172" fontId="48" fillId="0" borderId="0" applyAlignment="1" pivotButton="0" quotePrefix="0" xfId="21">
      <alignment horizontal="right" vertical="bottom"/>
    </xf>
    <xf numFmtId="171" fontId="0" fillId="0" borderId="0" applyAlignment="1" pivotButton="0" quotePrefix="0" xfId="15">
      <alignment horizontal="center" vertical="bottom"/>
    </xf>
    <xf numFmtId="0" fontId="47" fillId="0" borderId="0" applyAlignment="1" pivotButton="0" quotePrefix="0" xfId="0">
      <alignment horizontal="general" vertical="bottom"/>
    </xf>
    <xf numFmtId="2" fontId="17" fillId="0" borderId="0" applyAlignment="1" pivotButton="0" quotePrefix="0" xfId="21">
      <alignment horizontal="center" vertical="bottom"/>
    </xf>
    <xf numFmtId="1" fontId="32" fillId="6" borderId="0" applyAlignment="1" pivotButton="0" quotePrefix="0" xfId="21">
      <alignment horizontal="center" vertical="bottom"/>
    </xf>
    <xf numFmtId="0" fontId="18" fillId="0" borderId="12" applyAlignment="1" pivotButton="0" quotePrefix="0" xfId="0">
      <alignment horizontal="center" vertical="bottom"/>
    </xf>
    <xf numFmtId="0" fontId="17" fillId="0" borderId="13" applyAlignment="1" pivotButton="0" quotePrefix="0" xfId="21">
      <alignment horizontal="right" vertical="bottom"/>
    </xf>
    <xf numFmtId="0" fontId="20" fillId="0" borderId="14" applyAlignment="1" pivotButton="0" quotePrefix="0" xfId="21">
      <alignment horizontal="right" vertical="bottom"/>
    </xf>
    <xf numFmtId="168" fontId="20" fillId="0" borderId="5" applyAlignment="1" pivotButton="0" quotePrefix="0" xfId="21">
      <alignment horizontal="center" vertical="bottom"/>
    </xf>
    <xf numFmtId="172" fontId="17" fillId="0" borderId="0" applyAlignment="1" pivotButton="0" quotePrefix="0" xfId="21">
      <alignment horizontal="general" vertical="bottom"/>
    </xf>
    <xf numFmtId="171" fontId="17" fillId="0" borderId="13" applyAlignment="1" pivotButton="0" quotePrefix="0" xfId="21">
      <alignment horizontal="general" vertical="bottom"/>
    </xf>
    <xf numFmtId="1" fontId="32" fillId="6" borderId="0" applyAlignment="1" pivotButton="0" quotePrefix="0" xfId="0">
      <alignment horizontal="center" vertical="bottom"/>
    </xf>
    <xf numFmtId="172" fontId="17" fillId="0" borderId="0" applyAlignment="1" pivotButton="0" quotePrefix="0" xfId="24">
      <alignment horizontal="general" vertical="bottom"/>
    </xf>
    <xf numFmtId="0" fontId="0" fillId="0" borderId="0" applyAlignment="1" pivotButton="0" quotePrefix="0" xfId="0">
      <alignment horizontal="general" vertical="bottom"/>
    </xf>
    <xf numFmtId="0" fontId="0" fillId="0" borderId="0" pivotButton="0" quotePrefix="0" xfId="0"/>
    <xf numFmtId="0" fontId="6" fillId="0" borderId="0" applyAlignment="1" pivotButton="0" quotePrefix="0" xfId="0">
      <alignment horizontal="center" vertical="bottom"/>
    </xf>
    <xf numFmtId="0" fontId="7" fillId="0" borderId="0" applyAlignment="1" pivotButton="0" quotePrefix="0" xfId="0">
      <alignment horizontal="center" vertical="bottom"/>
    </xf>
    <xf numFmtId="0" fontId="8" fillId="0" borderId="0" applyAlignment="1" pivotButton="0" quotePrefix="0" xfId="0">
      <alignment horizontal="center" vertical="bottom"/>
    </xf>
    <xf numFmtId="0" fontId="9" fillId="0" borderId="0" applyAlignment="1" pivotButton="0" quotePrefix="0" xfId="20">
      <alignment horizontal="center" vertical="bottom"/>
    </xf>
    <xf numFmtId="0" fontId="10" fillId="0" borderId="0" applyAlignment="1" pivotButton="0" quotePrefix="0" xfId="0">
      <alignment horizontal="center" vertical="bottom"/>
    </xf>
    <xf numFmtId="0" fontId="0" fillId="0" borderId="0" applyAlignment="1" pivotButton="0" quotePrefix="0" xfId="0">
      <alignment horizontal="center" vertical="bottom"/>
    </xf>
    <xf numFmtId="0" fontId="11" fillId="0" borderId="0" applyAlignment="1" pivotButton="0" quotePrefix="0" xfId="0">
      <alignment horizontal="center" vertical="bottom"/>
    </xf>
    <xf numFmtId="0" fontId="12" fillId="2" borderId="0" applyAlignment="1" pivotButton="0" quotePrefix="0" xfId="22">
      <alignment horizontal="general" vertical="bottom"/>
    </xf>
    <xf numFmtId="0" fontId="4" fillId="2" borderId="0" applyAlignment="1" pivotButton="0" quotePrefix="0" xfId="22">
      <alignment horizontal="general" vertical="bottom"/>
    </xf>
    <xf numFmtId="0" fontId="4" fillId="2" borderId="1" applyAlignment="1" pivotButton="0" quotePrefix="0" xfId="22">
      <alignment horizontal="general" vertical="bottom"/>
    </xf>
    <xf numFmtId="0" fontId="4" fillId="3" borderId="0" applyAlignment="1" pivotButton="0" quotePrefix="0" xfId="22">
      <alignment horizontal="general" vertical="bottom"/>
    </xf>
    <xf numFmtId="0" fontId="4" fillId="3" borderId="1" applyAlignment="1" pivotButton="0" quotePrefix="0" xfId="22">
      <alignment horizontal="general" vertical="bottom"/>
    </xf>
    <xf numFmtId="0" fontId="4" fillId="3" borderId="1" applyAlignment="1" pivotButton="0" quotePrefix="0" xfId="22">
      <alignment horizontal="left" vertical="top" wrapText="1"/>
    </xf>
    <xf numFmtId="0" fontId="0" fillId="0" borderId="1" pivotButton="0" quotePrefix="0" xfId="0"/>
    <xf numFmtId="0" fontId="4" fillId="3" borderId="0" applyAlignment="1" pivotButton="0" quotePrefix="0" xfId="22">
      <alignment horizontal="general" vertical="top" wrapText="1"/>
    </xf>
    <xf numFmtId="0" fontId="4" fillId="3" borderId="1" applyAlignment="1" pivotButton="0" quotePrefix="0" xfId="22">
      <alignment horizontal="general" vertical="top" wrapText="1"/>
    </xf>
    <xf numFmtId="0" fontId="4" fillId="3" borderId="0" applyAlignment="1" pivotButton="0" quotePrefix="0" xfId="22">
      <alignment horizontal="left" vertical="top" wrapText="1"/>
    </xf>
    <xf numFmtId="0" fontId="11" fillId="0" borderId="0" applyAlignment="1" pivotButton="0" quotePrefix="0" xfId="0">
      <alignment horizontal="left" vertical="bottom"/>
    </xf>
    <xf numFmtId="0" fontId="13" fillId="3" borderId="0" applyAlignment="1" pivotButton="0" quotePrefix="0" xfId="20">
      <alignment horizontal="general" vertical="bottom"/>
    </xf>
    <xf numFmtId="0" fontId="10" fillId="0" borderId="0" applyAlignment="1" pivotButton="0" quotePrefix="0" xfId="0">
      <alignment horizontal="left" vertical="bottom"/>
    </xf>
    <xf numFmtId="0" fontId="4" fillId="3" borderId="2" applyAlignment="1" pivotButton="0" quotePrefix="0" xfId="22">
      <alignment horizontal="general" vertical="bottom"/>
    </xf>
    <xf numFmtId="0" fontId="13" fillId="3" borderId="2" applyAlignment="1" pivotButton="0" quotePrefix="0" xfId="20">
      <alignment horizontal="general" vertical="bottom"/>
    </xf>
    <xf numFmtId="0" fontId="4" fillId="3" borderId="3" applyAlignment="1" pivotButton="0" quotePrefix="0" xfId="22">
      <alignment horizontal="general" vertical="bottom"/>
    </xf>
    <xf numFmtId="0" fontId="14" fillId="3" borderId="0" applyAlignment="1" pivotButton="0" quotePrefix="0" xfId="22">
      <alignment horizontal="left" vertical="top" wrapText="1"/>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4" applyAlignment="1" pivotButton="0" quotePrefix="0" xfId="0">
      <alignment horizontal="general" vertical="bottom"/>
    </xf>
    <xf numFmtId="0" fontId="17" fillId="0" borderId="0" applyAlignment="1" pivotButton="0" quotePrefix="0" xfId="0">
      <alignment horizontal="general" vertical="bottom"/>
    </xf>
    <xf numFmtId="164" fontId="18" fillId="4" borderId="0" applyAlignment="1" pivotButton="0" quotePrefix="0" xfId="0">
      <alignment horizontal="general" vertical="bottom"/>
    </xf>
    <xf numFmtId="0" fontId="0" fillId="0" borderId="5" applyAlignment="1" pivotButton="0" quotePrefix="0" xfId="0">
      <alignment horizontal="left" vertical="top"/>
    </xf>
    <xf numFmtId="0" fontId="0" fillId="0" borderId="0" applyAlignment="1" pivotButton="0" quotePrefix="0" xfId="0">
      <alignment horizontal="justify" vertical="bottom" wrapText="1"/>
    </xf>
    <xf numFmtId="165" fontId="0" fillId="0" borderId="0" applyAlignment="1" pivotButton="0" quotePrefix="0" xfId="0">
      <alignment horizontal="center" vertical="bottom"/>
    </xf>
    <xf numFmtId="0" fontId="0" fillId="0" borderId="0" applyAlignment="1" pivotButton="0" quotePrefix="0" xfId="0">
      <alignment horizontal="left" vertical="bottom" indent="1"/>
    </xf>
    <xf numFmtId="166" fontId="0" fillId="0" borderId="0" applyAlignment="1" pivotButton="0" quotePrefix="0" xfId="0">
      <alignment horizontal="center" vertical="bottom"/>
    </xf>
    <xf numFmtId="0" fontId="0" fillId="0" borderId="0" applyAlignment="1" pivotButton="0" quotePrefix="0" xfId="0">
      <alignment horizontal="left" vertical="top"/>
    </xf>
    <xf numFmtId="0" fontId="0" fillId="0" borderId="5" applyAlignment="1" pivotButton="0" quotePrefix="0" xfId="0">
      <alignment horizontal="general" vertical="bottom"/>
    </xf>
    <xf numFmtId="0" fontId="19" fillId="0" borderId="6" applyAlignment="1" pivotButton="0" quotePrefix="0" xfId="0">
      <alignment horizontal="general" vertical="center"/>
    </xf>
    <xf numFmtId="164" fontId="19" fillId="0" borderId="7" applyAlignment="1" pivotButton="0" quotePrefix="0" xfId="0">
      <alignment horizontal="center" vertical="center" wrapText="1"/>
    </xf>
    <xf numFmtId="164" fontId="20" fillId="5" borderId="7" applyAlignment="1" pivotButton="0" quotePrefix="0" xfId="0">
      <alignment horizontal="center" vertical="center"/>
    </xf>
    <xf numFmtId="164" fontId="21" fillId="0" borderId="7" applyAlignment="1" pivotButton="0" quotePrefix="0" xfId="0">
      <alignment horizontal="center" vertical="center" wrapText="1"/>
    </xf>
    <xf numFmtId="164" fontId="21" fillId="5" borderId="7" applyAlignment="1" pivotButton="0" quotePrefix="0" xfId="0">
      <alignment horizontal="center" vertical="center"/>
    </xf>
    <xf numFmtId="165" fontId="21" fillId="0" borderId="7" applyAlignment="1" pivotButton="0" quotePrefix="0" xfId="15">
      <alignment horizontal="center" vertical="center" wrapText="1"/>
    </xf>
    <xf numFmtId="0" fontId="17" fillId="0" borderId="0" applyAlignment="1" pivotButton="0" quotePrefix="0" xfId="23">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0" borderId="0" applyAlignment="1" pivotButton="0" quotePrefix="0" xfId="0">
      <alignment horizontal="general" vertical="bottom" wrapText="1"/>
    </xf>
    <xf numFmtId="10" fontId="0" fillId="0" borderId="0" applyAlignment="1" pivotButton="0" quotePrefix="0" xfId="0">
      <alignment horizontal="general" vertical="bottom"/>
    </xf>
    <xf numFmtId="10" fontId="0" fillId="5" borderId="0" applyAlignment="1" pivotButton="0" quotePrefix="0" xfId="0">
      <alignment horizontal="general" vertical="bottom"/>
    </xf>
    <xf numFmtId="167" fontId="17" fillId="0" borderId="0" applyAlignment="1" pivotButton="0" quotePrefix="0" xfId="15">
      <alignment horizontal="general" vertical="bottom" wrapText="1"/>
    </xf>
    <xf numFmtId="2" fontId="0" fillId="0" borderId="0" applyAlignment="1" pivotButton="0" quotePrefix="0" xfId="0">
      <alignment horizontal="general" vertical="bottom"/>
    </xf>
    <xf numFmtId="2" fontId="0" fillId="5" borderId="0" applyAlignment="1" pivotButton="0" quotePrefix="0" xfId="0">
      <alignment horizontal="general" vertical="bottom"/>
    </xf>
    <xf numFmtId="10" fontId="22" fillId="0" borderId="0" applyAlignment="1" pivotButton="0" quotePrefix="0" xfId="19">
      <alignment horizontal="center" vertical="bottom" wrapText="1"/>
    </xf>
    <xf numFmtId="0" fontId="0" fillId="5" borderId="0" applyAlignment="1" pivotButton="0" quotePrefix="0" xfId="0">
      <alignment horizontal="general" vertical="bottom"/>
    </xf>
    <xf numFmtId="0" fontId="17" fillId="5" borderId="0" applyAlignment="1" pivotButton="0" quotePrefix="0" xfId="0">
      <alignment horizontal="general" vertical="bottom" wrapText="1"/>
    </xf>
    <xf numFmtId="2" fontId="17" fillId="5" borderId="0" applyAlignment="1" pivotButton="0" quotePrefix="0" xfId="0">
      <alignment horizontal="general" vertical="bottom" wrapText="1"/>
    </xf>
    <xf numFmtId="10" fontId="0" fillId="0" borderId="0" applyAlignment="1" pivotButton="0" quotePrefix="0" xfId="19">
      <alignment horizontal="center" vertical="bottom" wrapText="1"/>
    </xf>
    <xf numFmtId="165" fontId="17" fillId="0" borderId="0" applyAlignment="1" pivotButton="0" quotePrefix="0" xfId="0">
      <alignment horizontal="general" vertical="bottom" wrapText="1"/>
    </xf>
    <xf numFmtId="164" fontId="18" fillId="4" borderId="0" applyAlignment="1" pivotButton="0" quotePrefix="0" xfId="0">
      <alignment horizontal="general" vertical="bottom" wrapText="1"/>
    </xf>
    <xf numFmtId="165" fontId="0" fillId="0" borderId="0" applyAlignment="1" pivotButton="0" quotePrefix="0" xfId="15">
      <alignment horizontal="general" vertical="bottom"/>
    </xf>
    <xf numFmtId="0" fontId="19" fillId="0" borderId="0" applyAlignment="1" pivotButton="0" quotePrefix="0" xfId="0">
      <alignment horizontal="general" vertical="bottom"/>
    </xf>
    <xf numFmtId="164" fontId="17" fillId="0" borderId="0" applyAlignment="1" pivotButton="0" quotePrefix="0" xfId="0">
      <alignment horizontal="center" vertical="center"/>
    </xf>
    <xf numFmtId="165" fontId="17" fillId="0" borderId="0" applyAlignment="1" pivotButton="0" quotePrefix="0" xfId="15">
      <alignment horizontal="center" vertical="center"/>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15">
      <alignment horizontal="center" vertical="top"/>
    </xf>
    <xf numFmtId="165" fontId="17" fillId="0" borderId="0" applyAlignment="1" pivotButton="0" quotePrefix="0" xfId="15">
      <alignment horizontal="general" vertical="top"/>
    </xf>
    <xf numFmtId="9" fontId="0" fillId="0" borderId="0" applyAlignment="1" pivotButton="0" quotePrefix="0" xfId="19">
      <alignment horizontal="general" vertical="bottom"/>
    </xf>
    <xf numFmtId="9" fontId="0" fillId="0" borderId="0" applyAlignment="1" pivotButton="0" quotePrefix="0" xfId="19">
      <alignment horizontal="general" vertical="top"/>
    </xf>
    <xf numFmtId="165" fontId="17" fillId="0" borderId="4" applyAlignment="1" pivotButton="0" quotePrefix="0" xfId="15">
      <alignment horizontal="general" vertical="bottom"/>
    </xf>
    <xf numFmtId="0" fontId="19" fillId="0" borderId="0" applyAlignment="1" pivotButton="0" quotePrefix="0" xfId="0">
      <alignment horizontal="general" vertical="center"/>
    </xf>
    <xf numFmtId="164" fontId="20" fillId="5" borderId="0" applyAlignment="1" pivotButton="0" quotePrefix="0" xfId="0">
      <alignment horizontal="center" vertical="center"/>
    </xf>
    <xf numFmtId="164" fontId="19" fillId="0" borderId="0" applyAlignment="1" pivotButton="0" quotePrefix="0" xfId="0">
      <alignment horizontal="center" vertical="center" wrapText="1"/>
    </xf>
    <xf numFmtId="164" fontId="21" fillId="0" borderId="0" applyAlignment="1" pivotButton="0" quotePrefix="0" xfId="0">
      <alignment horizontal="center" vertical="center" wrapText="1"/>
    </xf>
    <xf numFmtId="164" fontId="21" fillId="5" borderId="0" applyAlignment="1" pivotButton="0" quotePrefix="0" xfId="0">
      <alignment horizontal="center" vertical="center"/>
    </xf>
    <xf numFmtId="165" fontId="21" fillId="0" borderId="0" applyAlignment="1" pivotButton="0" quotePrefix="0" xfId="15">
      <alignment horizontal="center" vertical="center" wrapText="1"/>
    </xf>
    <xf numFmtId="0" fontId="17" fillId="5" borderId="4" applyAlignment="1" pivotButton="0" quotePrefix="0" xfId="0">
      <alignment horizontal="general" vertical="bottom"/>
    </xf>
    <xf numFmtId="10" fontId="22" fillId="0" borderId="8" applyAlignment="1" pivotButton="0" quotePrefix="0" xfId="19">
      <alignment horizontal="center" vertical="center" wrapText="1"/>
    </xf>
    <xf numFmtId="0" fontId="0" fillId="0" borderId="8" pivotButton="0" quotePrefix="0" xfId="0"/>
    <xf numFmtId="165" fontId="19" fillId="5" borderId="0" applyAlignment="1" pivotButton="0" quotePrefix="0" xfId="0">
      <alignment horizontal="general" vertical="bottom"/>
    </xf>
    <xf numFmtId="165" fontId="19" fillId="0" borderId="0" applyAlignment="1" pivotButton="0" quotePrefix="0" xfId="0">
      <alignment horizontal="general" vertical="bottom"/>
    </xf>
    <xf numFmtId="0" fontId="0" fillId="0" borderId="0" applyAlignment="1" pivotButton="0" quotePrefix="0" xfId="0">
      <alignment horizontal="left" vertical="bottom"/>
    </xf>
    <xf numFmtId="0" fontId="17" fillId="0" borderId="0" applyAlignment="1" pivotButton="0" quotePrefix="0" xfId="0">
      <alignment horizontal="left" vertical="bottom" wrapText="1" indent="1"/>
    </xf>
    <xf numFmtId="0" fontId="20" fillId="0" borderId="0" applyAlignment="1" pivotButton="0" quotePrefix="0" xfId="0">
      <alignment horizontal="left" vertical="bottom" wrapText="1"/>
    </xf>
    <xf numFmtId="0" fontId="27" fillId="0" borderId="0" applyAlignment="1" pivotButton="0" quotePrefix="0" xfId="0">
      <alignment horizontal="general" vertical="bottom"/>
    </xf>
    <xf numFmtId="0" fontId="26" fillId="0" borderId="0" applyAlignment="1" pivotButton="0" quotePrefix="0" xfId="0">
      <alignment horizontal="left" vertical="bottom" wrapText="1"/>
    </xf>
    <xf numFmtId="10" fontId="27" fillId="5" borderId="0" applyAlignment="1" pivotButton="0" quotePrefix="0" xfId="19">
      <alignment horizontal="general" vertical="bottom"/>
    </xf>
    <xf numFmtId="10" fontId="27" fillId="0" borderId="0" applyAlignment="1" pivotButton="0" quotePrefix="0" xfId="19">
      <alignment horizontal="general" vertical="bottom"/>
    </xf>
    <xf numFmtId="10" fontId="27" fillId="5" borderId="0" applyAlignment="1" pivotButton="0" quotePrefix="0" xfId="0">
      <alignment horizontal="general" vertical="bottom"/>
    </xf>
    <xf numFmtId="10" fontId="27" fillId="0" borderId="0" applyAlignment="1" pivotButton="0" quotePrefix="0" xfId="0">
      <alignment horizontal="general" vertical="bottom"/>
    </xf>
    <xf numFmtId="10" fontId="0" fillId="0" borderId="0" applyAlignment="1" pivotButton="0" quotePrefix="0" xfId="19">
      <alignment horizontal="general" vertical="bottom"/>
    </xf>
    <xf numFmtId="0" fontId="20" fillId="0" borderId="0" applyAlignment="1" pivotButton="0" quotePrefix="0" xfId="0">
      <alignment horizontal="general" vertical="bottom" wrapText="1"/>
    </xf>
    <xf numFmtId="0" fontId="26" fillId="0" borderId="0" applyAlignment="1" pivotButton="0" quotePrefix="0" xfId="0">
      <alignment horizontal="general" vertical="bottom" wrapText="1"/>
    </xf>
    <xf numFmtId="9" fontId="0" fillId="5" borderId="0" applyAlignment="1" pivotButton="0" quotePrefix="0" xfId="19">
      <alignment horizontal="general" vertical="bottom"/>
    </xf>
    <xf numFmtId="0" fontId="0" fillId="0" borderId="0" applyAlignment="1" pivotButton="0" quotePrefix="0" xfId="0">
      <alignment horizontal="general" vertical="bottom" wrapText="1"/>
    </xf>
    <xf numFmtId="0" fontId="28" fillId="0" borderId="0" applyAlignment="1" pivotButton="0" quotePrefix="0" xfId="0">
      <alignment horizontal="general" vertical="bottom"/>
    </xf>
    <xf numFmtId="0" fontId="17" fillId="5" borderId="0" applyAlignment="1" pivotButton="0" quotePrefix="0" xfId="0">
      <alignment horizontal="general" vertical="bottom"/>
    </xf>
    <xf numFmtId="10" fontId="22" fillId="0" borderId="0" applyAlignment="1" pivotButton="0" quotePrefix="0" xfId="19">
      <alignment horizontal="center" vertical="center" wrapText="1"/>
    </xf>
    <xf numFmtId="168" fontId="0" fillId="5" borderId="0" applyAlignment="1" pivotButton="0" quotePrefix="0" xfId="0">
      <alignment horizontal="center" vertical="center"/>
    </xf>
    <xf numFmtId="9" fontId="17" fillId="0" borderId="0" applyAlignment="1" pivotButton="0" quotePrefix="0" xfId="19">
      <alignment horizontal="general" vertical="bottom" wrapText="1"/>
    </xf>
    <xf numFmtId="10" fontId="0" fillId="5" borderId="0" applyAlignment="1" pivotButton="0" quotePrefix="0" xfId="19">
      <alignment horizontal="general" vertical="bottom"/>
    </xf>
    <xf numFmtId="165" fontId="0" fillId="5" borderId="0" applyAlignment="1" pivotButton="0" quotePrefix="0" xfId="15">
      <alignment horizontal="general" vertical="bottom"/>
    </xf>
    <xf numFmtId="0" fontId="17" fillId="0" borderId="4" applyAlignment="1" pivotButton="0" quotePrefix="0" xfId="0">
      <alignment horizontal="general" vertical="bottom" wrapText="1"/>
    </xf>
    <xf numFmtId="167" fontId="17" fillId="5" borderId="4" applyAlignment="1" pivotButton="0" quotePrefix="0" xfId="0">
      <alignment horizontal="general" vertical="bottom" wrapText="1"/>
    </xf>
    <xf numFmtId="167" fontId="17" fillId="0" borderId="4" applyAlignment="1" pivotButton="0" quotePrefix="0" xfId="0">
      <alignment horizontal="general" vertical="bottom" wrapText="1"/>
    </xf>
    <xf numFmtId="167" fontId="0" fillId="0" borderId="0" applyAlignment="1" pivotButton="0" quotePrefix="0" xfId="0">
      <alignment horizontal="general" vertical="bottom"/>
    </xf>
    <xf numFmtId="164" fontId="29" fillId="0" borderId="0" applyAlignment="1" pivotButton="0" quotePrefix="0" xfId="0">
      <alignment horizontal="right" vertical="bottom"/>
    </xf>
    <xf numFmtId="164" fontId="30" fillId="0" borderId="0" applyAlignment="1" pivotButton="0" quotePrefix="0" xfId="0">
      <alignment horizontal="center" vertical="bottom"/>
    </xf>
    <xf numFmtId="164" fontId="29" fillId="0" borderId="0" applyAlignment="1" pivotButton="0" quotePrefix="0" xfId="0">
      <alignment horizontal="center" vertical="bottom"/>
    </xf>
    <xf numFmtId="0" fontId="31" fillId="0" borderId="0" applyAlignment="1" pivotButton="0" quotePrefix="0" xfId="0">
      <alignment horizontal="center" vertical="bottom"/>
    </xf>
    <xf numFmtId="169" fontId="22" fillId="0" borderId="0" applyAlignment="1" pivotButton="0" quotePrefix="0" xfId="15">
      <alignment horizontal="general" vertical="bottom"/>
    </xf>
    <xf numFmtId="164" fontId="18" fillId="0" borderId="0" applyAlignment="1" pivotButton="0" quotePrefix="0" xfId="0">
      <alignment horizontal="general" vertical="bottom"/>
    </xf>
    <xf numFmtId="0" fontId="32" fillId="6" borderId="0" applyAlignment="1" pivotButton="0" quotePrefix="0" xfId="0">
      <alignment horizontal="center" vertical="bottom" wrapText="1"/>
    </xf>
    <xf numFmtId="165" fontId="22" fillId="5" borderId="0" applyAlignment="1" pivotButton="0" quotePrefix="0" xfId="15">
      <alignment horizontal="general" vertical="bottom"/>
    </xf>
    <xf numFmtId="165" fontId="22" fillId="0" borderId="0" applyAlignment="1" pivotButton="0" quotePrefix="0" xfId="15">
      <alignment horizontal="general" vertical="bottom"/>
    </xf>
    <xf numFmtId="165" fontId="17" fillId="5" borderId="0" applyAlignment="1" pivotButton="0" quotePrefix="0" xfId="15">
      <alignment horizontal="general" vertical="bottom"/>
    </xf>
    <xf numFmtId="0" fontId="0" fillId="0" borderId="0" applyAlignment="1" pivotButton="0" quotePrefix="0" xfId="0">
      <alignment horizontal="left" vertical="bottom" indent="2"/>
    </xf>
    <xf numFmtId="165" fontId="22" fillId="0" borderId="0" applyAlignment="1" pivotButton="0" quotePrefix="0" xfId="0">
      <alignment horizontal="general" vertical="bottom"/>
    </xf>
    <xf numFmtId="165" fontId="17" fillId="0" borderId="0" applyAlignment="1" pivotButton="0" quotePrefix="0" xfId="15">
      <alignment horizontal="general" vertical="bottom"/>
    </xf>
    <xf numFmtId="165" fontId="33" fillId="0" borderId="0" applyAlignment="1" pivotButton="0" quotePrefix="0" xfId="0">
      <alignment horizontal="general" vertical="bottom"/>
    </xf>
    <xf numFmtId="165" fontId="19" fillId="5" borderId="0" applyAlignment="1" pivotButton="0" quotePrefix="0" xfId="15">
      <alignment horizontal="general" vertical="bottom"/>
    </xf>
    <xf numFmtId="165" fontId="19" fillId="0" borderId="0" applyAlignment="1" pivotButton="0" quotePrefix="0" xfId="15">
      <alignment horizontal="general" vertical="bottom"/>
    </xf>
    <xf numFmtId="165" fontId="20" fillId="5" borderId="0" applyAlignment="1" pivotButton="0" quotePrefix="0" xfId="15">
      <alignment horizontal="general" vertical="bottom"/>
    </xf>
    <xf numFmtId="9" fontId="19" fillId="5" borderId="0" applyAlignment="1" pivotButton="0" quotePrefix="0" xfId="19">
      <alignment horizontal="general" vertical="bottom"/>
    </xf>
    <xf numFmtId="0" fontId="19" fillId="0" borderId="0" applyAlignment="1" pivotButton="0" quotePrefix="0" xfId="0">
      <alignment horizontal="general" vertical="bottom" wrapText="1"/>
    </xf>
    <xf numFmtId="165" fontId="33" fillId="0" borderId="0" applyAlignment="1" pivotButton="0" quotePrefix="0" xfId="15">
      <alignment horizontal="general" vertical="bottom"/>
    </xf>
    <xf numFmtId="10" fontId="26" fillId="5" borderId="0" applyAlignment="1" pivotButton="0" quotePrefix="0" xfId="19">
      <alignment horizontal="general" vertical="bottom"/>
    </xf>
    <xf numFmtId="10" fontId="28" fillId="0" borderId="0" applyAlignment="1" pivotButton="0" quotePrefix="0" xfId="19">
      <alignment horizontal="general" vertical="bottom"/>
    </xf>
    <xf numFmtId="165" fontId="22" fillId="5" borderId="0" applyAlignment="1" pivotButton="0" quotePrefix="0" xfId="0">
      <alignment horizontal="general" vertical="bottom"/>
    </xf>
    <xf numFmtId="2" fontId="22" fillId="0" borderId="0" applyAlignment="1" pivotButton="0" quotePrefix="0" xfId="15">
      <alignment horizontal="general" vertical="bottom"/>
    </xf>
    <xf numFmtId="165" fontId="17" fillId="5" borderId="0" applyAlignment="1" pivotButton="0" quotePrefix="0" xfId="0">
      <alignment horizontal="general" vertical="bottom"/>
    </xf>
    <xf numFmtId="165" fontId="27" fillId="0" borderId="0" applyAlignment="1" pivotButton="0" quotePrefix="0" xfId="15">
      <alignment horizontal="general" vertical="bottom"/>
    </xf>
    <xf numFmtId="2" fontId="0" fillId="0" borderId="0" applyAlignment="1" pivotButton="0" quotePrefix="0" xfId="15">
      <alignment horizontal="general" vertical="bottom"/>
    </xf>
    <xf numFmtId="9" fontId="20" fillId="5" borderId="0" applyAlignment="1" pivotButton="0" quotePrefix="0" xfId="19">
      <alignment horizontal="general" vertical="bottom"/>
    </xf>
    <xf numFmtId="165" fontId="33" fillId="5" borderId="0" applyAlignment="1" pivotButton="0" quotePrefix="0" xfId="15">
      <alignment horizontal="general" vertical="bottom"/>
    </xf>
    <xf numFmtId="167" fontId="0" fillId="0" borderId="0" applyAlignment="1" pivotButton="0" quotePrefix="0" xfId="15">
      <alignment horizontal="general" vertical="bottom"/>
    </xf>
    <xf numFmtId="165" fontId="21" fillId="5" borderId="0" applyAlignment="1" pivotButton="0" quotePrefix="0" xfId="15">
      <alignment horizontal="general" vertical="bottom"/>
    </xf>
    <xf numFmtId="165" fontId="21" fillId="0" borderId="0" applyAlignment="1" pivotButton="0" quotePrefix="0" xfId="15">
      <alignment horizontal="general" vertical="bottom"/>
    </xf>
    <xf numFmtId="2" fontId="21" fillId="0" borderId="0" applyAlignment="1" pivotButton="0" quotePrefix="0" xfId="15">
      <alignment horizontal="general" vertical="bottom"/>
    </xf>
    <xf numFmtId="167" fontId="0" fillId="5" borderId="0" applyAlignment="1" pivotButton="0" quotePrefix="0" xfId="15">
      <alignment horizontal="general" vertical="bottom"/>
    </xf>
    <xf numFmtId="167" fontId="33" fillId="0" borderId="0" applyAlignment="1" pivotButton="0" quotePrefix="0" xfId="15">
      <alignment horizontal="general" vertical="bottom"/>
    </xf>
    <xf numFmtId="167" fontId="33" fillId="5" borderId="0" applyAlignment="1" pivotButton="0" quotePrefix="0" xfId="15">
      <alignment horizontal="general" vertical="bottom"/>
    </xf>
    <xf numFmtId="167" fontId="33" fillId="0" borderId="0" applyAlignment="1" pivotButton="0" quotePrefix="0" xfId="0">
      <alignment horizontal="general" vertical="bottom"/>
    </xf>
    <xf numFmtId="167" fontId="32" fillId="5" borderId="0" applyAlignment="1" pivotButton="0" quotePrefix="0" xfId="15">
      <alignment horizontal="general" vertical="bottom"/>
    </xf>
    <xf numFmtId="167" fontId="19" fillId="5" borderId="0" applyAlignment="1" pivotButton="0" quotePrefix="0" xfId="15">
      <alignment horizontal="general" vertical="bottom"/>
    </xf>
    <xf numFmtId="167" fontId="19" fillId="0" borderId="0" applyAlignment="1" pivotButton="0" quotePrefix="0" xfId="15">
      <alignment horizontal="general" vertical="bottom"/>
    </xf>
    <xf numFmtId="167" fontId="32" fillId="0" borderId="0" applyAlignment="1" pivotButton="0" quotePrefix="0" xfId="15">
      <alignment horizontal="general" vertical="bottom"/>
    </xf>
    <xf numFmtId="167" fontId="32" fillId="0" borderId="0" applyAlignment="1" pivotButton="0" quotePrefix="0" xfId="0">
      <alignment horizontal="general" vertical="bottom"/>
    </xf>
    <xf numFmtId="167" fontId="17" fillId="5" borderId="0" applyAlignment="1" pivotButton="0" quotePrefix="0" xfId="15">
      <alignment horizontal="general" vertical="bottom"/>
    </xf>
    <xf numFmtId="10" fontId="17" fillId="5" borderId="0" applyAlignment="1" pivotButton="0" quotePrefix="0" xfId="19">
      <alignment horizontal="general" vertical="bottom"/>
    </xf>
    <xf numFmtId="9" fontId="17" fillId="5" borderId="0" applyAlignment="1" pivotButton="0" quotePrefix="0" xfId="19">
      <alignment horizontal="general" vertical="bottom"/>
    </xf>
    <xf numFmtId="165" fontId="22" fillId="0" borderId="0" applyAlignment="1" pivotButton="0" quotePrefix="0" xfId="15">
      <alignment horizontal="center" vertical="bottom"/>
    </xf>
    <xf numFmtId="165" fontId="0" fillId="0" borderId="0" applyAlignment="1" pivotButton="0" quotePrefix="0" xfId="15">
      <alignment horizontal="center" vertical="bottom"/>
    </xf>
    <xf numFmtId="164" fontId="31" fillId="0" borderId="0" applyAlignment="1" pivotButton="0" quotePrefix="0" xfId="0">
      <alignment horizontal="center" vertical="bottom"/>
    </xf>
    <xf numFmtId="0" fontId="29" fillId="0" borderId="0" applyAlignment="1" pivotButton="0" quotePrefix="0" xfId="0">
      <alignment horizontal="center" vertical="bottom"/>
    </xf>
    <xf numFmtId="0" fontId="19" fillId="5" borderId="0" applyAlignment="1" pivotButton="0" quotePrefix="0" xfId="0">
      <alignment horizontal="center" vertical="center"/>
    </xf>
    <xf numFmtId="0" fontId="36" fillId="0" borderId="0" applyAlignment="1" pivotButton="0" quotePrefix="0" xfId="0">
      <alignment horizontal="general" vertical="bottom"/>
    </xf>
    <xf numFmtId="0" fontId="0" fillId="0" borderId="0" applyAlignment="1" pivotButton="0" quotePrefix="0" xfId="0">
      <alignment horizontal="left" vertical="bottom" indent="5"/>
    </xf>
    <xf numFmtId="165" fontId="22" fillId="0" borderId="0" applyAlignment="1" pivotButton="0" quotePrefix="0" xfId="15">
      <alignment horizontal="left" vertical="bottom" indent="5"/>
    </xf>
    <xf numFmtId="165" fontId="9" fillId="0" borderId="0" applyAlignment="1" pivotButton="0" quotePrefix="0" xfId="15">
      <alignment horizontal="left" vertical="bottom" indent="5"/>
    </xf>
    <xf numFmtId="165" fontId="9" fillId="0" borderId="0" applyAlignment="1" pivotButton="0" quotePrefix="0" xfId="15">
      <alignment horizontal="general" vertical="bottom"/>
    </xf>
    <xf numFmtId="165" fontId="37" fillId="0" borderId="0" applyAlignment="1" pivotButton="0" quotePrefix="0" xfId="15">
      <alignment horizontal="general" vertical="bottom"/>
    </xf>
    <xf numFmtId="165" fontId="38" fillId="0" borderId="0" applyAlignment="1" pivotButton="0" quotePrefix="0" xfId="15">
      <alignment horizontal="general" vertical="bottom"/>
    </xf>
    <xf numFmtId="0" fontId="19" fillId="0" borderId="0" applyAlignment="1" pivotButton="0" quotePrefix="0" xfId="0">
      <alignment horizontal="left" vertical="bottom" indent="15"/>
    </xf>
    <xf numFmtId="165" fontId="19" fillId="0" borderId="6" applyAlignment="1" pivotButton="0" quotePrefix="0" xfId="15">
      <alignment horizontal="general" vertical="bottom"/>
    </xf>
    <xf numFmtId="165" fontId="36" fillId="0" borderId="0" applyAlignment="1" pivotButton="0" quotePrefix="0" xfId="15">
      <alignment horizontal="general" vertical="bottom"/>
    </xf>
    <xf numFmtId="0" fontId="0" fillId="0" borderId="0" applyAlignment="1" pivotButton="0" quotePrefix="0" xfId="0">
      <alignment horizontal="left" vertical="bottom" wrapText="1" indent="5"/>
    </xf>
    <xf numFmtId="165" fontId="9" fillId="0" borderId="0" applyAlignment="1" pivotButton="0" quotePrefix="0" xfId="15">
      <alignment horizontal="left" vertical="bottom" wrapText="1" indent="5"/>
    </xf>
    <xf numFmtId="0" fontId="0" fillId="0" borderId="0" applyAlignment="1" pivotButton="0" quotePrefix="0" xfId="0">
      <alignment horizontal="left" vertical="bottom" indent="15"/>
    </xf>
    <xf numFmtId="0" fontId="32" fillId="0" borderId="0" applyAlignment="1" pivotButton="0" quotePrefix="0" xfId="0">
      <alignment horizontal="general" vertical="bottom"/>
    </xf>
    <xf numFmtId="170" fontId="0" fillId="0" borderId="0" applyAlignment="1" pivotButton="0" quotePrefix="0" xfId="15">
      <alignment horizontal="general" vertical="bottom"/>
    </xf>
    <xf numFmtId="0" fontId="0" fillId="0" borderId="0" applyAlignment="1" pivotButton="0" quotePrefix="0" xfId="0">
      <alignment horizontal="left" vertical="bottom" wrapText="1" indent="1"/>
    </xf>
    <xf numFmtId="0" fontId="0" fillId="0" borderId="0" applyAlignment="1" pivotButton="0" quotePrefix="0" xfId="0">
      <alignment horizontal="left" vertical="bottom" indent="9"/>
    </xf>
    <xf numFmtId="0" fontId="19" fillId="0" borderId="0" applyAlignment="1" pivotButton="0" quotePrefix="0" xfId="0">
      <alignment horizontal="left" vertical="bottom" indent="5"/>
    </xf>
    <xf numFmtId="0" fontId="0" fillId="0" borderId="0" applyAlignment="1" pivotButton="0" quotePrefix="0" xfId="0">
      <alignment horizontal="left" vertical="bottom" wrapText="1" indent="9"/>
    </xf>
    <xf numFmtId="165" fontId="0" fillId="6" borderId="0" applyAlignment="1" pivotButton="0" quotePrefix="0" xfId="15">
      <alignment horizontal="general" vertical="bottom"/>
    </xf>
    <xf numFmtId="0" fontId="36" fillId="0" borderId="0" applyAlignment="1" pivotButton="0" quotePrefix="0" xfId="0">
      <alignment horizontal="general" vertical="bottom" wrapText="1"/>
    </xf>
    <xf numFmtId="0" fontId="22" fillId="0" borderId="0" applyAlignment="1" pivotButton="0" quotePrefix="0" xfId="0">
      <alignment horizontal="general" vertical="bottom"/>
    </xf>
    <xf numFmtId="0" fontId="19" fillId="0" borderId="0" applyAlignment="1" pivotButton="0" quotePrefix="0" xfId="0">
      <alignment horizontal="left" vertical="bottom" indent="9"/>
    </xf>
    <xf numFmtId="9" fontId="17" fillId="0" borderId="0" applyAlignment="1" pivotButton="0" quotePrefix="0" xfId="19">
      <alignment horizontal="general" vertical="bottom"/>
    </xf>
    <xf numFmtId="0" fontId="0" fillId="0" borderId="0" applyAlignment="1" pivotButton="0" quotePrefix="0" xfId="0">
      <alignment horizontal="left" vertical="bottom" indent="13"/>
    </xf>
    <xf numFmtId="0" fontId="20" fillId="0" borderId="0" applyAlignment="1" pivotButton="0" quotePrefix="0" xfId="0">
      <alignment horizontal="general" vertical="bottom"/>
    </xf>
    <xf numFmtId="171" fontId="0" fillId="0" borderId="0" applyAlignment="1" pivotButton="0" quotePrefix="0" xfId="15">
      <alignment horizontal="left" vertical="bottom" indent="1"/>
    </xf>
    <xf numFmtId="165" fontId="39" fillId="0" borderId="0" applyAlignment="1" pivotButton="0" quotePrefix="0" xfId="15">
      <alignment horizontal="general" vertical="bottom"/>
    </xf>
    <xf numFmtId="0" fontId="20" fillId="0" borderId="4" applyAlignment="1" pivotButton="0" quotePrefix="0" xfId="0">
      <alignment horizontal="general" vertical="bottom"/>
    </xf>
    <xf numFmtId="165" fontId="39" fillId="0" borderId="4" applyAlignment="1" pivotButton="0" quotePrefix="0" xfId="15">
      <alignment horizontal="general" vertical="bottom"/>
    </xf>
    <xf numFmtId="164" fontId="20" fillId="0" borderId="0" applyAlignment="1" pivotButton="0" quotePrefix="0" xfId="0">
      <alignment horizontal="center" vertical="center"/>
    </xf>
    <xf numFmtId="0" fontId="19" fillId="5" borderId="0" applyAlignment="1" pivotButton="0" quotePrefix="0" xfId="0">
      <alignment horizontal="center" vertical="bottom"/>
    </xf>
    <xf numFmtId="0" fontId="21" fillId="5" borderId="0" applyAlignment="1" pivotButton="0" quotePrefix="0" xfId="0">
      <alignment horizontal="center" vertical="bottom"/>
    </xf>
    <xf numFmtId="165" fontId="22" fillId="0" borderId="0" applyAlignment="1" pivotButton="0" quotePrefix="0" xfId="15">
      <alignment horizontal="center" vertical="center"/>
    </xf>
    <xf numFmtId="165" fontId="20" fillId="0" borderId="0" applyAlignment="1" pivotButton="0" quotePrefix="0" xfId="15">
      <alignment horizontal="center" vertical="center"/>
    </xf>
    <xf numFmtId="167" fontId="22" fillId="0" borderId="0" applyAlignment="1" pivotButton="0" quotePrefix="0" xfId="15">
      <alignment horizontal="general" vertical="bottom"/>
    </xf>
    <xf numFmtId="165" fontId="0" fillId="0" borderId="0" applyAlignment="1" pivotButton="0" quotePrefix="0" xfId="15">
      <alignment horizontal="left" vertical="top" indent="5"/>
    </xf>
    <xf numFmtId="165" fontId="18" fillId="0" borderId="0" applyAlignment="1" pivotButton="0" quotePrefix="0" xfId="15">
      <alignment horizontal="general" vertical="bottom"/>
    </xf>
    <xf numFmtId="165" fontId="0" fillId="0" borderId="0" applyAlignment="1" pivotButton="0" quotePrefix="0" xfId="15">
      <alignment horizontal="left" vertical="bottom" indent="5"/>
    </xf>
    <xf numFmtId="9" fontId="32" fillId="0" borderId="0" applyAlignment="1" pivotButton="0" quotePrefix="0" xfId="19">
      <alignment horizontal="right" vertical="bottom"/>
    </xf>
    <xf numFmtId="9" fontId="17" fillId="0" borderId="0" applyAlignment="1" pivotButton="0" quotePrefix="0" xfId="19">
      <alignment horizontal="right" vertical="bottom"/>
    </xf>
    <xf numFmtId="164" fontId="17" fillId="5" borderId="0" applyAlignment="1" pivotButton="0" quotePrefix="0" xfId="0">
      <alignment horizontal="center" vertical="center"/>
    </xf>
    <xf numFmtId="9" fontId="17" fillId="5" borderId="0" applyAlignment="1" pivotButton="0" quotePrefix="0" xfId="19">
      <alignment horizontal="center" vertical="center"/>
    </xf>
    <xf numFmtId="165" fontId="22" fillId="5" borderId="0" applyAlignment="1" pivotButton="0" quotePrefix="0" xfId="15">
      <alignment horizontal="center" vertical="center"/>
    </xf>
    <xf numFmtId="165" fontId="17" fillId="5" borderId="0" applyAlignment="1" pivotButton="0" quotePrefix="0" xfId="15">
      <alignment horizontal="center" vertical="center"/>
    </xf>
    <xf numFmtId="164" fontId="22" fillId="0" borderId="0" applyAlignment="1" pivotButton="0" quotePrefix="0" xfId="0">
      <alignment horizontal="center" vertical="center" wrapText="1"/>
    </xf>
    <xf numFmtId="9" fontId="17" fillId="5" borderId="0" applyAlignment="1" pivotButton="0" quotePrefix="0" xfId="19">
      <alignment horizontal="center" vertical="bottom"/>
    </xf>
    <xf numFmtId="9" fontId="0" fillId="5" borderId="0" applyAlignment="1" pivotButton="0" quotePrefix="0" xfId="19">
      <alignment horizontal="center" vertical="bottom"/>
    </xf>
    <xf numFmtId="9" fontId="0" fillId="5" borderId="0" applyAlignment="1" pivotButton="0" quotePrefix="0" xfId="19">
      <alignment horizontal="center" vertical="top"/>
    </xf>
    <xf numFmtId="164" fontId="40" fillId="5" borderId="0" applyAlignment="1" pivotButton="0" quotePrefix="0" xfId="0">
      <alignment horizontal="general" vertical="bottom"/>
    </xf>
    <xf numFmtId="164" fontId="18" fillId="5" borderId="0" applyAlignment="1" pivotButton="0" quotePrefix="0" xfId="0">
      <alignment horizontal="general" vertical="bottom"/>
    </xf>
    <xf numFmtId="9" fontId="32" fillId="5" borderId="0" applyAlignment="1" pivotButton="0" quotePrefix="0" xfId="19">
      <alignment horizontal="right" vertical="bottom"/>
    </xf>
    <xf numFmtId="164" fontId="20" fillId="0" borderId="0" applyAlignment="1" pivotButton="0" quotePrefix="0" xfId="0">
      <alignment horizontal="center" vertical="center" wrapText="1"/>
    </xf>
    <xf numFmtId="172" fontId="0" fillId="5" borderId="0" applyAlignment="1" pivotButton="0" quotePrefix="0" xfId="19">
      <alignment horizontal="general" vertical="bottom"/>
    </xf>
    <xf numFmtId="172" fontId="0" fillId="0" borderId="0" applyAlignment="1" pivotButton="0" quotePrefix="0" xfId="19">
      <alignment horizontal="general" vertical="bottom"/>
    </xf>
    <xf numFmtId="172" fontId="32" fillId="0" borderId="0" applyAlignment="1" pivotButton="0" quotePrefix="0" xfId="19">
      <alignment horizontal="general" vertical="bottom"/>
    </xf>
    <xf numFmtId="9" fontId="32" fillId="0" borderId="0" applyAlignment="1" pivotButton="0" quotePrefix="0" xfId="19">
      <alignment horizontal="general" vertical="bottom"/>
    </xf>
    <xf numFmtId="165" fontId="19" fillId="0" borderId="0" applyAlignment="1" pivotButton="0" quotePrefix="0" xfId="15">
      <alignment horizontal="center" vertical="center" wrapText="1"/>
    </xf>
    <xf numFmtId="9" fontId="32" fillId="0" borderId="0" applyAlignment="1" pivotButton="0" quotePrefix="0" xfId="0">
      <alignment horizontal="general" vertical="bottom"/>
    </xf>
    <xf numFmtId="173" fontId="0" fillId="0" borderId="0" applyAlignment="1" pivotButton="0" quotePrefix="0" xfId="0">
      <alignment horizontal="general" vertical="bottom"/>
    </xf>
    <xf numFmtId="173" fontId="5" fillId="0" borderId="0" applyAlignment="1" pivotButton="0" quotePrefix="0" xfId="0">
      <alignment horizontal="general" vertical="bottom"/>
    </xf>
    <xf numFmtId="164" fontId="5" fillId="0" borderId="0" applyAlignment="1" pivotButton="0" quotePrefix="0" xfId="0">
      <alignment horizontal="general" vertical="bottom"/>
    </xf>
    <xf numFmtId="173" fontId="17" fillId="0" borderId="4" applyAlignment="1" pivotButton="0" quotePrefix="0" xfId="0">
      <alignment horizontal="general" vertical="bottom"/>
    </xf>
    <xf numFmtId="0" fontId="19" fillId="0" borderId="0" applyAlignment="1" pivotButton="0" quotePrefix="0" xfId="0">
      <alignment horizontal="general" vertical="center" wrapText="1"/>
    </xf>
    <xf numFmtId="173" fontId="19" fillId="5" borderId="0" applyAlignment="1" pivotButton="0" quotePrefix="0" xfId="0">
      <alignment horizontal="center" vertical="center"/>
    </xf>
    <xf numFmtId="0" fontId="21" fillId="5" borderId="0" applyAlignment="1" pivotButton="0" quotePrefix="0" xfId="0">
      <alignment horizontal="center" vertical="center"/>
    </xf>
    <xf numFmtId="173" fontId="29" fillId="0" borderId="0" applyAlignment="1" pivotButton="0" quotePrefix="0" xfId="0">
      <alignment horizontal="right" vertical="bottom"/>
    </xf>
    <xf numFmtId="164" fontId="5" fillId="0" borderId="0" applyAlignment="1" pivotButton="0" quotePrefix="0" xfId="0">
      <alignment horizontal="right" vertical="bottom"/>
    </xf>
    <xf numFmtId="173" fontId="0" fillId="0" borderId="0" applyAlignment="1" pivotButton="0" quotePrefix="0" xfId="15">
      <alignment horizontal="general" vertical="bottom"/>
    </xf>
    <xf numFmtId="173" fontId="17" fillId="0" borderId="0" applyAlignment="1" pivotButton="0" quotePrefix="0" xfId="15">
      <alignment horizontal="general" vertical="bottom"/>
    </xf>
    <xf numFmtId="0" fontId="17" fillId="0" borderId="0" applyAlignment="1" pivotButton="0" quotePrefix="0" xfId="0">
      <alignment horizontal="left" vertical="bottom" indent="2"/>
    </xf>
    <xf numFmtId="173" fontId="22" fillId="0" borderId="0" applyAlignment="1" pivotButton="0" quotePrefix="0" xfId="15">
      <alignment horizontal="general" vertical="bottom"/>
    </xf>
    <xf numFmtId="0" fontId="17" fillId="0" borderId="0" applyAlignment="1" pivotButton="0" quotePrefix="0" xfId="0">
      <alignment horizontal="left" vertical="bottom" indent="5"/>
    </xf>
    <xf numFmtId="0" fontId="20" fillId="0" borderId="0" applyAlignment="1" pivotButton="0" quotePrefix="0" xfId="0">
      <alignment horizontal="center" vertical="bottom"/>
    </xf>
    <xf numFmtId="165" fontId="20" fillId="0" borderId="0" applyAlignment="1" pivotButton="0" quotePrefix="0" xfId="15">
      <alignment horizontal="general" vertical="bottom"/>
    </xf>
    <xf numFmtId="173" fontId="20" fillId="0" borderId="0" applyAlignment="1" pivotButton="0" quotePrefix="0" xfId="15">
      <alignment horizontal="general" vertical="bottom"/>
    </xf>
    <xf numFmtId="0" fontId="26" fillId="0" borderId="0" applyAlignment="1" pivotButton="0" quotePrefix="0" xfId="0">
      <alignment horizontal="general" vertical="bottom"/>
    </xf>
    <xf numFmtId="165" fontId="26" fillId="0" borderId="0" applyAlignment="1" pivotButton="0" quotePrefix="0" xfId="15">
      <alignment horizontal="general" vertical="bottom"/>
    </xf>
    <xf numFmtId="173" fontId="26" fillId="0" borderId="0" applyAlignment="1" pivotButton="0" quotePrefix="0" xfId="19">
      <alignment horizontal="general" vertical="bottom"/>
    </xf>
    <xf numFmtId="172" fontId="26" fillId="0" borderId="0" applyAlignment="1" pivotButton="0" quotePrefix="0" xfId="19">
      <alignment horizontal="general" vertical="bottom"/>
    </xf>
    <xf numFmtId="165" fontId="41" fillId="0" borderId="0" applyAlignment="1" pivotButton="0" quotePrefix="0" xfId="15">
      <alignment horizontal="general" vertical="bottom"/>
    </xf>
    <xf numFmtId="172" fontId="41" fillId="0" borderId="0" applyAlignment="1" pivotButton="0" quotePrefix="0" xfId="15">
      <alignment horizontal="general" vertical="bottom"/>
    </xf>
    <xf numFmtId="0" fontId="42" fillId="0" borderId="0" applyAlignment="1" pivotButton="0" quotePrefix="0" xfId="0">
      <alignment horizontal="left" vertical="bottom" indent="5"/>
    </xf>
    <xf numFmtId="165" fontId="43" fillId="0" borderId="0" applyAlignment="1" pivotButton="0" quotePrefix="0" xfId="15">
      <alignment horizontal="general" vertical="bottom"/>
    </xf>
    <xf numFmtId="171" fontId="17" fillId="0" borderId="0" applyAlignment="1" pivotButton="0" quotePrefix="0" xfId="15">
      <alignment horizontal="general" vertical="bottom"/>
    </xf>
    <xf numFmtId="173" fontId="26" fillId="0" borderId="0" applyAlignment="1" pivotButton="0" quotePrefix="0" xfId="15">
      <alignment horizontal="general" vertical="bottom"/>
    </xf>
    <xf numFmtId="0" fontId="18" fillId="0" borderId="0" applyAlignment="1" pivotButton="0" quotePrefix="0" xfId="0">
      <alignment horizontal="general" vertical="bottom"/>
    </xf>
    <xf numFmtId="0" fontId="17" fillId="0" borderId="9" applyAlignment="1" pivotButton="0" quotePrefix="0" xfId="0">
      <alignment horizontal="left" vertical="bottom" wrapText="1" indent="1"/>
    </xf>
    <xf numFmtId="172" fontId="33" fillId="0" borderId="0" applyAlignment="1" pivotButton="0" quotePrefix="0" xfId="0">
      <alignment horizontal="general" vertical="bottom"/>
    </xf>
    <xf numFmtId="173" fontId="0" fillId="0" borderId="0" applyAlignment="1" pivotButton="0" quotePrefix="0" xfId="19">
      <alignment horizontal="general" vertical="bottom"/>
    </xf>
    <xf numFmtId="165" fontId="0" fillId="6" borderId="0" applyAlignment="1" pivotButton="0" quotePrefix="0" xfId="0">
      <alignment horizontal="general" vertical="bottom"/>
    </xf>
    <xf numFmtId="165" fontId="32" fillId="0" borderId="0" applyAlignment="1" pivotButton="0" quotePrefix="0" xfId="15">
      <alignment horizontal="center" vertical="bottom"/>
    </xf>
    <xf numFmtId="173" fontId="19" fillId="0" borderId="0" applyAlignment="1" pivotButton="0" quotePrefix="0" xfId="0">
      <alignment horizontal="center" vertical="center"/>
    </xf>
    <xf numFmtId="0" fontId="19" fillId="0" borderId="0" applyAlignment="1" pivotButton="0" quotePrefix="0" xfId="0">
      <alignment horizontal="center" vertical="center"/>
    </xf>
    <xf numFmtId="165" fontId="17" fillId="0" borderId="0" applyAlignment="1" pivotButton="0" quotePrefix="0" xfId="0">
      <alignment horizontal="general" vertical="bottom"/>
    </xf>
    <xf numFmtId="173" fontId="17" fillId="0" borderId="0" applyAlignment="1" pivotButton="0" quotePrefix="0" xfId="0">
      <alignment horizontal="general" vertical="bottom"/>
    </xf>
    <xf numFmtId="0" fontId="17" fillId="0" borderId="0" applyAlignment="1" pivotButton="0" quotePrefix="0" xfId="0">
      <alignment horizontal="center" vertical="bottom"/>
    </xf>
    <xf numFmtId="0" fontId="32" fillId="6" borderId="0" applyAlignment="1" pivotButton="0" quotePrefix="0" xfId="0">
      <alignment horizontal="general" vertical="bottom"/>
    </xf>
    <xf numFmtId="0" fontId="17" fillId="0" borderId="0" applyAlignment="1" pivotButton="0" quotePrefix="0" xfId="0">
      <alignment horizontal="general" vertical="top"/>
    </xf>
    <xf numFmtId="0" fontId="20" fillId="0" borderId="0" applyAlignment="1" pivotButton="0" quotePrefix="0" xfId="0">
      <alignment horizontal="center" vertical="top" wrapText="1"/>
    </xf>
    <xf numFmtId="173" fontId="20" fillId="0" borderId="0" applyAlignment="1" pivotButton="0" quotePrefix="0" xfId="0">
      <alignment horizontal="center" vertical="top" wrapText="1"/>
    </xf>
    <xf numFmtId="0" fontId="20" fillId="0" borderId="0" applyAlignment="1" pivotButton="0" quotePrefix="0" xfId="0">
      <alignment horizontal="general" vertical="top" wrapText="1"/>
    </xf>
    <xf numFmtId="171" fontId="17" fillId="0" borderId="0" applyAlignment="1" pivotButton="0" quotePrefix="0" xfId="15">
      <alignment horizontal="center" vertical="bottom"/>
    </xf>
    <xf numFmtId="173" fontId="17" fillId="0" borderId="0" applyAlignment="1" pivotButton="0" quotePrefix="0" xfId="0">
      <alignment horizontal="center" vertical="bottom"/>
    </xf>
    <xf numFmtId="174" fontId="22" fillId="0" borderId="0" applyAlignment="1" pivotButton="0" quotePrefix="0" xfId="0">
      <alignment horizontal="center" vertical="bottom"/>
    </xf>
    <xf numFmtId="165" fontId="17" fillId="0" borderId="0" applyAlignment="1" pivotButton="0" quotePrefix="0" xfId="15">
      <alignment horizontal="center" vertical="bottom"/>
    </xf>
    <xf numFmtId="171" fontId="22" fillId="0" borderId="0" applyAlignment="1" pivotButton="0" quotePrefix="0" xfId="15">
      <alignment horizontal="general" vertical="bottom"/>
    </xf>
    <xf numFmtId="171" fontId="22" fillId="0" borderId="0" applyAlignment="1" pivotButton="0" quotePrefix="0" xfId="15">
      <alignment horizontal="center" vertical="bottom"/>
    </xf>
    <xf numFmtId="165" fontId="17" fillId="0" borderId="0" applyAlignment="1" pivotButton="0" quotePrefix="0" xfId="0">
      <alignment horizontal="center" vertical="bottom"/>
    </xf>
    <xf numFmtId="171" fontId="20" fillId="0" borderId="0" applyAlignment="1" pivotButton="0" quotePrefix="0" xfId="0">
      <alignment horizontal="general" vertical="bottom"/>
    </xf>
    <xf numFmtId="165" fontId="20" fillId="0" borderId="0" applyAlignment="1" pivotButton="0" quotePrefix="0" xfId="0">
      <alignment horizontal="general" vertical="bottom"/>
    </xf>
    <xf numFmtId="0" fontId="20" fillId="6" borderId="0" applyAlignment="1" pivotButton="0" quotePrefix="0" xfId="0">
      <alignment horizontal="general" vertical="bottom"/>
    </xf>
    <xf numFmtId="171" fontId="17" fillId="0" borderId="0" applyAlignment="1" pivotButton="0" quotePrefix="0" xfId="0">
      <alignment horizontal="general" vertical="center" wrapText="1"/>
    </xf>
    <xf numFmtId="0" fontId="20" fillId="0" borderId="0" applyAlignment="1" pivotButton="0" quotePrefix="0" xfId="0">
      <alignment horizontal="right" vertical="bottom"/>
    </xf>
    <xf numFmtId="0" fontId="17" fillId="0" borderId="0" applyAlignment="1" pivotButton="0" quotePrefix="0" xfId="0">
      <alignment horizontal="right" vertical="bottom"/>
    </xf>
    <xf numFmtId="173" fontId="33" fillId="6" borderId="0" applyAlignment="1" pivotButton="0" quotePrefix="0" xfId="0">
      <alignment horizontal="center" vertical="bottom"/>
    </xf>
    <xf numFmtId="0" fontId="20" fillId="0" borderId="0" applyAlignment="1" pivotButton="0" quotePrefix="0" xfId="0">
      <alignment horizontal="center" vertical="bottom" wrapText="1"/>
    </xf>
    <xf numFmtId="175" fontId="20" fillId="5" borderId="0" applyAlignment="1" pivotButton="0" quotePrefix="0" xfId="0">
      <alignment horizontal="left" vertical="bottom"/>
    </xf>
    <xf numFmtId="176" fontId="20" fillId="5" borderId="0" applyAlignment="1" pivotButton="0" quotePrefix="0" xfId="0">
      <alignment horizontal="center" vertical="center" wrapText="1"/>
    </xf>
    <xf numFmtId="0" fontId="19" fillId="5" borderId="0" applyAlignment="1" pivotButton="0" quotePrefix="0" xfId="0">
      <alignment horizontal="center" vertical="center" wrapText="1"/>
    </xf>
    <xf numFmtId="0" fontId="22" fillId="5" borderId="0" applyAlignment="1" pivotButton="0" quotePrefix="0" xfId="0">
      <alignment horizontal="center" vertical="center"/>
    </xf>
    <xf numFmtId="173" fontId="22" fillId="5" borderId="0" applyAlignment="1" pivotButton="0" quotePrefix="0" xfId="0">
      <alignment horizontal="center" vertical="center"/>
    </xf>
    <xf numFmtId="10" fontId="22" fillId="5" borderId="0" applyAlignment="1" pivotButton="0" quotePrefix="0" xfId="19">
      <alignment horizontal="center" vertical="center"/>
    </xf>
    <xf numFmtId="10" fontId="22" fillId="5" borderId="0" applyAlignment="1" pivotButton="0" quotePrefix="0" xfId="0">
      <alignment horizontal="center" vertical="center"/>
    </xf>
    <xf numFmtId="0" fontId="17" fillId="5" borderId="0" applyAlignment="1" pivotButton="0" quotePrefix="0" xfId="0">
      <alignment horizontal="center" vertical="center"/>
    </xf>
    <xf numFmtId="173" fontId="0" fillId="5" borderId="0" applyAlignment="1" pivotButton="0" quotePrefix="0" xfId="0">
      <alignment horizontal="center" vertical="center"/>
    </xf>
    <xf numFmtId="0" fontId="0" fillId="5" borderId="0" applyAlignment="1" pivotButton="0" quotePrefix="0" xfId="0">
      <alignment horizontal="center" vertical="center"/>
    </xf>
    <xf numFmtId="0" fontId="17" fillId="5" borderId="0" applyAlignment="1" pivotButton="0" quotePrefix="0" xfId="0">
      <alignment horizontal="left" vertical="top"/>
    </xf>
    <xf numFmtId="173" fontId="0" fillId="5" borderId="0" applyAlignment="1" pivotButton="0" quotePrefix="0" xfId="0">
      <alignment horizontal="left" vertical="top"/>
    </xf>
    <xf numFmtId="0" fontId="0" fillId="5" borderId="0" applyAlignment="1" pivotButton="0" quotePrefix="0" xfId="0">
      <alignment horizontal="left" vertical="top"/>
    </xf>
    <xf numFmtId="165" fontId="17" fillId="5" borderId="0" applyAlignment="1" pivotButton="0" quotePrefix="0" xfId="0">
      <alignment horizontal="left" vertical="top"/>
    </xf>
    <xf numFmtId="165" fontId="0" fillId="5" borderId="0" applyAlignment="1" pivotButton="0" quotePrefix="0" xfId="15">
      <alignment horizontal="left" vertical="top"/>
    </xf>
    <xf numFmtId="0" fontId="44" fillId="6" borderId="0" applyAlignment="1" pivotButton="0" quotePrefix="0" xfId="0">
      <alignment horizontal="general" vertical="bottom"/>
    </xf>
    <xf numFmtId="0" fontId="39" fillId="0" borderId="0" applyAlignment="1" pivotButton="0" quotePrefix="0" xfId="0">
      <alignment horizontal="general" vertical="bottom"/>
    </xf>
    <xf numFmtId="171" fontId="0" fillId="0" borderId="0" applyAlignment="1" pivotButton="0" quotePrefix="0" xfId="15">
      <alignment horizontal="center" vertical="center"/>
    </xf>
    <xf numFmtId="171" fontId="0" fillId="0" borderId="0" applyAlignment="1" pivotButton="0" quotePrefix="0" xfId="15">
      <alignment horizontal="general" vertical="bottom"/>
    </xf>
    <xf numFmtId="171" fontId="22" fillId="0" borderId="0" applyAlignment="1" pivotButton="0" quotePrefix="0" xfId="15">
      <alignment horizontal="general" vertical="top"/>
    </xf>
    <xf numFmtId="10" fontId="22" fillId="0" borderId="0" applyAlignment="1" pivotButton="0" quotePrefix="0" xfId="19">
      <alignment horizontal="center" vertical="center"/>
    </xf>
    <xf numFmtId="0" fontId="33" fillId="0" borderId="0" applyAlignment="1" pivotButton="0" quotePrefix="0" xfId="0">
      <alignment horizontal="general" vertical="bottom"/>
    </xf>
    <xf numFmtId="0" fontId="45" fillId="0" borderId="0" applyAlignment="1" pivotButton="0" quotePrefix="0" xfId="0">
      <alignment horizontal="center" vertical="center" wrapText="1"/>
    </xf>
    <xf numFmtId="171" fontId="0" fillId="0" borderId="0" applyAlignment="1" pivotButton="0" quotePrefix="0" xfId="15">
      <alignment horizontal="center" vertical="top" wrapText="1"/>
    </xf>
    <xf numFmtId="0" fontId="22" fillId="6"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33" fillId="0" borderId="0" applyAlignment="1" pivotButton="0" quotePrefix="0" xfId="0">
      <alignment horizontal="center" vertical="center"/>
    </xf>
    <xf numFmtId="173" fontId="19" fillId="0" borderId="0" applyAlignment="1" pivotButton="0" quotePrefix="0" xfId="0">
      <alignment horizontal="center" vertical="bottom" wrapText="1"/>
    </xf>
    <xf numFmtId="165" fontId="19" fillId="0" borderId="0" applyAlignment="1" pivotButton="0" quotePrefix="0" xfId="15">
      <alignment horizontal="center" vertical="bottom"/>
    </xf>
    <xf numFmtId="0" fontId="0" fillId="0" borderId="0" applyAlignment="1" pivotButton="0" quotePrefix="0" xfId="15">
      <alignment horizontal="center" vertical="bottom"/>
    </xf>
    <xf numFmtId="0" fontId="19" fillId="0" borderId="0" applyAlignment="1" pivotButton="0" quotePrefix="0" xfId="0">
      <alignment horizontal="right" vertical="bottom" textRotation="90" wrapText="1"/>
    </xf>
    <xf numFmtId="0" fontId="0" fillId="7" borderId="0" applyAlignment="1" pivotButton="0" quotePrefix="0" xfId="0">
      <alignment horizontal="center" vertical="center"/>
    </xf>
    <xf numFmtId="171" fontId="0" fillId="0" borderId="0" applyAlignment="1" pivotButton="0" quotePrefix="0" xfId="15">
      <alignment horizontal="general" vertical="top"/>
    </xf>
    <xf numFmtId="10" fontId="0" fillId="0" borderId="0" applyAlignment="1" pivotButton="0" quotePrefix="0" xfId="19">
      <alignment horizontal="center" vertical="center"/>
    </xf>
    <xf numFmtId="0" fontId="17" fillId="0" borderId="0" applyAlignment="1" pivotButton="0" quotePrefix="0" xfId="15">
      <alignment horizontal="center" vertical="center"/>
    </xf>
    <xf numFmtId="0" fontId="19" fillId="0" borderId="0" applyAlignment="1" pivotButton="0" quotePrefix="0" xfId="0">
      <alignment horizontal="center" vertical="bottom"/>
    </xf>
    <xf numFmtId="0" fontId="17" fillId="6" borderId="0" applyAlignment="1" pivotButton="0" quotePrefix="0" xfId="15">
      <alignment horizontal="center" vertical="center"/>
    </xf>
    <xf numFmtId="0" fontId="19" fillId="0" borderId="0" applyAlignment="1" pivotButton="0" quotePrefix="0" xfId="0">
      <alignment horizontal="right" vertical="center" textRotation="90"/>
    </xf>
    <xf numFmtId="0" fontId="19" fillId="6" borderId="0" applyAlignment="1" pivotButton="0" quotePrefix="0" xfId="0">
      <alignment horizontal="general" vertical="bottom" wrapText="1"/>
    </xf>
    <xf numFmtId="0" fontId="0" fillId="0" borderId="0" applyAlignment="1" pivotButton="0" quotePrefix="0" xfId="0">
      <alignment horizontal="general" vertical="top"/>
    </xf>
    <xf numFmtId="169" fontId="32" fillId="0" borderId="0" applyAlignment="1" pivotButton="0" quotePrefix="0" xfId="15">
      <alignment horizontal="general" vertical="bottom"/>
    </xf>
    <xf numFmtId="0" fontId="0" fillId="0" borderId="0" applyAlignment="1" pivotButton="0" quotePrefix="0" xfId="0">
      <alignment horizontal="general" vertical="top" wrapText="1"/>
    </xf>
    <xf numFmtId="165" fontId="0" fillId="0" borderId="0" applyAlignment="1" pivotButton="0" quotePrefix="0" xfId="0">
      <alignment horizontal="general" vertical="center"/>
    </xf>
    <xf numFmtId="0" fontId="0" fillId="0" borderId="0" applyAlignment="1" pivotButton="0" quotePrefix="0" xfId="0">
      <alignment horizontal="center" vertical="center" wrapText="1"/>
    </xf>
    <xf numFmtId="0" fontId="32" fillId="0" borderId="0" applyAlignment="1" pivotButton="0" quotePrefix="0" xfId="0">
      <alignment horizontal="center" vertical="center"/>
    </xf>
    <xf numFmtId="2" fontId="32" fillId="0" borderId="0" applyAlignment="1" pivotButton="0" quotePrefix="0" xfId="0">
      <alignment horizontal="center" vertical="center"/>
    </xf>
    <xf numFmtId="165" fontId="19" fillId="6" borderId="0" applyAlignment="1" pivotButton="0" quotePrefix="0" xfId="0">
      <alignment horizontal="general" vertical="bottom"/>
    </xf>
    <xf numFmtId="165" fontId="15" fillId="0" borderId="0" applyAlignment="1" pivotButton="0" quotePrefix="0" xfId="15">
      <alignment horizontal="center" vertical="bottom"/>
    </xf>
    <xf numFmtId="165" fontId="17" fillId="0" borderId="4" applyAlignment="1" pivotButton="0" quotePrefix="0" xfId="15">
      <alignment horizontal="center" vertical="bottom"/>
    </xf>
    <xf numFmtId="165" fontId="18" fillId="0" borderId="0" applyAlignment="1" pivotButton="0" quotePrefix="0" xfId="15">
      <alignment horizontal="center" vertical="bottom"/>
    </xf>
    <xf numFmtId="165" fontId="26" fillId="0" borderId="0" applyAlignment="1" pivotButton="0" quotePrefix="0" xfId="15">
      <alignment horizontal="center" vertical="top"/>
    </xf>
    <xf numFmtId="10" fontId="17" fillId="0" borderId="0" applyAlignment="1" pivotButton="0" quotePrefix="0" xfId="19">
      <alignment horizontal="general" vertical="bottom"/>
    </xf>
    <xf numFmtId="165" fontId="17" fillId="0" borderId="4" applyAlignment="1" pivotButton="0" quotePrefix="0" xfId="15">
      <alignment horizontal="center" vertical="top"/>
    </xf>
    <xf numFmtId="0" fontId="46" fillId="0" borderId="4" applyAlignment="1" pivotButton="0" quotePrefix="0" xfId="21">
      <alignment horizontal="general" vertical="bottom"/>
    </xf>
    <xf numFmtId="0" fontId="17" fillId="0" borderId="0" applyAlignment="1" pivotButton="0" quotePrefix="0" xfId="21">
      <alignment horizontal="general" vertical="center"/>
    </xf>
    <xf numFmtId="0" fontId="17" fillId="0" borderId="0" applyAlignment="1" pivotButton="0" quotePrefix="0" xfId="21">
      <alignment horizontal="general" vertical="bottom"/>
    </xf>
    <xf numFmtId="0" fontId="17" fillId="0" borderId="10" applyAlignment="1" pivotButton="0" quotePrefix="0" xfId="21">
      <alignment horizontal="general" vertical="center" wrapText="1"/>
    </xf>
    <xf numFmtId="0" fontId="17" fillId="0" borderId="0" applyAlignment="1" pivotButton="0" quotePrefix="0" xfId="21">
      <alignment horizontal="left" vertical="bottom"/>
    </xf>
    <xf numFmtId="165" fontId="33" fillId="6" borderId="0" applyAlignment="1" pivotButton="0" quotePrefix="0" xfId="15">
      <alignment horizontal="general" vertical="bottom"/>
    </xf>
    <xf numFmtId="0" fontId="17" fillId="0" borderId="0" applyAlignment="1" pivotButton="0" quotePrefix="0" xfId="21">
      <alignment horizontal="left" vertical="top" wrapText="1"/>
    </xf>
    <xf numFmtId="165" fontId="17" fillId="0" borderId="0" applyAlignment="1" pivotButton="0" quotePrefix="0" xfId="15">
      <alignment horizontal="right" vertical="bottom"/>
    </xf>
    <xf numFmtId="165" fontId="20" fillId="0" borderId="0" applyAlignment="1" pivotButton="0" quotePrefix="0" xfId="15">
      <alignment horizontal="left" vertical="bottom"/>
    </xf>
    <xf numFmtId="9" fontId="33" fillId="0" borderId="0" applyAlignment="1" pivotButton="0" quotePrefix="0" xfId="24">
      <alignment horizontal="general" vertical="bottom"/>
    </xf>
    <xf numFmtId="0" fontId="17" fillId="0" borderId="0" applyAlignment="1" pivotButton="0" quotePrefix="0" xfId="21">
      <alignment horizontal="left" vertical="bottom" wrapText="1"/>
    </xf>
    <xf numFmtId="2" fontId="33" fillId="0" borderId="0" applyAlignment="1" pivotButton="0" quotePrefix="0" xfId="21">
      <alignment horizontal="general" vertical="bottom"/>
    </xf>
    <xf numFmtId="9" fontId="33" fillId="0" borderId="0" applyAlignment="1" pivotButton="0" quotePrefix="0" xfId="19">
      <alignment horizontal="general" vertical="bottom"/>
    </xf>
    <xf numFmtId="165" fontId="17" fillId="0" borderId="0" applyAlignment="1" pivotButton="0" quotePrefix="0" xfId="15">
      <alignment horizontal="left" vertical="bottom"/>
    </xf>
    <xf numFmtId="172" fontId="0" fillId="6" borderId="0" applyAlignment="1" pivotButton="0" quotePrefix="0" xfId="19">
      <alignment horizontal="general" vertical="bottom"/>
    </xf>
    <xf numFmtId="164" fontId="18" fillId="4" borderId="0" applyAlignment="1" pivotButton="0" quotePrefix="0" xfId="0">
      <alignment horizontal="center" vertical="bottom"/>
    </xf>
    <xf numFmtId="164" fontId="20" fillId="8" borderId="0" applyAlignment="1" pivotButton="0" quotePrefix="0" xfId="0">
      <alignment horizontal="center" vertical="bottom"/>
    </xf>
    <xf numFmtId="164" fontId="20" fillId="9" borderId="0" applyAlignment="1" pivotButton="0" quotePrefix="0" xfId="0">
      <alignment horizontal="center" vertical="bottom"/>
    </xf>
    <xf numFmtId="0" fontId="19" fillId="5" borderId="0" applyAlignment="1" pivotButton="0" quotePrefix="0" xfId="0">
      <alignment horizontal="center" vertical="top"/>
    </xf>
    <xf numFmtId="164" fontId="21" fillId="5" borderId="0" applyAlignment="1" pivotButton="0" quotePrefix="0" xfId="0">
      <alignment horizontal="center" vertical="top"/>
    </xf>
    <xf numFmtId="0" fontId="17" fillId="0" borderId="0" applyAlignment="1" pivotButton="0" quotePrefix="0" xfId="21">
      <alignment horizontal="left" vertical="bottom" indent="1"/>
    </xf>
    <xf numFmtId="165" fontId="0" fillId="0" borderId="0" applyAlignment="1" pivotButton="0" quotePrefix="0" xfId="0">
      <alignment horizontal="center" vertical="top"/>
    </xf>
    <xf numFmtId="172" fontId="17" fillId="0" borderId="0" applyAlignment="1" pivotButton="0" quotePrefix="0" xfId="24">
      <alignment horizontal="left" vertical="bottom" indent="1"/>
    </xf>
    <xf numFmtId="172" fontId="17" fillId="0" borderId="11" applyAlignment="1" pivotButton="0" quotePrefix="0" xfId="24">
      <alignment horizontal="left" vertical="bottom" indent="1"/>
    </xf>
    <xf numFmtId="0" fontId="20" fillId="0" borderId="0" applyAlignment="1" pivotButton="0" quotePrefix="0" xfId="21">
      <alignment horizontal="general" vertical="bottom"/>
    </xf>
    <xf numFmtId="172" fontId="17" fillId="0" borderId="11" applyAlignment="1" pivotButton="0" quotePrefix="0" xfId="24">
      <alignment horizontal="left" vertical="bottom"/>
    </xf>
    <xf numFmtId="2" fontId="0" fillId="0" borderId="0" applyAlignment="1" pivotButton="0" quotePrefix="0" xfId="15">
      <alignment horizontal="center" vertical="bottom"/>
    </xf>
    <xf numFmtId="165" fontId="0" fillId="0" borderId="0" applyAlignment="1" pivotButton="0" quotePrefix="0" xfId="0">
      <alignment horizontal="left" vertical="bottom"/>
    </xf>
    <xf numFmtId="9" fontId="0" fillId="0" borderId="0" applyAlignment="1" pivotButton="0" quotePrefix="0" xfId="19">
      <alignment horizontal="center" vertical="bottom"/>
    </xf>
    <xf numFmtId="9" fontId="33" fillId="0" borderId="0" applyAlignment="1" pivotButton="0" quotePrefix="0" xfId="0">
      <alignment horizontal="center" vertical="bottom"/>
    </xf>
    <xf numFmtId="0" fontId="33" fillId="0" borderId="0" applyAlignment="1" pivotButton="0" quotePrefix="0" xfId="0">
      <alignment horizontal="center" vertical="bottom"/>
    </xf>
    <xf numFmtId="172" fontId="17" fillId="0" borderId="0" applyAlignment="1" pivotButton="0" quotePrefix="0" xfId="24">
      <alignment horizontal="left" vertical="bottom"/>
    </xf>
    <xf numFmtId="171" fontId="0" fillId="0" borderId="0" applyAlignment="1" pivotButton="0" quotePrefix="0" xfId="0">
      <alignment horizontal="general" vertical="bottom"/>
    </xf>
    <xf numFmtId="9" fontId="0" fillId="0" borderId="0" applyAlignment="1" pivotButton="0" quotePrefix="0" xfId="0">
      <alignment horizontal="general" vertical="bottom"/>
    </xf>
    <xf numFmtId="171" fontId="32" fillId="6" borderId="0" applyAlignment="1" pivotButton="0" quotePrefix="0" xfId="17">
      <alignment horizontal="general" vertical="bottom"/>
    </xf>
    <xf numFmtId="171" fontId="47" fillId="0" borderId="12" applyAlignment="1" pivotButton="0" quotePrefix="0" xfId="15">
      <alignment horizontal="general" vertical="bottom"/>
    </xf>
    <xf numFmtId="0" fontId="46" fillId="0" borderId="0" applyAlignment="1" pivotButton="0" quotePrefix="0" xfId="21">
      <alignment horizontal="general" vertical="bottom"/>
    </xf>
    <xf numFmtId="0" fontId="46" fillId="0" borderId="13" applyAlignment="1" pivotButton="0" quotePrefix="0" xfId="21">
      <alignment horizontal="right" vertical="bottom"/>
    </xf>
    <xf numFmtId="164" fontId="18" fillId="0" borderId="0" applyAlignment="1" pivotButton="0" quotePrefix="0" xfId="0">
      <alignment horizontal="center" vertical="bottom"/>
    </xf>
    <xf numFmtId="0" fontId="20" fillId="0" borderId="5" applyAlignment="1" pivotButton="0" quotePrefix="0" xfId="21">
      <alignment horizontal="right" vertical="bottom"/>
    </xf>
    <xf numFmtId="0" fontId="20" fillId="0" borderId="14" applyAlignment="1" pivotButton="0" quotePrefix="0" xfId="21">
      <alignment horizontal="center" vertical="bottom"/>
    </xf>
    <xf numFmtId="171" fontId="48" fillId="0" borderId="5" applyAlignment="1" pivotButton="0" quotePrefix="0" xfId="21">
      <alignment horizontal="general" vertical="bottom"/>
    </xf>
    <xf numFmtId="172" fontId="20" fillId="0" borderId="5" applyAlignment="1" pivotButton="0" quotePrefix="0" xfId="21">
      <alignment horizontal="center" vertical="bottom"/>
    </xf>
    <xf numFmtId="0" fontId="46" fillId="0" borderId="5" applyAlignment="1" pivotButton="0" quotePrefix="0" xfId="21">
      <alignment horizontal="general" vertical="bottom"/>
    </xf>
    <xf numFmtId="9" fontId="49" fillId="0" borderId="0" applyAlignment="1" pivotButton="0" quotePrefix="0" xfId="21">
      <alignment horizontal="center" vertical="bottom"/>
    </xf>
    <xf numFmtId="172" fontId="17" fillId="0" borderId="0" applyAlignment="1" pivotButton="0" quotePrefix="0" xfId="21">
      <alignment horizontal="right" vertical="bottom"/>
    </xf>
    <xf numFmtId="171" fontId="17" fillId="0" borderId="13" applyAlignment="1" pivotButton="0" quotePrefix="0" xfId="21">
      <alignment horizontal="center" vertical="bottom"/>
    </xf>
    <xf numFmtId="172" fontId="48" fillId="0" borderId="0" applyAlignment="1" pivotButton="0" quotePrefix="0" xfId="21">
      <alignment horizontal="right" vertical="bottom"/>
    </xf>
    <xf numFmtId="171" fontId="0" fillId="0" borderId="0" applyAlignment="1" pivotButton="0" quotePrefix="0" xfId="15">
      <alignment horizontal="center" vertical="bottom"/>
    </xf>
    <xf numFmtId="0" fontId="47" fillId="0" borderId="0" applyAlignment="1" pivotButton="0" quotePrefix="0" xfId="0">
      <alignment horizontal="general" vertical="bottom"/>
    </xf>
    <xf numFmtId="2" fontId="17" fillId="0" borderId="0" applyAlignment="1" pivotButton="0" quotePrefix="0" xfId="21">
      <alignment horizontal="center" vertical="bottom"/>
    </xf>
    <xf numFmtId="1" fontId="32" fillId="6" borderId="0" applyAlignment="1" pivotButton="0" quotePrefix="0" xfId="21">
      <alignment horizontal="center" vertical="bottom"/>
    </xf>
    <xf numFmtId="0" fontId="18" fillId="0" borderId="12" applyAlignment="1" pivotButton="0" quotePrefix="0" xfId="0">
      <alignment horizontal="center" vertical="bottom"/>
    </xf>
    <xf numFmtId="0" fontId="17" fillId="0" borderId="13" applyAlignment="1" pivotButton="0" quotePrefix="0" xfId="21">
      <alignment horizontal="right" vertical="bottom"/>
    </xf>
    <xf numFmtId="0" fontId="20" fillId="0" borderId="14" applyAlignment="1" pivotButton="0" quotePrefix="0" xfId="21">
      <alignment horizontal="right" vertical="bottom"/>
    </xf>
    <xf numFmtId="168" fontId="20" fillId="0" borderId="5" applyAlignment="1" pivotButton="0" quotePrefix="0" xfId="21">
      <alignment horizontal="center" vertical="bottom"/>
    </xf>
    <xf numFmtId="172" fontId="17" fillId="0" borderId="0" applyAlignment="1" pivotButton="0" quotePrefix="0" xfId="21">
      <alignment horizontal="general" vertical="bottom"/>
    </xf>
    <xf numFmtId="171" fontId="17" fillId="0" borderId="13" applyAlignment="1" pivotButton="0" quotePrefix="0" xfId="21">
      <alignment horizontal="general" vertical="bottom"/>
    </xf>
    <xf numFmtId="1" fontId="32" fillId="6" borderId="0" applyAlignment="1" pivotButton="0" quotePrefix="0" xfId="0">
      <alignment horizontal="center" vertical="bottom"/>
    </xf>
    <xf numFmtId="172" fontId="17" fillId="0" borderId="0" applyAlignment="1" pivotButton="0" quotePrefix="0" xfId="24">
      <alignment horizontal="general" vertical="bottom"/>
    </xf>
  </cellXfs>
  <cellStyles count="11">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Normal 2" xfId="7"/>
    <cellStyle name="Normal 2 2" xfId="8"/>
    <cellStyle name="Normal_RtN Datapage sample" xfId="9"/>
    <cellStyle name="Percent 2" xfId="10"/>
  </cellStyles>
  <dxfs count="6">
    <dxf>
      <font>
        <name val="Calibri"/>
        <family val="2"/>
        <color rgb="FF800080"/>
        <sz val="11"/>
      </font>
      <fill>
        <patternFill>
          <bgColor rgb="FFFF99CC"/>
        </patternFill>
      </fill>
    </dxf>
    <dxf>
      <font>
        <name val="Calibri"/>
        <family val="2"/>
        <color rgb="FF008000"/>
        <sz val="11"/>
      </font>
      <fill>
        <patternFill>
          <bgColor rgb="FFCCFFCC"/>
        </patternFill>
      </fill>
    </dxf>
    <dxf>
      <font>
        <name val="Calibri"/>
        <family val="2"/>
        <color rgb="FF800080"/>
        <sz val="11"/>
      </font>
      <fill>
        <patternFill>
          <bgColor rgb="FFFF99CC"/>
        </patternFill>
      </fill>
    </dxf>
    <dxf>
      <font>
        <name val="Calibri"/>
        <family val="2"/>
        <color rgb="FF008000"/>
        <sz val="11"/>
      </font>
      <fill>
        <patternFill>
          <bgColor rgb="FFCCFFCC"/>
        </patternFill>
      </fill>
    </dxf>
    <dxf>
      <font>
        <name val="Calibri"/>
        <family val="2"/>
        <color rgb="FF800080"/>
        <sz val="11"/>
      </font>
      <fill>
        <patternFill>
          <bgColor rgb="FFFF99CC"/>
        </patternFill>
      </fill>
    </dxf>
    <dxf>
      <font>
        <name val="Calibri"/>
        <family val="2"/>
        <color rgb="FF008000"/>
        <sz val="11"/>
      </font>
      <fill>
        <patternFill>
          <bgColor rgb="FFCCFF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4F81BD"/>
      <rgbColor rgb="FFC0C0C0"/>
      <rgbColor rgb="FF808080"/>
      <rgbColor rgb="FF9999FF"/>
      <rgbColor rgb="FFC0504D"/>
      <rgbColor rgb="FFFFFFCC"/>
      <rgbColor rgb="FFAABAD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91C3D5"/>
      <rgbColor rgb="FFCCFFCC"/>
      <rgbColor rgb="FFFFFF99"/>
      <rgbColor rgb="FF99CCFF"/>
      <rgbColor rgb="FFFF99CC"/>
      <rgbColor rgb="FFCC99FF"/>
      <rgbColor rgb="FFC6D6AC"/>
      <rgbColor rgb="FF40699C"/>
      <rgbColor rgb="FF4BACC6"/>
      <rgbColor rgb="FF9BBB59"/>
      <rgbColor rgb="FFFFCC00"/>
      <rgbColor rgb="FFFF9900"/>
      <rgbColor rgb="FFFF6600"/>
      <rgbColor rgb="FF8064A2"/>
      <rgbColor rgb="FF7F9A48"/>
      <rgbColor rgb="FF003366"/>
      <rgbColor rgb="FF4198AF"/>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09925915763479221"/>
          <y val="0.139421338155515"/>
          <w val="0.816504321580464"/>
          <h val="0.615551537070525"/>
        </manualLayout>
      </layout>
      <pie3DChart>
        <varyColors val="1"/>
        <ser>
          <idx val="0"/>
          <order val="0"/>
          <spPr>
            <a:solidFill>
              <a:srgbClr val="4f81bd"/>
            </a:solidFill>
            <a:ln w="0">
              <a:noFill/>
              <a:prstDash val="solid"/>
            </a:ln>
          </spPr>
          <explosion val="5"/>
          <dPt>
            <idx val="0"/>
            <explosion val="5"/>
            <spPr>
              <a:solidFill>
                <a:srgbClr val="4f81bd"/>
              </a:solidFill>
              <a:ln w="0">
                <a:noFill/>
                <a:prstDash val="solid"/>
              </a:ln>
            </spPr>
          </dPt>
          <dPt>
            <idx val="1"/>
            <explosion val="5"/>
            <spPr>
              <a:solidFill>
                <a:srgbClr val="c0504d"/>
              </a:solidFill>
              <a:ln w="0">
                <a:noFill/>
                <a:prstDash val="solid"/>
              </a:ln>
            </spPr>
          </dPt>
          <dPt>
            <idx val="2"/>
            <explosion val="5"/>
            <spPr>
              <a:solidFill>
                <a:srgbClr val="9bbb59"/>
              </a:solidFill>
              <a:ln w="0">
                <a:noFill/>
                <a:prstDash val="solid"/>
              </a:ln>
            </spPr>
          </dPt>
          <dPt>
            <idx val="3"/>
            <explosion val="5"/>
            <spPr>
              <a:solidFill>
                <a:srgbClr val="8064a2"/>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3"/>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Overview'!$I$44:$I$47</f>
              <strCache>
                <ptCount val="4"/>
                <pt idx="0">
                  <v>USA</v>
                </pt>
                <pt idx="1">
                  <v>Europe</v>
                </pt>
                <pt idx="2">
                  <v>ARV's</v>
                </pt>
                <pt idx="3">
                  <v>Rest of the World</v>
                </pt>
              </strCache>
            </strRef>
          </cat>
          <val>
            <numRef>
              <f>'Company Overview'!$J$44:$J$47</f>
              <numCache>
                <formatCode>_(* #,##0.00_);_(* \(#,##0.00\);_(* \-??_);_(@_)</formatCode>
                <ptCount val="4"/>
                <pt idx="0">
                  <v>5584</v>
                </pt>
                <pt idx="1">
                  <v>1923</v>
                </pt>
                <pt idx="2">
                  <v>4640</v>
                </pt>
                <pt idx="3">
                  <v>1951</v>
                </pt>
              </numCache>
            </numRef>
          </val>
        </ser>
      </pie3DChart>
    </plotArea>
    <legend>
      <legendPos val="r"/>
      <layout>
        <manualLayout>
          <xMode val="edge"/>
          <yMode val="edge"/>
          <wMode val="factor"/>
          <hMode val="factor"/>
          <x val="0.183495678419536"/>
          <y val="0.8229656419529841"/>
          <w val="0.534778433255591"/>
          <h val="0.108499095840868"/>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107442172309755"/>
          <y val="0.141975308641975"/>
          <w val="0.802799195440831"/>
          <h val="0.606808829031051"/>
        </manualLayout>
      </layout>
      <pie3DChart>
        <varyColors val="1"/>
        <ser>
          <idx val="0"/>
          <order val="0"/>
          <spPr>
            <a:solidFill>
              <a:srgbClr val="4f81bd"/>
            </a:solidFill>
            <a:ln w="0">
              <a:noFill/>
              <a:prstDash val="solid"/>
            </a:ln>
          </spPr>
          <explosion val="5"/>
          <dPt>
            <idx val="0"/>
            <explosion val="5"/>
            <spPr>
              <a:solidFill>
                <a:srgbClr val="40699c"/>
              </a:solidFill>
              <a:ln w="0">
                <a:noFill/>
                <a:prstDash val="solid"/>
              </a:ln>
            </spPr>
          </dPt>
          <dPt>
            <idx val="1"/>
            <explosion val="5"/>
            <spPr>
              <a:solidFill>
                <a:srgbClr val="4f81bd"/>
              </a:solidFill>
              <a:ln w="0">
                <a:noFill/>
                <a:prstDash val="solid"/>
              </a:ln>
            </spPr>
          </dPt>
          <dPt>
            <idx val="2"/>
            <explosion val="5"/>
            <spPr>
              <a:solidFill>
                <a:srgbClr val="aabad7"/>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Overview'!$A$43:$A$45</f>
              <strCache>
                <ptCount val="3"/>
                <pt idx="0">
                  <v xml:space="preserve">India </v>
                </pt>
                <pt idx="1">
                  <v>China</v>
                </pt>
                <pt idx="2">
                  <v>Rest of the World</v>
                </pt>
              </strCache>
            </strRef>
          </cat>
          <val>
            <numRef>
              <f>'Company Overview'!$B$43:$B$45</f>
              <numCache>
                <formatCode>_(* #,##0.00_);_(* \(#,##0.00\);_(* \-??_);_(@_)</formatCode>
                <ptCount val="3"/>
                <pt idx="0">
                  <v>24443.8443149965</v>
                </pt>
                <pt idx="1">
                  <v>366.562112319882</v>
                </pt>
                <pt idx="2">
                  <v>6432.02357268361</v>
                </pt>
              </numCache>
            </numRef>
          </val>
        </ser>
      </pie3DChart>
    </plotArea>
    <legend>
      <legendPos val="r"/>
      <layout>
        <manualLayout>
          <xMode val="edge"/>
          <yMode val="edge"/>
          <wMode val="factor"/>
          <hMode val="factor"/>
          <x val="0.185719074756956"/>
          <y val="0.8153759820426491"/>
          <w val="0.529249078109286"/>
          <h val="0.112233445566779"/>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3.xml><?xml version="1.0" encoding="utf-8"?>
<chartSpace xmlns:a="http://schemas.openxmlformats.org/drawingml/2006/main" xmlns="http://schemas.openxmlformats.org/drawingml/2006/chart">
  <chart>
    <plotArea>
      <layout>
        <manualLayout>
          <xMode val="edge"/>
          <yMode val="edge"/>
          <wMode val="factor"/>
          <hMode val="factor"/>
          <x val="0.0193290846697948"/>
          <y val="0.0505994716521032"/>
          <w val="0.968660270327054"/>
          <h val="0.837228205649258"/>
        </manualLayout>
      </layout>
      <barChart>
        <barDir val="col"/>
        <grouping val="stacked"/>
        <varyColors val="0"/>
        <ser>
          <idx val="0"/>
          <order val="0"/>
          <tx>
            <strRef>
              <f>'Company Overview'!$A$80</f>
              <strCache>
                <ptCount val="1"/>
                <pt idx="0">
                  <v>Formulations</v>
                </pt>
              </strCache>
            </strRef>
          </tx>
          <spPr>
            <a:solidFill>
              <a:srgbClr val="40699c"/>
            </a:solidFill>
            <a:ln w="0">
              <a:solidFill>
                <a:srgbClr val="333399"/>
              </a:solidFill>
              <a:prstDash val="solid"/>
            </a:ln>
          </spPr>
          <invertIfNegative val="0"/>
          <dLbls>
            <numFmt formatCode="#,##0"/>
            <txPr>
              <a:bodyPr/>
              <a:lstStyle/>
              <a:p>
                <a:pPr>
                  <a:defRPr sz="900" b="0" strike="noStrike" spc="-1">
                    <a:solidFill>
                      <a:srgbClr val="ffffff"/>
                    </a:solidFill>
                    <a:latin typeface="Calibri"/>
                  </a:defRPr>
                </a:pPr>
                <a:r>
                  <a:t/>
                </a:r>
              </a:p>
            </txPr>
            <dLblPos val="ctr"/>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Overview'!$B$80:$I$80</f>
              <numCache>
                <formatCode>_(* #,##0.00_);_(* \(#,##0.00\);_(* \-??_);_(@_)</formatCode>
                <ptCount val="8"/>
                <pt idx="0">
                  <v>7196.2</v>
                </pt>
                <pt idx="1">
                  <v>10048</v>
                </pt>
                <pt idx="2">
                  <v>14098</v>
                </pt>
                <pt idx="3">
                  <v>21408.6194230573</v>
                </pt>
                <pt idx="4">
                  <v>28084.8073262365</v>
                </pt>
                <pt idx="5">
                  <v>34825.1610845333</v>
                </pt>
                <pt idx="6">
                  <v>42486.6965231306</v>
                </pt>
                <pt idx="7">
                  <v>50984.0358277568</v>
                </pt>
              </numCache>
            </numRef>
          </val>
        </ser>
        <ser>
          <idx val="1"/>
          <order val="1"/>
          <tx>
            <strRef>
              <f>'Company Overview'!$A$81</f>
              <strCache>
                <ptCount val="1"/>
                <pt idx="0">
                  <v>Active Ingredients</v>
                </pt>
              </strCache>
            </strRef>
          </tx>
          <spPr>
            <a:solidFill>
              <a:srgbClr val="4f81bd"/>
            </a:solidFill>
            <a:ln w="0">
              <a:solidFill>
                <a:srgbClr val="333399"/>
              </a:solidFill>
              <a:prstDash val="solid"/>
            </a:ln>
          </spPr>
          <invertIfNegative val="0"/>
          <dLbls>
            <numFmt formatCode="#,##0"/>
            <txPr>
              <a:bodyPr/>
              <a:lstStyle/>
              <a:p>
                <a:pPr>
                  <a:defRPr sz="1000" b="0" strike="noStrike" spc="-1">
                    <a:solidFill>
                      <a:srgbClr val="ffffff"/>
                    </a:solidFill>
                    <a:latin typeface="Calibri"/>
                  </a:defRPr>
                </a:pPr>
                <a:r>
                  <a:t/>
                </a:r>
              </a:p>
            </txPr>
            <dLblPos val="inEnd"/>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Overview'!$B$81:$I$81</f>
              <numCache>
                <formatCode>_(* #,##0.00_);_(* \(#,##0.00\);_(* \-??_);_(@_)</formatCode>
                <ptCount val="8"/>
                <pt idx="0">
                  <v>15306</v>
                </pt>
                <pt idx="1">
                  <v>15476</v>
                </pt>
                <pt idx="2">
                  <v>16466</v>
                </pt>
                <pt idx="3">
                  <v>17956.8423769427</v>
                </pt>
                <pt idx="4">
                  <v>20728.3653057635</v>
                </pt>
                <pt idx="5">
                  <v>25703.1729791467</v>
                </pt>
                <pt idx="6">
                  <v>31357.8710345589</v>
                </pt>
                <pt idx="7">
                  <v>37629.4452414707</v>
                </pt>
              </numCache>
            </numRef>
          </val>
        </ser>
        <gapWidth val="150"/>
        <overlap val="100"/>
        <axId val="39708768"/>
        <axId val="50534756"/>
      </barChart>
      <lineChart>
        <grouping val="stacked"/>
        <varyColors val="0"/>
        <ser>
          <idx val="2"/>
          <order val="2"/>
          <tx>
            <strRef>
              <f>'Company Overview'!$A$82</f>
              <strCache>
                <ptCount val="1"/>
                <pt idx="0">
                  <v>% Y-o-Y Growth</v>
                </pt>
              </strCache>
            </strRef>
          </tx>
          <spPr>
            <a:solidFill>
              <a:srgbClr val="c0c0c0"/>
            </a:solidFill>
            <a:ln w="37800">
              <a:solidFill>
                <a:srgbClr val="c0c0c0"/>
              </a:solidFill>
              <a:prstDash val="solid"/>
              <a:round/>
            </a:ln>
          </spPr>
          <marker>
            <symbol val="none"/>
            <spPr>
              <a:ln>
                <a:prstDash val="solid"/>
              </a:ln>
            </spPr>
          </marker>
          <dLbls>
            <numFmt formatCode="0%"/>
            <txPr>
              <a:bodyPr/>
              <a:lstStyle/>
              <a:p>
                <a:pPr>
                  <a:defRPr sz="1000" b="0" strike="noStrike" spc="-1">
                    <a:solidFill>
                      <a:srgbClr val="000000"/>
                    </a:solidFill>
                    <a:latin typeface="Calibri"/>
                  </a:defRPr>
                </a:pPr>
                <a:r>
                  <a:t/>
                </a:r>
              </a:p>
            </txPr>
            <dLblPos val="r"/>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Overview'!$B$82:$I$82</f>
              <numCache>
                <formatCode>0%</formatCode>
                <ptCount val="8"/>
                <pt idx="1">
                  <v>0.134289091733253</v>
                </pt>
                <pt idx="2">
                  <v>0.197461212976022</v>
                </pt>
                <pt idx="3">
                  <v>0.287968256772674</v>
                </pt>
                <pt idx="4">
                  <v>0.24</v>
                </pt>
                <pt idx="5">
                  <v>0.24</v>
                </pt>
                <pt idx="6">
                  <v>0.22</v>
                </pt>
                <pt idx="7">
                  <v>0.2</v>
                </pt>
              </numCache>
            </numRef>
          </val>
          <smooth val="0"/>
        </ser>
        <hiLowLines>
          <spPr>
            <a:ln w="0">
              <a:noFill/>
              <a:prstDash val="solid"/>
            </a:ln>
          </spPr>
        </hiLowLines>
        <marker val="0"/>
        <axId val="21718716"/>
        <axId val="99464514"/>
      </lineChart>
      <catAx>
        <axId val="39708768"/>
        <scaling>
          <orientation val="minMax"/>
        </scaling>
        <delete val="0"/>
        <axPos val="b"/>
        <numFmt formatCode="General"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50534756"/>
        <crossesAt val="0"/>
        <auto val="1"/>
        <lblAlgn val="ctr"/>
        <lblOffset val="100"/>
        <noMultiLvlLbl val="0"/>
      </catAx>
      <valAx>
        <axId val="50534756"/>
        <scaling>
          <orientation val="minMax"/>
        </scaling>
        <delete val="0"/>
        <axPos val="l"/>
        <numFmt formatCode="_ * #,##0_ ;_ * \-#,##0_ ;_ * \-_ ;_ @_ " sourceLinked="0"/>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39708768"/>
        <crossesAt val="1"/>
        <crossBetween val="midCat"/>
      </valAx>
      <catAx>
        <axId val="21718716"/>
        <scaling>
          <orientation val="minMax"/>
        </scaling>
        <delete val="1"/>
        <axPos val="t"/>
        <numFmt formatCode="General" sourceLinked="1"/>
        <majorTickMark val="out"/>
        <minorTickMark val="none"/>
        <tickLblPos val="nextTo"/>
        <spPr>
          <a:ln w="0">
            <a:noFill/>
            <a:prstDash val="solid"/>
          </a:ln>
        </spPr>
        <txPr>
          <a:bodyPr/>
          <a:lstStyle/>
          <a:p>
            <a:pPr>
              <a:defRPr sz="1000" b="0" strike="noStrike" spc="-1">
                <a:solidFill>
                  <a:srgbClr val="000000"/>
                </a:solidFill>
                <a:latin typeface="Calibri"/>
              </a:defRPr>
            </a:pPr>
            <a:r>
              <a:t/>
            </a:r>
          </a:p>
        </txPr>
        <crossAx val="99464514"/>
        <auto val="1"/>
        <lblAlgn val="ctr"/>
        <lblOffset val="100"/>
        <noMultiLvlLbl val="0"/>
      </catAx>
      <valAx>
        <axId val="99464514"/>
        <scaling>
          <orientation val="minMax"/>
          <min val="0.1"/>
        </scaling>
        <delete val="0"/>
        <axPos val="r"/>
        <numFmt formatCode="0%" sourceLinked="0"/>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21718716"/>
        <crosses val="max"/>
        <crossBetween val="midCat"/>
      </valAx>
    </plotArea>
    <legend>
      <legendPos val="r"/>
      <layout>
        <manualLayout>
          <xMode val="edge"/>
          <yMode val="edge"/>
          <wMode val="factor"/>
          <hMode val="factor"/>
          <x val="0.267140556061349"/>
          <y val="0.898902662060557"/>
          <w val="0.389137894810561"/>
          <h val="0.0609632188579557"/>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4.xml><?xml version="1.0" encoding="utf-8"?>
<chartSpace xmlns:a="http://schemas.openxmlformats.org/drawingml/2006/main" xmlns="http://schemas.openxmlformats.org/drawingml/2006/chart">
  <chart>
    <plotArea>
      <layout>
        <manualLayout>
          <layoutTarget val="inner"/>
          <xMode val="edge"/>
          <yMode val="edge"/>
          <wMode val="factor"/>
          <hMode val="factor"/>
          <x val="0.104886769964243"/>
          <y val="0.142669172932331"/>
          <w val="0.807787048073103"/>
          <h val="0.605639097744361"/>
        </manualLayout>
      </layout>
      <pie3DChart>
        <varyColors val="1"/>
        <ser>
          <idx val="0"/>
          <order val="0"/>
          <spPr>
            <a:solidFill>
              <a:srgbClr val="9bbb59"/>
            </a:solidFill>
            <a:ln w="0">
              <a:noFill/>
              <a:prstDash val="solid"/>
            </a:ln>
          </spPr>
          <explosion val="5"/>
          <dPt>
            <idx val="0"/>
            <explosion val="5"/>
            <spPr>
              <a:solidFill>
                <a:srgbClr val="7f9a48"/>
              </a:solidFill>
              <a:ln w="0">
                <a:noFill/>
                <a:prstDash val="solid"/>
              </a:ln>
            </spPr>
          </dPt>
          <dPt>
            <idx val="1"/>
            <explosion val="5"/>
            <spPr>
              <a:solidFill>
                <a:srgbClr val="9bbb59"/>
              </a:solidFill>
              <a:ln w="0">
                <a:noFill/>
                <a:prstDash val="solid"/>
              </a:ln>
            </spPr>
          </dPt>
          <dPt>
            <idx val="2"/>
            <explosion val="5"/>
            <spPr>
              <a:solidFill>
                <a:srgbClr val="c6d6ac"/>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1"/>
              <showSerName val="0"/>
              <showPercent val="0"/>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Overview'!$S$44:$S$46</f>
              <strCache>
                <ptCount val="3"/>
                <pt idx="0">
                  <v>SSPs</v>
                </pt>
                <pt idx="1">
                  <v>Cephs</v>
                </pt>
                <pt idx="2">
                  <v>ARVs &amp; Others</v>
                </pt>
              </strCache>
            </strRef>
          </cat>
          <val>
            <numRef>
              <f>'Company Overview'!$T$44:$T$46</f>
              <numCache>
                <formatCode>_(* #,##0.00_);_(* \(#,##0.00\);_(* \-??_);_(@_)</formatCode>
                <ptCount val="3"/>
                <pt idx="0">
                  <v>7379</v>
                </pt>
                <pt idx="1">
                  <v>6344</v>
                </pt>
                <pt idx="2">
                  <v>2743</v>
                </pt>
              </numCache>
            </numRef>
          </val>
        </ser>
      </pie3DChart>
    </plotArea>
    <legend>
      <legendPos val="r"/>
      <layout>
        <manualLayout>
          <xMode val="edge"/>
          <yMode val="edge"/>
          <wMode val="factor"/>
          <hMode val="factor"/>
          <x val="0.233531982518872"/>
          <y val="0.816165413533835"/>
          <w val="0.45689312673818"/>
          <h val="0.112781954887218"/>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5.xml><?xml version="1.0" encoding="utf-8"?>
<chartSpace xmlns:a="http://schemas.openxmlformats.org/drawingml/2006/main" xmlns="http://schemas.openxmlformats.org/drawingml/2006/chart">
  <chart>
    <plotArea>
      <layout>
        <manualLayout>
          <layoutTarget val="inner"/>
          <xMode val="edge"/>
          <yMode val="edge"/>
          <wMode val="factor"/>
          <hMode val="factor"/>
          <x val="0.104549778059607"/>
          <y val="0.141814780168382"/>
          <w val="0.80778376664553"/>
          <h val="0.6082319925163699"/>
        </manualLayout>
      </layout>
      <pie3DChart>
        <varyColors val="1"/>
        <ser>
          <idx val="0"/>
          <order val="0"/>
          <spPr>
            <a:solidFill>
              <a:srgbClr val="4bacc6"/>
            </a:solidFill>
            <a:ln w="0">
              <a:noFill/>
              <a:prstDash val="solid"/>
            </a:ln>
          </spPr>
          <explosion val="5"/>
          <dPt>
            <idx val="0"/>
            <explosion val="5"/>
            <spPr>
              <a:solidFill>
                <a:srgbClr val="4198af"/>
              </a:solidFill>
              <a:ln w="0">
                <a:noFill/>
                <a:prstDash val="solid"/>
              </a:ln>
            </spPr>
          </dPt>
          <dPt>
            <idx val="1"/>
            <explosion val="5"/>
            <spPr>
              <a:solidFill>
                <a:srgbClr val="91c3d5"/>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1"/>
              <showCatName val="0"/>
              <showSerName val="0"/>
              <showPercent val="0"/>
            </dLbl>
            <dLbl>
              <idx val="1"/>
              <txPr>
                <a:bodyPr/>
                <a:lstStyle/>
                <a:p>
                  <a:pPr>
                    <a:defRPr sz="1000" b="0" strike="noStrike" spc="-1">
                      <a:solidFill>
                        <a:srgbClr val="000000"/>
                      </a:solidFill>
                      <a:latin typeface="Calibri"/>
                    </a:defRPr>
                  </a:pPr>
                  <a:r>
                    <a:t/>
                  </a:r>
                </a:p>
              </txPr>
              <dLblPos val="outEnd"/>
              <showLegendKey val="0"/>
              <showVal val="1"/>
              <showCatName val="0"/>
              <showSerName val="0"/>
              <showPercent val="0"/>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Overview'!$AC$43:$AC$44</f>
              <strCache>
                <ptCount val="2"/>
                <pt idx="0">
                  <v>Formulations</v>
                </pt>
                <pt idx="1">
                  <v>Active Ingredients</v>
                </pt>
              </strCache>
            </strRef>
          </cat>
          <val>
            <numRef>
              <f>'Company Overview'!$AD$43:$AD$44</f>
              <numCache>
                <formatCode>0.00_);[RED]\(0.00\)</formatCode>
                <ptCount val="2"/>
                <pt idx="0">
                  <v>14098</v>
                </pt>
                <pt idx="1">
                  <v>16466</v>
                </pt>
              </numCache>
            </numRef>
          </val>
        </ser>
      </pie3DChart>
    </plotArea>
    <legend>
      <legendPos val="r"/>
      <layout>
        <manualLayout>
          <xMode val="edge"/>
          <yMode val="edge"/>
          <wMode val="factor"/>
          <hMode val="factor"/>
          <x val="0.207355738744451"/>
          <y val="0.8177736202058"/>
          <w val="0.500554850982879"/>
          <h val="0.112254443405051"/>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6.xml><?xml version="1.0" encoding="utf-8"?>
<chartSpace xmlns:a="http://schemas.openxmlformats.org/drawingml/2006/main" xmlns="http://schemas.openxmlformats.org/drawingml/2006/chart">
  <chart>
    <plotArea>
      <layout>
        <manualLayout>
          <xMode val="edge"/>
          <yMode val="edge"/>
          <wMode val="factor"/>
          <hMode val="factor"/>
          <x val="0.0267761687238799"/>
          <y val="0.053611798901927"/>
          <w val="0.957138691806784"/>
          <h val="0.916783292065884"/>
        </manualLayout>
      </layout>
      <barChart>
        <barDir val="col"/>
        <grouping val="stacked"/>
        <varyColors val="0"/>
        <ser>
          <idx val="0"/>
          <order val="0"/>
          <spPr>
            <a:gradFill>
              <a:gsLst>
                <a:gs pos="0">
                  <a:srgbClr val="333333"/>
                </a:gs>
                <a:gs pos="100000">
                  <a:srgbClr val="808080"/>
                </a:gs>
              </a:gsLst>
              <a:lin ang="16200000"/>
            </a:gradFill>
            <a:ln w="0">
              <a:noFill/>
              <a:prstDash val="solid"/>
            </a:ln>
          </spPr>
          <invertIfNegative val="0"/>
          <dPt>
            <idx val="1"/>
            <invertIfNegative val="0"/>
            <spPr>
              <a:noFill/>
              <a:ln w="0">
                <a:noFill/>
                <a:prstDash val="solid"/>
              </a:ln>
            </spPr>
          </dPt>
          <dPt>
            <idx val="2"/>
            <invertIfNegative val="0"/>
            <spPr>
              <a:noFill/>
              <a:ln w="0">
                <a:noFill/>
                <a:prstDash val="solid"/>
              </a:ln>
            </spPr>
          </dPt>
          <dLbls>
            <dLbl>
              <idx val="1"/>
              <txPr>
                <a:bodyPr/>
                <a:lstStyle/>
                <a:p>
                  <a:pPr>
                    <a:defRPr sz="1000" b="0" strike="noStrike" spc="-1">
                      <a:solidFill>
                        <a:srgbClr val="ffffff"/>
                      </a:solidFill>
                      <a:latin typeface="Calibri"/>
                    </a:defRPr>
                  </a:pPr>
                  <a:r>
                    <a:t/>
                  </a:r>
                </a:p>
              </txPr>
              <dLblPos val="ctr"/>
              <showLegendKey val="0"/>
              <showVal val="0"/>
              <showCatName val="0"/>
              <showSerName val="0"/>
              <showPercent val="0"/>
            </dLbl>
            <dLbl>
              <idx val="2"/>
              <txPr>
                <a:bodyPr/>
                <a:lstStyle/>
                <a:p>
                  <a:pPr>
                    <a:defRPr sz="1000" b="0" strike="noStrike" spc="-1">
                      <a:solidFill>
                        <a:srgbClr val="ffffff"/>
                      </a:solidFill>
                      <a:latin typeface="Calibri"/>
                    </a:defRPr>
                  </a:pPr>
                  <a:r>
                    <a:t/>
                  </a:r>
                </a:p>
              </txPr>
              <dLblPos val="ctr"/>
              <showLegendKey val="0"/>
              <showVal val="0"/>
              <showCatName val="0"/>
              <showSerName val="0"/>
              <showPercent val="0"/>
            </dLbl>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Overview'!$M$79:$M$82</f>
              <numCache>
                <formatCode>_(* #,##0.00_);_(* \(#,##0.00\);_(* \-??_);_(@_)</formatCode>
                <ptCount val="4"/>
                <pt idx="0">
                  <v>7583.45602084063</v>
                </pt>
                <pt idx="1">
                  <v>7583.45602084063</v>
                </pt>
                <pt idx="2">
                  <v>7583.45602084063</v>
                </pt>
              </numCache>
            </numRef>
          </val>
        </ser>
        <ser>
          <idx val="1"/>
          <order val="1"/>
          <spPr>
            <a:gradFill>
              <a:gsLst>
                <a:gs pos="0">
                  <a:srgbClr val="808080"/>
                </a:gs>
                <a:gs pos="100000">
                  <a:srgbClr val="c0c0c0"/>
                </a:gs>
              </a:gsLst>
              <a:lin ang="16200000"/>
            </a:gradFill>
            <a:ln w="0">
              <a:noFill/>
              <a:prstDash val="solid"/>
            </a:ln>
          </spPr>
          <invertIfNegative val="0"/>
          <dPt>
            <idx val="2"/>
            <invertIfNegative val="0"/>
            <spPr>
              <a:noFill/>
              <a:ln w="0">
                <a:noFill/>
                <a:prstDash val="solid"/>
              </a:ln>
            </spPr>
          </dPt>
          <dLbls>
            <dLbl>
              <idx val="2"/>
              <txPr>
                <a:bodyPr/>
                <a:lstStyle/>
                <a:p>
                  <a:pPr>
                    <a:defRPr sz="1000" b="0" strike="noStrike" spc="-1">
                      <a:solidFill>
                        <a:srgbClr val="ffffff"/>
                      </a:solidFill>
                      <a:latin typeface="Calibri"/>
                    </a:defRPr>
                  </a:pPr>
                  <a:r>
                    <a:t/>
                  </a:r>
                </a:p>
              </txPr>
              <dLblPos val="ctr"/>
              <showLegendKey val="0"/>
              <showVal val="0"/>
              <showCatName val="0"/>
              <showSerName val="0"/>
              <showPercent val="0"/>
            </dLbl>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Overview'!$N$79:$N$82</f>
              <numCache>
                <formatCode>_(* #,##0.00_);_(* \(#,##0.00\);_(* \-??_);_(@_)</formatCode>
                <ptCount val="4"/>
                <pt idx="1">
                  <v>13507.8456107095</v>
                </pt>
                <pt idx="2">
                  <v>13507.8456107095</v>
                </pt>
              </numCache>
            </numRef>
          </val>
        </ser>
        <ser>
          <idx val="2"/>
          <order val="2"/>
          <spPr>
            <a:ln w="0">
              <a:noFill/>
              <a:prstDash val="solid"/>
            </a:ln>
          </spPr>
          <invertIfNegative val="0"/>
          <dLbls>
            <numFmt formatCode="#,##0"/>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Overview'!$O$79:$O$82</f>
              <numCache>
                <formatCode>General</formatCode>
                <ptCount val="4"/>
                <pt idx="2">
                  <v>41293.4188590443</v>
                </pt>
                <pt idx="3">
                  <v>62384.7204905944</v>
                </pt>
              </numCache>
            </numRef>
          </val>
        </ser>
        <gapWidth val="150"/>
        <overlap val="100"/>
        <axId val="72369144"/>
        <axId val="19677063"/>
      </barChart>
      <catAx>
        <axId val="72369144"/>
        <scaling>
          <orientation val="minMax"/>
        </scaling>
        <delete val="0"/>
        <axPos val="b"/>
        <numFmt formatCode="General"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19677063"/>
        <crossesAt val="0"/>
        <auto val="1"/>
        <lblAlgn val="ctr"/>
        <lblOffset val="100"/>
        <noMultiLvlLbl val="0"/>
      </catAx>
      <valAx>
        <axId val="19677063"/>
        <scaling>
          <orientation val="minMax"/>
        </scaling>
        <delete val="0"/>
        <axPos val="l"/>
        <numFmt formatCode="_(* #,##0.00_);_(* \(#,##0.00\);_(* \-??_);_(@_)"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72369144"/>
        <crossesAt val="1"/>
        <crossBetween val="midCat"/>
      </valAx>
    </plotArea>
    <plotVisOnly val="1"/>
    <dispBlanksAs val="gap"/>
  </chart>
  <spPr>
    <a:solidFill>
      <a:srgbClr val="ffffff"/>
    </a:solidFill>
    <a:ln w="0">
      <a:noFill/>
      <a:prstDash val="solid"/>
    </a:ln>
  </spPr>
</chartSpace>
</file>

<file path=xl/comments/comment1.xml><?xml version="1.0" encoding="utf-8"?>
<comments xmlns="http://schemas.openxmlformats.org/spreadsheetml/2006/main">
  <authors>
    <author>Unknown Author</author>
  </authors>
  <commentList>
    <comment ref="G9" authorId="0" shapeId="0">
      <text>
        <t>Author:
Segment data only available from FY2007</t>
      </text>
    </comment>
    <comment ref="O9" authorId="0" shapeId="0">
      <text>
        <t>Author:
Deducted 0.2 mn to ensure compatabilty with segment revenues and P/L nos</t>
      </text>
    </comment>
    <comment ref="V29" authorId="0" shapeId="0">
      <text>
        <t>Author:
Normal interest forecast + the proportiionate Interest amortisation on account of Redemption Premium</t>
      </text>
    </comment>
    <comment ref="AA29" authorId="0" shapeId="0">
      <text>
        <t>Author:
Normal interest forecast + the proportiionate Interest amortisation on account of Redemption Premium</t>
      </text>
    </comment>
    <comment ref="AF29" authorId="0" shapeId="0">
      <text>
        <t>Author:
Normal interest forecast + the proportiionate Interest amortisation on account of Redemption Premium</t>
      </text>
    </comment>
    <comment ref="F30" authorId="0" shapeId="0">
      <text>
        <t xml:space="preserve">Author:
Forex Gain in some quarters are shown in the other income part
</t>
      </text>
    </comment>
    <comment ref="I30" authorId="0" shapeId="0">
      <text>
        <t xml:space="preserve">Author:
Forex Gain/Loss in some quarters are shown in the other income part
</t>
      </text>
    </comment>
    <comment ref="AA31" authorId="0" shapeId="0">
      <text>
        <t>Author:
The gain from conversion of FCCB's USD 53,600 i.e the difference between the sum allocated to share capital &amp; Share premium and the value of the FCCBs in the books on the balance sheet date i.e 31 March 2011 (2325.79-2492.40)</t>
      </text>
    </comment>
    <comment ref="R44" authorId="0" shapeId="0">
      <text>
        <t>Author:
Assumed NIL minority interest I am taking the PBT to Cash flow statement and Net profit to Balance sheet (Added to reserves)</t>
      </text>
    </comment>
    <comment ref="S44" authorId="0" shapeId="0">
      <text>
        <t xml:space="preserve">Author:
Assumed NIL minority interest I am taking the PBT to Cash flow statement and Net profit to Balance sheet (Added to reserves)
</t>
      </text>
    </comment>
    <comment ref="T44" authorId="0" shapeId="0">
      <text>
        <t xml:space="preserve">Author:
Assumed NIL minority interest I am taking the PBT to Cash flow statement and Net profit to Balance sheet (Added to reserves)
</t>
      </text>
    </comment>
    <comment ref="U44" authorId="0" shapeId="0">
      <text>
        <t xml:space="preserve">Author:
Assumed NIL minority interest I am taking the PBT to Cash flow statement and Net profit to Balance sheet (Added to reserves)
</t>
      </text>
    </comment>
    <comment ref="V44" authorId="0" shapeId="0">
      <text>
        <t>Author:
Assumed NIL minority interest I am taking the PBT to Cash flow statement and Net profit to Balance sheet (Added to reserves)</t>
      </text>
    </comment>
    <comment ref="X48" authorId="0" shapeId="0">
      <text>
        <t>Author:
Addition in Capital due to conversion of FCCB's due in Aug 2010</t>
      </text>
    </comment>
    <comment ref="AB55" authorId="0" shapeId="0">
      <text>
        <t xml:space="preserve">Author:
Diluted shares decreased due to Redemption of Tranche-A &amp; Tranche-B FCCB's (4.7 mn &amp; 1.7 mn shares respectively)
 </t>
      </text>
    </comment>
  </commentList>
</comments>
</file>

<file path=xl/comments/comment2.xml><?xml version="1.0" encoding="utf-8"?>
<comments xmlns="http://schemas.openxmlformats.org/spreadsheetml/2006/main">
  <authors>
    <author>Unknown Author</author>
  </authors>
  <commentList>
    <comment ref="G12" authorId="0" shapeId="0">
      <text>
        <t>Author:
Added the share capital on conversion of FCCBs due in Aug 2010</t>
      </text>
    </comment>
    <comment ref="G14" authorId="0" shapeId="0">
      <text>
        <t xml:space="preserve">Author:
Added the share premium on conversion of FCCB's Due in AUG 2010
</t>
      </text>
    </comment>
  </commentList>
</comments>
</file>

<file path=xl/comments/comment3.xml><?xml version="1.0" encoding="utf-8"?>
<comments xmlns="http://schemas.openxmlformats.org/spreadsheetml/2006/main">
  <authors>
    <author>Unknown Author</author>
  </authors>
  <commentList>
    <comment ref="G27" authorId="0" shapeId="0">
      <text>
        <t>Author:
The gain from conversion of FCCB's USD 53,600 i.e the difference between the sum allocated to share capital &amp; Share premium and the value of the FCCBs in the books on the balance sheet date i.e 31 March 2011 (2325.79-2492.40)</t>
      </text>
    </comment>
    <comment ref="G55" authorId="0" shapeId="0">
      <text>
        <t>Author:
Debt borrowing for the repayment of FCCB's due in May 2011</t>
      </text>
    </comment>
    <comment ref="H55" authorId="0" shapeId="0">
      <text>
        <t>Author:
Debt borrowing for the repayment of FCCB's due in May 2011</t>
      </text>
    </comment>
    <comment ref="F57" authorId="0" shapeId="0">
      <text>
        <t>Author:
FCCB Redeemption of  USD 1.8 mn</t>
      </text>
    </comment>
    <comment ref="H58" authorId="0" shapeId="0">
      <text>
        <t>Author:
Redemption  of FCCB's</t>
      </text>
    </comment>
  </commentList>
</comments>
</file>

<file path=xl/comments/comment4.xml><?xml version="1.0" encoding="utf-8"?>
<comments xmlns="http://schemas.openxmlformats.org/spreadsheetml/2006/main">
  <authors>
    <author>Unknown Author</author>
  </authors>
  <commentList>
    <comment ref="F11" authorId="0" shapeId="0">
      <text>
        <t>Author:
Linked from the P&amp; L A/c as Historical data was available</t>
      </text>
    </comment>
  </commentList>
</comments>
</file>

<file path=xl/comments/comment5.xml><?xml version="1.0" encoding="utf-8"?>
<comments xmlns="http://schemas.openxmlformats.org/spreadsheetml/2006/main">
  <authors>
    <author>Unknown Author</author>
  </authors>
  <commentList>
    <comment ref="N82" authorId="0" shapeId="0">
      <text>
        <t>Author:
Formulations contribution increased going forward for FY10E &amp; FY11E</t>
      </text>
    </comment>
    <comment ref="R82" authorId="0" shapeId="0">
      <text>
        <t>Author:
Formulations contribution increased going forward for FY10E &amp; FY11E</t>
      </text>
    </comment>
  </commentList>
</comments>
</file>

<file path=xl/comments/comment6.xml><?xml version="1.0" encoding="utf-8"?>
<comments xmlns="http://schemas.openxmlformats.org/spreadsheetml/2006/main">
  <authors>
    <author>Unknown Author</author>
  </authors>
  <commentList>
    <comment ref="S20" authorId="0" shapeId="0">
      <text>
        <t>Author:
Management Guidance for the tax rate due to Export incentives</t>
      </text>
    </comment>
  </commentList>
</comments>
</file>

<file path=xl/comments/comment7.xml><?xml version="1.0" encoding="utf-8"?>
<comments xmlns="http://schemas.openxmlformats.org/spreadsheetml/2006/main">
  <authors>
    <author>Unknown Author</author>
  </authors>
  <commentList>
    <comment ref="B4" authorId="0" shapeId="0">
      <text>
        <t xml:space="preserve">Author:
FY 2005 A numbers have been input for better clarity 
</t>
      </text>
    </comment>
    <comment ref="F19" authorId="0" shapeId="0">
      <text>
        <t>Author:
The difference in the value of FCCB's as on balance sheet date 31 Mar, between the 2 years is assumed as Other loans from banks  for the purpose of purchasing the USD 60.9 mn FCCB's at discount</t>
      </text>
    </comment>
    <comment ref="E21" authorId="0" shapeId="0">
      <text>
        <t>Author:
Total value of FCCB's of 255,500 @ 40.1 USD/INR as on 31 March 2008</t>
      </text>
    </comment>
    <comment ref="F21" authorId="0" shapeId="0">
      <text>
        <t>Author:
FCCB's of 194.60 mn USD multiplied by USD/INR of 50.876 as on 31 March 2009</t>
      </text>
    </comment>
    <comment ref="B33" authorId="0" shapeId="0">
      <text>
        <t>Author:
Inserted - sign to show as positive values</t>
      </text>
    </comment>
    <comment ref="F33" authorId="0" shapeId="0">
      <text>
        <t>Author:
Interest expense (Net) was given in reported Consolidated P&amp;L. I then projected interest income and since balance sheet was not available then deduced the interest expense as the balancing figure</t>
      </text>
    </comment>
    <comment ref="F36" authorId="0" shapeId="0">
      <text>
        <t>Author:
This figure was obtained from the deduced interest expense since only Interest expense (NET) was available and Gross interest expense in Balance sheet was not available,since not publshed</t>
      </text>
    </comment>
    <comment ref="G36" authorId="0" shapeId="0">
      <text>
        <t>Author:
Assumed the same figure as of last year</t>
      </text>
    </comment>
    <comment ref="H40" authorId="0" shapeId="0">
      <text>
        <t>Author:
53.600 FCCB's on conversion at Rs 46.5 (assumed), is reduced from Unsecured loan amount. It is shown on conversion as part of share capital and Reserves</t>
      </text>
    </comment>
    <comment ref="G41" authorId="0" shapeId="0">
      <text>
        <t>system
Redemption of  USD 1.8 mn FCCBs @ INR 50.88</t>
      </text>
    </comment>
    <comment ref="H43" authorId="0" shapeId="0">
      <text>
        <t>Author:
Term Loan of Rs 2000 mn is assumed to be raised by the company to redeem the FCCB's due in May 2011 (FY2012)</t>
      </text>
    </comment>
    <comment ref="I43" authorId="0" shapeId="0">
      <text>
        <t>Author:
Term loans of Rs 5000 mn is assumed to be raised by the company so as to partially offset the repayment of FCCB's on redemption</t>
      </text>
    </comment>
    <comment ref="E45" authorId="0" shapeId="0">
      <text>
        <t>Author:
=10,245.6*40.10</t>
      </text>
    </comment>
    <comment ref="F55" authorId="0" shapeId="0">
      <text>
        <t>Author:
Assumption of  last 4 years Average interest rate</t>
      </text>
    </comment>
    <comment ref="B61" authorId="0" shapeId="0">
      <text>
        <t>Author:
As on 30 June 2009</t>
      </text>
    </comment>
    <comment ref="C77" authorId="0" shapeId="0">
      <text>
        <t>Author:
Assumption</t>
      </text>
    </comment>
    <comment ref="B107" authorId="0" shapeId="0">
      <text>
        <t>Author:
Approximate Present Share Price</t>
      </text>
    </comment>
    <comment ref="B143" authorId="0" shapeId="0">
      <text>
        <t>Author:
Approximate Present Share Price</t>
      </text>
    </comment>
    <comment ref="B179" authorId="0" shapeId="0">
      <text>
        <t>Author:
Approximate Present Share Price</t>
      </text>
    </comment>
    <comment ref="F214" authorId="0" shapeId="0">
      <text>
        <t xml:space="preserve">Author:
Assumption
</t>
      </text>
    </comment>
    <comment ref="D220" authorId="0" shapeId="0">
      <text>
        <t>Author:
Total premium (Rs Mn) on redemption of FCCB's due in May 2011 (Tranhce A&amp;B) that needs to be amortized over FY10E- FY12E</t>
      </text>
    </comment>
  </commentList>
</comments>
</file>

<file path=xl/comments/comment8.xml><?xml version="1.0" encoding="utf-8"?>
<comments xmlns="http://schemas.openxmlformats.org/spreadsheetml/2006/main">
  <authors>
    <author>Unknown Author</author>
  </authors>
  <commentList>
    <comment ref="C4" authorId="0" shapeId="0">
      <text>
        <t xml:space="preserve">Author:
FY 2005 A numbers have been input for better clarity for capex rate and depreciation
</t>
      </text>
    </comment>
    <comment ref="F9" authorId="0" shapeId="0">
      <text>
        <t>Author:
We get the total i.e Gross Block + Capital work in progress to get better picture of CAPEX which we use to calculate as a % of revenue</t>
      </text>
    </comment>
    <comment ref="G18" authorId="0" shapeId="0">
      <text>
        <t>Author:
Have assumed lesser Capex as % of revenues from the historical years for the first three years of forecast peroid</t>
      </text>
    </comment>
    <comment ref="J18" authorId="0" shapeId="0">
      <text>
        <t xml:space="preserve">Author:
Have assumed 6% of CAPEX as a % of revenue for the last forecast period considering the company had made enough investments in fixed assets in the previous years
</t>
      </text>
    </comment>
  </commentList>
</comments>
</file>

<file path=xl/comments/comment9.xml><?xml version="1.0" encoding="utf-8"?>
<comments xmlns="http://schemas.openxmlformats.org/spreadsheetml/2006/main">
  <authors>
    <author>Unknown Author</author>
  </authors>
  <commentList>
    <comment ref="B6" authorId="0" shapeId="0">
      <text>
        <t xml:space="preserve">Author:
IMF forecast </t>
      </text>
    </comment>
    <comment ref="E10" authorId="0" shapeId="0">
      <text>
        <t>Author:
Total Debt as of FY08A</t>
      </text>
    </comment>
    <comment ref="H10" authorId="0" shapeId="0">
      <text>
        <t>Author:
Taken the assumed tax rate from FY10E since it was more in line with future tax rates, and also the rate as expected  by the company</t>
      </text>
    </comment>
    <comment ref="B11" authorId="0" shapeId="0">
      <text>
        <t>Author:
10 year RBI treasury bill rate of 7% on an average</t>
      </text>
    </comment>
    <comment ref="B12" authorId="0" shapeId="0">
      <text>
        <t>Author:
Value taken from Capitaline.com</t>
      </text>
    </comment>
    <comment ref="B13" authorId="0" shapeId="0">
      <text>
        <t>JP Morgan estimates for risk premium in India for the long term</t>
      </text>
    </comment>
    <comment ref="B26" authorId="0" shapeId="0">
      <text>
        <t>Author:
NOPAT + Depreciation + Change in Working capital (as opposed to - as given in standard formula) since we are taking the sum effect of working capital change directlly from the cash flow statement</t>
      </text>
    </comment>
    <comment ref="N37" authorId="0" shapeId="0">
      <text>
        <t>Author:
Forecasted Global GDP growth by IMF</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10</col>
      <colOff>358920</colOff>
      <row>41</row>
      <rowOff>105120</rowOff>
    </from>
    <to>
      <col>16</col>
      <colOff>527760</colOff>
      <row>51</row>
      <rowOff>190440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1</col>
      <colOff>1153800</colOff>
      <row>41</row>
      <rowOff>171360</rowOff>
    </from>
    <to>
      <col>7</col>
      <colOff>46440</colOff>
      <row>51</row>
      <rowOff>190440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0</col>
      <colOff>149400</colOff>
      <row>56</row>
      <rowOff>19440</rowOff>
    </from>
    <to>
      <col>9</col>
      <colOff>765720</colOff>
      <row>74</row>
      <rowOff>133200</rowOff>
    </to>
    <graphicFrame>
      <nvGraphicFramePr>
        <cNvPr id="3" name="Chart 3"/>
        <cNvGraphicFramePr/>
      </nvGraphicFramePr>
      <xfrm/>
      <a:graphic>
        <a:graphicData uri="http://schemas.openxmlformats.org/drawingml/2006/chart">
          <c:chart r:id="rId3"/>
        </a:graphicData>
      </a:graphic>
    </graphicFrame>
    <clientData/>
  </twoCellAnchor>
  <twoCellAnchor editAs="oneCell">
    <from>
      <col>20</col>
      <colOff>425880</colOff>
      <row>42</row>
      <rowOff>0</rowOff>
    </from>
    <to>
      <col>26</col>
      <colOff>650880</colOff>
      <row>52</row>
      <rowOff>9720</rowOff>
    </to>
    <graphicFrame>
      <nvGraphicFramePr>
        <cNvPr id="4" name="Chart 4"/>
        <cNvGraphicFramePr/>
      </nvGraphicFramePr>
      <xfrm/>
      <a:graphic>
        <a:graphicData uri="http://schemas.openxmlformats.org/drawingml/2006/chart">
          <c:chart r:id="rId4"/>
        </a:graphicData>
      </a:graphic>
    </graphicFrame>
    <clientData/>
  </twoCellAnchor>
  <twoCellAnchor editAs="oneCell">
    <from>
      <col>30</col>
      <colOff>280440</colOff>
      <row>42</row>
      <rowOff>19440</rowOff>
    </from>
    <to>
      <col>36</col>
      <colOff>516600</colOff>
      <row>52</row>
      <rowOff>38160</rowOff>
    </to>
    <graphicFrame>
      <nvGraphicFramePr>
        <cNvPr id="5" name="Chart 5"/>
        <cNvGraphicFramePr/>
      </nvGraphicFramePr>
      <xfrm/>
      <a:graphic>
        <a:graphicData uri="http://schemas.openxmlformats.org/drawingml/2006/chart">
          <c:chart r:id="rId5"/>
        </a:graphicData>
      </a:graphic>
    </graphicFrame>
    <clientData/>
  </twoCellAnchor>
  <twoCellAnchor editAs="oneCell">
    <from>
      <col>11</col>
      <colOff>353880</colOff>
      <row>56</row>
      <rowOff>104760</rowOff>
    </from>
    <to>
      <col>19</col>
      <colOff>571680</colOff>
      <row>74</row>
      <rowOff>19440</rowOff>
    </to>
    <graphicFrame>
      <nvGraphicFramePr>
        <cNvPr id="6" name="Chart 6"/>
        <cNvGraphicFramePr/>
      </nvGraphicFramePr>
      <xfrm/>
      <a:graphic>
        <a:graphicData uri="http://schemas.openxmlformats.org/drawingml/2006/chart">
          <c:chart r:id="rId6"/>
        </a:graphicData>
      </a:graphic>
    </graphicFrame>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proschoolonline.com/" TargetMode="Externa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0.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1.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2.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3.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sheet1.xml><?xml version="1.0" encoding="utf-8"?>
<worksheet xmlns="http://schemas.openxmlformats.org/spreadsheetml/2006/main">
  <sheetPr filterMode="0">
    <outlinePr summaryBelow="1" summaryRight="1"/>
    <pageSetUpPr fitToPage="0"/>
  </sheetPr>
  <dimension ref="A1:H2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13671875" defaultRowHeight="15" zeroHeight="1" outlineLevelRow="0"/>
  <cols>
    <col hidden="1" width="9.130000000000001" customWidth="1" style="461" min="9" max="257"/>
  </cols>
  <sheetData>
    <row r="1" ht="15" customHeight="1" s="462">
      <c r="A1" s="461" t="n"/>
      <c r="B1" s="461" t="n"/>
      <c r="C1" s="461" t="n"/>
      <c r="D1" s="461" t="n"/>
      <c r="E1" s="461" t="n"/>
      <c r="F1" s="461" t="n"/>
      <c r="G1" s="461" t="n"/>
      <c r="H1" s="461" t="n"/>
    </row>
    <row r="2" ht="15" customHeight="1" s="462">
      <c r="A2" s="461" t="n"/>
      <c r="B2" s="461" t="n"/>
      <c r="C2" s="461" t="n"/>
      <c r="D2" s="461" t="n"/>
      <c r="E2" s="461" t="n"/>
      <c r="F2" s="461" t="n"/>
      <c r="G2" s="461" t="n"/>
      <c r="H2" s="461" t="n"/>
    </row>
    <row r="3" ht="28.5" customHeight="1" s="462">
      <c r="A3" s="461" t="n"/>
      <c r="B3" s="461" t="n"/>
      <c r="C3" s="461" t="n"/>
      <c r="D3" s="461" t="n"/>
      <c r="E3" s="463" t="inlineStr">
        <is>
          <t>Reference Model</t>
        </is>
      </c>
      <c r="F3" s="461" t="n"/>
      <c r="G3" s="461" t="n"/>
      <c r="H3" s="461" t="n"/>
    </row>
    <row r="4" ht="15" customHeight="1" s="462">
      <c r="A4" s="461" t="n"/>
      <c r="B4" s="461" t="n"/>
      <c r="C4" s="461" t="n"/>
      <c r="D4" s="461" t="n"/>
      <c r="E4" s="461" t="n"/>
      <c r="F4" s="461" t="n"/>
      <c r="G4" s="461" t="n"/>
      <c r="H4" s="461" t="n"/>
    </row>
    <row r="5" ht="42" customHeight="1" s="462">
      <c r="A5" s="461" t="n"/>
      <c r="B5" s="461" t="n"/>
      <c r="C5" s="461" t="n"/>
      <c r="D5" s="461" t="n"/>
      <c r="E5" s="464" t="inlineStr">
        <is>
          <t>Aurobindo Pharma</t>
        </is>
      </c>
      <c r="F5" s="461" t="n"/>
      <c r="G5" s="461" t="n"/>
      <c r="H5" s="461" t="n"/>
    </row>
    <row r="6" ht="15" customHeight="1" s="462">
      <c r="A6" s="461" t="n"/>
      <c r="B6" s="461" t="n"/>
      <c r="C6" s="461" t="n"/>
      <c r="D6" s="461" t="n"/>
      <c r="E6" s="465" t="inlineStr">
        <is>
          <t>Prepared By: Gopal Sathis Kumar, Distance learning, Chennai</t>
        </is>
      </c>
      <c r="F6" s="461" t="n"/>
      <c r="G6" s="461" t="n"/>
      <c r="H6" s="461" t="n"/>
    </row>
    <row r="7" ht="15" customHeight="1" s="462">
      <c r="A7" s="461" t="n"/>
      <c r="B7" s="461" t="n"/>
      <c r="C7" s="461" t="n"/>
      <c r="D7" s="461" t="n"/>
      <c r="E7" s="461" t="n"/>
      <c r="F7" s="461" t="n"/>
      <c r="G7" s="461" t="n"/>
      <c r="H7" s="461" t="n"/>
    </row>
    <row r="8" ht="15" customHeight="1" s="462">
      <c r="A8" s="461" t="n"/>
      <c r="B8" s="461" t="n"/>
      <c r="C8" s="461" t="n"/>
      <c r="D8" s="461" t="n"/>
      <c r="E8" s="461" t="n"/>
      <c r="F8" s="461" t="n"/>
      <c r="G8" s="461" t="n"/>
      <c r="H8" s="461" t="n"/>
    </row>
    <row r="9" ht="15" customHeight="1" s="462">
      <c r="A9" s="461" t="n"/>
      <c r="B9" s="461" t="n"/>
      <c r="C9" s="461" t="n"/>
      <c r="D9" s="461" t="n"/>
      <c r="E9" s="461" t="n"/>
      <c r="F9" s="461" t="n"/>
      <c r="G9" s="461" t="n"/>
      <c r="H9" s="461" t="n"/>
    </row>
    <row r="10" ht="15" customHeight="1" s="462">
      <c r="A10" s="461" t="n"/>
      <c r="B10" s="461" t="n"/>
      <c r="C10" s="461" t="n"/>
      <c r="D10" s="461" t="n"/>
      <c r="E10" s="461" t="n"/>
      <c r="F10" s="461" t="n"/>
      <c r="G10" s="461" t="n"/>
      <c r="H10" s="461" t="n"/>
    </row>
    <row r="11" ht="15" customHeight="1" s="462">
      <c r="A11" s="461" t="n"/>
      <c r="B11" s="461" t="n"/>
      <c r="C11" s="461" t="n"/>
      <c r="D11" s="461" t="n"/>
      <c r="E11" s="461" t="n"/>
      <c r="F11" s="461" t="n"/>
      <c r="G11" s="461" t="n"/>
      <c r="H11" s="461" t="n"/>
    </row>
    <row r="12" ht="15" customHeight="1" s="462">
      <c r="A12" s="461" t="n"/>
      <c r="B12" s="461" t="n"/>
      <c r="C12" s="461" t="n"/>
      <c r="D12" s="461" t="n"/>
      <c r="E12" s="461" t="n"/>
      <c r="F12" s="461" t="n"/>
      <c r="G12" s="461" t="n"/>
      <c r="H12" s="461" t="n"/>
    </row>
    <row r="13" ht="15" customHeight="1" s="462">
      <c r="A13" s="461" t="n"/>
      <c r="B13" s="461" t="n"/>
      <c r="C13" s="461" t="n"/>
      <c r="D13" s="461" t="n"/>
      <c r="E13" s="461" t="n"/>
      <c r="F13" s="461" t="n"/>
      <c r="G13" s="461" t="n"/>
      <c r="H13" s="461" t="n"/>
    </row>
    <row r="14" ht="15" customHeight="1" s="462">
      <c r="A14" s="461" t="n"/>
      <c r="B14" s="461" t="n"/>
      <c r="C14" s="461" t="n"/>
      <c r="D14" s="461" t="n"/>
      <c r="E14" s="466" t="inlineStr">
        <is>
          <t>http://proschoolonline.com</t>
        </is>
      </c>
      <c r="F14" s="461" t="n"/>
      <c r="G14" s="461" t="n"/>
      <c r="H14" s="461" t="n"/>
    </row>
    <row r="15" ht="15" customHeight="1" s="462">
      <c r="A15" s="461" t="n"/>
      <c r="B15" s="461" t="n"/>
      <c r="C15" s="461" t="n"/>
      <c r="D15" s="461" t="n"/>
      <c r="E15" s="467" t="inlineStr">
        <is>
          <t>Email ID : mumbai@proschoolonline.com</t>
        </is>
      </c>
      <c r="F15" s="461" t="n"/>
      <c r="G15" s="461" t="n"/>
      <c r="H15" s="461" t="n"/>
    </row>
    <row r="16" ht="15" customHeight="1" s="462">
      <c r="A16" s="461" t="n"/>
      <c r="B16" s="461" t="n"/>
      <c r="C16" s="461" t="n"/>
      <c r="D16" s="461" t="n"/>
      <c r="E16" s="467" t="n"/>
      <c r="F16" s="461" t="n"/>
      <c r="G16" s="461" t="n"/>
      <c r="H16" s="461" t="n"/>
    </row>
    <row r="17" ht="15" customHeight="1" s="462">
      <c r="A17" s="461" t="n"/>
      <c r="B17" s="461" t="n"/>
      <c r="C17" s="461" t="n"/>
      <c r="D17" s="461" t="n"/>
      <c r="E17" s="467" t="inlineStr">
        <is>
          <t>Mumbai</t>
        </is>
      </c>
      <c r="F17" s="461" t="n"/>
      <c r="G17" s="461" t="n"/>
      <c r="H17" s="461" t="n"/>
    </row>
    <row r="18" ht="15" customHeight="1" s="462">
      <c r="A18" s="461" t="n"/>
      <c r="B18" s="461" t="n"/>
      <c r="C18" s="461" t="n"/>
      <c r="D18" s="461" t="n"/>
      <c r="E18" s="468" t="n"/>
      <c r="F18" s="461" t="n"/>
      <c r="G18" s="461" t="n"/>
      <c r="H18" s="461" t="n"/>
    </row>
    <row r="19" ht="15" customHeight="1" s="462">
      <c r="A19" s="461" t="n"/>
      <c r="B19" s="461" t="n"/>
      <c r="C19" s="461" t="n"/>
      <c r="D19" s="461" t="n"/>
      <c r="E19" s="469" t="inlineStr">
        <is>
          <t>IMS Proschool Pvt Ltd,</t>
        </is>
      </c>
      <c r="F19" s="461" t="n"/>
      <c r="G19" s="461" t="n"/>
      <c r="H19" s="461" t="n"/>
    </row>
    <row r="20" ht="15" customHeight="1" s="462">
      <c r="A20" s="461" t="n"/>
      <c r="B20" s="461" t="n"/>
      <c r="C20" s="461" t="n"/>
      <c r="D20" s="461" t="n"/>
      <c r="E20" s="469" t="inlineStr">
        <is>
          <t>Maharashtra High School Complex,</t>
        </is>
      </c>
      <c r="F20" s="461" t="n"/>
      <c r="G20" s="461" t="n"/>
      <c r="H20" s="461" t="n"/>
    </row>
    <row r="21" ht="15" customHeight="1" s="462">
      <c r="A21" s="461" t="n"/>
      <c r="B21" s="461" t="n"/>
      <c r="C21" s="461" t="n"/>
      <c r="D21" s="461" t="n"/>
      <c r="E21" s="469" t="inlineStr">
        <is>
          <t>Principal N.M Kale Marg, Off Gokhale Rd,</t>
        </is>
      </c>
      <c r="F21" s="461" t="n"/>
      <c r="G21" s="461" t="n"/>
      <c r="H21" s="461" t="n"/>
    </row>
    <row r="22" ht="15" customHeight="1" s="462">
      <c r="A22" s="461" t="n"/>
      <c r="B22" s="461" t="n"/>
      <c r="C22" s="461" t="n"/>
      <c r="D22" s="461" t="n"/>
      <c r="E22" s="469" t="inlineStr">
        <is>
          <t>Dadar (W), Mumbai 400028</t>
        </is>
      </c>
      <c r="F22" s="461" t="n"/>
      <c r="G22" s="461" t="n"/>
      <c r="H22" s="461" t="n"/>
    </row>
    <row r="23" ht="15" customHeight="1" s="462">
      <c r="A23" s="461" t="n"/>
      <c r="B23" s="461" t="n"/>
      <c r="C23" s="461" t="n"/>
      <c r="D23" s="461" t="n"/>
      <c r="E23" s="467" t="inlineStr">
        <is>
          <t>Tel. No. : 022-65285393/94</t>
        </is>
      </c>
      <c r="F23" s="461" t="n"/>
      <c r="G23" s="461" t="n"/>
      <c r="H23" s="461" t="n"/>
    </row>
    <row r="24" ht="15" customHeight="1" s="462">
      <c r="A24" s="461" t="n"/>
      <c r="B24" s="461" t="n"/>
      <c r="C24" s="461" t="n"/>
      <c r="D24" s="461" t="n"/>
      <c r="E24" s="469" t="inlineStr">
        <is>
          <t>+91 9372895050</t>
        </is>
      </c>
      <c r="F24" s="461" t="n"/>
      <c r="G24" s="461" t="n"/>
      <c r="H24" s="461" t="n"/>
    </row>
    <row r="25" ht="15" customHeight="1" s="462">
      <c r="A25" s="461" t="n"/>
      <c r="B25" s="461" t="n"/>
      <c r="C25" s="461" t="n"/>
      <c r="D25" s="461" t="n"/>
      <c r="E25" s="461" t="n"/>
      <c r="F25" s="461" t="n"/>
      <c r="G25" s="461" t="n"/>
      <c r="H25" s="461" t="n"/>
    </row>
  </sheetData>
  <sheetProtection selectLockedCells="0" selectUnlockedCells="0" sheet="1" objects="1" insertRows="1" insertHyperlinks="1" autoFilter="1" scenarios="1" formatColumns="1" deleteColumns="1" insertColumns="1" pivotTables="1" deleteRows="1" formatCells="1" formatRows="1" sort="1" password="ccc5"/>
  <hyperlinks>
    <hyperlink xmlns:r="http://schemas.openxmlformats.org/officeDocument/2006/relationships" ref="E14" display="http://proschoolonline.com" r:id="rId1"/>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1"/>
  <sheetViews>
    <sheetView showFormulas="0" showGridLines="0" showRowColHeaders="1" showZeros="1" rightToLeft="0" tabSelected="0" showOutlineSymbols="1" defaultGridColor="1" view="normal" topLeftCell="C1" colorId="64" zoomScale="100" zoomScaleNormal="100" zoomScalePageLayoutView="100" workbookViewId="0">
      <selection pane="topLeft" activeCell="C28" activeCellId="0" sqref="A28:IV65536"/>
    </sheetView>
  </sheetViews>
  <sheetFormatPr baseColWidth="8" defaultColWidth="9.13671875" defaultRowHeight="15" zeroHeight="1" outlineLevelRow="0"/>
  <cols>
    <col hidden="1" width="9.130000000000001" customWidth="1" style="461" min="13" max="257"/>
  </cols>
  <sheetData>
    <row r="1" ht="18" customHeight="1" s="462">
      <c r="A1" s="470" t="inlineStr">
        <is>
          <t>Directions</t>
        </is>
      </c>
      <c r="B1" s="471" t="n"/>
      <c r="C1" s="471" t="n"/>
      <c r="D1" s="471" t="n"/>
      <c r="E1" s="471" t="n"/>
      <c r="F1" s="471" t="n"/>
      <c r="G1" s="471" t="n"/>
      <c r="H1" s="471" t="n"/>
      <c r="I1" s="471" t="n"/>
      <c r="J1" s="471" t="n"/>
      <c r="K1" s="471" t="n"/>
      <c r="L1" s="472" t="n"/>
    </row>
    <row r="2" ht="15" customHeight="1" s="462">
      <c r="A2" s="473" t="n"/>
      <c r="B2" s="473" t="n"/>
      <c r="C2" s="473" t="n"/>
      <c r="D2" s="473" t="n"/>
      <c r="E2" s="473" t="n"/>
      <c r="F2" s="473" t="n"/>
      <c r="G2" s="473" t="n"/>
      <c r="H2" s="473" t="n"/>
      <c r="I2" s="473" t="n"/>
      <c r="J2" s="473" t="n"/>
      <c r="K2" s="473" t="n"/>
      <c r="L2" s="474" t="n"/>
    </row>
    <row r="3" ht="15" customHeight="1" s="462">
      <c r="A3" s="475" t="inlineStr">
        <is>
          <t xml:space="preserve">Aurobindo pharma is one of the leading pharmaceutical company of the country.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L3" s="476" t="n"/>
    </row>
    <row r="4" ht="15" customHeight="1" s="462">
      <c r="L4" s="476" t="n"/>
    </row>
    <row r="5" ht="15" customHeight="1" s="462">
      <c r="L5" s="476" t="n"/>
    </row>
    <row r="6" ht="15" customHeight="1" s="462">
      <c r="L6" s="476" t="n"/>
    </row>
    <row r="7" ht="15" customHeight="1" s="462">
      <c r="L7" s="476" t="n"/>
    </row>
    <row r="8" ht="15" customHeight="1" s="462">
      <c r="L8" s="476" t="n"/>
    </row>
    <row r="9" ht="15" customHeight="1" s="462">
      <c r="L9" s="476" t="n"/>
    </row>
    <row r="10" ht="15" customHeight="1" s="462">
      <c r="L10" s="476" t="n"/>
    </row>
    <row r="11" ht="15" customHeight="1" s="462">
      <c r="L11" s="476" t="n"/>
    </row>
    <row r="12" ht="15" customHeight="1" s="462">
      <c r="L12" s="476" t="n"/>
    </row>
    <row r="13" ht="15" customHeight="1" s="462">
      <c r="L13" s="476" t="n"/>
    </row>
    <row r="14" ht="15" customHeight="1" s="462">
      <c r="L14" s="476" t="n"/>
    </row>
    <row r="15" ht="15" customHeight="1" s="462">
      <c r="L15" s="476" t="n"/>
    </row>
    <row r="16" ht="15" customHeight="1" s="462">
      <c r="L16" s="476" t="n"/>
    </row>
    <row r="17" ht="15" customHeight="1" s="462">
      <c r="A17" s="477" t="n"/>
      <c r="B17" s="477" t="n"/>
      <c r="C17" s="477" t="n"/>
      <c r="D17" s="477" t="n"/>
      <c r="E17" s="477" t="n"/>
      <c r="F17" s="477" t="n"/>
      <c r="G17" s="477" t="n"/>
      <c r="H17" s="477" t="n"/>
      <c r="I17" s="477" t="n"/>
      <c r="J17" s="477" t="n"/>
      <c r="K17" s="477" t="n"/>
      <c r="L17" s="478" t="n"/>
    </row>
    <row r="18" ht="15" customHeight="1" s="462">
      <c r="A18" s="477" t="n"/>
      <c r="B18" s="477" t="n"/>
      <c r="C18" s="477" t="n"/>
      <c r="D18" s="477" t="n"/>
      <c r="E18" s="477" t="n"/>
      <c r="F18" s="477" t="n"/>
      <c r="G18" s="477" t="n"/>
      <c r="H18" s="477" t="n"/>
      <c r="I18" s="477" t="n"/>
      <c r="J18" s="477" t="n"/>
      <c r="K18" s="477" t="n"/>
      <c r="L18" s="478" t="n"/>
    </row>
    <row r="19" ht="15" customHeight="1" s="462">
      <c r="A19" s="477" t="n"/>
      <c r="B19" s="477" t="n"/>
      <c r="C19" s="477" t="n"/>
      <c r="D19" s="477" t="n"/>
      <c r="E19" s="477" t="n"/>
      <c r="F19" s="477" t="n"/>
      <c r="G19" s="477" t="n"/>
      <c r="H19" s="477" t="n"/>
      <c r="I19" s="477" t="n"/>
      <c r="J19" s="477" t="n"/>
      <c r="K19" s="477" t="n"/>
      <c r="L19" s="478" t="n"/>
    </row>
    <row r="20" ht="15" customHeight="1" s="462">
      <c r="A20" s="479" t="n"/>
      <c r="B20" s="479" t="n"/>
      <c r="C20" s="479" t="n"/>
      <c r="D20" s="479" t="n"/>
      <c r="E20" s="479" t="n"/>
      <c r="F20" s="479" t="n"/>
      <c r="G20" s="479" t="n"/>
      <c r="H20" s="479" t="n"/>
      <c r="I20" s="480" t="inlineStr">
        <is>
          <t>IMS Proschool Pvt Ltd,</t>
        </is>
      </c>
      <c r="J20" s="461" t="n"/>
      <c r="K20" s="479" t="n"/>
      <c r="L20" s="475" t="n"/>
    </row>
    <row r="21" ht="15" customHeight="1" s="462">
      <c r="A21" s="479" t="n"/>
      <c r="B21" s="479" t="n"/>
      <c r="C21" s="479" t="n"/>
      <c r="D21" s="479" t="n"/>
      <c r="E21" s="479" t="n"/>
      <c r="F21" s="479" t="n"/>
      <c r="G21" s="479" t="n"/>
      <c r="H21" s="479" t="n"/>
      <c r="I21" s="480" t="inlineStr">
        <is>
          <t>Maharashtra High School Complex,</t>
        </is>
      </c>
      <c r="J21" s="461" t="n"/>
      <c r="K21" s="479" t="n"/>
      <c r="L21" s="475" t="n"/>
    </row>
    <row r="22" ht="15" customHeight="1" s="462">
      <c r="A22" s="473" t="n"/>
      <c r="B22" s="473" t="n"/>
      <c r="C22" s="473" t="n"/>
      <c r="D22" s="473" t="n"/>
      <c r="E22" s="473" t="n"/>
      <c r="F22" s="473" t="n"/>
      <c r="G22" s="473" t="n"/>
      <c r="H22" s="473" t="n"/>
      <c r="I22" s="480" t="inlineStr">
        <is>
          <t>Principal N.M Kale Marg, Off Gokhale Rd,</t>
        </is>
      </c>
      <c r="J22" s="461" t="n"/>
      <c r="K22" s="473" t="n"/>
      <c r="L22" s="474" t="n"/>
    </row>
    <row r="23" ht="15" customHeight="1" s="462">
      <c r="A23" s="473" t="n"/>
      <c r="B23" s="473" t="n"/>
      <c r="C23" s="473" t="n"/>
      <c r="D23" s="473" t="n"/>
      <c r="E23" s="473" t="n"/>
      <c r="F23" s="473" t="n"/>
      <c r="G23" s="473" t="n"/>
      <c r="H23" s="473" t="n"/>
      <c r="I23" s="480" t="inlineStr">
        <is>
          <t>Dadar (W), Mumbai 400028</t>
        </is>
      </c>
      <c r="J23" s="461" t="n"/>
      <c r="K23" s="473" t="n"/>
      <c r="L23" s="474" t="n"/>
    </row>
    <row r="24" ht="15" customHeight="1" s="462">
      <c r="A24" s="473" t="n"/>
      <c r="B24" s="481" t="n"/>
      <c r="C24" s="473" t="n"/>
      <c r="D24" s="473" t="n"/>
      <c r="E24" s="473" t="n"/>
      <c r="F24" s="473" t="n"/>
      <c r="G24" s="473" t="n"/>
      <c r="H24" s="473" t="n"/>
      <c r="I24" s="482" t="inlineStr">
        <is>
          <t>Tel. No. : 022-65285393/94</t>
        </is>
      </c>
      <c r="J24" s="461" t="n"/>
      <c r="K24" s="473" t="n"/>
      <c r="L24" s="474" t="n"/>
    </row>
    <row r="25" ht="15" customHeight="1" s="462">
      <c r="A25" s="473" t="n"/>
      <c r="B25" s="473" t="n"/>
      <c r="C25" s="473" t="n"/>
      <c r="D25" s="473" t="n"/>
      <c r="E25" s="473" t="n"/>
      <c r="F25" s="473" t="n"/>
      <c r="G25" s="473" t="n"/>
      <c r="H25" s="473" t="n"/>
      <c r="I25" s="480" t="inlineStr">
        <is>
          <t>+91 9372895050</t>
        </is>
      </c>
      <c r="J25" s="461" t="n"/>
      <c r="K25" s="473" t="n"/>
      <c r="L25" s="474" t="n"/>
    </row>
    <row r="26" ht="15" customHeight="1" s="462">
      <c r="A26" s="473" t="n"/>
      <c r="B26" s="473" t="n"/>
      <c r="C26" s="473" t="n"/>
      <c r="D26" s="473" t="n"/>
      <c r="E26" s="473" t="n"/>
      <c r="F26" s="473" t="n"/>
      <c r="G26" s="473" t="n"/>
      <c r="H26" s="473" t="n"/>
      <c r="I26" s="481" t="inlineStr">
        <is>
          <t>Email ID : mumbai@proschoolonline.com</t>
        </is>
      </c>
      <c r="J26" s="473" t="n"/>
      <c r="K26" s="473" t="n"/>
      <c r="L26" s="474" t="n"/>
    </row>
    <row r="27" ht="15.75" customHeight="1" s="462">
      <c r="A27" s="483" t="n"/>
      <c r="B27" s="483" t="n"/>
      <c r="C27" s="483" t="n"/>
      <c r="D27" s="483" t="n"/>
      <c r="E27" s="483" t="n"/>
      <c r="F27" s="483" t="n"/>
      <c r="G27" s="483" t="n"/>
      <c r="H27" s="483" t="n"/>
      <c r="I27" s="484" t="n"/>
      <c r="J27" s="483" t="n"/>
      <c r="K27" s="483" t="n"/>
      <c r="L27" s="485" t="n"/>
    </row>
    <row r="28" hidden="1" ht="15" customHeight="1" s="462">
      <c r="A28" s="473" t="n"/>
      <c r="B28" s="481" t="n"/>
      <c r="C28" s="473" t="n"/>
      <c r="D28" s="473" t="n"/>
      <c r="E28" s="473" t="n"/>
      <c r="F28" s="473" t="n"/>
      <c r="G28" s="473" t="n"/>
      <c r="H28" s="473" t="n"/>
      <c r="I28" s="473" t="n"/>
      <c r="J28" s="473" t="n"/>
      <c r="K28" s="473" t="n"/>
      <c r="L28" s="473" t="n"/>
    </row>
    <row r="29" hidden="1" ht="15" customHeight="1" s="462">
      <c r="A29" s="486" t="n"/>
    </row>
    <row r="30" hidden="1" ht="15" customHeight="1" s="462"/>
    <row r="31" hidden="1" ht="15" customHeight="1" s="462"/>
  </sheetData>
  <sheetProtection selectLockedCells="0" selectUnlockedCells="0" sheet="1" objects="1" insertRows="1" insertHyperlinks="1" autoFilter="1" scenarios="1" formatColumns="1" deleteColumns="1" insertColumns="1" pivotTables="1" deleteRows="1" formatCells="1" formatRows="1" sort="1" password="ccc5"/>
  <mergeCells count="2">
    <mergeCell ref="A29:L31"/>
    <mergeCell ref="A3:L1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K82"/>
  <sheetViews>
    <sheetView showFormulas="0" showGridLines="0" showRowColHeaders="1" showZeros="1" rightToLeft="0" tabSelected="0" showOutlineSymbols="1" defaultGridColor="1" view="normal" topLeftCell="A23" colorId="64" zoomScale="100" zoomScaleNormal="100" zoomScalePageLayoutView="100" workbookViewId="0">
      <selection pane="topLeft" activeCell="F37" activeCellId="0" sqref="F37"/>
    </sheetView>
  </sheetViews>
  <sheetFormatPr baseColWidth="8" defaultColWidth="8.96875" defaultRowHeight="15" zeroHeight="0" outlineLevelRow="0"/>
  <cols>
    <col width="29.85" customWidth="1" style="461" min="1" max="1"/>
    <col width="14.7" customWidth="1" style="461" min="2" max="2"/>
    <col width="10.7" customWidth="1" style="461" min="3" max="3"/>
    <col width="10.56" customWidth="1" style="461" min="4" max="5"/>
    <col width="10.42" customWidth="1" style="461" min="6" max="6"/>
    <col width="10.56" customWidth="1" style="461" min="7" max="8"/>
    <col width="12.85" customWidth="1" style="461" min="9" max="9"/>
    <col width="10.56" customWidth="1" style="461" min="10" max="10"/>
    <col width="14.85" customWidth="1" style="461" min="12" max="12"/>
    <col width="9.56" customWidth="1" style="461" min="13" max="13"/>
    <col width="10.56" customWidth="1" style="461" min="14" max="15"/>
    <col width="17.42" customWidth="1" style="461" min="19" max="19"/>
    <col width="9.56" customWidth="1" style="461" min="20" max="20"/>
    <col width="17.42" customWidth="1" style="461" min="29" max="29"/>
  </cols>
  <sheetData>
    <row r="1" ht="18.75" customHeight="1" s="462">
      <c r="A1" s="487" t="inlineStr">
        <is>
          <t>Aurobindo Pharma</t>
        </is>
      </c>
    </row>
    <row r="2" ht="15.75" customHeight="1" s="462">
      <c r="A2" s="488" t="inlineStr">
        <is>
          <t>Company Overview</t>
        </is>
      </c>
    </row>
    <row r="3" ht="15.75" customHeight="1" s="462">
      <c r="A3" s="489" t="inlineStr">
        <is>
          <t>(In Rs Millions, except per share data)</t>
        </is>
      </c>
      <c r="B3" s="489" t="n"/>
      <c r="C3" s="489" t="n"/>
      <c r="D3" s="489" t="n"/>
      <c r="E3" s="489" t="n"/>
      <c r="F3" s="489" t="n"/>
      <c r="G3" s="489" t="n"/>
      <c r="H3" s="489" t="n"/>
      <c r="I3" s="489" t="n"/>
      <c r="J3" s="489" t="n"/>
      <c r="K3" s="489" t="n"/>
      <c r="L3" s="489" t="n"/>
      <c r="M3" s="489" t="n"/>
      <c r="N3" s="489" t="n"/>
      <c r="O3" s="489" t="n"/>
      <c r="P3" s="489" t="n"/>
      <c r="Q3" s="489" t="n"/>
      <c r="R3" s="489" t="n"/>
      <c r="S3" s="489" t="n"/>
      <c r="T3" s="489" t="n"/>
    </row>
    <row r="4" ht="15" customHeight="1" s="462">
      <c r="A4" s="490" t="n"/>
      <c r="B4" s="490" t="n"/>
      <c r="C4" s="490" t="n"/>
      <c r="D4" s="490" t="n"/>
      <c r="E4" s="490" t="n"/>
      <c r="F4" s="490" t="n"/>
      <c r="G4" s="490" t="n"/>
      <c r="H4" s="490" t="n"/>
      <c r="I4" s="490" t="n"/>
      <c r="J4" s="490" t="n"/>
      <c r="K4" s="490" t="n"/>
      <c r="L4" s="490" t="n"/>
      <c r="M4" s="490" t="n"/>
      <c r="N4" s="490" t="n"/>
      <c r="O4" s="490" t="n"/>
      <c r="P4" s="490" t="n"/>
      <c r="Q4" s="490" t="n"/>
      <c r="R4" s="490" t="n"/>
    </row>
    <row r="5" ht="15" customHeight="1" s="462">
      <c r="A5" s="491" t="inlineStr">
        <is>
          <t>Company Information</t>
        </is>
      </c>
      <c r="B5" s="491" t="n"/>
      <c r="F5" s="491" t="inlineStr">
        <is>
          <t>Company Description</t>
        </is>
      </c>
      <c r="H5" s="492" t="n"/>
      <c r="I5" s="492" t="n"/>
      <c r="J5" s="492" t="n"/>
      <c r="K5" s="492" t="n"/>
      <c r="L5" s="492" t="n"/>
      <c r="M5" s="492" t="n"/>
      <c r="N5" s="492" t="n"/>
      <c r="O5" s="492" t="n"/>
      <c r="P5" s="492" t="n"/>
      <c r="Q5" s="492" t="n"/>
      <c r="R5" s="461" t="n"/>
    </row>
    <row r="6" ht="15" customHeight="1" s="462">
      <c r="A6" s="461" t="inlineStr">
        <is>
          <t>Industry</t>
        </is>
      </c>
      <c r="B6" s="468" t="inlineStr">
        <is>
          <t>Pharmceuticals</t>
        </is>
      </c>
      <c r="F6" s="493" t="inlineStr">
        <is>
          <t xml:space="preserve">Aurobindo Pharma, incorporated in 1986 is a Hyderabad based pharma company, which initially forayed into the pharmaceutical sector as an API supplier focusing on antibiotics like Semi Synthetic Penicillins (SSPs) and Cephalosporins, emerging a market leader in these segments. Over the years, the company has diversified into the cardiovascular (CVS), central nervous system (CNS), gastrointestinal (GI), anti-infective segments, etc.  After a strong presence in its core business of bulk actives, the company is now focusing on generic formulations. It has 14 state-of-the-art manufacturing facilities spread across India, China, USA and Brazil. The company’s operations are vertically integrated and its formulations profile is supported by in-house APIs. Aurobindo has a presence across US, Europe, India and other emerging countries like Brazil, China, South Africa, etc. A higher proportion of the company’s revenue is from APIs and formulations are likely to replace this, going forward.                                                             </t>
        </is>
      </c>
      <c r="Q6" s="493" t="n"/>
    </row>
    <row r="7" ht="15" customHeight="1" s="462">
      <c r="A7" s="461" t="inlineStr">
        <is>
          <t>Sector</t>
        </is>
      </c>
      <c r="B7" s="468" t="inlineStr">
        <is>
          <t>Pharma</t>
        </is>
      </c>
      <c r="Q7" s="493" t="n"/>
    </row>
    <row r="8" ht="15" customHeight="1" s="462">
      <c r="A8" s="461" t="inlineStr">
        <is>
          <t>Country</t>
        </is>
      </c>
      <c r="B8" s="468" t="inlineStr">
        <is>
          <t>India</t>
        </is>
      </c>
      <c r="Q8" s="493" t="n"/>
    </row>
    <row r="9" ht="15" customHeight="1" s="462">
      <c r="A9" s="461" t="inlineStr">
        <is>
          <t>Current Market Price             Rs</t>
        </is>
      </c>
      <c r="B9" s="494" t="n"/>
      <c r="C9" s="495" t="n"/>
      <c r="Q9" s="493" t="n"/>
    </row>
    <row r="10" ht="15" customHeight="1" s="462">
      <c r="A10" s="461" t="inlineStr">
        <is>
          <t>Ticker</t>
        </is>
      </c>
      <c r="B10" s="461" t="inlineStr">
        <is>
          <t>AUROPHARMA</t>
        </is>
      </c>
      <c r="Q10" s="493" t="n"/>
    </row>
    <row r="11" ht="15" customHeight="1" s="462">
      <c r="A11" s="461" t="inlineStr">
        <is>
          <t>Market Capitalization (Rs in Mn)</t>
        </is>
      </c>
      <c r="B11" s="494" t="n"/>
      <c r="Q11" s="493" t="n"/>
    </row>
    <row r="12" ht="15" customHeight="1" s="462">
      <c r="A12" s="461" t="inlineStr">
        <is>
          <t xml:space="preserve">Relative Index </t>
        </is>
      </c>
      <c r="B12" s="468" t="inlineStr">
        <is>
          <t>S&amp;P CNX Nifty</t>
        </is>
      </c>
      <c r="Q12" s="493" t="n"/>
    </row>
    <row r="13" ht="15" customHeight="1" s="462">
      <c r="A13" s="461" t="inlineStr">
        <is>
          <t>Year end</t>
        </is>
      </c>
      <c r="B13" s="496" t="n">
        <v>39903</v>
      </c>
      <c r="Q13" s="493" t="n"/>
    </row>
    <row r="14" ht="15" customHeight="1" s="462">
      <c r="A14" s="461" t="inlineStr">
        <is>
          <t>Reporting currency</t>
        </is>
      </c>
      <c r="B14" s="468" t="inlineStr">
        <is>
          <t>INR</t>
        </is>
      </c>
      <c r="Q14" s="493" t="n"/>
    </row>
    <row r="15" ht="15" customHeight="1" s="462">
      <c r="F15" s="493" t="n"/>
      <c r="G15" s="493" t="n"/>
      <c r="H15" s="493" t="n"/>
      <c r="I15" s="493" t="n"/>
      <c r="J15" s="493" t="n"/>
      <c r="K15" s="493" t="n"/>
      <c r="L15" s="493" t="n"/>
      <c r="M15" s="493" t="n"/>
      <c r="N15" s="493" t="n"/>
      <c r="O15" s="493" t="n"/>
      <c r="P15" s="493" t="n"/>
      <c r="Q15" s="493" t="n"/>
    </row>
    <row r="16" ht="15" customHeight="1" s="462">
      <c r="F16" s="497" t="n"/>
      <c r="G16" s="497" t="n"/>
      <c r="H16" s="497" t="n"/>
      <c r="I16" s="497" t="n"/>
      <c r="J16" s="497" t="n"/>
      <c r="K16" s="497" t="n"/>
      <c r="L16" s="497" t="n"/>
      <c r="M16" s="497" t="n"/>
      <c r="N16" s="497" t="n"/>
      <c r="O16" s="497" t="n"/>
      <c r="P16" s="497" t="n"/>
      <c r="Q16" s="461" t="n"/>
    </row>
    <row r="17" ht="15" customHeight="1" s="462">
      <c r="F17" s="491" t="inlineStr">
        <is>
          <t>Products</t>
        </is>
      </c>
      <c r="G17" s="492" t="n"/>
      <c r="H17" s="492" t="n"/>
      <c r="I17" s="492" t="n"/>
      <c r="J17" s="492" t="n"/>
      <c r="K17" s="492" t="n"/>
      <c r="L17" s="492" t="n"/>
      <c r="M17" s="492" t="n"/>
      <c r="N17" s="492" t="n"/>
      <c r="O17" s="492" t="n"/>
      <c r="P17" s="492" t="n"/>
      <c r="Q17" s="498" t="n"/>
    </row>
    <row r="18" ht="15" customHeight="1" s="462">
      <c r="F18" s="493" t="inlineStr">
        <is>
          <t xml:space="preserve">Aurobindo is a leading player in APIs and has a strong presence in SSPs, CCPs, and ARVs. Aurobindo ranks the highest in terms of DMF filings by any Indian company and is the second largest globally. Aurobindo has set up seven state–of-the-art manufacturing facilities and all have the necessary regulatory approvals. Six of these facilities are situated in India near Hyderabad and one is in China. The key products segments are:- CVS,CNS, Anti-allergic, Cephalosporins,(synthetic &amp; non-synthetic) SSP’s, Gastro intestinals, and ARV’s. </t>
        </is>
      </c>
    </row>
    <row r="19" ht="15" customHeight="1" s="462"/>
    <row r="20" ht="15" customHeight="1" s="462"/>
    <row r="21" ht="15" customHeight="1" s="462"/>
    <row r="22" ht="15" customHeight="1" s="462"/>
    <row r="23" ht="15" customHeight="1" s="462">
      <c r="F23" s="461" t="n"/>
      <c r="G23" s="461" t="n"/>
      <c r="H23" s="461" t="n"/>
      <c r="I23" s="461" t="n"/>
      <c r="J23" s="461" t="n"/>
      <c r="K23" s="461" t="n"/>
      <c r="L23" s="461" t="n"/>
      <c r="M23" s="461" t="n"/>
      <c r="N23" s="461" t="n"/>
      <c r="O23" s="461" t="n"/>
      <c r="P23" s="461" t="n"/>
      <c r="Q23" s="461" t="n"/>
    </row>
    <row r="24" ht="15" customHeight="1" s="462">
      <c r="F24" s="461" t="n"/>
      <c r="G24" s="461" t="n"/>
      <c r="H24" s="461" t="n"/>
      <c r="I24" s="461" t="n"/>
      <c r="J24" s="461" t="n"/>
      <c r="K24" s="461" t="n"/>
      <c r="L24" s="461" t="n"/>
      <c r="M24" s="461" t="n"/>
      <c r="N24" s="461" t="n"/>
      <c r="O24" s="461" t="n"/>
      <c r="P24" s="461" t="n"/>
      <c r="Q24" s="461" t="n"/>
    </row>
    <row r="25" ht="15" customHeight="1" s="462">
      <c r="A25" s="491" t="inlineStr">
        <is>
          <t>Per Share Data &amp; Key Ratios</t>
        </is>
      </c>
      <c r="B25" s="492" t="n"/>
      <c r="C25" s="492" t="n"/>
      <c r="D25" s="492" t="n"/>
      <c r="E25" s="492" t="n"/>
      <c r="F25" s="492" t="n"/>
      <c r="G25" s="492" t="n"/>
      <c r="H25" s="492" t="n"/>
      <c r="I25" s="492" t="n"/>
      <c r="J25" s="492" t="n"/>
      <c r="K25" s="492" t="n"/>
      <c r="L25" s="492" t="n"/>
      <c r="M25" s="492" t="n"/>
      <c r="N25" s="492" t="n"/>
      <c r="O25" s="492" t="n"/>
      <c r="P25" s="492" t="n"/>
      <c r="Q25" s="497" t="n"/>
      <c r="R25" s="497" t="n"/>
    </row>
    <row r="26" ht="45.75" customHeight="1" s="462">
      <c r="A26" s="499" t="inlineStr">
        <is>
          <t>For the Fiscal Period Ending</t>
        </is>
      </c>
      <c r="B26" s="500" t="inlineStr">
        <is>
          <t>3 months 
Jun-30-          2008</t>
        </is>
      </c>
      <c r="C26" s="500" t="inlineStr">
        <is>
          <t>3 months 
Sep-30-2008</t>
        </is>
      </c>
      <c r="D26" s="500" t="inlineStr">
        <is>
          <t>3 months 
Dec-31-2008</t>
        </is>
      </c>
      <c r="E26" s="500" t="inlineStr">
        <is>
          <t>3 months 
Mar-31-2009</t>
        </is>
      </c>
      <c r="F26" s="501" t="inlineStr">
        <is>
          <t>FY2009 A</t>
        </is>
      </c>
      <c r="G26" s="500" t="inlineStr">
        <is>
          <t>3 months 
Jun-30-2009</t>
        </is>
      </c>
      <c r="H26" s="502" t="inlineStr">
        <is>
          <t>3 months 
Sep-30-2009</t>
        </is>
      </c>
      <c r="I26" s="502" t="inlineStr">
        <is>
          <t>3 months 
Dec-31-     2009</t>
        </is>
      </c>
      <c r="J26" s="502" t="inlineStr">
        <is>
          <t>3 months 
Mar-31-2010</t>
        </is>
      </c>
      <c r="K26" s="503" t="inlineStr">
        <is>
          <t>FY2010 E</t>
        </is>
      </c>
      <c r="L26" s="504" t="inlineStr">
        <is>
          <t>3 months 
Jun-30-                                                      2010</t>
        </is>
      </c>
      <c r="M26" s="504" t="inlineStr">
        <is>
          <t>3 months 
Sep-30-2010</t>
        </is>
      </c>
      <c r="N26" s="504" t="inlineStr">
        <is>
          <t>3 months 
Dec-31-2010</t>
        </is>
      </c>
      <c r="O26" s="504" t="inlineStr">
        <is>
          <t>3 months 
Mar-31-2011</t>
        </is>
      </c>
      <c r="P26" s="503" t="inlineStr">
        <is>
          <t>FY2011 E</t>
        </is>
      </c>
    </row>
    <row r="27" ht="15.75" customHeight="1" s="462">
      <c r="A27" s="505" t="inlineStr">
        <is>
          <t>EPS diluted (reported)</t>
        </is>
      </c>
      <c r="B27" s="506" t="n"/>
      <c r="C27" s="506" t="n"/>
      <c r="D27" s="506" t="n"/>
      <c r="E27" s="506" t="n"/>
      <c r="F27" s="507" t="n"/>
      <c r="G27" s="506" t="n"/>
      <c r="H27" s="506" t="n"/>
      <c r="I27" s="506" t="n"/>
      <c r="J27" s="506" t="n"/>
      <c r="K27" s="507" t="n"/>
      <c r="L27" s="506" t="n"/>
      <c r="M27" s="506" t="n"/>
      <c r="N27" s="506" t="n"/>
      <c r="O27" s="506" t="n"/>
      <c r="P27" s="507" t="n"/>
    </row>
    <row r="28" ht="15" customHeight="1" s="462">
      <c r="A28" s="508" t="inlineStr">
        <is>
          <t>Operating Margin (%)</t>
        </is>
      </c>
      <c r="B28" s="509" t="n"/>
      <c r="C28" s="509" t="n"/>
      <c r="D28" s="509" t="n"/>
      <c r="E28" s="509" t="n"/>
      <c r="F28" s="510" t="n"/>
      <c r="G28" s="509" t="n"/>
      <c r="H28" s="509" t="n"/>
      <c r="I28" s="509" t="n"/>
      <c r="J28" s="509" t="n"/>
      <c r="K28" s="510" t="n"/>
      <c r="L28" s="509" t="n"/>
      <c r="M28" s="509" t="n"/>
      <c r="N28" s="509" t="n"/>
      <c r="O28" s="509" t="n"/>
      <c r="P28" s="510" t="n"/>
    </row>
    <row r="29" ht="15" customHeight="1" s="462">
      <c r="A29" s="505" t="inlineStr">
        <is>
          <t>EBITDA/sales (%)</t>
        </is>
      </c>
      <c r="B29" s="509" t="n"/>
      <c r="C29" s="509" t="n"/>
      <c r="D29" s="509" t="n"/>
      <c r="E29" s="509" t="n"/>
      <c r="F29" s="510" t="n"/>
      <c r="G29" s="509" t="n"/>
      <c r="H29" s="509" t="n"/>
      <c r="I29" s="509" t="n"/>
      <c r="J29" s="509" t="n"/>
      <c r="K29" s="510" t="n"/>
      <c r="L29" s="509" t="n"/>
      <c r="M29" s="509" t="n"/>
      <c r="N29" s="509" t="n"/>
      <c r="O29" s="509" t="n"/>
      <c r="P29" s="510" t="n"/>
      <c r="Q29" s="509" t="n"/>
    </row>
    <row r="30" ht="15" customHeight="1" s="462">
      <c r="A30" s="505" t="inlineStr">
        <is>
          <t>EBIT/sales (%)</t>
        </is>
      </c>
      <c r="B30" s="509" t="n"/>
      <c r="C30" s="509" t="n"/>
      <c r="D30" s="509" t="n"/>
      <c r="E30" s="509" t="n"/>
      <c r="F30" s="510" t="n"/>
      <c r="G30" s="509" t="n"/>
      <c r="H30" s="509" t="n"/>
      <c r="I30" s="509" t="n"/>
      <c r="J30" s="509" t="n"/>
      <c r="K30" s="510" t="n"/>
      <c r="L30" s="509" t="n"/>
      <c r="M30" s="509" t="n"/>
      <c r="N30" s="509" t="n"/>
      <c r="O30" s="509" t="n"/>
      <c r="P30" s="510" t="n"/>
      <c r="Q30" s="509" t="n"/>
    </row>
    <row r="31" ht="15" customHeight="1" s="462">
      <c r="A31" s="505" t="inlineStr">
        <is>
          <t>Net income/sales (%)</t>
        </is>
      </c>
      <c r="B31" s="509" t="n"/>
      <c r="C31" s="509" t="n"/>
      <c r="D31" s="509" t="n"/>
      <c r="E31" s="509" t="n"/>
      <c r="F31" s="510" t="n"/>
      <c r="G31" s="509" t="n"/>
      <c r="H31" s="509" t="n"/>
      <c r="I31" s="509" t="n"/>
      <c r="J31" s="509" t="n"/>
      <c r="K31" s="510" t="n"/>
      <c r="L31" s="509" t="n"/>
      <c r="M31" s="509" t="n"/>
      <c r="N31" s="509" t="n"/>
      <c r="O31" s="509" t="n"/>
      <c r="P31" s="510" t="n"/>
      <c r="Q31" s="509" t="n"/>
    </row>
    <row r="32" ht="15" customHeight="1" s="462">
      <c r="A32" s="511" t="inlineStr">
        <is>
          <t>Interest Cover</t>
        </is>
      </c>
      <c r="B32" s="512" t="n"/>
      <c r="C32" s="512" t="n"/>
      <c r="D32" s="512" t="n"/>
      <c r="E32" s="512" t="n"/>
      <c r="F32" s="513" t="n"/>
      <c r="G32" s="512" t="n"/>
      <c r="H32" s="512" t="n"/>
      <c r="I32" s="512" t="n"/>
      <c r="J32" s="512" t="n"/>
      <c r="K32" s="513" t="n"/>
      <c r="L32" s="512" t="n"/>
      <c r="M32" s="512" t="n"/>
      <c r="N32" s="512" t="n"/>
      <c r="O32" s="512" t="n"/>
      <c r="P32" s="513" t="n"/>
    </row>
    <row r="33" ht="15" customHeight="1" s="462">
      <c r="A33" s="508" t="inlineStr">
        <is>
          <t>ROE</t>
        </is>
      </c>
      <c r="B33" s="514" t="inlineStr">
        <is>
          <t>Quarterly data not available</t>
        </is>
      </c>
      <c r="F33" s="510" t="n"/>
      <c r="G33" s="514" t="inlineStr">
        <is>
          <t>Quarterly data not available</t>
        </is>
      </c>
      <c r="K33" s="510" t="n"/>
      <c r="L33" s="514" t="inlineStr">
        <is>
          <t>Quarterly data not available</t>
        </is>
      </c>
      <c r="P33" s="510" t="n"/>
    </row>
    <row r="34" ht="15" customHeight="1" s="462">
      <c r="A34" s="508" t="inlineStr">
        <is>
          <t>EV/Sales</t>
        </is>
      </c>
      <c r="F34" s="515" t="n"/>
      <c r="H34" s="506" t="n"/>
      <c r="I34" s="506" t="n"/>
      <c r="J34" s="506" t="n"/>
      <c r="K34" s="513" t="n"/>
      <c r="L34" s="506" t="n"/>
      <c r="M34" s="506" t="n"/>
      <c r="N34" s="506" t="n"/>
      <c r="O34" s="506" t="n"/>
      <c r="P34" s="513" t="n"/>
    </row>
    <row r="35" ht="15" customHeight="1" s="462">
      <c r="A35" s="508" t="inlineStr">
        <is>
          <t>EV/EBITDA</t>
        </is>
      </c>
      <c r="F35" s="515" t="n"/>
      <c r="H35" s="506" t="n"/>
      <c r="I35" s="506" t="n"/>
      <c r="J35" s="506" t="n"/>
      <c r="K35" s="513" t="n"/>
      <c r="L35" s="506" t="n"/>
      <c r="M35" s="506" t="n"/>
      <c r="N35" s="506" t="n"/>
      <c r="O35" s="506" t="n"/>
      <c r="P35" s="513" t="n"/>
    </row>
    <row r="36" ht="15" customHeight="1" s="462">
      <c r="A36" s="508" t="inlineStr">
        <is>
          <t>P/E</t>
        </is>
      </c>
      <c r="F36" s="515" t="n"/>
      <c r="H36" s="506" t="n"/>
      <c r="I36" s="506" t="n"/>
      <c r="J36" s="506" t="n"/>
      <c r="K36" s="513" t="n"/>
      <c r="L36" s="506" t="n"/>
      <c r="M36" s="506" t="n"/>
      <c r="N36" s="506" t="n"/>
      <c r="O36" s="506" t="n"/>
      <c r="P36" s="513" t="n"/>
    </row>
    <row r="37" ht="15" customHeight="1" s="462">
      <c r="A37" s="508" t="inlineStr">
        <is>
          <t>P/Sales</t>
        </is>
      </c>
      <c r="F37" s="507" t="n"/>
      <c r="H37" s="506" t="n"/>
      <c r="I37" s="506" t="n"/>
      <c r="J37" s="506" t="n"/>
      <c r="K37" s="513" t="n"/>
      <c r="L37" s="506" t="n"/>
      <c r="M37" s="506" t="n"/>
      <c r="N37" s="506" t="n"/>
      <c r="O37" s="506" t="n"/>
      <c r="P37" s="513" t="n"/>
    </row>
    <row r="38" ht="15" customFormat="1" customHeight="1" s="461">
      <c r="A38" s="508" t="inlineStr">
        <is>
          <t>P/BV</t>
        </is>
      </c>
      <c r="B38" s="508" t="n"/>
      <c r="C38" s="508" t="n"/>
      <c r="D38" s="508" t="n"/>
      <c r="E38" s="508" t="n"/>
      <c r="F38" s="516" t="n"/>
      <c r="G38" s="514" t="inlineStr">
        <is>
          <t>Quarterly data not available</t>
        </is>
      </c>
      <c r="K38" s="517" t="n"/>
      <c r="L38" s="514" t="inlineStr">
        <is>
          <t>Quarterly data not available</t>
        </is>
      </c>
      <c r="P38" s="517" t="n"/>
      <c r="Q38" s="508" t="n"/>
      <c r="R38" s="508" t="n"/>
      <c r="S38" s="508" t="n"/>
      <c r="T38" s="508" t="n"/>
      <c r="U38" s="508" t="n"/>
      <c r="V38" s="508" t="n"/>
      <c r="W38" s="508" t="n"/>
      <c r="X38" s="508" t="n"/>
      <c r="Y38" s="508" t="n"/>
      <c r="Z38" s="508" t="n"/>
      <c r="AA38" s="508" t="n"/>
      <c r="AB38" s="508" t="n"/>
      <c r="AC38" s="508" t="n"/>
      <c r="AD38" s="508" t="n"/>
      <c r="AE38" s="508" t="n"/>
      <c r="AF38" s="508" t="n"/>
      <c r="AG38" s="508" t="n"/>
      <c r="AH38" s="508" t="n"/>
      <c r="AI38" s="508" t="n"/>
      <c r="AJ38" s="508" t="n"/>
      <c r="AK38" s="508" t="n"/>
    </row>
    <row r="39" ht="15" customHeight="1" s="462">
      <c r="A39" s="508" t="n"/>
      <c r="B39" s="508" t="n"/>
      <c r="C39" s="508" t="n"/>
      <c r="D39" s="508" t="n"/>
      <c r="E39" s="508" t="n"/>
      <c r="F39" s="508" t="n"/>
      <c r="G39" s="518" t="n"/>
      <c r="H39" s="518" t="n"/>
      <c r="I39" s="518" t="n"/>
      <c r="J39" s="518" t="n"/>
      <c r="K39" s="519" t="n"/>
      <c r="L39" s="518" t="n"/>
      <c r="M39" s="518" t="n"/>
      <c r="N39" s="518" t="n"/>
      <c r="O39" s="518" t="n"/>
      <c r="P39" s="519" t="n"/>
      <c r="Q39" s="508" t="n"/>
      <c r="R39" s="508" t="n"/>
      <c r="S39" s="508" t="n"/>
      <c r="T39" s="508" t="n"/>
      <c r="U39" s="508" t="n"/>
      <c r="V39" s="508" t="n"/>
      <c r="W39" s="508" t="n"/>
      <c r="X39" s="508" t="n"/>
      <c r="Y39" s="508" t="n"/>
      <c r="Z39" s="508" t="n"/>
      <c r="AA39" s="508" t="n"/>
      <c r="AB39" s="508" t="n"/>
      <c r="AC39" s="508" t="n"/>
      <c r="AD39" s="508" t="n"/>
      <c r="AE39" s="508" t="n"/>
      <c r="AF39" s="508" t="n"/>
      <c r="AG39" s="508" t="n"/>
      <c r="AH39" s="508" t="n"/>
      <c r="AI39" s="508" t="n"/>
      <c r="AJ39" s="508" t="n"/>
      <c r="AK39" s="508" t="n"/>
    </row>
    <row r="41" ht="15" customHeight="1" s="462">
      <c r="A41" s="520" t="inlineStr">
        <is>
          <t>Geographic  Revenue breakup for 2009</t>
        </is>
      </c>
      <c r="C41" s="492" t="n"/>
      <c r="D41" s="492" t="n"/>
      <c r="E41" s="492" t="n"/>
      <c r="F41" s="492" t="n"/>
      <c r="G41" s="492" t="n"/>
      <c r="I41" s="491" t="inlineStr">
        <is>
          <t>Product Revenue Breakup for 2009</t>
        </is>
      </c>
      <c r="M41" s="492" t="n"/>
      <c r="N41" s="492" t="n"/>
      <c r="O41" s="492" t="n"/>
      <c r="P41" s="492" t="n"/>
      <c r="Q41" s="492" t="n"/>
      <c r="R41" s="492" t="n"/>
      <c r="S41" s="492" t="n"/>
      <c r="T41" s="492" t="n"/>
      <c r="U41" s="492" t="n"/>
      <c r="V41" s="492" t="n"/>
      <c r="W41" s="492" t="n"/>
      <c r="X41" s="492" t="n"/>
      <c r="Y41" s="492" t="n"/>
      <c r="Z41" s="492" t="n"/>
      <c r="AA41" s="492" t="n"/>
      <c r="AB41" s="492" t="n"/>
      <c r="AC41" s="492" t="n"/>
      <c r="AD41" s="492" t="n"/>
      <c r="AE41" s="492" t="n"/>
      <c r="AF41" s="492" t="n"/>
      <c r="AG41" s="492" t="n"/>
      <c r="AH41" s="492" t="n"/>
      <c r="AI41" s="492" t="n"/>
      <c r="AJ41" s="492" t="n"/>
      <c r="AK41" s="492" t="n"/>
    </row>
    <row r="43" ht="15" customHeight="1" s="462">
      <c r="A43" s="461" t="inlineStr">
        <is>
          <t xml:space="preserve">India </t>
        </is>
      </c>
      <c r="B43" s="521" t="n">
        <v>24443.8443149965</v>
      </c>
      <c r="I43" s="522" t="inlineStr">
        <is>
          <t>Formulations</t>
        </is>
      </c>
      <c r="S43" s="522" t="inlineStr">
        <is>
          <t>Active Ingredients</t>
        </is>
      </c>
      <c r="AC43" s="522" t="inlineStr">
        <is>
          <t>Formulations</t>
        </is>
      </c>
      <c r="AD43" s="523" t="n">
        <v>14098</v>
      </c>
    </row>
    <row r="44" ht="15" customHeight="1" s="462">
      <c r="A44" s="461" t="inlineStr">
        <is>
          <t>China</t>
        </is>
      </c>
      <c r="B44" s="521" t="n">
        <v>366.562112319882</v>
      </c>
      <c r="I44" s="461" t="inlineStr">
        <is>
          <t>USA</t>
        </is>
      </c>
      <c r="J44" s="524" t="n">
        <v>5584</v>
      </c>
      <c r="S44" s="461" t="inlineStr">
        <is>
          <t>SSPs</t>
        </is>
      </c>
      <c r="T44" s="524" t="n">
        <v>7379</v>
      </c>
      <c r="AC44" s="522" t="inlineStr">
        <is>
          <t>Active Ingredients</t>
        </is>
      </c>
      <c r="AD44" s="523" t="n">
        <v>16466</v>
      </c>
    </row>
    <row r="45" ht="15" customHeight="1" s="462">
      <c r="A45" s="461" t="inlineStr">
        <is>
          <t>Rest of the World</t>
        </is>
      </c>
      <c r="B45" s="521" t="n">
        <v>6432.02357268361</v>
      </c>
      <c r="I45" s="461" t="inlineStr">
        <is>
          <t>Europe</t>
        </is>
      </c>
      <c r="J45" s="524" t="n">
        <v>1923</v>
      </c>
      <c r="S45" s="461" t="inlineStr">
        <is>
          <t>Cephs</t>
        </is>
      </c>
      <c r="T45" s="524" t="n">
        <v>6344</v>
      </c>
    </row>
    <row r="46" ht="15" customHeight="1" s="462">
      <c r="A46" s="522" t="inlineStr">
        <is>
          <t>Consolidated</t>
        </is>
      </c>
      <c r="B46" s="521" t="n">
        <v>31242.43</v>
      </c>
      <c r="I46" s="461" t="inlineStr">
        <is>
          <t>ARV's</t>
        </is>
      </c>
      <c r="J46" s="524" t="n">
        <v>4640</v>
      </c>
      <c r="S46" s="461" t="inlineStr">
        <is>
          <t>ARVs &amp; Others</t>
        </is>
      </c>
      <c r="T46" s="524" t="n">
        <v>2743</v>
      </c>
    </row>
    <row r="47" ht="15" customHeight="1" s="462">
      <c r="I47" s="461" t="inlineStr">
        <is>
          <t>Rest of the World</t>
        </is>
      </c>
      <c r="J47" s="524" t="n">
        <v>1951</v>
      </c>
      <c r="S47" s="522" t="inlineStr">
        <is>
          <t>Total</t>
        </is>
      </c>
      <c r="T47" s="523" t="n">
        <v>16466</v>
      </c>
    </row>
    <row r="48" ht="15" customHeight="1" s="462">
      <c r="I48" s="522" t="inlineStr">
        <is>
          <t>Total</t>
        </is>
      </c>
      <c r="J48" s="524" t="n">
        <v>14098</v>
      </c>
    </row>
    <row r="55" ht="15" customHeight="1" s="462">
      <c r="A55" s="491" t="inlineStr">
        <is>
          <t>Revenue Forecast</t>
        </is>
      </c>
      <c r="B55" s="492" t="n"/>
      <c r="C55" s="492" t="n"/>
      <c r="D55" s="492" t="n"/>
      <c r="E55" s="492" t="n"/>
      <c r="F55" s="492" t="n"/>
      <c r="G55" s="492" t="n"/>
      <c r="H55" s="492" t="n"/>
      <c r="I55" s="492" t="n"/>
      <c r="J55" s="492" t="n"/>
      <c r="L55" s="520" t="inlineStr">
        <is>
          <t xml:space="preserve">Enterprise Value Added </t>
        </is>
      </c>
      <c r="O55" s="492" t="n"/>
      <c r="P55" s="492" t="n"/>
      <c r="Q55" s="492" t="n"/>
      <c r="R55" s="492" t="n"/>
      <c r="S55" s="492" t="n"/>
      <c r="T55" s="492" t="n"/>
    </row>
    <row r="76" ht="15.75" customHeight="1" s="462">
      <c r="A76" s="489" t="n"/>
      <c r="B76" s="489" t="n"/>
      <c r="C76" s="489" t="n"/>
      <c r="D76" s="489" t="n"/>
      <c r="E76" s="489" t="n"/>
      <c r="F76" s="489" t="n"/>
      <c r="G76" s="489" t="n"/>
      <c r="H76" s="489" t="n"/>
      <c r="I76" s="489" t="n"/>
      <c r="J76" s="489" t="n"/>
      <c r="K76" s="489" t="n"/>
      <c r="L76" s="489" t="n"/>
      <c r="M76" s="489" t="n"/>
      <c r="N76" s="489" t="n"/>
      <c r="O76" s="489" t="n"/>
      <c r="P76" s="489" t="n"/>
      <c r="Q76" s="489" t="n"/>
      <c r="R76" s="489" t="n"/>
      <c r="S76" s="489" t="n"/>
      <c r="T76" s="489" t="n"/>
    </row>
    <row r="78" ht="15" customHeight="1" s="462">
      <c r="A78" s="522" t="inlineStr">
        <is>
          <t>Revenue Data</t>
        </is>
      </c>
    </row>
    <row r="79" ht="15" customHeight="1" s="462">
      <c r="B79" s="525" t="inlineStr">
        <is>
          <t>FY2007 A</t>
        </is>
      </c>
      <c r="C79" s="525" t="inlineStr">
        <is>
          <t>FY2008 A</t>
        </is>
      </c>
      <c r="D79" s="525" t="inlineStr">
        <is>
          <t>FY2009 A</t>
        </is>
      </c>
      <c r="E79" s="526" t="inlineStr">
        <is>
          <t>FY2010 E</t>
        </is>
      </c>
      <c r="F79" s="526" t="inlineStr">
        <is>
          <t>FY2011 E</t>
        </is>
      </c>
      <c r="G79" s="526" t="inlineStr">
        <is>
          <t>FY2012 E</t>
        </is>
      </c>
      <c r="H79" s="526" t="inlineStr">
        <is>
          <t>FY2013 E</t>
        </is>
      </c>
      <c r="I79" s="526" t="inlineStr">
        <is>
          <t>FY2014 E</t>
        </is>
      </c>
      <c r="L79" s="461" t="inlineStr">
        <is>
          <t>Explicit Forecast FCF (First Stage)</t>
        </is>
      </c>
      <c r="M79" s="506" t="n"/>
    </row>
    <row r="80" ht="15" customHeight="1" s="462">
      <c r="A80" s="461" t="inlineStr">
        <is>
          <t>Formulations</t>
        </is>
      </c>
      <c r="B80" s="527" t="n"/>
      <c r="C80" s="527" t="n"/>
      <c r="D80" s="527" t="n"/>
      <c r="E80" s="527" t="n"/>
      <c r="F80" s="527" t="n"/>
      <c r="G80" s="527" t="n"/>
      <c r="H80" s="527" t="n"/>
      <c r="I80" s="528" t="n"/>
      <c r="L80" s="461" t="inlineStr">
        <is>
          <t xml:space="preserve">Second Stage </t>
        </is>
      </c>
      <c r="M80" s="506" t="n"/>
      <c r="N80" s="506" t="n"/>
    </row>
    <row r="81" ht="15" customHeight="1" s="462">
      <c r="A81" s="461" t="inlineStr">
        <is>
          <t>Active Ingredients</t>
        </is>
      </c>
      <c r="B81" s="527" t="n"/>
      <c r="C81" s="527" t="n"/>
      <c r="D81" s="527" t="n"/>
      <c r="E81" s="527" t="n"/>
      <c r="F81" s="527" t="n"/>
      <c r="G81" s="527" t="n"/>
      <c r="H81" s="527" t="n"/>
      <c r="I81" s="528" t="n"/>
      <c r="L81" s="461" t="inlineStr">
        <is>
          <t>Terminal Year Forecast FCF</t>
        </is>
      </c>
      <c r="M81" s="506" t="n"/>
      <c r="N81" s="506" t="n"/>
      <c r="O81" s="461" t="n"/>
    </row>
    <row r="82" ht="15" customHeight="1" s="462">
      <c r="A82" s="461" t="inlineStr">
        <is>
          <t>% Y-o-Y Growth</t>
        </is>
      </c>
      <c r="C82" s="529" t="n"/>
      <c r="D82" s="529" t="n"/>
      <c r="E82" s="529" t="n"/>
      <c r="F82" s="529" t="n"/>
      <c r="G82" s="529" t="n"/>
      <c r="H82" s="529" t="n"/>
      <c r="I82" s="530" t="n"/>
      <c r="L82" s="522" t="inlineStr">
        <is>
          <t>Total Enterprise Value</t>
        </is>
      </c>
      <c r="O82" s="506" t="n"/>
    </row>
  </sheetData>
  <mergeCells count="11">
    <mergeCell ref="F18:Q22"/>
    <mergeCell ref="A41:B41"/>
    <mergeCell ref="F5:G5"/>
    <mergeCell ref="F6:P14"/>
    <mergeCell ref="B33:E33"/>
    <mergeCell ref="G38:J38"/>
    <mergeCell ref="L38:O38"/>
    <mergeCell ref="L55:N55"/>
    <mergeCell ref="G33:J33"/>
    <mergeCell ref="I41:L41"/>
    <mergeCell ref="L33:O3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AQ9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76" activePane="bottomRight" state="frozen"/>
      <selection pane="topLeft" activeCell="A1" activeCellId="0" sqref="A1"/>
      <selection pane="topRight" activeCell="B1" activeCellId="0" sqref="B1"/>
      <selection pane="bottomLeft" activeCell="A76" activeCellId="0" sqref="A76"/>
      <selection pane="bottomRight" activeCell="AL89" activeCellId="0" sqref="AL89"/>
    </sheetView>
  </sheetViews>
  <sheetFormatPr baseColWidth="8" defaultColWidth="8.96875" defaultRowHeight="15" zeroHeight="0" outlineLevelRow="0"/>
  <cols>
    <col width="35.99" customWidth="1" style="461" min="1" max="1"/>
    <col width="10.56" customWidth="1" style="461" min="2" max="2"/>
    <col hidden="1" outlineLevel="1" width="9.56" customWidth="1" style="461" min="3" max="6"/>
    <col width="10.56" customWidth="1" style="461" min="7" max="7"/>
    <col hidden="1" outlineLevel="1" width="9.56" customWidth="1" style="461" min="8" max="11"/>
    <col width="10.56" customWidth="1" style="461" min="12" max="12"/>
    <col hidden="1" outlineLevel="1" width="9.56" customWidth="1" style="461" min="13" max="13"/>
    <col hidden="1" outlineLevel="1" width="10.56" customWidth="1" style="461" min="14" max="16"/>
    <col width="10.56" customWidth="1" style="461" min="17" max="17"/>
    <col hidden="1" outlineLevel="1" width="10.56" customWidth="1" style="461" min="18" max="21"/>
    <col width="10.56" customWidth="1" style="461" min="22" max="22"/>
    <col hidden="1" outlineLevel="1" width="10.56" customWidth="1" style="461" min="23" max="26"/>
    <col width="10.56" customWidth="1" style="461" min="27" max="27"/>
    <col hidden="1" outlineLevel="1" width="10.56" customWidth="1" style="461" min="28" max="31"/>
    <col width="10.56" customWidth="1" style="461" min="32" max="32"/>
    <col hidden="1" outlineLevel="1" width="10.56" customWidth="1" style="461" min="33" max="36"/>
    <col width="10.56" customWidth="1" style="461" min="37" max="37"/>
  </cols>
  <sheetData>
    <row r="1" ht="18.75" customHeight="1" s="462">
      <c r="A1" s="487" t="inlineStr">
        <is>
          <t>Aurobindo Pharma</t>
        </is>
      </c>
      <c r="Q1" s="521" t="n"/>
      <c r="R1" s="521" t="n"/>
      <c r="S1" s="521" t="n"/>
      <c r="T1" s="521" t="n"/>
      <c r="U1" s="521" t="n"/>
      <c r="V1" s="521" t="n"/>
    </row>
    <row r="2" ht="15.75" customHeight="1" s="462">
      <c r="A2" s="488" t="inlineStr">
        <is>
          <t>Presentation</t>
        </is>
      </c>
      <c r="Q2" s="521" t="n"/>
      <c r="R2" s="521" t="n"/>
      <c r="S2" s="521" t="n"/>
      <c r="T2" s="521" t="n"/>
      <c r="U2" s="521" t="n"/>
      <c r="V2" s="521" t="n"/>
    </row>
    <row r="3" ht="15.75" customHeight="1" s="462">
      <c r="A3" s="489" t="inlineStr">
        <is>
          <t>(In Rs Millions, Except per share items)</t>
        </is>
      </c>
      <c r="B3" s="489" t="n"/>
      <c r="C3" s="489" t="n"/>
      <c r="D3" s="489" t="n"/>
      <c r="E3" s="489" t="n"/>
      <c r="F3" s="489" t="n"/>
      <c r="G3" s="489" t="n"/>
      <c r="H3" s="489" t="n"/>
      <c r="I3" s="489" t="n"/>
      <c r="J3" s="489" t="n"/>
      <c r="K3" s="489" t="n"/>
      <c r="L3" s="489" t="n"/>
      <c r="M3" s="489" t="n"/>
      <c r="N3" s="489" t="n"/>
      <c r="O3" s="489" t="n"/>
      <c r="P3" s="489" t="n"/>
      <c r="Q3" s="531" t="n"/>
      <c r="R3" s="531" t="n"/>
      <c r="S3" s="531" t="n"/>
      <c r="T3" s="531" t="n"/>
      <c r="U3" s="531" t="n"/>
      <c r="V3" s="531" t="n"/>
      <c r="W3" s="489" t="n"/>
      <c r="X3" s="489" t="n"/>
      <c r="Y3" s="489" t="n"/>
      <c r="Z3" s="489" t="n"/>
      <c r="AA3" s="489" t="n"/>
      <c r="AB3" s="489" t="n"/>
      <c r="AC3" s="489" t="n"/>
      <c r="AD3" s="489" t="n"/>
      <c r="AE3" s="489" t="n"/>
      <c r="AF3" s="489" t="n"/>
      <c r="AG3" s="489" t="n"/>
      <c r="AH3" s="489" t="n"/>
      <c r="AI3" s="489" t="n"/>
      <c r="AJ3" s="489" t="n"/>
      <c r="AK3" s="489" t="n"/>
    </row>
    <row r="4" ht="15" customHeight="1" s="462">
      <c r="Q4" s="521" t="n"/>
      <c r="R4" s="521" t="n"/>
      <c r="S4" s="521" t="n"/>
      <c r="T4" s="521" t="n"/>
      <c r="U4" s="521" t="n"/>
      <c r="V4" s="521" t="n"/>
    </row>
    <row r="5" ht="45" customHeight="1" s="462">
      <c r="A5" s="532" t="inlineStr">
        <is>
          <t>For the Fiscal Period Ending</t>
        </is>
      </c>
      <c r="B5" s="533" t="inlineStr">
        <is>
          <t>FY2007 A</t>
        </is>
      </c>
      <c r="C5" s="534" t="inlineStr">
        <is>
          <t>3 months 
Jun-30-2007</t>
        </is>
      </c>
      <c r="D5" s="534" t="inlineStr">
        <is>
          <t>3 months 
Sep-30-2007</t>
        </is>
      </c>
      <c r="E5" s="534" t="inlineStr">
        <is>
          <t>3 months 
Dec-31-2007</t>
        </is>
      </c>
      <c r="F5" s="534" t="inlineStr">
        <is>
          <t>3 months 
Mar-31-2008</t>
        </is>
      </c>
      <c r="G5" s="533" t="inlineStr">
        <is>
          <t>FY2008 A</t>
        </is>
      </c>
      <c r="H5" s="534" t="inlineStr">
        <is>
          <t>3 months 
Jun-30-2008</t>
        </is>
      </c>
      <c r="I5" s="534" t="inlineStr">
        <is>
          <t>3 months 
Sep-30-2008</t>
        </is>
      </c>
      <c r="J5" s="534" t="inlineStr">
        <is>
          <t>3 months 
Dec-31-2008</t>
        </is>
      </c>
      <c r="K5" s="534" t="inlineStr">
        <is>
          <t>3 months 
Mar-31-2009</t>
        </is>
      </c>
      <c r="L5" s="533" t="inlineStr">
        <is>
          <t>FY2009 A</t>
        </is>
      </c>
      <c r="M5" s="534" t="inlineStr">
        <is>
          <t>3 months 
Jun-30-2009</t>
        </is>
      </c>
      <c r="N5" s="535" t="inlineStr">
        <is>
          <t>3 months 
Sep-30-2009</t>
        </is>
      </c>
      <c r="O5" s="535" t="inlineStr">
        <is>
          <t>3 months 
Dec-31-2009</t>
        </is>
      </c>
      <c r="P5" s="535" t="inlineStr">
        <is>
          <t>3 months 
Mar-31-2010</t>
        </is>
      </c>
      <c r="Q5" s="536" t="inlineStr">
        <is>
          <t>FY2010 E</t>
        </is>
      </c>
      <c r="R5" s="537" t="inlineStr">
        <is>
          <t>3 months 
Jun-30-2010</t>
        </is>
      </c>
      <c r="S5" s="537" t="inlineStr">
        <is>
          <t>3 months 
Sep-30-2010</t>
        </is>
      </c>
      <c r="T5" s="537" t="inlineStr">
        <is>
          <t>3 months 
Dec-31-2010</t>
        </is>
      </c>
      <c r="U5" s="537" t="inlineStr">
        <is>
          <t>3 months 
Mar-31-2011</t>
        </is>
      </c>
      <c r="V5" s="536" t="inlineStr">
        <is>
          <t>FY2011 E</t>
        </is>
      </c>
      <c r="W5" s="535" t="inlineStr">
        <is>
          <t>3 months 
Jun-30-2011</t>
        </is>
      </c>
      <c r="X5" s="535" t="inlineStr">
        <is>
          <t>3 months 
Sep-30-2011</t>
        </is>
      </c>
      <c r="Y5" s="535" t="inlineStr">
        <is>
          <t>3 months 
Dec-31-2011</t>
        </is>
      </c>
      <c r="Z5" s="535" t="inlineStr">
        <is>
          <t>3 months 
Mar-31-2012</t>
        </is>
      </c>
      <c r="AA5" s="536" t="inlineStr">
        <is>
          <t>FY2012 E</t>
        </is>
      </c>
      <c r="AB5" s="535" t="inlineStr">
        <is>
          <t>3 months 
Jun-30-2012</t>
        </is>
      </c>
      <c r="AC5" s="535" t="inlineStr">
        <is>
          <t>3 months 
Sep-30-2012</t>
        </is>
      </c>
      <c r="AD5" s="535" t="inlineStr">
        <is>
          <t>3 months 
Dec-31-2012</t>
        </is>
      </c>
      <c r="AE5" s="535" t="inlineStr">
        <is>
          <t>3 months 
Mar-31-2013</t>
        </is>
      </c>
      <c r="AF5" s="536" t="inlineStr">
        <is>
          <t>FY2013 E</t>
        </is>
      </c>
      <c r="AG5" s="535" t="inlineStr">
        <is>
          <t>3 months 
Jun-30-2013</t>
        </is>
      </c>
      <c r="AH5" s="535" t="inlineStr">
        <is>
          <t>3 months 
Sep-30-2013</t>
        </is>
      </c>
      <c r="AI5" s="535" t="inlineStr">
        <is>
          <t>3 months 
Dec-31-2013</t>
        </is>
      </c>
      <c r="AJ5" s="535" t="inlineStr">
        <is>
          <t>3 months 
Mar-31-2014</t>
        </is>
      </c>
      <c r="AK5" s="536" t="inlineStr">
        <is>
          <t>FY2014 E</t>
        </is>
      </c>
    </row>
    <row r="6" ht="15" customHeight="1" s="462">
      <c r="B6" s="515" t="n"/>
      <c r="G6" s="515" t="n"/>
      <c r="L6" s="515" t="n"/>
      <c r="Q6" s="515" t="n"/>
      <c r="V6" s="515" t="n"/>
      <c r="AA6" s="515" t="n"/>
      <c r="AF6" s="515" t="n"/>
      <c r="AK6" s="515" t="n"/>
    </row>
    <row r="7" ht="15.75" customHeight="1" s="462">
      <c r="A7" s="491" t="inlineStr">
        <is>
          <t>Geographic Revenue</t>
        </is>
      </c>
      <c r="B7" s="538" t="n"/>
      <c r="C7" s="489" t="n"/>
      <c r="D7" s="489" t="n"/>
      <c r="E7" s="489" t="n"/>
      <c r="F7" s="489" t="n"/>
      <c r="G7" s="538" t="n"/>
      <c r="H7" s="489" t="n"/>
      <c r="I7" s="489" t="n"/>
      <c r="J7" s="489" t="n"/>
      <c r="K7" s="489" t="n"/>
      <c r="L7" s="538" t="n"/>
      <c r="M7" s="489" t="n"/>
      <c r="N7" s="489" t="n"/>
      <c r="O7" s="489" t="n"/>
      <c r="P7" s="489" t="n"/>
      <c r="Q7" s="538" t="n"/>
      <c r="R7" s="489" t="n"/>
      <c r="S7" s="489" t="n"/>
      <c r="T7" s="489" t="n"/>
      <c r="U7" s="489" t="n"/>
      <c r="V7" s="538" t="n"/>
      <c r="W7" s="489" t="n"/>
      <c r="X7" s="489" t="n"/>
      <c r="Y7" s="489" t="n"/>
      <c r="Z7" s="489" t="n"/>
      <c r="AA7" s="538" t="n"/>
      <c r="AB7" s="489" t="n"/>
      <c r="AC7" s="489" t="n"/>
      <c r="AD7" s="489" t="n"/>
      <c r="AE7" s="489" t="n"/>
      <c r="AF7" s="538" t="n"/>
      <c r="AG7" s="489" t="n"/>
      <c r="AH7" s="489" t="n"/>
      <c r="AI7" s="489" t="n"/>
      <c r="AJ7" s="489" t="n"/>
      <c r="AK7" s="538" t="n"/>
    </row>
    <row r="8" ht="15" customHeight="1" s="462">
      <c r="A8" s="461" t="inlineStr">
        <is>
          <t xml:space="preserve">India </t>
        </is>
      </c>
      <c r="B8" s="507" t="n"/>
      <c r="C8" s="539" t="inlineStr">
        <is>
          <t>Quarterly data not available</t>
        </is>
      </c>
      <c r="D8" s="540" t="n"/>
      <c r="E8" s="540" t="n"/>
      <c r="F8" s="540" t="n"/>
      <c r="G8" s="507" t="n"/>
      <c r="H8" s="539" t="inlineStr">
        <is>
          <t>Quarterly data not available</t>
        </is>
      </c>
      <c r="I8" s="540" t="n"/>
      <c r="J8" s="540" t="n"/>
      <c r="K8" s="540" t="n"/>
      <c r="L8" s="507" t="n"/>
      <c r="M8" s="539" t="inlineStr">
        <is>
          <t>Quarterly data not available</t>
        </is>
      </c>
      <c r="N8" s="540" t="n"/>
      <c r="O8" s="540" t="n"/>
      <c r="P8" s="540" t="n"/>
      <c r="Q8" s="507" t="n"/>
      <c r="R8" s="539" t="inlineStr">
        <is>
          <t>Quarterly data not available</t>
        </is>
      </c>
      <c r="S8" s="540" t="n"/>
      <c r="T8" s="540" t="n"/>
      <c r="U8" s="540" t="n"/>
      <c r="V8" s="507" t="n"/>
      <c r="W8" s="539" t="inlineStr">
        <is>
          <t>Quarterly data not available</t>
        </is>
      </c>
      <c r="X8" s="540" t="n"/>
      <c r="Y8" s="540" t="n"/>
      <c r="Z8" s="540" t="n"/>
      <c r="AA8" s="507" t="n"/>
      <c r="AB8" s="539" t="inlineStr">
        <is>
          <t>Quarterly data not available</t>
        </is>
      </c>
      <c r="AC8" s="540" t="n"/>
      <c r="AD8" s="540" t="n"/>
      <c r="AE8" s="540" t="n"/>
      <c r="AF8" s="507" t="n"/>
      <c r="AG8" s="539" t="inlineStr">
        <is>
          <t>Quarterly data not available</t>
        </is>
      </c>
      <c r="AH8" s="540" t="n"/>
      <c r="AI8" s="540" t="n"/>
      <c r="AJ8" s="540" t="n"/>
      <c r="AK8" s="507" t="n"/>
    </row>
    <row r="9" ht="15" customHeight="1" s="462">
      <c r="A9" s="461" t="inlineStr">
        <is>
          <t>China</t>
        </is>
      </c>
      <c r="B9" s="507" t="n"/>
      <c r="G9" s="507" t="n"/>
      <c r="L9" s="507" t="n"/>
      <c r="Q9" s="507" t="n"/>
      <c r="V9" s="507" t="n"/>
      <c r="AA9" s="507" t="n"/>
      <c r="AF9" s="507" t="n"/>
      <c r="AK9" s="507" t="n"/>
    </row>
    <row r="10" ht="15" customHeight="1" s="462">
      <c r="A10" s="461" t="inlineStr">
        <is>
          <t>Rest of the World</t>
        </is>
      </c>
      <c r="B10" s="507" t="n"/>
      <c r="G10" s="507" t="n"/>
      <c r="L10" s="507" t="n"/>
      <c r="Q10" s="507" t="n"/>
      <c r="V10" s="507" t="n"/>
      <c r="AA10" s="507" t="n"/>
      <c r="AF10" s="507" t="n"/>
      <c r="AK10" s="507" t="n"/>
    </row>
    <row r="11" ht="15" customHeight="1" s="462">
      <c r="A11" s="522" t="inlineStr">
        <is>
          <t>Consolidated</t>
        </is>
      </c>
      <c r="B11" s="541" t="n"/>
      <c r="G11" s="541" t="n"/>
      <c r="L11" s="541" t="n"/>
      <c r="Q11" s="541" t="n"/>
      <c r="V11" s="541" t="n"/>
      <c r="AA11" s="541" t="n"/>
      <c r="AF11" s="541" t="n"/>
      <c r="AK11" s="541" t="n"/>
    </row>
    <row r="12" ht="15" customHeight="1" s="462">
      <c r="B12" s="515" t="n"/>
      <c r="G12" s="515" t="n"/>
      <c r="L12" s="515" t="n"/>
      <c r="Q12" s="515" t="n"/>
      <c r="V12" s="515" t="n"/>
      <c r="AA12" s="515" t="n"/>
      <c r="AF12" s="515" t="n"/>
      <c r="AK12" s="515" t="n"/>
    </row>
    <row r="13" ht="15" customHeight="1" s="462">
      <c r="B13" s="515" t="n"/>
      <c r="G13" s="515" t="n"/>
      <c r="L13" s="515" t="n"/>
      <c r="Q13" s="515" t="n"/>
      <c r="V13" s="515" t="n"/>
      <c r="AA13" s="515" t="n"/>
      <c r="AF13" s="515" t="n"/>
      <c r="AK13" s="515" t="n"/>
    </row>
    <row r="14" ht="15.75" customHeight="1" s="462">
      <c r="A14" s="491" t="inlineStr">
        <is>
          <t>Segment Revenues</t>
        </is>
      </c>
      <c r="B14" s="538" t="n"/>
      <c r="C14" s="489" t="n"/>
      <c r="D14" s="489" t="n"/>
      <c r="E14" s="489" t="n"/>
      <c r="F14" s="489" t="n"/>
      <c r="G14" s="538" t="n"/>
      <c r="H14" s="489" t="n"/>
      <c r="I14" s="489" t="n"/>
      <c r="J14" s="489" t="n"/>
      <c r="K14" s="489" t="n"/>
      <c r="L14" s="538" t="n"/>
      <c r="M14" s="489" t="n"/>
      <c r="N14" s="489" t="n"/>
      <c r="O14" s="489" t="n"/>
      <c r="P14" s="489" t="n"/>
      <c r="Q14" s="538" t="n"/>
      <c r="R14" s="489" t="n"/>
      <c r="S14" s="489" t="n"/>
      <c r="T14" s="489" t="n"/>
      <c r="U14" s="489" t="n"/>
      <c r="V14" s="538" t="n"/>
      <c r="W14" s="489" t="n"/>
      <c r="X14" s="489" t="n"/>
      <c r="Y14" s="489" t="n"/>
      <c r="Z14" s="489" t="n"/>
      <c r="AA14" s="538" t="n"/>
      <c r="AB14" s="489" t="n"/>
      <c r="AC14" s="489" t="n"/>
      <c r="AD14" s="489" t="n"/>
      <c r="AE14" s="489" t="n"/>
      <c r="AF14" s="538" t="n"/>
      <c r="AG14" s="489" t="n"/>
      <c r="AH14" s="489" t="n"/>
      <c r="AI14" s="489" t="n"/>
      <c r="AJ14" s="489" t="n"/>
      <c r="AK14" s="538" t="n"/>
    </row>
    <row r="15" ht="15" customHeight="1" s="462">
      <c r="A15" s="461" t="n"/>
      <c r="B15" s="515" t="n"/>
      <c r="G15" s="515" t="n"/>
      <c r="L15" s="515" t="n"/>
      <c r="Q15" s="515" t="n"/>
      <c r="V15" s="515" t="n"/>
      <c r="AA15" s="515" t="n"/>
      <c r="AF15" s="515" t="n"/>
      <c r="AK15" s="515" t="n"/>
    </row>
    <row r="16" ht="15" customHeight="1" s="462">
      <c r="A16" s="522" t="inlineStr">
        <is>
          <t>Formulations</t>
        </is>
      </c>
      <c r="B16" s="515" t="n"/>
      <c r="G16" s="515" t="n"/>
      <c r="L16" s="515" t="n"/>
      <c r="Q16" s="515" t="n"/>
      <c r="V16" s="515" t="n"/>
      <c r="AA16" s="515" t="n"/>
      <c r="AF16" s="515" t="n"/>
      <c r="AK16" s="515" t="n"/>
    </row>
    <row r="17" ht="15" customHeight="1" s="462">
      <c r="A17" s="461" t="inlineStr">
        <is>
          <t>USA</t>
        </is>
      </c>
      <c r="B17" s="507" t="n"/>
      <c r="C17" s="506" t="n"/>
      <c r="D17" s="506" t="n"/>
      <c r="E17" s="506" t="n"/>
      <c r="F17" s="506" t="n"/>
      <c r="G17" s="507" t="n"/>
      <c r="H17" s="506" t="n"/>
      <c r="I17" s="506" t="n"/>
      <c r="J17" s="506" t="n"/>
      <c r="K17" s="506" t="n"/>
      <c r="L17" s="507" t="n"/>
      <c r="M17" s="506" t="n"/>
      <c r="N17" s="506" t="n"/>
      <c r="O17" s="506" t="n"/>
      <c r="P17" s="506" t="n"/>
      <c r="Q17" s="507" t="n"/>
      <c r="R17" s="506" t="n"/>
      <c r="S17" s="506" t="n"/>
      <c r="T17" s="506" t="n"/>
      <c r="U17" s="506" t="n"/>
      <c r="V17" s="507" t="n"/>
      <c r="W17" s="506" t="n"/>
      <c r="X17" s="506" t="n"/>
      <c r="Y17" s="506" t="n"/>
      <c r="Z17" s="506" t="n"/>
      <c r="AA17" s="507" t="n"/>
      <c r="AB17" s="506" t="n"/>
      <c r="AC17" s="506" t="n"/>
      <c r="AD17" s="506" t="n"/>
      <c r="AE17" s="506" t="n"/>
      <c r="AF17" s="507" t="n"/>
      <c r="AG17" s="506" t="n"/>
      <c r="AH17" s="506" t="n"/>
      <c r="AI17" s="506" t="n"/>
      <c r="AJ17" s="506" t="n"/>
      <c r="AK17" s="507" t="n"/>
    </row>
    <row r="18" ht="15" customHeight="1" s="462">
      <c r="A18" s="461" t="inlineStr">
        <is>
          <t>Europe</t>
        </is>
      </c>
      <c r="B18" s="507" t="n"/>
      <c r="C18" s="506" t="n"/>
      <c r="D18" s="506" t="n"/>
      <c r="E18" s="506" t="n"/>
      <c r="F18" s="506" t="n"/>
      <c r="G18" s="507" t="n"/>
      <c r="H18" s="506" t="n"/>
      <c r="I18" s="506" t="n"/>
      <c r="J18" s="506" t="n"/>
      <c r="K18" s="506" t="n"/>
      <c r="L18" s="507" t="n"/>
      <c r="M18" s="506" t="n"/>
      <c r="N18" s="506" t="n"/>
      <c r="O18" s="506" t="n"/>
      <c r="P18" s="506" t="n"/>
      <c r="Q18" s="507" t="n"/>
      <c r="R18" s="506" t="n"/>
      <c r="S18" s="506" t="n"/>
      <c r="T18" s="506" t="n"/>
      <c r="U18" s="506" t="n"/>
      <c r="V18" s="507" t="n"/>
      <c r="W18" s="506" t="n"/>
      <c r="X18" s="506" t="n"/>
      <c r="Y18" s="506" t="n"/>
      <c r="Z18" s="506" t="n"/>
      <c r="AA18" s="507" t="n"/>
      <c r="AB18" s="506" t="n"/>
      <c r="AC18" s="506" t="n"/>
      <c r="AD18" s="506" t="n"/>
      <c r="AE18" s="506" t="n"/>
      <c r="AF18" s="507" t="n"/>
      <c r="AG18" s="506" t="n"/>
      <c r="AH18" s="506" t="n"/>
      <c r="AI18" s="506" t="n"/>
      <c r="AJ18" s="506" t="n"/>
      <c r="AK18" s="507" t="n"/>
    </row>
    <row r="19" ht="15" customHeight="1" s="462">
      <c r="A19" s="461" t="inlineStr">
        <is>
          <t>ARV's</t>
        </is>
      </c>
      <c r="B19" s="507" t="n"/>
      <c r="C19" s="506" t="n"/>
      <c r="D19" s="506" t="n"/>
      <c r="E19" s="506" t="n"/>
      <c r="F19" s="506" t="n"/>
      <c r="G19" s="507" t="n"/>
      <c r="H19" s="506" t="n"/>
      <c r="I19" s="506" t="n"/>
      <c r="J19" s="506" t="n"/>
      <c r="K19" s="506" t="n"/>
      <c r="L19" s="507" t="n"/>
      <c r="M19" s="506" t="n"/>
      <c r="N19" s="506" t="n"/>
      <c r="O19" s="506" t="n"/>
      <c r="P19" s="506" t="n"/>
      <c r="Q19" s="507" t="n"/>
      <c r="R19" s="506" t="n"/>
      <c r="S19" s="506" t="n"/>
      <c r="T19" s="506" t="n"/>
      <c r="U19" s="506" t="n"/>
      <c r="V19" s="507" t="n"/>
      <c r="W19" s="506" t="n"/>
      <c r="X19" s="506" t="n"/>
      <c r="Y19" s="506" t="n"/>
      <c r="Z19" s="506" t="n"/>
      <c r="AA19" s="507" t="n"/>
      <c r="AB19" s="506" t="n"/>
      <c r="AC19" s="506" t="n"/>
      <c r="AD19" s="506" t="n"/>
      <c r="AE19" s="506" t="n"/>
      <c r="AF19" s="507" t="n"/>
      <c r="AG19" s="506" t="n"/>
      <c r="AH19" s="506" t="n"/>
      <c r="AI19" s="506" t="n"/>
      <c r="AJ19" s="506" t="n"/>
      <c r="AK19" s="507" t="n"/>
    </row>
    <row r="20" ht="15" customHeight="1" s="462">
      <c r="A20" s="461" t="inlineStr">
        <is>
          <t>Rest of the World</t>
        </is>
      </c>
      <c r="B20" s="507" t="n"/>
      <c r="C20" s="506" t="n"/>
      <c r="D20" s="506" t="n"/>
      <c r="E20" s="506" t="n"/>
      <c r="F20" s="506" t="n"/>
      <c r="G20" s="507" t="n"/>
      <c r="H20" s="506" t="n"/>
      <c r="I20" s="506" t="n"/>
      <c r="J20" s="506" t="n"/>
      <c r="K20" s="506" t="n"/>
      <c r="L20" s="507" t="n"/>
      <c r="M20" s="506" t="n"/>
      <c r="N20" s="506" t="n"/>
      <c r="O20" s="506" t="n"/>
      <c r="P20" s="506" t="n"/>
      <c r="Q20" s="507" t="n"/>
      <c r="R20" s="506" t="n"/>
      <c r="S20" s="506" t="n"/>
      <c r="T20" s="506" t="n"/>
      <c r="U20" s="506" t="n"/>
      <c r="V20" s="507" t="n"/>
      <c r="W20" s="506" t="n"/>
      <c r="X20" s="506" t="n"/>
      <c r="Y20" s="506" t="n"/>
      <c r="Z20" s="506" t="n"/>
      <c r="AA20" s="507" t="n"/>
      <c r="AB20" s="506" t="n"/>
      <c r="AC20" s="506" t="n"/>
      <c r="AD20" s="506" t="n"/>
      <c r="AE20" s="506" t="n"/>
      <c r="AF20" s="507" t="n"/>
      <c r="AG20" s="506" t="n"/>
      <c r="AH20" s="506" t="n"/>
      <c r="AI20" s="506" t="n"/>
      <c r="AJ20" s="506" t="n"/>
      <c r="AK20" s="507" t="n"/>
    </row>
    <row r="21" ht="15" customHeight="1" s="462">
      <c r="A21" s="522" t="inlineStr">
        <is>
          <t>Total</t>
        </is>
      </c>
      <c r="B21" s="541" t="n"/>
      <c r="C21" s="542" t="n"/>
      <c r="D21" s="542" t="n"/>
      <c r="E21" s="542" t="n"/>
      <c r="F21" s="542" t="n"/>
      <c r="G21" s="541" t="n"/>
      <c r="H21" s="542" t="n"/>
      <c r="I21" s="542" t="n"/>
      <c r="J21" s="542" t="n"/>
      <c r="K21" s="542" t="n"/>
      <c r="L21" s="541" t="n"/>
      <c r="M21" s="542" t="n"/>
      <c r="N21" s="542" t="n"/>
      <c r="O21" s="542" t="n"/>
      <c r="P21" s="542" t="n"/>
      <c r="Q21" s="541" t="n"/>
      <c r="R21" s="542" t="n"/>
      <c r="S21" s="542" t="n"/>
      <c r="T21" s="542" t="n"/>
      <c r="U21" s="542" t="n"/>
      <c r="V21" s="541" t="n"/>
      <c r="W21" s="542" t="n"/>
      <c r="X21" s="542" t="n"/>
      <c r="Y21" s="542" t="n"/>
      <c r="Z21" s="542" t="n"/>
      <c r="AA21" s="541" t="n"/>
      <c r="AB21" s="542" t="n"/>
      <c r="AC21" s="542" t="n"/>
      <c r="AD21" s="542" t="n"/>
      <c r="AE21" s="542" t="n"/>
      <c r="AF21" s="541" t="n"/>
      <c r="AG21" s="542" t="n"/>
      <c r="AH21" s="542" t="n"/>
      <c r="AI21" s="542" t="n"/>
      <c r="AJ21" s="542" t="n"/>
      <c r="AK21" s="541" t="n"/>
    </row>
    <row r="22" ht="15" customHeight="1" s="462">
      <c r="B22" s="507" t="n"/>
      <c r="C22" s="506" t="n"/>
      <c r="D22" s="506" t="n"/>
      <c r="E22" s="506" t="n"/>
      <c r="F22" s="506" t="n"/>
      <c r="G22" s="507" t="n"/>
      <c r="H22" s="506" t="n"/>
      <c r="I22" s="506" t="n"/>
      <c r="J22" s="506" t="n"/>
      <c r="K22" s="506" t="n"/>
      <c r="L22" s="507" t="n"/>
      <c r="M22" s="506" t="n"/>
      <c r="N22" s="506" t="n"/>
      <c r="O22" s="506" t="n"/>
      <c r="P22" s="506" t="n"/>
      <c r="Q22" s="507" t="n"/>
      <c r="R22" s="506" t="n"/>
      <c r="S22" s="506" t="n"/>
      <c r="T22" s="506" t="n"/>
      <c r="U22" s="506" t="n"/>
      <c r="V22" s="507" t="n"/>
      <c r="W22" s="506" t="n"/>
      <c r="X22" s="506" t="n"/>
      <c r="Y22" s="506" t="n"/>
      <c r="Z22" s="506" t="n"/>
      <c r="AA22" s="507" t="n"/>
      <c r="AB22" s="506" t="n"/>
      <c r="AC22" s="506" t="n"/>
      <c r="AD22" s="506" t="n"/>
      <c r="AE22" s="506" t="n"/>
      <c r="AF22" s="507" t="n"/>
      <c r="AG22" s="506" t="n"/>
      <c r="AH22" s="506" t="n"/>
      <c r="AI22" s="506" t="n"/>
      <c r="AJ22" s="506" t="n"/>
      <c r="AK22" s="507" t="n"/>
    </row>
    <row r="23" ht="15" customHeight="1" s="462">
      <c r="A23" s="522" t="inlineStr">
        <is>
          <t>Active Ingredients</t>
        </is>
      </c>
      <c r="B23" s="507" t="n"/>
      <c r="C23" s="506" t="n"/>
      <c r="D23" s="506" t="n"/>
      <c r="E23" s="506" t="n"/>
      <c r="F23" s="506" t="n"/>
      <c r="G23" s="507" t="n"/>
      <c r="H23" s="506" t="n"/>
      <c r="I23" s="506" t="n"/>
      <c r="J23" s="506" t="n"/>
      <c r="K23" s="506" t="n"/>
      <c r="L23" s="507" t="n"/>
      <c r="M23" s="506" t="n"/>
      <c r="N23" s="506" t="n"/>
      <c r="O23" s="506" t="n"/>
      <c r="P23" s="506" t="n"/>
      <c r="Q23" s="507" t="n"/>
      <c r="R23" s="506" t="n"/>
      <c r="S23" s="506" t="n"/>
      <c r="T23" s="506" t="n"/>
      <c r="U23" s="506" t="n"/>
      <c r="V23" s="507" t="n"/>
      <c r="W23" s="506" t="n"/>
      <c r="X23" s="506" t="n"/>
      <c r="Y23" s="506" t="n"/>
      <c r="Z23" s="506" t="n"/>
      <c r="AA23" s="507" t="n"/>
      <c r="AB23" s="506" t="n"/>
      <c r="AC23" s="506" t="n"/>
      <c r="AD23" s="506" t="n"/>
      <c r="AE23" s="506" t="n"/>
      <c r="AF23" s="507" t="n"/>
      <c r="AG23" s="506" t="n"/>
      <c r="AH23" s="506" t="n"/>
      <c r="AI23" s="506" t="n"/>
      <c r="AJ23" s="506" t="n"/>
      <c r="AK23" s="507" t="n"/>
    </row>
    <row r="24" ht="15" customHeight="1" s="462">
      <c r="A24" s="461" t="inlineStr">
        <is>
          <t>SSPs</t>
        </is>
      </c>
      <c r="B24" s="507" t="n"/>
      <c r="C24" s="506" t="n"/>
      <c r="D24" s="506" t="n"/>
      <c r="E24" s="506" t="n"/>
      <c r="F24" s="506" t="n"/>
      <c r="G24" s="507" t="n"/>
      <c r="H24" s="506" t="n"/>
      <c r="I24" s="506" t="n"/>
      <c r="J24" s="506" t="n"/>
      <c r="K24" s="506" t="n"/>
      <c r="L24" s="507" t="n"/>
      <c r="M24" s="506" t="n"/>
      <c r="N24" s="506" t="n"/>
      <c r="O24" s="506" t="n"/>
      <c r="P24" s="506" t="n"/>
      <c r="Q24" s="507" t="n"/>
      <c r="R24" s="506" t="n"/>
      <c r="S24" s="506" t="n"/>
      <c r="T24" s="506" t="n"/>
      <c r="U24" s="506" t="n"/>
      <c r="V24" s="507" t="n"/>
      <c r="W24" s="506" t="n"/>
      <c r="X24" s="506" t="n"/>
      <c r="Y24" s="506" t="n"/>
      <c r="Z24" s="506" t="n"/>
      <c r="AA24" s="507" t="n"/>
      <c r="AB24" s="506" t="n"/>
      <c r="AC24" s="506" t="n"/>
      <c r="AD24" s="506" t="n"/>
      <c r="AE24" s="506" t="n"/>
      <c r="AF24" s="507" t="n"/>
      <c r="AG24" s="506" t="n"/>
      <c r="AH24" s="506" t="n"/>
      <c r="AI24" s="506" t="n"/>
      <c r="AJ24" s="506" t="n"/>
      <c r="AK24" s="507" t="n"/>
    </row>
    <row r="25" ht="15" customHeight="1" s="462">
      <c r="A25" s="461" t="inlineStr">
        <is>
          <t>Cephs</t>
        </is>
      </c>
      <c r="B25" s="507" t="n"/>
      <c r="C25" s="506" t="n"/>
      <c r="D25" s="506" t="n"/>
      <c r="E25" s="506" t="n"/>
      <c r="F25" s="506" t="n"/>
      <c r="G25" s="507" t="n"/>
      <c r="H25" s="506" t="n"/>
      <c r="I25" s="506" t="n"/>
      <c r="J25" s="506" t="n"/>
      <c r="K25" s="506" t="n"/>
      <c r="L25" s="507" t="n"/>
      <c r="M25" s="506" t="n"/>
      <c r="N25" s="506" t="n"/>
      <c r="O25" s="506" t="n"/>
      <c r="P25" s="506" t="n"/>
      <c r="Q25" s="507" t="n"/>
      <c r="R25" s="506" t="n"/>
      <c r="S25" s="506" t="n"/>
      <c r="T25" s="506" t="n"/>
      <c r="U25" s="506" t="n"/>
      <c r="V25" s="507" t="n"/>
      <c r="W25" s="506" t="n"/>
      <c r="X25" s="506" t="n"/>
      <c r="Y25" s="506" t="n"/>
      <c r="Z25" s="506" t="n"/>
      <c r="AA25" s="507" t="n"/>
      <c r="AB25" s="506" t="n"/>
      <c r="AC25" s="506" t="n"/>
      <c r="AD25" s="506" t="n"/>
      <c r="AE25" s="506" t="n"/>
      <c r="AF25" s="507" t="n"/>
      <c r="AG25" s="506" t="n"/>
      <c r="AH25" s="506" t="n"/>
      <c r="AI25" s="506" t="n"/>
      <c r="AJ25" s="506" t="n"/>
      <c r="AK25" s="507" t="n"/>
    </row>
    <row r="26" ht="15" customHeight="1" s="462">
      <c r="A26" s="461" t="inlineStr">
        <is>
          <t>ARVs &amp; Others</t>
        </is>
      </c>
      <c r="B26" s="507" t="n"/>
      <c r="C26" s="506" t="n"/>
      <c r="D26" s="506" t="n"/>
      <c r="E26" s="506" t="n"/>
      <c r="F26" s="506" t="n"/>
      <c r="G26" s="507" t="n"/>
      <c r="H26" s="506" t="n"/>
      <c r="I26" s="506" t="n"/>
      <c r="J26" s="506" t="n"/>
      <c r="K26" s="506" t="n"/>
      <c r="L26" s="507" t="n"/>
      <c r="M26" s="506" t="n"/>
      <c r="N26" s="506" t="n"/>
      <c r="O26" s="506" t="n"/>
      <c r="P26" s="506" t="n"/>
      <c r="Q26" s="507" t="n"/>
      <c r="R26" s="506" t="n"/>
      <c r="S26" s="506" t="n"/>
      <c r="T26" s="506" t="n"/>
      <c r="U26" s="506" t="n"/>
      <c r="V26" s="507" t="n"/>
      <c r="W26" s="506" t="n"/>
      <c r="X26" s="506" t="n"/>
      <c r="Y26" s="506" t="n"/>
      <c r="Z26" s="506" t="n"/>
      <c r="AA26" s="507" t="n"/>
      <c r="AB26" s="506" t="n"/>
      <c r="AC26" s="506" t="n"/>
      <c r="AD26" s="506" t="n"/>
      <c r="AE26" s="506" t="n"/>
      <c r="AF26" s="507" t="n"/>
      <c r="AG26" s="506" t="n"/>
      <c r="AH26" s="506" t="n"/>
      <c r="AI26" s="506" t="n"/>
      <c r="AJ26" s="506" t="n"/>
      <c r="AK26" s="507" t="n"/>
    </row>
    <row r="27" ht="15" customHeight="1" s="462">
      <c r="A27" s="522" t="inlineStr">
        <is>
          <t>Total</t>
        </is>
      </c>
      <c r="B27" s="541" t="n"/>
      <c r="C27" s="542" t="n"/>
      <c r="D27" s="542" t="n"/>
      <c r="E27" s="542" t="n"/>
      <c r="F27" s="542" t="n"/>
      <c r="G27" s="541" t="n"/>
      <c r="H27" s="542" t="n"/>
      <c r="I27" s="542" t="n"/>
      <c r="J27" s="542" t="n"/>
      <c r="K27" s="542" t="n"/>
      <c r="L27" s="541" t="n"/>
      <c r="M27" s="542" t="n"/>
      <c r="N27" s="542" t="n"/>
      <c r="O27" s="542" t="n"/>
      <c r="P27" s="542" t="n"/>
      <c r="Q27" s="541" t="n"/>
      <c r="R27" s="542" t="n"/>
      <c r="S27" s="542" t="n"/>
      <c r="T27" s="542" t="n"/>
      <c r="U27" s="542" t="n"/>
      <c r="V27" s="541" t="n"/>
      <c r="W27" s="542" t="n"/>
      <c r="X27" s="542" t="n"/>
      <c r="Y27" s="542" t="n"/>
      <c r="Z27" s="542" t="n"/>
      <c r="AA27" s="541" t="n"/>
      <c r="AB27" s="542" t="n"/>
      <c r="AC27" s="542" t="n"/>
      <c r="AD27" s="542" t="n"/>
      <c r="AE27" s="542" t="n"/>
      <c r="AF27" s="541" t="n"/>
      <c r="AG27" s="542" t="n"/>
      <c r="AH27" s="542" t="n"/>
      <c r="AI27" s="542" t="n"/>
      <c r="AJ27" s="542" t="n"/>
      <c r="AK27" s="541" t="n"/>
    </row>
    <row r="28" ht="15" customHeight="1" s="462">
      <c r="B28" s="507" t="n"/>
      <c r="C28" s="506" t="n"/>
      <c r="D28" s="506" t="n"/>
      <c r="E28" s="506" t="n"/>
      <c r="F28" s="506" t="n"/>
      <c r="G28" s="507" t="n"/>
      <c r="H28" s="506" t="n"/>
      <c r="I28" s="506" t="n"/>
      <c r="J28" s="506" t="n"/>
      <c r="K28" s="506" t="n"/>
      <c r="L28" s="507" t="n"/>
      <c r="M28" s="506" t="n"/>
      <c r="N28" s="506" t="n"/>
      <c r="O28" s="506" t="n"/>
      <c r="P28" s="506" t="n"/>
      <c r="Q28" s="507" t="n"/>
      <c r="R28" s="506" t="n"/>
      <c r="S28" s="506" t="n"/>
      <c r="T28" s="506" t="n"/>
      <c r="U28" s="506" t="n"/>
      <c r="V28" s="507" t="n"/>
      <c r="W28" s="506" t="n"/>
      <c r="X28" s="506" t="n"/>
      <c r="Y28" s="506" t="n"/>
      <c r="Z28" s="506" t="n"/>
      <c r="AA28" s="507" t="n"/>
      <c r="AB28" s="506" t="n"/>
      <c r="AC28" s="506" t="n"/>
      <c r="AD28" s="506" t="n"/>
      <c r="AE28" s="506" t="n"/>
      <c r="AF28" s="507" t="n"/>
      <c r="AG28" s="506" t="n"/>
      <c r="AH28" s="506" t="n"/>
      <c r="AI28" s="506" t="n"/>
      <c r="AJ28" s="506" t="n"/>
      <c r="AK28" s="507" t="n"/>
    </row>
    <row r="29" ht="15" customHeight="1" s="462">
      <c r="A29" s="461" t="inlineStr">
        <is>
          <t>Formulations</t>
        </is>
      </c>
      <c r="B29" s="507" t="n"/>
      <c r="C29" s="506" t="n"/>
      <c r="D29" s="506" t="n"/>
      <c r="E29" s="506" t="n"/>
      <c r="F29" s="506" t="n"/>
      <c r="G29" s="507" t="n"/>
      <c r="H29" s="506" t="n"/>
      <c r="I29" s="506" t="n"/>
      <c r="J29" s="506" t="n"/>
      <c r="K29" s="506" t="n"/>
      <c r="L29" s="507" t="n"/>
      <c r="M29" s="506" t="n"/>
      <c r="N29" s="506" t="n"/>
      <c r="O29" s="506" t="n"/>
      <c r="P29" s="506" t="n"/>
      <c r="Q29" s="507" t="n"/>
      <c r="R29" s="506" t="n"/>
      <c r="S29" s="506" t="n"/>
      <c r="T29" s="506" t="n"/>
      <c r="U29" s="506" t="n"/>
      <c r="V29" s="507" t="n"/>
      <c r="W29" s="506" t="n"/>
      <c r="X29" s="506" t="n"/>
      <c r="Y29" s="506" t="n"/>
      <c r="Z29" s="506" t="n"/>
      <c r="AA29" s="507" t="n"/>
      <c r="AB29" s="506" t="n"/>
      <c r="AC29" s="506" t="n"/>
      <c r="AD29" s="506" t="n"/>
      <c r="AE29" s="506" t="n"/>
      <c r="AF29" s="507" t="n"/>
      <c r="AG29" s="506" t="n"/>
      <c r="AH29" s="506" t="n"/>
      <c r="AI29" s="506" t="n"/>
      <c r="AJ29" s="506" t="n"/>
      <c r="AK29" s="507" t="n"/>
    </row>
    <row r="30" ht="15" customHeight="1" s="462">
      <c r="A30" s="461" t="inlineStr">
        <is>
          <t>Active Ingredients</t>
        </is>
      </c>
      <c r="B30" s="507" t="n"/>
      <c r="C30" s="506" t="n"/>
      <c r="D30" s="506" t="n"/>
      <c r="E30" s="506" t="n"/>
      <c r="F30" s="506" t="n"/>
      <c r="G30" s="507" t="n"/>
      <c r="H30" s="506" t="n"/>
      <c r="I30" s="506" t="n"/>
      <c r="J30" s="506" t="n"/>
      <c r="K30" s="506" t="n"/>
      <c r="L30" s="507" t="n"/>
      <c r="M30" s="506" t="n"/>
      <c r="N30" s="506" t="n"/>
      <c r="O30" s="506" t="n"/>
      <c r="P30" s="506" t="n"/>
      <c r="Q30" s="507" t="n"/>
      <c r="R30" s="506" t="n"/>
      <c r="S30" s="506" t="n"/>
      <c r="T30" s="506" t="n"/>
      <c r="U30" s="506" t="n"/>
      <c r="V30" s="507" t="n"/>
      <c r="W30" s="506" t="n"/>
      <c r="X30" s="506" t="n"/>
      <c r="Y30" s="506" t="n"/>
      <c r="Z30" s="506" t="n"/>
      <c r="AA30" s="507" t="n"/>
      <c r="AB30" s="506" t="n"/>
      <c r="AC30" s="506" t="n"/>
      <c r="AD30" s="506" t="n"/>
      <c r="AE30" s="506" t="n"/>
      <c r="AF30" s="507" t="n"/>
      <c r="AG30" s="506" t="n"/>
      <c r="AH30" s="506" t="n"/>
      <c r="AI30" s="506" t="n"/>
      <c r="AJ30" s="506" t="n"/>
      <c r="AK30" s="507" t="n"/>
    </row>
    <row r="31" ht="15" customHeight="1" s="462">
      <c r="A31" s="522" t="inlineStr">
        <is>
          <t>Total</t>
        </is>
      </c>
      <c r="B31" s="541" t="n"/>
      <c r="C31" s="542" t="n"/>
      <c r="D31" s="542" t="n"/>
      <c r="E31" s="542" t="n"/>
      <c r="F31" s="542" t="n"/>
      <c r="G31" s="541" t="n"/>
      <c r="H31" s="542" t="n"/>
      <c r="I31" s="542" t="n"/>
      <c r="J31" s="542" t="n"/>
      <c r="K31" s="542" t="n"/>
      <c r="L31" s="541" t="n"/>
      <c r="M31" s="542" t="n"/>
      <c r="N31" s="542" t="n"/>
      <c r="O31" s="542" t="n"/>
      <c r="P31" s="542" t="n"/>
      <c r="Q31" s="541" t="n"/>
      <c r="R31" s="542" t="n"/>
      <c r="S31" s="542" t="n"/>
      <c r="T31" s="542" t="n"/>
      <c r="U31" s="542" t="n"/>
      <c r="V31" s="541" t="n"/>
      <c r="W31" s="542" t="n"/>
      <c r="X31" s="542" t="n"/>
      <c r="Y31" s="542" t="n"/>
      <c r="Z31" s="542" t="n"/>
      <c r="AA31" s="541" t="n"/>
      <c r="AB31" s="542" t="n"/>
      <c r="AC31" s="542" t="n"/>
      <c r="AD31" s="542" t="n"/>
      <c r="AE31" s="542" t="n"/>
      <c r="AF31" s="541" t="n"/>
      <c r="AG31" s="542" t="n"/>
      <c r="AH31" s="542" t="n"/>
      <c r="AI31" s="542" t="n"/>
      <c r="AJ31" s="542" t="n"/>
      <c r="AK31" s="541" t="n"/>
    </row>
    <row r="32" ht="15" customHeight="1" s="462">
      <c r="B32" s="515" t="n"/>
      <c r="G32" s="515" t="n"/>
      <c r="L32" s="515" t="n"/>
      <c r="Q32" s="515" t="n"/>
      <c r="V32" s="515" t="n"/>
      <c r="AA32" s="515" t="n"/>
      <c r="AF32" s="515" t="n"/>
      <c r="AK32" s="515" t="n"/>
    </row>
    <row r="33" ht="15" customHeight="1" s="462">
      <c r="B33" s="515" t="n"/>
      <c r="G33" s="515" t="n"/>
      <c r="L33" s="515" t="n"/>
      <c r="Q33" s="515" t="n"/>
      <c r="V33" s="515" t="n"/>
      <c r="AA33" s="515" t="n"/>
      <c r="AF33" s="515" t="n"/>
      <c r="AK33" s="515" t="n"/>
    </row>
    <row r="34" ht="15.75" customHeight="1" s="462">
      <c r="A34" s="491" t="inlineStr">
        <is>
          <t>Income Statement</t>
        </is>
      </c>
      <c r="B34" s="538" t="n"/>
      <c r="C34" s="489" t="n"/>
      <c r="D34" s="489" t="n"/>
      <c r="E34" s="489" t="n"/>
      <c r="F34" s="489" t="n"/>
      <c r="G34" s="538" t="n"/>
      <c r="H34" s="489" t="n"/>
      <c r="I34" s="489" t="n"/>
      <c r="J34" s="489" t="n"/>
      <c r="K34" s="489" t="n"/>
      <c r="L34" s="538" t="n"/>
      <c r="M34" s="489" t="n"/>
      <c r="N34" s="489" t="n"/>
      <c r="O34" s="489" t="n"/>
      <c r="P34" s="489" t="n"/>
      <c r="Q34" s="538" t="n"/>
      <c r="R34" s="489" t="n"/>
      <c r="S34" s="489" t="n"/>
      <c r="T34" s="489" t="n"/>
      <c r="U34" s="489" t="n"/>
      <c r="V34" s="538" t="n"/>
      <c r="W34" s="489" t="n"/>
      <c r="X34" s="489" t="n"/>
      <c r="Y34" s="489" t="n"/>
      <c r="Z34" s="489" t="n"/>
      <c r="AA34" s="538" t="n"/>
      <c r="AB34" s="489" t="n"/>
      <c r="AC34" s="489" t="n"/>
      <c r="AD34" s="489" t="n"/>
      <c r="AE34" s="489" t="n"/>
      <c r="AF34" s="538" t="n"/>
      <c r="AG34" s="489" t="n"/>
      <c r="AH34" s="489" t="n"/>
      <c r="AI34" s="489" t="n"/>
      <c r="AJ34" s="489" t="n"/>
      <c r="AK34" s="538" t="n"/>
    </row>
    <row r="35" ht="15" customHeight="1" s="462">
      <c r="A35" s="461" t="n"/>
      <c r="B35" s="515" t="n"/>
      <c r="G35" s="515" t="n"/>
      <c r="L35" s="515" t="n"/>
      <c r="Q35" s="515" t="n"/>
      <c r="V35" s="515" t="n"/>
      <c r="AA35" s="515" t="n"/>
      <c r="AF35" s="515" t="n"/>
      <c r="AK35" s="515" t="n"/>
    </row>
    <row r="36" ht="15" customHeight="1" s="462">
      <c r="A36" s="522" t="inlineStr">
        <is>
          <t>Total Income</t>
        </is>
      </c>
      <c r="B36" s="507" t="n"/>
      <c r="C36" s="506" t="n"/>
      <c r="D36" s="506" t="n"/>
      <c r="E36" s="506" t="n"/>
      <c r="F36" s="506" t="n"/>
      <c r="G36" s="507" t="n"/>
      <c r="H36" s="506" t="n"/>
      <c r="I36" s="506" t="n"/>
      <c r="J36" s="506" t="n"/>
      <c r="K36" s="506" t="n"/>
      <c r="L36" s="507" t="n"/>
      <c r="M36" s="506" t="n"/>
      <c r="N36" s="506" t="n"/>
      <c r="O36" s="506" t="n"/>
      <c r="P36" s="506" t="n"/>
      <c r="Q36" s="507" t="n"/>
      <c r="R36" s="506" t="n"/>
      <c r="S36" s="506" t="n"/>
      <c r="T36" s="506" t="n"/>
      <c r="U36" s="506" t="n"/>
      <c r="V36" s="507" t="n"/>
      <c r="W36" s="506" t="n"/>
      <c r="X36" s="506" t="n"/>
      <c r="Y36" s="506" t="n"/>
      <c r="Z36" s="506" t="n"/>
      <c r="AA36" s="507" t="n"/>
      <c r="AB36" s="506" t="n"/>
      <c r="AC36" s="506" t="n"/>
      <c r="AD36" s="506" t="n"/>
      <c r="AE36" s="506" t="n"/>
      <c r="AF36" s="507" t="n"/>
      <c r="AG36" s="506" t="n"/>
      <c r="AH36" s="506" t="n"/>
      <c r="AI36" s="506" t="n"/>
      <c r="AJ36" s="506" t="n"/>
      <c r="AK36" s="507" t="n"/>
    </row>
    <row r="37" ht="15" customHeight="1" s="462">
      <c r="B37" s="515" t="n"/>
      <c r="G37" s="515" t="n"/>
      <c r="L37" s="515" t="n"/>
      <c r="Q37" s="515" t="n"/>
      <c r="V37" s="515" t="n"/>
      <c r="AA37" s="515" t="n"/>
      <c r="AF37" s="515" t="n"/>
      <c r="AK37" s="515" t="n"/>
    </row>
    <row r="38" ht="15" customHeight="1" s="462">
      <c r="A38" s="543" t="inlineStr">
        <is>
          <t>Material Consumed</t>
        </is>
      </c>
      <c r="B38" s="507" t="n"/>
      <c r="C38" s="506" t="n"/>
      <c r="D38" s="506" t="n"/>
      <c r="E38" s="506" t="n"/>
      <c r="F38" s="506" t="n"/>
      <c r="G38" s="507" t="n"/>
      <c r="H38" s="506" t="n"/>
      <c r="I38" s="506" t="n"/>
      <c r="J38" s="506" t="n"/>
      <c r="K38" s="506" t="n"/>
      <c r="L38" s="507" t="n"/>
      <c r="M38" s="506" t="n"/>
      <c r="N38" s="506" t="n"/>
      <c r="O38" s="506" t="n"/>
      <c r="P38" s="506" t="n"/>
      <c r="Q38" s="507" t="n"/>
      <c r="R38" s="506" t="n"/>
      <c r="S38" s="506" t="n"/>
      <c r="T38" s="506" t="n"/>
      <c r="U38" s="506" t="n"/>
      <c r="V38" s="507" t="n"/>
      <c r="W38" s="506" t="n"/>
      <c r="X38" s="506" t="n"/>
      <c r="Y38" s="506" t="n"/>
      <c r="Z38" s="506" t="n"/>
      <c r="AA38" s="507" t="n"/>
      <c r="AB38" s="506" t="n"/>
      <c r="AC38" s="506" t="n"/>
      <c r="AD38" s="506" t="n"/>
      <c r="AE38" s="506" t="n"/>
      <c r="AF38" s="507" t="n"/>
      <c r="AG38" s="506" t="n"/>
      <c r="AH38" s="506" t="n"/>
      <c r="AI38" s="506" t="n"/>
      <c r="AJ38" s="506" t="n"/>
      <c r="AK38" s="507" t="n"/>
    </row>
    <row r="39" ht="15" customHeight="1" s="462">
      <c r="A39" s="543" t="inlineStr">
        <is>
          <t>Staff Cost</t>
        </is>
      </c>
      <c r="B39" s="507" t="n"/>
      <c r="C39" s="506" t="n"/>
      <c r="D39" s="506" t="n"/>
      <c r="E39" s="506" t="n"/>
      <c r="F39" s="506" t="n"/>
      <c r="G39" s="507" t="n"/>
      <c r="H39" s="506" t="n"/>
      <c r="I39" s="506" t="n"/>
      <c r="J39" s="506" t="n"/>
      <c r="K39" s="506" t="n"/>
      <c r="L39" s="507" t="n"/>
      <c r="M39" s="506" t="n"/>
      <c r="N39" s="506" t="n"/>
      <c r="O39" s="506" t="n"/>
      <c r="P39" s="506" t="n"/>
      <c r="Q39" s="507" t="n"/>
      <c r="R39" s="506" t="n"/>
      <c r="S39" s="506" t="n"/>
      <c r="T39" s="506" t="n"/>
      <c r="U39" s="506" t="n"/>
      <c r="V39" s="507" t="n"/>
      <c r="W39" s="506" t="n"/>
      <c r="X39" s="506" t="n"/>
      <c r="Y39" s="506" t="n"/>
      <c r="Z39" s="506" t="n"/>
      <c r="AA39" s="507" t="n"/>
      <c r="AB39" s="506" t="n"/>
      <c r="AC39" s="506" t="n"/>
      <c r="AD39" s="506" t="n"/>
      <c r="AE39" s="506" t="n"/>
      <c r="AF39" s="507" t="n"/>
      <c r="AG39" s="506" t="n"/>
      <c r="AH39" s="506" t="n"/>
      <c r="AI39" s="506" t="n"/>
      <c r="AJ39" s="506" t="n"/>
      <c r="AK39" s="507" t="n"/>
    </row>
    <row r="40" ht="15" customHeight="1" s="462">
      <c r="A40" s="543" t="inlineStr">
        <is>
          <t>Other Expenditure</t>
        </is>
      </c>
      <c r="B40" s="507" t="n"/>
      <c r="C40" s="506" t="n"/>
      <c r="D40" s="506" t="n"/>
      <c r="E40" s="506" t="n"/>
      <c r="F40" s="506" t="n"/>
      <c r="G40" s="507" t="n"/>
      <c r="H40" s="506" t="n"/>
      <c r="I40" s="506" t="n"/>
      <c r="J40" s="506" t="n"/>
      <c r="K40" s="506" t="n"/>
      <c r="L40" s="507" t="n"/>
      <c r="M40" s="506" t="n"/>
      <c r="N40" s="506" t="n"/>
      <c r="O40" s="506" t="n"/>
      <c r="P40" s="506" t="n"/>
      <c r="Q40" s="507" t="n"/>
      <c r="R40" s="506" t="n"/>
      <c r="S40" s="506" t="n"/>
      <c r="T40" s="506" t="n"/>
      <c r="U40" s="506" t="n"/>
      <c r="V40" s="507" t="n"/>
      <c r="W40" s="506" t="n"/>
      <c r="X40" s="506" t="n"/>
      <c r="Y40" s="506" t="n"/>
      <c r="Z40" s="506" t="n"/>
      <c r="AA40" s="507" t="n"/>
      <c r="AB40" s="506" t="n"/>
      <c r="AC40" s="506" t="n"/>
      <c r="AD40" s="506" t="n"/>
      <c r="AE40" s="506" t="n"/>
      <c r="AF40" s="507" t="n"/>
      <c r="AG40" s="506" t="n"/>
      <c r="AH40" s="506" t="n"/>
      <c r="AI40" s="506" t="n"/>
      <c r="AJ40" s="506" t="n"/>
      <c r="AK40" s="507" t="n"/>
    </row>
    <row r="41" ht="15" customHeight="1" s="462">
      <c r="A41" s="543" t="inlineStr">
        <is>
          <t>Depreciation &amp; Amortization</t>
        </is>
      </c>
      <c r="B41" s="507" t="n"/>
      <c r="C41" s="506" t="n"/>
      <c r="D41" s="506" t="n"/>
      <c r="E41" s="506" t="n"/>
      <c r="F41" s="506" t="n"/>
      <c r="G41" s="507" t="n"/>
      <c r="H41" s="506" t="n"/>
      <c r="I41" s="506" t="n"/>
      <c r="J41" s="506" t="n"/>
      <c r="K41" s="506" t="n"/>
      <c r="L41" s="507" t="n"/>
      <c r="M41" s="506" t="n"/>
      <c r="N41" s="506" t="n"/>
      <c r="O41" s="506" t="n"/>
      <c r="P41" s="506" t="n"/>
      <c r="Q41" s="507" t="n"/>
      <c r="R41" s="506" t="n"/>
      <c r="S41" s="506" t="n"/>
      <c r="T41" s="506" t="n"/>
      <c r="U41" s="506" t="n"/>
      <c r="V41" s="507" t="n"/>
      <c r="W41" s="506" t="n"/>
      <c r="X41" s="506" t="n"/>
      <c r="Y41" s="506" t="n"/>
      <c r="Z41" s="506" t="n"/>
      <c r="AA41" s="507" t="n"/>
      <c r="AB41" s="506" t="n"/>
      <c r="AC41" s="506" t="n"/>
      <c r="AD41" s="506" t="n"/>
      <c r="AE41" s="506" t="n"/>
      <c r="AF41" s="507" t="n"/>
      <c r="AG41" s="506" t="n"/>
      <c r="AH41" s="506" t="n"/>
      <c r="AI41" s="506" t="n"/>
      <c r="AJ41" s="506" t="n"/>
      <c r="AK41" s="507" t="n"/>
    </row>
    <row r="42" ht="15" customHeight="1" s="462">
      <c r="A42" s="522" t="inlineStr">
        <is>
          <t>Total Expenditure</t>
        </is>
      </c>
      <c r="B42" s="507" t="n"/>
      <c r="C42" s="506" t="n"/>
      <c r="D42" s="506" t="n"/>
      <c r="E42" s="506" t="n"/>
      <c r="F42" s="506" t="n"/>
      <c r="G42" s="507" t="n"/>
      <c r="H42" s="506" t="n"/>
      <c r="I42" s="506" t="n"/>
      <c r="J42" s="506" t="n"/>
      <c r="K42" s="506" t="n"/>
      <c r="L42" s="507" t="n"/>
      <c r="M42" s="506" t="n"/>
      <c r="N42" s="506" t="n"/>
      <c r="O42" s="506" t="n"/>
      <c r="P42" s="506" t="n"/>
      <c r="Q42" s="507" t="n"/>
      <c r="R42" s="506" t="n"/>
      <c r="S42" s="506" t="n"/>
      <c r="T42" s="506" t="n"/>
      <c r="U42" s="506" t="n"/>
      <c r="V42" s="507" t="n"/>
      <c r="W42" s="506" t="n"/>
      <c r="X42" s="506" t="n"/>
      <c r="Y42" s="506" t="n"/>
      <c r="Z42" s="506" t="n"/>
      <c r="AA42" s="507" t="n"/>
      <c r="AB42" s="506" t="n"/>
      <c r="AC42" s="506" t="n"/>
      <c r="AD42" s="506" t="n"/>
      <c r="AE42" s="506" t="n"/>
      <c r="AF42" s="507" t="n"/>
      <c r="AG42" s="506" t="n"/>
      <c r="AH42" s="506" t="n"/>
      <c r="AI42" s="506" t="n"/>
      <c r="AJ42" s="506" t="n"/>
      <c r="AK42" s="507" t="n"/>
    </row>
    <row r="43" ht="15" customHeight="1" s="462">
      <c r="A43" s="544" t="n"/>
      <c r="B43" s="515" t="n"/>
      <c r="G43" s="515" t="n"/>
      <c r="L43" s="515" t="n"/>
      <c r="Q43" s="515" t="n"/>
      <c r="V43" s="515" t="n"/>
      <c r="AA43" s="515" t="n"/>
      <c r="AF43" s="515" t="n"/>
      <c r="AK43" s="515" t="n"/>
    </row>
    <row r="44" ht="15" customHeight="1" s="462">
      <c r="A44" s="545" t="inlineStr">
        <is>
          <t>Operating Income</t>
        </is>
      </c>
      <c r="B44" s="507" t="n"/>
      <c r="C44" s="506" t="n"/>
      <c r="D44" s="506" t="n"/>
      <c r="E44" s="506" t="n"/>
      <c r="F44" s="506" t="n"/>
      <c r="G44" s="507" t="n"/>
      <c r="H44" s="506" t="n"/>
      <c r="I44" s="506" t="n"/>
      <c r="J44" s="506" t="n"/>
      <c r="K44" s="506" t="n"/>
      <c r="L44" s="507" t="n"/>
      <c r="M44" s="506" t="n"/>
      <c r="N44" s="506" t="n"/>
      <c r="O44" s="506" t="n"/>
      <c r="P44" s="506" t="n"/>
      <c r="Q44" s="507" t="n"/>
      <c r="R44" s="506" t="n"/>
      <c r="S44" s="506" t="n"/>
      <c r="T44" s="506" t="n"/>
      <c r="U44" s="506" t="n"/>
      <c r="V44" s="507" t="n"/>
      <c r="W44" s="506" t="n"/>
      <c r="X44" s="506" t="n"/>
      <c r="Y44" s="506" t="n"/>
      <c r="Z44" s="506" t="n"/>
      <c r="AA44" s="507" t="n"/>
      <c r="AB44" s="506" t="n"/>
      <c r="AC44" s="506" t="n"/>
      <c r="AD44" s="506" t="n"/>
      <c r="AE44" s="506" t="n"/>
      <c r="AF44" s="507" t="n"/>
      <c r="AG44" s="506" t="n"/>
      <c r="AH44" s="506" t="n"/>
      <c r="AI44" s="506" t="n"/>
      <c r="AJ44" s="506" t="n"/>
      <c r="AK44" s="507" t="n"/>
    </row>
    <row r="45" ht="15" customFormat="1" customHeight="1" s="546">
      <c r="A45" s="547" t="inlineStr">
        <is>
          <t>Operating Income Margin(%)</t>
        </is>
      </c>
      <c r="B45" s="548" t="n"/>
      <c r="C45" s="549" t="n"/>
      <c r="D45" s="549" t="n"/>
      <c r="E45" s="549" t="n"/>
      <c r="F45" s="549" t="n"/>
      <c r="G45" s="548" t="n"/>
      <c r="H45" s="549" t="n"/>
      <c r="I45" s="549" t="n"/>
      <c r="J45" s="549" t="n"/>
      <c r="K45" s="549" t="n"/>
      <c r="L45" s="548" t="n"/>
      <c r="M45" s="549" t="n"/>
      <c r="N45" s="549" t="n"/>
      <c r="O45" s="549" t="n"/>
      <c r="P45" s="549" t="n"/>
      <c r="Q45" s="548" t="n"/>
      <c r="R45" s="549" t="n"/>
      <c r="S45" s="549" t="n"/>
      <c r="T45" s="549" t="n"/>
      <c r="U45" s="549" t="n"/>
      <c r="V45" s="548" t="n"/>
      <c r="W45" s="549" t="n"/>
      <c r="X45" s="549" t="n"/>
      <c r="Y45" s="549" t="n"/>
      <c r="Z45" s="549" t="n"/>
      <c r="AA45" s="548" t="n"/>
      <c r="AB45" s="549" t="n"/>
      <c r="AC45" s="549" t="n"/>
      <c r="AD45" s="549" t="n"/>
      <c r="AE45" s="549" t="n"/>
      <c r="AF45" s="548" t="n"/>
      <c r="AG45" s="549" t="n"/>
      <c r="AH45" s="549" t="n"/>
      <c r="AI45" s="549" t="n"/>
      <c r="AJ45" s="549" t="n"/>
      <c r="AK45" s="548" t="n"/>
    </row>
    <row r="46" ht="15" customHeight="1" s="462">
      <c r="A46" s="544" t="n"/>
      <c r="B46" s="515" t="n"/>
      <c r="G46" s="515" t="n"/>
      <c r="L46" s="515" t="n"/>
      <c r="Q46" s="515" t="n"/>
      <c r="V46" s="515" t="n"/>
      <c r="AA46" s="515" t="n"/>
      <c r="AF46" s="515" t="n"/>
      <c r="AK46" s="515" t="n"/>
    </row>
    <row r="47" ht="15" customHeight="1" s="462">
      <c r="A47" s="522" t="inlineStr">
        <is>
          <t>Profit Before Interest and Tax (PBIT)</t>
        </is>
      </c>
      <c r="B47" s="507" t="n"/>
      <c r="C47" s="506" t="n"/>
      <c r="D47" s="506" t="n"/>
      <c r="E47" s="506" t="n"/>
      <c r="F47" s="506" t="n"/>
      <c r="G47" s="507" t="n"/>
      <c r="H47" s="506" t="n"/>
      <c r="I47" s="506" t="n"/>
      <c r="J47" s="506" t="n"/>
      <c r="K47" s="506" t="n"/>
      <c r="L47" s="507" t="n"/>
      <c r="M47" s="506" t="n"/>
      <c r="N47" s="506" t="n"/>
      <c r="O47" s="506" t="n"/>
      <c r="P47" s="506" t="n"/>
      <c r="Q47" s="507" t="n"/>
      <c r="R47" s="506" t="n"/>
      <c r="S47" s="506" t="n"/>
      <c r="T47" s="506" t="n"/>
      <c r="U47" s="506" t="n"/>
      <c r="V47" s="507" t="n"/>
      <c r="W47" s="506" t="n"/>
      <c r="X47" s="506" t="n"/>
      <c r="Y47" s="506" t="n"/>
      <c r="Z47" s="506" t="n"/>
      <c r="AA47" s="507" t="n"/>
      <c r="AB47" s="506" t="n"/>
      <c r="AC47" s="506" t="n"/>
      <c r="AD47" s="506" t="n"/>
      <c r="AE47" s="506" t="n"/>
      <c r="AF47" s="507" t="n"/>
      <c r="AG47" s="506" t="n"/>
      <c r="AH47" s="506" t="n"/>
      <c r="AI47" s="506" t="n"/>
      <c r="AJ47" s="506" t="n"/>
      <c r="AK47" s="507" t="n"/>
    </row>
    <row r="48" ht="15" customFormat="1" customHeight="1" s="546">
      <c r="A48" s="549" t="inlineStr">
        <is>
          <t>PBIT  Margin (%)</t>
        </is>
      </c>
      <c r="B48" s="550" t="n"/>
      <c r="C48" s="551" t="n"/>
      <c r="D48" s="551" t="n"/>
      <c r="E48" s="551" t="n"/>
      <c r="F48" s="551" t="n"/>
      <c r="G48" s="550" t="n"/>
      <c r="H48" s="551" t="n"/>
      <c r="I48" s="551" t="n"/>
      <c r="J48" s="551" t="n"/>
      <c r="K48" s="551" t="n"/>
      <c r="L48" s="550" t="n"/>
      <c r="M48" s="551" t="n"/>
      <c r="N48" s="551" t="n"/>
      <c r="O48" s="551" t="n"/>
      <c r="P48" s="551" t="n"/>
      <c r="Q48" s="550" t="n"/>
      <c r="R48" s="551" t="n"/>
      <c r="S48" s="551" t="n"/>
      <c r="T48" s="551" t="n"/>
      <c r="U48" s="551" t="n"/>
      <c r="V48" s="550" t="n"/>
      <c r="W48" s="551" t="n"/>
      <c r="X48" s="551" t="n"/>
      <c r="Y48" s="551" t="n"/>
      <c r="Z48" s="551" t="n"/>
      <c r="AA48" s="550" t="n"/>
      <c r="AB48" s="551" t="n"/>
      <c r="AC48" s="551" t="n"/>
      <c r="AD48" s="551" t="n"/>
      <c r="AE48" s="551" t="n"/>
      <c r="AF48" s="550" t="n"/>
      <c r="AG48" s="551" t="n"/>
      <c r="AH48" s="551" t="n"/>
      <c r="AI48" s="551" t="n"/>
      <c r="AJ48" s="551" t="n"/>
      <c r="AK48" s="550" t="n"/>
    </row>
    <row r="49" ht="15" customHeight="1" s="462">
      <c r="A49" s="552" t="n"/>
      <c r="B49" s="515" t="n"/>
      <c r="G49" s="515" t="n"/>
      <c r="L49" s="515" t="n"/>
      <c r="Q49" s="515" t="n"/>
      <c r="V49" s="515" t="n"/>
      <c r="AA49" s="515" t="n"/>
      <c r="AF49" s="515" t="n"/>
      <c r="AK49" s="515" t="n"/>
    </row>
    <row r="50" ht="15" customHeight="1" s="462">
      <c r="A50" s="553" t="inlineStr">
        <is>
          <t>EBITDA</t>
        </is>
      </c>
      <c r="B50" s="507" t="n"/>
      <c r="C50" s="506" t="n"/>
      <c r="D50" s="506" t="n"/>
      <c r="E50" s="506" t="n"/>
      <c r="F50" s="506" t="n"/>
      <c r="G50" s="507" t="n"/>
      <c r="H50" s="506" t="n"/>
      <c r="I50" s="506" t="n"/>
      <c r="J50" s="506" t="n"/>
      <c r="K50" s="506" t="n"/>
      <c r="L50" s="507" t="n"/>
      <c r="M50" s="506" t="n"/>
      <c r="N50" s="506" t="n"/>
      <c r="O50" s="506" t="n"/>
      <c r="P50" s="506" t="n"/>
      <c r="Q50" s="507" t="n"/>
      <c r="R50" s="506" t="n"/>
      <c r="S50" s="506" t="n"/>
      <c r="T50" s="506" t="n"/>
      <c r="U50" s="506" t="n"/>
      <c r="V50" s="507" t="n"/>
      <c r="W50" s="506" t="n"/>
      <c r="X50" s="506" t="n"/>
      <c r="Y50" s="506" t="n"/>
      <c r="Z50" s="506" t="n"/>
      <c r="AA50" s="507" t="n"/>
      <c r="AB50" s="506" t="n"/>
      <c r="AC50" s="506" t="n"/>
      <c r="AD50" s="506" t="n"/>
      <c r="AE50" s="506" t="n"/>
      <c r="AF50" s="507" t="n"/>
      <c r="AG50" s="506" t="n"/>
      <c r="AH50" s="506" t="n"/>
      <c r="AI50" s="506" t="n"/>
      <c r="AJ50" s="506" t="n"/>
      <c r="AK50" s="507" t="n"/>
    </row>
    <row r="51" ht="15" customFormat="1" customHeight="1" s="546">
      <c r="A51" s="554" t="inlineStr">
        <is>
          <t>EBITDA Margin (%)</t>
        </is>
      </c>
      <c r="B51" s="548" t="n"/>
      <c r="C51" s="549" t="n"/>
      <c r="D51" s="549" t="n"/>
      <c r="E51" s="549" t="n"/>
      <c r="F51" s="549" t="n"/>
      <c r="G51" s="548" t="n"/>
      <c r="H51" s="549" t="n"/>
      <c r="I51" s="549" t="n"/>
      <c r="J51" s="549" t="n"/>
      <c r="K51" s="549" t="n"/>
      <c r="L51" s="548" t="n"/>
      <c r="M51" s="549" t="n"/>
      <c r="N51" s="549" t="n"/>
      <c r="O51" s="549" t="n"/>
      <c r="P51" s="549" t="n"/>
      <c r="Q51" s="548" t="n"/>
      <c r="R51" s="549" t="n"/>
      <c r="S51" s="549" t="n"/>
      <c r="T51" s="549" t="n"/>
      <c r="U51" s="549" t="n"/>
      <c r="V51" s="548" t="n"/>
      <c r="W51" s="549" t="n"/>
      <c r="X51" s="549" t="n"/>
      <c r="Y51" s="549" t="n"/>
      <c r="Z51" s="549" t="n"/>
      <c r="AA51" s="548" t="n"/>
      <c r="AB51" s="549" t="n"/>
      <c r="AC51" s="549" t="n"/>
      <c r="AD51" s="549" t="n"/>
      <c r="AE51" s="549" t="n"/>
      <c r="AF51" s="548" t="n"/>
      <c r="AG51" s="549" t="n"/>
      <c r="AH51" s="549" t="n"/>
      <c r="AI51" s="549" t="n"/>
      <c r="AJ51" s="549" t="n"/>
      <c r="AK51" s="548" t="n"/>
    </row>
    <row r="52" ht="15" customHeight="1" s="462">
      <c r="A52" s="554" t="n"/>
      <c r="B52" s="515" t="n"/>
      <c r="G52" s="515" t="n"/>
      <c r="L52" s="515" t="n"/>
      <c r="Q52" s="515" t="n"/>
      <c r="V52" s="513" t="n"/>
      <c r="AA52" s="515" t="n"/>
      <c r="AF52" s="515" t="n"/>
      <c r="AK52" s="515" t="n"/>
    </row>
    <row r="53" ht="15" customHeight="1" s="462">
      <c r="A53" s="461" t="inlineStr">
        <is>
          <t>Interest (net)</t>
        </is>
      </c>
      <c r="B53" s="507" t="n"/>
      <c r="C53" s="506" t="n"/>
      <c r="D53" s="506" t="n"/>
      <c r="E53" s="506" t="n"/>
      <c r="F53" s="506" t="n"/>
      <c r="G53" s="507" t="n"/>
      <c r="H53" s="506" t="n"/>
      <c r="I53" s="506" t="n"/>
      <c r="J53" s="506" t="n"/>
      <c r="K53" s="506" t="n"/>
      <c r="L53" s="507" t="n"/>
      <c r="M53" s="506" t="n"/>
      <c r="N53" s="506" t="n"/>
      <c r="O53" s="506" t="n"/>
      <c r="P53" s="506" t="n"/>
      <c r="Q53" s="507" t="n"/>
      <c r="R53" s="506" t="n"/>
      <c r="S53" s="506" t="n"/>
      <c r="T53" s="506" t="n"/>
      <c r="U53" s="506" t="n"/>
      <c r="V53" s="507" t="n"/>
      <c r="W53" s="506" t="n"/>
      <c r="X53" s="506" t="n"/>
      <c r="Y53" s="506" t="n"/>
      <c r="Z53" s="506" t="n"/>
      <c r="AA53" s="507" t="n"/>
      <c r="AB53" s="506" t="n"/>
      <c r="AC53" s="506" t="n"/>
      <c r="AD53" s="506" t="n"/>
      <c r="AE53" s="506" t="n"/>
      <c r="AF53" s="507" t="n"/>
      <c r="AG53" s="506" t="n"/>
      <c r="AH53" s="506" t="n"/>
      <c r="AI53" s="506" t="n"/>
      <c r="AJ53" s="506" t="n"/>
      <c r="AK53" s="507" t="n"/>
    </row>
    <row r="54" ht="15" customHeight="1" s="462">
      <c r="B54" s="515" t="n"/>
      <c r="G54" s="515" t="n"/>
      <c r="L54" s="515" t="n"/>
      <c r="Q54" s="515" t="n"/>
      <c r="V54" s="555" t="n"/>
      <c r="AA54" s="515" t="n"/>
      <c r="AF54" s="515" t="n"/>
      <c r="AK54" s="515" t="n"/>
    </row>
    <row r="55" ht="30" customHeight="1" s="462">
      <c r="A55" s="556" t="inlineStr">
        <is>
          <t>Profit from Ordinary Activities before Tax (PBT)</t>
        </is>
      </c>
      <c r="B55" s="507" t="n"/>
      <c r="C55" s="506" t="n"/>
      <c r="D55" s="506" t="n"/>
      <c r="E55" s="506" t="n"/>
      <c r="F55" s="506" t="n"/>
      <c r="G55" s="507" t="n"/>
      <c r="H55" s="506" t="n"/>
      <c r="I55" s="506" t="n"/>
      <c r="J55" s="506" t="n"/>
      <c r="K55" s="506" t="n"/>
      <c r="L55" s="507" t="n"/>
      <c r="M55" s="506" t="n"/>
      <c r="N55" s="506" t="n"/>
      <c r="O55" s="506" t="n"/>
      <c r="P55" s="506" t="n"/>
      <c r="Q55" s="507" t="n"/>
      <c r="R55" s="506" t="n"/>
      <c r="S55" s="506" t="n"/>
      <c r="T55" s="506" t="n"/>
      <c r="U55" s="506" t="n"/>
      <c r="V55" s="507" t="n"/>
      <c r="W55" s="506" t="n"/>
      <c r="X55" s="506" t="n"/>
      <c r="Y55" s="506" t="n"/>
      <c r="Z55" s="506" t="n"/>
      <c r="AA55" s="507" t="n"/>
      <c r="AB55" s="506" t="n"/>
      <c r="AC55" s="506" t="n"/>
      <c r="AD55" s="506" t="n"/>
      <c r="AE55" s="506" t="n"/>
      <c r="AF55" s="507" t="n"/>
      <c r="AG55" s="506" t="n"/>
      <c r="AH55" s="506" t="n"/>
      <c r="AI55" s="506" t="n"/>
      <c r="AJ55" s="506" t="n"/>
      <c r="AK55" s="507" t="n"/>
    </row>
    <row r="56" ht="15" customFormat="1" customHeight="1" s="546">
      <c r="A56" s="557" t="inlineStr">
        <is>
          <t>PBT Margin (%)</t>
        </is>
      </c>
      <c r="B56" s="550" t="n"/>
      <c r="C56" s="551" t="n"/>
      <c r="D56" s="551" t="n"/>
      <c r="E56" s="551" t="n"/>
      <c r="F56" s="551" t="n"/>
      <c r="G56" s="550" t="n"/>
      <c r="H56" s="551" t="n"/>
      <c r="I56" s="551" t="n"/>
      <c r="J56" s="551" t="n"/>
      <c r="K56" s="551" t="n"/>
      <c r="L56" s="550" t="n"/>
      <c r="M56" s="551" t="n"/>
      <c r="N56" s="551" t="n"/>
      <c r="O56" s="551" t="n"/>
      <c r="P56" s="551" t="n"/>
      <c r="Q56" s="550" t="n"/>
      <c r="R56" s="551" t="n"/>
      <c r="S56" s="551" t="n"/>
      <c r="T56" s="551" t="n"/>
      <c r="U56" s="551" t="n"/>
      <c r="V56" s="550" t="n"/>
      <c r="W56" s="551" t="n"/>
      <c r="X56" s="551" t="n"/>
      <c r="Y56" s="551" t="n"/>
      <c r="Z56" s="551" t="n"/>
      <c r="AA56" s="550" t="n"/>
      <c r="AB56" s="551" t="n"/>
      <c r="AC56" s="551" t="n"/>
      <c r="AD56" s="551" t="n"/>
      <c r="AE56" s="551" t="n"/>
      <c r="AF56" s="550" t="n"/>
      <c r="AG56" s="551" t="n"/>
      <c r="AH56" s="551" t="n"/>
      <c r="AI56" s="551" t="n"/>
      <c r="AJ56" s="551" t="n"/>
      <c r="AK56" s="550" t="n"/>
    </row>
    <row r="57" ht="15" customHeight="1" s="462">
      <c r="A57" s="557" t="n"/>
      <c r="B57" s="515" t="n"/>
      <c r="G57" s="515" t="n"/>
      <c r="L57" s="515" t="n"/>
      <c r="Q57" s="515" t="n"/>
      <c r="V57" s="515" t="n"/>
      <c r="AA57" s="515" t="n"/>
      <c r="AF57" s="515" t="n"/>
      <c r="AK57" s="515" t="n"/>
    </row>
    <row r="58" ht="15" customHeight="1" s="462">
      <c r="A58" s="461" t="inlineStr">
        <is>
          <t>Total Tax</t>
        </is>
      </c>
      <c r="B58" s="507" t="n"/>
      <c r="C58" s="506" t="n"/>
      <c r="D58" s="506" t="n"/>
      <c r="E58" s="506" t="n"/>
      <c r="F58" s="506" t="n"/>
      <c r="G58" s="507" t="n"/>
      <c r="H58" s="506" t="n"/>
      <c r="I58" s="506" t="n"/>
      <c r="J58" s="506" t="n"/>
      <c r="K58" s="506" t="n"/>
      <c r="L58" s="507" t="n"/>
      <c r="M58" s="506" t="n"/>
      <c r="N58" s="506" t="n"/>
      <c r="O58" s="506" t="n"/>
      <c r="P58" s="506" t="n"/>
      <c r="Q58" s="507" t="n"/>
      <c r="R58" s="506" t="n"/>
      <c r="S58" s="506" t="n"/>
      <c r="T58" s="506" t="n"/>
      <c r="U58" s="506" t="n"/>
      <c r="V58" s="507" t="n"/>
      <c r="W58" s="506" t="n"/>
      <c r="X58" s="506" t="n"/>
      <c r="Y58" s="506" t="n"/>
      <c r="Z58" s="506" t="n"/>
      <c r="AA58" s="507" t="n"/>
      <c r="AB58" s="506" t="n"/>
      <c r="AC58" s="506" t="n"/>
      <c r="AD58" s="506" t="n"/>
      <c r="AE58" s="506" t="n"/>
      <c r="AF58" s="507" t="n"/>
      <c r="AG58" s="506" t="n"/>
      <c r="AH58" s="506" t="n"/>
      <c r="AI58" s="506" t="n"/>
      <c r="AJ58" s="506" t="n"/>
      <c r="AK58" s="507" t="n"/>
    </row>
    <row r="59" ht="15" customFormat="1" customHeight="1" s="546">
      <c r="A59" s="546" t="inlineStr">
        <is>
          <t>Tax Rate</t>
        </is>
      </c>
      <c r="B59" s="548" t="n"/>
      <c r="C59" s="549" t="n"/>
      <c r="D59" s="549" t="n"/>
      <c r="E59" s="549" t="n"/>
      <c r="F59" s="549" t="n"/>
      <c r="G59" s="548" t="n"/>
      <c r="H59" s="549" t="n"/>
      <c r="I59" s="549" t="n"/>
      <c r="J59" s="549" t="n"/>
      <c r="K59" s="549" t="n"/>
      <c r="L59" s="548" t="n"/>
      <c r="M59" s="549" t="n"/>
      <c r="N59" s="549" t="n"/>
      <c r="O59" s="549" t="n"/>
      <c r="P59" s="549" t="n"/>
      <c r="Q59" s="548" t="n"/>
      <c r="R59" s="549" t="n"/>
      <c r="S59" s="549" t="n"/>
      <c r="T59" s="549" t="n"/>
      <c r="U59" s="549" t="n"/>
      <c r="V59" s="548" t="n"/>
      <c r="W59" s="549" t="n"/>
      <c r="X59" s="549" t="n"/>
      <c r="Y59" s="549" t="n"/>
      <c r="Z59" s="549" t="n"/>
      <c r="AA59" s="548" t="n"/>
      <c r="AB59" s="549" t="n"/>
      <c r="AC59" s="549" t="n"/>
      <c r="AD59" s="549" t="n"/>
      <c r="AE59" s="549" t="n"/>
      <c r="AF59" s="548" t="n"/>
      <c r="AG59" s="549" t="n"/>
      <c r="AH59" s="549" t="n"/>
      <c r="AI59" s="549" t="n"/>
      <c r="AJ59" s="549" t="n"/>
      <c r="AK59" s="548" t="n"/>
    </row>
    <row r="60" ht="15" customHeight="1" s="462">
      <c r="B60" s="515" t="n"/>
      <c r="G60" s="515" t="n"/>
      <c r="L60" s="515" t="n"/>
      <c r="Q60" s="515" t="n"/>
      <c r="V60" s="515" t="n"/>
      <c r="AA60" s="515" t="n"/>
      <c r="AF60" s="515" t="n"/>
      <c r="AK60" s="515" t="n"/>
    </row>
    <row r="61" ht="15" customHeight="1" s="462">
      <c r="A61" s="522" t="inlineStr">
        <is>
          <t>Net Profit (PAT)</t>
        </is>
      </c>
      <c r="B61" s="507" t="n"/>
      <c r="C61" s="506" t="n"/>
      <c r="D61" s="506" t="n"/>
      <c r="E61" s="506" t="n"/>
      <c r="F61" s="506" t="n"/>
      <c r="G61" s="507" t="n"/>
      <c r="H61" s="506" t="n"/>
      <c r="I61" s="506" t="n"/>
      <c r="J61" s="506" t="n"/>
      <c r="K61" s="506" t="n"/>
      <c r="L61" s="507" t="n"/>
      <c r="M61" s="506" t="n"/>
      <c r="N61" s="506" t="n"/>
      <c r="O61" s="506" t="n"/>
      <c r="P61" s="506" t="n"/>
      <c r="Q61" s="507" t="n"/>
      <c r="R61" s="506" t="n"/>
      <c r="S61" s="506" t="n"/>
      <c r="T61" s="506" t="n"/>
      <c r="U61" s="506" t="n"/>
      <c r="V61" s="507" t="n"/>
      <c r="W61" s="506" t="n"/>
      <c r="X61" s="506" t="n"/>
      <c r="Y61" s="506" t="n"/>
      <c r="Z61" s="506" t="n"/>
      <c r="AA61" s="507" t="n"/>
      <c r="AB61" s="506" t="n"/>
      <c r="AC61" s="506" t="n"/>
      <c r="AD61" s="506" t="n"/>
      <c r="AE61" s="506" t="n"/>
      <c r="AF61" s="507" t="n"/>
      <c r="AG61" s="506" t="n"/>
      <c r="AH61" s="506" t="n"/>
      <c r="AI61" s="506" t="n"/>
      <c r="AJ61" s="506" t="n"/>
      <c r="AK61" s="507" t="n"/>
    </row>
    <row r="62" ht="15" customHeight="1" s="462">
      <c r="A62" s="546" t="inlineStr">
        <is>
          <t>Net Profit Margin (%)</t>
        </is>
      </c>
      <c r="B62" s="548" t="n"/>
      <c r="C62" s="549" t="n"/>
      <c r="D62" s="549" t="n"/>
      <c r="E62" s="549" t="n"/>
      <c r="F62" s="549" t="n"/>
      <c r="G62" s="548" t="n"/>
      <c r="H62" s="549" t="n"/>
      <c r="I62" s="549" t="n"/>
      <c r="J62" s="549" t="n"/>
      <c r="K62" s="549" t="n"/>
      <c r="L62" s="548" t="n"/>
      <c r="M62" s="549" t="n"/>
      <c r="N62" s="549" t="n"/>
      <c r="O62" s="549" t="n"/>
      <c r="P62" s="549" t="n"/>
      <c r="Q62" s="548" t="n"/>
      <c r="R62" s="549" t="n"/>
      <c r="S62" s="549" t="n"/>
      <c r="T62" s="549" t="n"/>
      <c r="U62" s="549" t="n"/>
      <c r="V62" s="548" t="n"/>
      <c r="W62" s="549" t="n"/>
      <c r="X62" s="549" t="n"/>
      <c r="Y62" s="549" t="n"/>
      <c r="Z62" s="549" t="n"/>
      <c r="AA62" s="548" t="n"/>
      <c r="AB62" s="549" t="n"/>
      <c r="AC62" s="549" t="n"/>
      <c r="AD62" s="549" t="n"/>
      <c r="AE62" s="549" t="n"/>
      <c r="AF62" s="548" t="n"/>
      <c r="AG62" s="549" t="n"/>
      <c r="AH62" s="549" t="n"/>
      <c r="AI62" s="549" t="n"/>
      <c r="AJ62" s="549" t="n"/>
      <c r="AK62" s="548" t="n"/>
    </row>
    <row r="63" ht="15" customHeight="1" s="462">
      <c r="A63" s="522" t="inlineStr">
        <is>
          <t>Diluted EPS</t>
        </is>
      </c>
      <c r="B63" s="507" t="n"/>
      <c r="C63" s="506" t="n"/>
      <c r="D63" s="506" t="n"/>
      <c r="E63" s="506" t="n"/>
      <c r="F63" s="506" t="n"/>
      <c r="G63" s="507" t="n"/>
      <c r="H63" s="506" t="n"/>
      <c r="I63" s="506" t="n"/>
      <c r="J63" s="506" t="n"/>
      <c r="K63" s="506" t="n"/>
      <c r="L63" s="507" t="n"/>
      <c r="M63" s="506" t="n"/>
      <c r="N63" s="506" t="n"/>
      <c r="O63" s="506" t="n"/>
      <c r="P63" s="506" t="n"/>
      <c r="Q63" s="507" t="n"/>
      <c r="R63" s="506" t="n"/>
      <c r="S63" s="506" t="n"/>
      <c r="T63" s="506" t="n"/>
      <c r="U63" s="506" t="n"/>
      <c r="V63" s="507" t="n"/>
      <c r="W63" s="506" t="n"/>
      <c r="X63" s="506" t="n"/>
      <c r="Y63" s="506" t="n"/>
      <c r="Z63" s="506" t="n"/>
      <c r="AA63" s="507" t="n"/>
      <c r="AB63" s="506" t="n"/>
      <c r="AC63" s="506" t="n"/>
      <c r="AD63" s="506" t="n"/>
      <c r="AE63" s="506" t="n"/>
      <c r="AF63" s="507" t="n"/>
      <c r="AG63" s="506" t="n"/>
      <c r="AH63" s="506" t="n"/>
      <c r="AI63" s="506" t="n"/>
      <c r="AJ63" s="506" t="n"/>
      <c r="AK63" s="507" t="n"/>
    </row>
    <row r="64" ht="15" customFormat="1" customHeight="1" s="461">
      <c r="A64" s="490" t="n"/>
      <c r="B64" s="558" t="n"/>
      <c r="C64" s="490" t="n"/>
      <c r="D64" s="490" t="n"/>
      <c r="E64" s="490" t="n"/>
      <c r="F64" s="490" t="n"/>
      <c r="G64" s="558" t="n"/>
      <c r="H64" s="490" t="n"/>
      <c r="I64" s="490" t="n"/>
      <c r="J64" s="490" t="n"/>
      <c r="K64" s="490" t="n"/>
      <c r="L64" s="558" t="n"/>
      <c r="M64" s="490" t="n"/>
      <c r="N64" s="490" t="n"/>
      <c r="O64" s="490" t="n"/>
      <c r="P64" s="490" t="n"/>
      <c r="Q64" s="558" t="n"/>
      <c r="R64" s="490" t="n"/>
      <c r="S64" s="490" t="n"/>
      <c r="T64" s="490" t="n"/>
      <c r="U64" s="490" t="n"/>
      <c r="V64" s="558" t="n"/>
      <c r="W64" s="490" t="n"/>
      <c r="X64" s="490" t="n"/>
      <c r="Y64" s="490" t="n"/>
      <c r="Z64" s="490" t="n"/>
      <c r="AA64" s="558" t="n"/>
      <c r="AB64" s="490" t="n"/>
      <c r="AC64" s="490" t="n"/>
      <c r="AD64" s="490" t="n"/>
      <c r="AE64" s="490" t="n"/>
      <c r="AF64" s="558" t="n"/>
      <c r="AG64" s="490" t="n"/>
      <c r="AH64" s="490" t="n"/>
      <c r="AI64" s="490" t="n"/>
      <c r="AJ64" s="490" t="n"/>
      <c r="AK64" s="558" t="n"/>
    </row>
    <row r="65" ht="15" customHeight="1" s="462">
      <c r="B65" s="515" t="n"/>
      <c r="G65" s="515" t="n"/>
      <c r="L65" s="515" t="n"/>
      <c r="Q65" s="515" t="n"/>
      <c r="V65" s="515" t="n"/>
      <c r="AA65" s="515" t="n"/>
      <c r="AF65" s="515" t="n"/>
      <c r="AK65" s="515" t="n"/>
    </row>
    <row r="66" ht="15.75" customHeight="1" s="462">
      <c r="A66" s="491" t="inlineStr">
        <is>
          <t>Other Selected Items and Ratios</t>
        </is>
      </c>
      <c r="B66" s="538" t="n"/>
      <c r="C66" s="489" t="n"/>
      <c r="D66" s="489" t="n"/>
      <c r="E66" s="489" t="n"/>
      <c r="F66" s="489" t="n"/>
      <c r="G66" s="538" t="n"/>
      <c r="H66" s="489" t="n"/>
      <c r="I66" s="489" t="n"/>
      <c r="J66" s="489" t="n"/>
      <c r="K66" s="489" t="n"/>
      <c r="L66" s="538" t="n"/>
      <c r="M66" s="489" t="n"/>
      <c r="N66" s="489" t="n"/>
      <c r="O66" s="489" t="n"/>
      <c r="P66" s="489" t="n"/>
      <c r="Q66" s="538" t="n"/>
      <c r="R66" s="489" t="n"/>
      <c r="S66" s="489" t="n"/>
      <c r="T66" s="489" t="n"/>
      <c r="U66" s="489" t="n"/>
      <c r="V66" s="538" t="n"/>
      <c r="W66" s="489" t="n"/>
      <c r="X66" s="489" t="n"/>
      <c r="Y66" s="489" t="n"/>
      <c r="Z66" s="489" t="n"/>
      <c r="AA66" s="538" t="n"/>
      <c r="AB66" s="489" t="n"/>
      <c r="AC66" s="489" t="n"/>
      <c r="AD66" s="489" t="n"/>
      <c r="AE66" s="489" t="n"/>
      <c r="AF66" s="538" t="n"/>
      <c r="AG66" s="489" t="n"/>
      <c r="AH66" s="489" t="n"/>
      <c r="AI66" s="489" t="n"/>
      <c r="AJ66" s="489" t="n"/>
      <c r="AK66" s="538" t="n"/>
    </row>
    <row r="67" ht="15" customHeight="1" s="462">
      <c r="B67" s="515" t="n"/>
      <c r="G67" s="515" t="n"/>
      <c r="L67" s="515" t="n"/>
      <c r="Q67" s="515" t="n"/>
      <c r="V67" s="515" t="n"/>
      <c r="AA67" s="515" t="n"/>
      <c r="AF67" s="515" t="n"/>
      <c r="AK67" s="515" t="n"/>
    </row>
    <row r="68" ht="15" customHeight="1" s="462">
      <c r="A68" s="508" t="inlineStr">
        <is>
          <t>Cash and Bank Balances</t>
        </is>
      </c>
      <c r="B68" s="507" t="n"/>
      <c r="C68" s="559" t="inlineStr">
        <is>
          <t>Quarterly data not available</t>
        </is>
      </c>
      <c r="G68" s="507" t="n"/>
      <c r="H68" s="559" t="inlineStr">
        <is>
          <t>Quarterly data not available</t>
        </is>
      </c>
      <c r="L68" s="507" t="n"/>
      <c r="M68" s="559" t="inlineStr">
        <is>
          <t>Quarterly data not available</t>
        </is>
      </c>
      <c r="Q68" s="507" t="n"/>
      <c r="R68" s="559" t="inlineStr">
        <is>
          <t>Quarterly data not available</t>
        </is>
      </c>
      <c r="V68" s="507" t="n"/>
      <c r="W68" s="559" t="inlineStr">
        <is>
          <t>Quarterly data not available</t>
        </is>
      </c>
      <c r="AA68" s="507" t="n"/>
      <c r="AB68" s="559" t="inlineStr">
        <is>
          <t>Quarterly data not available</t>
        </is>
      </c>
      <c r="AF68" s="507" t="n"/>
      <c r="AG68" s="559" t="inlineStr">
        <is>
          <t>Quarterly data not available</t>
        </is>
      </c>
      <c r="AK68" s="507" t="n"/>
    </row>
    <row r="69" ht="15" customHeight="1" s="462">
      <c r="A69" s="508" t="inlineStr">
        <is>
          <t>Capex</t>
        </is>
      </c>
      <c r="B69" s="507" t="n"/>
      <c r="G69" s="507" t="n"/>
      <c r="L69" s="507" t="n"/>
      <c r="Q69" s="507" t="n"/>
      <c r="V69" s="507" t="n"/>
      <c r="AA69" s="507" t="n"/>
      <c r="AF69" s="507" t="n"/>
      <c r="AK69" s="507" t="n"/>
      <c r="AL69" s="490" t="n"/>
      <c r="AM69" s="490" t="n"/>
      <c r="AN69" s="490" t="n"/>
      <c r="AO69" s="461" t="n"/>
      <c r="AP69" s="461" t="n"/>
      <c r="AQ69" s="461" t="n"/>
    </row>
    <row r="70" ht="15" customHeight="1" s="462">
      <c r="A70" s="508" t="inlineStr">
        <is>
          <t>Total Debt</t>
        </is>
      </c>
      <c r="B70" s="507" t="n"/>
      <c r="G70" s="507" t="n"/>
      <c r="L70" s="507" t="n"/>
      <c r="Q70" s="507" t="n"/>
      <c r="V70" s="507" t="n"/>
      <c r="AA70" s="507" t="n"/>
      <c r="AF70" s="507" t="n"/>
      <c r="AK70" s="507" t="n"/>
      <c r="AL70" s="490" t="n"/>
      <c r="AM70" s="490" t="n"/>
      <c r="AN70" s="490" t="n"/>
      <c r="AO70" s="490" t="n"/>
      <c r="AP70" s="490" t="n"/>
      <c r="AQ70" s="461" t="n"/>
    </row>
    <row r="71" ht="15" customHeight="1" s="462">
      <c r="A71" s="508" t="inlineStr">
        <is>
          <t>Total Shareholder's Equity</t>
        </is>
      </c>
      <c r="B71" s="507" t="n"/>
      <c r="G71" s="507" t="n"/>
      <c r="L71" s="507" t="n"/>
      <c r="Q71" s="507" t="n"/>
      <c r="V71" s="507" t="n"/>
      <c r="AA71" s="507" t="n"/>
      <c r="AF71" s="507" t="n"/>
      <c r="AK71" s="507" t="n"/>
      <c r="AL71" s="461" t="n"/>
      <c r="AM71" s="461" t="n"/>
      <c r="AN71" s="461" t="n"/>
      <c r="AO71" s="461" t="n"/>
      <c r="AP71" s="461" t="n"/>
      <c r="AQ71" s="461" t="n"/>
    </row>
    <row r="72" ht="15" customHeight="1" s="462">
      <c r="A72" s="508" t="inlineStr">
        <is>
          <t>Cash Ratio</t>
        </is>
      </c>
      <c r="B72" s="560" t="n"/>
      <c r="G72" s="560" t="n"/>
      <c r="L72" s="560" t="n"/>
      <c r="Q72" s="560" t="n"/>
      <c r="V72" s="560" t="n"/>
      <c r="AA72" s="560" t="n"/>
      <c r="AF72" s="560" t="n"/>
      <c r="AK72" s="560" t="n"/>
      <c r="AL72" s="461" t="n"/>
      <c r="AM72" s="461" t="n"/>
      <c r="AN72" s="461" t="n"/>
      <c r="AO72" s="461" t="n"/>
      <c r="AP72" s="461" t="n"/>
      <c r="AQ72" s="461" t="n"/>
    </row>
    <row r="73" ht="15" customHeight="1" s="462">
      <c r="A73" s="508" t="inlineStr">
        <is>
          <t>Days Sales Outstanding (DSO)</t>
        </is>
      </c>
      <c r="B73" s="507" t="n"/>
      <c r="G73" s="507" t="n"/>
      <c r="L73" s="507" t="n"/>
      <c r="Q73" s="507" t="n"/>
      <c r="V73" s="507" t="n"/>
      <c r="AA73" s="507" t="n"/>
      <c r="AF73" s="507" t="n"/>
      <c r="AK73" s="507" t="n"/>
      <c r="AL73" s="461" t="n"/>
      <c r="AM73" s="461" t="n"/>
      <c r="AN73" s="461" t="n"/>
      <c r="AO73" s="461" t="n"/>
      <c r="AP73" s="461" t="n"/>
      <c r="AQ73" s="461" t="n"/>
    </row>
    <row r="74" ht="15" customHeight="1" s="462">
      <c r="A74" s="508" t="inlineStr">
        <is>
          <t>Inventory Days</t>
        </is>
      </c>
      <c r="B74" s="507" t="n"/>
      <c r="G74" s="507" t="n"/>
      <c r="L74" s="507" t="n"/>
      <c r="Q74" s="507" t="n"/>
      <c r="V74" s="507" t="n"/>
      <c r="AA74" s="507" t="n"/>
      <c r="AF74" s="507" t="n"/>
      <c r="AK74" s="507" t="n"/>
      <c r="AL74" s="461" t="n"/>
      <c r="AM74" s="461" t="n"/>
      <c r="AN74" s="461" t="n"/>
      <c r="AO74" s="461" t="n"/>
      <c r="AP74" s="461" t="n"/>
      <c r="AQ74" s="461" t="n"/>
    </row>
    <row r="75" ht="15" customHeight="1" s="462">
      <c r="A75" s="508" t="inlineStr">
        <is>
          <t>Payable Days</t>
        </is>
      </c>
      <c r="B75" s="507" t="n"/>
      <c r="G75" s="507" t="n"/>
      <c r="L75" s="507" t="n"/>
      <c r="Q75" s="507" t="n"/>
      <c r="V75" s="507" t="n"/>
      <c r="AA75" s="507" t="n"/>
      <c r="AF75" s="507" t="n"/>
      <c r="AK75" s="507" t="n"/>
      <c r="AL75" s="461" t="n"/>
      <c r="AM75" s="461" t="n"/>
      <c r="AN75" s="461" t="n"/>
      <c r="AO75" s="461" t="n"/>
      <c r="AP75" s="461" t="n"/>
      <c r="AQ75" s="461" t="n"/>
    </row>
    <row r="76" ht="15" customHeight="1" s="462">
      <c r="A76" s="508" t="inlineStr">
        <is>
          <t>Book Value Per Share</t>
        </is>
      </c>
      <c r="B76" s="507" t="n"/>
      <c r="G76" s="507" t="n"/>
      <c r="L76" s="507" t="n"/>
      <c r="Q76" s="507" t="n"/>
      <c r="V76" s="507" t="n"/>
      <c r="AA76" s="507" t="n"/>
      <c r="AF76" s="507" t="n"/>
      <c r="AK76" s="507" t="n"/>
    </row>
    <row r="77" ht="15" customHeight="1" s="462">
      <c r="A77" s="508" t="inlineStr">
        <is>
          <t>Net Cash Per Share</t>
        </is>
      </c>
      <c r="B77" s="507" t="n"/>
      <c r="G77" s="507" t="n"/>
      <c r="L77" s="507" t="n"/>
      <c r="Q77" s="507" t="n"/>
      <c r="V77" s="507" t="n"/>
      <c r="AA77" s="507" t="n"/>
      <c r="AF77" s="507" t="n"/>
      <c r="AK77" s="507" t="n"/>
    </row>
    <row r="78" ht="15" customHeight="1" s="462">
      <c r="B78" s="515" t="n"/>
      <c r="G78" s="515" t="n"/>
      <c r="L78" s="515" t="n"/>
      <c r="Q78" s="515" t="n"/>
      <c r="V78" s="515" t="n"/>
      <c r="AA78" s="515" t="n"/>
      <c r="AF78" s="515" t="n"/>
      <c r="AK78" s="515" t="n"/>
    </row>
    <row r="79" ht="15" customHeight="1" s="462">
      <c r="B79" s="515" t="n"/>
      <c r="G79" s="515" t="n"/>
      <c r="L79" s="515" t="n"/>
      <c r="Q79" s="515" t="n"/>
      <c r="V79" s="515" t="n"/>
      <c r="AA79" s="515" t="n"/>
      <c r="AF79" s="515" t="n"/>
      <c r="AK79" s="515" t="n"/>
    </row>
    <row r="80" ht="15.75" customHeight="1" s="462">
      <c r="A80" s="491" t="inlineStr">
        <is>
          <t>Valuation Metrics</t>
        </is>
      </c>
      <c r="B80" s="538" t="n"/>
      <c r="C80" s="489" t="n"/>
      <c r="D80" s="489" t="n"/>
      <c r="E80" s="489" t="n"/>
      <c r="F80" s="489" t="n"/>
      <c r="G80" s="538" t="n"/>
      <c r="H80" s="489" t="n"/>
      <c r="I80" s="489" t="n"/>
      <c r="J80" s="489" t="n"/>
      <c r="K80" s="489" t="n"/>
      <c r="L80" s="538" t="n"/>
      <c r="M80" s="489" t="n"/>
      <c r="N80" s="489" t="n"/>
      <c r="O80" s="489" t="n"/>
      <c r="P80" s="489" t="n"/>
      <c r="Q80" s="538" t="n"/>
      <c r="R80" s="489" t="n"/>
      <c r="S80" s="489" t="n"/>
      <c r="T80" s="489" t="n"/>
      <c r="U80" s="489" t="n"/>
      <c r="V80" s="538" t="n"/>
      <c r="W80" s="489" t="n"/>
      <c r="X80" s="489" t="n"/>
      <c r="Y80" s="489" t="n"/>
      <c r="Z80" s="489" t="n"/>
      <c r="AA80" s="538" t="n"/>
      <c r="AB80" s="489" t="n"/>
      <c r="AC80" s="489" t="n"/>
      <c r="AD80" s="489" t="n"/>
      <c r="AE80" s="489" t="n"/>
      <c r="AF80" s="538" t="n"/>
      <c r="AG80" s="489" t="n"/>
      <c r="AH80" s="489" t="n"/>
      <c r="AI80" s="489" t="n"/>
      <c r="AJ80" s="489" t="n"/>
      <c r="AK80" s="538" t="n"/>
    </row>
    <row r="81" ht="15" customHeight="1" s="462">
      <c r="A81" s="461" t="n"/>
      <c r="B81" s="515" t="n"/>
      <c r="G81" s="515" t="n"/>
      <c r="L81" s="515" t="n"/>
      <c r="Q81" s="515" t="n"/>
      <c r="V81" s="515" t="n"/>
      <c r="AA81" s="515" t="n"/>
      <c r="AF81" s="515" t="n"/>
      <c r="AK81" s="515" t="n"/>
    </row>
    <row r="82" ht="15" customFormat="1" customHeight="1" s="546">
      <c r="A82" s="554" t="inlineStr">
        <is>
          <t>EBITDA Margin (%)</t>
        </is>
      </c>
      <c r="B82" s="550" t="n"/>
      <c r="C82" s="551" t="n"/>
      <c r="D82" s="551" t="n"/>
      <c r="E82" s="551" t="n"/>
      <c r="F82" s="551" t="n"/>
      <c r="G82" s="550" t="n"/>
      <c r="H82" s="551" t="n"/>
      <c r="I82" s="551" t="n"/>
      <c r="J82" s="551" t="n"/>
      <c r="K82" s="551" t="n"/>
      <c r="L82" s="550" t="n"/>
      <c r="M82" s="551" t="n"/>
      <c r="N82" s="551" t="n"/>
      <c r="O82" s="551" t="n"/>
      <c r="P82" s="551" t="n"/>
      <c r="Q82" s="550" t="n"/>
      <c r="R82" s="551" t="n"/>
      <c r="S82" s="551" t="n"/>
      <c r="T82" s="551" t="n"/>
      <c r="U82" s="551" t="n"/>
      <c r="V82" s="550" t="n"/>
      <c r="W82" s="551" t="n"/>
      <c r="X82" s="551" t="n"/>
      <c r="Y82" s="551" t="n"/>
      <c r="Z82" s="551" t="n"/>
      <c r="AA82" s="550" t="n"/>
      <c r="AB82" s="551" t="n"/>
      <c r="AC82" s="551" t="n"/>
      <c r="AD82" s="551" t="n"/>
      <c r="AE82" s="551" t="n"/>
      <c r="AF82" s="550" t="n"/>
      <c r="AG82" s="551" t="n"/>
      <c r="AH82" s="551" t="n"/>
      <c r="AI82" s="551" t="n"/>
      <c r="AJ82" s="551" t="n"/>
      <c r="AK82" s="550" t="n"/>
    </row>
    <row r="83" ht="15" customFormat="1" customHeight="1" s="546">
      <c r="A83" s="554" t="inlineStr">
        <is>
          <t>EBIT Margin (%)</t>
        </is>
      </c>
      <c r="B83" s="550" t="n"/>
      <c r="C83" s="551" t="n"/>
      <c r="D83" s="551" t="n"/>
      <c r="E83" s="551" t="n"/>
      <c r="F83" s="551" t="n"/>
      <c r="G83" s="550" t="n"/>
      <c r="H83" s="551" t="n"/>
      <c r="I83" s="551" t="n"/>
      <c r="J83" s="551" t="n"/>
      <c r="K83" s="551" t="n"/>
      <c r="L83" s="550" t="n"/>
      <c r="M83" s="551" t="n"/>
      <c r="N83" s="551" t="n"/>
      <c r="O83" s="551" t="n"/>
      <c r="P83" s="551" t="n"/>
      <c r="Q83" s="550" t="n"/>
      <c r="R83" s="551" t="n"/>
      <c r="S83" s="551" t="n"/>
      <c r="T83" s="551" t="n"/>
      <c r="U83" s="551" t="n"/>
      <c r="V83" s="550" t="n"/>
      <c r="W83" s="551" t="n"/>
      <c r="X83" s="551" t="n"/>
      <c r="Y83" s="551" t="n"/>
      <c r="Z83" s="551" t="n"/>
      <c r="AA83" s="550" t="n"/>
      <c r="AB83" s="551" t="n"/>
      <c r="AC83" s="551" t="n"/>
      <c r="AD83" s="551" t="n"/>
      <c r="AE83" s="551" t="n"/>
      <c r="AF83" s="550" t="n"/>
      <c r="AG83" s="551" t="n"/>
      <c r="AH83" s="551" t="n"/>
      <c r="AI83" s="551" t="n"/>
      <c r="AJ83" s="551" t="n"/>
      <c r="AK83" s="550" t="n"/>
    </row>
    <row r="84" ht="15" customFormat="1" customHeight="1" s="546">
      <c r="A84" s="554" t="inlineStr">
        <is>
          <t>Net Profit Margin (%)</t>
        </is>
      </c>
      <c r="B84" s="550" t="n"/>
      <c r="C84" s="551" t="n"/>
      <c r="D84" s="551" t="n"/>
      <c r="E84" s="551" t="n"/>
      <c r="F84" s="551" t="n"/>
      <c r="G84" s="550" t="n"/>
      <c r="H84" s="551" t="n"/>
      <c r="I84" s="551" t="n"/>
      <c r="J84" s="551" t="n"/>
      <c r="K84" s="551" t="n"/>
      <c r="L84" s="550" t="n"/>
      <c r="M84" s="551" t="n"/>
      <c r="N84" s="551" t="n"/>
      <c r="O84" s="551" t="n"/>
      <c r="P84" s="551" t="n"/>
      <c r="Q84" s="550" t="n"/>
      <c r="R84" s="551" t="n"/>
      <c r="S84" s="551" t="n"/>
      <c r="T84" s="551" t="n"/>
      <c r="U84" s="551" t="n"/>
      <c r="V84" s="550" t="n"/>
      <c r="W84" s="551" t="n"/>
      <c r="X84" s="551" t="n"/>
      <c r="Y84" s="551" t="n"/>
      <c r="Z84" s="551" t="n"/>
      <c r="AA84" s="550" t="n"/>
      <c r="AB84" s="551" t="n"/>
      <c r="AC84" s="551" t="n"/>
      <c r="AD84" s="551" t="n"/>
      <c r="AE84" s="551" t="n"/>
      <c r="AF84" s="550" t="n"/>
      <c r="AG84" s="551" t="n"/>
      <c r="AH84" s="551" t="n"/>
      <c r="AI84" s="551" t="n"/>
      <c r="AJ84" s="551" t="n"/>
      <c r="AK84" s="550" t="n"/>
    </row>
    <row r="85" ht="15" customHeight="1" s="462">
      <c r="A85" s="508" t="n"/>
      <c r="B85" s="515" t="n"/>
      <c r="G85" s="515" t="n"/>
      <c r="L85" s="515" t="n"/>
      <c r="Q85" s="515" t="n"/>
      <c r="V85" s="515" t="n"/>
      <c r="AA85" s="515" t="n"/>
      <c r="AF85" s="515" t="n"/>
      <c r="AK85" s="515" t="n"/>
    </row>
    <row r="86" ht="15" customHeight="1" s="462">
      <c r="A86" s="511" t="inlineStr">
        <is>
          <t>Interest Cover</t>
        </is>
      </c>
      <c r="B86" s="513" t="n"/>
      <c r="C86" s="512" t="n"/>
      <c r="D86" s="512" t="n"/>
      <c r="E86" s="512" t="n"/>
      <c r="F86" s="512" t="n"/>
      <c r="G86" s="513" t="n"/>
      <c r="H86" s="512" t="n"/>
      <c r="I86" s="512" t="n"/>
      <c r="J86" s="512" t="n"/>
      <c r="K86" s="512" t="n"/>
      <c r="L86" s="513" t="n"/>
      <c r="M86" s="512" t="n"/>
      <c r="N86" s="512" t="n"/>
      <c r="O86" s="512" t="n"/>
      <c r="P86" s="512" t="n"/>
      <c r="Q86" s="513" t="n"/>
      <c r="R86" s="512" t="n"/>
      <c r="S86" s="512" t="n"/>
      <c r="T86" s="512" t="n"/>
      <c r="U86" s="512" t="n"/>
      <c r="V86" s="513" t="n"/>
      <c r="W86" s="512" t="n"/>
      <c r="X86" s="512" t="n"/>
      <c r="Y86" s="512" t="n"/>
      <c r="Z86" s="512" t="n"/>
      <c r="AA86" s="513" t="n"/>
      <c r="AB86" s="512" t="n"/>
      <c r="AC86" s="512" t="n"/>
      <c r="AD86" s="512" t="n"/>
      <c r="AE86" s="512" t="n"/>
      <c r="AF86" s="513" t="n"/>
      <c r="AG86" s="512" t="n"/>
      <c r="AH86" s="512" t="n"/>
      <c r="AI86" s="512" t="n"/>
      <c r="AJ86" s="512" t="n"/>
      <c r="AK86" s="513" t="n"/>
    </row>
    <row r="87" ht="15" customHeight="1" s="462">
      <c r="A87" s="561" t="inlineStr">
        <is>
          <t>ROE</t>
        </is>
      </c>
      <c r="B87" s="562" t="n"/>
      <c r="C87" s="514" t="inlineStr">
        <is>
          <t>Quarterly data not available</t>
        </is>
      </c>
      <c r="G87" s="562" t="n"/>
      <c r="H87" s="514" t="inlineStr">
        <is>
          <t>Quarterly data not available</t>
        </is>
      </c>
      <c r="L87" s="562" t="n"/>
      <c r="M87" s="514" t="inlineStr">
        <is>
          <t>Quarterly data not available</t>
        </is>
      </c>
      <c r="Q87" s="562" t="n"/>
      <c r="R87" s="514" t="inlineStr">
        <is>
          <t>Quarterly data not available</t>
        </is>
      </c>
      <c r="V87" s="562" t="n"/>
      <c r="W87" s="514" t="inlineStr">
        <is>
          <t>Quarterly data not available</t>
        </is>
      </c>
      <c r="AA87" s="562" t="n"/>
      <c r="AB87" s="514" t="inlineStr">
        <is>
          <t>Quarterly data not available</t>
        </is>
      </c>
      <c r="AF87" s="562" t="n"/>
      <c r="AG87" s="514" t="inlineStr">
        <is>
          <t>Quarterly data not available</t>
        </is>
      </c>
      <c r="AK87" s="562" t="n"/>
    </row>
    <row r="88" ht="15" customHeight="1" s="462">
      <c r="A88" s="508" t="inlineStr">
        <is>
          <t>EV/Sales</t>
        </is>
      </c>
      <c r="B88" s="515" t="n"/>
      <c r="G88" s="515" t="n"/>
      <c r="L88" s="515" t="n"/>
      <c r="N88" s="506" t="n"/>
      <c r="O88" s="506" t="n"/>
      <c r="P88" s="506" t="n"/>
      <c r="Q88" s="563" t="n"/>
      <c r="R88" s="521" t="n"/>
      <c r="S88" s="521" t="n"/>
      <c r="T88" s="521" t="n"/>
      <c r="U88" s="521" t="n"/>
      <c r="V88" s="563" t="n"/>
      <c r="W88" s="521" t="n"/>
      <c r="X88" s="521" t="n"/>
      <c r="Y88" s="521" t="n"/>
      <c r="Z88" s="521" t="n"/>
      <c r="AA88" s="563" t="n"/>
      <c r="AB88" s="521" t="n"/>
      <c r="AC88" s="521" t="n"/>
      <c r="AD88" s="521" t="n"/>
      <c r="AE88" s="521" t="n"/>
      <c r="AF88" s="563" t="n"/>
      <c r="AG88" s="521" t="n"/>
      <c r="AH88" s="521" t="n"/>
      <c r="AI88" s="521" t="n"/>
      <c r="AJ88" s="521" t="n"/>
      <c r="AK88" s="563" t="n"/>
      <c r="AL88" s="506" t="n"/>
    </row>
    <row r="89" ht="15" customHeight="1" s="462">
      <c r="A89" s="508" t="inlineStr">
        <is>
          <t>EV/EBITDA</t>
        </is>
      </c>
      <c r="B89" s="515" t="n"/>
      <c r="G89" s="515" t="n"/>
      <c r="L89" s="515" t="n"/>
      <c r="N89" s="506" t="n"/>
      <c r="O89" s="506" t="n"/>
      <c r="P89" s="506" t="n"/>
      <c r="Q89" s="563" t="n"/>
      <c r="R89" s="521" t="n"/>
      <c r="S89" s="521" t="n"/>
      <c r="T89" s="521" t="n"/>
      <c r="U89" s="521" t="n"/>
      <c r="V89" s="563" t="n"/>
      <c r="W89" s="521" t="n"/>
      <c r="X89" s="521" t="n"/>
      <c r="Y89" s="521" t="n"/>
      <c r="Z89" s="521" t="n"/>
      <c r="AA89" s="563" t="n"/>
      <c r="AB89" s="521" t="n"/>
      <c r="AC89" s="521" t="n"/>
      <c r="AD89" s="521" t="n"/>
      <c r="AE89" s="521" t="n"/>
      <c r="AF89" s="563" t="n"/>
      <c r="AG89" s="521" t="n"/>
      <c r="AH89" s="521" t="n"/>
      <c r="AI89" s="521" t="n"/>
      <c r="AJ89" s="521" t="n"/>
      <c r="AK89" s="563" t="n"/>
    </row>
    <row r="90" ht="15" customHeight="1" s="462">
      <c r="A90" s="508" t="inlineStr">
        <is>
          <t>P/E</t>
        </is>
      </c>
      <c r="B90" s="515" t="n"/>
      <c r="G90" s="515" t="n"/>
      <c r="L90" s="515" t="n"/>
      <c r="N90" s="506" t="n"/>
      <c r="O90" s="506" t="n"/>
      <c r="P90" s="506" t="n"/>
      <c r="Q90" s="563" t="n"/>
      <c r="R90" s="521" t="n"/>
      <c r="S90" s="521" t="n"/>
      <c r="T90" s="521" t="n"/>
      <c r="U90" s="521" t="n"/>
      <c r="V90" s="563" t="n"/>
      <c r="W90" s="521" t="n"/>
      <c r="X90" s="521" t="n"/>
      <c r="Y90" s="521" t="n"/>
      <c r="Z90" s="521" t="n"/>
      <c r="AA90" s="563" t="n"/>
      <c r="AB90" s="521" t="n"/>
      <c r="AC90" s="521" t="n"/>
      <c r="AD90" s="521" t="n"/>
      <c r="AE90" s="521" t="n"/>
      <c r="AF90" s="563" t="n"/>
      <c r="AG90" s="521" t="n"/>
      <c r="AH90" s="521" t="n"/>
      <c r="AI90" s="521" t="n"/>
      <c r="AJ90" s="521" t="n"/>
      <c r="AK90" s="563" t="n"/>
    </row>
    <row r="91" ht="15.75" customHeight="1" s="462">
      <c r="A91" s="564" t="n"/>
      <c r="B91" s="565" t="n"/>
      <c r="C91" s="566" t="n"/>
      <c r="D91" s="566" t="n"/>
      <c r="E91" s="566" t="n"/>
      <c r="F91" s="566" t="n"/>
      <c r="G91" s="565" t="n"/>
      <c r="H91" s="566" t="n"/>
      <c r="I91" s="566" t="n"/>
      <c r="J91" s="566" t="n"/>
      <c r="K91" s="566" t="n"/>
      <c r="L91" s="565" t="n"/>
      <c r="M91" s="566" t="n"/>
      <c r="N91" s="566" t="n"/>
      <c r="O91" s="566" t="n"/>
      <c r="P91" s="566" t="n"/>
      <c r="Q91" s="565" t="n"/>
      <c r="R91" s="566" t="n"/>
      <c r="S91" s="566" t="n"/>
      <c r="T91" s="566" t="n"/>
      <c r="U91" s="566" t="n"/>
      <c r="V91" s="565" t="n"/>
      <c r="W91" s="566" t="n"/>
      <c r="X91" s="566" t="n"/>
      <c r="Y91" s="566" t="n"/>
      <c r="Z91" s="566" t="n"/>
      <c r="AA91" s="565" t="n"/>
      <c r="AB91" s="566" t="n"/>
      <c r="AC91" s="566" t="n"/>
      <c r="AD91" s="566" t="n"/>
      <c r="AE91" s="566" t="n"/>
      <c r="AF91" s="565" t="n"/>
      <c r="AG91" s="566" t="n"/>
      <c r="AH91" s="566" t="n"/>
      <c r="AI91" s="566" t="n"/>
      <c r="AJ91" s="566" t="n"/>
      <c r="AK91" s="565" t="n"/>
      <c r="AL91" s="566" t="n"/>
      <c r="AM91" s="566" t="n"/>
      <c r="AN91" s="566" t="n"/>
      <c r="AO91" s="566" t="n"/>
      <c r="AP91" s="567" t="n"/>
    </row>
  </sheetData>
  <mergeCells count="21">
    <mergeCell ref="AG87:AJ87"/>
    <mergeCell ref="H87:K87"/>
    <mergeCell ref="AG68:AJ77"/>
    <mergeCell ref="R68:U77"/>
    <mergeCell ref="AB87:AE87"/>
    <mergeCell ref="AB68:AE77"/>
    <mergeCell ref="C87:F87"/>
    <mergeCell ref="C68:F77"/>
    <mergeCell ref="W87:Z87"/>
    <mergeCell ref="M87:P87"/>
    <mergeCell ref="W68:Z77"/>
    <mergeCell ref="M68:P77"/>
    <mergeCell ref="H68:K77"/>
    <mergeCell ref="R87:U87"/>
    <mergeCell ref="AB8:AE11"/>
    <mergeCell ref="C8:F11"/>
    <mergeCell ref="M8:P11"/>
    <mergeCell ref="W8:Z11"/>
    <mergeCell ref="H8:K11"/>
    <mergeCell ref="AG8:AJ11"/>
    <mergeCell ref="R8:U11"/>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P77"/>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42" activePane="bottomRight" state="frozen"/>
      <selection pane="topLeft" activeCell="A1" activeCellId="0" sqref="A1"/>
      <selection pane="topRight" activeCell="B1" activeCellId="0" sqref="B1"/>
      <selection pane="bottomLeft" activeCell="A42" activeCellId="0" sqref="A42"/>
      <selection pane="bottomRight" activeCell="AA63" activeCellId="0" sqref="AA63"/>
    </sheetView>
  </sheetViews>
  <sheetFormatPr baseColWidth="8" defaultColWidth="8.96875" defaultRowHeight="15" zeroHeight="0" outlineLevelRow="0"/>
  <cols>
    <col width="43.71" customWidth="1" style="461" min="1" max="1"/>
    <col width="10.56" customWidth="1" style="461" min="2" max="2"/>
    <col hidden="1" outlineLevel="1" width="9.56" customWidth="1" style="461" min="3" max="5"/>
    <col hidden="1" outlineLevel="1" width="12.42" customWidth="1" style="461" min="6" max="6"/>
    <col width="10.56" customWidth="1" style="461" min="7" max="7"/>
    <col hidden="1" outlineLevel="1" width="10.28" customWidth="1" style="461" min="8" max="8"/>
    <col hidden="1" outlineLevel="1" width="10.85" customWidth="1" style="461" min="9" max="9"/>
    <col hidden="1" outlineLevel="1" width="9.56" customWidth="1" style="461" min="10" max="11"/>
    <col width="11.28" customWidth="1" style="461" min="12" max="12"/>
    <col hidden="1" outlineLevel="1" width="9.56" customWidth="1" style="461" min="13" max="14"/>
    <col hidden="1" outlineLevel="1" width="9.710000000000001" customWidth="1" style="461" min="15" max="15"/>
    <col hidden="1" outlineLevel="1" width="11.28" customWidth="1" style="461" min="16" max="16"/>
    <col width="11.56" customWidth="1" style="461" min="17" max="17"/>
    <col hidden="1" outlineLevel="1" width="9.56" customWidth="1" style="468" min="18" max="18"/>
    <col hidden="1" outlineLevel="1" width="10.56" customWidth="1" style="461" min="19" max="21"/>
    <col width="10.56" customWidth="1" style="461" min="22" max="22"/>
    <col hidden="1" outlineLevel="1" width="10.56" customWidth="1" style="461" min="23" max="26"/>
    <col width="10.56" customWidth="1" style="461" min="27" max="27"/>
    <col hidden="1" outlineLevel="1" width="10.56" customWidth="1" style="461" min="28" max="31"/>
    <col width="10.56" customWidth="1" style="461" min="32" max="32"/>
    <col hidden="1" outlineLevel="1" width="10.56" customWidth="1" style="461" min="33" max="36"/>
    <col width="10.56" customWidth="1" style="461" min="37" max="37"/>
    <col hidden="1" outlineLevel="1" width="10.56" customWidth="1" style="461" min="38" max="41"/>
    <col width="10.56" customWidth="1" style="461" min="42" max="42"/>
  </cols>
  <sheetData>
    <row r="1" ht="18.75" customHeight="1" s="462">
      <c r="A1" s="487" t="inlineStr">
        <is>
          <t>Aurobindo Pharma</t>
        </is>
      </c>
      <c r="C1" s="568" t="n"/>
      <c r="E1" s="568" t="n"/>
    </row>
    <row r="2" ht="15.75" customHeight="1" s="462">
      <c r="A2" s="488" t="inlineStr">
        <is>
          <t>Profit &amp; Loss Consolidated</t>
        </is>
      </c>
      <c r="B2" s="468" t="n"/>
      <c r="C2" s="569" t="n"/>
      <c r="D2" s="468" t="n"/>
      <c r="E2" s="570" t="n"/>
      <c r="F2" s="468" t="n"/>
      <c r="G2" s="571" t="n"/>
      <c r="J2" s="506" t="n"/>
      <c r="T2" s="572" t="n"/>
    </row>
    <row r="3" ht="15.75" customHeight="1" s="462">
      <c r="A3" s="489" t="inlineStr">
        <is>
          <t>(In Rs Millions, Except per share items)</t>
        </is>
      </c>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c r="AL3" s="489" t="n"/>
      <c r="AM3" s="489" t="n"/>
      <c r="AN3" s="489" t="n"/>
      <c r="AO3" s="489" t="n"/>
      <c r="AP3" s="489" t="n"/>
    </row>
    <row r="4" ht="45" customHeight="1" s="462">
      <c r="A4" s="532" t="inlineStr">
        <is>
          <t>For the Fiscal Period Ending</t>
        </is>
      </c>
      <c r="B4" s="533" t="inlineStr">
        <is>
          <t>FY2006 A</t>
        </is>
      </c>
      <c r="C4" s="534" t="inlineStr">
        <is>
          <t>3 months 
Jun-30-2006</t>
        </is>
      </c>
      <c r="D4" s="534" t="inlineStr">
        <is>
          <t>3 months 
Sep-30-2006</t>
        </is>
      </c>
      <c r="E4" s="534" t="inlineStr">
        <is>
          <t>3 months 
Dec-31-2006</t>
        </is>
      </c>
      <c r="F4" s="534" t="inlineStr">
        <is>
          <t>3 months 
Mar-31-2007</t>
        </is>
      </c>
      <c r="G4" s="533" t="inlineStr">
        <is>
          <t>FY2007 A</t>
        </is>
      </c>
      <c r="H4" s="534" t="inlineStr">
        <is>
          <t>3 months 
Jun-30-2007</t>
        </is>
      </c>
      <c r="I4" s="534" t="inlineStr">
        <is>
          <t>3 months 
Sep-30-2007</t>
        </is>
      </c>
      <c r="J4" s="534" t="inlineStr">
        <is>
          <t>3 months 
Dec-31-2007</t>
        </is>
      </c>
      <c r="K4" s="534" t="inlineStr">
        <is>
          <t>3 months 
Mar-31-2008</t>
        </is>
      </c>
      <c r="L4" s="533" t="inlineStr">
        <is>
          <t>FY2008 A</t>
        </is>
      </c>
      <c r="M4" s="534" t="inlineStr">
        <is>
          <t>3 months 
Jun-30-2008</t>
        </is>
      </c>
      <c r="N4" s="534" t="inlineStr">
        <is>
          <t>3 months 
Sep-30-2008</t>
        </is>
      </c>
      <c r="O4" s="534" t="inlineStr">
        <is>
          <t>3 months 
Dec-31-2008</t>
        </is>
      </c>
      <c r="P4" s="534" t="inlineStr">
        <is>
          <t>3 months 
Mar-31-2009</t>
        </is>
      </c>
      <c r="Q4" s="533" t="inlineStr">
        <is>
          <t>FY2009 A</t>
        </is>
      </c>
      <c r="R4" s="534" t="inlineStr">
        <is>
          <t>3 months 
Jun-30-2009</t>
        </is>
      </c>
      <c r="S4" s="535" t="inlineStr">
        <is>
          <t>3 months 
Sep-30-2009</t>
        </is>
      </c>
      <c r="T4" s="535" t="inlineStr">
        <is>
          <t>3 months 
Dec-31-2009</t>
        </is>
      </c>
      <c r="U4" s="535" t="inlineStr">
        <is>
          <t>3 months 
Mar-31-2010</t>
        </is>
      </c>
      <c r="V4" s="536" t="inlineStr">
        <is>
          <t>FY2010 E</t>
        </is>
      </c>
      <c r="W4" s="535" t="inlineStr">
        <is>
          <t>3 months 
Jun-30-2010</t>
        </is>
      </c>
      <c r="X4" s="535" t="inlineStr">
        <is>
          <t>3 months 
Sep-30-2010</t>
        </is>
      </c>
      <c r="Y4" s="535" t="inlineStr">
        <is>
          <t>3 months 
Dec-31-2010</t>
        </is>
      </c>
      <c r="Z4" s="535" t="inlineStr">
        <is>
          <t>3 months 
Mar-31-2011</t>
        </is>
      </c>
      <c r="AA4" s="536" t="inlineStr">
        <is>
          <t>FY2011 E</t>
        </is>
      </c>
      <c r="AB4" s="535" t="inlineStr">
        <is>
          <t>3 months 
Jun-30-2011</t>
        </is>
      </c>
      <c r="AC4" s="535" t="inlineStr">
        <is>
          <t>3 months 
Sep-30-2011</t>
        </is>
      </c>
      <c r="AD4" s="535" t="inlineStr">
        <is>
          <t>3 months 
Dec-31-2011</t>
        </is>
      </c>
      <c r="AE4" s="535" t="inlineStr">
        <is>
          <t>3 months 
Mar-31-2012</t>
        </is>
      </c>
      <c r="AF4" s="536" t="inlineStr">
        <is>
          <t>FY2012 E</t>
        </is>
      </c>
      <c r="AG4" s="535" t="inlineStr">
        <is>
          <t>3 months 
Jun-30-2012</t>
        </is>
      </c>
      <c r="AH4" s="535" t="inlineStr">
        <is>
          <t>3 months 
Sep-30-2012</t>
        </is>
      </c>
      <c r="AI4" s="535" t="inlineStr">
        <is>
          <t>3 months 
Dec-31-2012</t>
        </is>
      </c>
      <c r="AJ4" s="535" t="inlineStr">
        <is>
          <t>3 months 
Mar-31-2013</t>
        </is>
      </c>
      <c r="AK4" s="536" t="inlineStr">
        <is>
          <t>FY2013 E</t>
        </is>
      </c>
      <c r="AL4" s="535" t="inlineStr">
        <is>
          <t>3 months 
Jun-30-2013</t>
        </is>
      </c>
      <c r="AM4" s="535" t="inlineStr">
        <is>
          <t>3 months 
Sep-30-2013</t>
        </is>
      </c>
      <c r="AN4" s="535" t="inlineStr">
        <is>
          <t>3 months 
Dec-31-2013</t>
        </is>
      </c>
      <c r="AO4" s="535" t="inlineStr">
        <is>
          <t>3 months 
Mar-31-2014</t>
        </is>
      </c>
      <c r="AP4" s="536" t="inlineStr">
        <is>
          <t>FY2014 E</t>
        </is>
      </c>
    </row>
    <row r="5" ht="15" customHeight="1" s="462">
      <c r="B5" s="533" t="n"/>
      <c r="G5" s="533" t="n"/>
      <c r="L5" s="533" t="n"/>
      <c r="Q5" s="533" t="n"/>
      <c r="V5" s="533" t="n"/>
      <c r="AA5" s="533" t="n"/>
      <c r="AF5" s="533" t="n"/>
      <c r="AK5" s="533" t="n"/>
      <c r="AP5" s="533" t="n"/>
    </row>
    <row r="6" ht="15" customFormat="1" customHeight="1" s="461">
      <c r="A6" s="573" t="n"/>
      <c r="B6" s="515" t="n"/>
      <c r="G6" s="515" t="n"/>
      <c r="L6" s="515" t="n"/>
      <c r="Q6" s="515" t="n"/>
      <c r="R6" s="468" t="n"/>
      <c r="V6" s="515" t="n"/>
      <c r="AA6" s="515" t="n"/>
      <c r="AF6" s="515" t="n"/>
      <c r="AK6" s="515" t="n"/>
      <c r="AP6" s="515" t="n"/>
    </row>
    <row r="7" ht="15" customHeight="1" s="462">
      <c r="A7" s="491" t="inlineStr">
        <is>
          <t>Profit &amp; Loss  Consolidated</t>
        </is>
      </c>
      <c r="B7" s="515" t="n"/>
      <c r="C7" s="574" t="inlineStr">
        <is>
          <t xml:space="preserve"> Numbers for these Quarters are Stand Alone as Consolidated data was not available</t>
        </is>
      </c>
      <c r="F7" s="461" t="n"/>
      <c r="G7" s="515" t="n"/>
      <c r="H7" s="461" t="n"/>
      <c r="I7" s="461" t="n"/>
      <c r="J7" s="461" t="n"/>
      <c r="K7" s="506" t="n"/>
      <c r="L7" s="515" t="n"/>
      <c r="M7" s="461" t="n"/>
      <c r="N7" s="461" t="n"/>
      <c r="O7" s="461" t="n"/>
      <c r="P7" s="461" t="n"/>
      <c r="Q7" s="555" t="n"/>
      <c r="R7" s="521" t="n"/>
      <c r="S7" s="461" t="n"/>
      <c r="T7" s="461" t="n"/>
      <c r="U7" s="461" t="n"/>
      <c r="V7" s="558" t="n"/>
      <c r="W7" s="461" t="n"/>
      <c r="X7" s="461" t="n"/>
      <c r="Y7" s="461" t="n"/>
      <c r="Z7" s="461" t="n"/>
      <c r="AA7" s="555" t="n"/>
      <c r="AB7" s="461" t="n"/>
      <c r="AC7" s="461" t="n"/>
      <c r="AF7" s="515" t="n"/>
      <c r="AK7" s="515" t="n"/>
      <c r="AP7" s="515" t="n"/>
    </row>
    <row r="8" ht="15" customFormat="1" customHeight="1" s="461">
      <c r="A8" s="573" t="n"/>
      <c r="B8" s="515" t="n"/>
      <c r="G8" s="515" t="n"/>
      <c r="L8" s="515" t="n"/>
      <c r="Q8" s="515" t="n"/>
      <c r="R8" s="521" t="n"/>
      <c r="V8" s="558" t="n"/>
      <c r="AA8" s="515" t="n"/>
      <c r="AF8" s="515" t="n"/>
      <c r="AK8" s="515" t="n"/>
      <c r="AP8" s="515" t="n"/>
    </row>
    <row r="9" ht="15" customHeight="1" s="462">
      <c r="A9" s="461" t="inlineStr">
        <is>
          <t>Sales (including excise duty)</t>
        </is>
      </c>
      <c r="B9" s="575" t="n">
        <v>16955</v>
      </c>
      <c r="F9" s="576" t="n">
        <v>5611</v>
      </c>
      <c r="G9" s="575" t="n"/>
      <c r="H9" s="521" t="n"/>
      <c r="I9" s="521" t="n"/>
      <c r="J9" s="521" t="n"/>
      <c r="K9" s="506" t="n"/>
      <c r="L9" s="575" t="n"/>
      <c r="M9" s="521" t="n"/>
      <c r="N9" s="521" t="n"/>
      <c r="O9" s="521" t="n"/>
      <c r="P9" s="506" t="n"/>
      <c r="Q9" s="575" t="n"/>
      <c r="R9" s="521" t="n"/>
      <c r="S9" s="521" t="n"/>
      <c r="T9" s="521" t="n"/>
      <c r="U9" s="521" t="n"/>
      <c r="V9" s="577" t="n"/>
      <c r="W9" s="521" t="n"/>
      <c r="X9" s="521" t="n"/>
      <c r="Y9" s="521" t="n"/>
      <c r="Z9" s="521" t="n"/>
      <c r="AA9" s="577" t="n"/>
      <c r="AB9" s="521" t="n"/>
      <c r="AC9" s="521" t="n"/>
      <c r="AD9" s="521" t="n"/>
      <c r="AE9" s="521" t="n"/>
      <c r="AF9" s="577" t="n"/>
      <c r="AG9" s="521" t="n"/>
      <c r="AH9" s="521" t="n"/>
      <c r="AI9" s="521" t="n"/>
      <c r="AJ9" s="521" t="n"/>
      <c r="AK9" s="577" t="n"/>
      <c r="AL9" s="521" t="n"/>
      <c r="AM9" s="521" t="n"/>
      <c r="AN9" s="521" t="n"/>
      <c r="AO9" s="521" t="n"/>
      <c r="AP9" s="577" t="n"/>
    </row>
    <row r="10" ht="15" customHeight="1" s="462">
      <c r="A10" s="578" t="inlineStr">
        <is>
          <t>Less: Excise Duty</t>
        </is>
      </c>
      <c r="B10" s="575" t="n">
        <v>1018.9</v>
      </c>
      <c r="F10" s="576" t="n">
        <v>288</v>
      </c>
      <c r="G10" s="575" t="n">
        <v>1273</v>
      </c>
      <c r="H10" s="576" t="n">
        <v>341</v>
      </c>
      <c r="I10" s="576" t="n">
        <v>385.8</v>
      </c>
      <c r="J10" s="576" t="n">
        <v>406.3</v>
      </c>
      <c r="K10" s="576" t="n"/>
      <c r="L10" s="575" t="n">
        <v>1163.9</v>
      </c>
      <c r="M10" s="576" t="n">
        <v>271.3</v>
      </c>
      <c r="N10" s="576" t="n">
        <v>229.8</v>
      </c>
      <c r="O10" s="576" t="n">
        <v>216.7</v>
      </c>
      <c r="P10" s="579" t="n"/>
      <c r="Q10" s="575" t="n">
        <v>905.6</v>
      </c>
      <c r="R10" s="576" t="n">
        <v>170.6</v>
      </c>
      <c r="S10" s="580" t="n"/>
      <c r="T10" s="580" t="n"/>
      <c r="U10" s="580" t="n"/>
      <c r="V10" s="577" t="n"/>
      <c r="W10" s="506" t="n"/>
      <c r="X10" s="506" t="n"/>
      <c r="Y10" s="506" t="n"/>
      <c r="Z10" s="506" t="n"/>
      <c r="AA10" s="577" t="n"/>
      <c r="AB10" s="506" t="n"/>
      <c r="AC10" s="506" t="n"/>
      <c r="AD10" s="506" t="n"/>
      <c r="AE10" s="506" t="n"/>
      <c r="AF10" s="577" t="n"/>
      <c r="AG10" s="506" t="n"/>
      <c r="AH10" s="506" t="n"/>
      <c r="AI10" s="506" t="n"/>
      <c r="AJ10" s="506" t="n"/>
      <c r="AK10" s="577" t="n"/>
      <c r="AL10" s="506" t="n"/>
      <c r="AM10" s="506" t="n"/>
      <c r="AN10" s="506" t="n"/>
      <c r="AO10" s="506" t="n"/>
      <c r="AP10" s="577" t="n"/>
    </row>
    <row r="11" ht="15" customFormat="1" customHeight="1" s="461">
      <c r="A11" s="522" t="inlineStr">
        <is>
          <t>Net Sales</t>
        </is>
      </c>
      <c r="B11" s="563" t="n"/>
      <c r="C11" s="521" t="n">
        <v>4385.6</v>
      </c>
      <c r="D11" s="521" t="n">
        <v>4800</v>
      </c>
      <c r="E11" s="521" t="n">
        <v>5284</v>
      </c>
      <c r="F11" s="521" t="n"/>
      <c r="G11" s="563" t="n"/>
      <c r="H11" s="521" t="n"/>
      <c r="I11" s="521" t="n"/>
      <c r="J11" s="521" t="n"/>
      <c r="K11" s="521" t="n"/>
      <c r="L11" s="563" t="n"/>
      <c r="M11" s="521" t="n"/>
      <c r="N11" s="521" t="n"/>
      <c r="O11" s="521" t="n"/>
      <c r="P11" s="506" t="n"/>
      <c r="Q11" s="563" t="n"/>
      <c r="R11" s="521" t="n"/>
      <c r="S11" s="521" t="n"/>
      <c r="T11" s="521" t="n"/>
      <c r="U11" s="521" t="n"/>
      <c r="V11" s="577" t="n"/>
      <c r="W11" s="521" t="n"/>
      <c r="X11" s="521" t="n"/>
      <c r="Y11" s="521" t="n"/>
      <c r="Z11" s="521" t="n"/>
      <c r="AA11" s="577" t="n"/>
      <c r="AB11" s="521" t="n"/>
      <c r="AC11" s="521" t="n"/>
      <c r="AD11" s="521" t="n"/>
      <c r="AE11" s="521" t="n"/>
      <c r="AF11" s="577" t="n"/>
      <c r="AG11" s="521" t="n"/>
      <c r="AH11" s="521" t="n"/>
      <c r="AI11" s="521" t="n"/>
      <c r="AJ11" s="521" t="n"/>
      <c r="AK11" s="577" t="n"/>
      <c r="AL11" s="521" t="n"/>
      <c r="AM11" s="521" t="n"/>
      <c r="AN11" s="521" t="n"/>
      <c r="AO11" s="521" t="n"/>
      <c r="AP11" s="577" t="n"/>
    </row>
    <row r="12" ht="15" customFormat="1" customHeight="1" s="461">
      <c r="A12" s="578" t="inlineStr">
        <is>
          <t>Other Operating Income</t>
        </is>
      </c>
      <c r="B12" s="563" t="n">
        <v>0</v>
      </c>
      <c r="C12" s="521" t="n">
        <v>0</v>
      </c>
      <c r="D12" s="521" t="n">
        <v>0</v>
      </c>
      <c r="E12" s="521" t="n"/>
      <c r="F12" s="576" t="n">
        <v>33</v>
      </c>
      <c r="G12" s="563" t="n">
        <v>0</v>
      </c>
      <c r="H12" s="521" t="n">
        <v>0</v>
      </c>
      <c r="I12" s="576" t="n">
        <v>18.2</v>
      </c>
      <c r="J12" s="521" t="n">
        <v>0</v>
      </c>
      <c r="K12" s="521" t="n">
        <v>0</v>
      </c>
      <c r="L12" s="563" t="n">
        <v>0</v>
      </c>
      <c r="M12" s="576" t="n">
        <v>35.8</v>
      </c>
      <c r="N12" s="576" t="n">
        <v>84.59999999999999</v>
      </c>
      <c r="O12" s="576" t="n">
        <v>877.1</v>
      </c>
      <c r="P12" s="506" t="n"/>
      <c r="Q12" s="563" t="n">
        <v>1584.3</v>
      </c>
      <c r="R12" s="576" t="n">
        <v>431</v>
      </c>
      <c r="S12" s="581" t="n"/>
      <c r="T12" s="581" t="n"/>
      <c r="U12" s="581" t="n"/>
      <c r="V12" s="577" t="n"/>
      <c r="W12" s="581" t="n"/>
      <c r="X12" s="581" t="n"/>
      <c r="Y12" s="581" t="n"/>
      <c r="Z12" s="581" t="n"/>
      <c r="AA12" s="577" t="n"/>
      <c r="AB12" s="581" t="n"/>
      <c r="AC12" s="581" t="n"/>
      <c r="AD12" s="581" t="n"/>
      <c r="AE12" s="581" t="n"/>
      <c r="AF12" s="577" t="n"/>
      <c r="AG12" s="581" t="n"/>
      <c r="AH12" s="581" t="n"/>
      <c r="AI12" s="581" t="n"/>
      <c r="AJ12" s="581" t="n"/>
      <c r="AK12" s="577" t="n"/>
      <c r="AL12" s="581" t="n"/>
      <c r="AM12" s="581" t="n"/>
      <c r="AN12" s="581" t="n"/>
      <c r="AO12" s="581" t="n"/>
      <c r="AP12" s="577" t="n"/>
    </row>
    <row r="13" ht="15" customFormat="1" customHeight="1" s="522">
      <c r="A13" s="522" t="inlineStr">
        <is>
          <t>Total Income</t>
        </is>
      </c>
      <c r="B13" s="582" t="n"/>
      <c r="C13" s="583" t="n"/>
      <c r="D13" s="583" t="n"/>
      <c r="E13" s="583" t="n"/>
      <c r="F13" s="583" t="n"/>
      <c r="G13" s="582" t="n"/>
      <c r="H13" s="583" t="n"/>
      <c r="I13" s="583" t="n"/>
      <c r="J13" s="583" t="n"/>
      <c r="K13" s="583" t="n"/>
      <c r="L13" s="582" t="n"/>
      <c r="M13" s="583" t="n"/>
      <c r="N13" s="583" t="n"/>
      <c r="O13" s="583" t="n"/>
      <c r="P13" s="542" t="n"/>
      <c r="Q13" s="582" t="n"/>
      <c r="R13" s="583" t="n"/>
      <c r="S13" s="583" t="n"/>
      <c r="T13" s="583" t="n"/>
      <c r="U13" s="583" t="n"/>
      <c r="V13" s="584" t="n"/>
      <c r="W13" s="583" t="n"/>
      <c r="X13" s="583" t="n"/>
      <c r="Y13" s="583" t="n"/>
      <c r="Z13" s="583" t="n"/>
      <c r="AA13" s="584" t="n"/>
      <c r="AB13" s="583" t="n"/>
      <c r="AC13" s="583" t="n"/>
      <c r="AD13" s="583" t="n"/>
      <c r="AE13" s="583" t="n"/>
      <c r="AF13" s="584" t="n"/>
      <c r="AG13" s="583" t="n"/>
      <c r="AH13" s="583" t="n"/>
      <c r="AI13" s="583" t="n"/>
      <c r="AJ13" s="583" t="n"/>
      <c r="AK13" s="584" t="n"/>
      <c r="AL13" s="583" t="n"/>
      <c r="AM13" s="583" t="n"/>
      <c r="AN13" s="583" t="n"/>
      <c r="AO13" s="583" t="n"/>
      <c r="AP13" s="584" t="n"/>
    </row>
    <row r="14" ht="15" customHeight="1" s="462">
      <c r="B14" s="582" t="n"/>
      <c r="C14" s="521" t="n"/>
      <c r="D14" s="521" t="n"/>
      <c r="E14" s="521" t="n"/>
      <c r="F14" s="529" t="n"/>
      <c r="G14" s="585" t="n"/>
      <c r="H14" s="521" t="n"/>
      <c r="I14" s="529" t="n"/>
      <c r="J14" s="521" t="n"/>
      <c r="K14" s="521" t="n"/>
      <c r="L14" s="582" t="n"/>
      <c r="M14" s="529" t="n"/>
      <c r="N14" s="529" t="n"/>
      <c r="O14" s="529" t="n"/>
      <c r="P14" s="529" t="n"/>
      <c r="Q14" s="582" t="n"/>
      <c r="R14" s="529" t="n"/>
      <c r="S14" s="529" t="n"/>
      <c r="T14" s="529" t="n"/>
      <c r="U14" s="529" t="n"/>
      <c r="V14" s="584" t="n"/>
      <c r="AA14" s="584" t="n"/>
      <c r="AF14" s="584" t="n"/>
      <c r="AK14" s="584" t="n"/>
      <c r="AP14" s="584" t="n"/>
    </row>
    <row r="15" ht="15" customHeight="1" s="462">
      <c r="A15" s="522" t="inlineStr">
        <is>
          <t xml:space="preserve">Expenditure </t>
        </is>
      </c>
      <c r="B15" s="563" t="n"/>
      <c r="C15" s="521" t="n"/>
      <c r="D15" s="521" t="n"/>
      <c r="E15" s="521" t="n"/>
      <c r="F15" s="521" t="n"/>
      <c r="G15" s="563" t="n"/>
      <c r="H15" s="521" t="n"/>
      <c r="I15" s="521" t="n"/>
      <c r="J15" s="521" t="n"/>
      <c r="K15" s="521" t="n"/>
      <c r="L15" s="563" t="n"/>
      <c r="M15" s="521" t="n"/>
      <c r="N15" s="521" t="n"/>
      <c r="O15" s="521" t="n"/>
      <c r="P15" s="521" t="n"/>
      <c r="Q15" s="563" t="n"/>
      <c r="R15" s="521" t="n"/>
      <c r="S15" s="506" t="n"/>
      <c r="V15" s="577" t="n"/>
      <c r="AA15" s="577" t="n"/>
      <c r="AF15" s="577" t="n"/>
      <c r="AK15" s="577" t="n"/>
      <c r="AP15" s="577" t="n"/>
    </row>
    <row r="16" ht="15" customHeight="1" s="462">
      <c r="A16" s="578" t="inlineStr">
        <is>
          <t>a. (Increase) / Decrease in Stocks</t>
        </is>
      </c>
      <c r="B16" s="575" t="n">
        <v>-518.3</v>
      </c>
      <c r="C16" s="576" t="n">
        <v>-445.1</v>
      </c>
      <c r="D16" s="576" t="n">
        <v>84.40000000000001</v>
      </c>
      <c r="E16" s="576" t="n">
        <v>-222.9</v>
      </c>
      <c r="F16" s="576" t="n">
        <v>-440</v>
      </c>
      <c r="G16" s="575" t="n">
        <v>-890.5</v>
      </c>
      <c r="H16" s="576" t="n">
        <v>-439.6</v>
      </c>
      <c r="I16" s="576" t="n">
        <v>-327.4</v>
      </c>
      <c r="J16" s="576" t="n">
        <v>-433.5</v>
      </c>
      <c r="K16" s="521" t="n"/>
      <c r="L16" s="575" t="n">
        <v>-712.4</v>
      </c>
      <c r="M16" s="576" t="n">
        <v>-99.7</v>
      </c>
      <c r="N16" s="576" t="n">
        <v>-580.7</v>
      </c>
      <c r="O16" s="576" t="n">
        <v>-170.9</v>
      </c>
      <c r="P16" s="506" t="n"/>
      <c r="Q16" s="575" t="n">
        <v>-207.2</v>
      </c>
      <c r="R16" s="576" t="n">
        <v>-101.8</v>
      </c>
      <c r="S16" s="580" t="n"/>
      <c r="T16" s="580" t="n"/>
      <c r="U16" s="580" t="n"/>
      <c r="V16" s="577" t="n"/>
      <c r="W16" s="506" t="n"/>
      <c r="X16" s="506" t="n"/>
      <c r="Y16" s="506" t="n"/>
      <c r="Z16" s="506" t="n"/>
      <c r="AA16" s="577" t="n"/>
      <c r="AB16" s="506" t="n"/>
      <c r="AC16" s="506" t="n"/>
      <c r="AD16" s="506" t="n"/>
      <c r="AE16" s="506" t="n"/>
      <c r="AF16" s="577" t="n"/>
      <c r="AG16" s="506" t="n"/>
      <c r="AH16" s="506" t="n"/>
      <c r="AI16" s="506" t="n"/>
      <c r="AJ16" s="506" t="n"/>
      <c r="AK16" s="577" t="n"/>
      <c r="AL16" s="506" t="n"/>
      <c r="AM16" s="506" t="n"/>
      <c r="AN16" s="506" t="n"/>
      <c r="AO16" s="506" t="n"/>
      <c r="AP16" s="577" t="n"/>
    </row>
    <row r="17" ht="15" customHeight="1" s="462">
      <c r="A17" s="578" t="inlineStr">
        <is>
          <t>b. Material Consumed</t>
        </is>
      </c>
      <c r="B17" s="575" t="n">
        <v>9146.299999999999</v>
      </c>
      <c r="C17" s="576" t="n">
        <v>2921.2</v>
      </c>
      <c r="D17" s="576" t="n">
        <v>2541.7</v>
      </c>
      <c r="E17" s="576" t="n">
        <v>3284.6</v>
      </c>
      <c r="F17" s="576" t="n">
        <v>3037</v>
      </c>
      <c r="G17" s="575" t="n">
        <v>11755.7</v>
      </c>
      <c r="H17" s="576" t="n">
        <v>3036.9</v>
      </c>
      <c r="I17" s="576" t="n">
        <v>3309.3</v>
      </c>
      <c r="J17" s="576" t="n">
        <v>2974.7</v>
      </c>
      <c r="K17" s="521" t="n"/>
      <c r="L17" s="575" t="n">
        <v>12611.7</v>
      </c>
      <c r="M17" s="576" t="n">
        <v>3572.4</v>
      </c>
      <c r="N17" s="576" t="n">
        <v>3995</v>
      </c>
      <c r="O17" s="576" t="n">
        <v>4281.4</v>
      </c>
      <c r="P17" s="506" t="n"/>
      <c r="Q17" s="575" t="n">
        <v>15499</v>
      </c>
      <c r="R17" s="576" t="n">
        <v>4013.1</v>
      </c>
      <c r="S17" s="521" t="n"/>
      <c r="T17" s="521" t="n"/>
      <c r="U17" s="521" t="n"/>
      <c r="V17" s="577" t="n"/>
      <c r="W17" s="506" t="n"/>
      <c r="X17" s="506" t="n"/>
      <c r="Y17" s="506" t="n"/>
      <c r="Z17" s="506" t="n"/>
      <c r="AA17" s="577" t="n"/>
      <c r="AB17" s="506" t="n"/>
      <c r="AC17" s="506" t="n"/>
      <c r="AD17" s="506" t="n"/>
      <c r="AE17" s="506" t="n"/>
      <c r="AF17" s="577" t="n"/>
      <c r="AG17" s="506" t="n"/>
      <c r="AH17" s="506" t="n"/>
      <c r="AI17" s="506" t="n"/>
      <c r="AJ17" s="506" t="n"/>
      <c r="AK17" s="577" t="n"/>
      <c r="AL17" s="506" t="n"/>
      <c r="AM17" s="506" t="n"/>
      <c r="AN17" s="506" t="n"/>
      <c r="AO17" s="506" t="n"/>
      <c r="AP17" s="577" t="n"/>
    </row>
    <row r="18" ht="15" customHeight="1" s="462">
      <c r="A18" s="578" t="inlineStr">
        <is>
          <t>C. Purchase of traded goods</t>
        </is>
      </c>
      <c r="B18" s="575" t="n">
        <v>908.5</v>
      </c>
      <c r="C18" s="576" t="n">
        <v>0</v>
      </c>
      <c r="D18" s="576" t="n">
        <v>0</v>
      </c>
      <c r="E18" s="576" t="n">
        <v>0</v>
      </c>
      <c r="F18" s="576" t="n">
        <v>330</v>
      </c>
      <c r="G18" s="575" t="n">
        <v>1351.1</v>
      </c>
      <c r="H18" s="576" t="n">
        <v>330.2</v>
      </c>
      <c r="I18" s="576" t="n">
        <v>452.6</v>
      </c>
      <c r="J18" s="576" t="n">
        <v>488</v>
      </c>
      <c r="K18" s="521" t="n"/>
      <c r="L18" s="575" t="n">
        <v>1614.7</v>
      </c>
      <c r="M18" s="576" t="n">
        <v>216.4</v>
      </c>
      <c r="N18" s="576" t="n">
        <v>200.4</v>
      </c>
      <c r="O18" s="576" t="n">
        <v>157.4</v>
      </c>
      <c r="P18" s="506" t="n"/>
      <c r="Q18" s="575" t="n">
        <v>991.6</v>
      </c>
      <c r="R18" s="576" t="n">
        <v>302.5</v>
      </c>
      <c r="S18" s="521" t="n"/>
      <c r="T18" s="521" t="n"/>
      <c r="U18" s="521" t="n"/>
      <c r="V18" s="577" t="n"/>
      <c r="W18" s="506" t="n"/>
      <c r="X18" s="506" t="n"/>
      <c r="Y18" s="506" t="n"/>
      <c r="Z18" s="506" t="n"/>
      <c r="AA18" s="577" t="n"/>
      <c r="AB18" s="506" t="n"/>
      <c r="AC18" s="506" t="n"/>
      <c r="AD18" s="506" t="n"/>
      <c r="AE18" s="506" t="n"/>
      <c r="AF18" s="577" t="n"/>
      <c r="AG18" s="506" t="n"/>
      <c r="AH18" s="506" t="n"/>
      <c r="AI18" s="506" t="n"/>
      <c r="AJ18" s="506" t="n"/>
      <c r="AK18" s="577" t="n"/>
      <c r="AL18" s="506" t="n"/>
      <c r="AM18" s="506" t="n"/>
      <c r="AN18" s="506" t="n"/>
      <c r="AO18" s="506" t="n"/>
      <c r="AP18" s="577" t="n"/>
    </row>
    <row r="19" ht="15" customHeight="1" s="462">
      <c r="A19" s="578" t="inlineStr">
        <is>
          <t>d. Staff Cost</t>
        </is>
      </c>
      <c r="B19" s="575" t="n">
        <v>1024.2</v>
      </c>
      <c r="C19" s="576" t="n">
        <v>258</v>
      </c>
      <c r="D19" s="576" t="n">
        <v>288.1</v>
      </c>
      <c r="E19" s="576" t="n">
        <v>262.7</v>
      </c>
      <c r="F19" s="576" t="n">
        <v>442</v>
      </c>
      <c r="G19" s="575" t="n">
        <v>1504.2</v>
      </c>
      <c r="H19" s="576" t="n">
        <v>442.3</v>
      </c>
      <c r="I19" s="576" t="n">
        <v>492.9</v>
      </c>
      <c r="J19" s="576" t="n">
        <v>497.9</v>
      </c>
      <c r="K19" s="521" t="n"/>
      <c r="L19" s="575" t="n">
        <v>1930</v>
      </c>
      <c r="M19" s="576" t="n">
        <v>573.7</v>
      </c>
      <c r="N19" s="576" t="n">
        <v>589.6</v>
      </c>
      <c r="O19" s="576" t="n">
        <v>653.6</v>
      </c>
      <c r="P19" s="506" t="n"/>
      <c r="Q19" s="575" t="n">
        <v>2434.7</v>
      </c>
      <c r="R19" s="576" t="n">
        <v>690.6</v>
      </c>
      <c r="S19" s="521" t="n"/>
      <c r="T19" s="521" t="n"/>
      <c r="U19" s="521" t="n"/>
      <c r="V19" s="577" t="n"/>
      <c r="W19" s="506" t="n"/>
      <c r="X19" s="506" t="n"/>
      <c r="Y19" s="506" t="n"/>
      <c r="Z19" s="506" t="n"/>
      <c r="AA19" s="577" t="n"/>
      <c r="AB19" s="506" t="n"/>
      <c r="AC19" s="506" t="n"/>
      <c r="AD19" s="506" t="n"/>
      <c r="AE19" s="506" t="n"/>
      <c r="AF19" s="577" t="n"/>
      <c r="AG19" s="506" t="n"/>
      <c r="AH19" s="506" t="n"/>
      <c r="AI19" s="506" t="n"/>
      <c r="AJ19" s="506" t="n"/>
      <c r="AK19" s="577" t="n"/>
      <c r="AL19" s="506" t="n"/>
      <c r="AM19" s="506" t="n"/>
      <c r="AN19" s="506" t="n"/>
      <c r="AO19" s="506" t="n"/>
      <c r="AP19" s="577" t="n"/>
    </row>
    <row r="20" ht="15" customHeight="1" s="462">
      <c r="A20" s="578" t="inlineStr">
        <is>
          <t>e. Depreciation / Amortization</t>
        </is>
      </c>
      <c r="B20" s="575" t="n">
        <v>721.3</v>
      </c>
      <c r="C20" s="576" t="n">
        <v>142.8</v>
      </c>
      <c r="D20" s="576" t="n">
        <v>149.9</v>
      </c>
      <c r="E20" s="576" t="n">
        <v>162.9</v>
      </c>
      <c r="F20" s="576" t="n">
        <v>234</v>
      </c>
      <c r="G20" s="575" t="n">
        <v>997.2</v>
      </c>
      <c r="H20" s="576" t="n">
        <v>233.5</v>
      </c>
      <c r="I20" s="576" t="n">
        <v>249.5</v>
      </c>
      <c r="J20" s="576" t="n">
        <v>256</v>
      </c>
      <c r="K20" s="521" t="n"/>
      <c r="L20" s="575" t="n">
        <v>1003.8</v>
      </c>
      <c r="M20" s="576" t="n">
        <v>270.4</v>
      </c>
      <c r="N20" s="576" t="n">
        <v>288.3</v>
      </c>
      <c r="O20" s="576" t="n">
        <v>310.8</v>
      </c>
      <c r="P20" s="506" t="n"/>
      <c r="Q20" s="575" t="n">
        <v>1221.2</v>
      </c>
      <c r="R20" s="576" t="n">
        <v>332.6</v>
      </c>
      <c r="S20" s="521" t="n"/>
      <c r="T20" s="521" t="n"/>
      <c r="U20" s="521" t="n"/>
      <c r="V20" s="577" t="n"/>
      <c r="W20" s="506" t="n"/>
      <c r="X20" s="506" t="n"/>
      <c r="Y20" s="506" t="n"/>
      <c r="Z20" s="506" t="n"/>
      <c r="AA20" s="577" t="n"/>
      <c r="AB20" s="506" t="n"/>
      <c r="AC20" s="506" t="n"/>
      <c r="AD20" s="506" t="n"/>
      <c r="AE20" s="506" t="n"/>
      <c r="AF20" s="577" t="n"/>
      <c r="AG20" s="506" t="n"/>
      <c r="AH20" s="506" t="n"/>
      <c r="AI20" s="506" t="n"/>
      <c r="AJ20" s="506" t="n"/>
      <c r="AK20" s="577" t="n"/>
      <c r="AL20" s="506" t="n"/>
      <c r="AM20" s="506" t="n"/>
      <c r="AN20" s="506" t="n"/>
      <c r="AO20" s="506" t="n"/>
      <c r="AP20" s="577" t="n"/>
    </row>
    <row r="21" ht="15" customHeight="1" s="462">
      <c r="A21" s="578" t="inlineStr">
        <is>
          <t>f.  Other Expenditure</t>
        </is>
      </c>
      <c r="B21" s="575" t="n">
        <v>3600.5</v>
      </c>
      <c r="C21" s="576" t="n">
        <v>992.7</v>
      </c>
      <c r="D21" s="576" t="n">
        <v>1194.9</v>
      </c>
      <c r="E21" s="576" t="n">
        <v>1174.9</v>
      </c>
      <c r="F21" s="576" t="n">
        <v>1259</v>
      </c>
      <c r="G21" s="575" t="n">
        <v>4486.8</v>
      </c>
      <c r="H21" s="576" t="n">
        <v>1258.7</v>
      </c>
      <c r="I21" s="576" t="n">
        <v>1422.6</v>
      </c>
      <c r="J21" s="576" t="n">
        <v>1380.6</v>
      </c>
      <c r="K21" s="521" t="n"/>
      <c r="L21" s="575" t="n">
        <v>5503.6</v>
      </c>
      <c r="M21" s="576" t="n">
        <v>1424.7</v>
      </c>
      <c r="N21" s="576" t="n">
        <v>1641.1</v>
      </c>
      <c r="O21" s="576" t="n">
        <v>1728.9</v>
      </c>
      <c r="P21" s="506" t="n"/>
      <c r="Q21" s="575" t="n">
        <v>6792.8</v>
      </c>
      <c r="R21" s="576" t="n">
        <v>1666.1</v>
      </c>
      <c r="S21" s="521" t="n"/>
      <c r="T21" s="521" t="n"/>
      <c r="U21" s="521" t="n"/>
      <c r="V21" s="577" t="n"/>
      <c r="W21" s="506" t="n"/>
      <c r="X21" s="506" t="n"/>
      <c r="Y21" s="506" t="n"/>
      <c r="Z21" s="506" t="n"/>
      <c r="AA21" s="577" t="n"/>
      <c r="AB21" s="506" t="n"/>
      <c r="AC21" s="506" t="n"/>
      <c r="AD21" s="506" t="n"/>
      <c r="AE21" s="506" t="n"/>
      <c r="AF21" s="577" t="n"/>
      <c r="AG21" s="506" t="n"/>
      <c r="AH21" s="506" t="n"/>
      <c r="AI21" s="506" t="n"/>
      <c r="AJ21" s="506" t="n"/>
      <c r="AK21" s="577" t="n"/>
      <c r="AL21" s="506" t="n"/>
      <c r="AM21" s="506" t="n"/>
      <c r="AN21" s="506" t="n"/>
      <c r="AO21" s="506" t="n"/>
      <c r="AP21" s="577" t="n"/>
    </row>
    <row r="22" ht="15" customFormat="1" customHeight="1" s="522">
      <c r="A22" s="522" t="inlineStr">
        <is>
          <t>Total Expenditure</t>
        </is>
      </c>
      <c r="B22" s="582" t="n"/>
      <c r="C22" s="583" t="n"/>
      <c r="D22" s="583" t="n"/>
      <c r="E22" s="583" t="n"/>
      <c r="F22" s="583" t="n"/>
      <c r="G22" s="582" t="n"/>
      <c r="H22" s="583" t="n"/>
      <c r="I22" s="583" t="n"/>
      <c r="J22" s="583" t="n"/>
      <c r="K22" s="583" t="n"/>
      <c r="L22" s="582" t="n"/>
      <c r="M22" s="583" t="n"/>
      <c r="N22" s="583" t="n"/>
      <c r="O22" s="583" t="n"/>
      <c r="P22" s="542" t="n"/>
      <c r="Q22" s="582" t="n"/>
      <c r="R22" s="583" t="n"/>
      <c r="S22" s="583" t="n"/>
      <c r="T22" s="583" t="n"/>
      <c r="U22" s="583" t="n"/>
      <c r="V22" s="584" t="n"/>
      <c r="W22" s="583" t="n"/>
      <c r="X22" s="583" t="n"/>
      <c r="Y22" s="583" t="n"/>
      <c r="Z22" s="583" t="n"/>
      <c r="AA22" s="584" t="n"/>
      <c r="AB22" s="583" t="n"/>
      <c r="AC22" s="583" t="n"/>
      <c r="AD22" s="583" t="n"/>
      <c r="AE22" s="583" t="n"/>
      <c r="AF22" s="584" t="n"/>
      <c r="AG22" s="583" t="n"/>
      <c r="AH22" s="583" t="n"/>
      <c r="AI22" s="583" t="n"/>
      <c r="AJ22" s="583" t="n"/>
      <c r="AK22" s="584" t="n"/>
      <c r="AL22" s="583" t="n"/>
      <c r="AM22" s="583" t="n"/>
      <c r="AN22" s="583" t="n"/>
      <c r="AO22" s="583" t="n"/>
      <c r="AP22" s="584" t="n"/>
    </row>
    <row r="23" ht="30" customHeight="1" s="462">
      <c r="A23" s="586" t="inlineStr">
        <is>
          <t xml:space="preserve">Operating Income  (Profit from Operations before other income) </t>
        </is>
      </c>
      <c r="B23" s="582" t="n"/>
      <c r="C23" s="521" t="n"/>
      <c r="D23" s="521" t="n"/>
      <c r="E23" s="521" t="n"/>
      <c r="F23" s="521" t="n"/>
      <c r="G23" s="582" t="n"/>
      <c r="H23" s="521" t="n"/>
      <c r="I23" s="521" t="n"/>
      <c r="J23" s="521" t="n"/>
      <c r="K23" s="521" t="n"/>
      <c r="L23" s="582" t="n"/>
      <c r="M23" s="521" t="n"/>
      <c r="N23" s="521" t="n"/>
      <c r="O23" s="521" t="n"/>
      <c r="P23" s="506" t="n"/>
      <c r="Q23" s="582" t="n"/>
      <c r="R23" s="521" t="n"/>
      <c r="S23" s="521" t="n"/>
      <c r="T23" s="521" t="n"/>
      <c r="U23" s="521" t="n"/>
      <c r="V23" s="584" t="n"/>
      <c r="W23" s="521" t="n"/>
      <c r="X23" s="521" t="n"/>
      <c r="Y23" s="521" t="n"/>
      <c r="Z23" s="521" t="n"/>
      <c r="AA23" s="584" t="n"/>
      <c r="AB23" s="521" t="n"/>
      <c r="AC23" s="521" t="n"/>
      <c r="AD23" s="521" t="n"/>
      <c r="AE23" s="521" t="n"/>
      <c r="AF23" s="584" t="n"/>
      <c r="AG23" s="521" t="n"/>
      <c r="AH23" s="521" t="n"/>
      <c r="AI23" s="521" t="n"/>
      <c r="AJ23" s="521" t="n"/>
      <c r="AK23" s="584" t="n"/>
      <c r="AL23" s="521" t="n"/>
      <c r="AM23" s="521" t="n"/>
      <c r="AN23" s="521" t="n"/>
      <c r="AO23" s="521" t="n"/>
      <c r="AP23" s="584" t="n"/>
    </row>
    <row r="24" ht="15" customHeight="1" s="462">
      <c r="A24" s="578" t="inlineStr">
        <is>
          <t>Other Income</t>
        </is>
      </c>
      <c r="B24" s="575" t="n">
        <v>225.7</v>
      </c>
      <c r="C24" s="576" t="n">
        <v>171.1</v>
      </c>
      <c r="D24" s="576" t="n">
        <v>267</v>
      </c>
      <c r="E24" s="576" t="n">
        <v>263.3</v>
      </c>
      <c r="F24" s="576" t="n">
        <v>8</v>
      </c>
      <c r="G24" s="575" t="n">
        <v>493.1</v>
      </c>
      <c r="H24" s="576" t="n">
        <v>335.3</v>
      </c>
      <c r="I24" s="576" t="n">
        <v>26.1</v>
      </c>
      <c r="J24" s="576" t="n">
        <v>175.2</v>
      </c>
      <c r="K24" s="521" t="n"/>
      <c r="L24" s="575" t="n">
        <v>942.4</v>
      </c>
      <c r="M24" s="576" t="n">
        <v>15</v>
      </c>
      <c r="N24" s="576" t="n">
        <v>37.6</v>
      </c>
      <c r="O24" s="576" t="n">
        <v>53.2</v>
      </c>
      <c r="P24" s="506" t="n"/>
      <c r="Q24" s="575" t="n">
        <v>159.1</v>
      </c>
      <c r="R24" s="576" t="n">
        <v>22.3</v>
      </c>
      <c r="S24" s="587" t="n"/>
      <c r="T24" s="587" t="n"/>
      <c r="U24" s="587" t="n"/>
      <c r="V24" s="577" t="n"/>
      <c r="W24" s="581" t="n"/>
      <c r="X24" s="581" t="n"/>
      <c r="Y24" s="581" t="n"/>
      <c r="Z24" s="581" t="n"/>
      <c r="AA24" s="577" t="n"/>
      <c r="AB24" s="581" t="n"/>
      <c r="AC24" s="581" t="n"/>
      <c r="AD24" s="581" t="n"/>
      <c r="AE24" s="581" t="n"/>
      <c r="AF24" s="577" t="n"/>
      <c r="AG24" s="581" t="n"/>
      <c r="AH24" s="581" t="n"/>
      <c r="AI24" s="581" t="n"/>
      <c r="AJ24" s="581" t="n"/>
      <c r="AK24" s="577" t="n"/>
      <c r="AL24" s="581" t="n"/>
      <c r="AM24" s="581" t="n"/>
      <c r="AN24" s="581" t="n"/>
      <c r="AO24" s="581" t="n"/>
      <c r="AP24" s="577" t="n"/>
    </row>
    <row r="25" ht="15" customHeight="1" s="462">
      <c r="A25" s="522" t="inlineStr">
        <is>
          <t>Profit Before Interest and Tax (PBIT)</t>
        </is>
      </c>
      <c r="B25" s="563" t="n"/>
      <c r="C25" s="521" t="n"/>
      <c r="D25" s="521" t="n"/>
      <c r="E25" s="521" t="n"/>
      <c r="F25" s="521" t="n"/>
      <c r="G25" s="563" t="n"/>
      <c r="H25" s="506" t="n"/>
      <c r="I25" s="506" t="n"/>
      <c r="J25" s="506" t="n"/>
      <c r="K25" s="521" t="n"/>
      <c r="L25" s="563" t="n"/>
      <c r="M25" s="521" t="n"/>
      <c r="N25" s="521" t="n"/>
      <c r="O25" s="521" t="n"/>
      <c r="P25" s="506" t="n"/>
      <c r="Q25" s="563" t="n"/>
      <c r="R25" s="521" t="n"/>
      <c r="S25" s="521" t="n"/>
      <c r="T25" s="521" t="n"/>
      <c r="U25" s="521" t="n"/>
      <c r="V25" s="577" t="n"/>
      <c r="W25" s="521" t="n"/>
      <c r="X25" s="521" t="n"/>
      <c r="Y25" s="521" t="n"/>
      <c r="Z25" s="521" t="n"/>
      <c r="AA25" s="577" t="n"/>
      <c r="AB25" s="521" t="n"/>
      <c r="AC25" s="521" t="n"/>
      <c r="AD25" s="521" t="n"/>
      <c r="AE25" s="521" t="n"/>
      <c r="AF25" s="577" t="n"/>
      <c r="AG25" s="521" t="n"/>
      <c r="AH25" s="521" t="n"/>
      <c r="AI25" s="521" t="n"/>
      <c r="AJ25" s="521" t="n"/>
      <c r="AK25" s="577" t="n"/>
      <c r="AL25" s="521" t="n"/>
      <c r="AM25" s="521" t="n"/>
      <c r="AN25" s="521" t="n"/>
      <c r="AO25" s="521" t="n"/>
      <c r="AP25" s="577" t="n"/>
    </row>
    <row r="26" ht="15" customHeight="1" s="462">
      <c r="A26" s="522" t="n"/>
      <c r="B26" s="563" t="n"/>
      <c r="C26" s="521" t="n"/>
      <c r="D26" s="521" t="n"/>
      <c r="E26" s="521" t="n"/>
      <c r="F26" s="521" t="n"/>
      <c r="G26" s="563" t="n"/>
      <c r="H26" s="506" t="n"/>
      <c r="I26" s="506" t="n"/>
      <c r="J26" s="506" t="n"/>
      <c r="K26" s="521" t="n"/>
      <c r="L26" s="563" t="n"/>
      <c r="M26" s="521" t="n"/>
      <c r="N26" s="521" t="n"/>
      <c r="O26" s="521" t="n"/>
      <c r="P26" s="506" t="n"/>
      <c r="Q26" s="563" t="n"/>
      <c r="R26" s="521" t="n"/>
      <c r="S26" s="521" t="n"/>
      <c r="V26" s="577" t="n"/>
      <c r="AA26" s="577" t="n"/>
      <c r="AF26" s="577" t="n"/>
      <c r="AK26" s="577" t="n"/>
      <c r="AP26" s="577" t="n"/>
    </row>
    <row r="27" ht="15" customFormat="1" customHeight="1" s="549">
      <c r="A27" s="549" t="inlineStr">
        <is>
          <t>PBIT  Margin (%)</t>
        </is>
      </c>
      <c r="B27" s="548" t="n"/>
      <c r="C27" s="549" t="n"/>
      <c r="D27" s="549" t="n"/>
      <c r="E27" s="549" t="n"/>
      <c r="F27" s="549" t="n"/>
      <c r="G27" s="548" t="n"/>
      <c r="H27" s="549" t="n"/>
      <c r="I27" s="549" t="n"/>
      <c r="J27" s="549" t="n"/>
      <c r="K27" s="549" t="n"/>
      <c r="L27" s="548" t="n"/>
      <c r="M27" s="549" t="n"/>
      <c r="N27" s="549" t="n"/>
      <c r="O27" s="549" t="n"/>
      <c r="P27" s="549" t="n"/>
      <c r="Q27" s="548" t="n"/>
      <c r="R27" s="549" t="n"/>
      <c r="S27" s="549" t="n"/>
      <c r="T27" s="549" t="n"/>
      <c r="U27" s="549" t="n"/>
      <c r="V27" s="588" t="n"/>
      <c r="W27" s="549" t="n"/>
      <c r="X27" s="549" t="n"/>
      <c r="Y27" s="549" t="n"/>
      <c r="Z27" s="549" t="n"/>
      <c r="AA27" s="588" t="n"/>
      <c r="AB27" s="549" t="n"/>
      <c r="AC27" s="549" t="n"/>
      <c r="AD27" s="549" t="n"/>
      <c r="AE27" s="549" t="n"/>
      <c r="AF27" s="588" t="n"/>
      <c r="AG27" s="549" t="n"/>
      <c r="AH27" s="549" t="n"/>
      <c r="AI27" s="549" t="n"/>
      <c r="AJ27" s="549" t="n"/>
      <c r="AK27" s="588" t="n"/>
      <c r="AL27" s="549" t="n"/>
      <c r="AM27" s="549" t="n"/>
      <c r="AN27" s="549" t="n"/>
      <c r="AO27" s="549" t="n"/>
      <c r="AP27" s="588" t="n"/>
    </row>
    <row r="28" ht="15" customFormat="1" customHeight="1" s="549">
      <c r="A28" s="589" t="n"/>
      <c r="B28" s="548" t="n"/>
      <c r="G28" s="548" t="n"/>
      <c r="L28" s="548" t="n"/>
      <c r="Q28" s="548" t="n"/>
      <c r="V28" s="588" t="n"/>
      <c r="AA28" s="588" t="n"/>
      <c r="AF28" s="588" t="n"/>
      <c r="AK28" s="588" t="n"/>
      <c r="AP28" s="588" t="n"/>
    </row>
    <row r="29" ht="15" customHeight="1" s="462">
      <c r="A29" s="461" t="inlineStr">
        <is>
          <t>Interest (net)</t>
        </is>
      </c>
      <c r="B29" s="590" t="n">
        <v>604.1</v>
      </c>
      <c r="C29" s="576" t="n">
        <v>180.9</v>
      </c>
      <c r="D29" s="576" t="n">
        <v>202.4</v>
      </c>
      <c r="E29" s="576" t="n">
        <v>196.7</v>
      </c>
      <c r="F29" s="576" t="n">
        <v>106</v>
      </c>
      <c r="G29" s="590" t="n">
        <v>453.6</v>
      </c>
      <c r="H29" s="591" t="n">
        <v>106.3</v>
      </c>
      <c r="I29" s="576" t="n">
        <v>116.1</v>
      </c>
      <c r="J29" s="576" t="n">
        <v>101</v>
      </c>
      <c r="K29" s="521" t="n"/>
      <c r="L29" s="590" t="n">
        <v>432.4</v>
      </c>
      <c r="M29" s="576" t="n">
        <v>132.5</v>
      </c>
      <c r="N29" s="576" t="n">
        <v>156.3</v>
      </c>
      <c r="O29" s="576" t="n">
        <v>254.7</v>
      </c>
      <c r="P29" s="506" t="n"/>
      <c r="Q29" s="590" t="n">
        <v>810.9</v>
      </c>
      <c r="R29" s="576" t="n">
        <v>226.8</v>
      </c>
      <c r="S29" s="521" t="n"/>
      <c r="T29" s="521" t="n"/>
      <c r="U29" s="521" t="n"/>
      <c r="V29" s="592" t="n"/>
      <c r="W29" s="506" t="n"/>
      <c r="X29" s="506" t="n"/>
      <c r="Y29" s="506" t="n"/>
      <c r="Z29" s="506" t="n"/>
      <c r="AA29" s="592" t="n"/>
      <c r="AB29" s="506" t="n"/>
      <c r="AC29" s="506" t="n"/>
      <c r="AD29" s="506" t="n"/>
      <c r="AE29" s="506" t="n"/>
      <c r="AF29" s="592" t="n"/>
      <c r="AG29" s="506" t="n"/>
      <c r="AH29" s="506" t="n"/>
      <c r="AI29" s="506" t="n"/>
      <c r="AJ29" s="506" t="n"/>
      <c r="AK29" s="592" t="n"/>
      <c r="AL29" s="506" t="n"/>
      <c r="AM29" s="506" t="n"/>
      <c r="AN29" s="506" t="n"/>
      <c r="AO29" s="506" t="n"/>
      <c r="AP29" s="592" t="n"/>
    </row>
    <row r="30" ht="15" customHeight="1" s="462">
      <c r="A30" s="461" t="inlineStr">
        <is>
          <t>Foreign Exchange (Gain) / Loss (net)</t>
        </is>
      </c>
      <c r="B30" s="563" t="n">
        <v>0</v>
      </c>
      <c r="C30" s="521" t="n">
        <v>0</v>
      </c>
      <c r="D30" s="521" t="n">
        <v>0</v>
      </c>
      <c r="E30" s="521" t="n"/>
      <c r="F30" s="576" t="n">
        <v>-294</v>
      </c>
      <c r="G30" s="563" t="n">
        <v>0</v>
      </c>
      <c r="H30" s="521" t="n">
        <v>0</v>
      </c>
      <c r="I30" s="576" t="n">
        <v>-225.7</v>
      </c>
      <c r="J30" s="521" t="n">
        <v>0</v>
      </c>
      <c r="K30" s="521" t="n">
        <v>0</v>
      </c>
      <c r="L30" s="563" t="n">
        <v>0</v>
      </c>
      <c r="M30" s="576" t="n">
        <v>537.1</v>
      </c>
      <c r="N30" s="576" t="n">
        <v>1051</v>
      </c>
      <c r="O30" s="576" t="n">
        <v>570.5</v>
      </c>
      <c r="P30" s="506" t="n"/>
      <c r="Q30" s="563" t="n">
        <v>2546.7</v>
      </c>
      <c r="R30" s="576" t="n">
        <v>-575.4</v>
      </c>
      <c r="S30" s="521" t="n"/>
      <c r="T30" s="521" t="n"/>
      <c r="U30" s="521" t="n"/>
      <c r="V30" s="577" t="n"/>
      <c r="W30" s="521" t="n">
        <v>0</v>
      </c>
      <c r="X30" s="521" t="n">
        <v>0</v>
      </c>
      <c r="Y30" s="521" t="n">
        <v>0</v>
      </c>
      <c r="Z30" s="521" t="n">
        <v>0</v>
      </c>
      <c r="AA30" s="577" t="n"/>
      <c r="AB30" s="521" t="n">
        <v>0</v>
      </c>
      <c r="AC30" s="521" t="n">
        <v>0</v>
      </c>
      <c r="AD30" s="521" t="n">
        <v>0</v>
      </c>
      <c r="AE30" s="521" t="n">
        <v>0</v>
      </c>
      <c r="AF30" s="577" t="n">
        <v>0</v>
      </c>
      <c r="AG30" s="521" t="n">
        <v>0</v>
      </c>
      <c r="AH30" s="521" t="n">
        <v>0</v>
      </c>
      <c r="AI30" s="521" t="n">
        <v>0</v>
      </c>
      <c r="AJ30" s="521" t="n">
        <v>0</v>
      </c>
      <c r="AK30" s="577" t="n">
        <v>0</v>
      </c>
      <c r="AL30" s="521" t="n">
        <v>0</v>
      </c>
      <c r="AM30" s="521" t="n">
        <v>0</v>
      </c>
      <c r="AN30" s="521" t="n">
        <v>0</v>
      </c>
      <c r="AO30" s="521" t="n">
        <v>0</v>
      </c>
      <c r="AP30" s="577" t="n">
        <v>0</v>
      </c>
    </row>
    <row r="31" ht="15" customHeight="1" s="462">
      <c r="A31" s="461" t="inlineStr">
        <is>
          <t>Exceptional Item</t>
        </is>
      </c>
      <c r="B31" s="575" t="n">
        <v>309.8</v>
      </c>
      <c r="C31" s="521" t="n">
        <v>0</v>
      </c>
      <c r="D31" s="521" t="n">
        <v>0</v>
      </c>
      <c r="E31" s="521" t="n">
        <v>0</v>
      </c>
      <c r="F31" s="521" t="n">
        <v>0</v>
      </c>
      <c r="G31" s="575" t="n">
        <v>0</v>
      </c>
      <c r="H31" s="521" t="n">
        <v>0</v>
      </c>
      <c r="I31" s="521" t="n">
        <v>0</v>
      </c>
      <c r="J31" s="521" t="n">
        <v>0</v>
      </c>
      <c r="K31" s="521" t="n">
        <v>0</v>
      </c>
      <c r="L31" s="575" t="n">
        <v>0</v>
      </c>
      <c r="M31" s="521" t="n">
        <v>0</v>
      </c>
      <c r="N31" s="521" t="n">
        <v>0</v>
      </c>
      <c r="O31" s="521" t="n">
        <v>0</v>
      </c>
      <c r="P31" s="521" t="n">
        <v>0</v>
      </c>
      <c r="Q31" s="575" t="n">
        <v>0</v>
      </c>
      <c r="R31" s="521" t="n">
        <v>0</v>
      </c>
      <c r="S31" s="521" t="n">
        <v>0</v>
      </c>
      <c r="T31" s="521" t="n">
        <v>0</v>
      </c>
      <c r="U31" s="521" t="n">
        <v>0</v>
      </c>
      <c r="V31" s="577" t="n">
        <v>0</v>
      </c>
      <c r="W31" s="521" t="n">
        <v>0</v>
      </c>
      <c r="X31" s="521" t="n">
        <v>0</v>
      </c>
      <c r="Y31" s="521" t="n">
        <v>0</v>
      </c>
      <c r="Z31" s="521" t="n">
        <v>0</v>
      </c>
      <c r="AA31" s="577" t="n"/>
      <c r="AB31" s="521" t="n">
        <v>0</v>
      </c>
      <c r="AC31" s="521" t="n">
        <v>0</v>
      </c>
      <c r="AD31" s="521" t="n">
        <v>0</v>
      </c>
      <c r="AE31" s="521" t="n">
        <v>0</v>
      </c>
      <c r="AF31" s="577" t="n">
        <v>0</v>
      </c>
      <c r="AG31" s="521" t="n">
        <v>0</v>
      </c>
      <c r="AH31" s="521" t="n">
        <v>0</v>
      </c>
      <c r="AI31" s="521" t="n">
        <v>0</v>
      </c>
      <c r="AJ31" s="521" t="n">
        <v>0</v>
      </c>
      <c r="AK31" s="577" t="n">
        <v>0</v>
      </c>
      <c r="AL31" s="521" t="n">
        <v>0</v>
      </c>
      <c r="AM31" s="521" t="n">
        <v>0</v>
      </c>
      <c r="AN31" s="521" t="n">
        <v>0</v>
      </c>
      <c r="AO31" s="521" t="n">
        <v>0</v>
      </c>
      <c r="AP31" s="577" t="n">
        <v>0</v>
      </c>
    </row>
    <row r="32" ht="15" customHeight="1" s="462">
      <c r="A32" s="522" t="inlineStr">
        <is>
          <t>Profit from Ordinary Activities before Tax (PBT)</t>
        </is>
      </c>
      <c r="B32" s="563" t="n"/>
      <c r="C32" s="521" t="n"/>
      <c r="D32" s="521" t="n"/>
      <c r="E32" s="521" t="n"/>
      <c r="F32" s="521" t="n"/>
      <c r="G32" s="563" t="n"/>
      <c r="H32" s="521" t="n"/>
      <c r="I32" s="521" t="n"/>
      <c r="J32" s="521" t="n"/>
      <c r="K32" s="521" t="n"/>
      <c r="L32" s="563" t="n"/>
      <c r="M32" s="521" t="n"/>
      <c r="N32" s="521" t="n"/>
      <c r="O32" s="521" t="n"/>
      <c r="P32" s="506" t="n"/>
      <c r="Q32" s="563" t="n"/>
      <c r="R32" s="521" t="n"/>
      <c r="S32" s="521" t="n"/>
      <c r="T32" s="521" t="n"/>
      <c r="U32" s="521" t="n"/>
      <c r="V32" s="577" t="n"/>
      <c r="W32" s="521" t="n"/>
      <c r="X32" s="521" t="n"/>
      <c r="Y32" s="521" t="n"/>
      <c r="Z32" s="521" t="n"/>
      <c r="AA32" s="577" t="n"/>
      <c r="AB32" s="521" t="n"/>
      <c r="AC32" s="521" t="n"/>
      <c r="AD32" s="521" t="n"/>
      <c r="AE32" s="521" t="n"/>
      <c r="AF32" s="577" t="n"/>
      <c r="AG32" s="521" t="n"/>
      <c r="AH32" s="521" t="n"/>
      <c r="AI32" s="521" t="n"/>
      <c r="AJ32" s="521" t="n"/>
      <c r="AK32" s="577" t="n"/>
      <c r="AL32" s="521" t="n"/>
      <c r="AM32" s="521" t="n"/>
      <c r="AN32" s="521" t="n"/>
      <c r="AO32" s="521" t="n"/>
      <c r="AP32" s="577" t="n"/>
    </row>
    <row r="33" ht="15" customHeight="1" s="462">
      <c r="A33" s="522" t="n"/>
      <c r="B33" s="563" t="n"/>
      <c r="C33" s="521" t="n"/>
      <c r="D33" s="521" t="n"/>
      <c r="E33" s="521" t="n"/>
      <c r="F33" s="521" t="n"/>
      <c r="G33" s="563" t="n"/>
      <c r="H33" s="521" t="n"/>
      <c r="I33" s="521" t="n"/>
      <c r="J33" s="521" t="n"/>
      <c r="K33" s="521" t="n"/>
      <c r="L33" s="563" t="n"/>
      <c r="M33" s="521" t="n"/>
      <c r="N33" s="521" t="n"/>
      <c r="O33" s="521" t="n"/>
      <c r="P33" s="506" t="n"/>
      <c r="Q33" s="563" t="n"/>
      <c r="R33" s="521" t="n"/>
      <c r="S33" s="521" t="n"/>
      <c r="V33" s="577" t="n"/>
      <c r="AA33" s="577" t="n"/>
      <c r="AF33" s="577" t="n"/>
      <c r="AK33" s="577" t="n"/>
      <c r="AP33" s="577" t="n"/>
    </row>
    <row r="34" ht="15" customFormat="1" customHeight="1" s="546">
      <c r="A34" s="546" t="inlineStr">
        <is>
          <t>PBT Margin (%)</t>
        </is>
      </c>
      <c r="B34" s="548" t="n"/>
      <c r="C34" s="549" t="n"/>
      <c r="D34" s="549" t="n"/>
      <c r="E34" s="549" t="n"/>
      <c r="F34" s="549" t="n"/>
      <c r="G34" s="548" t="n"/>
      <c r="H34" s="549" t="n"/>
      <c r="I34" s="549" t="n"/>
      <c r="J34" s="549" t="n"/>
      <c r="K34" s="549" t="n"/>
      <c r="L34" s="548" t="n"/>
      <c r="M34" s="549" t="n"/>
      <c r="N34" s="549" t="n"/>
      <c r="O34" s="549" t="n"/>
      <c r="P34" s="549" t="n"/>
      <c r="Q34" s="548" t="n"/>
      <c r="R34" s="549" t="n"/>
      <c r="S34" s="549" t="n"/>
      <c r="T34" s="549" t="n"/>
      <c r="U34" s="549" t="n"/>
      <c r="V34" s="588" t="n"/>
      <c r="W34" s="549" t="n"/>
      <c r="X34" s="549" t="n"/>
      <c r="Y34" s="549" t="n"/>
      <c r="Z34" s="549" t="n"/>
      <c r="AA34" s="588" t="n"/>
      <c r="AB34" s="549" t="n"/>
      <c r="AC34" s="549" t="n"/>
      <c r="AD34" s="549" t="n"/>
      <c r="AE34" s="549" t="n"/>
      <c r="AF34" s="588" t="n"/>
      <c r="AG34" s="549" t="n"/>
      <c r="AH34" s="549" t="n"/>
      <c r="AI34" s="549" t="n"/>
      <c r="AJ34" s="549" t="n"/>
      <c r="AK34" s="588" t="n"/>
      <c r="AL34" s="549" t="n"/>
      <c r="AM34" s="549" t="n"/>
      <c r="AN34" s="549" t="n"/>
      <c r="AO34" s="549" t="n"/>
      <c r="AP34" s="588" t="n"/>
    </row>
    <row r="35" ht="15" customFormat="1" customHeight="1" s="546">
      <c r="A35" s="557" t="n"/>
      <c r="B35" s="548" t="n"/>
      <c r="C35" s="549" t="n"/>
      <c r="D35" s="549" t="n"/>
      <c r="E35" s="549" t="n"/>
      <c r="F35" s="549" t="n"/>
      <c r="G35" s="548" t="n"/>
      <c r="H35" s="549" t="n"/>
      <c r="I35" s="549" t="n"/>
      <c r="J35" s="549" t="n"/>
      <c r="K35" s="549" t="n"/>
      <c r="L35" s="548" t="n"/>
      <c r="M35" s="549" t="n"/>
      <c r="N35" s="549" t="n"/>
      <c r="O35" s="549" t="n"/>
      <c r="P35" s="549" t="n"/>
      <c r="Q35" s="548" t="n"/>
      <c r="R35" s="549" t="n"/>
      <c r="S35" s="593" t="n"/>
      <c r="V35" s="588" t="n"/>
      <c r="AA35" s="588" t="n"/>
      <c r="AF35" s="588" t="n"/>
      <c r="AK35" s="588" t="n"/>
      <c r="AP35" s="588" t="n"/>
    </row>
    <row r="36" ht="15" customHeight="1" s="462">
      <c r="A36" s="461" t="inlineStr">
        <is>
          <t>Provision for Taxation</t>
        </is>
      </c>
      <c r="B36" s="563" t="n"/>
      <c r="C36" s="521" t="n"/>
      <c r="D36" s="521" t="n"/>
      <c r="E36" s="521" t="n"/>
      <c r="F36" s="521" t="n"/>
      <c r="G36" s="563" t="n"/>
      <c r="H36" s="594" t="n"/>
      <c r="I36" s="521" t="n"/>
      <c r="J36" s="521" t="n"/>
      <c r="K36" s="521" t="n"/>
      <c r="L36" s="563" t="n"/>
      <c r="M36" s="521" t="n"/>
      <c r="N36" s="521" t="n"/>
      <c r="O36" s="521" t="n"/>
      <c r="Q36" s="563" t="n"/>
      <c r="R36" s="521" t="n"/>
      <c r="S36" s="521" t="n"/>
      <c r="V36" s="577" t="n"/>
      <c r="AA36" s="577" t="n"/>
      <c r="AF36" s="577" t="n"/>
      <c r="AK36" s="577" t="n"/>
      <c r="AP36" s="577" t="n"/>
    </row>
    <row r="37" ht="15" customHeight="1" s="462">
      <c r="A37" s="578" t="inlineStr">
        <is>
          <t>a. Current Tax</t>
        </is>
      </c>
      <c r="B37" s="575" t="n">
        <v>128.4</v>
      </c>
      <c r="C37" s="576" t="n">
        <v>58.1</v>
      </c>
      <c r="D37" s="576" t="n">
        <v>60.5</v>
      </c>
      <c r="E37" s="576" t="n">
        <v>40</v>
      </c>
      <c r="F37" s="576" t="n">
        <v>81</v>
      </c>
      <c r="G37" s="575" t="n">
        <v>203.4</v>
      </c>
      <c r="H37" s="591" t="n">
        <v>80.59999999999999</v>
      </c>
      <c r="I37" s="576" t="n">
        <v>199.1</v>
      </c>
      <c r="J37" s="576" t="n">
        <v>153.7</v>
      </c>
      <c r="K37" s="521" t="n"/>
      <c r="L37" s="575" t="n">
        <v>479.2</v>
      </c>
      <c r="M37" s="576" t="n">
        <v>65.3</v>
      </c>
      <c r="N37" s="576" t="n">
        <v>188.3</v>
      </c>
      <c r="O37" s="576" t="n">
        <v>33.9</v>
      </c>
      <c r="P37" s="506" t="n"/>
      <c r="Q37" s="575" t="n">
        <v>281.6</v>
      </c>
      <c r="R37" s="576" t="n">
        <v>320.1</v>
      </c>
      <c r="S37" s="521" t="n">
        <v>0</v>
      </c>
      <c r="T37" s="521" t="n">
        <v>0</v>
      </c>
      <c r="U37" s="521" t="n">
        <v>0</v>
      </c>
      <c r="V37" s="577" t="n"/>
      <c r="W37" s="521" t="n">
        <v>0</v>
      </c>
      <c r="X37" s="521" t="n">
        <v>0</v>
      </c>
      <c r="Y37" s="521" t="n">
        <v>0</v>
      </c>
      <c r="Z37" s="521" t="n">
        <v>0</v>
      </c>
      <c r="AA37" s="577" t="n"/>
      <c r="AB37" s="521" t="n">
        <v>0</v>
      </c>
      <c r="AC37" s="521" t="n">
        <v>0</v>
      </c>
      <c r="AD37" s="521" t="n">
        <v>0</v>
      </c>
      <c r="AE37" s="521" t="n">
        <v>0</v>
      </c>
      <c r="AF37" s="577" t="n"/>
      <c r="AG37" s="521" t="n">
        <v>0</v>
      </c>
      <c r="AH37" s="521" t="n">
        <v>0</v>
      </c>
      <c r="AI37" s="521" t="n">
        <v>0</v>
      </c>
      <c r="AJ37" s="521" t="n">
        <v>0</v>
      </c>
      <c r="AK37" s="577" t="n"/>
      <c r="AL37" s="521" t="n">
        <v>0</v>
      </c>
      <c r="AM37" s="521" t="n">
        <v>0</v>
      </c>
      <c r="AN37" s="521" t="n">
        <v>0</v>
      </c>
      <c r="AO37" s="521" t="n">
        <v>0</v>
      </c>
      <c r="AP37" s="577" t="n"/>
    </row>
    <row r="38" ht="15" customHeight="1" s="462">
      <c r="A38" s="578" t="inlineStr">
        <is>
          <t>b. MAT Credit Entitlement</t>
        </is>
      </c>
      <c r="B38" s="575" t="n">
        <v>-80.90000000000001</v>
      </c>
      <c r="C38" s="576" t="n">
        <v>-52.2</v>
      </c>
      <c r="D38" s="576" t="n">
        <v>-13.7</v>
      </c>
      <c r="E38" s="576" t="n">
        <v>11.3</v>
      </c>
      <c r="F38" s="576" t="n">
        <v>-4</v>
      </c>
      <c r="G38" s="575" t="n">
        <v>-145.4</v>
      </c>
      <c r="H38" s="576" t="n">
        <v>-3.8</v>
      </c>
      <c r="I38" s="576" t="n">
        <v>3.9</v>
      </c>
      <c r="J38" s="576" t="n">
        <v>0</v>
      </c>
      <c r="K38" s="521" t="n">
        <v>0</v>
      </c>
      <c r="L38" s="575" t="n">
        <v>0</v>
      </c>
      <c r="M38" s="576" t="n">
        <v>-40.8</v>
      </c>
      <c r="N38" s="576" t="n">
        <v>40.8</v>
      </c>
      <c r="O38" s="576" t="n">
        <v>0</v>
      </c>
      <c r="P38" s="506" t="n"/>
      <c r="Q38" s="575" t="n">
        <v>0</v>
      </c>
      <c r="R38" s="576" t="n">
        <v>0</v>
      </c>
      <c r="S38" s="521" t="n">
        <v>0</v>
      </c>
      <c r="T38" s="521" t="n">
        <v>0</v>
      </c>
      <c r="U38" s="521" t="n">
        <v>0</v>
      </c>
      <c r="V38" s="577" t="n"/>
      <c r="W38" s="521" t="n">
        <v>0</v>
      </c>
      <c r="X38" s="521" t="n">
        <v>0</v>
      </c>
      <c r="Y38" s="521" t="n">
        <v>0</v>
      </c>
      <c r="Z38" s="521" t="n">
        <v>0</v>
      </c>
      <c r="AA38" s="577" t="n"/>
      <c r="AB38" s="521" t="n">
        <v>0</v>
      </c>
      <c r="AC38" s="521" t="n">
        <v>0</v>
      </c>
      <c r="AD38" s="521" t="n">
        <v>0</v>
      </c>
      <c r="AE38" s="521" t="n">
        <v>0</v>
      </c>
      <c r="AF38" s="577" t="n"/>
      <c r="AG38" s="521" t="n">
        <v>0</v>
      </c>
      <c r="AH38" s="521" t="n">
        <v>0</v>
      </c>
      <c r="AI38" s="521" t="n">
        <v>0</v>
      </c>
      <c r="AJ38" s="521" t="n">
        <v>0</v>
      </c>
      <c r="AK38" s="577" t="n"/>
      <c r="AL38" s="521" t="n">
        <v>0</v>
      </c>
      <c r="AM38" s="521" t="n">
        <v>0</v>
      </c>
      <c r="AN38" s="521" t="n">
        <v>0</v>
      </c>
      <c r="AO38" s="521" t="n">
        <v>0</v>
      </c>
      <c r="AP38" s="577" t="n"/>
    </row>
    <row r="39" ht="15" customHeight="1" s="462">
      <c r="A39" s="578" t="inlineStr">
        <is>
          <t>c. Defferred Tax</t>
        </is>
      </c>
      <c r="B39" s="575" t="n">
        <v>159</v>
      </c>
      <c r="C39" s="576" t="n">
        <v>137.4</v>
      </c>
      <c r="D39" s="576" t="n">
        <v>11.5</v>
      </c>
      <c r="E39" s="576" t="n">
        <v>44</v>
      </c>
      <c r="F39" s="576" t="n">
        <v>-8</v>
      </c>
      <c r="G39" s="575" t="n">
        <v>-40.6</v>
      </c>
      <c r="H39" s="576" t="n">
        <v>-7.7</v>
      </c>
      <c r="I39" s="576" t="n">
        <v>10.7</v>
      </c>
      <c r="J39" s="576" t="n">
        <v>6.4</v>
      </c>
      <c r="K39" s="521" t="n"/>
      <c r="L39" s="575" t="n">
        <v>52.1</v>
      </c>
      <c r="M39" s="576" t="n">
        <v>10.1</v>
      </c>
      <c r="N39" s="576" t="n">
        <v>-2.9</v>
      </c>
      <c r="O39" s="576" t="n">
        <v>41.6</v>
      </c>
      <c r="P39" s="506" t="n"/>
      <c r="Q39" s="575" t="n">
        <v>59.4</v>
      </c>
      <c r="R39" s="576" t="n">
        <v>10.7</v>
      </c>
      <c r="S39" s="521" t="n">
        <v>0</v>
      </c>
      <c r="T39" s="521" t="n">
        <v>0</v>
      </c>
      <c r="U39" s="521" t="n">
        <v>0</v>
      </c>
      <c r="V39" s="577" t="n"/>
      <c r="W39" s="521" t="n">
        <v>0</v>
      </c>
      <c r="X39" s="521" t="n">
        <v>0</v>
      </c>
      <c r="Y39" s="521" t="n">
        <v>0</v>
      </c>
      <c r="Z39" s="521" t="n">
        <v>0</v>
      </c>
      <c r="AA39" s="577" t="n"/>
      <c r="AB39" s="521" t="n">
        <v>0</v>
      </c>
      <c r="AC39" s="521" t="n">
        <v>0</v>
      </c>
      <c r="AD39" s="521" t="n">
        <v>0</v>
      </c>
      <c r="AE39" s="521" t="n">
        <v>0</v>
      </c>
      <c r="AF39" s="577" t="n"/>
      <c r="AG39" s="521" t="n">
        <v>0</v>
      </c>
      <c r="AH39" s="521" t="n">
        <v>0</v>
      </c>
      <c r="AI39" s="521" t="n">
        <v>0</v>
      </c>
      <c r="AJ39" s="521" t="n">
        <v>0</v>
      </c>
      <c r="AK39" s="577" t="n"/>
      <c r="AL39" s="521" t="n">
        <v>0</v>
      </c>
      <c r="AM39" s="521" t="n">
        <v>0</v>
      </c>
      <c r="AN39" s="521" t="n">
        <v>0</v>
      </c>
      <c r="AO39" s="521" t="n">
        <v>0</v>
      </c>
      <c r="AP39" s="577" t="n"/>
    </row>
    <row r="40" ht="15" customHeight="1" s="462">
      <c r="A40" s="578" t="inlineStr">
        <is>
          <t>d. Fringe Benefit Tax (net of recovery)</t>
        </is>
      </c>
      <c r="B40" s="575" t="n">
        <v>2.8</v>
      </c>
      <c r="C40" s="576" t="n">
        <v>0.8</v>
      </c>
      <c r="D40" s="576" t="n">
        <v>0.9</v>
      </c>
      <c r="E40" s="576" t="n">
        <v>1.1</v>
      </c>
      <c r="F40" s="576" t="n">
        <v>1</v>
      </c>
      <c r="G40" s="575" t="n">
        <v>3.9</v>
      </c>
      <c r="H40" s="576" t="n">
        <v>1</v>
      </c>
      <c r="I40" s="576" t="n">
        <v>1.3</v>
      </c>
      <c r="J40" s="576" t="n">
        <v>1.6</v>
      </c>
      <c r="K40" s="521" t="n"/>
      <c r="L40" s="575" t="n">
        <v>4.7</v>
      </c>
      <c r="M40" s="576" t="n">
        <v>0.9</v>
      </c>
      <c r="N40" s="576" t="n">
        <v>1.7</v>
      </c>
      <c r="O40" s="576" t="n">
        <v>1.6</v>
      </c>
      <c r="P40" s="506" t="n"/>
      <c r="Q40" s="575" t="n">
        <v>5.2</v>
      </c>
      <c r="R40" s="576" t="n">
        <v>0</v>
      </c>
      <c r="S40" s="521" t="n">
        <v>0</v>
      </c>
      <c r="T40" s="521" t="n">
        <v>0</v>
      </c>
      <c r="U40" s="521" t="n">
        <v>0</v>
      </c>
      <c r="V40" s="577" t="n"/>
      <c r="W40" s="521" t="n">
        <v>0</v>
      </c>
      <c r="X40" s="521" t="n">
        <v>0</v>
      </c>
      <c r="Y40" s="521" t="n">
        <v>0</v>
      </c>
      <c r="Z40" s="521" t="n">
        <v>0</v>
      </c>
      <c r="AA40" s="577" t="n"/>
      <c r="AB40" s="521" t="n">
        <v>0</v>
      </c>
      <c r="AC40" s="521" t="n">
        <v>0</v>
      </c>
      <c r="AD40" s="521" t="n">
        <v>0</v>
      </c>
      <c r="AE40" s="521" t="n">
        <v>0</v>
      </c>
      <c r="AF40" s="577" t="n"/>
      <c r="AG40" s="521" t="n">
        <v>0</v>
      </c>
      <c r="AH40" s="521" t="n">
        <v>0</v>
      </c>
      <c r="AI40" s="521" t="n">
        <v>0</v>
      </c>
      <c r="AJ40" s="521" t="n">
        <v>0</v>
      </c>
      <c r="AK40" s="577" t="n"/>
      <c r="AL40" s="521" t="n">
        <v>0</v>
      </c>
      <c r="AM40" s="521" t="n">
        <v>0</v>
      </c>
      <c r="AN40" s="521" t="n">
        <v>0</v>
      </c>
      <c r="AO40" s="521" t="n">
        <v>0</v>
      </c>
      <c r="AP40" s="577" t="n"/>
    </row>
    <row r="41" ht="15" customHeight="1" s="462">
      <c r="A41" s="578" t="inlineStr">
        <is>
          <t>e. Tax adjustment of previous years</t>
        </is>
      </c>
      <c r="B41" s="575" t="n">
        <v>64.59999999999999</v>
      </c>
      <c r="C41" s="576" t="n">
        <v>0</v>
      </c>
      <c r="D41" s="576" t="n">
        <v>0</v>
      </c>
      <c r="E41" s="576" t="n">
        <v>-9.199999999999999</v>
      </c>
      <c r="F41" s="576" t="n">
        <v>0</v>
      </c>
      <c r="G41" s="575" t="n">
        <v>22.4</v>
      </c>
      <c r="H41" s="576" t="n">
        <v>0</v>
      </c>
      <c r="I41" s="576" t="n">
        <v>0</v>
      </c>
      <c r="J41" s="576" t="n">
        <v>0</v>
      </c>
      <c r="K41" s="521" t="n"/>
      <c r="L41" s="575" t="n">
        <v>0</v>
      </c>
      <c r="M41" s="576" t="n">
        <v>19.8</v>
      </c>
      <c r="N41" s="576" t="n">
        <v>-54.6</v>
      </c>
      <c r="O41" s="576" t="n">
        <v>1.5</v>
      </c>
      <c r="P41" s="506" t="n"/>
      <c r="Q41" s="575" t="n">
        <v>-33.3</v>
      </c>
      <c r="R41" s="576" t="n">
        <v>0</v>
      </c>
      <c r="S41" s="521" t="n">
        <v>0</v>
      </c>
      <c r="T41" s="521" t="n">
        <v>0</v>
      </c>
      <c r="U41" s="521" t="n">
        <v>0</v>
      </c>
      <c r="V41" s="577" t="n"/>
      <c r="W41" s="521" t="n">
        <v>0</v>
      </c>
      <c r="X41" s="521" t="n">
        <v>0</v>
      </c>
      <c r="Y41" s="521" t="n">
        <v>0</v>
      </c>
      <c r="Z41" s="521" t="n">
        <v>0</v>
      </c>
      <c r="AA41" s="577" t="n"/>
      <c r="AB41" s="521" t="n">
        <v>0</v>
      </c>
      <c r="AC41" s="521" t="n">
        <v>0</v>
      </c>
      <c r="AD41" s="521" t="n">
        <v>0</v>
      </c>
      <c r="AE41" s="521" t="n">
        <v>0</v>
      </c>
      <c r="AF41" s="577" t="n"/>
      <c r="AG41" s="521" t="n">
        <v>0</v>
      </c>
      <c r="AH41" s="521" t="n">
        <v>0</v>
      </c>
      <c r="AI41" s="521" t="n">
        <v>0</v>
      </c>
      <c r="AJ41" s="521" t="n">
        <v>0</v>
      </c>
      <c r="AK41" s="577" t="n"/>
      <c r="AL41" s="521" t="n">
        <v>0</v>
      </c>
      <c r="AM41" s="521" t="n">
        <v>0</v>
      </c>
      <c r="AN41" s="521" t="n">
        <v>0</v>
      </c>
      <c r="AO41" s="521" t="n">
        <v>0</v>
      </c>
      <c r="AP41" s="577" t="n"/>
    </row>
    <row r="42" ht="15" customHeight="1" s="462">
      <c r="A42" s="461" t="inlineStr">
        <is>
          <t>Total Tax</t>
        </is>
      </c>
      <c r="B42" s="563" t="n"/>
      <c r="C42" s="521" t="n"/>
      <c r="D42" s="521" t="n"/>
      <c r="E42" s="521" t="n"/>
      <c r="F42" s="521" t="n"/>
      <c r="G42" s="563" t="n"/>
      <c r="H42" s="521" t="n"/>
      <c r="I42" s="521" t="n"/>
      <c r="J42" s="521" t="n"/>
      <c r="K42" s="521" t="n"/>
      <c r="L42" s="563" t="n"/>
      <c r="M42" s="521" t="n"/>
      <c r="N42" s="521" t="n"/>
      <c r="O42" s="521" t="n"/>
      <c r="P42" s="506" t="n"/>
      <c r="Q42" s="563" t="n"/>
      <c r="R42" s="521" t="n"/>
      <c r="S42" s="521" t="n"/>
      <c r="T42" s="521" t="n"/>
      <c r="U42" s="521" t="n"/>
      <c r="V42" s="577" t="n"/>
      <c r="W42" s="506" t="n"/>
      <c r="X42" s="506" t="n"/>
      <c r="Y42" s="506" t="n"/>
      <c r="Z42" s="506" t="n"/>
      <c r="AA42" s="577" t="n"/>
      <c r="AB42" s="506" t="n"/>
      <c r="AC42" s="506" t="n"/>
      <c r="AD42" s="506" t="n"/>
      <c r="AE42" s="506" t="n"/>
      <c r="AF42" s="577" t="n"/>
      <c r="AG42" s="506" t="n"/>
      <c r="AH42" s="506" t="n"/>
      <c r="AI42" s="506" t="n"/>
      <c r="AJ42" s="506" t="n"/>
      <c r="AK42" s="577" t="n"/>
      <c r="AL42" s="506" t="n"/>
      <c r="AM42" s="506" t="n"/>
      <c r="AN42" s="506" t="n"/>
      <c r="AO42" s="506" t="n"/>
      <c r="AP42" s="577" t="n"/>
    </row>
    <row r="43" ht="15" customHeight="1" s="462">
      <c r="A43" s="461" t="inlineStr">
        <is>
          <t>Profit before Minority Interest</t>
        </is>
      </c>
      <c r="B43" s="563" t="n"/>
      <c r="C43" s="521" t="n"/>
      <c r="D43" s="521" t="n"/>
      <c r="E43" s="521" t="n"/>
      <c r="F43" s="521" t="n"/>
      <c r="G43" s="563" t="n"/>
      <c r="H43" s="521" t="n"/>
      <c r="I43" s="521" t="n"/>
      <c r="J43" s="521" t="n"/>
      <c r="K43" s="521" t="n"/>
      <c r="L43" s="563" t="n"/>
      <c r="M43" s="521" t="n"/>
      <c r="N43" s="521" t="n"/>
      <c r="O43" s="521" t="n"/>
      <c r="P43" s="506" t="n"/>
      <c r="Q43" s="563" t="n"/>
      <c r="R43" s="521" t="n"/>
      <c r="S43" s="521" t="n"/>
      <c r="T43" s="521" t="n"/>
      <c r="U43" s="521" t="n"/>
      <c r="V43" s="577" t="n"/>
      <c r="W43" s="521" t="n"/>
      <c r="X43" s="521" t="n"/>
      <c r="Y43" s="521" t="n"/>
      <c r="Z43" s="521" t="n"/>
      <c r="AA43" s="577" t="n"/>
      <c r="AB43" s="521" t="n"/>
      <c r="AC43" s="521" t="n"/>
      <c r="AD43" s="521" t="n"/>
      <c r="AE43" s="521" t="n"/>
      <c r="AF43" s="577" t="n"/>
      <c r="AG43" s="521" t="n"/>
      <c r="AH43" s="521" t="n"/>
      <c r="AI43" s="521" t="n"/>
      <c r="AJ43" s="521" t="n"/>
      <c r="AK43" s="577" t="n"/>
      <c r="AL43" s="521" t="n"/>
      <c r="AM43" s="521" t="n"/>
      <c r="AN43" s="521" t="n"/>
      <c r="AO43" s="521" t="n"/>
      <c r="AP43" s="577" t="n"/>
    </row>
    <row r="44" ht="15" customHeight="1" s="462">
      <c r="A44" s="461" t="inlineStr">
        <is>
          <t>Minority Interest</t>
        </is>
      </c>
      <c r="B44" s="575" t="n">
        <v>-14.1</v>
      </c>
      <c r="C44" s="576" t="n">
        <v>0</v>
      </c>
      <c r="D44" s="576" t="n">
        <v>0</v>
      </c>
      <c r="E44" s="576" t="n">
        <v>0</v>
      </c>
      <c r="F44" s="576" t="n">
        <v>3</v>
      </c>
      <c r="G44" s="575" t="n">
        <v>11</v>
      </c>
      <c r="H44" s="576" t="n">
        <v>2.9</v>
      </c>
      <c r="I44" s="576" t="n">
        <v>2.6</v>
      </c>
      <c r="J44" s="576" t="n">
        <v>-1.3</v>
      </c>
      <c r="K44" s="521" t="n"/>
      <c r="L44" s="575" t="n">
        <v>-3.4</v>
      </c>
      <c r="M44" s="576" t="n">
        <v>0.4</v>
      </c>
      <c r="N44" s="576" t="n">
        <v>2</v>
      </c>
      <c r="O44" s="576" t="n">
        <v>-2</v>
      </c>
      <c r="P44" s="506" t="n"/>
      <c r="Q44" s="575" t="n">
        <v>0</v>
      </c>
      <c r="R44" s="576" t="n">
        <v>0</v>
      </c>
      <c r="S44" s="587" t="n">
        <v>0</v>
      </c>
      <c r="T44" s="587" t="n">
        <v>0</v>
      </c>
      <c r="U44" s="587" t="n">
        <v>0</v>
      </c>
      <c r="V44" s="577" t="n">
        <v>0</v>
      </c>
      <c r="W44" s="576" t="n">
        <v>0</v>
      </c>
      <c r="X44" s="587" t="n">
        <v>0</v>
      </c>
      <c r="Y44" s="587" t="n">
        <v>0</v>
      </c>
      <c r="Z44" s="587" t="n">
        <v>0</v>
      </c>
      <c r="AA44" s="577" t="n">
        <v>0</v>
      </c>
      <c r="AB44" s="576" t="n">
        <v>0</v>
      </c>
      <c r="AC44" s="587" t="n">
        <v>0</v>
      </c>
      <c r="AD44" s="587" t="n">
        <v>0</v>
      </c>
      <c r="AE44" s="587" t="n">
        <v>0</v>
      </c>
      <c r="AF44" s="577" t="n">
        <v>0</v>
      </c>
      <c r="AG44" s="576" t="n">
        <v>0</v>
      </c>
      <c r="AH44" s="587" t="n">
        <v>0</v>
      </c>
      <c r="AI44" s="587" t="n">
        <v>0</v>
      </c>
      <c r="AJ44" s="587" t="n">
        <v>0</v>
      </c>
      <c r="AK44" s="577" t="n">
        <v>0</v>
      </c>
      <c r="AL44" s="576" t="n">
        <v>0</v>
      </c>
      <c r="AM44" s="587" t="n">
        <v>0</v>
      </c>
      <c r="AN44" s="587" t="n">
        <v>0</v>
      </c>
      <c r="AO44" s="587" t="n">
        <v>0</v>
      </c>
      <c r="AP44" s="577" t="n">
        <v>0</v>
      </c>
    </row>
    <row r="45" ht="15" customFormat="1" customHeight="1" s="522">
      <c r="A45" s="522" t="inlineStr">
        <is>
          <t>Net Profit for the Period (PAT)</t>
        </is>
      </c>
      <c r="B45" s="582" t="n"/>
      <c r="C45" s="583" t="n"/>
      <c r="D45" s="583" t="n"/>
      <c r="E45" s="583" t="n"/>
      <c r="F45" s="583" t="n"/>
      <c r="G45" s="582" t="n"/>
      <c r="H45" s="583" t="n"/>
      <c r="I45" s="583" t="n"/>
      <c r="J45" s="583" t="n"/>
      <c r="K45" s="583" t="n"/>
      <c r="L45" s="582" t="n"/>
      <c r="M45" s="583" t="n"/>
      <c r="N45" s="583" t="n"/>
      <c r="O45" s="583" t="n"/>
      <c r="P45" s="542" t="n"/>
      <c r="Q45" s="582" t="n"/>
      <c r="R45" s="583" t="n"/>
      <c r="S45" s="583" t="n"/>
      <c r="T45" s="583" t="n"/>
      <c r="U45" s="583" t="n"/>
      <c r="V45" s="584" t="n"/>
      <c r="W45" s="583" t="n"/>
      <c r="X45" s="583" t="n"/>
      <c r="Y45" s="583" t="n"/>
      <c r="Z45" s="583" t="n"/>
      <c r="AA45" s="584" t="n"/>
      <c r="AB45" s="583" t="n"/>
      <c r="AC45" s="583" t="n"/>
      <c r="AD45" s="583" t="n"/>
      <c r="AE45" s="583" t="n"/>
      <c r="AF45" s="584" t="n"/>
      <c r="AG45" s="583" t="n"/>
      <c r="AH45" s="583" t="n"/>
      <c r="AI45" s="583" t="n"/>
      <c r="AJ45" s="583" t="n"/>
      <c r="AK45" s="584" t="n"/>
      <c r="AL45" s="583" t="n"/>
      <c r="AM45" s="583" t="n"/>
      <c r="AN45" s="583" t="n"/>
      <c r="AO45" s="583" t="n"/>
      <c r="AP45" s="584" t="n"/>
    </row>
    <row r="46" ht="15" customFormat="1" customHeight="1" s="546">
      <c r="A46" s="546" t="inlineStr">
        <is>
          <t>Net Profit Margin (%)</t>
        </is>
      </c>
      <c r="B46" s="548" t="n"/>
      <c r="C46" s="549" t="n"/>
      <c r="D46" s="549" t="n"/>
      <c r="E46" s="549" t="n"/>
      <c r="F46" s="549" t="n"/>
      <c r="G46" s="548" t="n"/>
      <c r="H46" s="549" t="n"/>
      <c r="I46" s="549" t="n"/>
      <c r="J46" s="549" t="n"/>
      <c r="K46" s="549" t="n"/>
      <c r="L46" s="548" t="n"/>
      <c r="M46" s="549" t="n"/>
      <c r="N46" s="549" t="n"/>
      <c r="O46" s="549" t="n"/>
      <c r="P46" s="549" t="n"/>
      <c r="Q46" s="548" t="n"/>
      <c r="R46" s="549" t="n"/>
      <c r="S46" s="549" t="n"/>
      <c r="T46" s="549" t="n"/>
      <c r="U46" s="549" t="n"/>
      <c r="V46" s="588" t="n"/>
      <c r="W46" s="549" t="n"/>
      <c r="X46" s="549" t="n"/>
      <c r="Y46" s="549" t="n"/>
      <c r="Z46" s="549" t="n"/>
      <c r="AA46" s="588" t="n"/>
      <c r="AB46" s="549" t="n"/>
      <c r="AC46" s="549" t="n"/>
      <c r="AD46" s="549" t="n"/>
      <c r="AE46" s="549" t="n"/>
      <c r="AF46" s="588" t="n"/>
      <c r="AG46" s="549" t="n"/>
      <c r="AH46" s="549" t="n"/>
      <c r="AI46" s="549" t="n"/>
      <c r="AJ46" s="549" t="n"/>
      <c r="AK46" s="588" t="n"/>
      <c r="AL46" s="549" t="n"/>
      <c r="AM46" s="549" t="n"/>
      <c r="AN46" s="549" t="n"/>
      <c r="AO46" s="549" t="n"/>
      <c r="AP46" s="588" t="n"/>
    </row>
    <row r="47" ht="15" customHeight="1" s="462">
      <c r="A47" s="522" t="n"/>
      <c r="B47" s="582" t="n"/>
      <c r="C47" s="521" t="n"/>
      <c r="D47" s="521" t="n"/>
      <c r="E47" s="521" t="n"/>
      <c r="F47" s="521" t="n"/>
      <c r="G47" s="582" t="n"/>
      <c r="H47" s="552" t="n"/>
      <c r="I47" s="552" t="n"/>
      <c r="J47" s="552" t="n"/>
      <c r="K47" s="552" t="n"/>
      <c r="L47" s="582" t="n"/>
      <c r="M47" s="521" t="n"/>
      <c r="N47" s="521" t="n"/>
      <c r="O47" s="521" t="n"/>
      <c r="Q47" s="582" t="n"/>
      <c r="R47" s="521" t="n"/>
      <c r="S47" s="521" t="n"/>
      <c r="V47" s="584" t="n"/>
      <c r="AA47" s="595" t="n"/>
      <c r="AF47" s="584" t="n"/>
      <c r="AK47" s="584" t="n"/>
      <c r="AP47" s="584" t="n"/>
    </row>
    <row r="48" ht="15" customFormat="1" customHeight="1" s="461">
      <c r="A48" s="461" t="inlineStr">
        <is>
          <t>Paid up Equity Share Capital</t>
        </is>
      </c>
      <c r="B48" s="575" t="n">
        <v>266.35</v>
      </c>
      <c r="C48" s="576" t="n">
        <v>266.35</v>
      </c>
      <c r="D48" s="576" t="n">
        <v>266.47</v>
      </c>
      <c r="E48" s="576" t="n">
        <v>266.74</v>
      </c>
      <c r="F48" s="576" t="n">
        <v>266.74</v>
      </c>
      <c r="G48" s="575" t="n">
        <v>266.74</v>
      </c>
      <c r="H48" s="591" t="n">
        <v>266.74</v>
      </c>
      <c r="I48" s="576" t="n">
        <v>268.697</v>
      </c>
      <c r="J48" s="576" t="n">
        <v>268.826</v>
      </c>
      <c r="K48" s="576" t="n">
        <v>268.826</v>
      </c>
      <c r="L48" s="575" t="n">
        <v>268.826</v>
      </c>
      <c r="M48" s="576" t="n">
        <v>268.826</v>
      </c>
      <c r="N48" s="576" t="n">
        <v>268.826</v>
      </c>
      <c r="O48" s="576" t="n">
        <v>268.826</v>
      </c>
      <c r="P48" s="576" t="n">
        <v>268.826</v>
      </c>
      <c r="Q48" s="575" t="n">
        <v>268.826</v>
      </c>
      <c r="R48" s="576" t="n">
        <v>268.826</v>
      </c>
      <c r="S48" s="587" t="n"/>
      <c r="T48" s="587" t="n"/>
      <c r="U48" s="587" t="n"/>
      <c r="V48" s="596" t="n"/>
      <c r="W48" s="587" t="n"/>
      <c r="X48" s="587" t="n"/>
      <c r="Y48" s="587" t="n"/>
      <c r="Z48" s="587" t="n"/>
      <c r="AA48" s="596" t="n"/>
      <c r="AB48" s="587" t="n"/>
      <c r="AC48" s="587" t="n"/>
      <c r="AD48" s="587" t="n"/>
      <c r="AE48" s="587" t="n"/>
      <c r="AF48" s="596" t="n"/>
      <c r="AG48" s="587" t="n"/>
      <c r="AH48" s="587" t="n"/>
      <c r="AI48" s="587" t="n"/>
      <c r="AJ48" s="587" t="n"/>
      <c r="AK48" s="596" t="n"/>
      <c r="AL48" s="587" t="n"/>
      <c r="AM48" s="587" t="n"/>
      <c r="AN48" s="587" t="n"/>
      <c r="AO48" s="587" t="n"/>
      <c r="AP48" s="596" t="n"/>
    </row>
    <row r="49" ht="15" customHeight="1" s="462">
      <c r="A49" s="578" t="inlineStr">
        <is>
          <t>(Face value Rs 5/- per share)</t>
        </is>
      </c>
      <c r="B49" s="563" t="n"/>
      <c r="C49" s="521" t="n"/>
      <c r="D49" s="521" t="n"/>
      <c r="E49" s="521" t="n"/>
      <c r="F49" s="521" t="n"/>
      <c r="G49" s="563" t="n"/>
      <c r="H49" s="594" t="n"/>
      <c r="I49" s="521" t="n"/>
      <c r="J49" s="521" t="n"/>
      <c r="K49" s="521" t="n"/>
      <c r="L49" s="563" t="n"/>
      <c r="M49" s="521" t="n"/>
      <c r="N49" s="521" t="n"/>
      <c r="O49" s="521" t="n"/>
      <c r="Q49" s="563" t="n"/>
      <c r="R49" s="521" t="n"/>
      <c r="S49" s="521" t="n"/>
      <c r="V49" s="577" t="n"/>
      <c r="AA49" s="577" t="n"/>
      <c r="AF49" s="577" t="n"/>
      <c r="AK49" s="577" t="n"/>
      <c r="AP49" s="577" t="n"/>
    </row>
    <row r="50" ht="15" customHeight="1" s="462">
      <c r="B50" s="563" t="n"/>
      <c r="C50" s="521" t="n"/>
      <c r="D50" s="521" t="n"/>
      <c r="E50" s="521" t="n"/>
      <c r="F50" s="521" t="n"/>
      <c r="G50" s="563" t="n"/>
      <c r="H50" s="594" t="n"/>
      <c r="I50" s="521" t="n"/>
      <c r="J50" s="521" t="n"/>
      <c r="K50" s="521" t="n"/>
      <c r="L50" s="563" t="n"/>
      <c r="M50" s="521" t="n"/>
      <c r="N50" s="521" t="n"/>
      <c r="O50" s="521" t="n"/>
      <c r="Q50" s="563" t="n"/>
      <c r="R50" s="521" t="n"/>
      <c r="S50" s="597" t="n"/>
      <c r="T50" s="506" t="n"/>
      <c r="V50" s="577" t="n"/>
      <c r="AA50" s="577" t="n"/>
      <c r="AF50" s="577" t="n"/>
      <c r="AK50" s="577" t="n"/>
      <c r="AP50" s="577" t="n"/>
    </row>
    <row r="51" ht="15" customHeight="1" s="462">
      <c r="A51" s="461" t="inlineStr">
        <is>
          <t>Basic EPS</t>
        </is>
      </c>
      <c r="B51" s="575" t="n">
        <v>13.28</v>
      </c>
      <c r="C51" s="576" t="n">
        <v>6.8</v>
      </c>
      <c r="D51" s="576" t="n">
        <v>10.25</v>
      </c>
      <c r="E51" s="576" t="n">
        <v>11.28</v>
      </c>
      <c r="F51" s="576" t="n">
        <v>11.57</v>
      </c>
      <c r="G51" s="575" t="n">
        <v>37.7</v>
      </c>
      <c r="H51" s="591" t="n">
        <v>11.57</v>
      </c>
      <c r="I51" s="576" t="n">
        <v>11.56</v>
      </c>
      <c r="J51" s="576" t="n">
        <v>8.289999999999999</v>
      </c>
      <c r="K51" s="576" t="n">
        <v>13.04</v>
      </c>
      <c r="L51" s="575" t="n">
        <v>44.46</v>
      </c>
      <c r="M51" s="576" t="n">
        <v>3.06</v>
      </c>
      <c r="N51" s="576" t="n">
        <v>-7.15</v>
      </c>
      <c r="O51" s="576" t="n">
        <v>7.78</v>
      </c>
      <c r="P51" s="576" t="n">
        <v>14.89</v>
      </c>
      <c r="Q51" s="575" t="n">
        <v>18.58</v>
      </c>
      <c r="R51" s="576" t="n">
        <v>30.98</v>
      </c>
      <c r="S51" s="521" t="n"/>
      <c r="T51" s="521" t="n"/>
      <c r="U51" s="521" t="n"/>
      <c r="V51" s="577" t="n"/>
      <c r="W51" s="521" t="n"/>
      <c r="X51" s="521" t="n"/>
      <c r="Y51" s="521" t="n"/>
      <c r="Z51" s="521" t="n"/>
      <c r="AA51" s="577" t="n"/>
      <c r="AB51" s="521" t="n"/>
      <c r="AC51" s="521" t="n"/>
      <c r="AD51" s="521" t="n"/>
      <c r="AE51" s="521" t="n"/>
      <c r="AF51" s="577" t="n"/>
      <c r="AG51" s="521" t="n"/>
      <c r="AH51" s="521" t="n"/>
      <c r="AI51" s="521" t="n"/>
      <c r="AJ51" s="521" t="n"/>
      <c r="AK51" s="577" t="n"/>
      <c r="AL51" s="521" t="n"/>
      <c r="AM51" s="521" t="n"/>
      <c r="AN51" s="521" t="n"/>
      <c r="AO51" s="521" t="n"/>
      <c r="AP51" s="577" t="n"/>
    </row>
    <row r="52" ht="15" customFormat="1" customHeight="1" s="522">
      <c r="A52" s="522" t="inlineStr">
        <is>
          <t>Diluted EPS</t>
        </is>
      </c>
      <c r="B52" s="598" t="n">
        <v>12.52</v>
      </c>
      <c r="C52" s="599" t="n">
        <v>5.73</v>
      </c>
      <c r="D52" s="599" t="n">
        <v>7.99</v>
      </c>
      <c r="E52" s="599" t="n">
        <v>8.789999999999999</v>
      </c>
      <c r="F52" s="599" t="n">
        <v>9.130000000000001</v>
      </c>
      <c r="G52" s="598" t="n">
        <v>30.27</v>
      </c>
      <c r="H52" s="600" t="n">
        <v>9.130000000000001</v>
      </c>
      <c r="I52" s="599" t="n">
        <v>9.19</v>
      </c>
      <c r="J52" s="599" t="n">
        <v>6.59</v>
      </c>
      <c r="K52" s="599" t="n">
        <v>10.37</v>
      </c>
      <c r="L52" s="598" t="n">
        <v>35.33</v>
      </c>
      <c r="M52" s="599" t="n">
        <v>2.43</v>
      </c>
      <c r="N52" s="599" t="n">
        <v>-7.15</v>
      </c>
      <c r="O52" s="599" t="n">
        <v>6.19</v>
      </c>
      <c r="P52" s="599" t="n">
        <v>12.37</v>
      </c>
      <c r="Q52" s="598" t="n">
        <v>15.43</v>
      </c>
      <c r="R52" s="599" t="n">
        <v>25.76</v>
      </c>
      <c r="S52" s="583" t="n"/>
      <c r="T52" s="583" t="n"/>
      <c r="U52" s="583" t="n"/>
      <c r="V52" s="584" t="n"/>
      <c r="W52" s="583" t="n"/>
      <c r="X52" s="583" t="n"/>
      <c r="Y52" s="583" t="n"/>
      <c r="Z52" s="583" t="n"/>
      <c r="AA52" s="584" t="n"/>
      <c r="AB52" s="583" t="n"/>
      <c r="AC52" s="583" t="n"/>
      <c r="AD52" s="583" t="n"/>
      <c r="AE52" s="583" t="n"/>
      <c r="AF52" s="584" t="n"/>
      <c r="AG52" s="583" t="n"/>
      <c r="AH52" s="583" t="n"/>
      <c r="AI52" s="583" t="n"/>
      <c r="AJ52" s="583" t="n"/>
      <c r="AK52" s="584" t="n"/>
      <c r="AL52" s="583" t="n"/>
      <c r="AM52" s="583" t="n"/>
      <c r="AN52" s="583" t="n"/>
      <c r="AO52" s="583" t="n"/>
      <c r="AP52" s="584" t="n"/>
    </row>
    <row r="53" ht="15" customHeight="1" s="462">
      <c r="B53" s="563" t="n"/>
      <c r="C53" s="521" t="n"/>
      <c r="D53" s="521" t="n"/>
      <c r="E53" s="521" t="n"/>
      <c r="F53" s="521" t="n"/>
      <c r="G53" s="563" t="n"/>
      <c r="H53" s="594" t="n"/>
      <c r="I53" s="521" t="n"/>
      <c r="J53" s="521" t="n"/>
      <c r="K53" s="521" t="n"/>
      <c r="L53" s="563" t="n"/>
      <c r="M53" s="521" t="n"/>
      <c r="N53" s="521" t="n"/>
      <c r="O53" s="521" t="n"/>
      <c r="Q53" s="563" t="n"/>
      <c r="R53" s="521" t="n"/>
      <c r="S53" s="521" t="n"/>
      <c r="V53" s="577" t="n"/>
      <c r="AA53" s="577" t="n"/>
      <c r="AF53" s="577" t="n"/>
      <c r="AK53" s="577" t="n"/>
      <c r="AP53" s="577" t="n"/>
    </row>
    <row r="54" ht="15" customHeight="1" s="462">
      <c r="A54" s="461" t="inlineStr">
        <is>
          <t>No of Shares -Basic</t>
        </is>
      </c>
      <c r="B54" s="601" t="n"/>
      <c r="C54" s="597" t="n"/>
      <c r="D54" s="597" t="n"/>
      <c r="E54" s="597" t="n"/>
      <c r="F54" s="597" t="n"/>
      <c r="G54" s="601" t="n"/>
      <c r="H54" s="597" t="n"/>
      <c r="I54" s="597" t="n"/>
      <c r="J54" s="597" t="n"/>
      <c r="K54" s="597" t="n"/>
      <c r="L54" s="601" t="n"/>
      <c r="M54" s="597" t="n"/>
      <c r="N54" s="597" t="n"/>
      <c r="O54" s="597" t="n"/>
      <c r="P54" s="597" t="n"/>
      <c r="Q54" s="601" t="n"/>
      <c r="R54" s="597" t="n"/>
      <c r="S54" s="602" t="n"/>
      <c r="T54" s="602" t="n"/>
      <c r="U54" s="602" t="n"/>
      <c r="V54" s="603" t="n"/>
      <c r="W54" s="604" t="n"/>
      <c r="X54" s="604" t="n"/>
      <c r="Y54" s="604" t="n"/>
      <c r="Z54" s="604" t="n"/>
      <c r="AA54" s="603" t="n"/>
      <c r="AB54" s="604" t="n"/>
      <c r="AC54" s="604" t="n"/>
      <c r="AD54" s="604" t="n"/>
      <c r="AE54" s="604" t="n"/>
      <c r="AF54" s="605" t="n"/>
      <c r="AG54" s="604" t="n"/>
      <c r="AH54" s="604" t="n"/>
      <c r="AI54" s="604" t="n"/>
      <c r="AJ54" s="604" t="n"/>
      <c r="AK54" s="603" t="n"/>
      <c r="AL54" s="604" t="n"/>
      <c r="AM54" s="604" t="n"/>
      <c r="AN54" s="604" t="n"/>
      <c r="AO54" s="604" t="n"/>
      <c r="AP54" s="603" t="n"/>
    </row>
    <row r="55" ht="15" customFormat="1" customHeight="1" s="522">
      <c r="A55" s="522" t="inlineStr">
        <is>
          <t xml:space="preserve">No of Shares - Diluted </t>
        </is>
      </c>
      <c r="B55" s="606" t="n"/>
      <c r="C55" s="607" t="n"/>
      <c r="D55" s="607" t="n"/>
      <c r="E55" s="607" t="n"/>
      <c r="F55" s="607" t="n"/>
      <c r="G55" s="606" t="n"/>
      <c r="H55" s="607" t="n"/>
      <c r="I55" s="607" t="n"/>
      <c r="J55" s="607" t="n"/>
      <c r="K55" s="607" t="n"/>
      <c r="L55" s="606" t="n"/>
      <c r="M55" s="607" t="n"/>
      <c r="N55" s="607" t="n"/>
      <c r="O55" s="607" t="n"/>
      <c r="P55" s="607" t="n"/>
      <c r="Q55" s="606" t="n"/>
      <c r="R55" s="607" t="n"/>
      <c r="S55" s="608" t="n"/>
      <c r="T55" s="608" t="n"/>
      <c r="U55" s="608" t="n"/>
      <c r="V55" s="605" t="n"/>
      <c r="W55" s="609" t="n"/>
      <c r="X55" s="609" t="n"/>
      <c r="Y55" s="609" t="n"/>
      <c r="Z55" s="609" t="n"/>
      <c r="AA55" s="605" t="n"/>
      <c r="AB55" s="609" t="n">
        <v>58.1834437495158</v>
      </c>
      <c r="AC55" s="609" t="n"/>
      <c r="AD55" s="609" t="n"/>
      <c r="AE55" s="609" t="n"/>
      <c r="AF55" s="605" t="n"/>
      <c r="AG55" s="609" t="n"/>
      <c r="AH55" s="609" t="n"/>
      <c r="AI55" s="609" t="n"/>
      <c r="AJ55" s="609" t="n"/>
      <c r="AK55" s="605" t="n"/>
      <c r="AL55" s="609" t="n"/>
      <c r="AM55" s="609" t="n"/>
      <c r="AN55" s="609" t="n"/>
      <c r="AO55" s="609" t="n"/>
      <c r="AP55" s="605" t="n"/>
    </row>
    <row r="56" ht="15" customHeight="1" s="462">
      <c r="B56" s="601" t="n"/>
      <c r="C56" s="521" t="n"/>
      <c r="D56" s="521" t="n"/>
      <c r="E56" s="521" t="n"/>
      <c r="F56" s="521" t="n"/>
      <c r="G56" s="601" t="n"/>
      <c r="H56" s="594" t="n"/>
      <c r="I56" s="521" t="n"/>
      <c r="J56" s="521" t="n"/>
      <c r="K56" s="521" t="n"/>
      <c r="L56" s="601" t="n"/>
      <c r="M56" s="521" t="n"/>
      <c r="N56" s="521" t="n"/>
      <c r="O56" s="521" t="n"/>
      <c r="P56" s="521" t="n"/>
      <c r="Q56" s="601" t="n"/>
      <c r="R56" s="521" t="n"/>
      <c r="V56" s="610" t="n"/>
      <c r="AA56" s="611" t="n"/>
      <c r="AF56" s="610" t="n"/>
      <c r="AK56" s="610" t="n"/>
      <c r="AP56" s="610" t="n"/>
    </row>
    <row r="57" ht="15" customHeight="1" s="462">
      <c r="B57" s="563" t="n"/>
      <c r="G57" s="563" t="n"/>
      <c r="H57" s="512" t="n"/>
      <c r="L57" s="563" t="n"/>
      <c r="M57" s="506" t="n"/>
      <c r="N57" s="506" t="n"/>
      <c r="O57" s="506" t="n"/>
      <c r="P57" s="506" t="n"/>
      <c r="Q57" s="563" t="n"/>
      <c r="R57" s="567" t="n"/>
      <c r="V57" s="577" t="n"/>
      <c r="AA57" s="612" t="n"/>
      <c r="AF57" s="577" t="n"/>
      <c r="AK57" s="577" t="n"/>
      <c r="AP57" s="577" t="n"/>
    </row>
    <row r="58" ht="15" customHeight="1" s="462">
      <c r="A58" s="491" t="inlineStr">
        <is>
          <t>One Time / Proforma Adjustments</t>
        </is>
      </c>
      <c r="B58" s="515" t="n"/>
      <c r="G58" s="515" t="n"/>
      <c r="H58" s="512" t="n"/>
      <c r="L58" s="515" t="n"/>
      <c r="Q58" s="515" t="n"/>
      <c r="V58" s="558" t="n"/>
      <c r="AA58" s="558" t="n"/>
      <c r="AF58" s="558" t="n"/>
      <c r="AK58" s="558" t="n"/>
      <c r="AP58" s="558" t="n"/>
    </row>
    <row r="59" ht="15" customHeight="1" s="462">
      <c r="B59" s="515" t="n"/>
      <c r="G59" s="515" t="n"/>
      <c r="L59" s="515" t="n"/>
      <c r="Q59" s="515" t="n"/>
      <c r="V59" s="558" t="n"/>
      <c r="AA59" s="558" t="n"/>
      <c r="AF59" s="558" t="n"/>
      <c r="AK59" s="558" t="n"/>
      <c r="AP59" s="558" t="n"/>
    </row>
    <row r="60" ht="15" customHeight="1" s="462">
      <c r="A60" s="461" t="inlineStr">
        <is>
          <t>Foreign Exchange (Gain) / Loss (net)</t>
        </is>
      </c>
      <c r="B60" s="507" t="n"/>
      <c r="C60" s="506" t="n"/>
      <c r="D60" s="506" t="n"/>
      <c r="E60" s="506" t="n"/>
      <c r="F60" s="506" t="n"/>
      <c r="G60" s="507" t="n"/>
      <c r="H60" s="506" t="n"/>
      <c r="I60" s="506" t="n"/>
      <c r="J60" s="506" t="n"/>
      <c r="K60" s="506" t="n"/>
      <c r="L60" s="507" t="n"/>
      <c r="M60" s="506" t="n"/>
      <c r="N60" s="506" t="n"/>
      <c r="O60" s="506" t="n"/>
      <c r="P60" s="506" t="n"/>
      <c r="Q60" s="507" t="n"/>
      <c r="R60" s="506" t="n"/>
      <c r="S60" s="506" t="n">
        <v>0</v>
      </c>
      <c r="T60" s="506" t="n">
        <v>0</v>
      </c>
      <c r="U60" s="506" t="n">
        <v>0</v>
      </c>
      <c r="V60" s="592" t="n">
        <v>0</v>
      </c>
      <c r="W60" s="506" t="n">
        <v>0</v>
      </c>
      <c r="X60" s="506" t="n">
        <v>0</v>
      </c>
      <c r="Y60" s="506" t="n">
        <v>0</v>
      </c>
      <c r="Z60" s="506" t="n">
        <v>0</v>
      </c>
      <c r="AA60" s="592" t="n">
        <v>0</v>
      </c>
      <c r="AB60" s="506" t="n">
        <v>0</v>
      </c>
      <c r="AC60" s="506" t="n">
        <v>0</v>
      </c>
      <c r="AD60" s="506" t="n">
        <v>0</v>
      </c>
      <c r="AE60" s="506" t="n">
        <v>0</v>
      </c>
      <c r="AF60" s="592" t="n">
        <v>0</v>
      </c>
      <c r="AG60" s="506" t="n">
        <v>0</v>
      </c>
      <c r="AH60" s="506" t="n">
        <v>0</v>
      </c>
      <c r="AI60" s="506" t="n">
        <v>0</v>
      </c>
      <c r="AJ60" s="506" t="n">
        <v>0</v>
      </c>
      <c r="AK60" s="592" t="n">
        <v>0</v>
      </c>
      <c r="AL60" s="506" t="n">
        <v>0</v>
      </c>
      <c r="AM60" s="506" t="n">
        <v>0</v>
      </c>
      <c r="AN60" s="506" t="n">
        <v>0</v>
      </c>
      <c r="AO60" s="506" t="n">
        <v>0</v>
      </c>
      <c r="AP60" s="592" t="n">
        <v>0</v>
      </c>
    </row>
    <row r="61" ht="15" customHeight="1" s="462">
      <c r="A61" s="461" t="inlineStr">
        <is>
          <t>Exceptional Item</t>
        </is>
      </c>
      <c r="B61" s="507" t="n"/>
      <c r="C61" s="506" t="n"/>
      <c r="D61" s="506" t="n"/>
      <c r="E61" s="506" t="n"/>
      <c r="F61" s="506" t="n"/>
      <c r="G61" s="507" t="n"/>
      <c r="H61" s="506" t="n"/>
      <c r="I61" s="506" t="n"/>
      <c r="J61" s="506" t="n"/>
      <c r="K61" s="506" t="n"/>
      <c r="L61" s="507" t="n"/>
      <c r="M61" s="506" t="n"/>
      <c r="N61" s="506" t="n"/>
      <c r="O61" s="506" t="n"/>
      <c r="P61" s="506" t="n"/>
      <c r="Q61" s="507" t="n"/>
      <c r="R61" s="506" t="n"/>
      <c r="S61" s="506" t="n">
        <v>0</v>
      </c>
      <c r="T61" s="506" t="n">
        <v>0</v>
      </c>
      <c r="U61" s="506" t="n">
        <v>0</v>
      </c>
      <c r="V61" s="592" t="n">
        <v>0</v>
      </c>
      <c r="W61" s="506" t="n">
        <v>0</v>
      </c>
      <c r="X61" s="506" t="n">
        <v>0</v>
      </c>
      <c r="Y61" s="506" t="n">
        <v>0</v>
      </c>
      <c r="Z61" s="506" t="n">
        <v>0</v>
      </c>
      <c r="AA61" s="592" t="n">
        <v>0</v>
      </c>
      <c r="AB61" s="506" t="n">
        <v>0</v>
      </c>
      <c r="AC61" s="506" t="n">
        <v>0</v>
      </c>
      <c r="AD61" s="506" t="n">
        <v>0</v>
      </c>
      <c r="AE61" s="506" t="n">
        <v>0</v>
      </c>
      <c r="AF61" s="592" t="n">
        <v>0</v>
      </c>
      <c r="AG61" s="506" t="n">
        <v>0</v>
      </c>
      <c r="AH61" s="506" t="n">
        <v>0</v>
      </c>
      <c r="AI61" s="506" t="n">
        <v>0</v>
      </c>
      <c r="AJ61" s="506" t="n">
        <v>0</v>
      </c>
      <c r="AK61" s="592" t="n">
        <v>0</v>
      </c>
      <c r="AL61" s="506" t="n">
        <v>0</v>
      </c>
      <c r="AM61" s="506" t="n">
        <v>0</v>
      </c>
      <c r="AN61" s="506" t="n">
        <v>0</v>
      </c>
      <c r="AO61" s="506" t="n">
        <v>0</v>
      </c>
      <c r="AP61" s="592" t="n">
        <v>0</v>
      </c>
    </row>
    <row r="62" ht="15" customHeight="1" s="462">
      <c r="A62" s="461" t="inlineStr">
        <is>
          <t>Total Adjustments before Tax</t>
        </is>
      </c>
      <c r="B62" s="507" t="n"/>
      <c r="C62" s="506" t="n"/>
      <c r="D62" s="506" t="n"/>
      <c r="E62" s="506" t="n"/>
      <c r="F62" s="506" t="n"/>
      <c r="G62" s="507" t="n"/>
      <c r="H62" s="506" t="n"/>
      <c r="I62" s="506" t="n"/>
      <c r="J62" s="506" t="n"/>
      <c r="K62" s="506" t="n"/>
      <c r="L62" s="507" t="n"/>
      <c r="M62" s="506" t="n"/>
      <c r="N62" s="506" t="n"/>
      <c r="O62" s="506" t="n"/>
      <c r="P62" s="506" t="n"/>
      <c r="Q62" s="507" t="n"/>
      <c r="R62" s="506" t="n"/>
      <c r="S62" s="506" t="n"/>
      <c r="T62" s="506" t="n"/>
      <c r="U62" s="506" t="n"/>
      <c r="V62" s="592" t="n"/>
      <c r="W62" s="506" t="n"/>
      <c r="X62" s="506" t="n"/>
      <c r="Y62" s="506" t="n"/>
      <c r="Z62" s="506" t="n"/>
      <c r="AA62" s="592" t="n"/>
      <c r="AB62" s="506" t="n"/>
      <c r="AC62" s="506" t="n"/>
      <c r="AD62" s="506" t="n"/>
      <c r="AE62" s="506" t="n"/>
      <c r="AF62" s="592" t="n"/>
      <c r="AG62" s="506" t="n"/>
      <c r="AH62" s="506" t="n"/>
      <c r="AI62" s="506" t="n"/>
      <c r="AJ62" s="506" t="n"/>
      <c r="AK62" s="592" t="n"/>
      <c r="AL62" s="506" t="n"/>
      <c r="AM62" s="506" t="n"/>
      <c r="AN62" s="506" t="n"/>
      <c r="AO62" s="506" t="n"/>
      <c r="AP62" s="592" t="n"/>
    </row>
    <row r="63" ht="15" customHeight="1" s="462">
      <c r="A63" s="461" t="inlineStr">
        <is>
          <t>Less: Income Tax Effect</t>
        </is>
      </c>
      <c r="B63" s="507" t="n"/>
      <c r="C63" s="506" t="n"/>
      <c r="D63" s="506" t="n"/>
      <c r="E63" s="506" t="n"/>
      <c r="F63" s="506" t="n"/>
      <c r="G63" s="507" t="n"/>
      <c r="H63" s="506" t="n"/>
      <c r="I63" s="506" t="n"/>
      <c r="J63" s="506" t="n"/>
      <c r="K63" s="506" t="n"/>
      <c r="L63" s="507" t="n"/>
      <c r="M63" s="506" t="n"/>
      <c r="N63" s="506" t="n"/>
      <c r="O63" s="506" t="n"/>
      <c r="P63" s="506" t="n"/>
      <c r="Q63" s="507" t="n"/>
      <c r="R63" s="506" t="n"/>
      <c r="S63" s="506" t="n"/>
      <c r="T63" s="506" t="n"/>
      <c r="U63" s="506" t="n"/>
      <c r="V63" s="592" t="n"/>
      <c r="W63" s="506" t="n"/>
      <c r="X63" s="506" t="n"/>
      <c r="Y63" s="506" t="n"/>
      <c r="Z63" s="506" t="n"/>
      <c r="AA63" s="592" t="n"/>
      <c r="AB63" s="506" t="n"/>
      <c r="AC63" s="506" t="n"/>
      <c r="AD63" s="506" t="n"/>
      <c r="AE63" s="506" t="n"/>
      <c r="AF63" s="592" t="n"/>
      <c r="AG63" s="506" t="n"/>
      <c r="AH63" s="506" t="n"/>
      <c r="AI63" s="506" t="n"/>
      <c r="AJ63" s="506" t="n"/>
      <c r="AK63" s="592" t="n"/>
      <c r="AL63" s="506" t="n"/>
      <c r="AM63" s="506" t="n"/>
      <c r="AN63" s="506" t="n"/>
      <c r="AO63" s="506" t="n"/>
      <c r="AP63" s="592" t="n"/>
    </row>
    <row r="64" ht="15" customHeight="1" s="462">
      <c r="A64" s="522" t="inlineStr">
        <is>
          <t xml:space="preserve">Adjusted  Net Profit for the Period (PAT) </t>
        </is>
      </c>
      <c r="B64" s="507" t="n"/>
      <c r="C64" s="506" t="n"/>
      <c r="D64" s="506" t="n"/>
      <c r="E64" s="506" t="n"/>
      <c r="F64" s="506" t="n"/>
      <c r="G64" s="507" t="n"/>
      <c r="H64" s="506" t="n"/>
      <c r="I64" s="506" t="n"/>
      <c r="J64" s="506" t="n"/>
      <c r="K64" s="506" t="n"/>
      <c r="L64" s="507" t="n"/>
      <c r="M64" s="506" t="n"/>
      <c r="N64" s="506" t="n"/>
      <c r="O64" s="506" t="n"/>
      <c r="P64" s="506" t="n"/>
      <c r="Q64" s="507" t="n"/>
      <c r="R64" s="506" t="n"/>
      <c r="S64" s="506" t="n"/>
      <c r="T64" s="506" t="n"/>
      <c r="U64" s="506" t="n"/>
      <c r="V64" s="592" t="n"/>
      <c r="W64" s="506" t="n"/>
      <c r="X64" s="506" t="n"/>
      <c r="Y64" s="506" t="n"/>
      <c r="Z64" s="506" t="n"/>
      <c r="AA64" s="592" t="n"/>
      <c r="AB64" s="506" t="n"/>
      <c r="AC64" s="506" t="n"/>
      <c r="AD64" s="506" t="n"/>
      <c r="AE64" s="506" t="n"/>
      <c r="AF64" s="592" t="n"/>
      <c r="AG64" s="506" t="n"/>
      <c r="AH64" s="506" t="n"/>
      <c r="AI64" s="506" t="n"/>
      <c r="AJ64" s="506" t="n"/>
      <c r="AK64" s="592" t="n"/>
      <c r="AL64" s="506" t="n"/>
      <c r="AM64" s="506" t="n"/>
      <c r="AN64" s="506" t="n"/>
      <c r="AO64" s="506" t="n"/>
      <c r="AP64" s="592" t="n"/>
    </row>
    <row r="65" ht="15" customFormat="1" customHeight="1" s="546">
      <c r="A65" s="546" t="inlineStr">
        <is>
          <t>Adjusted Net  Profit Margin (%)</t>
        </is>
      </c>
      <c r="B65" s="548" t="n"/>
      <c r="C65" s="549" t="n"/>
      <c r="D65" s="549" t="n"/>
      <c r="E65" s="549" t="n"/>
      <c r="F65" s="549" t="n"/>
      <c r="G65" s="548" t="n"/>
      <c r="H65" s="549" t="n"/>
      <c r="I65" s="549" t="n"/>
      <c r="J65" s="549" t="n"/>
      <c r="K65" s="549" t="n"/>
      <c r="L65" s="548" t="n"/>
      <c r="M65" s="549" t="n"/>
      <c r="N65" s="549" t="n"/>
      <c r="O65" s="549" t="n"/>
      <c r="P65" s="549" t="n"/>
      <c r="Q65" s="548" t="n"/>
      <c r="R65" s="549" t="n"/>
      <c r="S65" s="549" t="n"/>
      <c r="T65" s="549" t="n"/>
      <c r="U65" s="549" t="n"/>
      <c r="V65" s="588" t="n"/>
      <c r="W65" s="549" t="n"/>
      <c r="X65" s="549" t="n"/>
      <c r="Y65" s="549" t="n"/>
      <c r="Z65" s="549" t="n"/>
      <c r="AA65" s="588" t="n"/>
      <c r="AB65" s="549" t="n"/>
      <c r="AC65" s="549" t="n"/>
      <c r="AD65" s="549" t="n"/>
      <c r="AE65" s="549" t="n"/>
      <c r="AF65" s="588" t="n"/>
      <c r="AG65" s="549" t="n"/>
      <c r="AH65" s="549" t="n"/>
      <c r="AI65" s="549" t="n"/>
      <c r="AJ65" s="549" t="n"/>
      <c r="AK65" s="588" t="n"/>
      <c r="AL65" s="549" t="n"/>
      <c r="AM65" s="549" t="n"/>
      <c r="AN65" s="549" t="n"/>
      <c r="AO65" s="549" t="n"/>
      <c r="AP65" s="588" t="n"/>
    </row>
    <row r="66" ht="15" customHeight="1" s="462">
      <c r="B66" s="515" t="n"/>
      <c r="G66" s="515" t="n"/>
      <c r="I66" s="529" t="n"/>
      <c r="L66" s="515" t="n"/>
      <c r="M66" s="529" t="n"/>
      <c r="N66" s="529" t="n"/>
      <c r="O66" s="529" t="n"/>
      <c r="P66" s="529" t="n"/>
      <c r="Q66" s="515" t="n"/>
      <c r="R66" s="529" t="n"/>
      <c r="V66" s="558" t="n"/>
      <c r="AA66" s="558" t="n"/>
      <c r="AF66" s="558" t="n"/>
      <c r="AK66" s="558" t="n"/>
      <c r="AP66" s="558" t="n"/>
    </row>
    <row r="67" ht="15" customFormat="1" customHeight="1" s="521">
      <c r="A67" s="583" t="inlineStr">
        <is>
          <t xml:space="preserve">No of Shares - Diluted </t>
        </is>
      </c>
      <c r="B67" s="575" t="n">
        <v>55.6709265175719</v>
      </c>
      <c r="C67" s="576" t="n">
        <v>63.1937172774869</v>
      </c>
      <c r="D67" s="576" t="n">
        <v>68.38548185231539</v>
      </c>
      <c r="E67" s="576" t="n">
        <v>68.39590443686011</v>
      </c>
      <c r="F67" s="576" t="n">
        <v>67.57940854326399</v>
      </c>
      <c r="G67" s="575" t="n">
        <v>66.38916418896601</v>
      </c>
      <c r="H67" s="576" t="n">
        <v>67.6232201533406</v>
      </c>
      <c r="I67" s="576" t="n">
        <v>67.5299238302503</v>
      </c>
      <c r="J67" s="576" t="n">
        <v>67.6327769347496</v>
      </c>
      <c r="K67" s="576" t="n">
        <v>67.62777242044351</v>
      </c>
      <c r="L67" s="575" t="n">
        <v>67.5063685253326</v>
      </c>
      <c r="M67" s="576" t="n">
        <v>67.5720164609053</v>
      </c>
      <c r="N67" s="576" t="n">
        <v>53.7300699300701</v>
      </c>
      <c r="O67" s="576" t="n">
        <v>67.59289176090471</v>
      </c>
      <c r="P67" s="576" t="n">
        <v>64.7130153597416</v>
      </c>
      <c r="Q67" s="575" t="n">
        <v>64.7394685677254</v>
      </c>
      <c r="R67" s="613" t="n">
        <v>64.66226708074529</v>
      </c>
      <c r="S67" s="587" t="n"/>
      <c r="T67" s="587" t="n"/>
      <c r="U67" s="587" t="n"/>
      <c r="V67" s="596" t="n"/>
      <c r="W67" s="587" t="n"/>
      <c r="X67" s="587" t="n"/>
      <c r="Y67" s="587" t="n"/>
      <c r="Z67" s="587" t="n"/>
      <c r="AA67" s="596" t="n"/>
      <c r="AB67" s="587" t="n"/>
      <c r="AC67" s="587" t="n"/>
      <c r="AD67" s="587" t="n"/>
      <c r="AE67" s="587" t="n"/>
      <c r="AF67" s="596" t="n"/>
      <c r="AG67" s="587" t="n"/>
      <c r="AH67" s="587" t="n"/>
      <c r="AI67" s="587" t="n"/>
      <c r="AJ67" s="587" t="n"/>
      <c r="AK67" s="596" t="n"/>
      <c r="AL67" s="587" t="n"/>
      <c r="AM67" s="587" t="n"/>
      <c r="AN67" s="587" t="n"/>
      <c r="AO67" s="587" t="n"/>
      <c r="AP67" s="596" t="n"/>
    </row>
    <row r="68" ht="15" customFormat="1" customHeight="1" s="521">
      <c r="A68" s="583" t="inlineStr">
        <is>
          <t>Diluted EPS - Adjusted</t>
        </is>
      </c>
      <c r="B68" s="563" t="n"/>
      <c r="C68" s="521" t="n"/>
      <c r="D68" s="521" t="n"/>
      <c r="E68" s="521" t="n"/>
      <c r="F68" s="521" t="n"/>
      <c r="G68" s="563" t="n"/>
      <c r="H68" s="521" t="n"/>
      <c r="I68" s="521" t="n"/>
      <c r="J68" s="521" t="n"/>
      <c r="K68" s="521" t="n"/>
      <c r="L68" s="563" t="n"/>
      <c r="M68" s="521" t="n"/>
      <c r="N68" s="521" t="n"/>
      <c r="O68" s="521" t="n"/>
      <c r="P68" s="521" t="n"/>
      <c r="Q68" s="563" t="n"/>
      <c r="R68" s="614" t="n"/>
      <c r="S68" s="614" t="n"/>
      <c r="T68" s="614" t="n"/>
      <c r="U68" s="614" t="n"/>
      <c r="V68" s="577" t="n"/>
      <c r="W68" s="614" t="n"/>
      <c r="X68" s="614" t="n"/>
      <c r="Y68" s="614" t="n"/>
      <c r="Z68" s="614" t="n"/>
      <c r="AA68" s="577" t="n"/>
      <c r="AB68" s="614" t="n"/>
      <c r="AC68" s="614" t="n"/>
      <c r="AD68" s="614" t="n"/>
      <c r="AE68" s="614" t="n"/>
      <c r="AF68" s="577" t="n"/>
      <c r="AG68" s="614" t="n"/>
      <c r="AH68" s="614" t="n"/>
      <c r="AI68" s="614" t="n"/>
      <c r="AJ68" s="614" t="n"/>
      <c r="AK68" s="577" t="n"/>
      <c r="AL68" s="614" t="n"/>
      <c r="AM68" s="614" t="n"/>
      <c r="AN68" s="614" t="n"/>
      <c r="AO68" s="614" t="n"/>
      <c r="AP68" s="577" t="n"/>
    </row>
    <row r="69" ht="15.75" customHeight="1" s="462">
      <c r="A69" s="489" t="n"/>
      <c r="B69" s="538" t="n"/>
      <c r="C69" s="489" t="n"/>
      <c r="D69" s="489" t="n"/>
      <c r="E69" s="489" t="n"/>
      <c r="F69" s="489" t="n"/>
      <c r="G69" s="538" t="n"/>
      <c r="H69" s="489" t="n"/>
      <c r="I69" s="489" t="n"/>
      <c r="J69" s="489" t="n"/>
      <c r="K69" s="489" t="n"/>
      <c r="L69" s="538" t="n"/>
      <c r="M69" s="489" t="n"/>
      <c r="N69" s="489" t="n"/>
      <c r="O69" s="489" t="n"/>
      <c r="P69" s="489" t="n"/>
      <c r="Q69" s="538" t="n"/>
      <c r="R69" s="489" t="n"/>
      <c r="S69" s="489" t="n"/>
      <c r="T69" s="489" t="n"/>
      <c r="U69" s="489" t="n"/>
      <c r="V69" s="538" t="n"/>
      <c r="W69" s="489" t="n"/>
      <c r="X69" s="489" t="n"/>
      <c r="Y69" s="489" t="n"/>
      <c r="Z69" s="489" t="n"/>
      <c r="AA69" s="538" t="n"/>
      <c r="AB69" s="489" t="n"/>
      <c r="AC69" s="489" t="n"/>
      <c r="AD69" s="489" t="n"/>
      <c r="AE69" s="489" t="n"/>
      <c r="AF69" s="538" t="n"/>
      <c r="AG69" s="489" t="n"/>
      <c r="AH69" s="489" t="n"/>
      <c r="AI69" s="489" t="n"/>
      <c r="AJ69" s="489" t="n"/>
      <c r="AK69" s="538" t="n"/>
      <c r="AL69" s="489" t="n"/>
      <c r="AM69" s="489" t="n"/>
      <c r="AN69" s="489" t="n"/>
      <c r="AO69" s="489" t="n"/>
      <c r="AP69" s="538" t="n"/>
    </row>
    <row r="70" ht="15" customHeight="1" s="462">
      <c r="B70" s="552" t="n"/>
      <c r="C70" s="552" t="n"/>
      <c r="D70" s="552" t="n"/>
      <c r="E70" s="552" t="n"/>
      <c r="F70" s="552" t="n"/>
      <c r="G70" s="552" t="n"/>
      <c r="H70" s="552" t="n"/>
      <c r="I70" s="552" t="n"/>
      <c r="J70" s="552" t="n"/>
      <c r="K70" s="552" t="n"/>
      <c r="L70" s="552" t="n"/>
      <c r="M70" s="552" t="n"/>
      <c r="N70" s="552" t="n"/>
      <c r="O70" s="552" t="n"/>
      <c r="P70" s="552" t="n"/>
      <c r="Q70" s="552" t="n"/>
      <c r="R70" s="552" t="n"/>
      <c r="V70" s="552" t="n"/>
      <c r="W70" s="552" t="n"/>
      <c r="AA70" s="552" t="n"/>
      <c r="AF70" s="552" t="n"/>
      <c r="AK70" s="552" t="n"/>
      <c r="AP70" s="552" t="n"/>
    </row>
    <row r="71" ht="15" customHeight="1" s="462">
      <c r="V71" s="529" t="n"/>
    </row>
    <row r="76" ht="15" customHeight="1" s="462">
      <c r="V76" s="490" t="n"/>
    </row>
    <row r="77" ht="15" customHeight="1" s="462">
      <c r="V77" s="461" t="n"/>
    </row>
  </sheetData>
  <mergeCells count="1">
    <mergeCell ref="C7:E10"/>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L7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E68" activeCellId="0" sqref="E68"/>
    </sheetView>
  </sheetViews>
  <sheetFormatPr baseColWidth="8" defaultColWidth="8.96875" defaultRowHeight="15" zeroHeight="0" outlineLevelRow="0"/>
  <cols>
    <col width="42.7" customWidth="1" style="461" min="1" max="1"/>
    <col width="15.85" customWidth="1" style="461" min="2" max="2"/>
    <col width="10.56" customWidth="1" style="461" min="3" max="5"/>
    <col width="12.42" customWidth="1" style="461" min="6" max="6"/>
    <col width="11.28" customWidth="1" style="461" min="7" max="10"/>
  </cols>
  <sheetData>
    <row r="1" ht="18.75" customHeight="1" s="462">
      <c r="A1" s="487" t="inlineStr">
        <is>
          <t>Aurobindo Pharma</t>
        </is>
      </c>
      <c r="B1" s="487" t="n"/>
    </row>
    <row r="2" ht="15.75" customHeight="1" s="462">
      <c r="A2" s="488" t="inlineStr">
        <is>
          <t>Balance Sheet</t>
        </is>
      </c>
      <c r="B2" s="468" t="n"/>
      <c r="C2" s="569" t="n"/>
      <c r="D2" s="468" t="n"/>
      <c r="E2" s="615" t="n"/>
      <c r="F2" s="468" t="n"/>
      <c r="G2" s="616" t="n"/>
    </row>
    <row r="3" ht="15.75" customHeight="1" s="462">
      <c r="A3" s="489" t="inlineStr">
        <is>
          <t>(In Rs Millions, Except per share items)</t>
        </is>
      </c>
      <c r="B3" s="489" t="n"/>
      <c r="C3" s="489" t="n"/>
      <c r="D3" s="489" t="n"/>
      <c r="E3" s="489" t="n"/>
      <c r="F3" s="489" t="n"/>
      <c r="G3" s="489" t="n"/>
      <c r="H3" s="489" t="n"/>
      <c r="I3" s="489" t="n"/>
      <c r="J3" s="489" t="n"/>
      <c r="K3" s="490" t="n"/>
      <c r="L3" s="490" t="n"/>
    </row>
    <row r="4" ht="15" customHeight="1" s="462">
      <c r="A4" s="532" t="inlineStr">
        <is>
          <t>For the Fiscal Period Ending</t>
        </is>
      </c>
      <c r="B4" s="617" t="inlineStr">
        <is>
          <t>FY 2006 A</t>
        </is>
      </c>
      <c r="C4" s="533" t="inlineStr">
        <is>
          <t>FY2007 A</t>
        </is>
      </c>
      <c r="D4" s="533" t="inlineStr">
        <is>
          <t>FY2008 A</t>
        </is>
      </c>
      <c r="E4" s="536" t="inlineStr">
        <is>
          <t>FY2009 E</t>
        </is>
      </c>
      <c r="F4" s="536" t="inlineStr">
        <is>
          <t>FY2010 E</t>
        </is>
      </c>
      <c r="G4" s="536" t="inlineStr">
        <is>
          <t>FY2011 E</t>
        </is>
      </c>
      <c r="H4" s="536" t="inlineStr">
        <is>
          <t>FY2012 E</t>
        </is>
      </c>
      <c r="I4" s="536" t="inlineStr">
        <is>
          <t>FY2013 E</t>
        </is>
      </c>
      <c r="J4" s="536" t="inlineStr">
        <is>
          <t>FY2014 E</t>
        </is>
      </c>
    </row>
    <row r="6" ht="15" customFormat="1" customHeight="1" s="461">
      <c r="A6" s="573" t="n"/>
      <c r="B6" s="573" t="n"/>
    </row>
    <row r="7" ht="15" customHeight="1" s="462">
      <c r="A7" s="491" t="inlineStr">
        <is>
          <t>Balance Sheet</t>
        </is>
      </c>
      <c r="B7" s="573" t="n"/>
    </row>
    <row r="8" ht="15" customFormat="1" customHeight="1" s="461">
      <c r="A8" s="573" t="n"/>
      <c r="B8" s="573" t="n"/>
      <c r="D8" s="521" t="n"/>
      <c r="E8" s="521" t="n"/>
    </row>
    <row r="9" ht="15" customHeight="1" s="462">
      <c r="A9" s="618" t="inlineStr">
        <is>
          <t>I. SOURCES OF FUNDS</t>
        </is>
      </c>
      <c r="B9" s="618" t="n"/>
      <c r="C9" s="521" t="n"/>
      <c r="D9" s="521" t="n"/>
      <c r="E9" s="521" t="n"/>
      <c r="F9" s="521" t="n"/>
      <c r="G9" s="521" t="n"/>
      <c r="H9" s="521" t="n"/>
      <c r="I9" s="521" t="n"/>
      <c r="J9" s="521" t="n"/>
    </row>
    <row r="10" ht="15" customHeight="1" s="462">
      <c r="C10" s="521" t="n"/>
      <c r="D10" s="521" t="n"/>
      <c r="E10" s="521" t="n"/>
      <c r="F10" s="521" t="n"/>
      <c r="G10" s="521" t="n"/>
      <c r="H10" s="521" t="n"/>
      <c r="I10" s="521" t="n"/>
      <c r="J10" s="521" t="n"/>
    </row>
    <row r="11" ht="15" customHeight="1" s="462">
      <c r="A11" s="461" t="inlineStr">
        <is>
          <t>Share holder's Fund</t>
        </is>
      </c>
      <c r="B11" s="521" t="n"/>
      <c r="C11" s="521" t="n"/>
      <c r="D11" s="521" t="n"/>
      <c r="E11" s="521" t="n"/>
      <c r="F11" s="521" t="n"/>
      <c r="G11" s="521" t="n"/>
      <c r="H11" s="521" t="n"/>
      <c r="I11" s="521" t="n"/>
      <c r="J11" s="521" t="n"/>
      <c r="K11" s="521" t="n"/>
    </row>
    <row r="12" ht="15" customHeight="1" s="462">
      <c r="A12" s="619" t="inlineStr">
        <is>
          <t>Share Capital</t>
        </is>
      </c>
      <c r="B12" s="620" t="n">
        <v>266.3</v>
      </c>
      <c r="C12" s="576" t="n">
        <v>266.7</v>
      </c>
      <c r="D12" s="576" t="n">
        <v>268.8</v>
      </c>
      <c r="E12" s="521" t="n"/>
      <c r="F12" s="521" t="n"/>
      <c r="G12" s="521" t="n"/>
      <c r="H12" s="521" t="n"/>
      <c r="I12" s="521" t="n"/>
      <c r="J12" s="521" t="n"/>
      <c r="K12" s="521" t="n"/>
    </row>
    <row r="13" ht="15" customHeight="1" s="462">
      <c r="A13" s="619" t="inlineStr">
        <is>
          <t>Share Application Money</t>
        </is>
      </c>
      <c r="B13" s="620" t="n">
        <v>0.4</v>
      </c>
      <c r="C13" s="576" t="n">
        <v>0.2</v>
      </c>
      <c r="D13" s="576" t="n">
        <v>0</v>
      </c>
      <c r="E13" s="521" t="n">
        <v>0</v>
      </c>
      <c r="F13" s="521" t="n">
        <v>0</v>
      </c>
      <c r="G13" s="521" t="n">
        <v>0</v>
      </c>
      <c r="H13" s="521" t="n">
        <v>0</v>
      </c>
      <c r="I13" s="521" t="n">
        <v>0</v>
      </c>
      <c r="J13" s="521" t="n">
        <v>0</v>
      </c>
      <c r="K13" s="521" t="n"/>
    </row>
    <row r="14" ht="17.25" customHeight="1" s="462">
      <c r="A14" s="619" t="inlineStr">
        <is>
          <t>Reserves &amp; Surplus</t>
        </is>
      </c>
      <c r="B14" s="621" t="n">
        <v>7882</v>
      </c>
      <c r="C14" s="622" t="n">
        <v>8593.200000000001</v>
      </c>
      <c r="D14" s="622" t="n">
        <v>10971.4</v>
      </c>
      <c r="E14" s="623" t="n"/>
      <c r="F14" s="623" t="n"/>
      <c r="G14" s="623" t="n"/>
      <c r="H14" s="623" t="n"/>
      <c r="I14" s="623" t="n"/>
      <c r="J14" s="623" t="n"/>
      <c r="K14" s="521" t="n"/>
    </row>
    <row r="15" ht="15" customHeight="1" s="462">
      <c r="B15" s="583" t="n"/>
      <c r="C15" s="583" t="n"/>
      <c r="D15" s="583" t="n"/>
      <c r="E15" s="583" t="n"/>
      <c r="F15" s="583" t="n"/>
      <c r="G15" s="583" t="n"/>
      <c r="H15" s="583" t="n"/>
      <c r="I15" s="583" t="n"/>
      <c r="J15" s="583" t="n"/>
      <c r="K15" s="521" t="n"/>
    </row>
    <row r="16" ht="15" customHeight="1" s="462">
      <c r="A16" s="461" t="inlineStr">
        <is>
          <t>Minority Interest</t>
        </is>
      </c>
      <c r="B16" s="521" t="n">
        <v>24.3</v>
      </c>
      <c r="C16" s="521" t="n">
        <v>35.4</v>
      </c>
      <c r="D16" s="521" t="n">
        <v>32</v>
      </c>
      <c r="E16" s="587" t="n"/>
      <c r="F16" s="587" t="n"/>
      <c r="G16" s="587" t="n"/>
      <c r="H16" s="587" t="n"/>
      <c r="I16" s="587" t="n"/>
      <c r="J16" s="587" t="n"/>
      <c r="K16" s="521" t="n"/>
    </row>
    <row r="17" ht="15" customHeight="1" s="462">
      <c r="B17" s="521" t="n"/>
      <c r="C17" s="521" t="n"/>
      <c r="D17" s="521" t="n"/>
      <c r="E17" s="521" t="n"/>
      <c r="F17" s="521" t="n"/>
      <c r="G17" s="521" t="n"/>
      <c r="H17" s="521" t="n"/>
      <c r="I17" s="521" t="n"/>
      <c r="J17" s="521" t="n"/>
      <c r="K17" s="521" t="n"/>
    </row>
    <row r="18" ht="15" customHeight="1" s="462">
      <c r="A18" s="461" t="inlineStr">
        <is>
          <t>Loan Funds</t>
        </is>
      </c>
      <c r="B18" s="521" t="n"/>
      <c r="C18" s="521" t="n"/>
      <c r="D18" s="521" t="n"/>
      <c r="E18" s="521" t="n"/>
      <c r="F18" s="521" t="n"/>
      <c r="G18" s="521" t="n"/>
      <c r="H18" s="521" t="n"/>
      <c r="I18" s="521" t="n"/>
      <c r="J18" s="521" t="n"/>
      <c r="K18" s="521" t="n"/>
    </row>
    <row r="19" ht="15" customHeight="1" s="462">
      <c r="A19" s="619" t="inlineStr">
        <is>
          <t>Secured Funds</t>
        </is>
      </c>
      <c r="B19" s="620" t="n">
        <v>7502.5</v>
      </c>
      <c r="C19" s="576" t="n">
        <v>7390.7</v>
      </c>
      <c r="D19" s="576" t="n">
        <v>6334.3</v>
      </c>
      <c r="E19" s="521" t="n"/>
      <c r="F19" s="521" t="n"/>
      <c r="G19" s="521" t="n"/>
      <c r="H19" s="521" t="n"/>
      <c r="I19" s="521" t="n"/>
      <c r="J19" s="521" t="n"/>
      <c r="K19" s="521" t="n"/>
    </row>
    <row r="20" ht="17.25" customHeight="1" s="462">
      <c r="A20" s="619" t="inlineStr">
        <is>
          <t>Unsecured Funds</t>
        </is>
      </c>
      <c r="B20" s="621" t="n">
        <v>6228.2</v>
      </c>
      <c r="C20" s="622" t="n">
        <v>13390.7</v>
      </c>
      <c r="D20" s="622" t="n">
        <v>12135.9</v>
      </c>
      <c r="E20" s="623" t="n"/>
      <c r="F20" s="623" t="n"/>
      <c r="G20" s="623" t="n"/>
      <c r="H20" s="623" t="n"/>
      <c r="I20" s="623" t="n"/>
      <c r="J20" s="623" t="n"/>
      <c r="K20" s="521" t="n"/>
    </row>
    <row r="21" ht="15" customHeight="1" s="462">
      <c r="B21" s="583" t="n"/>
      <c r="C21" s="583" t="n"/>
      <c r="D21" s="583" t="n"/>
      <c r="E21" s="583" t="n"/>
      <c r="F21" s="583" t="n"/>
      <c r="G21" s="583" t="n"/>
      <c r="H21" s="583" t="n"/>
      <c r="I21" s="583" t="n"/>
      <c r="J21" s="583" t="n"/>
      <c r="K21" s="521" t="n"/>
    </row>
    <row r="22" ht="17.25" customHeight="1" s="462">
      <c r="A22" s="461" t="inlineStr">
        <is>
          <t>Deferred Tax Liability (Net)</t>
        </is>
      </c>
      <c r="B22" s="576" t="n">
        <v>725.6</v>
      </c>
      <c r="C22" s="576" t="n">
        <v>681.9</v>
      </c>
      <c r="D22" s="576" t="n">
        <v>733.4</v>
      </c>
      <c r="E22" s="624" t="n"/>
      <c r="F22" s="624" t="n"/>
      <c r="G22" s="624" t="n"/>
      <c r="H22" s="624" t="n"/>
      <c r="I22" s="624" t="n"/>
      <c r="J22" s="624" t="n"/>
      <c r="K22" s="521" t="n"/>
    </row>
    <row r="23" ht="15.75" customHeight="1" s="462">
      <c r="A23" s="625" t="inlineStr">
        <is>
          <t>Total</t>
        </is>
      </c>
      <c r="B23" s="626" t="n"/>
      <c r="C23" s="626" t="n"/>
      <c r="D23" s="626" t="n"/>
      <c r="E23" s="626" t="n"/>
      <c r="F23" s="626" t="n"/>
      <c r="G23" s="626" t="n"/>
      <c r="H23" s="626" t="n"/>
      <c r="I23" s="626" t="n"/>
      <c r="J23" s="626" t="n"/>
      <c r="K23" s="521" t="n"/>
    </row>
    <row r="24" ht="15.75" customHeight="1" s="462">
      <c r="B24" s="521" t="n"/>
      <c r="C24" s="521" t="n"/>
      <c r="D24" s="521" t="n"/>
      <c r="E24" s="521" t="n"/>
      <c r="F24" s="521" t="n"/>
      <c r="G24" s="521" t="n"/>
      <c r="H24" s="521" t="n"/>
      <c r="I24" s="521" t="n"/>
      <c r="J24" s="521" t="n"/>
      <c r="K24" s="521" t="n"/>
    </row>
    <row r="25" ht="15" customHeight="1" s="462">
      <c r="A25" s="618" t="inlineStr">
        <is>
          <t>II. APPLICATION OF FUNDS</t>
        </is>
      </c>
      <c r="B25" s="627" t="n"/>
      <c r="C25" s="521" t="n"/>
      <c r="D25" s="521" t="n"/>
      <c r="E25" s="521" t="n"/>
      <c r="F25" s="521" t="n"/>
      <c r="G25" s="521" t="n"/>
      <c r="H25" s="521" t="n"/>
      <c r="I25" s="521" t="n"/>
      <c r="J25" s="521" t="n"/>
      <c r="K25" s="521" t="n"/>
    </row>
    <row r="26" ht="15" customHeight="1" s="462">
      <c r="B26" s="521" t="n"/>
      <c r="C26" s="521" t="n"/>
      <c r="D26" s="521" t="n"/>
      <c r="E26" s="521" t="n"/>
      <c r="F26" s="521" t="n"/>
      <c r="G26" s="521" t="n"/>
      <c r="H26" s="521" t="n"/>
      <c r="I26" s="521" t="n"/>
      <c r="J26" s="521" t="n"/>
      <c r="K26" s="521" t="n"/>
    </row>
    <row r="27" ht="15" customHeight="1" s="462">
      <c r="A27" s="461" t="inlineStr">
        <is>
          <t>Fixed Assets</t>
        </is>
      </c>
      <c r="B27" s="521" t="n"/>
      <c r="C27" s="521" t="n"/>
      <c r="D27" s="521" t="n"/>
      <c r="E27" s="521" t="n"/>
      <c r="F27" s="521" t="n"/>
      <c r="G27" s="521" t="n"/>
      <c r="H27" s="521" t="n"/>
      <c r="I27" s="521" t="n"/>
      <c r="J27" s="521" t="n"/>
      <c r="K27" s="521" t="n"/>
    </row>
    <row r="28" ht="15" customHeight="1" s="462">
      <c r="A28" s="619" t="inlineStr">
        <is>
          <t>Gross Block</t>
        </is>
      </c>
      <c r="B28" s="620" t="n">
        <v>13561.6</v>
      </c>
      <c r="C28" s="576" t="n">
        <v>14681.4</v>
      </c>
      <c r="D28" s="576" t="n">
        <v>17179.9</v>
      </c>
      <c r="E28" s="521" t="n"/>
      <c r="F28" s="521" t="n"/>
      <c r="G28" s="521" t="n"/>
      <c r="H28" s="521" t="n"/>
      <c r="I28" s="521" t="n"/>
      <c r="J28" s="521" t="n"/>
      <c r="K28" s="521" t="n"/>
    </row>
    <row r="29" ht="32.25" customHeight="1" s="462">
      <c r="A29" s="628" t="inlineStr">
        <is>
          <t>Less: Accumulated Depreciation/Amortization</t>
        </is>
      </c>
      <c r="B29" s="629" t="n">
        <v>2724.1</v>
      </c>
      <c r="C29" s="622" t="n">
        <v>3155.3</v>
      </c>
      <c r="D29" s="622" t="n">
        <v>4176.9</v>
      </c>
      <c r="E29" s="623" t="n"/>
      <c r="F29" s="623" t="n"/>
      <c r="G29" s="623" t="n"/>
      <c r="H29" s="623" t="n"/>
      <c r="I29" s="623" t="n"/>
      <c r="J29" s="623" t="n"/>
      <c r="K29" s="521" t="n"/>
    </row>
    <row r="30" ht="15" customHeight="1" s="462">
      <c r="A30" s="619" t="inlineStr">
        <is>
          <t>Net Block</t>
        </is>
      </c>
      <c r="B30" s="521" t="n"/>
      <c r="C30" s="521" t="n"/>
      <c r="D30" s="521" t="n"/>
      <c r="E30" s="521" t="n"/>
      <c r="F30" s="521" t="n"/>
      <c r="G30" s="521" t="n"/>
      <c r="H30" s="521" t="n"/>
      <c r="I30" s="521" t="n"/>
      <c r="J30" s="521" t="n"/>
      <c r="K30" s="521" t="n"/>
    </row>
    <row r="31" ht="32.25" customHeight="1" s="462">
      <c r="A31" s="628" t="inlineStr">
        <is>
          <t>Capital Work-in-progress (including capital advances)</t>
        </is>
      </c>
      <c r="B31" s="629" t="n">
        <v>1497.4</v>
      </c>
      <c r="C31" s="622" t="n">
        <v>2187.1</v>
      </c>
      <c r="D31" s="622" t="n">
        <v>2145.5</v>
      </c>
      <c r="E31" s="624" t="n"/>
      <c r="F31" s="624" t="n"/>
      <c r="G31" s="624" t="n"/>
      <c r="H31" s="624" t="n"/>
      <c r="I31" s="624" t="n"/>
      <c r="J31" s="624" t="n"/>
      <c r="K31" s="521" t="n"/>
    </row>
    <row r="32" ht="15" customHeight="1" s="462">
      <c r="B32" s="583" t="n"/>
      <c r="C32" s="583" t="n"/>
      <c r="D32" s="583" t="n"/>
      <c r="E32" s="583" t="n"/>
      <c r="F32" s="583" t="n"/>
      <c r="G32" s="583" t="n"/>
      <c r="H32" s="583" t="n"/>
      <c r="I32" s="583" t="n"/>
      <c r="J32" s="583" t="n"/>
      <c r="K32" s="521" t="n"/>
    </row>
    <row r="33" ht="15" customHeight="1" s="462">
      <c r="B33" s="521" t="n"/>
      <c r="C33" s="521" t="n"/>
      <c r="D33" s="583" t="n"/>
      <c r="E33" s="521" t="n"/>
      <c r="F33" s="521" t="n"/>
      <c r="G33" s="521" t="n"/>
      <c r="H33" s="521" t="n"/>
      <c r="I33" s="521" t="n"/>
      <c r="J33" s="521" t="n"/>
      <c r="K33" s="521" t="n"/>
    </row>
    <row r="34" ht="15" customHeight="1" s="462">
      <c r="A34" s="461" t="inlineStr">
        <is>
          <t>Investments</t>
        </is>
      </c>
      <c r="B34" s="576" t="n">
        <v>2.8</v>
      </c>
      <c r="C34" s="576" t="n">
        <v>2.7</v>
      </c>
      <c r="D34" s="576" t="n">
        <v>604.3</v>
      </c>
      <c r="E34" s="587" t="n"/>
      <c r="F34" s="587" t="n"/>
      <c r="G34" s="587" t="n"/>
      <c r="H34" s="587" t="n"/>
      <c r="I34" s="587" t="n"/>
      <c r="J34" s="587" t="n"/>
      <c r="K34" s="521" t="n"/>
    </row>
    <row r="35" ht="15" customHeight="1" s="462">
      <c r="B35" s="579" t="n"/>
      <c r="C35" s="576" t="n"/>
      <c r="D35" s="576" t="n"/>
      <c r="E35" s="521" t="n"/>
      <c r="F35" s="521" t="n"/>
      <c r="G35" s="521" t="n"/>
      <c r="H35" s="521" t="n"/>
      <c r="I35" s="521" t="n"/>
      <c r="J35" s="521" t="n"/>
      <c r="K35" s="521" t="n"/>
    </row>
    <row r="36" ht="15" customHeight="1" s="462">
      <c r="A36" s="461" t="inlineStr">
        <is>
          <t>Deferred Tax Asset</t>
        </is>
      </c>
      <c r="B36" s="576" t="n">
        <v>0.1</v>
      </c>
      <c r="C36" s="576" t="n">
        <v>0</v>
      </c>
      <c r="D36" s="576" t="n">
        <v>1.2</v>
      </c>
      <c r="E36" s="587" t="n"/>
      <c r="F36" s="587" t="n"/>
      <c r="G36" s="587" t="n"/>
      <c r="H36" s="587" t="n"/>
      <c r="I36" s="587" t="n"/>
      <c r="J36" s="587" t="n"/>
      <c r="K36" s="521" t="n"/>
    </row>
    <row r="37" ht="15" customHeight="1" s="462">
      <c r="B37" s="521" t="n"/>
      <c r="C37" s="521" t="n"/>
      <c r="D37" s="521" t="n"/>
      <c r="E37" s="521" t="n"/>
      <c r="F37" s="521" t="n"/>
      <c r="G37" s="521" t="n"/>
      <c r="H37" s="521" t="n"/>
      <c r="I37" s="521" t="n"/>
      <c r="J37" s="521" t="n"/>
      <c r="K37" s="521" t="n"/>
    </row>
    <row r="38" ht="15" customHeight="1" s="462">
      <c r="A38" s="461" t="inlineStr">
        <is>
          <t xml:space="preserve">Current Assets, Loans and Advances </t>
        </is>
      </c>
      <c r="B38" s="521" t="n"/>
      <c r="C38" s="521" t="n"/>
      <c r="D38" s="521" t="n"/>
      <c r="E38" s="521" t="n"/>
      <c r="F38" s="521" t="n"/>
      <c r="G38" s="521" t="n"/>
      <c r="H38" s="521" t="n"/>
      <c r="I38" s="521" t="n"/>
      <c r="J38" s="521" t="n"/>
      <c r="K38" s="521" t="n"/>
    </row>
    <row r="39" ht="15" customHeight="1" s="462">
      <c r="A39" s="619" t="inlineStr">
        <is>
          <t>Interest Accrued on Investments</t>
        </is>
      </c>
      <c r="B39" s="620" t="n">
        <v>0.5</v>
      </c>
      <c r="C39" s="576" t="n">
        <v>0.5</v>
      </c>
      <c r="D39" s="576" t="n">
        <v>0.6</v>
      </c>
      <c r="E39" s="587" t="n"/>
      <c r="F39" s="587" t="n"/>
      <c r="G39" s="587" t="n"/>
      <c r="H39" s="587" t="n"/>
      <c r="I39" s="587" t="n"/>
      <c r="J39" s="587" t="n"/>
      <c r="K39" s="521" t="n"/>
    </row>
    <row r="40" ht="15" customHeight="1" s="462">
      <c r="A40" s="619" t="inlineStr">
        <is>
          <t>Inventories</t>
        </is>
      </c>
      <c r="B40" s="620" t="n">
        <v>4718.1</v>
      </c>
      <c r="C40" s="576" t="n">
        <v>6544</v>
      </c>
      <c r="D40" s="576" t="n">
        <v>7950.3</v>
      </c>
      <c r="E40" s="521" t="n"/>
      <c r="F40" s="521" t="n"/>
      <c r="G40" s="521" t="n"/>
      <c r="H40" s="521" t="n"/>
      <c r="I40" s="521" t="n"/>
      <c r="J40" s="521" t="n"/>
      <c r="K40" s="521" t="n"/>
    </row>
    <row r="41" ht="15" customHeight="1" s="462">
      <c r="A41" s="619" t="inlineStr">
        <is>
          <t>Sundry Debtors</t>
        </is>
      </c>
      <c r="B41" s="620" t="n">
        <v>5822.3</v>
      </c>
      <c r="C41" s="576" t="n">
        <v>6261.1</v>
      </c>
      <c r="D41" s="576" t="n">
        <v>6650.1</v>
      </c>
      <c r="E41" s="521" t="n"/>
      <c r="F41" s="521" t="n"/>
      <c r="G41" s="521" t="n"/>
      <c r="H41" s="521" t="n"/>
      <c r="I41" s="521" t="n"/>
      <c r="J41" s="521" t="n"/>
      <c r="K41" s="521" t="n"/>
    </row>
    <row r="42" ht="15" customHeight="1" s="462">
      <c r="A42" s="619" t="inlineStr">
        <is>
          <t>Cash &amp; Bank Balances</t>
        </is>
      </c>
      <c r="B42" s="620" t="n">
        <v>2019.3</v>
      </c>
      <c r="C42" s="576" t="n">
        <v>5824.6</v>
      </c>
      <c r="D42" s="576" t="n">
        <v>2825.7</v>
      </c>
      <c r="E42" s="521" t="n"/>
      <c r="F42" s="521" t="n"/>
      <c r="G42" s="521" t="n"/>
      <c r="H42" s="521" t="n"/>
      <c r="I42" s="521" t="n"/>
      <c r="J42" s="521" t="n"/>
      <c r="K42" s="521" t="n"/>
    </row>
    <row r="43" ht="17.25" customHeight="1" s="462">
      <c r="A43" s="619" t="inlineStr">
        <is>
          <t>Loan and Advances</t>
        </is>
      </c>
      <c r="B43" s="621" t="n">
        <v>1996.6</v>
      </c>
      <c r="C43" s="622" t="n">
        <v>2718.9</v>
      </c>
      <c r="D43" s="622" t="n">
        <v>3164.1</v>
      </c>
      <c r="E43" s="624" t="n"/>
      <c r="F43" s="624" t="n"/>
      <c r="G43" s="624" t="n"/>
      <c r="H43" s="624" t="n"/>
      <c r="I43" s="624" t="n"/>
      <c r="J43" s="624" t="n"/>
      <c r="K43" s="521" t="n"/>
    </row>
    <row r="44" ht="15" customHeight="1" s="462">
      <c r="A44" s="630" t="inlineStr">
        <is>
          <t>(A)</t>
        </is>
      </c>
      <c r="B44" s="583" t="n"/>
      <c r="C44" s="583" t="n"/>
      <c r="D44" s="583" t="n"/>
      <c r="E44" s="583" t="n"/>
      <c r="F44" s="583" t="n"/>
      <c r="G44" s="583" t="n"/>
      <c r="H44" s="583" t="n"/>
      <c r="I44" s="583" t="n"/>
      <c r="J44" s="583" t="n"/>
      <c r="K44" s="521" t="n"/>
    </row>
    <row r="45" ht="15" customHeight="1" s="462">
      <c r="A45" s="461" t="inlineStr">
        <is>
          <t>Less: Current Liabilities and Provisions</t>
        </is>
      </c>
      <c r="B45" s="521" t="n"/>
      <c r="C45" s="521" t="n"/>
      <c r="D45" s="521" t="n"/>
      <c r="E45" s="521" t="n"/>
      <c r="F45" s="521" t="n"/>
      <c r="G45" s="521" t="n"/>
      <c r="H45" s="521" t="n"/>
      <c r="I45" s="521" t="n"/>
      <c r="J45" s="521" t="n"/>
      <c r="K45" s="521" t="n"/>
    </row>
    <row r="46" ht="15" customHeight="1" s="462">
      <c r="A46" s="619" t="inlineStr">
        <is>
          <t xml:space="preserve">Liabilities </t>
        </is>
      </c>
      <c r="B46" s="620" t="n">
        <v>4090.2</v>
      </c>
      <c r="C46" s="576" t="n">
        <v>4442.4</v>
      </c>
      <c r="D46" s="576" t="n">
        <v>5546</v>
      </c>
      <c r="E46" s="521" t="n"/>
      <c r="F46" s="521" t="n"/>
      <c r="G46" s="521" t="n"/>
      <c r="H46" s="521" t="n"/>
      <c r="I46" s="521" t="n"/>
      <c r="J46" s="521" t="n"/>
      <c r="K46" s="521" t="n"/>
    </row>
    <row r="47" ht="15" customHeight="1" s="462">
      <c r="A47" s="619" t="inlineStr">
        <is>
          <t>Provisions</t>
        </is>
      </c>
      <c r="B47" s="620" t="n">
        <v>175.1</v>
      </c>
      <c r="C47" s="576" t="n">
        <v>263.8</v>
      </c>
      <c r="D47" s="576" t="n">
        <v>323</v>
      </c>
      <c r="E47" s="587" t="n"/>
      <c r="F47" s="587" t="n"/>
      <c r="G47" s="587" t="n"/>
      <c r="H47" s="587" t="n"/>
      <c r="I47" s="587" t="n"/>
      <c r="J47" s="587" t="n"/>
      <c r="K47" s="521" t="n"/>
    </row>
    <row r="48" ht="17.25" customHeight="1" s="462">
      <c r="A48" s="630" t="inlineStr">
        <is>
          <t>(B)</t>
        </is>
      </c>
      <c r="B48" s="623" t="n"/>
      <c r="C48" s="623" t="n"/>
      <c r="D48" s="623" t="n"/>
      <c r="E48" s="623" t="n"/>
      <c r="F48" s="623" t="n"/>
      <c r="G48" s="623" t="n"/>
      <c r="H48" s="623" t="n"/>
      <c r="I48" s="623" t="n"/>
      <c r="J48" s="623" t="n"/>
      <c r="K48" s="521" t="n"/>
    </row>
    <row r="49" ht="15" customHeight="1" s="462">
      <c r="A49" s="461" t="inlineStr">
        <is>
          <t>Net Current Assets    (A-B)</t>
        </is>
      </c>
      <c r="B49" s="583" t="n"/>
      <c r="C49" s="583" t="n"/>
      <c r="D49" s="583" t="n"/>
      <c r="E49" s="583" t="n"/>
      <c r="F49" s="583" t="n"/>
      <c r="G49" s="583" t="n"/>
      <c r="H49" s="583" t="n"/>
      <c r="I49" s="583" t="n"/>
      <c r="J49" s="583" t="n"/>
      <c r="K49" s="521" t="n"/>
    </row>
    <row r="50" ht="15.75" customHeight="1" s="462">
      <c r="A50" s="625" t="inlineStr">
        <is>
          <t>Total</t>
        </is>
      </c>
      <c r="B50" s="626" t="n"/>
      <c r="C50" s="626" t="n"/>
      <c r="D50" s="626" t="n"/>
      <c r="E50" s="626" t="n"/>
      <c r="F50" s="626" t="n"/>
      <c r="G50" s="626" t="n"/>
      <c r="H50" s="626" t="n"/>
      <c r="I50" s="626" t="n"/>
      <c r="J50" s="626" t="n"/>
      <c r="K50" s="521" t="n"/>
    </row>
    <row r="51" ht="15.75" customHeight="1" s="462">
      <c r="B51" s="521" t="n"/>
      <c r="C51" s="521" t="n"/>
      <c r="D51" s="521" t="n"/>
      <c r="E51" s="521" t="n"/>
      <c r="F51" s="521" t="n"/>
      <c r="G51" s="521" t="n"/>
      <c r="H51" s="521" t="n"/>
      <c r="I51" s="521" t="n"/>
      <c r="J51" s="521" t="n"/>
      <c r="K51" s="521" t="n"/>
    </row>
    <row r="52" ht="15" customHeight="1" s="462">
      <c r="A52" s="631" t="inlineStr">
        <is>
          <t>Check Sum</t>
        </is>
      </c>
      <c r="B52" s="521" t="n"/>
      <c r="C52" s="521" t="n"/>
      <c r="D52" s="632" t="n"/>
      <c r="E52" s="632" t="n"/>
      <c r="F52" s="521" t="n"/>
      <c r="G52" s="521" t="n"/>
      <c r="H52" s="521" t="n"/>
      <c r="I52" s="521" t="n"/>
      <c r="J52" s="521" t="n"/>
      <c r="K52" s="521" t="n"/>
    </row>
    <row r="53" ht="15.75" customHeight="1" s="462">
      <c r="A53" s="489" t="n"/>
      <c r="B53" s="489" t="n"/>
      <c r="C53" s="489" t="n"/>
      <c r="D53" s="489" t="n"/>
      <c r="E53" s="489" t="n"/>
      <c r="F53" s="489" t="n"/>
      <c r="G53" s="489" t="n"/>
      <c r="H53" s="489" t="n"/>
      <c r="I53" s="489" t="n"/>
      <c r="J53" s="489" t="n"/>
      <c r="K53" s="521" t="n"/>
    </row>
    <row r="54" ht="15" customHeight="1" s="462">
      <c r="B54" s="521" t="n"/>
      <c r="C54" s="521" t="n"/>
      <c r="D54" s="521" t="n"/>
      <c r="E54" s="521" t="n"/>
      <c r="F54" s="521" t="n"/>
      <c r="G54" s="521" t="n"/>
      <c r="H54" s="521" t="n"/>
      <c r="I54" s="521" t="n"/>
      <c r="J54" s="521" t="n"/>
      <c r="K54" s="521" t="n"/>
    </row>
    <row r="55" ht="15" customHeight="1" s="462">
      <c r="A55" s="491" t="inlineStr">
        <is>
          <t>Balance Sheet Metrics</t>
        </is>
      </c>
      <c r="B55" s="521" t="n"/>
      <c r="C55" s="521" t="n"/>
      <c r="D55" s="521" t="n"/>
      <c r="E55" s="521" t="n"/>
      <c r="F55" s="521" t="n"/>
      <c r="G55" s="521" t="n"/>
      <c r="H55" s="521" t="n"/>
      <c r="I55" s="521" t="n"/>
      <c r="J55" s="521" t="n"/>
      <c r="K55" s="521" t="n"/>
    </row>
    <row r="56" ht="15" customHeight="1" s="462">
      <c r="A56" s="461" t="n"/>
      <c r="B56" s="521" t="n"/>
      <c r="C56" s="521" t="n"/>
      <c r="D56" s="521" t="n"/>
      <c r="E56" s="521" t="n"/>
      <c r="F56" s="521" t="n"/>
      <c r="G56" s="521" t="n"/>
      <c r="H56" s="521" t="n"/>
      <c r="I56" s="521" t="n"/>
      <c r="J56" s="521" t="n"/>
      <c r="K56" s="521" t="n"/>
    </row>
    <row r="57" ht="15" customHeight="1" s="462">
      <c r="A57" s="633" t="inlineStr">
        <is>
          <t>Current Ratio</t>
        </is>
      </c>
      <c r="B57" s="521" t="n"/>
      <c r="C57" s="521" t="n"/>
      <c r="D57" s="521" t="n"/>
      <c r="E57" s="521" t="n"/>
      <c r="F57" s="521" t="n"/>
      <c r="G57" s="521" t="n"/>
      <c r="H57" s="521" t="n"/>
      <c r="I57" s="521" t="n"/>
      <c r="J57" s="521" t="n"/>
      <c r="K57" s="521" t="n"/>
    </row>
    <row r="58" ht="15" customHeight="1" s="462">
      <c r="A58" s="633" t="inlineStr">
        <is>
          <t>Quick Ratio</t>
        </is>
      </c>
      <c r="B58" s="521" t="n"/>
      <c r="C58" s="521" t="n"/>
      <c r="D58" s="521" t="n"/>
      <c r="E58" s="521" t="n"/>
      <c r="F58" s="521" t="n"/>
      <c r="G58" s="521" t="n"/>
      <c r="H58" s="521" t="n"/>
      <c r="I58" s="521" t="n"/>
      <c r="J58" s="521" t="n"/>
      <c r="K58" s="521" t="n"/>
    </row>
    <row r="59" ht="15" customHeight="1" s="462">
      <c r="A59" s="633" t="inlineStr">
        <is>
          <t>Days Sales Outstanding (DSO)</t>
        </is>
      </c>
      <c r="B59" s="521" t="n"/>
      <c r="C59" s="521" t="n"/>
      <c r="D59" s="521" t="n"/>
      <c r="E59" s="587" t="n"/>
      <c r="F59" s="587" t="n"/>
      <c r="G59" s="587" t="n"/>
      <c r="H59" s="587" t="n"/>
      <c r="I59" s="587" t="n"/>
      <c r="J59" s="587" t="n"/>
      <c r="K59" s="521" t="n"/>
    </row>
    <row r="60" ht="15" customHeight="1" s="462">
      <c r="A60" s="633" t="inlineStr">
        <is>
          <t>Inventory Days</t>
        </is>
      </c>
      <c r="B60" s="521" t="n"/>
      <c r="C60" s="521" t="n"/>
      <c r="D60" s="521" t="n"/>
      <c r="E60" s="587" t="n"/>
      <c r="F60" s="587" t="n"/>
      <c r="G60" s="587" t="n"/>
      <c r="H60" s="587" t="n"/>
      <c r="I60" s="587" t="n"/>
      <c r="J60" s="587" t="n"/>
      <c r="K60" s="521" t="n"/>
    </row>
    <row r="61" ht="15" customHeight="1" s="462">
      <c r="A61" s="633" t="inlineStr">
        <is>
          <t>Payable Days</t>
        </is>
      </c>
      <c r="B61" s="521" t="n"/>
      <c r="C61" s="521" t="n"/>
      <c r="D61" s="521" t="n"/>
      <c r="E61" s="587" t="n"/>
      <c r="F61" s="587" t="n"/>
      <c r="G61" s="587" t="n"/>
      <c r="H61" s="587" t="n"/>
      <c r="I61" s="587" t="n"/>
      <c r="J61" s="587" t="n"/>
      <c r="K61" s="521" t="n"/>
    </row>
    <row r="62" ht="15" customHeight="1" s="462">
      <c r="A62" s="633" t="inlineStr">
        <is>
          <t>Total Debt</t>
        </is>
      </c>
      <c r="B62" s="521" t="n"/>
      <c r="C62" s="521" t="n"/>
      <c r="D62" s="521" t="n"/>
      <c r="E62" s="521" t="n"/>
      <c r="F62" s="521" t="n"/>
      <c r="G62" s="521" t="n"/>
      <c r="H62" s="521" t="n"/>
      <c r="I62" s="521" t="n"/>
      <c r="J62" s="521" t="n"/>
      <c r="K62" s="521" t="n"/>
    </row>
    <row r="63" ht="15" customHeight="1" s="462">
      <c r="A63" s="633" t="inlineStr">
        <is>
          <t>Net Debt</t>
        </is>
      </c>
      <c r="B63" s="521" t="n"/>
      <c r="C63" s="521" t="n"/>
      <c r="D63" s="521" t="n"/>
      <c r="E63" s="521" t="n"/>
      <c r="F63" s="521" t="n"/>
      <c r="G63" s="521" t="n"/>
      <c r="H63" s="521" t="n"/>
      <c r="I63" s="521" t="n"/>
      <c r="J63" s="521" t="n"/>
      <c r="K63" s="521" t="n"/>
    </row>
    <row r="64" ht="15" customHeight="1" s="462">
      <c r="A64" s="633" t="inlineStr">
        <is>
          <t>Book Value Per Share</t>
        </is>
      </c>
      <c r="B64" s="521" t="n"/>
      <c r="C64" s="521" t="n"/>
      <c r="D64" s="521" t="n"/>
      <c r="E64" s="521" t="n"/>
      <c r="F64" s="521" t="n"/>
      <c r="G64" s="521" t="n"/>
      <c r="H64" s="521" t="n"/>
      <c r="I64" s="521" t="n"/>
      <c r="J64" s="521" t="n"/>
      <c r="K64" s="521" t="n"/>
    </row>
    <row r="65" ht="15.75" customHeight="1" s="462">
      <c r="A65" s="489" t="n"/>
      <c r="B65" s="489" t="n"/>
      <c r="C65" s="489" t="n"/>
      <c r="D65" s="489" t="n"/>
      <c r="E65" s="489" t="n"/>
      <c r="F65" s="489" t="n"/>
      <c r="G65" s="489" t="n"/>
      <c r="H65" s="489" t="n"/>
      <c r="I65" s="489" t="n"/>
      <c r="J65" s="489" t="n"/>
      <c r="K65" s="521" t="n"/>
    </row>
    <row r="66" ht="15" customHeight="1" s="462">
      <c r="A66" s="633" t="n"/>
      <c r="B66" s="521" t="n"/>
      <c r="C66" s="521" t="n"/>
      <c r="D66" s="521" t="n"/>
      <c r="E66" s="521" t="n"/>
      <c r="F66" s="521" t="n"/>
      <c r="G66" s="521" t="n"/>
      <c r="H66" s="521" t="n"/>
      <c r="I66" s="521" t="n"/>
      <c r="J66" s="521" t="n"/>
      <c r="K66" s="521" t="n"/>
    </row>
    <row r="67" ht="15" customHeight="1" s="462">
      <c r="A67" s="633" t="n"/>
      <c r="B67" s="521" t="n"/>
      <c r="C67" s="521" t="n"/>
      <c r="D67" s="521" t="n"/>
      <c r="E67" s="521" t="n"/>
      <c r="F67" s="521" t="n"/>
      <c r="G67" s="521" t="n"/>
      <c r="H67" s="521" t="n"/>
      <c r="I67" s="521" t="n"/>
      <c r="J67" s="521" t="n"/>
      <c r="K67" s="521" t="n"/>
    </row>
    <row r="68" ht="15" customHeight="1" s="462">
      <c r="B68" s="521" t="n"/>
      <c r="C68" s="521" t="n"/>
      <c r="D68" s="521" t="n"/>
      <c r="E68" s="521" t="n"/>
      <c r="F68" s="521" t="n"/>
      <c r="G68" s="521" t="n"/>
      <c r="H68" s="521" t="n"/>
      <c r="I68" s="521" t="n"/>
      <c r="J68" s="521" t="n"/>
      <c r="K68" s="521" t="n"/>
    </row>
    <row r="69" ht="15" customHeight="1" s="462">
      <c r="B69" s="521" t="n"/>
      <c r="C69" s="521" t="n"/>
      <c r="D69" s="521" t="n"/>
      <c r="E69" s="521" t="n"/>
      <c r="F69" s="521" t="n"/>
      <c r="G69" s="521" t="n"/>
      <c r="H69" s="521" t="n"/>
      <c r="I69" s="521" t="n"/>
      <c r="J69" s="521" t="n"/>
      <c r="K69" s="521" t="n"/>
    </row>
    <row r="70" ht="15" customHeight="1" s="462">
      <c r="B70" s="521" t="n"/>
      <c r="C70" s="521" t="n"/>
      <c r="D70" s="521" t="n"/>
      <c r="E70" s="521" t="n"/>
      <c r="F70" s="521" t="n"/>
      <c r="G70" s="521" t="n"/>
      <c r="H70" s="521" t="n"/>
      <c r="I70" s="521" t="n"/>
      <c r="J70" s="521" t="n"/>
      <c r="K70"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0"/>
  </sheetPr>
  <dimension ref="A1:L98"/>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36" activeCellId="0" sqref="A36"/>
    </sheetView>
  </sheetViews>
  <sheetFormatPr baseColWidth="8" defaultColWidth="8.96875" defaultRowHeight="15" zeroHeight="0" outlineLevelRow="0"/>
  <cols>
    <col width="60.99" customWidth="1" style="461" min="1" max="1"/>
    <col width="10.28" customWidth="1" style="461" min="2" max="5"/>
    <col width="12.42" customWidth="1" style="461" min="6" max="6"/>
    <col width="10.28" customWidth="1" style="461" min="7" max="8"/>
    <col width="10.56" customWidth="1" style="461" min="9" max="10"/>
  </cols>
  <sheetData>
    <row r="1" ht="18.75" customHeight="1" s="462">
      <c r="A1" s="487" t="inlineStr">
        <is>
          <t>Aurobindo Pharma</t>
        </is>
      </c>
      <c r="B1" s="487" t="n"/>
    </row>
    <row r="2" ht="15.75" customHeight="1" s="462">
      <c r="A2" s="488" t="inlineStr">
        <is>
          <t>Cash Flow Statement</t>
        </is>
      </c>
      <c r="B2" s="468" t="n"/>
      <c r="C2" s="569" t="n"/>
      <c r="D2" s="468" t="n"/>
      <c r="E2" s="615" t="n"/>
      <c r="F2" s="468" t="n"/>
      <c r="G2" s="616" t="n"/>
    </row>
    <row r="3" ht="15.75" customHeight="1" s="462">
      <c r="A3" s="489" t="inlineStr">
        <is>
          <t>(In Rs Millions)</t>
        </is>
      </c>
      <c r="B3" s="489" t="n"/>
      <c r="C3" s="489" t="n"/>
      <c r="D3" s="489" t="n"/>
      <c r="E3" s="489" t="n"/>
      <c r="F3" s="489" t="n"/>
      <c r="G3" s="489" t="n"/>
      <c r="H3" s="489" t="n"/>
      <c r="I3" s="489" t="n"/>
      <c r="J3" s="489" t="n"/>
      <c r="K3" s="490" t="n"/>
      <c r="L3" s="490" t="n"/>
    </row>
    <row r="4" ht="15" customHeight="1" s="462">
      <c r="A4" s="532" t="inlineStr">
        <is>
          <t>For the Fiscal Period Ending</t>
        </is>
      </c>
      <c r="B4" s="617" t="inlineStr">
        <is>
          <t>FY 2006 A</t>
        </is>
      </c>
      <c r="C4" s="533" t="inlineStr">
        <is>
          <t>FY2007 A</t>
        </is>
      </c>
      <c r="D4" s="533" t="inlineStr">
        <is>
          <t>FY2008 A</t>
        </is>
      </c>
      <c r="E4" s="536" t="inlineStr">
        <is>
          <t>FY2009 E</t>
        </is>
      </c>
      <c r="F4" s="536" t="inlineStr">
        <is>
          <t>FY2010 E</t>
        </is>
      </c>
      <c r="G4" s="536" t="inlineStr">
        <is>
          <t>FY2011 E</t>
        </is>
      </c>
      <c r="H4" s="536" t="inlineStr">
        <is>
          <t>FY2012 E</t>
        </is>
      </c>
      <c r="I4" s="536" t="inlineStr">
        <is>
          <t>FY2013 E</t>
        </is>
      </c>
      <c r="J4" s="536" t="inlineStr">
        <is>
          <t>FY2014 E</t>
        </is>
      </c>
    </row>
    <row r="7" ht="15" customHeight="1" s="462">
      <c r="A7" s="491" t="inlineStr">
        <is>
          <t>Cash Flow Statement</t>
        </is>
      </c>
    </row>
    <row r="9" ht="15" customHeight="1" s="462">
      <c r="A9" s="618" t="inlineStr">
        <is>
          <t>A.   Cash Flow from Operating Activities</t>
        </is>
      </c>
      <c r="B9" s="521" t="n"/>
      <c r="C9" s="521" t="n"/>
      <c r="D9" s="521" t="n"/>
      <c r="E9" s="521" t="n"/>
      <c r="F9" s="521" t="n"/>
      <c r="G9" s="521" t="n"/>
      <c r="H9" s="521" t="n"/>
      <c r="I9" s="521" t="n"/>
      <c r="J9" s="521" t="n"/>
      <c r="K9" s="521" t="n"/>
      <c r="L9" s="521" t="n"/>
    </row>
    <row r="10" ht="15" customHeight="1" s="462">
      <c r="B10" s="521" t="n"/>
      <c r="C10" s="521" t="n"/>
      <c r="D10" s="521" t="n"/>
      <c r="E10" s="521" t="n"/>
      <c r="F10" s="521" t="n"/>
      <c r="G10" s="521" t="n"/>
      <c r="H10" s="521" t="n"/>
      <c r="I10" s="521" t="n"/>
      <c r="J10" s="521" t="n"/>
      <c r="K10" s="521" t="n"/>
      <c r="L10" s="521" t="n"/>
    </row>
    <row r="11" ht="30" customHeight="1" s="462">
      <c r="A11" s="628" t="inlineStr">
        <is>
          <t>Net Profit before Tax, Minority Interest and prior period items</t>
        </is>
      </c>
      <c r="B11" s="576" t="n">
        <v>985</v>
      </c>
      <c r="C11" s="576" t="n">
        <v>2064.2</v>
      </c>
      <c r="D11" s="576" t="n">
        <v>2917.4</v>
      </c>
      <c r="E11" s="521" t="n"/>
      <c r="F11" s="521" t="n"/>
      <c r="G11" s="521" t="n"/>
      <c r="H11" s="521" t="n"/>
      <c r="I11" s="521" t="n"/>
      <c r="J11" s="521" t="n"/>
      <c r="K11" s="521" t="n"/>
      <c r="L11" s="521" t="n"/>
    </row>
    <row r="12" ht="15" customHeight="1" s="462">
      <c r="A12" s="619" t="inlineStr">
        <is>
          <t>Adjustments for:-</t>
        </is>
      </c>
      <c r="B12" s="576" t="n"/>
      <c r="C12" s="576" t="n"/>
      <c r="D12" s="576" t="n"/>
      <c r="E12" s="521" t="n"/>
      <c r="F12" s="521" t="n"/>
      <c r="G12" s="521" t="n"/>
      <c r="H12" s="521" t="n"/>
      <c r="I12" s="521" t="n"/>
      <c r="J12" s="521" t="n"/>
      <c r="K12" s="521" t="n"/>
      <c r="L12" s="521" t="n"/>
    </row>
    <row r="13" ht="15" customHeight="1" s="462">
      <c r="A13" s="634" t="inlineStr">
        <is>
          <t>Depreciation and Amortization</t>
        </is>
      </c>
      <c r="B13" s="576" t="n">
        <v>721.3</v>
      </c>
      <c r="C13" s="576" t="n">
        <v>997.2</v>
      </c>
      <c r="D13" s="576" t="n">
        <v>1003.8</v>
      </c>
      <c r="E13" s="521" t="n"/>
      <c r="F13" s="521" t="n"/>
      <c r="G13" s="521" t="n"/>
      <c r="H13" s="521" t="n"/>
      <c r="I13" s="521" t="n"/>
      <c r="J13" s="521" t="n"/>
      <c r="K13" s="521" t="n"/>
      <c r="L13" s="521" t="n"/>
    </row>
    <row r="14" ht="15" customHeight="1" s="462">
      <c r="A14" s="634" t="inlineStr">
        <is>
          <t>Miscellaneous Expenditure written off</t>
        </is>
      </c>
      <c r="B14" s="576" t="n">
        <v>0</v>
      </c>
      <c r="C14" s="576" t="n">
        <v>0.1</v>
      </c>
      <c r="D14" s="576" t="n">
        <v>0</v>
      </c>
      <c r="E14" s="521" t="n">
        <v>0</v>
      </c>
      <c r="F14" s="521" t="n">
        <v>0</v>
      </c>
      <c r="G14" s="521" t="n">
        <v>0</v>
      </c>
      <c r="H14" s="521" t="n">
        <v>0</v>
      </c>
      <c r="I14" s="521" t="n">
        <v>0</v>
      </c>
      <c r="J14" s="521" t="n">
        <v>0</v>
      </c>
      <c r="K14" s="521" t="n"/>
      <c r="L14" s="521" t="n"/>
    </row>
    <row r="15" ht="15" customHeight="1" s="462">
      <c r="A15" s="634" t="inlineStr">
        <is>
          <t>Provision for Doubtfull debts</t>
        </is>
      </c>
      <c r="B15" s="576" t="n">
        <v>136.1</v>
      </c>
      <c r="C15" s="576" t="n">
        <v>82.5</v>
      </c>
      <c r="D15" s="576" t="n">
        <v>4.3</v>
      </c>
      <c r="E15" s="521" t="n">
        <v>0</v>
      </c>
      <c r="F15" s="521" t="n">
        <v>0</v>
      </c>
      <c r="G15" s="521" t="n">
        <v>0</v>
      </c>
      <c r="H15" s="521" t="n">
        <v>0</v>
      </c>
      <c r="I15" s="521" t="n">
        <v>0</v>
      </c>
      <c r="J15" s="521" t="n">
        <v>0</v>
      </c>
      <c r="K15" s="521" t="n"/>
      <c r="L15" s="521" t="n"/>
    </row>
    <row r="16" ht="15" customHeight="1" s="462">
      <c r="A16" s="634" t="inlineStr">
        <is>
          <t>Loss / Gain on sale of fixed assets</t>
        </is>
      </c>
      <c r="B16" s="576" t="n">
        <v>-28.7</v>
      </c>
      <c r="C16" s="576" t="n">
        <v>-41.2</v>
      </c>
      <c r="D16" s="576" t="n">
        <v>3.5</v>
      </c>
      <c r="E16" s="521" t="n">
        <v>0</v>
      </c>
      <c r="F16" s="521" t="n">
        <v>0</v>
      </c>
      <c r="G16" s="521" t="n">
        <v>0</v>
      </c>
      <c r="H16" s="521" t="n">
        <v>0</v>
      </c>
      <c r="I16" s="521" t="n">
        <v>0</v>
      </c>
      <c r="J16" s="521" t="n">
        <v>0</v>
      </c>
      <c r="K16" s="521" t="n"/>
      <c r="L16" s="521" t="n"/>
    </row>
    <row r="17" ht="15" customHeight="1" s="462">
      <c r="A17" s="634" t="inlineStr">
        <is>
          <t>Export incentives accrued</t>
        </is>
      </c>
      <c r="B17" s="576" t="n">
        <v>-88.2</v>
      </c>
      <c r="C17" s="576" t="n">
        <v>-45.1</v>
      </c>
      <c r="D17" s="576" t="n">
        <v>-124.1</v>
      </c>
      <c r="E17" s="521" t="n">
        <v>0</v>
      </c>
      <c r="F17" s="521" t="n">
        <v>0</v>
      </c>
      <c r="G17" s="521" t="n">
        <v>0</v>
      </c>
      <c r="H17" s="521" t="n">
        <v>0</v>
      </c>
      <c r="I17" s="521" t="n">
        <v>0</v>
      </c>
      <c r="J17" s="521" t="n">
        <v>0</v>
      </c>
      <c r="K17" s="521" t="n"/>
      <c r="L17" s="521" t="n"/>
    </row>
    <row r="18" ht="15" customHeight="1" s="462">
      <c r="A18" s="634" t="inlineStr">
        <is>
          <t>Claims / bad debts written off</t>
        </is>
      </c>
      <c r="B18" s="576" t="n">
        <v>16.1</v>
      </c>
      <c r="C18" s="576" t="n">
        <v>39.2</v>
      </c>
      <c r="D18" s="576" t="n">
        <v>45.1</v>
      </c>
      <c r="E18" s="521" t="n">
        <v>0</v>
      </c>
      <c r="F18" s="521" t="n">
        <v>0</v>
      </c>
      <c r="G18" s="521" t="n">
        <v>0</v>
      </c>
      <c r="H18" s="521" t="n">
        <v>0</v>
      </c>
      <c r="I18" s="521" t="n">
        <v>0</v>
      </c>
      <c r="J18" s="521" t="n">
        <v>0</v>
      </c>
      <c r="K18" s="521" t="n"/>
      <c r="L18" s="521" t="n"/>
    </row>
    <row r="19" ht="15" customHeight="1" s="462">
      <c r="A19" s="634" t="inlineStr">
        <is>
          <t>Balances no longer required written back</t>
        </is>
      </c>
      <c r="B19" s="576" t="n">
        <v>-39.5</v>
      </c>
      <c r="C19" s="576" t="n">
        <v>-52.9</v>
      </c>
      <c r="D19" s="576" t="n">
        <v>-64.40000000000001</v>
      </c>
      <c r="E19" s="521" t="n">
        <v>0</v>
      </c>
      <c r="F19" s="521" t="n">
        <v>0</v>
      </c>
      <c r="G19" s="521" t="n">
        <v>0</v>
      </c>
      <c r="H19" s="521" t="n">
        <v>0</v>
      </c>
      <c r="I19" s="521" t="n">
        <v>0</v>
      </c>
      <c r="J19" s="521" t="n">
        <v>0</v>
      </c>
      <c r="K19" s="521" t="n"/>
      <c r="L19" s="521" t="n"/>
    </row>
    <row r="20" ht="15" customHeight="1" s="462">
      <c r="A20" s="634" t="inlineStr">
        <is>
          <t>Provision for Retirement benefits</t>
        </is>
      </c>
      <c r="B20" s="576" t="n">
        <v>-39.9</v>
      </c>
      <c r="C20" s="576" t="n">
        <v>2.3</v>
      </c>
      <c r="D20" s="576" t="n">
        <v>32.3</v>
      </c>
      <c r="E20" s="521" t="n">
        <v>0</v>
      </c>
      <c r="F20" s="521" t="n">
        <v>0</v>
      </c>
      <c r="G20" s="521" t="n">
        <v>0</v>
      </c>
      <c r="H20" s="521" t="n">
        <v>0</v>
      </c>
      <c r="I20" s="521" t="n">
        <v>0</v>
      </c>
      <c r="J20" s="521" t="n">
        <v>0</v>
      </c>
      <c r="K20" s="521" t="n"/>
      <c r="L20" s="521" t="n"/>
    </row>
    <row r="21" ht="15" customHeight="1" s="462">
      <c r="A21" s="634" t="inlineStr">
        <is>
          <t>Investments written off / Diminution</t>
        </is>
      </c>
      <c r="B21" s="576" t="n">
        <v>0.1</v>
      </c>
      <c r="C21" s="576" t="n">
        <v>0.1</v>
      </c>
      <c r="D21" s="576" t="n">
        <v>0.1</v>
      </c>
      <c r="E21" s="521" t="n">
        <v>0</v>
      </c>
      <c r="F21" s="521" t="n">
        <v>0</v>
      </c>
      <c r="G21" s="521" t="n">
        <v>0</v>
      </c>
      <c r="H21" s="521" t="n">
        <v>0</v>
      </c>
      <c r="I21" s="521" t="n">
        <v>0</v>
      </c>
      <c r="J21" s="521" t="n">
        <v>0</v>
      </c>
      <c r="K21" s="521" t="n"/>
      <c r="L21" s="521" t="n"/>
    </row>
    <row r="22" ht="15" customHeight="1" s="462">
      <c r="A22" s="634" t="inlineStr">
        <is>
          <t>Write off / other adjustments of Fixed Assets</t>
        </is>
      </c>
      <c r="B22" s="576" t="n">
        <v>13.7</v>
      </c>
      <c r="C22" s="576" t="n">
        <v>1</v>
      </c>
      <c r="D22" s="576" t="n">
        <v>0</v>
      </c>
      <c r="E22" s="521" t="n">
        <v>0</v>
      </c>
      <c r="F22" s="521" t="n">
        <v>0</v>
      </c>
      <c r="G22" s="521" t="n">
        <v>0</v>
      </c>
      <c r="H22" s="521" t="n">
        <v>0</v>
      </c>
      <c r="I22" s="521" t="n">
        <v>0</v>
      </c>
      <c r="J22" s="521" t="n">
        <v>0</v>
      </c>
      <c r="K22" s="521" t="n"/>
      <c r="L22" s="521" t="n"/>
    </row>
    <row r="23" ht="15" customHeight="1" s="462">
      <c r="A23" s="634" t="inlineStr">
        <is>
          <t>Foreign Exchange loss (Net)</t>
        </is>
      </c>
      <c r="B23" s="576" t="n">
        <v>8.6</v>
      </c>
      <c r="C23" s="576" t="n">
        <v>-327</v>
      </c>
      <c r="D23" s="576" t="n">
        <v>-878.9</v>
      </c>
      <c r="E23" s="521" t="n">
        <v>0</v>
      </c>
      <c r="F23" s="521" t="n"/>
      <c r="G23" s="521" t="n"/>
      <c r="H23" s="521" t="n">
        <v>0</v>
      </c>
      <c r="I23" s="521" t="n">
        <v>0</v>
      </c>
      <c r="J23" s="521" t="n">
        <v>0</v>
      </c>
      <c r="K23" s="521" t="n"/>
      <c r="L23" s="521" t="n"/>
    </row>
    <row r="24" ht="15" customHeight="1" s="462">
      <c r="A24" s="634" t="inlineStr">
        <is>
          <t>Interest Income</t>
        </is>
      </c>
      <c r="B24" s="576" t="n">
        <v>-86.90000000000001</v>
      </c>
      <c r="C24" s="576" t="n">
        <v>-410.9</v>
      </c>
      <c r="D24" s="576" t="n">
        <v>-261.8</v>
      </c>
      <c r="E24" s="521" t="n">
        <v>0</v>
      </c>
      <c r="F24" s="521" t="n">
        <v>0</v>
      </c>
      <c r="G24" s="521" t="n">
        <v>0</v>
      </c>
      <c r="H24" s="521" t="n">
        <v>0</v>
      </c>
      <c r="I24" s="521" t="n">
        <v>0</v>
      </c>
      <c r="J24" s="521" t="n">
        <v>0</v>
      </c>
      <c r="K24" s="521" t="n"/>
      <c r="L24" s="521" t="n"/>
    </row>
    <row r="25" ht="15" customHeight="1" s="462">
      <c r="A25" s="634" t="inlineStr">
        <is>
          <t>Sales tax deferment loan availed</t>
        </is>
      </c>
      <c r="B25" s="576" t="n">
        <v>64.3</v>
      </c>
      <c r="C25" s="576" t="n">
        <v>-28.5</v>
      </c>
      <c r="D25" s="576" t="n">
        <v>19.1</v>
      </c>
      <c r="E25" s="521" t="n">
        <v>0</v>
      </c>
      <c r="F25" s="521" t="n">
        <v>0</v>
      </c>
      <c r="G25" s="521" t="n">
        <v>0</v>
      </c>
      <c r="H25" s="521" t="n">
        <v>0</v>
      </c>
      <c r="I25" s="521" t="n">
        <v>0</v>
      </c>
      <c r="J25" s="521" t="n">
        <v>0</v>
      </c>
      <c r="K25" s="521" t="n"/>
      <c r="L25" s="521" t="n"/>
    </row>
    <row r="26" ht="15" customHeight="1" s="462">
      <c r="A26" s="634" t="inlineStr">
        <is>
          <t>Profit on sale of Investments in subsidiary</t>
        </is>
      </c>
      <c r="B26" s="576" t="n">
        <v>0</v>
      </c>
      <c r="C26" s="576" t="n">
        <v>-58.5</v>
      </c>
      <c r="D26" s="576" t="n">
        <v>0</v>
      </c>
      <c r="E26" s="521" t="n">
        <v>0</v>
      </c>
      <c r="F26" s="521" t="n">
        <v>0</v>
      </c>
      <c r="G26" s="521" t="n">
        <v>0</v>
      </c>
      <c r="H26" s="521" t="n">
        <v>0</v>
      </c>
      <c r="I26" s="521" t="n">
        <v>0</v>
      </c>
      <c r="J26" s="521" t="n">
        <v>0</v>
      </c>
      <c r="K26" s="521" t="n"/>
      <c r="L26" s="521" t="n"/>
    </row>
    <row r="27" ht="15" customHeight="1" s="462">
      <c r="A27" s="634" t="inlineStr">
        <is>
          <t>Exceptional Item</t>
        </is>
      </c>
      <c r="B27" s="576" t="n">
        <v>-309.8</v>
      </c>
      <c r="C27" s="576" t="n">
        <v>0</v>
      </c>
      <c r="D27" s="576" t="n">
        <v>0</v>
      </c>
      <c r="E27" s="521" t="n">
        <v>0</v>
      </c>
      <c r="F27" s="521" t="n">
        <v>0</v>
      </c>
      <c r="G27" s="521" t="n"/>
      <c r="H27" s="521" t="n">
        <v>0</v>
      </c>
      <c r="I27" s="521" t="n">
        <v>0</v>
      </c>
      <c r="J27" s="521" t="n">
        <v>0</v>
      </c>
      <c r="K27" s="521" t="n"/>
      <c r="L27" s="521" t="n"/>
    </row>
    <row r="28" ht="17.25" customHeight="1" s="462">
      <c r="A28" s="634" t="inlineStr">
        <is>
          <t>Interest expense</t>
        </is>
      </c>
      <c r="B28" s="622" t="n">
        <v>691</v>
      </c>
      <c r="C28" s="622" t="n">
        <v>864.5</v>
      </c>
      <c r="D28" s="622" t="n">
        <v>621.1</v>
      </c>
      <c r="E28" s="623" t="n">
        <v>0</v>
      </c>
      <c r="F28" s="623" t="n">
        <v>0</v>
      </c>
      <c r="G28" s="623" t="n">
        <v>0</v>
      </c>
      <c r="H28" s="623" t="n">
        <v>0</v>
      </c>
      <c r="I28" s="623" t="n">
        <v>0</v>
      </c>
      <c r="J28" s="623" t="n">
        <v>0</v>
      </c>
      <c r="K28" s="521" t="n"/>
      <c r="L28" s="521" t="n"/>
    </row>
    <row r="29" ht="15" customHeight="1" s="462">
      <c r="A29" s="635" t="inlineStr">
        <is>
          <t>Operating Profit before working capital changes</t>
        </is>
      </c>
      <c r="B29" s="521" t="n"/>
      <c r="C29" s="521" t="n"/>
      <c r="D29" s="521" t="n"/>
      <c r="E29" s="521" t="n"/>
      <c r="F29" s="521" t="n"/>
      <c r="G29" s="521" t="n"/>
      <c r="H29" s="521" t="n"/>
      <c r="I29" s="521" t="n"/>
      <c r="J29" s="521" t="n"/>
      <c r="K29" s="521" t="n"/>
      <c r="L29" s="521" t="n"/>
    </row>
    <row r="30" ht="15" customHeight="1" s="462">
      <c r="A30" s="619" t="inlineStr">
        <is>
          <t>Movement in working capital:</t>
        </is>
      </c>
      <c r="B30" s="521" t="n"/>
      <c r="C30" s="521" t="n"/>
      <c r="D30" s="521" t="n"/>
      <c r="E30" s="521" t="n"/>
      <c r="F30" s="521" t="n"/>
      <c r="G30" s="521" t="n"/>
      <c r="H30" s="521" t="n"/>
      <c r="I30" s="521" t="n"/>
      <c r="J30" s="521" t="n"/>
      <c r="K30" s="521" t="n"/>
      <c r="L30" s="521" t="n"/>
    </row>
    <row r="31" ht="15" customHeight="1" s="462">
      <c r="A31" s="634" t="inlineStr">
        <is>
          <t>Increase in Sundry Debtors</t>
        </is>
      </c>
      <c r="B31" s="576" t="n">
        <v>-1411.6</v>
      </c>
      <c r="C31" s="576" t="n">
        <v>-796.4</v>
      </c>
      <c r="D31" s="576" t="n">
        <v>-297.2</v>
      </c>
      <c r="E31" s="521" t="n"/>
      <c r="F31" s="521" t="n"/>
      <c r="G31" s="521" t="n"/>
      <c r="H31" s="521" t="n"/>
      <c r="I31" s="521" t="n"/>
      <c r="J31" s="521" t="n"/>
      <c r="K31" s="521" t="n"/>
      <c r="L31" s="521" t="n"/>
    </row>
    <row r="32" ht="15" customHeight="1" s="462">
      <c r="A32" s="634" t="inlineStr">
        <is>
          <t>Increase in Inventories</t>
        </is>
      </c>
      <c r="B32" s="576" t="n">
        <v>-926.4</v>
      </c>
      <c r="C32" s="576" t="n">
        <v>-1832.2</v>
      </c>
      <c r="D32" s="576" t="n">
        <v>-1406.3</v>
      </c>
      <c r="E32" s="521" t="n"/>
      <c r="F32" s="521" t="n"/>
      <c r="G32" s="521" t="n"/>
      <c r="H32" s="521" t="n"/>
      <c r="I32" s="521" t="n"/>
      <c r="J32" s="521" t="n"/>
      <c r="K32" s="521" t="n"/>
      <c r="L32" s="521" t="n"/>
    </row>
    <row r="33" ht="15" customHeight="1" s="462">
      <c r="A33" s="634" t="inlineStr">
        <is>
          <t>Increase in Loans and Advances</t>
        </is>
      </c>
      <c r="B33" s="576" t="n">
        <v>-426.2</v>
      </c>
      <c r="C33" s="576" t="n">
        <v>-684.5</v>
      </c>
      <c r="D33" s="576" t="n">
        <v>-692.4</v>
      </c>
      <c r="E33" s="521" t="n">
        <v>0</v>
      </c>
      <c r="F33" s="521" t="n">
        <v>0</v>
      </c>
      <c r="G33" s="521" t="n">
        <v>0</v>
      </c>
      <c r="H33" s="521" t="n">
        <v>0</v>
      </c>
      <c r="I33" s="521" t="n">
        <v>0</v>
      </c>
      <c r="J33" s="521" t="n">
        <v>0</v>
      </c>
      <c r="K33" s="521" t="n"/>
      <c r="L33" s="521" t="n"/>
    </row>
    <row r="34" ht="17.25" customHeight="1" s="462">
      <c r="A34" s="634" t="inlineStr">
        <is>
          <t>Increase in Current Liabilities</t>
        </is>
      </c>
      <c r="B34" s="622" t="n">
        <v>1202.2</v>
      </c>
      <c r="C34" s="622" t="n">
        <v>645.7</v>
      </c>
      <c r="D34" s="622" t="n">
        <v>1124.2</v>
      </c>
      <c r="E34" s="623" t="n"/>
      <c r="F34" s="623" t="n"/>
      <c r="G34" s="623" t="n"/>
      <c r="H34" s="623" t="n"/>
      <c r="I34" s="623" t="n"/>
      <c r="J34" s="623" t="n"/>
      <c r="K34" s="521" t="n"/>
      <c r="L34" s="521" t="n"/>
    </row>
    <row r="35" ht="15" customHeight="1" s="462">
      <c r="A35" s="634" t="inlineStr">
        <is>
          <t>Cash Generated from operations</t>
        </is>
      </c>
      <c r="B35" s="521" t="n"/>
      <c r="C35" s="521" t="n"/>
      <c r="D35" s="521" t="n"/>
      <c r="E35" s="521" t="n"/>
      <c r="F35" s="521" t="n"/>
      <c r="G35" s="521" t="n"/>
      <c r="H35" s="521" t="n"/>
      <c r="I35" s="521" t="n"/>
      <c r="J35" s="521" t="n"/>
      <c r="K35" s="521" t="n"/>
      <c r="L35" s="521" t="n"/>
    </row>
    <row r="36" ht="17.25" customHeight="1" s="462">
      <c r="A36" s="634" t="inlineStr">
        <is>
          <t>Direct Taxes paid (Net of refund)</t>
        </is>
      </c>
      <c r="B36" s="622" t="n">
        <v>-320.7</v>
      </c>
      <c r="C36" s="622" t="n">
        <v>-233.1</v>
      </c>
      <c r="D36" s="622" t="n">
        <v>-458.6</v>
      </c>
      <c r="E36" s="623" t="n"/>
      <c r="F36" s="623" t="n"/>
      <c r="G36" s="623" t="n"/>
      <c r="H36" s="623" t="n"/>
      <c r="I36" s="623" t="n"/>
      <c r="J36" s="623" t="n"/>
      <c r="K36" s="521" t="n"/>
      <c r="L36" s="521" t="n"/>
    </row>
    <row r="37" ht="17.25" customHeight="1" s="462">
      <c r="A37" s="522" t="inlineStr">
        <is>
          <t xml:space="preserve">    Net Cash (Used In) / From Operating Activities (A)</t>
        </is>
      </c>
      <c r="B37" s="627" t="n"/>
      <c r="C37" s="627" t="n"/>
      <c r="D37" s="627" t="n"/>
      <c r="E37" s="627" t="n"/>
      <c r="F37" s="627" t="n"/>
      <c r="G37" s="627" t="n"/>
      <c r="H37" s="627" t="n"/>
      <c r="I37" s="627" t="n"/>
      <c r="J37" s="627" t="n"/>
      <c r="K37" s="521" t="n"/>
      <c r="L37" s="521" t="n"/>
    </row>
    <row r="38" ht="15" customHeight="1" s="462">
      <c r="B38" s="521" t="n"/>
      <c r="C38" s="521" t="n"/>
      <c r="D38" s="521" t="n"/>
      <c r="E38" s="521" t="n"/>
      <c r="F38" s="521" t="n"/>
      <c r="G38" s="521" t="n"/>
      <c r="H38" s="521" t="n"/>
      <c r="I38" s="521" t="n"/>
      <c r="J38" s="521" t="n"/>
      <c r="K38" s="521" t="n"/>
      <c r="L38" s="521" t="n"/>
    </row>
    <row r="39" ht="15" customHeight="1" s="462">
      <c r="A39" s="618" t="inlineStr">
        <is>
          <t>B.    Cash Flow From Investing Activities</t>
        </is>
      </c>
      <c r="B39" s="521" t="n"/>
      <c r="C39" s="521" t="n"/>
      <c r="D39" s="521" t="n"/>
      <c r="E39" s="521" t="n"/>
      <c r="F39" s="521" t="n"/>
      <c r="G39" s="521" t="n"/>
      <c r="H39" s="521" t="n"/>
      <c r="I39" s="521" t="n"/>
      <c r="J39" s="521" t="n"/>
      <c r="K39" s="521" t="n"/>
      <c r="L39" s="521" t="n"/>
    </row>
    <row r="40" ht="15" customHeight="1" s="462">
      <c r="A40" s="618" t="n"/>
      <c r="B40" s="521" t="n"/>
      <c r="C40" s="521" t="n"/>
      <c r="D40" s="521" t="n"/>
      <c r="E40" s="521" t="n"/>
      <c r="F40" s="521" t="n"/>
      <c r="G40" s="521" t="n"/>
      <c r="H40" s="521" t="n"/>
      <c r="I40" s="521" t="n"/>
      <c r="J40" s="521" t="n"/>
      <c r="K40" s="521" t="n"/>
      <c r="L40" s="521" t="n"/>
    </row>
    <row r="41" ht="15" customHeight="1" s="462">
      <c r="A41" s="634" t="inlineStr">
        <is>
          <t>Purchase of Fixed Assets and Intangibles</t>
        </is>
      </c>
      <c r="B41" s="576" t="n">
        <v>-2224</v>
      </c>
      <c r="C41" s="576" t="n">
        <v>-3318.7</v>
      </c>
      <c r="D41" s="576" t="n">
        <v>-2462.9</v>
      </c>
      <c r="E41" s="521" t="n"/>
      <c r="F41" s="521" t="n"/>
      <c r="G41" s="521" t="n"/>
      <c r="H41" s="521" t="n"/>
      <c r="I41" s="521" t="n"/>
      <c r="J41" s="521" t="n"/>
      <c r="K41" s="521" t="n"/>
      <c r="L41" s="521" t="n"/>
    </row>
    <row r="42" ht="15" customHeight="1" s="462">
      <c r="A42" s="634" t="inlineStr">
        <is>
          <t>Proceeds from sale of Fixed Assets</t>
        </is>
      </c>
      <c r="B42" s="576" t="n">
        <v>56.5</v>
      </c>
      <c r="C42" s="576" t="n">
        <v>155.3</v>
      </c>
      <c r="D42" s="576" t="n">
        <v>19.4</v>
      </c>
      <c r="E42" s="521" t="n">
        <v>0</v>
      </c>
      <c r="F42" s="521" t="n">
        <v>0</v>
      </c>
      <c r="G42" s="521" t="n">
        <v>0</v>
      </c>
      <c r="H42" s="521" t="n">
        <v>0</v>
      </c>
      <c r="I42" s="521" t="n">
        <v>0</v>
      </c>
      <c r="J42" s="521" t="n">
        <v>0</v>
      </c>
      <c r="K42" s="521" t="n"/>
      <c r="L42" s="521" t="n"/>
    </row>
    <row r="43" ht="30" customHeight="1" s="462">
      <c r="A43" s="636" t="inlineStr">
        <is>
          <t>Payment for Net Assets acquired of Subsidiary, Net of cash</t>
        </is>
      </c>
      <c r="B43" s="576" t="n">
        <v>-358.4</v>
      </c>
      <c r="C43" s="576" t="n">
        <v>-284.7</v>
      </c>
      <c r="D43" s="576" t="n">
        <v>0</v>
      </c>
      <c r="E43" s="521" t="n">
        <v>0</v>
      </c>
      <c r="F43" s="521" t="n">
        <v>0</v>
      </c>
      <c r="G43" s="521" t="n">
        <v>0</v>
      </c>
      <c r="H43" s="521" t="n">
        <v>0</v>
      </c>
      <c r="I43" s="521" t="n">
        <v>0</v>
      </c>
      <c r="J43" s="521" t="n">
        <v>0</v>
      </c>
      <c r="K43" s="521" t="n"/>
      <c r="L43" s="521" t="n"/>
    </row>
    <row r="44" ht="15" customHeight="1" s="462">
      <c r="A44" s="636" t="inlineStr">
        <is>
          <t>Payment for Purchase of Sundry Debtors</t>
        </is>
      </c>
      <c r="B44" s="576" t="n">
        <v>-19.9</v>
      </c>
      <c r="C44" s="576" t="n">
        <v>0</v>
      </c>
      <c r="D44" s="576" t="n">
        <v>0</v>
      </c>
      <c r="E44" s="521" t="n">
        <v>0</v>
      </c>
      <c r="F44" s="521" t="n">
        <v>0</v>
      </c>
      <c r="G44" s="521" t="n">
        <v>0</v>
      </c>
      <c r="H44" s="521" t="n">
        <v>0</v>
      </c>
      <c r="I44" s="521" t="n">
        <v>0</v>
      </c>
      <c r="J44" s="521" t="n">
        <v>0</v>
      </c>
      <c r="K44" s="521" t="n"/>
      <c r="L44" s="521" t="n"/>
    </row>
    <row r="45" ht="15" customHeight="1" s="462">
      <c r="A45" s="636" t="inlineStr">
        <is>
          <t>On disposal of Joint Venture entity</t>
        </is>
      </c>
      <c r="B45" s="576" t="n">
        <v>-18.8</v>
      </c>
      <c r="C45" s="576" t="n">
        <v>0</v>
      </c>
      <c r="D45" s="576" t="n">
        <v>0</v>
      </c>
      <c r="E45" s="521" t="n">
        <v>0</v>
      </c>
      <c r="F45" s="521" t="n">
        <v>0</v>
      </c>
      <c r="G45" s="521" t="n">
        <v>0</v>
      </c>
      <c r="H45" s="521" t="n">
        <v>0</v>
      </c>
      <c r="I45" s="521" t="n">
        <v>0</v>
      </c>
      <c r="J45" s="521" t="n">
        <v>0</v>
      </c>
      <c r="K45" s="521" t="n"/>
      <c r="L45" s="521" t="n"/>
    </row>
    <row r="46" ht="30" customHeight="1" s="462">
      <c r="A46" s="636" t="inlineStr">
        <is>
          <t>Proceeds from sale of investment in  Subsidiary,net of cash</t>
        </is>
      </c>
      <c r="B46" s="576" t="n">
        <v>0</v>
      </c>
      <c r="C46" s="576" t="n">
        <v>-24.5</v>
      </c>
      <c r="D46" s="576" t="n">
        <v>168.2</v>
      </c>
      <c r="E46" s="521" t="n">
        <v>0</v>
      </c>
      <c r="F46" s="521" t="n">
        <v>0</v>
      </c>
      <c r="G46" s="521" t="n">
        <v>0</v>
      </c>
      <c r="H46" s="521" t="n">
        <v>0</v>
      </c>
      <c r="I46" s="521" t="n">
        <v>0</v>
      </c>
      <c r="J46" s="521" t="n">
        <v>0</v>
      </c>
      <c r="K46" s="521" t="n"/>
      <c r="L46" s="521" t="n"/>
    </row>
    <row r="47" ht="15" customHeight="1" s="462">
      <c r="A47" s="636" t="inlineStr">
        <is>
          <t>Proceeds from sale/(purchase) of Investments (Net)</t>
        </is>
      </c>
      <c r="B47" s="576" t="n">
        <v>13</v>
      </c>
      <c r="C47" s="576" t="n">
        <v>-2026.6</v>
      </c>
      <c r="D47" s="576" t="n">
        <v>1108.2</v>
      </c>
      <c r="E47" s="521" t="n">
        <v>0</v>
      </c>
      <c r="F47" s="521" t="n">
        <v>0</v>
      </c>
      <c r="G47" s="521" t="n">
        <v>0</v>
      </c>
      <c r="H47" s="521" t="n">
        <v>0</v>
      </c>
      <c r="I47" s="521" t="n">
        <v>0</v>
      </c>
      <c r="J47" s="521" t="n">
        <v>0</v>
      </c>
      <c r="K47" s="521" t="n"/>
      <c r="L47" s="521" t="n"/>
    </row>
    <row r="48" ht="15" customHeight="1" s="462">
      <c r="A48" s="636" t="inlineStr">
        <is>
          <t>Loans to Joint Ventures</t>
        </is>
      </c>
      <c r="B48" s="576" t="n">
        <v>-20.4</v>
      </c>
      <c r="C48" s="576" t="n">
        <v>0</v>
      </c>
      <c r="D48" s="576" t="n">
        <v>-36</v>
      </c>
      <c r="E48" s="521" t="n">
        <v>0</v>
      </c>
      <c r="F48" s="521" t="n">
        <v>0</v>
      </c>
      <c r="G48" s="521" t="n">
        <v>0</v>
      </c>
      <c r="H48" s="521" t="n">
        <v>0</v>
      </c>
      <c r="I48" s="521" t="n">
        <v>0</v>
      </c>
      <c r="J48" s="521" t="n">
        <v>0</v>
      </c>
      <c r="K48" s="521" t="n"/>
      <c r="L48" s="521" t="n"/>
    </row>
    <row r="49" ht="17.25" customHeight="1" s="462">
      <c r="A49" s="636" t="inlineStr">
        <is>
          <t>Interest Received</t>
        </is>
      </c>
      <c r="B49" s="622" t="n">
        <v>86.7</v>
      </c>
      <c r="C49" s="622" t="n">
        <v>366</v>
      </c>
      <c r="D49" s="622" t="n">
        <v>453</v>
      </c>
      <c r="E49" s="623" t="n">
        <v>0</v>
      </c>
      <c r="F49" s="623" t="n">
        <v>0</v>
      </c>
      <c r="G49" s="623" t="n">
        <v>0</v>
      </c>
      <c r="H49" s="623" t="n">
        <v>0</v>
      </c>
      <c r="I49" s="623" t="n">
        <v>0</v>
      </c>
      <c r="J49" s="623" t="n">
        <v>0</v>
      </c>
      <c r="K49" s="521" t="n"/>
      <c r="L49" s="521" t="n"/>
    </row>
    <row r="50" ht="17.25" customHeight="1" s="462">
      <c r="A50" s="522" t="inlineStr">
        <is>
          <t xml:space="preserve">    Net Cash Used in Investing Activities (B)</t>
        </is>
      </c>
      <c r="B50" s="627" t="n"/>
      <c r="C50" s="627" t="n"/>
      <c r="D50" s="627" t="n"/>
      <c r="E50" s="627" t="n"/>
      <c r="F50" s="627" t="n"/>
      <c r="G50" s="627" t="n"/>
      <c r="H50" s="627" t="n"/>
      <c r="I50" s="627" t="n"/>
      <c r="J50" s="627" t="n"/>
      <c r="K50" s="521" t="n"/>
      <c r="L50" s="521" t="n"/>
    </row>
    <row r="51" ht="15" customHeight="1" s="462">
      <c r="B51" s="521" t="n"/>
      <c r="C51" s="521" t="n"/>
      <c r="D51" s="521" t="n"/>
      <c r="E51" s="521" t="n"/>
      <c r="F51" s="521" t="n"/>
      <c r="G51" s="521" t="n"/>
      <c r="H51" s="521" t="n"/>
      <c r="I51" s="521" t="n"/>
      <c r="J51" s="521" t="n"/>
      <c r="K51" s="521" t="n"/>
      <c r="L51" s="521" t="n"/>
    </row>
    <row r="52" ht="15" customHeight="1" s="462">
      <c r="A52" s="618" t="inlineStr">
        <is>
          <t>C.    Cash Flow From Financing Activities</t>
        </is>
      </c>
      <c r="B52" s="521" t="n"/>
      <c r="C52" s="521" t="n"/>
      <c r="D52" s="521" t="n"/>
      <c r="E52" s="521" t="n"/>
      <c r="F52" s="521" t="n"/>
      <c r="G52" s="521" t="n"/>
      <c r="H52" s="521" t="n"/>
      <c r="I52" s="521" t="n"/>
      <c r="J52" s="521" t="n"/>
      <c r="K52" s="521" t="n"/>
      <c r="L52" s="521" t="n"/>
    </row>
    <row r="53" ht="15" customHeight="1" s="462">
      <c r="B53" s="521" t="n"/>
      <c r="C53" s="521" t="n"/>
      <c r="D53" s="521" t="n"/>
      <c r="E53" s="521" t="n"/>
      <c r="F53" s="521" t="n"/>
      <c r="G53" s="521" t="n"/>
      <c r="H53" s="521" t="n"/>
      <c r="I53" s="521" t="n"/>
      <c r="J53" s="521" t="n"/>
      <c r="K53" s="521" t="n"/>
      <c r="L53" s="521" t="n"/>
    </row>
    <row r="54" ht="15" customHeight="1" s="462">
      <c r="A54" s="634" t="inlineStr">
        <is>
          <t>Proceeds from Issuance of Share capital</t>
        </is>
      </c>
      <c r="B54" s="576" t="n">
        <v>587.5</v>
      </c>
      <c r="C54" s="576" t="n">
        <v>28.4</v>
      </c>
      <c r="D54" s="576" t="n">
        <v>15.3</v>
      </c>
      <c r="E54" s="521" t="n">
        <v>0</v>
      </c>
      <c r="F54" s="521" t="n">
        <v>0</v>
      </c>
      <c r="G54" s="521" t="n">
        <v>0</v>
      </c>
      <c r="H54" s="521" t="n">
        <v>0</v>
      </c>
      <c r="I54" s="521" t="n">
        <v>0</v>
      </c>
      <c r="J54" s="521" t="n">
        <v>0</v>
      </c>
      <c r="K54" s="521" t="n"/>
      <c r="L54" s="521" t="n"/>
    </row>
    <row r="55" ht="15" customHeight="1" s="462">
      <c r="A55" s="634" t="inlineStr">
        <is>
          <t>Proceeds from Long-Term borrowings</t>
        </is>
      </c>
      <c r="B55" s="576" t="n">
        <v>0.4</v>
      </c>
      <c r="C55" s="576" t="n">
        <v>382.8</v>
      </c>
      <c r="D55" s="576" t="n">
        <v>29.8</v>
      </c>
      <c r="E55" s="521" t="n">
        <v>0</v>
      </c>
      <c r="F55" s="521" t="n">
        <v>0</v>
      </c>
      <c r="G55" s="637" t="n"/>
      <c r="H55" s="637" t="n"/>
      <c r="I55" s="521" t="n">
        <v>0</v>
      </c>
      <c r="J55" s="521" t="n">
        <v>0</v>
      </c>
      <c r="K55" s="521" t="n"/>
      <c r="L55" s="521" t="n"/>
    </row>
    <row r="56" ht="15" customHeight="1" s="462">
      <c r="A56" s="634" t="inlineStr">
        <is>
          <t>Proceeds from FCCB's</t>
        </is>
      </c>
      <c r="B56" s="576" t="n">
        <v>70.3</v>
      </c>
      <c r="C56" s="576" t="n">
        <v>9102</v>
      </c>
      <c r="D56" s="576" t="n">
        <v>0</v>
      </c>
      <c r="E56" s="521" t="n">
        <v>0</v>
      </c>
      <c r="F56" s="521" t="n">
        <v>0</v>
      </c>
      <c r="G56" s="521" t="n">
        <v>0</v>
      </c>
      <c r="H56" s="521" t="n">
        <v>0</v>
      </c>
      <c r="I56" s="521" t="n">
        <v>0</v>
      </c>
      <c r="J56" s="521" t="n">
        <v>0</v>
      </c>
      <c r="K56" s="521" t="n"/>
      <c r="L56" s="521" t="n"/>
    </row>
    <row r="57" ht="15" customHeight="1" s="462">
      <c r="A57" s="634" t="inlineStr">
        <is>
          <t>Repayment of Long-Term Borrowings</t>
        </is>
      </c>
      <c r="B57" s="576" t="n">
        <v>-680.5</v>
      </c>
      <c r="C57" s="576" t="n">
        <v>-2327.6</v>
      </c>
      <c r="D57" s="576" t="n">
        <v>-1179.8</v>
      </c>
      <c r="E57" s="521" t="n">
        <v>0</v>
      </c>
      <c r="F57" s="521" t="n"/>
      <c r="G57" s="521" t="n">
        <v>0</v>
      </c>
      <c r="H57" s="521" t="n">
        <v>0</v>
      </c>
      <c r="I57" s="521" t="n">
        <v>0</v>
      </c>
      <c r="J57" s="521" t="n">
        <v>0</v>
      </c>
      <c r="K57" s="521" t="n"/>
      <c r="L57" s="521" t="n"/>
    </row>
    <row r="58" ht="15" customHeight="1" s="462">
      <c r="A58" s="634" t="inlineStr">
        <is>
          <t>Repayment of FCCB's (Redemption)</t>
        </is>
      </c>
      <c r="B58" s="576" t="n">
        <v>0</v>
      </c>
      <c r="C58" s="576" t="n">
        <v>0</v>
      </c>
      <c r="D58" s="576" t="n">
        <v>0</v>
      </c>
      <c r="E58" s="521" t="n">
        <v>0</v>
      </c>
      <c r="F58" s="521" t="n">
        <v>0</v>
      </c>
      <c r="G58" s="521" t="n">
        <v>0</v>
      </c>
      <c r="H58" s="521" t="n"/>
      <c r="I58" s="521" t="n"/>
      <c r="J58" s="521" t="n"/>
      <c r="K58" s="521" t="n"/>
      <c r="L58" s="521" t="n"/>
    </row>
    <row r="59" ht="15" customHeight="1" s="462">
      <c r="A59" s="634" t="inlineStr">
        <is>
          <t>Proceeds from Short term borrowings (Net)</t>
        </is>
      </c>
      <c r="B59" s="576" t="n">
        <v>4477.6</v>
      </c>
      <c r="C59" s="576" t="n">
        <v>757</v>
      </c>
      <c r="D59" s="576" t="n">
        <v>-258.8</v>
      </c>
      <c r="E59" s="521" t="n">
        <v>0</v>
      </c>
      <c r="F59" s="521" t="n">
        <v>0</v>
      </c>
      <c r="G59" s="521" t="n">
        <v>0</v>
      </c>
      <c r="H59" s="521" t="n">
        <v>0</v>
      </c>
      <c r="I59" s="521" t="n">
        <v>0</v>
      </c>
      <c r="J59" s="521" t="n">
        <v>0</v>
      </c>
      <c r="K59" s="521" t="n"/>
      <c r="L59" s="521" t="n"/>
    </row>
    <row r="60" ht="15" customHeight="1" s="462">
      <c r="A60" s="634" t="inlineStr">
        <is>
          <t>Interest Paid</t>
        </is>
      </c>
      <c r="B60" s="576" t="n">
        <v>-690.8</v>
      </c>
      <c r="C60" s="576" t="n">
        <v>-875.9</v>
      </c>
      <c r="D60" s="576" t="n">
        <v>-624.9</v>
      </c>
      <c r="E60" s="521" t="n">
        <v>0</v>
      </c>
      <c r="F60" s="521" t="n">
        <v>0</v>
      </c>
      <c r="G60" s="521" t="n">
        <v>0</v>
      </c>
      <c r="H60" s="521" t="n">
        <v>0</v>
      </c>
      <c r="I60" s="521" t="n">
        <v>0</v>
      </c>
      <c r="J60" s="521" t="n">
        <v>0</v>
      </c>
      <c r="K60" s="521" t="n"/>
      <c r="L60" s="521" t="n"/>
    </row>
    <row r="61" ht="15" customHeight="1" s="462">
      <c r="A61" s="634" t="inlineStr">
        <is>
          <t>FCCB Issue Expenses</t>
        </is>
      </c>
      <c r="B61" s="576" t="n">
        <v>-70.2</v>
      </c>
      <c r="C61" s="576" t="n">
        <v>-135.6</v>
      </c>
      <c r="D61" s="576" t="n">
        <v>0</v>
      </c>
      <c r="E61" s="521" t="n">
        <v>0</v>
      </c>
      <c r="F61" s="521" t="n">
        <v>0</v>
      </c>
      <c r="G61" s="521" t="n">
        <v>0</v>
      </c>
      <c r="H61" s="521" t="n">
        <v>0</v>
      </c>
      <c r="I61" s="521" t="n">
        <v>0</v>
      </c>
      <c r="J61" s="521" t="n">
        <v>0</v>
      </c>
      <c r="K61" s="521" t="n"/>
      <c r="L61" s="521" t="n"/>
    </row>
    <row r="62" ht="17.25" customHeight="1" s="462">
      <c r="A62" s="634" t="inlineStr">
        <is>
          <t>Dividends and dividend tax paid</t>
        </is>
      </c>
      <c r="B62" s="622" t="n">
        <v>-30.3</v>
      </c>
      <c r="C62" s="622" t="n">
        <v>-92.3</v>
      </c>
      <c r="D62" s="622" t="n">
        <v>-157.1</v>
      </c>
      <c r="E62" s="623" t="n">
        <v>0</v>
      </c>
      <c r="F62" s="623" t="n">
        <v>0</v>
      </c>
      <c r="G62" s="623" t="n">
        <v>0</v>
      </c>
      <c r="H62" s="623" t="n">
        <v>0</v>
      </c>
      <c r="I62" s="623" t="n">
        <v>0</v>
      </c>
      <c r="J62" s="623" t="n">
        <v>0</v>
      </c>
      <c r="K62" s="521" t="n"/>
      <c r="L62" s="521" t="n"/>
    </row>
    <row r="63" ht="17.25" customHeight="1" s="462">
      <c r="A63" s="522" t="inlineStr">
        <is>
          <t xml:space="preserve">    Net Cash Flow From Financing Activities  (C)</t>
        </is>
      </c>
      <c r="B63" s="627" t="n"/>
      <c r="C63" s="627" t="n"/>
      <c r="D63" s="627" t="n"/>
      <c r="E63" s="627" t="n"/>
      <c r="F63" s="627" t="n"/>
      <c r="G63" s="627" t="n"/>
      <c r="H63" s="627" t="n"/>
      <c r="I63" s="627" t="n"/>
      <c r="J63" s="627" t="n"/>
      <c r="K63" s="521" t="n"/>
      <c r="L63" s="521" t="n"/>
    </row>
    <row r="64" ht="15" customHeight="1" s="462">
      <c r="A64" s="522" t="n"/>
      <c r="B64" s="521" t="n"/>
      <c r="C64" s="521" t="n"/>
      <c r="D64" s="521" t="n"/>
      <c r="E64" s="521" t="n"/>
      <c r="F64" s="521" t="n"/>
      <c r="G64" s="521" t="n"/>
      <c r="H64" s="521" t="n"/>
      <c r="I64" s="521" t="n"/>
      <c r="J64" s="521" t="n"/>
      <c r="K64" s="521" t="n"/>
      <c r="L64" s="521" t="n"/>
    </row>
    <row r="65" ht="30" customHeight="1" s="462">
      <c r="A65" s="638" t="inlineStr">
        <is>
          <t>D.    Effect of Exchange rate changes on Cash &amp; Cash equivalents (D)</t>
        </is>
      </c>
      <c r="B65" s="576" t="n">
        <v>43.4</v>
      </c>
      <c r="C65" s="576" t="n">
        <v>7.6</v>
      </c>
      <c r="D65" s="576" t="n">
        <v>-9.699999999999999</v>
      </c>
      <c r="E65" s="521" t="n">
        <v>0</v>
      </c>
      <c r="F65" s="521" t="n">
        <v>0</v>
      </c>
      <c r="G65" s="521" t="n">
        <v>0</v>
      </c>
      <c r="H65" s="521" t="n">
        <v>0</v>
      </c>
      <c r="I65" s="521" t="n">
        <v>0</v>
      </c>
      <c r="J65" s="521" t="n">
        <v>0</v>
      </c>
      <c r="K65" s="521" t="n"/>
      <c r="L65" s="521" t="n"/>
    </row>
    <row r="66" ht="15" customHeight="1" s="462">
      <c r="B66" s="576" t="n"/>
      <c r="C66" s="639" t="n"/>
      <c r="D66" s="576" t="n"/>
      <c r="E66" s="521" t="n"/>
      <c r="F66" s="521" t="n"/>
      <c r="G66" s="521" t="n"/>
      <c r="H66" s="521" t="n"/>
      <c r="I66" s="521" t="n"/>
      <c r="J66" s="521" t="n"/>
      <c r="K66" s="521" t="n"/>
      <c r="L66" s="521" t="n"/>
    </row>
    <row r="67" ht="15" customHeight="1" s="462">
      <c r="A67" s="586" t="inlineStr">
        <is>
          <t>Net Increase / (Decrease) in Cash and Cash Equivalents (A+B+C+D)</t>
        </is>
      </c>
      <c r="B67" s="583" t="n"/>
      <c r="C67" s="583" t="n"/>
      <c r="D67" s="583" t="n"/>
      <c r="E67" s="583" t="n"/>
      <c r="F67" s="583" t="n"/>
      <c r="G67" s="583" t="n"/>
      <c r="H67" s="583" t="n"/>
      <c r="I67" s="583" t="n"/>
      <c r="J67" s="583" t="n"/>
      <c r="K67" s="521" t="n"/>
      <c r="L67" s="521" t="n"/>
    </row>
    <row r="68" ht="15" customHeight="1" s="462">
      <c r="A68" s="640" t="inlineStr">
        <is>
          <t>Cash and Cash Equivalents at the beginning of the year</t>
        </is>
      </c>
      <c r="B68" s="576" t="n">
        <v>593.8</v>
      </c>
      <c r="C68" s="576" t="n">
        <v>1961.7</v>
      </c>
      <c r="D68" s="576" t="n">
        <v>3747.5</v>
      </c>
      <c r="E68" s="521" t="n"/>
      <c r="F68" s="521" t="n"/>
      <c r="G68" s="521" t="n"/>
      <c r="H68" s="521" t="n"/>
      <c r="I68" s="521" t="n"/>
      <c r="J68" s="521" t="n"/>
      <c r="K68" s="521" t="n"/>
      <c r="L68" s="521" t="n"/>
    </row>
    <row r="69" ht="17.25" customHeight="1" s="462">
      <c r="A69" s="634" t="inlineStr">
        <is>
          <t>Add: On Amalgamation</t>
        </is>
      </c>
      <c r="B69" s="622" t="n">
        <v>0</v>
      </c>
      <c r="C69" s="622" t="n">
        <v>0.1</v>
      </c>
      <c r="D69" s="622" t="n">
        <v>0</v>
      </c>
      <c r="E69" s="623" t="n">
        <v>0</v>
      </c>
      <c r="F69" s="623" t="n">
        <v>0</v>
      </c>
      <c r="G69" s="623" t="n">
        <v>0</v>
      </c>
      <c r="H69" s="623" t="n">
        <v>0</v>
      </c>
      <c r="I69" s="623" t="n">
        <v>0</v>
      </c>
      <c r="J69" s="623" t="n">
        <v>0</v>
      </c>
      <c r="K69" s="521" t="n"/>
      <c r="L69" s="521" t="n"/>
    </row>
    <row r="70" ht="17.25" customHeight="1" s="462">
      <c r="A70" s="640" t="inlineStr">
        <is>
          <t>Cash and Cash Equivalents at the end of the year</t>
        </is>
      </c>
      <c r="B70" s="627" t="n"/>
      <c r="C70" s="627" t="n"/>
      <c r="D70" s="627" t="n"/>
      <c r="E70" s="627" t="n"/>
      <c r="F70" s="627" t="n"/>
      <c r="G70" s="627" t="n"/>
      <c r="H70" s="627" t="n"/>
      <c r="I70" s="627" t="n"/>
      <c r="J70" s="627" t="n"/>
      <c r="K70" s="521" t="n"/>
      <c r="L70" s="521" t="n"/>
    </row>
    <row r="71" ht="15.75" customHeight="1" s="462">
      <c r="A71" s="489" t="n"/>
      <c r="B71" s="489" t="n"/>
      <c r="C71" s="489" t="n"/>
      <c r="D71" s="489" t="n"/>
      <c r="E71" s="489" t="n"/>
      <c r="F71" s="489" t="n"/>
      <c r="G71" s="489" t="n"/>
      <c r="H71" s="489" t="n"/>
      <c r="I71" s="489" t="n"/>
      <c r="J71" s="489" t="n"/>
      <c r="K71" s="490" t="n"/>
      <c r="L71" s="490" t="n"/>
    </row>
    <row r="72" ht="15" customHeight="1" s="462">
      <c r="A72" s="461" t="inlineStr">
        <is>
          <t>Cash and Cheques on Hand</t>
        </is>
      </c>
      <c r="B72" s="576" t="n">
        <v>50.5</v>
      </c>
      <c r="C72" s="576" t="n">
        <v>9.300000000000001</v>
      </c>
      <c r="D72" s="576" t="n">
        <v>5</v>
      </c>
      <c r="E72" s="521" t="n"/>
      <c r="F72" s="521" t="n"/>
      <c r="G72" s="521" t="n"/>
      <c r="H72" s="521" t="n"/>
      <c r="I72" s="521" t="n"/>
      <c r="J72" s="521" t="n"/>
      <c r="K72" s="521" t="n"/>
      <c r="L72" s="521" t="n"/>
    </row>
    <row r="73" ht="15" customHeight="1" s="462">
      <c r="A73" s="461" t="inlineStr">
        <is>
          <t>With Banks        - on  Current Accounts</t>
        </is>
      </c>
      <c r="B73" s="576" t="n">
        <v>796.3</v>
      </c>
      <c r="C73" s="576" t="n">
        <v>765.9</v>
      </c>
      <c r="D73" s="576" t="n">
        <v>249.1</v>
      </c>
      <c r="E73" s="521" t="n"/>
      <c r="F73" s="521" t="n"/>
      <c r="G73" s="521" t="n"/>
      <c r="H73" s="521" t="n"/>
      <c r="I73" s="521" t="n"/>
      <c r="J73" s="521" t="n"/>
      <c r="K73" s="521" t="n"/>
      <c r="L73" s="521" t="n"/>
    </row>
    <row r="74" ht="15" customHeight="1" s="462">
      <c r="A74" s="641" t="inlineStr">
        <is>
          <t xml:space="preserve">                                 on Deposit Accounts</t>
        </is>
      </c>
      <c r="B74" s="576" t="n">
        <v>138.7</v>
      </c>
      <c r="C74" s="576" t="n">
        <v>5046.6</v>
      </c>
      <c r="D74" s="576" t="n">
        <v>2568.6</v>
      </c>
      <c r="E74" s="521" t="n"/>
      <c r="F74" s="521" t="n"/>
      <c r="G74" s="521" t="n"/>
      <c r="H74" s="521" t="n"/>
      <c r="I74" s="521" t="n"/>
      <c r="J74" s="521" t="n"/>
      <c r="K74" s="521" t="n"/>
      <c r="L74" s="521" t="n"/>
    </row>
    <row r="75" ht="15" customHeight="1" s="462">
      <c r="A75" s="461" t="inlineStr">
        <is>
          <t xml:space="preserve">                                 on Unpaid Dividend Accounts</t>
        </is>
      </c>
      <c r="B75" s="576" t="n">
        <v>2.6</v>
      </c>
      <c r="C75" s="576" t="n">
        <v>2.8</v>
      </c>
      <c r="D75" s="576" t="n">
        <v>3</v>
      </c>
      <c r="E75" s="521" t="n"/>
      <c r="F75" s="521" t="n"/>
      <c r="G75" s="521" t="n"/>
      <c r="H75" s="521" t="n"/>
      <c r="I75" s="521" t="n"/>
      <c r="J75" s="521" t="n"/>
      <c r="K75" s="521" t="n"/>
      <c r="L75" s="521" t="n"/>
    </row>
    <row r="76" ht="17.25" customHeight="1" s="462">
      <c r="A76" s="642" t="inlineStr">
        <is>
          <t>on Fixed Deposits Accounts</t>
        </is>
      </c>
      <c r="B76" s="622" t="n">
        <v>1031.2</v>
      </c>
      <c r="C76" s="622" t="n">
        <v>0</v>
      </c>
      <c r="D76" s="622" t="n">
        <v>0</v>
      </c>
      <c r="E76" s="521" t="n"/>
      <c r="F76" s="521" t="n"/>
      <c r="G76" s="521" t="n"/>
      <c r="H76" s="521" t="n"/>
      <c r="I76" s="521" t="n"/>
      <c r="J76" s="521" t="n"/>
      <c r="K76" s="521" t="n"/>
      <c r="L76" s="521" t="n"/>
    </row>
    <row r="77" ht="17.25" customHeight="1" s="462">
      <c r="A77" s="643" t="inlineStr">
        <is>
          <t>Cash and Cash Equivalents as per Balance Sheet</t>
        </is>
      </c>
      <c r="B77" s="627" t="n"/>
      <c r="C77" s="627" t="n"/>
      <c r="D77" s="627" t="n"/>
      <c r="E77" s="521" t="n"/>
      <c r="F77" s="521" t="n"/>
      <c r="G77" s="521" t="n"/>
      <c r="H77" s="521" t="n"/>
      <c r="I77" s="521" t="n"/>
      <c r="J77" s="521" t="n"/>
      <c r="K77" s="521" t="n"/>
      <c r="L77" s="521" t="n"/>
    </row>
    <row r="78" ht="15" customHeight="1" s="462">
      <c r="A78" s="644" t="inlineStr">
        <is>
          <t>Less: Overdraft</t>
        </is>
      </c>
      <c r="B78" s="576" t="n">
        <v>-57.6</v>
      </c>
      <c r="C78" s="576" t="n">
        <v>-66.3</v>
      </c>
      <c r="D78" s="576" t="n">
        <v>-103.6</v>
      </c>
      <c r="E78" s="521" t="n"/>
      <c r="F78" s="521" t="n"/>
      <c r="G78" s="521" t="n"/>
      <c r="H78" s="521" t="n"/>
      <c r="I78" s="521" t="n"/>
      <c r="J78" s="521" t="n"/>
      <c r="K78" s="521" t="n"/>
      <c r="L78" s="521" t="n"/>
    </row>
    <row r="79" ht="15" customHeight="1" s="462">
      <c r="A79" s="644" t="inlineStr">
        <is>
          <t>Less: Fixed Deposits considered as Investments</t>
        </is>
      </c>
      <c r="B79" s="576" t="n">
        <v>13.4</v>
      </c>
      <c r="C79" s="576" t="n">
        <v>-2010.8</v>
      </c>
      <c r="D79" s="576" t="n">
        <v>-301</v>
      </c>
      <c r="E79" s="521" t="n"/>
      <c r="F79" s="521" t="n"/>
      <c r="G79" s="521" t="n"/>
      <c r="H79" s="521" t="n"/>
      <c r="I79" s="521" t="n"/>
      <c r="J79" s="521" t="n"/>
      <c r="K79" s="521" t="n"/>
      <c r="L79" s="521" t="n"/>
    </row>
    <row r="80" ht="15" customHeight="1" s="462">
      <c r="A80" s="644" t="inlineStr">
        <is>
          <t>Effect of Unrealized exchange loss as on Balance sheet date</t>
        </is>
      </c>
      <c r="B80" s="576" t="n">
        <v>1.3</v>
      </c>
      <c r="C80" s="576" t="n">
        <v>114</v>
      </c>
      <c r="D80" s="576" t="n">
        <v>-21.7</v>
      </c>
      <c r="E80" s="521" t="n"/>
      <c r="F80" s="521" t="n"/>
      <c r="G80" s="521" t="n"/>
      <c r="H80" s="521" t="n"/>
      <c r="I80" s="521" t="n"/>
      <c r="J80" s="521" t="n"/>
      <c r="K80" s="521" t="n"/>
      <c r="L80" s="521" t="n"/>
    </row>
    <row r="81" ht="15" customFormat="1" customHeight="1" s="461">
      <c r="A81" s="643" t="inlineStr">
        <is>
          <t>Cash and Cash Equivalents considered for cash flows</t>
        </is>
      </c>
      <c r="B81" s="645" t="n"/>
      <c r="C81" s="645" t="n"/>
      <c r="D81" s="645" t="n"/>
      <c r="E81" s="490" t="n"/>
      <c r="F81" s="490" t="n"/>
      <c r="G81" s="490" t="n"/>
      <c r="H81" s="490" t="n"/>
      <c r="I81" s="490" t="n"/>
      <c r="J81" s="490" t="n"/>
      <c r="K81" s="490" t="n"/>
      <c r="L81" s="490" t="n"/>
    </row>
    <row r="82" ht="15.75" customHeight="1" s="462">
      <c r="A82" s="646" t="n"/>
      <c r="B82" s="647" t="n"/>
      <c r="C82" s="647" t="n"/>
      <c r="D82" s="647" t="n"/>
      <c r="E82" s="489" t="n"/>
      <c r="F82" s="489" t="n"/>
      <c r="G82" s="489" t="n"/>
      <c r="H82" s="489" t="n"/>
      <c r="I82" s="489" t="n"/>
      <c r="J82" s="489" t="n"/>
      <c r="K82" s="490" t="n"/>
      <c r="L82" s="490" t="n"/>
    </row>
    <row r="83" ht="15" customHeight="1" s="462">
      <c r="A83" s="644" t="n"/>
      <c r="B83" s="521" t="n"/>
      <c r="C83" s="521" t="n"/>
      <c r="D83" s="521" t="n"/>
      <c r="E83" s="521" t="n"/>
      <c r="F83" s="521" t="n"/>
      <c r="G83" s="521" t="n"/>
      <c r="H83" s="521" t="n"/>
      <c r="I83" s="521" t="n"/>
      <c r="J83" s="521" t="n"/>
      <c r="K83" s="521" t="n"/>
      <c r="L83" s="521" t="n"/>
    </row>
    <row r="84" ht="15" customHeight="1" s="462">
      <c r="A84" s="644" t="n"/>
      <c r="B84" s="521" t="n"/>
      <c r="C84" s="521" t="n"/>
      <c r="D84" s="521" t="n"/>
      <c r="E84" s="521" t="n"/>
      <c r="F84" s="521" t="n"/>
      <c r="G84" s="521" t="n"/>
      <c r="H84" s="521" t="n"/>
      <c r="I84" s="521" t="n"/>
      <c r="J84" s="521" t="n"/>
      <c r="K84" s="521" t="n"/>
      <c r="L84" s="521" t="n"/>
    </row>
    <row r="85" ht="15" customHeight="1" s="462">
      <c r="A85" s="461" t="n"/>
      <c r="B85" s="521" t="n"/>
      <c r="C85" s="521" t="n"/>
      <c r="D85" s="521" t="n"/>
      <c r="E85" s="521" t="n"/>
      <c r="F85" s="521" t="n"/>
      <c r="G85" s="521" t="n"/>
      <c r="H85" s="521" t="n"/>
      <c r="I85" s="521" t="n"/>
      <c r="J85" s="521" t="n"/>
      <c r="K85" s="521" t="n"/>
      <c r="L85" s="521" t="n"/>
    </row>
    <row r="86" ht="15" customHeight="1" s="462">
      <c r="B86" s="521" t="n"/>
      <c r="C86" s="521" t="n"/>
      <c r="D86" s="521" t="n"/>
      <c r="E86" s="521" t="n"/>
      <c r="F86" s="521" t="n"/>
      <c r="G86" s="521" t="n"/>
      <c r="H86" s="521" t="n"/>
      <c r="I86" s="521" t="n"/>
      <c r="J86" s="521" t="n"/>
      <c r="K86" s="521" t="n"/>
      <c r="L86" s="521" t="n"/>
    </row>
    <row r="87" ht="15" customHeight="1" s="462">
      <c r="B87" s="521" t="n"/>
      <c r="C87" s="521" t="n"/>
      <c r="D87" s="521" t="n"/>
      <c r="E87" s="521" t="n"/>
      <c r="F87" s="521" t="n"/>
      <c r="G87" s="521" t="n"/>
      <c r="H87" s="521" t="n"/>
      <c r="I87" s="521" t="n"/>
      <c r="J87" s="521" t="n"/>
      <c r="K87" s="521" t="n"/>
      <c r="L87" s="521" t="n"/>
    </row>
    <row r="88" ht="15" customHeight="1" s="462">
      <c r="B88" s="521" t="n"/>
      <c r="C88" s="521" t="n"/>
      <c r="D88" s="521" t="n"/>
      <c r="E88" s="521" t="n"/>
      <c r="F88" s="521" t="n"/>
      <c r="G88" s="521" t="n"/>
      <c r="H88" s="521" t="n"/>
      <c r="I88" s="521" t="n"/>
      <c r="J88" s="521" t="n"/>
      <c r="K88" s="521" t="n"/>
      <c r="L88" s="521" t="n"/>
    </row>
    <row r="89" ht="15" customHeight="1" s="462">
      <c r="B89" s="521" t="n"/>
      <c r="C89" s="521" t="n"/>
      <c r="D89" s="521" t="n"/>
      <c r="E89" s="521" t="n"/>
      <c r="F89" s="521" t="n"/>
      <c r="G89" s="521" t="n"/>
      <c r="H89" s="521" t="n"/>
      <c r="I89" s="521" t="n"/>
      <c r="J89" s="521" t="n"/>
      <c r="K89" s="521" t="n"/>
      <c r="L89" s="521" t="n"/>
    </row>
    <row r="90" ht="15" customHeight="1" s="462">
      <c r="B90" s="521" t="n"/>
      <c r="C90" s="521" t="n"/>
      <c r="D90" s="521" t="n"/>
      <c r="E90" s="521" t="n"/>
      <c r="F90" s="521" t="n"/>
      <c r="G90" s="521" t="n"/>
      <c r="H90" s="521" t="n"/>
      <c r="I90" s="521" t="n"/>
      <c r="J90" s="521" t="n"/>
      <c r="K90" s="521" t="n"/>
      <c r="L90" s="521" t="n"/>
    </row>
    <row r="91" ht="15" customHeight="1" s="462">
      <c r="B91" s="521" t="n"/>
      <c r="C91" s="521" t="n"/>
      <c r="D91" s="521" t="n"/>
      <c r="E91" s="521" t="n"/>
      <c r="F91" s="521" t="n"/>
      <c r="G91" s="521" t="n"/>
      <c r="H91" s="521" t="n"/>
      <c r="I91" s="521" t="n"/>
      <c r="J91" s="521" t="n"/>
      <c r="K91" s="521" t="n"/>
      <c r="L91" s="521" t="n"/>
    </row>
    <row r="92" ht="15" customHeight="1" s="462">
      <c r="B92" s="521" t="n"/>
      <c r="C92" s="521" t="n"/>
      <c r="D92" s="521" t="n"/>
      <c r="E92" s="521" t="n"/>
      <c r="F92" s="521" t="n"/>
      <c r="G92" s="521" t="n"/>
      <c r="H92" s="521" t="n"/>
      <c r="I92" s="521" t="n"/>
      <c r="J92" s="521" t="n"/>
      <c r="K92" s="521" t="n"/>
      <c r="L92" s="521" t="n"/>
    </row>
    <row r="93" ht="15" customHeight="1" s="462">
      <c r="B93" s="521" t="n"/>
      <c r="C93" s="521" t="n"/>
      <c r="D93" s="521" t="n"/>
      <c r="E93" s="521" t="n"/>
      <c r="F93" s="521" t="n"/>
      <c r="G93" s="521" t="n"/>
      <c r="H93" s="521" t="n"/>
      <c r="I93" s="521" t="n"/>
      <c r="J93" s="521" t="n"/>
      <c r="K93" s="521" t="n"/>
      <c r="L93" s="521" t="n"/>
    </row>
    <row r="94" ht="15" customHeight="1" s="462">
      <c r="B94" s="521" t="n"/>
      <c r="C94" s="521" t="n"/>
      <c r="D94" s="521" t="n"/>
      <c r="E94" s="521" t="n"/>
      <c r="F94" s="521" t="n"/>
      <c r="G94" s="521" t="n"/>
      <c r="H94" s="521" t="n"/>
      <c r="I94" s="521" t="n"/>
      <c r="J94" s="521" t="n"/>
      <c r="K94" s="521" t="n"/>
      <c r="L94" s="521" t="n"/>
    </row>
    <row r="95" ht="15" customHeight="1" s="462">
      <c r="B95" s="521" t="n"/>
      <c r="C95" s="521" t="n"/>
      <c r="D95" s="521" t="n"/>
      <c r="E95" s="521" t="n"/>
      <c r="F95" s="521" t="n"/>
      <c r="G95" s="521" t="n"/>
      <c r="H95" s="521" t="n"/>
      <c r="I95" s="521" t="n"/>
      <c r="J95" s="521" t="n"/>
      <c r="K95" s="521" t="n"/>
      <c r="L95" s="521" t="n"/>
    </row>
    <row r="96" ht="15" customHeight="1" s="462">
      <c r="B96" s="521" t="n"/>
      <c r="C96" s="521" t="n"/>
      <c r="D96" s="521" t="n"/>
      <c r="E96" s="521" t="n"/>
      <c r="F96" s="521" t="n"/>
      <c r="G96" s="521" t="n"/>
      <c r="H96" s="521" t="n"/>
      <c r="I96" s="521" t="n"/>
      <c r="J96" s="521" t="n"/>
      <c r="K96" s="521" t="n"/>
      <c r="L96" s="521" t="n"/>
    </row>
    <row r="97" ht="15" customHeight="1" s="462">
      <c r="B97" s="521" t="n"/>
      <c r="C97" s="521" t="n"/>
      <c r="D97" s="521" t="n"/>
      <c r="E97" s="521" t="n"/>
      <c r="F97" s="521" t="n"/>
      <c r="G97" s="521" t="n"/>
      <c r="H97" s="521" t="n"/>
      <c r="I97" s="521" t="n"/>
      <c r="J97" s="521" t="n"/>
      <c r="K97" s="521" t="n"/>
      <c r="L97" s="521" t="n"/>
    </row>
    <row r="98" ht="15" customHeight="1" s="462">
      <c r="B98" s="521" t="n"/>
      <c r="C98" s="521" t="n"/>
      <c r="D98" s="521" t="n"/>
      <c r="E98" s="521" t="n"/>
      <c r="F98" s="521" t="n"/>
      <c r="G98" s="521" t="n"/>
      <c r="H98" s="521" t="n"/>
      <c r="I98" s="521" t="n"/>
      <c r="J98" s="521" t="n"/>
      <c r="K98" s="521" t="n"/>
      <c r="L98"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8.xml><?xml version="1.0" encoding="utf-8"?>
<worksheet xmlns="http://schemas.openxmlformats.org/spreadsheetml/2006/main">
  <sheetPr filterMode="0">
    <outlinePr summaryBelow="1" summaryRight="1"/>
    <pageSetUpPr fitToPage="0"/>
  </sheetPr>
  <dimension ref="A1:AL106"/>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F11" activeCellId="0" sqref="F11"/>
    </sheetView>
  </sheetViews>
  <sheetFormatPr baseColWidth="8" defaultColWidth="8.96875" defaultRowHeight="15" zeroHeight="0" outlineLevelRow="0"/>
  <cols>
    <col width="40.13" customWidth="1" style="461" min="1" max="1"/>
    <col width="10.99" customWidth="1" style="461" min="2" max="2"/>
    <col width="10.56" customWidth="1" style="461" min="3" max="6"/>
    <col width="12.42" customWidth="1" style="461" min="7" max="7"/>
    <col width="14.85" customWidth="1" style="461" min="8" max="8"/>
    <col width="10.56" customWidth="1" style="461" min="9" max="11"/>
    <col width="9.56" customWidth="1" style="461" min="14" max="14"/>
    <col width="10.56" customWidth="1" style="461" min="18" max="18"/>
    <col width="9.56" customWidth="1" style="461" min="19" max="19"/>
  </cols>
  <sheetData>
    <row r="1" ht="18.75" customHeight="1" s="462">
      <c r="A1" s="487" t="inlineStr">
        <is>
          <t>Aurobindo Pharma</t>
        </is>
      </c>
      <c r="B1" s="487" t="n"/>
      <c r="D1" s="568" t="n"/>
      <c r="F1" s="568" t="n"/>
    </row>
    <row r="2" ht="15.75" customHeight="1" s="462">
      <c r="A2" s="488" t="inlineStr">
        <is>
          <t xml:space="preserve">Geographic Revenue Model </t>
        </is>
      </c>
      <c r="B2" s="522" t="n"/>
      <c r="C2" s="468" t="n"/>
      <c r="D2" s="569" t="n"/>
      <c r="E2" s="468" t="n"/>
      <c r="F2" s="615" t="n"/>
      <c r="G2" s="468" t="n"/>
      <c r="H2" s="616" t="n"/>
    </row>
    <row r="3" ht="15.75" customHeight="1" s="462">
      <c r="A3" s="489" t="inlineStr">
        <is>
          <t>(In Rs Millions)</t>
        </is>
      </c>
      <c r="B3" s="489" t="n"/>
      <c r="C3" s="489" t="n"/>
      <c r="D3" s="489" t="n"/>
      <c r="E3" s="489" t="n"/>
      <c r="F3" s="489" t="n"/>
      <c r="G3" s="489" t="n"/>
      <c r="H3" s="489" t="n"/>
      <c r="I3" s="489" t="n"/>
      <c r="J3" s="489" t="n"/>
      <c r="K3" s="489" t="n"/>
      <c r="L3" s="489" t="n"/>
      <c r="M3" s="490" t="n"/>
      <c r="N3" s="490" t="n"/>
      <c r="O3" s="490" t="n"/>
      <c r="P3" s="490" t="n"/>
      <c r="Q3" s="490" t="n"/>
      <c r="R3" s="490" t="n"/>
      <c r="S3" s="490" t="n"/>
      <c r="T3" s="490" t="n"/>
      <c r="U3" s="490" t="n"/>
      <c r="V3" s="490" t="n"/>
      <c r="W3" s="490" t="n"/>
      <c r="X3" s="490" t="n"/>
      <c r="Y3" s="490" t="n"/>
      <c r="Z3" s="490" t="n"/>
      <c r="AA3" s="490" t="n"/>
      <c r="AB3" s="490" t="n"/>
      <c r="AC3" s="490" t="n"/>
      <c r="AD3" s="490" t="n"/>
      <c r="AE3" s="490" t="n"/>
      <c r="AF3" s="490" t="n"/>
      <c r="AG3" s="490" t="n"/>
      <c r="AH3" s="461" t="n"/>
      <c r="AI3" s="461" t="n"/>
      <c r="AJ3" s="461" t="n"/>
      <c r="AK3" s="461" t="n"/>
    </row>
    <row r="4" ht="15" customHeight="1" s="462">
      <c r="A4" s="532" t="n"/>
      <c r="B4" s="532" t="n"/>
      <c r="C4" s="648" t="n"/>
      <c r="D4" s="534" t="n"/>
      <c r="E4" s="534" t="n"/>
      <c r="F4" s="534" t="n"/>
      <c r="G4" s="534" t="n"/>
      <c r="H4" s="648" t="n"/>
      <c r="I4" s="534" t="n"/>
      <c r="J4" s="534" t="n"/>
      <c r="K4" s="534" t="n"/>
      <c r="L4" s="534" t="n"/>
      <c r="M4" s="648" t="n"/>
      <c r="N4" s="534" t="n"/>
      <c r="O4" s="534" t="n"/>
      <c r="P4" s="534" t="n"/>
      <c r="Q4" s="534" t="n"/>
      <c r="R4" s="648" t="n"/>
      <c r="S4" s="534" t="n"/>
      <c r="T4" s="534" t="n"/>
      <c r="U4" s="534" t="n"/>
      <c r="V4" s="534" t="n"/>
      <c r="W4" s="648" t="n"/>
      <c r="X4" s="534" t="n"/>
      <c r="Y4" s="534" t="n"/>
      <c r="Z4" s="534" t="n"/>
      <c r="AA4" s="534" t="n"/>
      <c r="AB4" s="648" t="n"/>
      <c r="AC4" s="534" t="n"/>
      <c r="AD4" s="534" t="n"/>
      <c r="AE4" s="534" t="n"/>
      <c r="AF4" s="534" t="n"/>
      <c r="AG4" s="648" t="n"/>
      <c r="AH4" s="534" t="n"/>
      <c r="AI4" s="534" t="n"/>
      <c r="AJ4" s="534" t="n"/>
      <c r="AK4" s="534" t="n"/>
      <c r="AL4" s="648" t="n"/>
    </row>
    <row r="5" ht="15" customHeight="1" s="462">
      <c r="A5" s="461" t="n"/>
      <c r="B5" s="649" t="inlineStr">
        <is>
          <t>FY2005 A</t>
        </is>
      </c>
      <c r="C5" s="649" t="inlineStr">
        <is>
          <t>FY2006 A</t>
        </is>
      </c>
      <c r="D5" s="649" t="inlineStr">
        <is>
          <t>FY2007 A</t>
        </is>
      </c>
      <c r="E5" s="649" t="inlineStr">
        <is>
          <t>FY2008 A</t>
        </is>
      </c>
      <c r="F5" s="649" t="inlineStr">
        <is>
          <t>FY2009 A</t>
        </is>
      </c>
      <c r="G5" s="650" t="inlineStr">
        <is>
          <t>FY2010 E</t>
        </is>
      </c>
      <c r="H5" s="536" t="inlineStr">
        <is>
          <t>FY2011 E</t>
        </is>
      </c>
      <c r="I5" s="536" t="inlineStr">
        <is>
          <t>FY2012 E</t>
        </is>
      </c>
      <c r="J5" s="536" t="inlineStr">
        <is>
          <t>FY2013 E</t>
        </is>
      </c>
      <c r="K5" s="536" t="inlineStr">
        <is>
          <t>FY2014 E</t>
        </is>
      </c>
      <c r="L5" s="461" t="n"/>
      <c r="M5" s="648" t="n"/>
      <c r="N5" s="461" t="n"/>
      <c r="O5" s="461" t="n"/>
      <c r="P5" s="461" t="n"/>
      <c r="Q5" s="461" t="n"/>
      <c r="R5" s="648" t="n"/>
      <c r="S5" s="461" t="n"/>
      <c r="T5" s="461" t="n"/>
      <c r="U5" s="461" t="n"/>
      <c r="V5" s="461" t="n"/>
      <c r="W5" s="648" t="n"/>
      <c r="X5" s="461" t="n"/>
      <c r="Y5" s="461" t="n"/>
      <c r="Z5" s="461" t="n"/>
      <c r="AA5" s="461" t="n"/>
      <c r="AB5" s="648" t="n"/>
      <c r="AC5" s="461" t="n"/>
      <c r="AD5" s="461" t="n"/>
      <c r="AE5" s="461" t="n"/>
      <c r="AF5" s="461" t="n"/>
      <c r="AG5" s="648" t="n"/>
      <c r="AH5" s="461" t="n"/>
      <c r="AI5" s="461" t="n"/>
      <c r="AJ5" s="461" t="n"/>
      <c r="AK5" s="461" t="n"/>
      <c r="AL5" s="648" t="n"/>
    </row>
    <row r="6" ht="15" customFormat="1" customHeight="1" s="461">
      <c r="A6" s="573" t="n"/>
      <c r="B6" s="573" t="n"/>
      <c r="C6" s="648" t="n"/>
      <c r="H6" s="648" t="n"/>
      <c r="M6" s="648" t="n"/>
      <c r="R6" s="648" t="n"/>
      <c r="W6" s="648" t="n"/>
      <c r="AB6" s="648" t="n"/>
      <c r="AG6" s="648" t="n"/>
      <c r="AL6" s="648" t="n"/>
    </row>
    <row r="7" ht="15" customFormat="1" customHeight="1" s="461">
      <c r="A7" s="491" t="inlineStr">
        <is>
          <t>Geographic Revenue</t>
        </is>
      </c>
      <c r="B7" s="573" t="n"/>
      <c r="C7" s="524" t="n"/>
      <c r="D7" s="521" t="n"/>
      <c r="E7" s="521" t="n"/>
      <c r="F7" s="521" t="n"/>
      <c r="G7" s="521" t="n"/>
      <c r="H7" s="524" t="n"/>
      <c r="M7" s="648" t="n"/>
      <c r="R7" s="648" t="n"/>
      <c r="W7" s="648" t="n"/>
      <c r="AB7" s="648" t="n"/>
      <c r="AG7" s="648" t="n"/>
      <c r="AL7" s="648" t="n"/>
    </row>
    <row r="8" ht="15" customHeight="1" s="462">
      <c r="A8" s="461" t="inlineStr">
        <is>
          <t xml:space="preserve">India </t>
        </is>
      </c>
      <c r="B8" s="576" t="n">
        <v>10664.4</v>
      </c>
      <c r="C8" s="651" t="n">
        <v>12507.4</v>
      </c>
      <c r="D8" s="576" t="n">
        <v>16023.4</v>
      </c>
      <c r="E8" s="576" t="n">
        <v>19058.3</v>
      </c>
      <c r="F8" s="521" t="n"/>
      <c r="G8" s="521" t="n"/>
      <c r="H8" s="521" t="n"/>
      <c r="I8" s="521" t="n"/>
      <c r="J8" s="521" t="n"/>
      <c r="K8" s="521" t="n"/>
      <c r="L8" s="461" t="n"/>
      <c r="M8" s="648" t="n"/>
      <c r="N8" s="461" t="n"/>
      <c r="O8" s="461" t="n"/>
      <c r="P8" s="461" t="n"/>
      <c r="Q8" s="461" t="n"/>
      <c r="R8" s="652" t="n"/>
      <c r="S8" s="461" t="n"/>
      <c r="T8" s="461" t="n"/>
      <c r="U8" s="461" t="n"/>
      <c r="V8" s="461" t="n"/>
      <c r="W8" s="648" t="n"/>
      <c r="X8" s="461" t="n"/>
      <c r="Y8" s="461" t="n"/>
      <c r="Z8" s="461" t="n"/>
      <c r="AA8" s="461" t="n"/>
      <c r="AB8" s="648" t="n"/>
      <c r="AC8" s="461" t="n"/>
      <c r="AD8" s="461" t="n"/>
      <c r="AE8" s="461" t="n"/>
      <c r="AF8" s="461" t="n"/>
      <c r="AG8" s="648" t="n"/>
      <c r="AH8" s="461" t="n"/>
      <c r="AI8" s="461" t="n"/>
      <c r="AJ8" s="461" t="n"/>
      <c r="AK8" s="461" t="n"/>
      <c r="AL8" s="648" t="n"/>
    </row>
    <row r="9" ht="15" customHeight="1" s="462">
      <c r="A9" s="461" t="inlineStr">
        <is>
          <t>China</t>
        </is>
      </c>
      <c r="B9" s="576" t="n">
        <v>1232.5</v>
      </c>
      <c r="C9" s="651" t="n">
        <v>1306.6</v>
      </c>
      <c r="D9" s="576" t="n">
        <v>976</v>
      </c>
      <c r="E9" s="576" t="n">
        <v>285.8</v>
      </c>
      <c r="F9" s="521" t="n"/>
      <c r="G9" s="521" t="n"/>
      <c r="H9" s="521" t="n"/>
      <c r="I9" s="521" t="n"/>
      <c r="J9" s="521" t="n"/>
      <c r="K9" s="521" t="n"/>
      <c r="L9" s="461" t="n"/>
      <c r="M9" s="648" t="n"/>
      <c r="N9" s="653" t="n"/>
      <c r="O9" s="653" t="n"/>
      <c r="P9" s="653" t="n"/>
      <c r="Q9" s="653" t="n"/>
      <c r="R9" s="651" t="n"/>
      <c r="S9" s="576" t="n"/>
      <c r="T9" s="461" t="n"/>
      <c r="U9" s="461" t="n"/>
      <c r="V9" s="461" t="n"/>
      <c r="W9" s="648" t="n"/>
      <c r="X9" s="461" t="n"/>
      <c r="Y9" s="461" t="n"/>
      <c r="Z9" s="461" t="n"/>
      <c r="AA9" s="461" t="n"/>
      <c r="AB9" s="648" t="n"/>
      <c r="AC9" s="461" t="n"/>
      <c r="AD9" s="461" t="n"/>
      <c r="AE9" s="461" t="n"/>
      <c r="AF9" s="461" t="n"/>
      <c r="AG9" s="648" t="n"/>
      <c r="AH9" s="461" t="n"/>
      <c r="AI9" s="461" t="n"/>
      <c r="AJ9" s="461" t="n"/>
      <c r="AK9" s="461" t="n"/>
      <c r="AL9" s="648" t="n"/>
    </row>
    <row r="10" ht="15" customHeight="1" s="462">
      <c r="A10" s="461" t="inlineStr">
        <is>
          <t>Rest of the World</t>
        </is>
      </c>
      <c r="B10" s="576" t="n">
        <v>1319.1</v>
      </c>
      <c r="C10" s="651" t="n">
        <v>2122.1</v>
      </c>
      <c r="D10" s="576" t="n">
        <v>4229.8</v>
      </c>
      <c r="E10" s="576" t="n">
        <v>5014.9</v>
      </c>
      <c r="F10" s="521" t="n"/>
      <c r="G10" s="521" t="n"/>
      <c r="H10" s="521" t="n"/>
      <c r="I10" s="521" t="n"/>
      <c r="J10" s="521" t="n"/>
      <c r="K10" s="521" t="n"/>
      <c r="L10" s="461" t="n"/>
      <c r="M10" s="648" t="n"/>
      <c r="N10" s="653" t="n"/>
      <c r="O10" s="653" t="n"/>
      <c r="P10" s="653" t="n"/>
      <c r="Q10" s="653" t="n"/>
      <c r="R10" s="651" t="n"/>
      <c r="S10" s="576" t="n"/>
      <c r="T10" s="461" t="n"/>
      <c r="U10" s="461" t="n"/>
      <c r="V10" s="461" t="n"/>
      <c r="W10" s="648" t="n"/>
      <c r="X10" s="461" t="n"/>
      <c r="Y10" s="461" t="n"/>
      <c r="Z10" s="461" t="n"/>
      <c r="AA10" s="461" t="n"/>
      <c r="AB10" s="648" t="n"/>
      <c r="AC10" s="461" t="n"/>
      <c r="AD10" s="461" t="n"/>
      <c r="AE10" s="461" t="n"/>
      <c r="AF10" s="461" t="n"/>
      <c r="AG10" s="648" t="n"/>
      <c r="AH10" s="461" t="n"/>
      <c r="AI10" s="461" t="n"/>
      <c r="AJ10" s="461" t="n"/>
      <c r="AK10" s="461" t="n"/>
      <c r="AL10" s="648" t="n"/>
    </row>
    <row r="11" ht="15" customHeight="1" s="462">
      <c r="A11" s="522" t="inlineStr">
        <is>
          <t>Consolidated</t>
        </is>
      </c>
      <c r="B11" s="524" t="n"/>
      <c r="C11" s="524" t="n"/>
      <c r="D11" s="524" t="n"/>
      <c r="E11" s="524" t="n"/>
      <c r="F11" s="637" t="n"/>
      <c r="G11" s="521" t="n"/>
      <c r="H11" s="524" t="n"/>
      <c r="I11" s="524" t="n"/>
      <c r="J11" s="524" t="n"/>
      <c r="K11" s="524" t="n"/>
      <c r="L11" s="461" t="n"/>
      <c r="M11" s="648" t="n"/>
      <c r="N11" s="597" t="n"/>
      <c r="O11" s="597" t="n"/>
      <c r="P11" s="597" t="n"/>
      <c r="Q11" s="597" t="n"/>
      <c r="R11" s="652" t="n"/>
      <c r="S11" s="461" t="n"/>
      <c r="T11" s="461" t="n"/>
      <c r="U11" s="461" t="n"/>
      <c r="V11" s="461" t="n"/>
      <c r="W11" s="648" t="n"/>
      <c r="X11" s="461" t="n"/>
      <c r="Y11" s="461" t="n"/>
      <c r="Z11" s="461" t="n"/>
      <c r="AA11" s="461" t="n"/>
      <c r="AB11" s="648" t="n"/>
      <c r="AC11" s="461" t="n"/>
      <c r="AD11" s="461" t="n"/>
      <c r="AE11" s="461" t="n"/>
      <c r="AF11" s="461" t="n"/>
      <c r="AG11" s="648" t="n"/>
      <c r="AH11" s="461" t="n"/>
      <c r="AI11" s="461" t="n"/>
      <c r="AJ11" s="461" t="n"/>
      <c r="AK11" s="461" t="n"/>
      <c r="AL11" s="648" t="n"/>
    </row>
    <row r="12" ht="15" customHeight="1" s="462">
      <c r="A12" s="522" t="n"/>
      <c r="B12" s="583" t="n"/>
      <c r="C12" s="524" t="n"/>
      <c r="D12" s="521" t="n"/>
      <c r="E12" s="521" t="n"/>
      <c r="F12" s="521" t="n"/>
      <c r="G12" s="521" t="n"/>
      <c r="H12" s="654" t="n"/>
      <c r="I12" s="461" t="n"/>
      <c r="J12" s="461" t="n"/>
      <c r="K12" s="461" t="n"/>
      <c r="L12" s="461" t="n"/>
      <c r="M12" s="648" t="n"/>
      <c r="N12" s="461" t="n"/>
      <c r="O12" s="461" t="n"/>
      <c r="P12" s="461" t="n"/>
      <c r="Q12" s="461" t="n"/>
      <c r="R12" s="652" t="n"/>
      <c r="S12" s="461" t="n"/>
      <c r="T12" s="461" t="n"/>
      <c r="U12" s="461" t="n"/>
      <c r="V12" s="461" t="n"/>
      <c r="W12" s="648" t="n"/>
      <c r="X12" s="461" t="n"/>
      <c r="Y12" s="461" t="n"/>
      <c r="Z12" s="461" t="n"/>
      <c r="AA12" s="461" t="n"/>
      <c r="AB12" s="648" t="n"/>
      <c r="AC12" s="461" t="n"/>
      <c r="AD12" s="461" t="n"/>
      <c r="AE12" s="461" t="n"/>
      <c r="AF12" s="461" t="n"/>
      <c r="AG12" s="648" t="n"/>
      <c r="AH12" s="461" t="n"/>
      <c r="AI12" s="461" t="n"/>
      <c r="AJ12" s="461" t="n"/>
      <c r="AK12" s="461" t="n"/>
      <c r="AL12" s="648" t="n"/>
    </row>
    <row r="13" ht="15" customHeight="1" s="462">
      <c r="A13" s="491" t="inlineStr">
        <is>
          <t>Segment Results (EBIT)</t>
        </is>
      </c>
      <c r="B13" s="655" t="n"/>
      <c r="C13" s="524" t="n"/>
      <c r="D13" s="521" t="n"/>
      <c r="E13" s="521" t="n"/>
      <c r="F13" s="521" t="n"/>
      <c r="G13" s="521" t="n"/>
      <c r="H13" s="524" t="n"/>
      <c r="I13" s="461" t="n"/>
      <c r="J13" s="461" t="n"/>
      <c r="K13" s="461" t="n"/>
      <c r="L13" s="461" t="n"/>
      <c r="M13" s="648" t="n"/>
      <c r="N13" s="529" t="n"/>
      <c r="O13" s="529" t="n"/>
      <c r="P13" s="529" t="n"/>
      <c r="Q13" s="529" t="n"/>
      <c r="R13" s="529" t="n"/>
      <c r="S13" s="529" t="n"/>
      <c r="T13" s="461" t="n"/>
      <c r="U13" s="461" t="n"/>
      <c r="V13" s="461" t="n"/>
      <c r="W13" s="648" t="n"/>
      <c r="X13" s="461" t="n"/>
      <c r="Y13" s="461" t="n"/>
      <c r="Z13" s="461" t="n"/>
      <c r="AA13" s="461" t="n"/>
      <c r="AB13" s="648" t="n"/>
      <c r="AC13" s="461" t="n"/>
      <c r="AD13" s="461" t="n"/>
      <c r="AE13" s="461" t="n"/>
      <c r="AF13" s="461" t="n"/>
      <c r="AG13" s="648" t="n"/>
      <c r="AH13" s="461" t="n"/>
      <c r="AI13" s="461" t="n"/>
      <c r="AJ13" s="461" t="n"/>
      <c r="AK13" s="461" t="n"/>
      <c r="AL13" s="648" t="n"/>
    </row>
    <row r="14" ht="15" customHeight="1" s="462">
      <c r="A14" s="461" t="inlineStr">
        <is>
          <t xml:space="preserve">India </t>
        </is>
      </c>
      <c r="B14" s="576" t="n">
        <v>572.8</v>
      </c>
      <c r="C14" s="576" t="n">
        <v>1357.5</v>
      </c>
      <c r="D14" s="576" t="n">
        <v>2450.4</v>
      </c>
      <c r="E14" s="651" t="n">
        <v>3545.1</v>
      </c>
      <c r="F14" s="521" t="n"/>
      <c r="G14" s="521" t="n"/>
      <c r="H14" s="524" t="n"/>
      <c r="I14" s="461" t="n"/>
      <c r="J14" s="461" t="n"/>
      <c r="K14" s="461" t="n"/>
      <c r="L14" s="461" t="n"/>
      <c r="M14" s="648" t="n"/>
      <c r="N14" s="529" t="n"/>
      <c r="O14" s="529" t="n"/>
      <c r="P14" s="529" t="n"/>
      <c r="Q14" s="529" t="n"/>
      <c r="R14" s="529" t="n"/>
      <c r="S14" s="529" t="n"/>
      <c r="T14" s="461" t="n"/>
      <c r="U14" s="461" t="n"/>
      <c r="V14" s="461" t="n"/>
      <c r="W14" s="648" t="n"/>
      <c r="X14" s="461" t="n"/>
      <c r="Y14" s="461" t="n"/>
      <c r="Z14" s="461" t="n"/>
      <c r="AA14" s="461" t="n"/>
      <c r="AB14" s="648" t="n"/>
      <c r="AC14" s="461" t="n"/>
      <c r="AD14" s="461" t="n"/>
      <c r="AE14" s="461" t="n"/>
      <c r="AF14" s="461" t="n"/>
      <c r="AG14" s="648" t="n"/>
      <c r="AH14" s="461" t="n"/>
      <c r="AI14" s="461" t="n"/>
      <c r="AJ14" s="461" t="n"/>
      <c r="AK14" s="461" t="n"/>
      <c r="AL14" s="648" t="n"/>
    </row>
    <row r="15" ht="15" customHeight="1" s="462">
      <c r="A15" s="461" t="inlineStr">
        <is>
          <t>China</t>
        </is>
      </c>
      <c r="B15" s="576" t="n">
        <v>-32.8</v>
      </c>
      <c r="C15" s="576" t="n">
        <v>-101.7</v>
      </c>
      <c r="D15" s="576" t="n">
        <v>-129</v>
      </c>
      <c r="E15" s="651" t="n">
        <v>525.9</v>
      </c>
      <c r="F15" s="521" t="n"/>
      <c r="G15" s="521" t="n"/>
      <c r="H15" s="524" t="n"/>
      <c r="I15" s="461" t="n"/>
      <c r="J15" s="461" t="n"/>
      <c r="K15" s="461" t="n"/>
      <c r="L15" s="461" t="n"/>
      <c r="M15" s="648" t="n"/>
      <c r="N15" s="529" t="n"/>
      <c r="O15" s="529" t="n"/>
      <c r="P15" s="529" t="n"/>
      <c r="Q15" s="529" t="n"/>
      <c r="R15" s="529" t="n"/>
      <c r="S15" s="529" t="n"/>
      <c r="T15" s="461" t="n"/>
      <c r="U15" s="461" t="n"/>
      <c r="V15" s="461" t="n"/>
      <c r="W15" s="648" t="n"/>
      <c r="X15" s="461" t="n"/>
      <c r="Y15" s="461" t="n"/>
      <c r="Z15" s="461" t="n"/>
      <c r="AA15" s="461" t="n"/>
      <c r="AB15" s="648" t="n"/>
      <c r="AC15" s="461" t="n"/>
      <c r="AD15" s="461" t="n"/>
      <c r="AE15" s="461" t="n"/>
      <c r="AF15" s="461" t="n"/>
      <c r="AG15" s="648" t="n"/>
      <c r="AH15" s="461" t="n"/>
      <c r="AI15" s="461" t="n"/>
      <c r="AJ15" s="461" t="n"/>
      <c r="AK15" s="461" t="n"/>
      <c r="AL15" s="648" t="n"/>
    </row>
    <row r="16" ht="15" customHeight="1" s="462">
      <c r="A16" s="461" t="inlineStr">
        <is>
          <t>Rest of the World</t>
        </is>
      </c>
      <c r="B16" s="576" t="n">
        <v>-104.1</v>
      </c>
      <c r="C16" s="576" t="n">
        <v>82</v>
      </c>
      <c r="D16" s="576" t="n">
        <v>-18.1</v>
      </c>
      <c r="E16" s="576" t="n">
        <v>-332.4</v>
      </c>
      <c r="F16" s="521" t="n"/>
      <c r="G16" s="521" t="n"/>
      <c r="H16" s="521" t="n"/>
      <c r="I16" s="461" t="n"/>
      <c r="J16" s="461" t="n"/>
      <c r="K16" s="461" t="n"/>
      <c r="L16" s="461" t="n"/>
      <c r="M16" s="461" t="n"/>
      <c r="N16" s="461" t="n"/>
      <c r="O16" s="461" t="n"/>
      <c r="P16" s="461" t="n"/>
      <c r="Q16" s="461" t="n"/>
      <c r="R16" s="461" t="n"/>
      <c r="S16" s="461" t="n"/>
      <c r="T16" s="461" t="n"/>
      <c r="U16" s="461" t="n"/>
      <c r="V16" s="461" t="n"/>
      <c r="W16" s="461" t="n"/>
      <c r="X16" s="461" t="n"/>
      <c r="Y16" s="461" t="n"/>
      <c r="Z16" s="461" t="n"/>
      <c r="AA16" s="461" t="n"/>
      <c r="AB16" s="461" t="n"/>
      <c r="AC16" s="461" t="n"/>
      <c r="AD16" s="461" t="n"/>
      <c r="AE16" s="461" t="n"/>
      <c r="AF16" s="461" t="n"/>
      <c r="AG16" s="461" t="n"/>
      <c r="AH16" s="461" t="n"/>
      <c r="AI16" s="461" t="n"/>
      <c r="AJ16" s="461" t="n"/>
      <c r="AK16" s="461" t="n"/>
      <c r="AL16" s="461" t="n"/>
    </row>
    <row r="17" ht="15" customHeight="1" s="462">
      <c r="A17" s="461" t="inlineStr">
        <is>
          <t>Add: Eliminations (for inter-segment sales)</t>
        </is>
      </c>
      <c r="B17" s="576" t="n">
        <v>47.1</v>
      </c>
      <c r="C17" s="576" t="n">
        <v>208.7</v>
      </c>
      <c r="D17" s="576" t="n">
        <v>139.1</v>
      </c>
      <c r="E17" s="576" t="n">
        <v>-453.6</v>
      </c>
      <c r="F17" s="521" t="n"/>
      <c r="G17" s="521" t="n"/>
      <c r="H17" s="521" t="n"/>
      <c r="I17" s="461" t="n"/>
      <c r="J17" s="461" t="n"/>
      <c r="K17" s="461" t="n"/>
      <c r="L17" s="461" t="n"/>
      <c r="M17" s="461" t="n"/>
      <c r="N17" s="461" t="n"/>
      <c r="O17" s="461" t="n"/>
      <c r="P17" s="461" t="n"/>
      <c r="Q17" s="461" t="n"/>
      <c r="R17" s="461" t="n"/>
      <c r="S17" s="461" t="n"/>
      <c r="T17" s="461" t="n"/>
      <c r="U17" s="461" t="n"/>
      <c r="V17" s="461" t="n"/>
      <c r="W17" s="461" t="n"/>
      <c r="X17" s="461" t="n"/>
      <c r="Y17" s="461" t="n"/>
      <c r="Z17" s="461" t="n"/>
      <c r="AA17" s="461" t="n"/>
      <c r="AB17" s="461" t="n"/>
      <c r="AC17" s="461" t="n"/>
      <c r="AD17" s="461" t="n"/>
      <c r="AE17" s="461" t="n"/>
      <c r="AF17" s="461" t="n"/>
      <c r="AG17" s="461" t="n"/>
      <c r="AH17" s="461" t="n"/>
      <c r="AI17" s="461" t="n"/>
      <c r="AJ17" s="461" t="n"/>
      <c r="AK17" s="461" t="n"/>
      <c r="AL17" s="461" t="n"/>
    </row>
    <row r="18" ht="15" customHeight="1" s="462">
      <c r="A18" s="522" t="inlineStr">
        <is>
          <t>Consolidated</t>
        </is>
      </c>
      <c r="B18" s="527" t="n"/>
      <c r="C18" s="527" t="n"/>
      <c r="D18" s="524" t="n"/>
      <c r="E18" s="524" t="n"/>
      <c r="F18" s="521" t="n"/>
      <c r="G18" s="521" t="n"/>
      <c r="H18" s="521" t="n"/>
      <c r="I18" s="461" t="n"/>
      <c r="J18" s="461" t="n"/>
      <c r="K18" s="461" t="n"/>
      <c r="L18" s="461" t="n"/>
      <c r="M18" s="461" t="n"/>
      <c r="N18" s="461" t="n"/>
      <c r="O18" s="461" t="n"/>
      <c r="P18" s="461" t="n"/>
      <c r="Q18" s="461" t="n"/>
      <c r="R18" s="461" t="n"/>
      <c r="S18" s="461" t="n"/>
      <c r="T18" s="461" t="n"/>
      <c r="U18" s="461" t="n"/>
      <c r="V18" s="461" t="n"/>
      <c r="W18" s="461" t="n"/>
      <c r="X18" s="461" t="n"/>
      <c r="Y18" s="461" t="n"/>
      <c r="Z18" s="461" t="n"/>
      <c r="AA18" s="461" t="n"/>
      <c r="AB18" s="461" t="n"/>
      <c r="AC18" s="461" t="n"/>
      <c r="AD18" s="461" t="n"/>
      <c r="AE18" s="461" t="n"/>
      <c r="AF18" s="461" t="n"/>
      <c r="AG18" s="461" t="n"/>
      <c r="AH18" s="461" t="n"/>
      <c r="AI18" s="461" t="n"/>
      <c r="AJ18" s="461" t="n"/>
      <c r="AK18" s="461" t="n"/>
      <c r="AL18" s="461" t="n"/>
    </row>
    <row r="19" ht="15" customHeight="1" s="462">
      <c r="B19" s="521" t="n"/>
      <c r="C19" s="521" t="n"/>
      <c r="D19" s="521" t="n"/>
      <c r="E19" s="521" t="n"/>
      <c r="F19" s="521" t="n"/>
      <c r="G19" s="521" t="n"/>
      <c r="H19" s="521" t="n"/>
    </row>
    <row r="20" ht="15" customHeight="1" s="462">
      <c r="A20" s="491" t="inlineStr">
        <is>
          <t>Capital Expenditure</t>
        </is>
      </c>
      <c r="B20" s="655" t="n"/>
      <c r="C20" s="521" t="n"/>
      <c r="D20" s="521" t="n"/>
      <c r="E20" s="521" t="n"/>
      <c r="F20" s="521" t="n"/>
      <c r="G20" s="521" t="n"/>
      <c r="H20" s="521" t="n"/>
    </row>
    <row r="21" ht="15" customHeight="1" s="462">
      <c r="A21" s="461" t="inlineStr">
        <is>
          <t xml:space="preserve">India </t>
        </is>
      </c>
      <c r="B21" s="576" t="n">
        <v>2275.2</v>
      </c>
      <c r="C21" s="576" t="n">
        <v>1549</v>
      </c>
      <c r="D21" s="576" t="n">
        <v>1801.3</v>
      </c>
      <c r="E21" s="576" t="n">
        <v>1322.2</v>
      </c>
      <c r="F21" s="521" t="n"/>
      <c r="G21" s="521" t="n"/>
      <c r="H21" s="521" t="n"/>
    </row>
    <row r="22" ht="15" customHeight="1" s="462">
      <c r="A22" s="461" t="inlineStr">
        <is>
          <t>China</t>
        </is>
      </c>
      <c r="B22" s="576" t="n">
        <v>459.2</v>
      </c>
      <c r="C22" s="576" t="n">
        <v>262.8</v>
      </c>
      <c r="D22" s="576" t="n">
        <v>191.4</v>
      </c>
      <c r="E22" s="576" t="n">
        <v>494.2</v>
      </c>
      <c r="F22" s="521" t="n"/>
      <c r="G22" s="521" t="n"/>
      <c r="H22" s="521" t="n"/>
    </row>
    <row r="23" ht="15" customHeight="1" s="462">
      <c r="A23" s="461" t="inlineStr">
        <is>
          <t>Rest of the World</t>
        </is>
      </c>
      <c r="B23" s="576" t="n">
        <v>568.1</v>
      </c>
      <c r="C23" s="576" t="n">
        <v>257.7</v>
      </c>
      <c r="D23" s="576" t="n">
        <v>1494.8</v>
      </c>
      <c r="E23" s="576" t="n">
        <v>707.8</v>
      </c>
      <c r="F23" s="521" t="n"/>
      <c r="G23" s="521" t="n"/>
      <c r="H23" s="521" t="n"/>
    </row>
    <row r="24" ht="15" customHeight="1" s="462">
      <c r="A24" s="461" t="inlineStr">
        <is>
          <t>Less: Eliminations (for inter-segment sales)</t>
        </is>
      </c>
      <c r="B24" s="576" t="n">
        <v>0</v>
      </c>
      <c r="C24" s="576" t="n">
        <v>0</v>
      </c>
      <c r="D24" s="576" t="n">
        <v>0</v>
      </c>
      <c r="E24" s="576" t="n">
        <v>0</v>
      </c>
      <c r="F24" s="521" t="n"/>
      <c r="G24" s="521" t="n"/>
      <c r="H24" s="521" t="n"/>
    </row>
    <row r="25" ht="15" customHeight="1" s="462">
      <c r="A25" s="522" t="inlineStr">
        <is>
          <t>Consolidated</t>
        </is>
      </c>
      <c r="B25" s="524" t="n"/>
      <c r="C25" s="524" t="n"/>
      <c r="D25" s="524" t="n"/>
      <c r="E25" s="524" t="n"/>
      <c r="F25" s="521" t="n"/>
      <c r="G25" s="521" t="n"/>
      <c r="H25" s="521" t="n"/>
    </row>
    <row r="26" ht="15" customHeight="1" s="462">
      <c r="A26" s="522" t="n"/>
      <c r="B26" s="583" t="n"/>
      <c r="C26" s="521" t="n"/>
      <c r="D26" s="521" t="n"/>
      <c r="E26" s="521" t="n"/>
      <c r="F26" s="521" t="n"/>
      <c r="G26" s="521" t="n"/>
      <c r="H26" s="521" t="n"/>
    </row>
    <row r="27" ht="15" customHeight="1" s="462">
      <c r="A27" s="491" t="inlineStr">
        <is>
          <t>Depreciation / Amortization</t>
        </is>
      </c>
      <c r="B27" s="655" t="n"/>
      <c r="C27" s="521" t="n"/>
      <c r="D27" s="656" t="n"/>
      <c r="E27" s="521" t="n"/>
      <c r="F27" s="521" t="n"/>
      <c r="G27" s="521" t="n"/>
      <c r="H27" s="521" t="n"/>
    </row>
    <row r="28" ht="15" customHeight="1" s="462">
      <c r="A28" s="461" t="inlineStr">
        <is>
          <t xml:space="preserve">India </t>
        </is>
      </c>
      <c r="B28" s="576" t="n">
        <v>445.1</v>
      </c>
      <c r="C28" s="576" t="n">
        <v>511.3</v>
      </c>
      <c r="D28" s="576" t="n">
        <v>718.4</v>
      </c>
      <c r="E28" s="576" t="n">
        <v>746</v>
      </c>
      <c r="F28" s="521" t="n"/>
      <c r="G28" s="521" t="n"/>
      <c r="H28" s="521" t="n"/>
    </row>
    <row r="29" ht="15" customHeight="1" s="462">
      <c r="A29" s="461" t="inlineStr">
        <is>
          <t>China</t>
        </is>
      </c>
      <c r="B29" s="576" t="n">
        <v>177.2</v>
      </c>
      <c r="C29" s="576" t="n">
        <v>200.8</v>
      </c>
      <c r="D29" s="576" t="n">
        <v>258.9</v>
      </c>
      <c r="E29" s="576" t="n">
        <v>225.4</v>
      </c>
      <c r="F29" s="521" t="n"/>
      <c r="G29" s="521" t="n"/>
      <c r="H29" s="521" t="n"/>
    </row>
    <row r="30" ht="15" customHeight="1" s="462">
      <c r="A30" s="461" t="inlineStr">
        <is>
          <t>Rest of the World</t>
        </is>
      </c>
      <c r="B30" s="576" t="n">
        <v>24.4</v>
      </c>
      <c r="C30" s="576" t="n">
        <v>9.199999999999999</v>
      </c>
      <c r="D30" s="576" t="n">
        <v>19.9</v>
      </c>
      <c r="E30" s="576" t="n">
        <v>77.59999999999999</v>
      </c>
      <c r="F30" s="521" t="n"/>
      <c r="G30" s="521" t="n"/>
      <c r="H30" s="521" t="n"/>
    </row>
    <row r="31" ht="15" customHeight="1" s="462">
      <c r="A31" s="461" t="inlineStr">
        <is>
          <t>Less: Eliminations (for inter-segment sales)</t>
        </is>
      </c>
      <c r="B31" s="576" t="n">
        <v>0</v>
      </c>
      <c r="C31" s="576" t="n">
        <v>0</v>
      </c>
      <c r="D31" s="576" t="n">
        <v>0</v>
      </c>
      <c r="E31" s="576" t="n">
        <v>-45.2</v>
      </c>
      <c r="F31" s="521" t="n"/>
      <c r="G31" s="521" t="n"/>
      <c r="H31" s="521" t="n"/>
    </row>
    <row r="32" ht="15" customHeight="1" s="462">
      <c r="A32" s="522" t="inlineStr">
        <is>
          <t>Consolidated</t>
        </is>
      </c>
      <c r="B32" s="524" t="n"/>
      <c r="C32" s="524" t="n"/>
      <c r="D32" s="524" t="n"/>
      <c r="E32" s="524" t="n"/>
      <c r="F32" s="521" t="n"/>
      <c r="G32" s="521" t="n"/>
      <c r="H32" s="521" t="n"/>
    </row>
    <row r="33" ht="15.75" customHeight="1" s="462">
      <c r="A33" s="489" t="n"/>
      <c r="B33" s="531" t="n"/>
      <c r="C33" s="489" t="n"/>
      <c r="D33" s="489" t="n"/>
      <c r="E33" s="489" t="n"/>
      <c r="F33" s="489" t="n"/>
      <c r="G33" s="489" t="n"/>
      <c r="H33" s="489" t="n"/>
      <c r="I33" s="489" t="n"/>
      <c r="J33" s="489" t="n"/>
      <c r="K33" s="489" t="n"/>
      <c r="L33" s="489" t="n"/>
    </row>
    <row r="34" ht="15" customHeight="1" s="462">
      <c r="B34" s="521" t="n"/>
      <c r="C34" s="521" t="n"/>
      <c r="D34" s="521" t="n"/>
      <c r="E34" s="521" t="n"/>
      <c r="F34" s="521" t="n"/>
      <c r="G34" s="521" t="n"/>
      <c r="H34" s="521" t="n"/>
    </row>
    <row r="35" ht="15" customHeight="1" s="462">
      <c r="A35" s="491" t="inlineStr">
        <is>
          <t>Geographic Revenues as a % of Total</t>
        </is>
      </c>
      <c r="B35" s="655" t="n"/>
      <c r="C35" s="521" t="n"/>
      <c r="D35" s="521" t="n"/>
      <c r="E35" s="521" t="n"/>
      <c r="F35" s="521" t="n"/>
      <c r="G35" s="521" t="n"/>
      <c r="H35" s="521" t="n"/>
    </row>
    <row r="36" ht="15" customHeight="1" s="462">
      <c r="A36" s="461" t="inlineStr">
        <is>
          <t xml:space="preserve">India </t>
        </is>
      </c>
      <c r="B36" s="529" t="n"/>
      <c r="C36" s="529" t="n"/>
      <c r="D36" s="529" t="n"/>
      <c r="E36" s="529" t="n"/>
      <c r="F36" s="657" t="n"/>
      <c r="G36" s="657" t="n">
        <v>0.8</v>
      </c>
      <c r="H36" s="657" t="n">
        <v>0.8100000000000001</v>
      </c>
      <c r="I36" s="657" t="n">
        <v>0.79</v>
      </c>
      <c r="J36" s="657" t="n">
        <v>0.78</v>
      </c>
      <c r="K36" s="657" t="n">
        <v>0.8</v>
      </c>
    </row>
    <row r="37" ht="15" customHeight="1" s="462">
      <c r="A37" s="461" t="inlineStr">
        <is>
          <t>China</t>
        </is>
      </c>
      <c r="B37" s="529" t="n"/>
      <c r="C37" s="529" t="n"/>
      <c r="D37" s="529" t="n"/>
      <c r="E37" s="529" t="n"/>
      <c r="F37" s="657" t="n"/>
      <c r="G37" s="657" t="n"/>
      <c r="H37" s="657" t="n"/>
      <c r="I37" s="657" t="n"/>
      <c r="J37" s="657" t="n"/>
      <c r="K37" s="657" t="n"/>
    </row>
    <row r="38" ht="15" customHeight="1" s="462">
      <c r="A38" s="461" t="inlineStr">
        <is>
          <t>Rest of the World</t>
        </is>
      </c>
      <c r="B38" s="529" t="n"/>
      <c r="C38" s="529" t="n"/>
      <c r="D38" s="529" t="n"/>
      <c r="E38" s="529" t="n"/>
      <c r="F38" s="657" t="n"/>
      <c r="G38" s="657" t="n">
        <v>0.19</v>
      </c>
      <c r="H38" s="657" t="n">
        <v>0.18</v>
      </c>
      <c r="I38" s="657" t="n">
        <v>0.2</v>
      </c>
      <c r="J38" s="657" t="n">
        <v>0.21</v>
      </c>
      <c r="K38" s="657" t="n">
        <v>0.19</v>
      </c>
    </row>
    <row r="39" ht="15" customHeight="1" s="462">
      <c r="A39" s="522" t="inlineStr">
        <is>
          <t>Consolidated</t>
        </is>
      </c>
      <c r="B39" s="529" t="n"/>
      <c r="C39" s="529" t="n"/>
      <c r="D39" s="529" t="n"/>
      <c r="E39" s="529" t="n"/>
      <c r="F39" s="529" t="n"/>
      <c r="G39" s="529" t="n"/>
      <c r="H39" s="529" t="n"/>
      <c r="I39" s="529" t="n"/>
      <c r="J39" s="529" t="n"/>
      <c r="K39" s="529" t="n"/>
    </row>
    <row r="40" ht="15" customHeight="1" s="462">
      <c r="B40" s="521" t="n"/>
      <c r="C40" s="521" t="n"/>
      <c r="D40" s="521" t="n"/>
      <c r="E40" s="521" t="n"/>
      <c r="F40" s="521" t="n"/>
      <c r="G40" s="521" t="n"/>
      <c r="H40" s="521" t="n"/>
    </row>
    <row r="41" ht="15" customHeight="1" s="462">
      <c r="B41" s="521" t="n"/>
      <c r="C41" s="521" t="n"/>
      <c r="D41" s="521" t="n"/>
      <c r="E41" s="521" t="n"/>
      <c r="F41" s="521" t="n"/>
      <c r="G41" s="521" t="n"/>
      <c r="H41" s="521" t="n"/>
    </row>
    <row r="42" ht="15" customHeight="1" s="462">
      <c r="A42" s="491" t="inlineStr">
        <is>
          <t>Y/Y (%) Growth in Geographic Revenues</t>
        </is>
      </c>
      <c r="B42" s="655" t="n"/>
      <c r="C42" s="521" t="n"/>
      <c r="D42" s="521" t="n"/>
      <c r="E42" s="521" t="n"/>
      <c r="F42" s="521" t="n"/>
      <c r="G42" s="521" t="n"/>
      <c r="H42" s="521" t="n"/>
    </row>
    <row r="43" ht="15" customHeight="1" s="462">
      <c r="A43" s="461" t="inlineStr">
        <is>
          <t xml:space="preserve">India </t>
        </is>
      </c>
      <c r="B43" s="521" t="n"/>
      <c r="C43" s="529" t="n"/>
      <c r="D43" s="529" t="n"/>
      <c r="E43" s="529" t="n"/>
      <c r="F43" s="529" t="n"/>
      <c r="G43" s="529" t="n"/>
      <c r="H43" s="529" t="n"/>
      <c r="I43" s="529" t="n"/>
      <c r="J43" s="529" t="n"/>
      <c r="K43" s="529" t="n"/>
    </row>
    <row r="44" ht="15" customHeight="1" s="462">
      <c r="A44" s="461" t="inlineStr">
        <is>
          <t>China</t>
        </is>
      </c>
      <c r="B44" s="521" t="n"/>
      <c r="C44" s="529" t="n"/>
      <c r="D44" s="529" t="n"/>
      <c r="E44" s="529" t="n"/>
      <c r="F44" s="529" t="n"/>
      <c r="G44" s="529" t="n"/>
      <c r="H44" s="529" t="n"/>
      <c r="I44" s="529" t="n"/>
      <c r="J44" s="529" t="n"/>
      <c r="K44" s="529" t="n"/>
    </row>
    <row r="45" ht="15" customHeight="1" s="462">
      <c r="A45" s="461" t="inlineStr">
        <is>
          <t>Rest of the World</t>
        </is>
      </c>
      <c r="B45" s="521" t="n"/>
      <c r="C45" s="529" t="n"/>
      <c r="D45" s="529" t="n"/>
      <c r="E45" s="529" t="n"/>
      <c r="F45" s="529" t="n"/>
      <c r="G45" s="529" t="n"/>
      <c r="H45" s="529" t="n"/>
      <c r="I45" s="529" t="n"/>
      <c r="J45" s="529" t="n"/>
      <c r="K45" s="529" t="n"/>
    </row>
    <row r="46" ht="15" customHeight="1" s="462">
      <c r="A46" s="522" t="inlineStr">
        <is>
          <t>Consolidated</t>
        </is>
      </c>
      <c r="B46" s="583" t="n"/>
      <c r="C46" s="529" t="n"/>
      <c r="D46" s="529" t="n"/>
      <c r="E46" s="529" t="n"/>
      <c r="F46" s="529" t="n"/>
      <c r="G46" s="657" t="n">
        <v>0.26</v>
      </c>
      <c r="H46" s="657" t="n">
        <v>0.24</v>
      </c>
      <c r="I46" s="657" t="n">
        <v>0.24</v>
      </c>
      <c r="J46" s="657" t="n">
        <v>0.22</v>
      </c>
      <c r="K46" s="657" t="n">
        <v>0.2</v>
      </c>
    </row>
    <row r="47" ht="15.75" customHeight="1" s="462">
      <c r="A47" s="489" t="n"/>
      <c r="B47" s="531" t="n"/>
      <c r="C47" s="489" t="n"/>
      <c r="D47" s="489" t="n"/>
      <c r="E47" s="489" t="n"/>
      <c r="F47" s="489" t="n"/>
      <c r="G47" s="489" t="n"/>
      <c r="H47" s="489" t="n"/>
      <c r="I47" s="489" t="n"/>
      <c r="J47" s="489" t="n"/>
      <c r="K47" s="489" t="n"/>
      <c r="L47" s="489" t="n"/>
    </row>
    <row r="48" ht="15" customHeight="1" s="462">
      <c r="B48" s="521" t="n"/>
      <c r="C48" s="521" t="n"/>
      <c r="D48" s="521" t="n"/>
      <c r="E48" s="521" t="n"/>
      <c r="F48" s="521" t="n"/>
      <c r="G48" s="658" t="n"/>
      <c r="H48" s="658" t="n"/>
      <c r="I48" s="658" t="n"/>
      <c r="J48" s="658" t="n"/>
      <c r="K48" s="658" t="n"/>
    </row>
    <row r="49" ht="15" customHeight="1" s="462">
      <c r="B49" s="521" t="n"/>
      <c r="C49" s="521" t="n"/>
      <c r="D49" s="521" t="n"/>
      <c r="E49" s="521" t="n"/>
      <c r="F49" s="521" t="n"/>
      <c r="G49" s="658" t="n"/>
      <c r="H49" s="658" t="n"/>
      <c r="I49" s="658" t="n"/>
      <c r="J49" s="658" t="n"/>
      <c r="K49" s="658" t="n"/>
    </row>
    <row r="50" ht="15" customHeight="1" s="462">
      <c r="B50" s="521" t="n"/>
      <c r="C50" s="521" t="n"/>
      <c r="D50" s="521" t="n"/>
      <c r="E50" s="521" t="n"/>
      <c r="F50" s="521" t="n"/>
      <c r="G50" s="521" t="n"/>
      <c r="H50" s="521" t="n"/>
    </row>
    <row r="51" ht="15" customHeight="1" s="462">
      <c r="B51" s="521" t="n"/>
      <c r="C51" s="521" t="n"/>
      <c r="D51" s="521" t="n"/>
      <c r="E51" s="521" t="n"/>
      <c r="F51" s="521" t="n"/>
      <c r="G51" s="521" t="n"/>
      <c r="H51" s="521" t="n"/>
    </row>
    <row r="52" ht="15" customHeight="1" s="462">
      <c r="B52" s="521" t="n"/>
      <c r="C52" s="521" t="n"/>
      <c r="D52" s="521" t="n"/>
      <c r="E52" s="521" t="n"/>
      <c r="F52" s="521" t="n"/>
      <c r="G52" s="521" t="n"/>
      <c r="H52" s="521" t="n"/>
    </row>
    <row r="53" ht="15" customHeight="1" s="462">
      <c r="B53" s="521" t="n"/>
      <c r="C53" s="521" t="n"/>
      <c r="D53" s="521" t="n"/>
      <c r="E53" s="521" t="n"/>
      <c r="F53" s="521" t="n"/>
      <c r="G53" s="521" t="n"/>
      <c r="H53" s="521" t="n"/>
    </row>
    <row r="54" ht="15" customHeight="1" s="462">
      <c r="B54" s="521" t="n"/>
      <c r="C54" s="521" t="n"/>
      <c r="D54" s="521" t="n"/>
      <c r="E54" s="521" t="n"/>
      <c r="F54" s="521" t="n"/>
      <c r="G54" s="521" t="n"/>
      <c r="H54" s="521" t="n"/>
    </row>
    <row r="55" ht="15" customHeight="1" s="462">
      <c r="B55" s="521" t="n"/>
      <c r="C55" s="521" t="n"/>
      <c r="D55" s="521" t="n"/>
      <c r="E55" s="521" t="n"/>
      <c r="F55" s="521" t="n"/>
      <c r="G55" s="521" t="n"/>
      <c r="H55" s="521" t="n"/>
    </row>
    <row r="56" ht="15" customHeight="1" s="462">
      <c r="B56" s="521" t="n"/>
      <c r="C56" s="521" t="n"/>
      <c r="D56" s="521" t="n"/>
      <c r="E56" s="521" t="n"/>
      <c r="F56" s="521" t="n"/>
      <c r="G56" s="521" t="n"/>
      <c r="H56" s="521" t="n"/>
    </row>
    <row r="57" ht="15" customHeight="1" s="462">
      <c r="B57" s="521" t="n"/>
      <c r="C57" s="521" t="n"/>
      <c r="D57" s="521" t="n"/>
      <c r="E57" s="521" t="n"/>
      <c r="F57" s="521" t="n"/>
      <c r="G57" s="521" t="n"/>
      <c r="H57" s="521" t="n"/>
    </row>
    <row r="58" ht="15" customHeight="1" s="462">
      <c r="B58" s="521" t="n"/>
      <c r="C58" s="521" t="n"/>
      <c r="D58" s="521" t="n"/>
      <c r="E58" s="521" t="n"/>
      <c r="F58" s="521" t="n"/>
      <c r="G58" s="521" t="n"/>
      <c r="H58" s="521" t="n"/>
    </row>
    <row r="59" ht="15" customHeight="1" s="462">
      <c r="B59" s="521" t="n"/>
      <c r="C59" s="521" t="n"/>
      <c r="D59" s="521" t="n"/>
      <c r="E59" s="521" t="n"/>
      <c r="F59" s="521" t="n"/>
      <c r="G59" s="521" t="n"/>
      <c r="H59" s="521" t="n"/>
    </row>
    <row r="60" ht="15" customHeight="1" s="462">
      <c r="B60" s="521" t="n"/>
      <c r="C60" s="521" t="n"/>
      <c r="D60" s="521" t="n"/>
      <c r="E60" s="521" t="n"/>
      <c r="F60" s="521" t="n"/>
      <c r="G60" s="521" t="n"/>
      <c r="H60" s="521" t="n"/>
    </row>
    <row r="61" ht="15" customHeight="1" s="462">
      <c r="B61" s="521" t="n"/>
      <c r="C61" s="521" t="n"/>
      <c r="D61" s="521" t="n"/>
      <c r="E61" s="521" t="n"/>
      <c r="F61" s="521" t="n"/>
      <c r="G61" s="521" t="n"/>
      <c r="H61" s="521" t="n"/>
    </row>
    <row r="62" ht="15" customHeight="1" s="462">
      <c r="B62" s="521" t="n"/>
      <c r="C62" s="521" t="n"/>
      <c r="D62" s="521" t="n"/>
      <c r="E62" s="521" t="n"/>
      <c r="F62" s="521" t="n"/>
      <c r="G62" s="521" t="n"/>
      <c r="H62" s="521" t="n"/>
    </row>
    <row r="63" ht="15" customHeight="1" s="462">
      <c r="B63" s="521" t="n"/>
      <c r="C63" s="521" t="n"/>
      <c r="D63" s="521" t="n"/>
      <c r="E63" s="521" t="n"/>
      <c r="F63" s="521" t="n"/>
      <c r="G63" s="521" t="n"/>
      <c r="H63" s="521" t="n"/>
    </row>
    <row r="64" ht="15" customHeight="1" s="462">
      <c r="B64" s="521" t="n"/>
      <c r="C64" s="521" t="n"/>
      <c r="D64" s="521" t="n"/>
      <c r="E64" s="521" t="n"/>
      <c r="F64" s="521" t="n"/>
      <c r="G64" s="521" t="n"/>
      <c r="H64" s="521" t="n"/>
    </row>
    <row r="65" ht="15" customHeight="1" s="462">
      <c r="B65" s="521" t="n"/>
      <c r="C65" s="521" t="n"/>
      <c r="D65" s="521" t="n"/>
      <c r="E65" s="521" t="n"/>
      <c r="F65" s="521" t="n"/>
      <c r="G65" s="521" t="n"/>
      <c r="H65" s="521" t="n"/>
    </row>
    <row r="66" ht="15" customHeight="1" s="462">
      <c r="B66" s="521" t="n"/>
      <c r="C66" s="521" t="n"/>
      <c r="D66" s="521" t="n"/>
      <c r="E66" s="521" t="n"/>
      <c r="F66" s="521" t="n"/>
      <c r="G66" s="521" t="n"/>
      <c r="H66" s="521" t="n"/>
    </row>
    <row r="67" ht="15" customHeight="1" s="462">
      <c r="B67" s="521" t="n"/>
      <c r="C67" s="521" t="n"/>
      <c r="D67" s="521" t="n"/>
      <c r="E67" s="521" t="n"/>
      <c r="F67" s="521" t="n"/>
      <c r="G67" s="521" t="n"/>
      <c r="H67" s="521" t="n"/>
    </row>
    <row r="68" ht="15" customHeight="1" s="462">
      <c r="B68" s="521" t="n"/>
      <c r="C68" s="521" t="n"/>
      <c r="D68" s="521" t="n"/>
      <c r="E68" s="521" t="n"/>
      <c r="F68" s="521" t="n"/>
      <c r="G68" s="521" t="n"/>
      <c r="H68" s="521" t="n"/>
    </row>
    <row r="69" ht="15" customHeight="1" s="462">
      <c r="B69" s="521" t="n"/>
      <c r="C69" s="521" t="n"/>
      <c r="D69" s="521" t="n"/>
      <c r="E69" s="521" t="n"/>
      <c r="F69" s="521" t="n"/>
      <c r="G69" s="521" t="n"/>
      <c r="H69" s="521" t="n"/>
    </row>
    <row r="70" ht="15" customHeight="1" s="462">
      <c r="B70" s="521" t="n"/>
      <c r="C70" s="521" t="n"/>
      <c r="D70" s="521" t="n"/>
      <c r="E70" s="521" t="n"/>
      <c r="F70" s="521" t="n"/>
      <c r="G70" s="521" t="n"/>
      <c r="H70" s="521" t="n"/>
    </row>
    <row r="71" ht="15" customHeight="1" s="462">
      <c r="B71" s="521" t="n"/>
      <c r="C71" s="521" t="n"/>
      <c r="D71" s="521" t="n"/>
      <c r="E71" s="521" t="n"/>
      <c r="F71" s="521" t="n"/>
      <c r="G71" s="521" t="n"/>
      <c r="H71" s="521" t="n"/>
    </row>
    <row r="72" ht="15" customHeight="1" s="462">
      <c r="B72" s="521" t="n"/>
      <c r="C72" s="521" t="n"/>
      <c r="D72" s="521" t="n"/>
      <c r="E72" s="521" t="n"/>
      <c r="F72" s="521" t="n"/>
      <c r="G72" s="521" t="n"/>
      <c r="H72" s="521" t="n"/>
    </row>
    <row r="73" ht="15" customHeight="1" s="462">
      <c r="B73" s="521" t="n"/>
      <c r="C73" s="521" t="n"/>
      <c r="D73" s="521" t="n"/>
      <c r="E73" s="521" t="n"/>
      <c r="F73" s="521" t="n"/>
      <c r="G73" s="521" t="n"/>
      <c r="H73" s="521" t="n"/>
    </row>
    <row r="74" ht="15" customHeight="1" s="462">
      <c r="B74" s="521" t="n"/>
      <c r="C74" s="521" t="n"/>
      <c r="D74" s="521" t="n"/>
      <c r="E74" s="521" t="n"/>
      <c r="F74" s="521" t="n"/>
      <c r="G74" s="521" t="n"/>
      <c r="H74" s="521" t="n"/>
    </row>
    <row r="75" ht="15" customHeight="1" s="462">
      <c r="B75" s="521" t="n"/>
      <c r="C75" s="521" t="n"/>
      <c r="D75" s="521" t="n"/>
      <c r="E75" s="521" t="n"/>
      <c r="F75" s="521" t="n"/>
      <c r="G75" s="521" t="n"/>
      <c r="H75" s="521" t="n"/>
    </row>
    <row r="76" ht="15" customHeight="1" s="462">
      <c r="B76" s="521" t="n"/>
      <c r="C76" s="521" t="n"/>
      <c r="D76" s="521" t="n"/>
      <c r="E76" s="521" t="n"/>
      <c r="F76" s="521" t="n"/>
      <c r="G76" s="521" t="n"/>
      <c r="H76" s="521" t="n"/>
    </row>
    <row r="77" ht="15" customHeight="1" s="462">
      <c r="B77" s="521" t="n"/>
      <c r="C77" s="521" t="n"/>
      <c r="D77" s="521" t="n"/>
      <c r="E77" s="521" t="n"/>
      <c r="F77" s="521" t="n"/>
      <c r="G77" s="521" t="n"/>
      <c r="H77" s="521" t="n"/>
    </row>
    <row r="78" ht="15" customHeight="1" s="462">
      <c r="B78" s="521" t="n"/>
      <c r="C78" s="521" t="n"/>
      <c r="D78" s="521" t="n"/>
      <c r="E78" s="521" t="n"/>
      <c r="F78" s="521" t="n"/>
      <c r="G78" s="521" t="n"/>
      <c r="H78" s="521" t="n"/>
    </row>
    <row r="79" ht="15" customHeight="1" s="462">
      <c r="B79" s="521" t="n"/>
      <c r="C79" s="521" t="n"/>
      <c r="D79" s="521" t="n"/>
      <c r="E79" s="521" t="n"/>
      <c r="F79" s="521" t="n"/>
      <c r="G79" s="521" t="n"/>
      <c r="H79" s="521" t="n"/>
    </row>
    <row r="80" ht="15" customHeight="1" s="462">
      <c r="B80" s="521" t="n"/>
      <c r="C80" s="521" t="n"/>
      <c r="D80" s="521" t="n"/>
      <c r="E80" s="521" t="n"/>
      <c r="F80" s="521" t="n"/>
      <c r="G80" s="521" t="n"/>
      <c r="H80" s="521" t="n"/>
    </row>
    <row r="81" ht="15" customHeight="1" s="462">
      <c r="B81" s="521" t="n"/>
      <c r="C81" s="521" t="n"/>
      <c r="D81" s="521" t="n"/>
      <c r="E81" s="521" t="n"/>
      <c r="F81" s="521" t="n"/>
      <c r="G81" s="521" t="n"/>
      <c r="H81" s="521" t="n"/>
    </row>
    <row r="82" ht="15" customHeight="1" s="462">
      <c r="B82" s="521" t="n"/>
      <c r="C82" s="521" t="n"/>
      <c r="D82" s="521" t="n"/>
      <c r="E82" s="521" t="n"/>
      <c r="F82" s="521" t="n"/>
      <c r="G82" s="521" t="n"/>
      <c r="H82" s="521" t="n"/>
    </row>
    <row r="83" ht="15" customHeight="1" s="462">
      <c r="B83" s="521" t="n"/>
      <c r="C83" s="521" t="n"/>
      <c r="D83" s="521" t="n"/>
      <c r="E83" s="521" t="n"/>
      <c r="F83" s="521" t="n"/>
      <c r="G83" s="521" t="n"/>
      <c r="H83" s="521" t="n"/>
    </row>
    <row r="84" ht="15" customHeight="1" s="462">
      <c r="B84" s="521" t="n"/>
      <c r="C84" s="521" t="n"/>
      <c r="D84" s="521" t="n"/>
      <c r="E84" s="521" t="n"/>
      <c r="F84" s="521" t="n"/>
      <c r="G84" s="521" t="n"/>
      <c r="H84" s="521" t="n"/>
    </row>
    <row r="85" ht="15" customHeight="1" s="462">
      <c r="B85" s="521" t="n"/>
      <c r="C85" s="521" t="n"/>
      <c r="D85" s="521" t="n"/>
      <c r="E85" s="521" t="n"/>
      <c r="F85" s="521" t="n"/>
      <c r="G85" s="521" t="n"/>
      <c r="H85" s="521" t="n"/>
    </row>
    <row r="86" ht="15" customHeight="1" s="462">
      <c r="B86" s="521" t="n"/>
      <c r="C86" s="521" t="n"/>
      <c r="D86" s="521" t="n"/>
      <c r="E86" s="521" t="n"/>
      <c r="F86" s="521" t="n"/>
      <c r="G86" s="521" t="n"/>
      <c r="H86" s="521" t="n"/>
    </row>
    <row r="87" ht="15" customHeight="1" s="462">
      <c r="B87" s="521" t="n"/>
      <c r="C87" s="521" t="n"/>
      <c r="D87" s="521" t="n"/>
      <c r="E87" s="521" t="n"/>
      <c r="F87" s="521" t="n"/>
      <c r="G87" s="521" t="n"/>
      <c r="H87" s="521" t="n"/>
    </row>
    <row r="88" ht="15" customHeight="1" s="462">
      <c r="B88" s="521" t="n"/>
      <c r="C88" s="521" t="n"/>
      <c r="D88" s="521" t="n"/>
      <c r="E88" s="521" t="n"/>
      <c r="F88" s="521" t="n"/>
      <c r="G88" s="521" t="n"/>
      <c r="H88" s="521" t="n"/>
    </row>
    <row r="89" ht="15" customHeight="1" s="462">
      <c r="B89" s="521" t="n"/>
      <c r="C89" s="521" t="n"/>
      <c r="D89" s="521" t="n"/>
      <c r="E89" s="521" t="n"/>
      <c r="F89" s="521" t="n"/>
      <c r="G89" s="521" t="n"/>
      <c r="H89" s="521" t="n"/>
    </row>
    <row r="90" ht="15" customHeight="1" s="462">
      <c r="C90" s="521" t="n"/>
      <c r="D90" s="521" t="n"/>
      <c r="E90" s="521" t="n"/>
      <c r="F90" s="521" t="n"/>
      <c r="G90" s="521" t="n"/>
      <c r="H90" s="521" t="n"/>
    </row>
    <row r="91" ht="15" customHeight="1" s="462">
      <c r="C91" s="521" t="n"/>
      <c r="D91" s="521" t="n"/>
      <c r="E91" s="521" t="n"/>
      <c r="F91" s="521" t="n"/>
      <c r="G91" s="521" t="n"/>
      <c r="H91" s="521" t="n"/>
    </row>
    <row r="92" ht="15" customHeight="1" s="462">
      <c r="C92" s="521" t="n"/>
      <c r="D92" s="521" t="n"/>
      <c r="E92" s="521" t="n"/>
      <c r="F92" s="521" t="n"/>
      <c r="G92" s="521" t="n"/>
      <c r="H92" s="521" t="n"/>
    </row>
    <row r="93" ht="15" customHeight="1" s="462">
      <c r="C93" s="521" t="n"/>
      <c r="D93" s="521" t="n"/>
      <c r="E93" s="521" t="n"/>
      <c r="F93" s="521" t="n"/>
      <c r="G93" s="521" t="n"/>
      <c r="H93" s="521" t="n"/>
    </row>
    <row r="94" ht="15" customHeight="1" s="462">
      <c r="C94" s="521" t="n"/>
      <c r="D94" s="521" t="n"/>
      <c r="E94" s="521" t="n"/>
      <c r="F94" s="521" t="n"/>
      <c r="G94" s="521" t="n"/>
      <c r="H94" s="521" t="n"/>
    </row>
    <row r="95" ht="15" customHeight="1" s="462">
      <c r="C95" s="521" t="n"/>
      <c r="D95" s="521" t="n"/>
      <c r="E95" s="521" t="n"/>
      <c r="F95" s="521" t="n"/>
      <c r="G95" s="521" t="n"/>
      <c r="H95" s="521" t="n"/>
    </row>
    <row r="96" ht="15" customHeight="1" s="462">
      <c r="C96" s="521" t="n"/>
      <c r="D96" s="521" t="n"/>
      <c r="E96" s="521" t="n"/>
      <c r="F96" s="521" t="n"/>
      <c r="G96" s="521" t="n"/>
      <c r="H96" s="521" t="n"/>
    </row>
    <row r="97" ht="15" customHeight="1" s="462">
      <c r="C97" s="521" t="n"/>
      <c r="D97" s="521" t="n"/>
      <c r="E97" s="521" t="n"/>
      <c r="F97" s="521" t="n"/>
      <c r="G97" s="521" t="n"/>
      <c r="H97" s="521" t="n"/>
    </row>
    <row r="98" ht="15" customHeight="1" s="462">
      <c r="C98" s="521" t="n"/>
      <c r="D98" s="521" t="n"/>
      <c r="E98" s="521" t="n"/>
      <c r="F98" s="521" t="n"/>
      <c r="G98" s="521" t="n"/>
      <c r="H98" s="521" t="n"/>
    </row>
    <row r="99" ht="15" customHeight="1" s="462">
      <c r="C99" s="521" t="n"/>
      <c r="D99" s="521" t="n"/>
      <c r="E99" s="521" t="n"/>
      <c r="F99" s="521" t="n"/>
      <c r="G99" s="521" t="n"/>
      <c r="H99" s="521" t="n"/>
    </row>
    <row r="100" ht="15" customHeight="1" s="462">
      <c r="C100" s="521" t="n"/>
      <c r="D100" s="521" t="n"/>
      <c r="E100" s="521" t="n"/>
      <c r="F100" s="521" t="n"/>
      <c r="G100" s="521" t="n"/>
      <c r="H100" s="521" t="n"/>
    </row>
    <row r="101" ht="15" customHeight="1" s="462">
      <c r="C101" s="521" t="n"/>
      <c r="D101" s="521" t="n"/>
      <c r="E101" s="521" t="n"/>
      <c r="F101" s="521" t="n"/>
      <c r="G101" s="521" t="n"/>
      <c r="H101" s="521" t="n"/>
    </row>
    <row r="102" ht="15" customHeight="1" s="462">
      <c r="C102" s="521" t="n"/>
      <c r="D102" s="521" t="n"/>
      <c r="E102" s="521" t="n"/>
      <c r="F102" s="521" t="n"/>
      <c r="G102" s="521" t="n"/>
      <c r="H102" s="521" t="n"/>
    </row>
    <row r="103" ht="15" customHeight="1" s="462">
      <c r="C103" s="521" t="n"/>
      <c r="D103" s="521" t="n"/>
      <c r="E103" s="521" t="n"/>
      <c r="F103" s="521" t="n"/>
      <c r="G103" s="521" t="n"/>
      <c r="H103" s="521" t="n"/>
    </row>
    <row r="104" ht="15" customHeight="1" s="462">
      <c r="C104" s="521" t="n"/>
      <c r="D104" s="521" t="n"/>
      <c r="E104" s="521" t="n"/>
      <c r="F104" s="521" t="n"/>
      <c r="G104" s="521" t="n"/>
      <c r="H104" s="521" t="n"/>
    </row>
    <row r="105" ht="15" customHeight="1" s="462">
      <c r="C105" s="521" t="n"/>
      <c r="D105" s="521" t="n"/>
      <c r="E105" s="521" t="n"/>
      <c r="F105" s="521" t="n"/>
      <c r="G105" s="521" t="n"/>
      <c r="H105" s="521" t="n"/>
    </row>
    <row r="106" ht="15" customHeight="1" s="462">
      <c r="C106" s="521" t="n"/>
      <c r="D106" s="521" t="n"/>
      <c r="E106" s="521" t="n"/>
      <c r="F106" s="521" t="n"/>
      <c r="G106" s="521" t="n"/>
      <c r="H106"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AK9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G76" activePane="bottomRight" state="frozen"/>
      <selection pane="topLeft" activeCell="A1" activeCellId="0" sqref="A1"/>
      <selection pane="topRight" activeCell="G1" activeCellId="0" sqref="G1"/>
      <selection pane="bottomLeft" activeCell="A76" activeCellId="0" sqref="A76"/>
      <selection pane="bottomRight" activeCell="AA84" activeCellId="0" sqref="AA84"/>
    </sheetView>
  </sheetViews>
  <sheetFormatPr baseColWidth="8" defaultColWidth="8.96875" defaultRowHeight="15" zeroHeight="0" outlineLevelRow="0"/>
  <cols>
    <col width="35.99" customWidth="1" style="461" min="1" max="1"/>
    <col width="10.56" customWidth="1" style="461" min="2" max="2"/>
    <col hidden="1" outlineLevel="1" width="9.56" customWidth="1" style="461" min="3" max="5"/>
    <col hidden="1" outlineLevel="1" width="12.42" customWidth="1" style="461" min="6" max="6"/>
    <col width="12.42" customWidth="1" style="461" min="7" max="7"/>
    <col hidden="1" outlineLevel="1" width="9.56" customWidth="1" style="461" min="8" max="8"/>
    <col hidden="1" outlineLevel="1" width="11.71" customWidth="1" style="461" min="9" max="9"/>
    <col hidden="1" outlineLevel="1" width="9.56" customWidth="1" style="461" min="10" max="11"/>
    <col width="10.56" customWidth="1" style="461" min="12" max="12"/>
    <col hidden="1" outlineLevel="1" width="9.56" customWidth="1" style="461" min="13" max="13"/>
    <col hidden="1" outlineLevel="1" width="10.56" customWidth="1" style="461" min="14" max="16"/>
    <col width="10.56" customWidth="1" style="461" min="17" max="17"/>
    <col hidden="1" outlineLevel="1" width="11.99" customWidth="1" style="461" min="18" max="18"/>
    <col hidden="1" outlineLevel="1" width="10.56" customWidth="1" style="461" min="19" max="21"/>
    <col width="10.56" customWidth="1" style="461" min="22" max="22"/>
    <col hidden="1" outlineLevel="1" width="10.56" customWidth="1" style="461" min="23" max="26"/>
    <col width="10.56" customWidth="1" style="461" min="27" max="27"/>
    <col hidden="1" outlineLevel="2" width="10.56" customWidth="1" style="461" min="28" max="31"/>
    <col collapsed="1" width="10.56" customWidth="1" style="461" min="32" max="32"/>
    <col hidden="1" outlineLevel="1" width="10.56" customWidth="1" style="461" min="33" max="36"/>
    <col width="10.56" customWidth="1" style="461" min="37" max="37"/>
  </cols>
  <sheetData>
    <row r="1" ht="18.75" customHeight="1" s="462">
      <c r="A1" s="487" t="inlineStr">
        <is>
          <t>Aurobindo Pharma</t>
        </is>
      </c>
      <c r="C1" s="461" t="n"/>
      <c r="D1" s="461" t="n"/>
      <c r="E1" s="461" t="n"/>
      <c r="F1" s="461" t="n"/>
    </row>
    <row r="2" ht="15.75" customHeight="1" s="462">
      <c r="A2" s="488" t="inlineStr">
        <is>
          <t>Segment Revenue Model</t>
        </is>
      </c>
      <c r="B2" s="468" t="n"/>
      <c r="C2" s="569" t="n"/>
      <c r="D2" s="468" t="n"/>
      <c r="E2" s="615" t="n"/>
      <c r="F2" s="468" t="n"/>
      <c r="G2" s="616" t="n"/>
    </row>
    <row r="3" ht="15.75" customHeight="1" s="462">
      <c r="A3" s="489" t="inlineStr">
        <is>
          <t>(In Rs Millions)</t>
        </is>
      </c>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row>
    <row r="4" ht="45" customFormat="1" customHeight="1" s="522">
      <c r="A4" s="532" t="inlineStr">
        <is>
          <t>For the Fiscal Period Ending</t>
        </is>
      </c>
      <c r="B4" s="533" t="inlineStr">
        <is>
          <t>FY2007 A</t>
        </is>
      </c>
      <c r="C4" s="534" t="inlineStr">
        <is>
          <t>3 months 
Jun-30-2007</t>
        </is>
      </c>
      <c r="D4" s="534" t="inlineStr">
        <is>
          <t>3 months 
Sep-30-2007</t>
        </is>
      </c>
      <c r="E4" s="534" t="inlineStr">
        <is>
          <t>3 months 
Dec-31-2007</t>
        </is>
      </c>
      <c r="F4" s="534" t="inlineStr">
        <is>
          <t>3 months 
Mar-31-2008</t>
        </is>
      </c>
      <c r="G4" s="533" t="inlineStr">
        <is>
          <t>FY2008 A</t>
        </is>
      </c>
      <c r="H4" s="534" t="inlineStr">
        <is>
          <t>3 months 
Jun-30-2008</t>
        </is>
      </c>
      <c r="I4" s="534" t="inlineStr">
        <is>
          <t>3 months 
Sep-30-2008</t>
        </is>
      </c>
      <c r="J4" s="534" t="inlineStr">
        <is>
          <t>3 months 
Dec-31-2008</t>
        </is>
      </c>
      <c r="K4" s="534" t="inlineStr">
        <is>
          <t>3 months 
Mar-31-2009</t>
        </is>
      </c>
      <c r="L4" s="533" t="inlineStr">
        <is>
          <t>FY2009 A</t>
        </is>
      </c>
      <c r="M4" s="534" t="inlineStr">
        <is>
          <t>3 months 
Jun-30-2009</t>
        </is>
      </c>
      <c r="N4" s="535" t="inlineStr">
        <is>
          <t>3 months 
Sep-30-2009</t>
        </is>
      </c>
      <c r="O4" s="535" t="inlineStr">
        <is>
          <t>3 months 
Dec-31-2009</t>
        </is>
      </c>
      <c r="P4" s="535" t="inlineStr">
        <is>
          <t>3 months 
Mar-31-2010</t>
        </is>
      </c>
      <c r="Q4" s="536" t="inlineStr">
        <is>
          <t>FY2010 E</t>
        </is>
      </c>
      <c r="R4" s="535" t="inlineStr">
        <is>
          <t>3 months 
Jun-30-2010</t>
        </is>
      </c>
      <c r="S4" s="535" t="inlineStr">
        <is>
          <t>3 months 
Sep-30-2010</t>
        </is>
      </c>
      <c r="T4" s="535" t="inlineStr">
        <is>
          <t>3 months 
Dec-31-2010</t>
        </is>
      </c>
      <c r="U4" s="535" t="inlineStr">
        <is>
          <t>3 months 
Mar-31-2011</t>
        </is>
      </c>
      <c r="V4" s="536" t="inlineStr">
        <is>
          <t>FY2011 E</t>
        </is>
      </c>
      <c r="W4" s="535" t="inlineStr">
        <is>
          <t>3 months 
Jun-30-2011</t>
        </is>
      </c>
      <c r="X4" s="535" t="inlineStr">
        <is>
          <t>3 months 
Sep-30-2011</t>
        </is>
      </c>
      <c r="Y4" s="535" t="inlineStr">
        <is>
          <t>3 months 
Dec-31-2011</t>
        </is>
      </c>
      <c r="Z4" s="535" t="inlineStr">
        <is>
          <t>3 months 
Mar-31-2012</t>
        </is>
      </c>
      <c r="AA4" s="536" t="inlineStr">
        <is>
          <t>FY2012 E</t>
        </is>
      </c>
      <c r="AB4" s="535" t="inlineStr">
        <is>
          <t>3 months 
Jun-30-2012</t>
        </is>
      </c>
      <c r="AC4" s="535" t="inlineStr">
        <is>
          <t>3 months 
Sep-30-2012</t>
        </is>
      </c>
      <c r="AD4" s="535" t="inlineStr">
        <is>
          <t>3 months 
Dec-31-2012</t>
        </is>
      </c>
      <c r="AE4" s="535" t="inlineStr">
        <is>
          <t>3 months 
Mar-31-2013</t>
        </is>
      </c>
      <c r="AF4" s="536" t="inlineStr">
        <is>
          <t>FY2013 E</t>
        </is>
      </c>
      <c r="AG4" s="535" t="inlineStr">
        <is>
          <t>3 months 
Jun-30-2013</t>
        </is>
      </c>
      <c r="AH4" s="535" t="inlineStr">
        <is>
          <t>3 months 
Sep-30-2013</t>
        </is>
      </c>
      <c r="AI4" s="535" t="inlineStr">
        <is>
          <t>3 months 
Dec-31-2013</t>
        </is>
      </c>
      <c r="AJ4" s="535" t="inlineStr">
        <is>
          <t>3 months 
Mar-31-2014</t>
        </is>
      </c>
      <c r="AK4" s="536" t="inlineStr">
        <is>
          <t>FY2014 E</t>
        </is>
      </c>
    </row>
    <row r="5" ht="15" customHeight="1" s="462">
      <c r="B5" s="659" t="n"/>
      <c r="G5" s="533" t="n"/>
      <c r="L5" s="533" t="n"/>
      <c r="Q5" s="533" t="n"/>
      <c r="V5" s="533" t="n"/>
      <c r="AA5" s="533" t="n"/>
      <c r="AF5" s="533" t="n"/>
      <c r="AK5" s="533" t="n"/>
    </row>
    <row r="6" ht="15" customFormat="1" customHeight="1" s="461">
      <c r="A6" s="573" t="n"/>
      <c r="B6" s="659" t="n"/>
      <c r="G6" s="533" t="n"/>
      <c r="L6" s="533" t="n"/>
      <c r="Q6" s="533" t="n"/>
      <c r="V6" s="533" t="n"/>
      <c r="AA6" s="533" t="n"/>
      <c r="AF6" s="533" t="n"/>
      <c r="AK6" s="533" t="n"/>
    </row>
    <row r="7" ht="15" customFormat="1" customHeight="1" s="461">
      <c r="A7" s="491" t="inlineStr">
        <is>
          <t>Segment Revenues</t>
        </is>
      </c>
      <c r="B7" s="659" t="n"/>
      <c r="G7" s="659" t="n"/>
      <c r="L7" s="659" t="n"/>
      <c r="Q7" s="659" t="n"/>
      <c r="R7" s="529" t="n"/>
      <c r="V7" s="659" t="n"/>
      <c r="AA7" s="659" t="n"/>
      <c r="AF7" s="659" t="n"/>
      <c r="AK7" s="659" t="n"/>
    </row>
    <row r="8" ht="15" customFormat="1" customHeight="1" s="461">
      <c r="B8" s="659" t="n"/>
      <c r="G8" s="659" t="n"/>
      <c r="L8" s="659" t="n"/>
      <c r="Q8" s="659" t="n"/>
      <c r="V8" s="660" t="n"/>
      <c r="AA8" s="659" t="n"/>
      <c r="AF8" s="659" t="n"/>
      <c r="AK8" s="659" t="n"/>
    </row>
    <row r="9" ht="15" customHeight="1" s="462">
      <c r="A9" s="522" t="inlineStr">
        <is>
          <t>Formulations</t>
        </is>
      </c>
      <c r="B9" s="659" t="n"/>
      <c r="C9" s="521" t="n"/>
      <c r="D9" s="521" t="n"/>
      <c r="E9" s="521" t="n"/>
      <c r="F9" s="521" t="n"/>
      <c r="G9" s="659" t="n"/>
      <c r="H9" s="461" t="n"/>
      <c r="I9" s="461" t="n"/>
      <c r="J9" s="461" t="n"/>
      <c r="K9" s="461" t="n"/>
      <c r="L9" s="659" t="n"/>
      <c r="M9" s="461" t="n"/>
      <c r="N9" s="461" t="n"/>
      <c r="O9" s="461" t="n"/>
      <c r="P9" s="461" t="n"/>
      <c r="Q9" s="659" t="n"/>
      <c r="R9" s="461" t="n"/>
      <c r="S9" s="461" t="n"/>
      <c r="T9" s="461" t="n"/>
      <c r="U9" s="461" t="n"/>
      <c r="V9" s="659" t="n"/>
      <c r="W9" s="461" t="n"/>
      <c r="X9" s="461" t="n"/>
      <c r="Y9" s="461" t="n"/>
      <c r="Z9" s="461" t="n"/>
      <c r="AA9" s="659" t="n"/>
      <c r="AB9" s="461" t="n"/>
      <c r="AC9" s="461" t="n"/>
      <c r="AD9" s="461" t="n"/>
      <c r="AE9" s="461" t="n"/>
      <c r="AF9" s="659" t="n"/>
      <c r="AG9" s="461" t="n"/>
      <c r="AH9" s="461" t="n"/>
      <c r="AI9" s="461" t="n"/>
      <c r="AJ9" s="461" t="n"/>
      <c r="AK9" s="659" t="n"/>
    </row>
    <row r="10" ht="15" customHeight="1" s="462">
      <c r="A10" s="461" t="inlineStr">
        <is>
          <t>USA</t>
        </is>
      </c>
      <c r="B10" s="661" t="n">
        <v>1563</v>
      </c>
      <c r="C10" s="576" t="n">
        <v>546</v>
      </c>
      <c r="D10" s="576" t="n">
        <v>518</v>
      </c>
      <c r="E10" s="576" t="n">
        <v>497</v>
      </c>
      <c r="F10" s="576" t="n">
        <v>798</v>
      </c>
      <c r="G10" s="662" t="n"/>
      <c r="H10" s="576" t="n">
        <v>817</v>
      </c>
      <c r="I10" s="576" t="n">
        <v>1051</v>
      </c>
      <c r="J10" s="576" t="n">
        <v>1427</v>
      </c>
      <c r="K10" s="576" t="n">
        <v>2289</v>
      </c>
      <c r="L10" s="662" t="n"/>
      <c r="M10" s="576" t="n">
        <v>2310</v>
      </c>
      <c r="N10" s="506" t="n"/>
      <c r="O10" s="506" t="n"/>
      <c r="P10" s="506" t="n"/>
      <c r="Q10" s="662" t="n"/>
      <c r="R10" s="506" t="n"/>
      <c r="S10" s="506" t="n"/>
      <c r="T10" s="506" t="n"/>
      <c r="U10" s="506" t="n"/>
      <c r="V10" s="662" t="n"/>
      <c r="W10" s="506" t="n"/>
      <c r="X10" s="506" t="n"/>
      <c r="Y10" s="506" t="n"/>
      <c r="Z10" s="506" t="n"/>
      <c r="AA10" s="662" t="n"/>
      <c r="AB10" s="506" t="n"/>
      <c r="AC10" s="506" t="n"/>
      <c r="AD10" s="506" t="n"/>
      <c r="AE10" s="506" t="n"/>
      <c r="AF10" s="662" t="n"/>
      <c r="AG10" s="506" t="n"/>
      <c r="AH10" s="506" t="n"/>
      <c r="AI10" s="506" t="n"/>
      <c r="AJ10" s="506" t="n"/>
      <c r="AK10" s="662" t="n"/>
    </row>
    <row r="11" ht="15" customHeight="1" s="462">
      <c r="A11" s="461" t="inlineStr">
        <is>
          <t>Europe</t>
        </is>
      </c>
      <c r="B11" s="661" t="n">
        <v>1280</v>
      </c>
      <c r="C11" s="576" t="n">
        <v>362</v>
      </c>
      <c r="D11" s="576" t="n">
        <v>562</v>
      </c>
      <c r="E11" s="576" t="n">
        <v>641</v>
      </c>
      <c r="F11" s="576" t="n">
        <v>446</v>
      </c>
      <c r="G11" s="662" t="n"/>
      <c r="H11" s="576" t="n">
        <v>447</v>
      </c>
      <c r="I11" s="576" t="n">
        <v>557</v>
      </c>
      <c r="J11" s="576" t="n">
        <v>467</v>
      </c>
      <c r="K11" s="576" t="n">
        <v>452</v>
      </c>
      <c r="L11" s="662" t="n"/>
      <c r="M11" s="576" t="n">
        <v>464</v>
      </c>
      <c r="N11" s="506" t="n"/>
      <c r="O11" s="506" t="n"/>
      <c r="P11" s="506" t="n"/>
      <c r="Q11" s="662" t="n"/>
      <c r="R11" s="506" t="n"/>
      <c r="S11" s="506" t="n"/>
      <c r="T11" s="506" t="n"/>
      <c r="U11" s="506" t="n"/>
      <c r="V11" s="662" t="n"/>
      <c r="W11" s="506" t="n"/>
      <c r="X11" s="506" t="n"/>
      <c r="Y11" s="506" t="n"/>
      <c r="Z11" s="506" t="n"/>
      <c r="AA11" s="662" t="n"/>
      <c r="AB11" s="506" t="n"/>
      <c r="AC11" s="506" t="n"/>
      <c r="AD11" s="506" t="n"/>
      <c r="AE11" s="506" t="n"/>
      <c r="AF11" s="662" t="n"/>
      <c r="AG11" s="506" t="n"/>
      <c r="AH11" s="506" t="n"/>
      <c r="AI11" s="506" t="n"/>
      <c r="AJ11" s="506" t="n"/>
      <c r="AK11" s="662" t="n"/>
    </row>
    <row r="12" ht="15" customHeight="1" s="462">
      <c r="A12" s="461" t="inlineStr">
        <is>
          <t>ARV's</t>
        </is>
      </c>
      <c r="B12" s="661" t="n">
        <v>2875</v>
      </c>
      <c r="C12" s="576" t="n">
        <v>642</v>
      </c>
      <c r="D12" s="576" t="n">
        <v>1072</v>
      </c>
      <c r="E12" s="576" t="n">
        <v>939</v>
      </c>
      <c r="F12" s="576" t="n">
        <v>1391</v>
      </c>
      <c r="G12" s="662" t="n"/>
      <c r="H12" s="576" t="n">
        <v>1249</v>
      </c>
      <c r="I12" s="576" t="n">
        <v>858</v>
      </c>
      <c r="J12" s="576" t="n">
        <v>1215</v>
      </c>
      <c r="K12" s="576" t="n">
        <v>1318</v>
      </c>
      <c r="L12" s="662" t="n"/>
      <c r="M12" s="576" t="n">
        <v>1375.1</v>
      </c>
      <c r="N12" s="506" t="n"/>
      <c r="O12" s="506" t="n"/>
      <c r="P12" s="506" t="n"/>
      <c r="Q12" s="662" t="n"/>
      <c r="R12" s="506" t="n"/>
      <c r="S12" s="506" t="n"/>
      <c r="T12" s="506" t="n"/>
      <c r="U12" s="506" t="n"/>
      <c r="V12" s="662" t="n"/>
      <c r="W12" s="506" t="n"/>
      <c r="X12" s="506" t="n"/>
      <c r="Y12" s="506" t="n"/>
      <c r="Z12" s="506" t="n"/>
      <c r="AA12" s="662" t="n"/>
      <c r="AB12" s="506" t="n"/>
      <c r="AC12" s="506" t="n"/>
      <c r="AD12" s="506" t="n"/>
      <c r="AE12" s="506" t="n"/>
      <c r="AF12" s="662" t="n"/>
      <c r="AG12" s="506" t="n"/>
      <c r="AH12" s="506" t="n"/>
      <c r="AI12" s="506" t="n"/>
      <c r="AJ12" s="506" t="n"/>
      <c r="AK12" s="662" t="n"/>
    </row>
    <row r="13" ht="15" customHeight="1" s="462">
      <c r="A13" s="461" t="inlineStr">
        <is>
          <t>Rest of the World</t>
        </is>
      </c>
      <c r="B13" s="661" t="n">
        <v>1478.2</v>
      </c>
      <c r="C13" s="576" t="n">
        <v>246</v>
      </c>
      <c r="D13" s="576" t="n">
        <v>245</v>
      </c>
      <c r="E13" s="576" t="n">
        <v>389</v>
      </c>
      <c r="F13" s="576" t="n">
        <v>754</v>
      </c>
      <c r="G13" s="662" t="n"/>
      <c r="H13" s="576" t="n">
        <v>384</v>
      </c>
      <c r="I13" s="576" t="n">
        <v>727</v>
      </c>
      <c r="J13" s="576" t="n">
        <v>422</v>
      </c>
      <c r="K13" s="576" t="n">
        <v>418</v>
      </c>
      <c r="L13" s="662" t="n"/>
      <c r="M13" s="576" t="n">
        <v>540</v>
      </c>
      <c r="N13" s="506" t="n"/>
      <c r="O13" s="506" t="n"/>
      <c r="P13" s="506" t="n"/>
      <c r="Q13" s="662" t="n"/>
      <c r="R13" s="506" t="n"/>
      <c r="S13" s="506" t="n"/>
      <c r="T13" s="506" t="n"/>
      <c r="U13" s="506" t="n"/>
      <c r="V13" s="662" t="n"/>
      <c r="W13" s="506" t="n"/>
      <c r="X13" s="506" t="n"/>
      <c r="Y13" s="506" t="n"/>
      <c r="Z13" s="506" t="n"/>
      <c r="AA13" s="662" t="n"/>
      <c r="AB13" s="506" t="n"/>
      <c r="AC13" s="506" t="n"/>
      <c r="AD13" s="506" t="n"/>
      <c r="AE13" s="506" t="n"/>
      <c r="AF13" s="662" t="n"/>
      <c r="AG13" s="506" t="n"/>
      <c r="AH13" s="506" t="n"/>
      <c r="AI13" s="506" t="n"/>
      <c r="AJ13" s="506" t="n"/>
      <c r="AK13" s="662" t="n"/>
    </row>
    <row r="14" ht="15" customHeight="1" s="462">
      <c r="A14" s="522" t="inlineStr">
        <is>
          <t>Total</t>
        </is>
      </c>
      <c r="B14" s="662" t="n"/>
      <c r="C14" s="521" t="n"/>
      <c r="D14" s="521" t="n"/>
      <c r="E14" s="521" t="n"/>
      <c r="F14" s="521" t="n"/>
      <c r="G14" s="662" t="n"/>
      <c r="H14" s="521" t="n"/>
      <c r="I14" s="521" t="n"/>
      <c r="J14" s="521" t="n"/>
      <c r="K14" s="521" t="n"/>
      <c r="L14" s="662" t="n"/>
      <c r="M14" s="506" t="n"/>
      <c r="N14" s="506" t="n"/>
      <c r="O14" s="506" t="n"/>
      <c r="P14" s="506" t="n"/>
      <c r="Q14" s="662" t="n"/>
      <c r="R14" s="506" t="n"/>
      <c r="S14" s="506" t="n"/>
      <c r="T14" s="506" t="n"/>
      <c r="U14" s="506" t="n"/>
      <c r="V14" s="662" t="n"/>
      <c r="W14" s="506" t="n"/>
      <c r="X14" s="506" t="n"/>
      <c r="Y14" s="506" t="n"/>
      <c r="Z14" s="506" t="n"/>
      <c r="AA14" s="662" t="n"/>
      <c r="AB14" s="506" t="n"/>
      <c r="AC14" s="506" t="n"/>
      <c r="AD14" s="506" t="n"/>
      <c r="AE14" s="506" t="n"/>
      <c r="AF14" s="662" t="n"/>
      <c r="AG14" s="506" t="n"/>
      <c r="AH14" s="506" t="n"/>
      <c r="AI14" s="506" t="n"/>
      <c r="AJ14" s="506" t="n"/>
      <c r="AK14" s="662" t="n"/>
    </row>
    <row r="15" ht="15" customHeight="1" s="462">
      <c r="B15" s="662" t="n"/>
      <c r="C15" s="521" t="n"/>
      <c r="D15" s="521" t="n"/>
      <c r="E15" s="521" t="n"/>
      <c r="F15" s="521" t="n"/>
      <c r="G15" s="662" t="n"/>
      <c r="H15" s="461" t="n"/>
      <c r="I15" s="461" t="n"/>
      <c r="J15" s="461" t="n"/>
      <c r="K15" s="461" t="n"/>
      <c r="L15" s="662" t="n"/>
      <c r="M15" s="461" t="n"/>
      <c r="N15" s="461" t="n"/>
      <c r="O15" s="461" t="n"/>
      <c r="P15" s="461" t="n"/>
      <c r="Q15" s="662" t="n"/>
      <c r="R15" s="461" t="n"/>
      <c r="S15" s="461" t="n"/>
      <c r="T15" s="461" t="n"/>
      <c r="U15" s="461" t="n"/>
      <c r="V15" s="662" t="n"/>
      <c r="W15" s="461" t="n"/>
      <c r="X15" s="461" t="n"/>
      <c r="Y15" s="461" t="n"/>
      <c r="Z15" s="461" t="n"/>
      <c r="AA15" s="662" t="n"/>
      <c r="AB15" s="461" t="n"/>
      <c r="AC15" s="461" t="n"/>
      <c r="AD15" s="461" t="n"/>
      <c r="AE15" s="461" t="n"/>
      <c r="AF15" s="662" t="n"/>
      <c r="AG15" s="461" t="n"/>
      <c r="AH15" s="461" t="n"/>
      <c r="AI15" s="461" t="n"/>
      <c r="AJ15" s="461" t="n"/>
      <c r="AK15" s="662" t="n"/>
    </row>
    <row r="16" ht="15" customHeight="1" s="462">
      <c r="A16" s="522" t="inlineStr">
        <is>
          <t>Active Ingredients</t>
        </is>
      </c>
      <c r="B16" s="662" t="n"/>
      <c r="C16" s="521" t="n"/>
      <c r="D16" s="521" t="n"/>
      <c r="E16" s="521" t="n"/>
      <c r="F16" s="521" t="n"/>
      <c r="G16" s="662" t="n"/>
      <c r="H16" s="461" t="n"/>
      <c r="I16" s="461" t="n"/>
      <c r="J16" s="461" t="n"/>
      <c r="K16" s="461" t="n"/>
      <c r="L16" s="662" t="n"/>
      <c r="M16" s="461" t="n"/>
      <c r="N16" s="461" t="n"/>
      <c r="O16" s="461" t="n"/>
      <c r="P16" s="461" t="n"/>
      <c r="Q16" s="662" t="n"/>
      <c r="R16" s="461" t="n"/>
      <c r="S16" s="461" t="n"/>
      <c r="T16" s="461" t="n"/>
      <c r="U16" s="461" t="n"/>
      <c r="V16" s="662" t="n"/>
      <c r="W16" s="461" t="n"/>
      <c r="X16" s="461" t="n"/>
      <c r="Y16" s="461" t="n"/>
      <c r="Z16" s="461" t="n"/>
      <c r="AA16" s="662" t="n"/>
      <c r="AB16" s="461" t="n"/>
      <c r="AC16" s="461" t="n"/>
      <c r="AD16" s="461" t="n"/>
      <c r="AE16" s="461" t="n"/>
      <c r="AF16" s="662" t="n"/>
      <c r="AG16" s="461" t="n"/>
      <c r="AH16" s="461" t="n"/>
      <c r="AI16" s="461" t="n"/>
      <c r="AJ16" s="461" t="n"/>
      <c r="AK16" s="662" t="n"/>
    </row>
    <row r="17" ht="15" customHeight="1" s="462">
      <c r="A17" s="461" t="inlineStr">
        <is>
          <t>SSPs</t>
        </is>
      </c>
      <c r="B17" s="661" t="n">
        <v>5913</v>
      </c>
      <c r="C17" s="576" t="n">
        <v>2123</v>
      </c>
      <c r="D17" s="576" t="n">
        <v>2278</v>
      </c>
      <c r="E17" s="576" t="n">
        <v>1748</v>
      </c>
      <c r="F17" s="576" t="n">
        <v>1892</v>
      </c>
      <c r="G17" s="662" t="n"/>
      <c r="H17" s="576" t="n">
        <v>2140</v>
      </c>
      <c r="I17" s="576" t="n">
        <v>1856</v>
      </c>
      <c r="J17" s="576" t="n">
        <v>1744</v>
      </c>
      <c r="K17" s="576" t="n">
        <v>1639</v>
      </c>
      <c r="L17" s="662" t="n"/>
      <c r="M17" s="576" t="n">
        <v>1517</v>
      </c>
      <c r="N17" s="506" t="n"/>
      <c r="O17" s="506" t="n"/>
      <c r="P17" s="506" t="n"/>
      <c r="Q17" s="662" t="n"/>
      <c r="R17" s="506" t="n"/>
      <c r="S17" s="506" t="n"/>
      <c r="T17" s="506" t="n"/>
      <c r="U17" s="506" t="n"/>
      <c r="V17" s="662" t="n"/>
      <c r="W17" s="506" t="n"/>
      <c r="X17" s="506" t="n"/>
      <c r="Y17" s="506" t="n"/>
      <c r="Z17" s="506" t="n"/>
      <c r="AA17" s="662" t="n"/>
      <c r="AB17" s="506" t="n"/>
      <c r="AC17" s="506" t="n"/>
      <c r="AD17" s="506" t="n"/>
      <c r="AE17" s="506" t="n"/>
      <c r="AF17" s="662" t="n"/>
      <c r="AG17" s="506" t="n"/>
      <c r="AH17" s="506" t="n"/>
      <c r="AI17" s="506" t="n"/>
      <c r="AJ17" s="506" t="n"/>
      <c r="AK17" s="662" t="n"/>
    </row>
    <row r="18" ht="15" customHeight="1" s="462">
      <c r="A18" s="461" t="inlineStr">
        <is>
          <t>Cephs</t>
        </is>
      </c>
      <c r="B18" s="661" t="n">
        <v>6429</v>
      </c>
      <c r="C18" s="576" t="n">
        <v>1309</v>
      </c>
      <c r="D18" s="576" t="n">
        <v>1577</v>
      </c>
      <c r="E18" s="576" t="n">
        <v>1620</v>
      </c>
      <c r="F18" s="576" t="n">
        <v>1412</v>
      </c>
      <c r="G18" s="662" t="n"/>
      <c r="H18" s="576" t="n">
        <v>1564</v>
      </c>
      <c r="I18" s="576" t="n">
        <v>1560</v>
      </c>
      <c r="J18" s="576" t="n">
        <v>1543</v>
      </c>
      <c r="K18" s="576" t="n">
        <v>1677</v>
      </c>
      <c r="L18" s="662" t="n"/>
      <c r="M18" s="576" t="n">
        <v>1390</v>
      </c>
      <c r="N18" s="506" t="n"/>
      <c r="O18" s="506" t="n"/>
      <c r="P18" s="506" t="n"/>
      <c r="Q18" s="662" t="n"/>
      <c r="R18" s="506" t="n"/>
      <c r="S18" s="506" t="n"/>
      <c r="T18" s="506" t="n"/>
      <c r="U18" s="506" t="n"/>
      <c r="V18" s="662" t="n"/>
      <c r="W18" s="506" t="n"/>
      <c r="X18" s="506" t="n"/>
      <c r="Y18" s="506" t="n"/>
      <c r="Z18" s="506" t="n"/>
      <c r="AA18" s="662" t="n"/>
      <c r="AB18" s="506" t="n"/>
      <c r="AC18" s="506" t="n"/>
      <c r="AD18" s="506" t="n"/>
      <c r="AE18" s="506" t="n"/>
      <c r="AF18" s="662" t="n"/>
      <c r="AG18" s="506" t="n"/>
      <c r="AH18" s="506" t="n"/>
      <c r="AI18" s="506" t="n"/>
      <c r="AJ18" s="506" t="n"/>
      <c r="AK18" s="662" t="n"/>
    </row>
    <row r="19" ht="15" customHeight="1" s="462">
      <c r="A19" s="461" t="inlineStr">
        <is>
          <t>ARVs &amp; Others</t>
        </is>
      </c>
      <c r="B19" s="661" t="n">
        <v>2964</v>
      </c>
      <c r="C19" s="576" t="n">
        <v>436</v>
      </c>
      <c r="D19" s="576" t="n">
        <v>418</v>
      </c>
      <c r="E19" s="576" t="n">
        <v>268</v>
      </c>
      <c r="F19" s="576" t="n">
        <v>395</v>
      </c>
      <c r="G19" s="662" t="n"/>
      <c r="H19" s="576" t="n">
        <v>467</v>
      </c>
      <c r="I19" s="576" t="n">
        <v>631</v>
      </c>
      <c r="J19" s="576" t="n">
        <v>750</v>
      </c>
      <c r="K19" s="576" t="n">
        <v>895</v>
      </c>
      <c r="L19" s="662" t="n"/>
      <c r="M19" s="576" t="n">
        <v>671</v>
      </c>
      <c r="N19" s="506" t="n"/>
      <c r="O19" s="506" t="n"/>
      <c r="P19" s="506" t="n"/>
      <c r="Q19" s="662" t="n"/>
      <c r="R19" s="506" t="n"/>
      <c r="S19" s="506" t="n"/>
      <c r="T19" s="506" t="n"/>
      <c r="U19" s="506" t="n"/>
      <c r="V19" s="662" t="n"/>
      <c r="W19" s="506" t="n"/>
      <c r="X19" s="506" t="n"/>
      <c r="Y19" s="506" t="n"/>
      <c r="Z19" s="506" t="n"/>
      <c r="AA19" s="662" t="n"/>
      <c r="AB19" s="506" t="n"/>
      <c r="AC19" s="506" t="n"/>
      <c r="AD19" s="506" t="n"/>
      <c r="AE19" s="506" t="n"/>
      <c r="AF19" s="662" t="n"/>
      <c r="AG19" s="506" t="n"/>
      <c r="AH19" s="506" t="n"/>
      <c r="AI19" s="506" t="n"/>
      <c r="AJ19" s="506" t="n"/>
      <c r="AK19" s="662" t="n"/>
    </row>
    <row r="20" ht="15" customHeight="1" s="462">
      <c r="A20" s="522" t="inlineStr">
        <is>
          <t>Total</t>
        </is>
      </c>
      <c r="B20" s="662" t="n"/>
      <c r="C20" s="580" t="n"/>
      <c r="D20" s="580" t="n"/>
      <c r="E20" s="580" t="n"/>
      <c r="F20" s="580" t="n"/>
      <c r="G20" s="662" t="n"/>
      <c r="H20" s="521" t="n"/>
      <c r="I20" s="521" t="n"/>
      <c r="J20" s="521" t="n"/>
      <c r="K20" s="521" t="n"/>
      <c r="L20" s="662" t="n"/>
      <c r="M20" s="521" t="n"/>
      <c r="N20" s="506" t="n"/>
      <c r="O20" s="506" t="n"/>
      <c r="P20" s="506" t="n"/>
      <c r="Q20" s="662" t="n"/>
      <c r="R20" s="506" t="n"/>
      <c r="S20" s="506" t="n"/>
      <c r="T20" s="506" t="n"/>
      <c r="U20" s="506" t="n"/>
      <c r="V20" s="662" t="n"/>
      <c r="W20" s="506" t="n"/>
      <c r="X20" s="506" t="n"/>
      <c r="Y20" s="506" t="n"/>
      <c r="Z20" s="506" t="n"/>
      <c r="AA20" s="662" t="n"/>
      <c r="AB20" s="506" t="n"/>
      <c r="AC20" s="506" t="n"/>
      <c r="AD20" s="506" t="n"/>
      <c r="AE20" s="506" t="n"/>
      <c r="AF20" s="662" t="n"/>
      <c r="AG20" s="506" t="n"/>
      <c r="AH20" s="506" t="n"/>
      <c r="AI20" s="506" t="n"/>
      <c r="AJ20" s="506" t="n"/>
      <c r="AK20" s="662" t="n"/>
    </row>
    <row r="21" ht="15" customHeight="1" s="462">
      <c r="B21" s="662" t="n"/>
      <c r="C21" s="521" t="n"/>
      <c r="D21" s="521" t="n"/>
      <c r="E21" s="521" t="n"/>
      <c r="F21" s="521" t="n"/>
      <c r="G21" s="662" t="n"/>
      <c r="H21" s="461" t="n"/>
      <c r="I21" s="461" t="n"/>
      <c r="J21" s="461" t="n"/>
      <c r="K21" s="461" t="n"/>
      <c r="L21" s="662" t="n"/>
      <c r="M21" s="461" t="n"/>
      <c r="N21" s="461" t="n"/>
      <c r="O21" s="461" t="n"/>
      <c r="P21" s="461" t="n"/>
      <c r="Q21" s="662" t="n"/>
      <c r="R21" s="461" t="n"/>
      <c r="S21" s="461" t="n"/>
      <c r="T21" s="461" t="n"/>
      <c r="U21" s="461" t="n"/>
      <c r="V21" s="662" t="n"/>
      <c r="W21" s="461" t="n"/>
      <c r="X21" s="461" t="n"/>
      <c r="Y21" s="461" t="n"/>
      <c r="Z21" s="461" t="n"/>
      <c r="AA21" s="662" t="n"/>
      <c r="AB21" s="461" t="n"/>
      <c r="AC21" s="461" t="n"/>
      <c r="AD21" s="461" t="n"/>
      <c r="AE21" s="461" t="n"/>
      <c r="AF21" s="662" t="n"/>
      <c r="AG21" s="461" t="n"/>
      <c r="AH21" s="461" t="n"/>
      <c r="AI21" s="461" t="n"/>
      <c r="AJ21" s="461" t="n"/>
      <c r="AK21" s="662" t="n"/>
    </row>
    <row r="22" ht="15" customHeight="1" s="462">
      <c r="B22" s="662" t="n"/>
      <c r="C22" s="521" t="n"/>
      <c r="D22" s="521" t="n"/>
      <c r="E22" s="521" t="n"/>
      <c r="F22" s="521" t="n"/>
      <c r="G22" s="662" t="n"/>
      <c r="H22" s="461" t="n"/>
      <c r="I22" s="461" t="n"/>
      <c r="J22" s="461" t="n"/>
      <c r="K22" s="461" t="n"/>
      <c r="L22" s="662" t="n"/>
      <c r="M22" s="461" t="n"/>
      <c r="N22" s="461" t="n"/>
      <c r="O22" s="461" t="n"/>
      <c r="P22" s="461" t="n"/>
      <c r="Q22" s="662" t="n"/>
      <c r="R22" s="461" t="n"/>
      <c r="S22" s="461" t="n"/>
      <c r="T22" s="461" t="n"/>
      <c r="U22" s="529" t="n"/>
      <c r="V22" s="662" t="n"/>
      <c r="W22" s="461" t="n"/>
      <c r="X22" s="461" t="n"/>
      <c r="Y22" s="461" t="n"/>
      <c r="Z22" s="461" t="n"/>
      <c r="AA22" s="662" t="n"/>
      <c r="AB22" s="461" t="n"/>
      <c r="AC22" s="461" t="n"/>
      <c r="AD22" s="461" t="n"/>
      <c r="AE22" s="461" t="n"/>
      <c r="AF22" s="662" t="n"/>
      <c r="AG22" s="461" t="n"/>
      <c r="AH22" s="461" t="n"/>
      <c r="AI22" s="461" t="n"/>
      <c r="AJ22" s="461" t="n"/>
      <c r="AK22" s="662" t="n"/>
    </row>
    <row r="23" ht="15" customHeight="1" s="462">
      <c r="A23" s="461" t="inlineStr">
        <is>
          <t>Formulations</t>
        </is>
      </c>
      <c r="B23" s="662" t="n"/>
      <c r="C23" s="521" t="n"/>
      <c r="D23" s="521" t="n"/>
      <c r="E23" s="521" t="n"/>
      <c r="F23" s="521" t="n"/>
      <c r="G23" s="662" t="n"/>
      <c r="H23" s="506" t="n"/>
      <c r="I23" s="506" t="n"/>
      <c r="J23" s="506" t="n"/>
      <c r="K23" s="506" t="n"/>
      <c r="L23" s="662" t="n"/>
      <c r="M23" s="506" t="n"/>
      <c r="N23" s="506" t="n"/>
      <c r="O23" s="506" t="n"/>
      <c r="P23" s="506" t="n"/>
      <c r="Q23" s="662" t="n"/>
      <c r="R23" s="506" t="n"/>
      <c r="S23" s="506" t="n"/>
      <c r="T23" s="506" t="n"/>
      <c r="U23" s="506" t="n"/>
      <c r="V23" s="662" t="n"/>
      <c r="W23" s="506" t="n"/>
      <c r="X23" s="506" t="n"/>
      <c r="Y23" s="506" t="n"/>
      <c r="Z23" s="506" t="n"/>
      <c r="AA23" s="662" t="n"/>
      <c r="AB23" s="506" t="n"/>
      <c r="AC23" s="506" t="n"/>
      <c r="AD23" s="506" t="n"/>
      <c r="AE23" s="506" t="n"/>
      <c r="AF23" s="662" t="n"/>
      <c r="AG23" s="506" t="n"/>
      <c r="AH23" s="506" t="n"/>
      <c r="AI23" s="506" t="n"/>
      <c r="AJ23" s="506" t="n"/>
      <c r="AK23" s="662" t="n"/>
    </row>
    <row r="24" ht="15" customHeight="1" s="462">
      <c r="A24" s="461" t="inlineStr">
        <is>
          <t>Active Ingredients</t>
        </is>
      </c>
      <c r="B24" s="662" t="n"/>
      <c r="C24" s="521" t="n"/>
      <c r="D24" s="521" t="n"/>
      <c r="E24" s="521" t="n"/>
      <c r="F24" s="521" t="n"/>
      <c r="G24" s="662" t="n"/>
      <c r="H24" s="506" t="n"/>
      <c r="I24" s="506" t="n"/>
      <c r="J24" s="506" t="n"/>
      <c r="K24" s="506" t="n"/>
      <c r="L24" s="662" t="n"/>
      <c r="M24" s="506" t="n"/>
      <c r="N24" s="506" t="n"/>
      <c r="O24" s="506" t="n"/>
      <c r="P24" s="506" t="n"/>
      <c r="Q24" s="662" t="n"/>
      <c r="R24" s="506" t="n"/>
      <c r="S24" s="506" t="n"/>
      <c r="T24" s="506" t="n"/>
      <c r="U24" s="506" t="n"/>
      <c r="V24" s="662" t="n"/>
      <c r="W24" s="506" t="n"/>
      <c r="X24" s="506" t="n"/>
      <c r="Y24" s="506" t="n"/>
      <c r="Z24" s="506" t="n"/>
      <c r="AA24" s="662" t="n"/>
      <c r="AB24" s="506" t="n"/>
      <c r="AC24" s="506" t="n"/>
      <c r="AD24" s="506" t="n"/>
      <c r="AE24" s="506" t="n"/>
      <c r="AF24" s="662" t="n"/>
      <c r="AG24" s="506" t="n"/>
      <c r="AH24" s="506" t="n"/>
      <c r="AI24" s="506" t="n"/>
      <c r="AJ24" s="506" t="n"/>
      <c r="AK24" s="662" t="n"/>
    </row>
    <row r="25" ht="15" customHeight="1" s="462">
      <c r="A25" s="522" t="inlineStr">
        <is>
          <t>Total</t>
        </is>
      </c>
      <c r="B25" s="662" t="n"/>
      <c r="C25" s="521" t="n"/>
      <c r="D25" s="521" t="n"/>
      <c r="E25" s="521" t="n"/>
      <c r="F25" s="521" t="n"/>
      <c r="G25" s="662" t="n"/>
      <c r="H25" s="506" t="n"/>
      <c r="I25" s="506" t="n"/>
      <c r="J25" s="506" t="n"/>
      <c r="K25" s="506" t="n"/>
      <c r="L25" s="662" t="n"/>
      <c r="M25" s="506" t="n"/>
      <c r="N25" s="506" t="n"/>
      <c r="O25" s="506" t="n"/>
      <c r="P25" s="506" t="n"/>
      <c r="Q25" s="662" t="n"/>
      <c r="R25" s="521" t="n"/>
      <c r="S25" s="521" t="n"/>
      <c r="T25" s="521" t="n"/>
      <c r="U25" s="521" t="n"/>
      <c r="V25" s="662" t="n"/>
      <c r="W25" s="521" t="n"/>
      <c r="X25" s="521" t="n"/>
      <c r="Y25" s="521" t="n"/>
      <c r="Z25" s="521" t="n"/>
      <c r="AA25" s="662" t="n"/>
      <c r="AB25" s="521" t="n"/>
      <c r="AC25" s="521" t="n"/>
      <c r="AD25" s="521" t="n"/>
      <c r="AE25" s="521" t="n"/>
      <c r="AF25" s="662" t="n"/>
      <c r="AG25" s="521" t="n"/>
      <c r="AH25" s="521" t="n"/>
      <c r="AI25" s="521" t="n"/>
      <c r="AJ25" s="521" t="n"/>
      <c r="AK25" s="662" t="n"/>
    </row>
    <row r="26" ht="15.75" customHeight="1" s="462">
      <c r="A26" s="489" t="n"/>
      <c r="B26" s="538" t="n"/>
      <c r="C26" s="489" t="n"/>
      <c r="D26" s="489" t="n"/>
      <c r="E26" s="489" t="n"/>
      <c r="F26" s="489" t="n"/>
      <c r="G26" s="538" t="n"/>
      <c r="H26" s="489" t="n"/>
      <c r="I26" s="489" t="n"/>
      <c r="J26" s="489" t="n"/>
      <c r="K26" s="489" t="n"/>
      <c r="L26" s="538" t="n"/>
      <c r="M26" s="489" t="n"/>
      <c r="N26" s="489" t="n"/>
      <c r="O26" s="489" t="n"/>
      <c r="P26" s="489" t="n"/>
      <c r="Q26" s="538" t="n"/>
      <c r="R26" s="489" t="n"/>
      <c r="S26" s="489" t="n"/>
      <c r="T26" s="489" t="n"/>
      <c r="U26" s="489" t="n"/>
      <c r="V26" s="538" t="n"/>
      <c r="W26" s="489" t="n"/>
      <c r="X26" s="489" t="n"/>
      <c r="Y26" s="489" t="n"/>
      <c r="Z26" s="489" t="n"/>
      <c r="AA26" s="538" t="n"/>
      <c r="AB26" s="489" t="n"/>
      <c r="AC26" s="489" t="n"/>
      <c r="AD26" s="489" t="n"/>
      <c r="AE26" s="489" t="n"/>
      <c r="AF26" s="538" t="n"/>
      <c r="AG26" s="489" t="n"/>
      <c r="AH26" s="489" t="n"/>
      <c r="AI26" s="489" t="n"/>
      <c r="AJ26" s="489" t="n"/>
      <c r="AK26" s="538" t="n"/>
    </row>
    <row r="27" ht="15" customHeight="1" s="462">
      <c r="B27" s="662" t="n"/>
      <c r="C27" s="529" t="n"/>
      <c r="D27" s="529" t="n"/>
      <c r="E27" s="529" t="n"/>
      <c r="F27" s="529" t="n"/>
      <c r="G27" s="662" t="n"/>
      <c r="H27" s="461" t="n"/>
      <c r="I27" s="461" t="n"/>
      <c r="J27" s="461" t="n"/>
      <c r="K27" s="461" t="n"/>
      <c r="L27" s="662" t="n"/>
      <c r="M27" s="461" t="n"/>
      <c r="N27" s="461" t="n"/>
      <c r="O27" s="529" t="n"/>
      <c r="P27" s="529" t="n"/>
      <c r="Q27" s="662" t="n"/>
      <c r="R27" s="461" t="n"/>
      <c r="S27" s="461" t="n"/>
      <c r="T27" s="461" t="n"/>
      <c r="U27" s="461" t="n"/>
      <c r="V27" s="662" t="n"/>
      <c r="W27" s="461" t="n"/>
      <c r="X27" s="461" t="n"/>
      <c r="Y27" s="461" t="n"/>
      <c r="Z27" s="461" t="n"/>
      <c r="AA27" s="662" t="n"/>
      <c r="AB27" s="461" t="n"/>
      <c r="AC27" s="461" t="n"/>
      <c r="AD27" s="461" t="n"/>
      <c r="AE27" s="461" t="n"/>
      <c r="AF27" s="662" t="n"/>
      <c r="AG27" s="461" t="n"/>
      <c r="AH27" s="461" t="n"/>
      <c r="AI27" s="461" t="n"/>
      <c r="AJ27" s="461" t="n"/>
      <c r="AK27" s="662" t="n"/>
    </row>
    <row r="28" ht="15" customHeight="1" s="462">
      <c r="A28" s="491" t="inlineStr">
        <is>
          <t>Y/Y (%) Growth</t>
        </is>
      </c>
      <c r="B28" s="662" t="n"/>
      <c r="C28" s="521" t="n"/>
      <c r="D28" s="521" t="n"/>
      <c r="E28" s="521" t="n"/>
      <c r="F28" s="521" t="n"/>
      <c r="G28" s="662" t="n"/>
      <c r="H28" s="461" t="n"/>
      <c r="I28" s="461" t="n"/>
      <c r="J28" s="461" t="n"/>
      <c r="K28" s="461" t="n"/>
      <c r="L28" s="662" t="n"/>
      <c r="M28" s="461" t="n"/>
      <c r="N28" s="461" t="n"/>
      <c r="O28" s="461" t="n"/>
      <c r="P28" s="529" t="n"/>
      <c r="Q28" s="662" t="n"/>
      <c r="R28" s="461" t="n"/>
      <c r="S28" s="461" t="n"/>
      <c r="T28" s="461" t="n"/>
      <c r="U28" s="461" t="n"/>
      <c r="V28" s="662" t="n"/>
      <c r="W28" s="461" t="n"/>
      <c r="X28" s="461" t="n"/>
      <c r="Y28" s="461" t="n"/>
      <c r="Z28" s="461" t="n"/>
      <c r="AA28" s="662" t="n"/>
      <c r="AB28" s="461" t="n"/>
      <c r="AC28" s="461" t="n"/>
      <c r="AD28" s="461" t="n"/>
      <c r="AE28" s="461" t="n"/>
      <c r="AF28" s="662" t="n"/>
      <c r="AG28" s="461" t="n"/>
      <c r="AH28" s="461" t="n"/>
      <c r="AI28" s="663" t="n"/>
      <c r="AJ28" s="461" t="n"/>
      <c r="AK28" s="662" t="n"/>
    </row>
    <row r="29" ht="15" customHeight="1" s="462">
      <c r="B29" s="662" t="n"/>
      <c r="C29" s="521" t="n"/>
      <c r="D29" s="521" t="n"/>
      <c r="E29" s="521" t="n"/>
      <c r="F29" s="521" t="n"/>
      <c r="G29" s="662" t="n"/>
      <c r="H29" s="461" t="n"/>
      <c r="I29" s="461" t="n"/>
      <c r="J29" s="461" t="n"/>
      <c r="K29" s="461" t="n"/>
      <c r="L29" s="662" t="n"/>
      <c r="M29" s="461" t="n"/>
      <c r="N29" s="461" t="n"/>
      <c r="O29" s="461" t="n"/>
      <c r="P29" s="461" t="n"/>
      <c r="Q29" s="662" t="n"/>
      <c r="R29" s="461" t="n"/>
      <c r="S29" s="461" t="n"/>
      <c r="T29" s="461" t="n"/>
      <c r="U29" s="461" t="n"/>
      <c r="V29" s="662" t="n"/>
      <c r="W29" s="461" t="n"/>
      <c r="X29" s="461" t="n"/>
      <c r="Y29" s="461" t="n"/>
      <c r="Z29" s="461" t="n"/>
      <c r="AA29" s="662" t="n"/>
      <c r="AB29" s="461" t="n"/>
      <c r="AC29" s="461" t="n"/>
      <c r="AD29" s="461" t="n"/>
      <c r="AE29" s="461" t="n"/>
      <c r="AF29" s="662" t="n"/>
      <c r="AG29" s="461" t="n"/>
      <c r="AH29" s="461" t="n"/>
      <c r="AI29" s="461" t="n"/>
      <c r="AJ29" s="461" t="n"/>
      <c r="AK29" s="662" t="n"/>
    </row>
    <row r="30" ht="15" customHeight="1" s="462">
      <c r="A30" s="522" t="inlineStr">
        <is>
          <t>Formulations</t>
        </is>
      </c>
      <c r="B30" s="662" t="n"/>
      <c r="C30" s="521" t="n"/>
      <c r="D30" s="521" t="n"/>
      <c r="E30" s="521" t="n"/>
      <c r="F30" s="521" t="n"/>
      <c r="G30" s="662" t="n"/>
      <c r="H30" s="461" t="n"/>
      <c r="I30" s="461" t="n"/>
      <c r="J30" s="461" t="n"/>
      <c r="K30" s="461" t="n"/>
      <c r="L30" s="662" t="n"/>
      <c r="M30" s="461" t="n"/>
      <c r="N30" s="461" t="n"/>
      <c r="O30" s="461" t="n"/>
      <c r="P30" s="461" t="n"/>
      <c r="Q30" s="662" t="n"/>
      <c r="R30" s="461" t="n"/>
      <c r="S30" s="461" t="n"/>
      <c r="T30" s="461" t="n"/>
      <c r="U30" s="461" t="n"/>
      <c r="V30" s="662" t="n"/>
      <c r="W30" s="461" t="n"/>
      <c r="X30" s="461" t="n"/>
      <c r="Y30" s="461" t="n"/>
      <c r="Z30" s="461" t="n"/>
      <c r="AA30" s="662" t="n"/>
      <c r="AB30" s="461" t="n"/>
      <c r="AC30" s="461" t="n"/>
      <c r="AD30" s="461" t="n"/>
      <c r="AE30" s="461" t="n"/>
      <c r="AF30" s="662" t="n"/>
      <c r="AG30" s="461" t="n"/>
      <c r="AH30" s="461" t="n"/>
      <c r="AI30" s="461" t="n"/>
      <c r="AJ30" s="461" t="n"/>
      <c r="AK30" s="662" t="n"/>
    </row>
    <row r="31" ht="15" customHeight="1" s="462">
      <c r="A31" s="461" t="inlineStr">
        <is>
          <t>USA</t>
        </is>
      </c>
      <c r="B31" s="662" t="n"/>
      <c r="C31" s="521" t="n"/>
      <c r="D31" s="521" t="n"/>
      <c r="E31" s="521" t="n"/>
      <c r="F31" s="521" t="n"/>
      <c r="G31" s="660" t="n"/>
      <c r="H31" s="529" t="n"/>
      <c r="I31" s="529" t="n"/>
      <c r="J31" s="529" t="n"/>
      <c r="K31" s="529" t="n"/>
      <c r="L31" s="664" t="n"/>
      <c r="M31" s="529" t="n"/>
      <c r="N31" s="529" t="n"/>
      <c r="O31" s="529" t="n"/>
      <c r="P31" s="529" t="n"/>
      <c r="Q31" s="664" t="n"/>
      <c r="R31" s="529" t="n"/>
      <c r="S31" s="529" t="n"/>
      <c r="T31" s="529" t="n"/>
      <c r="U31" s="529" t="n"/>
      <c r="V31" s="664" t="n"/>
      <c r="W31" s="529" t="n"/>
      <c r="X31" s="529" t="n"/>
      <c r="Y31" s="529" t="n"/>
      <c r="Z31" s="529" t="n"/>
      <c r="AA31" s="664" t="n"/>
      <c r="AB31" s="529" t="n"/>
      <c r="AC31" s="529" t="n"/>
      <c r="AD31" s="529" t="n"/>
      <c r="AE31" s="529" t="n"/>
      <c r="AF31" s="664" t="n"/>
      <c r="AG31" s="529" t="n"/>
      <c r="AH31" s="529" t="n"/>
      <c r="AI31" s="529" t="n"/>
      <c r="AJ31" s="529" t="n"/>
      <c r="AK31" s="664" t="n"/>
    </row>
    <row r="32" ht="15" customHeight="1" s="462">
      <c r="A32" s="461" t="inlineStr">
        <is>
          <t>Europe</t>
        </is>
      </c>
      <c r="B32" s="662" t="n"/>
      <c r="C32" s="521" t="n"/>
      <c r="D32" s="521" t="n"/>
      <c r="E32" s="521" t="n"/>
      <c r="F32" s="521" t="n"/>
      <c r="G32" s="660" t="n"/>
      <c r="H32" s="529" t="n"/>
      <c r="I32" s="529" t="n"/>
      <c r="J32" s="529" t="n"/>
      <c r="K32" s="529" t="n"/>
      <c r="L32" s="664" t="n"/>
      <c r="M32" s="529" t="n"/>
      <c r="N32" s="529" t="n"/>
      <c r="O32" s="529" t="n"/>
      <c r="P32" s="529" t="n"/>
      <c r="Q32" s="664" t="n"/>
      <c r="R32" s="529" t="n"/>
      <c r="S32" s="529" t="n"/>
      <c r="T32" s="529" t="n"/>
      <c r="U32" s="529" t="n"/>
      <c r="V32" s="664" t="n"/>
      <c r="W32" s="529" t="n"/>
      <c r="X32" s="529" t="n"/>
      <c r="Y32" s="529" t="n"/>
      <c r="Z32" s="529" t="n"/>
      <c r="AA32" s="664" t="n"/>
      <c r="AB32" s="529" t="n"/>
      <c r="AC32" s="529" t="n"/>
      <c r="AD32" s="529" t="n"/>
      <c r="AE32" s="529" t="n"/>
      <c r="AF32" s="664" t="n"/>
      <c r="AG32" s="529" t="n"/>
      <c r="AH32" s="529" t="n"/>
      <c r="AI32" s="529" t="n"/>
      <c r="AJ32" s="529" t="n"/>
      <c r="AK32" s="664" t="n"/>
    </row>
    <row r="33" ht="15" customHeight="1" s="462">
      <c r="A33" s="461" t="inlineStr">
        <is>
          <t>ARV's</t>
        </is>
      </c>
      <c r="B33" s="662" t="n"/>
      <c r="C33" s="521" t="n"/>
      <c r="D33" s="521" t="n"/>
      <c r="E33" s="521" t="n"/>
      <c r="F33" s="521" t="n"/>
      <c r="G33" s="660" t="n"/>
      <c r="H33" s="529" t="n"/>
      <c r="I33" s="529" t="n"/>
      <c r="J33" s="529" t="n"/>
      <c r="K33" s="529" t="n"/>
      <c r="L33" s="664" t="n"/>
      <c r="M33" s="529" t="n"/>
      <c r="N33" s="529" t="n"/>
      <c r="O33" s="529" t="n"/>
      <c r="P33" s="529" t="n"/>
      <c r="Q33" s="664" t="n"/>
      <c r="R33" s="529" t="n"/>
      <c r="S33" s="529" t="n"/>
      <c r="T33" s="529" t="n"/>
      <c r="U33" s="529" t="n"/>
      <c r="V33" s="664" t="n"/>
      <c r="W33" s="529" t="n"/>
      <c r="X33" s="529" t="n"/>
      <c r="Y33" s="529" t="n"/>
      <c r="Z33" s="529" t="n"/>
      <c r="AA33" s="664" t="n"/>
      <c r="AB33" s="529" t="n"/>
      <c r="AC33" s="529" t="n"/>
      <c r="AD33" s="529" t="n"/>
      <c r="AE33" s="529" t="n"/>
      <c r="AF33" s="664" t="n"/>
      <c r="AG33" s="529" t="n"/>
      <c r="AH33" s="529" t="n"/>
      <c r="AI33" s="529" t="n"/>
      <c r="AJ33" s="529" t="n"/>
      <c r="AK33" s="664" t="n"/>
    </row>
    <row r="34" ht="15" customHeight="1" s="462">
      <c r="A34" s="461" t="inlineStr">
        <is>
          <t>Rest of the World</t>
        </is>
      </c>
      <c r="B34" s="662" t="n"/>
      <c r="C34" s="521" t="n"/>
      <c r="D34" s="521" t="n"/>
      <c r="E34" s="521" t="n"/>
      <c r="F34" s="521" t="n"/>
      <c r="G34" s="660" t="n"/>
      <c r="H34" s="529" t="n"/>
      <c r="I34" s="529" t="n"/>
      <c r="J34" s="529" t="n"/>
      <c r="K34" s="529" t="n"/>
      <c r="L34" s="664" t="n"/>
      <c r="M34" s="529" t="n"/>
      <c r="N34" s="529" t="n"/>
      <c r="O34" s="529" t="n"/>
      <c r="P34" s="529" t="n"/>
      <c r="Q34" s="664" t="n"/>
      <c r="R34" s="529" t="n"/>
      <c r="S34" s="529" t="n"/>
      <c r="T34" s="529" t="n"/>
      <c r="U34" s="529" t="n"/>
      <c r="V34" s="664" t="n"/>
      <c r="W34" s="529" t="n"/>
      <c r="X34" s="529" t="n"/>
      <c r="Y34" s="529" t="n"/>
      <c r="Z34" s="529" t="n"/>
      <c r="AA34" s="664" t="n"/>
      <c r="AB34" s="529" t="n"/>
      <c r="AC34" s="529" t="n"/>
      <c r="AD34" s="529" t="n"/>
      <c r="AE34" s="529" t="n"/>
      <c r="AF34" s="664" t="n"/>
      <c r="AG34" s="529" t="n"/>
      <c r="AH34" s="529" t="n"/>
      <c r="AI34" s="529" t="n"/>
      <c r="AJ34" s="529" t="n"/>
      <c r="AK34" s="664" t="n"/>
    </row>
    <row r="35" ht="15" customHeight="1" s="462">
      <c r="A35" s="522" t="inlineStr">
        <is>
          <t>Total</t>
        </is>
      </c>
      <c r="B35" s="662" t="n"/>
      <c r="C35" s="521" t="n"/>
      <c r="D35" s="521" t="n"/>
      <c r="E35" s="521" t="n"/>
      <c r="F35" s="521" t="n"/>
      <c r="G35" s="660" t="n"/>
      <c r="H35" s="529" t="n"/>
      <c r="I35" s="529" t="n"/>
      <c r="J35" s="529" t="n"/>
      <c r="K35" s="529" t="n"/>
      <c r="L35" s="664" t="n"/>
      <c r="M35" s="529" t="n"/>
      <c r="N35" s="529" t="n"/>
      <c r="O35" s="529" t="n"/>
      <c r="P35" s="529" t="n"/>
      <c r="Q35" s="664" t="n"/>
      <c r="R35" s="529" t="n"/>
      <c r="S35" s="529" t="n"/>
      <c r="T35" s="529" t="n"/>
      <c r="U35" s="529" t="n"/>
      <c r="V35" s="664" t="n"/>
      <c r="W35" s="529" t="n"/>
      <c r="X35" s="529" t="n"/>
      <c r="Y35" s="529" t="n"/>
      <c r="Z35" s="529" t="n"/>
      <c r="AA35" s="664" t="n"/>
      <c r="AB35" s="529" t="n"/>
      <c r="AC35" s="529" t="n"/>
      <c r="AD35" s="529" t="n"/>
      <c r="AE35" s="529" t="n"/>
      <c r="AF35" s="664" t="n"/>
      <c r="AG35" s="529" t="n"/>
      <c r="AH35" s="529" t="n"/>
      <c r="AI35" s="529" t="n"/>
      <c r="AJ35" s="529" t="n"/>
      <c r="AK35" s="664" t="n"/>
    </row>
    <row r="36" ht="15" customHeight="1" s="462">
      <c r="B36" s="662" t="n"/>
      <c r="C36" s="521" t="n"/>
      <c r="D36" s="521" t="n"/>
      <c r="E36" s="521" t="n"/>
      <c r="F36" s="521" t="n"/>
      <c r="G36" s="662" t="n"/>
      <c r="H36" s="461" t="n"/>
      <c r="I36" s="461" t="n"/>
      <c r="J36" s="461" t="n"/>
      <c r="K36" s="461" t="n"/>
      <c r="L36" s="665" t="n"/>
      <c r="M36" s="461" t="n"/>
      <c r="N36" s="461" t="n"/>
      <c r="O36" s="461" t="n"/>
      <c r="P36" s="461" t="n"/>
      <c r="Q36" s="665" t="n"/>
      <c r="R36" s="461" t="n"/>
      <c r="S36" s="461" t="n"/>
      <c r="T36" s="461" t="n"/>
      <c r="U36" s="461" t="n"/>
      <c r="V36" s="662" t="n"/>
      <c r="W36" s="461" t="n"/>
      <c r="X36" s="461" t="n"/>
      <c r="Y36" s="461" t="n"/>
      <c r="Z36" s="461" t="n"/>
      <c r="AA36" s="662" t="n"/>
      <c r="AB36" s="461" t="n"/>
      <c r="AC36" s="461" t="n"/>
      <c r="AD36" s="461" t="n"/>
      <c r="AE36" s="461" t="n"/>
      <c r="AF36" s="662" t="n"/>
      <c r="AG36" s="461" t="n"/>
      <c r="AH36" s="461" t="n"/>
      <c r="AI36" s="461" t="n"/>
      <c r="AJ36" s="461" t="n"/>
      <c r="AK36" s="662" t="n"/>
    </row>
    <row r="37" ht="15" customHeight="1" s="462">
      <c r="A37" s="522" t="inlineStr">
        <is>
          <t>Active Ingredients</t>
        </is>
      </c>
      <c r="B37" s="662" t="n"/>
      <c r="C37" s="521" t="n"/>
      <c r="D37" s="521" t="n"/>
      <c r="E37" s="521" t="n"/>
      <c r="F37" s="521" t="n"/>
      <c r="G37" s="662" t="n"/>
      <c r="H37" s="461" t="n"/>
      <c r="I37" s="461" t="n"/>
      <c r="J37" s="461" t="n"/>
      <c r="K37" s="461" t="n"/>
      <c r="L37" s="665" t="n"/>
      <c r="M37" s="461" t="n"/>
      <c r="N37" s="461" t="n"/>
      <c r="O37" s="461" t="n"/>
      <c r="P37" s="461" t="n"/>
      <c r="Q37" s="665" t="n"/>
      <c r="R37" s="461" t="n"/>
      <c r="S37" s="461" t="n"/>
      <c r="T37" s="461" t="n"/>
      <c r="U37" s="461" t="n"/>
      <c r="V37" s="662" t="n"/>
      <c r="W37" s="461" t="n"/>
      <c r="X37" s="461" t="n"/>
      <c r="Y37" s="461" t="n"/>
      <c r="Z37" s="461" t="n"/>
      <c r="AA37" s="662" t="n"/>
      <c r="AB37" s="461" t="n"/>
      <c r="AC37" s="461" t="n"/>
      <c r="AD37" s="461" t="n"/>
      <c r="AE37" s="461" t="n"/>
      <c r="AF37" s="662" t="n"/>
      <c r="AG37" s="461" t="n"/>
      <c r="AH37" s="461" t="n"/>
      <c r="AI37" s="461" t="n"/>
      <c r="AJ37" s="461" t="n"/>
      <c r="AK37" s="662" t="n"/>
    </row>
    <row r="38" ht="15" customHeight="1" s="462">
      <c r="A38" s="461" t="inlineStr">
        <is>
          <t>SSPs</t>
        </is>
      </c>
      <c r="B38" s="662" t="n"/>
      <c r="C38" s="521" t="n"/>
      <c r="D38" s="521" t="n"/>
      <c r="E38" s="521" t="n"/>
      <c r="F38" s="521" t="n"/>
      <c r="G38" s="660" t="n"/>
      <c r="H38" s="529" t="n"/>
      <c r="I38" s="529" t="n"/>
      <c r="J38" s="529" t="n"/>
      <c r="K38" s="529" t="n"/>
      <c r="L38" s="665" t="n"/>
      <c r="M38" s="529" t="n"/>
      <c r="N38" s="529" t="n"/>
      <c r="O38" s="529" t="n"/>
      <c r="P38" s="529" t="n"/>
      <c r="Q38" s="665" t="n"/>
      <c r="R38" s="529" t="n"/>
      <c r="S38" s="529" t="n"/>
      <c r="T38" s="529" t="n"/>
      <c r="U38" s="529" t="n"/>
      <c r="V38" s="664" t="n"/>
      <c r="W38" s="529" t="n"/>
      <c r="X38" s="529" t="n"/>
      <c r="Y38" s="529" t="n"/>
      <c r="Z38" s="529" t="n"/>
      <c r="AA38" s="664" t="n"/>
      <c r="AB38" s="529" t="n"/>
      <c r="AC38" s="529" t="n"/>
      <c r="AD38" s="529" t="n"/>
      <c r="AE38" s="529" t="n"/>
      <c r="AF38" s="664" t="n"/>
      <c r="AG38" s="529" t="n"/>
      <c r="AH38" s="529" t="n"/>
      <c r="AI38" s="529" t="n"/>
      <c r="AJ38" s="529" t="n"/>
      <c r="AK38" s="664" t="n"/>
    </row>
    <row r="39" ht="15" customHeight="1" s="462">
      <c r="A39" s="461" t="inlineStr">
        <is>
          <t>Cephs</t>
        </is>
      </c>
      <c r="B39" s="662" t="n"/>
      <c r="C39" s="521" t="n"/>
      <c r="D39" s="521" t="n"/>
      <c r="E39" s="521" t="n"/>
      <c r="F39" s="521" t="n"/>
      <c r="G39" s="660" t="n"/>
      <c r="H39" s="529" t="n"/>
      <c r="I39" s="529" t="n"/>
      <c r="J39" s="529" t="n"/>
      <c r="K39" s="529" t="n"/>
      <c r="L39" s="665" t="n"/>
      <c r="M39" s="529" t="n"/>
      <c r="N39" s="529" t="n"/>
      <c r="O39" s="529" t="n"/>
      <c r="P39" s="529" t="n"/>
      <c r="Q39" s="665" t="n"/>
      <c r="R39" s="529" t="n"/>
      <c r="S39" s="529" t="n"/>
      <c r="T39" s="529" t="n"/>
      <c r="U39" s="529" t="n"/>
      <c r="V39" s="664" t="n"/>
      <c r="W39" s="529" t="n"/>
      <c r="X39" s="529" t="n"/>
      <c r="Y39" s="529" t="n"/>
      <c r="Z39" s="529" t="n"/>
      <c r="AA39" s="664" t="n"/>
      <c r="AB39" s="529" t="n"/>
      <c r="AC39" s="529" t="n"/>
      <c r="AD39" s="529" t="n"/>
      <c r="AE39" s="529" t="n"/>
      <c r="AF39" s="664" t="n"/>
      <c r="AG39" s="529" t="n"/>
      <c r="AH39" s="529" t="n"/>
      <c r="AI39" s="529" t="n"/>
      <c r="AJ39" s="529" t="n"/>
      <c r="AK39" s="664" t="n"/>
    </row>
    <row r="40" ht="15" customHeight="1" s="462">
      <c r="A40" s="461" t="inlineStr">
        <is>
          <t>ARVs &amp; Others</t>
        </is>
      </c>
      <c r="B40" s="662" t="n"/>
      <c r="C40" s="521" t="n"/>
      <c r="D40" s="521" t="n"/>
      <c r="E40" s="521" t="n"/>
      <c r="F40" s="521" t="n"/>
      <c r="G40" s="660" t="n"/>
      <c r="H40" s="529" t="n"/>
      <c r="I40" s="529" t="n"/>
      <c r="J40" s="529" t="n"/>
      <c r="K40" s="529" t="n"/>
      <c r="L40" s="664" t="n"/>
      <c r="M40" s="529" t="n"/>
      <c r="N40" s="529" t="n"/>
      <c r="O40" s="529" t="n"/>
      <c r="P40" s="529" t="n"/>
      <c r="Q40" s="664" t="n"/>
      <c r="R40" s="529" t="n"/>
      <c r="S40" s="529" t="n"/>
      <c r="T40" s="529" t="n"/>
      <c r="U40" s="529" t="n"/>
      <c r="V40" s="664" t="n"/>
      <c r="W40" s="529" t="n"/>
      <c r="X40" s="529" t="n"/>
      <c r="Y40" s="529" t="n"/>
      <c r="Z40" s="529" t="n"/>
      <c r="AA40" s="664" t="n"/>
      <c r="AB40" s="529" t="n"/>
      <c r="AC40" s="529" t="n"/>
      <c r="AD40" s="529" t="n"/>
      <c r="AE40" s="529" t="n"/>
      <c r="AF40" s="664" t="n"/>
      <c r="AG40" s="529" t="n"/>
      <c r="AH40" s="529" t="n"/>
      <c r="AI40" s="529" t="n"/>
      <c r="AJ40" s="529" t="n"/>
      <c r="AK40" s="664" t="n"/>
    </row>
    <row r="41" ht="15" customHeight="1" s="462">
      <c r="A41" s="522" t="inlineStr">
        <is>
          <t>Total</t>
        </is>
      </c>
      <c r="B41" s="662" t="n"/>
      <c r="C41" s="521" t="n"/>
      <c r="D41" s="521" t="n"/>
      <c r="E41" s="521" t="n"/>
      <c r="F41" s="521" t="n"/>
      <c r="G41" s="660" t="n"/>
      <c r="H41" s="529" t="n"/>
      <c r="I41" s="529" t="n"/>
      <c r="J41" s="529" t="n"/>
      <c r="K41" s="529" t="n"/>
      <c r="L41" s="664" t="n"/>
      <c r="M41" s="529" t="n"/>
      <c r="N41" s="529" t="n"/>
      <c r="O41" s="529" t="n"/>
      <c r="P41" s="529" t="n"/>
      <c r="Q41" s="664" t="n"/>
      <c r="R41" s="529" t="n"/>
      <c r="S41" s="529" t="n"/>
      <c r="T41" s="529" t="n"/>
      <c r="U41" s="529" t="n"/>
      <c r="V41" s="664" t="n"/>
      <c r="W41" s="529" t="n"/>
      <c r="X41" s="529" t="n"/>
      <c r="Y41" s="529" t="n"/>
      <c r="Z41" s="529" t="n"/>
      <c r="AA41" s="664" t="n"/>
      <c r="AB41" s="529" t="n"/>
      <c r="AC41" s="529" t="n"/>
      <c r="AD41" s="529" t="n"/>
      <c r="AE41" s="529" t="n"/>
      <c r="AF41" s="664" t="n"/>
      <c r="AG41" s="529" t="n"/>
      <c r="AH41" s="529" t="n"/>
      <c r="AI41" s="529" t="n"/>
      <c r="AJ41" s="529" t="n"/>
      <c r="AK41" s="664" t="n"/>
    </row>
    <row r="42" ht="15" customHeight="1" s="462">
      <c r="B42" s="662" t="n"/>
      <c r="C42" s="521" t="n"/>
      <c r="D42" s="521" t="n"/>
      <c r="E42" s="521" t="n"/>
      <c r="F42" s="521" t="n"/>
      <c r="G42" s="662" t="n"/>
      <c r="H42" s="461" t="n"/>
      <c r="I42" s="461" t="n"/>
      <c r="J42" s="461" t="n"/>
      <c r="K42" s="461" t="n"/>
      <c r="L42" s="664" t="n"/>
      <c r="M42" s="461" t="n"/>
      <c r="N42" s="461" t="n"/>
      <c r="O42" s="461" t="n"/>
      <c r="P42" s="461" t="n"/>
      <c r="Q42" s="664" t="n"/>
      <c r="R42" s="461" t="n"/>
      <c r="S42" s="461" t="n"/>
      <c r="T42" s="461" t="n"/>
      <c r="U42" s="461" t="n"/>
      <c r="V42" s="664" t="n"/>
      <c r="W42" s="461" t="n"/>
      <c r="X42" s="461" t="n"/>
      <c r="Y42" s="461" t="n"/>
      <c r="Z42" s="461" t="n"/>
      <c r="AA42" s="664" t="n"/>
      <c r="AB42" s="461" t="n"/>
      <c r="AC42" s="461" t="n"/>
      <c r="AD42" s="461" t="n"/>
      <c r="AE42" s="461" t="n"/>
      <c r="AF42" s="664" t="n"/>
      <c r="AG42" s="461" t="n"/>
      <c r="AH42" s="461" t="n"/>
      <c r="AI42" s="461" t="n"/>
      <c r="AJ42" s="461" t="n"/>
      <c r="AK42" s="664" t="n"/>
    </row>
    <row r="43" ht="15" customHeight="1" s="462">
      <c r="B43" s="563" t="n"/>
      <c r="C43" s="521" t="n"/>
      <c r="D43" s="521" t="n"/>
      <c r="E43" s="521" t="n"/>
      <c r="F43" s="521" t="n"/>
      <c r="G43" s="563" t="n"/>
      <c r="H43" s="461" t="n"/>
      <c r="I43" s="461" t="n"/>
      <c r="J43" s="461" t="n"/>
      <c r="K43" s="461" t="n"/>
      <c r="L43" s="665" t="n"/>
      <c r="M43" s="461" t="n"/>
      <c r="N43" s="461" t="n"/>
      <c r="O43" s="461" t="n"/>
      <c r="P43" s="461" t="n"/>
      <c r="Q43" s="665" t="n"/>
      <c r="R43" s="461" t="n"/>
      <c r="S43" s="461" t="n"/>
      <c r="T43" s="461" t="n"/>
      <c r="U43" s="461" t="n"/>
      <c r="V43" s="665" t="n"/>
      <c r="W43" s="461" t="n"/>
      <c r="X43" s="461" t="n"/>
      <c r="Y43" s="461" t="n"/>
      <c r="Z43" s="461" t="n"/>
      <c r="AA43" s="665" t="n"/>
      <c r="AB43" s="461" t="n"/>
      <c r="AC43" s="461" t="n"/>
      <c r="AD43" s="461" t="n"/>
      <c r="AE43" s="461" t="n"/>
      <c r="AF43" s="665" t="n"/>
      <c r="AG43" s="461" t="n"/>
      <c r="AH43" s="461" t="n"/>
      <c r="AI43" s="461" t="n"/>
      <c r="AJ43" s="461" t="n"/>
      <c r="AK43" s="665" t="n"/>
    </row>
    <row r="44" ht="15" customHeight="1" s="462">
      <c r="A44" s="461" t="inlineStr">
        <is>
          <t>Formulations</t>
        </is>
      </c>
      <c r="B44" s="563" t="n"/>
      <c r="C44" s="521" t="n"/>
      <c r="D44" s="521" t="n"/>
      <c r="E44" s="521" t="n"/>
      <c r="F44" s="521" t="n"/>
      <c r="G44" s="665" t="n"/>
      <c r="H44" s="529" t="n"/>
      <c r="I44" s="529" t="n"/>
      <c r="J44" s="529" t="n"/>
      <c r="K44" s="529" t="n"/>
      <c r="L44" s="665" t="n"/>
      <c r="M44" s="529" t="n"/>
      <c r="N44" s="529" t="n"/>
      <c r="O44" s="529" t="n"/>
      <c r="P44" s="529" t="n"/>
      <c r="Q44" s="665" t="n"/>
      <c r="R44" s="529" t="n"/>
      <c r="S44" s="529" t="n"/>
      <c r="T44" s="529" t="n"/>
      <c r="U44" s="529" t="n"/>
      <c r="V44" s="665" t="n"/>
      <c r="W44" s="529" t="n"/>
      <c r="X44" s="529" t="n"/>
      <c r="Y44" s="529" t="n"/>
      <c r="Z44" s="529" t="n"/>
      <c r="AA44" s="665" t="n"/>
      <c r="AB44" s="529" t="n"/>
      <c r="AC44" s="529" t="n"/>
      <c r="AD44" s="529" t="n"/>
      <c r="AE44" s="529" t="n"/>
      <c r="AF44" s="665" t="n"/>
      <c r="AG44" s="529" t="n"/>
      <c r="AH44" s="529" t="n"/>
      <c r="AI44" s="529" t="n"/>
      <c r="AJ44" s="529" t="n"/>
      <c r="AK44" s="665" t="n"/>
    </row>
    <row r="45" ht="15" customHeight="1" s="462">
      <c r="A45" s="461" t="inlineStr">
        <is>
          <t>Active Ingredients</t>
        </is>
      </c>
      <c r="B45" s="563" t="n"/>
      <c r="C45" s="521" t="n"/>
      <c r="D45" s="521" t="n"/>
      <c r="E45" s="521" t="n"/>
      <c r="F45" s="521" t="n"/>
      <c r="G45" s="665" t="n"/>
      <c r="H45" s="529" t="n"/>
      <c r="I45" s="529" t="n"/>
      <c r="J45" s="529" t="n"/>
      <c r="K45" s="529" t="n"/>
      <c r="L45" s="665" t="n"/>
      <c r="M45" s="529" t="n"/>
      <c r="N45" s="529" t="n"/>
      <c r="O45" s="529" t="n"/>
      <c r="P45" s="529" t="n"/>
      <c r="Q45" s="665" t="n"/>
      <c r="R45" s="529" t="n"/>
      <c r="S45" s="529" t="n"/>
      <c r="T45" s="529" t="n"/>
      <c r="U45" s="529" t="n"/>
      <c r="V45" s="665" t="n"/>
      <c r="W45" s="529" t="n"/>
      <c r="X45" s="529" t="n"/>
      <c r="Y45" s="529" t="n"/>
      <c r="Z45" s="529" t="n"/>
      <c r="AA45" s="665" t="n"/>
      <c r="AB45" s="529" t="n"/>
      <c r="AC45" s="529" t="n"/>
      <c r="AD45" s="529" t="n"/>
      <c r="AE45" s="529" t="n"/>
      <c r="AF45" s="665" t="n"/>
      <c r="AG45" s="529" t="n"/>
      <c r="AH45" s="529" t="n"/>
      <c r="AI45" s="529" t="n"/>
      <c r="AJ45" s="529" t="n"/>
      <c r="AK45" s="665" t="n"/>
    </row>
    <row r="46" ht="15" customHeight="1" s="462">
      <c r="A46" s="522" t="inlineStr">
        <is>
          <t>Total</t>
        </is>
      </c>
      <c r="B46" s="563" t="n"/>
      <c r="C46" s="521" t="n"/>
      <c r="D46" s="521" t="n"/>
      <c r="E46" s="521" t="n"/>
      <c r="F46" s="521" t="n"/>
      <c r="G46" s="665" t="n"/>
      <c r="H46" s="529" t="n"/>
      <c r="I46" s="529" t="n"/>
      <c r="J46" s="529" t="n"/>
      <c r="K46" s="529" t="n"/>
      <c r="L46" s="665" t="n"/>
      <c r="M46" s="529" t="n"/>
      <c r="N46" s="529" t="n"/>
      <c r="O46" s="529" t="n"/>
      <c r="P46" s="529" t="n"/>
      <c r="Q46" s="665" t="n"/>
      <c r="R46" s="529" t="n"/>
      <c r="S46" s="529" t="n"/>
      <c r="T46" s="529" t="n"/>
      <c r="U46" s="529" t="n"/>
      <c r="V46" s="665" t="n"/>
      <c r="W46" s="529" t="n"/>
      <c r="X46" s="529" t="n"/>
      <c r="Y46" s="529" t="n"/>
      <c r="Z46" s="529" t="n"/>
      <c r="AA46" s="665" t="n"/>
      <c r="AB46" s="529" t="n"/>
      <c r="AC46" s="529" t="n"/>
      <c r="AD46" s="529" t="n"/>
      <c r="AE46" s="529" t="n"/>
      <c r="AF46" s="665" t="n"/>
      <c r="AG46" s="529" t="n"/>
      <c r="AH46" s="529" t="n"/>
      <c r="AI46" s="529" t="n"/>
      <c r="AJ46" s="529" t="n"/>
      <c r="AK46" s="665" t="n"/>
    </row>
    <row r="47" ht="15" customHeight="1" s="462">
      <c r="A47" s="522" t="n"/>
      <c r="B47" s="563" t="n"/>
      <c r="C47" s="521" t="n"/>
      <c r="D47" s="521" t="n"/>
      <c r="E47" s="521" t="n"/>
      <c r="F47" s="521" t="n"/>
      <c r="G47" s="563" t="n"/>
      <c r="H47" s="529" t="n"/>
      <c r="I47" s="529" t="n"/>
      <c r="J47" s="529" t="n"/>
      <c r="K47" s="529" t="n"/>
      <c r="L47" s="563" t="n"/>
      <c r="M47" s="529" t="n"/>
      <c r="N47" s="461" t="n"/>
      <c r="O47" s="461" t="n"/>
      <c r="P47" s="461" t="n"/>
      <c r="Q47" s="563" t="n"/>
      <c r="R47" s="461" t="n"/>
      <c r="S47" s="461" t="n"/>
      <c r="T47" s="461" t="n"/>
      <c r="U47" s="461" t="n"/>
      <c r="V47" s="563" t="n"/>
      <c r="W47" s="461" t="n"/>
      <c r="X47" s="461" t="n"/>
      <c r="Y47" s="461" t="n"/>
      <c r="Z47" s="461" t="n"/>
      <c r="AA47" s="563" t="n"/>
      <c r="AB47" s="461" t="n"/>
      <c r="AC47" s="461" t="n"/>
      <c r="AD47" s="461" t="n"/>
      <c r="AE47" s="461" t="n"/>
      <c r="AF47" s="563" t="n"/>
      <c r="AG47" s="461" t="n"/>
      <c r="AH47" s="461" t="n"/>
      <c r="AI47" s="461" t="n"/>
      <c r="AJ47" s="461" t="n"/>
      <c r="AK47" s="563" t="n"/>
    </row>
    <row r="48" ht="15" customHeight="1" s="462">
      <c r="A48" s="522" t="n"/>
      <c r="B48" s="563" t="n"/>
      <c r="C48" s="521" t="n"/>
      <c r="D48" s="521" t="n"/>
      <c r="E48" s="521" t="n"/>
      <c r="F48" s="521" t="n"/>
      <c r="G48" s="563" t="n"/>
      <c r="H48" s="529" t="n"/>
      <c r="I48" s="529" t="n"/>
      <c r="J48" s="529" t="n"/>
      <c r="K48" s="529" t="n"/>
      <c r="L48" s="563" t="n"/>
      <c r="M48" s="529" t="n"/>
      <c r="Q48" s="563" t="n"/>
      <c r="V48" s="563" t="n"/>
      <c r="AA48" s="563" t="n"/>
      <c r="AF48" s="563" t="n"/>
      <c r="AK48" s="563" t="n"/>
    </row>
    <row r="49" ht="15" customHeight="1" s="462">
      <c r="B49" s="563" t="n"/>
      <c r="C49" s="521" t="n"/>
      <c r="D49" s="521" t="n"/>
      <c r="E49" s="521" t="n"/>
      <c r="F49" s="521" t="n"/>
      <c r="G49" s="563" t="n"/>
      <c r="L49" s="563" t="n"/>
      <c r="Q49" s="563" t="n"/>
      <c r="V49" s="563" t="n"/>
      <c r="AA49" s="563" t="n"/>
      <c r="AF49" s="563" t="n"/>
      <c r="AK49" s="563" t="n"/>
    </row>
    <row r="50" ht="15" customHeight="1" s="462">
      <c r="A50" s="491" t="inlineStr">
        <is>
          <t>Sequential - Q/Q (%) Growth</t>
        </is>
      </c>
      <c r="B50" s="563" t="n"/>
      <c r="C50" s="521" t="n"/>
      <c r="D50" s="521" t="n"/>
      <c r="E50" s="521" t="n"/>
      <c r="F50" s="521" t="n"/>
      <c r="G50" s="563" t="n"/>
      <c r="L50" s="563" t="n"/>
      <c r="Q50" s="563" t="n"/>
      <c r="V50" s="563" t="n"/>
      <c r="AA50" s="563" t="n"/>
      <c r="AF50" s="563" t="n"/>
      <c r="AK50" s="563" t="n"/>
    </row>
    <row r="51" ht="15" customFormat="1" customHeight="1" s="461">
      <c r="A51" s="573" t="n"/>
      <c r="B51" s="563" t="n"/>
      <c r="C51" s="521" t="n"/>
      <c r="D51" s="521" t="n"/>
      <c r="E51" s="521" t="n"/>
      <c r="F51" s="521" t="n"/>
      <c r="G51" s="563" t="n"/>
      <c r="L51" s="563" t="n"/>
      <c r="Q51" s="563" t="n"/>
      <c r="V51" s="563" t="n"/>
      <c r="AA51" s="563" t="n"/>
      <c r="AF51" s="563" t="n"/>
      <c r="AK51" s="563" t="n"/>
    </row>
    <row r="52" ht="15" customHeight="1" s="462">
      <c r="A52" s="522" t="inlineStr">
        <is>
          <t>Formulations</t>
        </is>
      </c>
      <c r="B52" s="563" t="n"/>
      <c r="C52" s="521" t="n"/>
      <c r="D52" s="521" t="n"/>
      <c r="E52" s="521" t="n"/>
      <c r="F52" s="521" t="n"/>
      <c r="G52" s="563" t="n"/>
      <c r="L52" s="563" t="n"/>
      <c r="Q52" s="563" t="n"/>
      <c r="V52" s="563" t="n"/>
      <c r="AA52" s="563" t="n"/>
      <c r="AF52" s="563" t="n"/>
      <c r="AK52" s="563" t="n"/>
    </row>
    <row r="53" ht="15" customHeight="1" s="462">
      <c r="A53" s="461" t="inlineStr">
        <is>
          <t>USA</t>
        </is>
      </c>
      <c r="B53" s="563" t="n"/>
      <c r="C53" s="521" t="n"/>
      <c r="D53" s="529" t="n"/>
      <c r="E53" s="529" t="n"/>
      <c r="F53" s="529" t="n"/>
      <c r="G53" s="666" t="n"/>
      <c r="H53" s="529" t="n"/>
      <c r="I53" s="529" t="n"/>
      <c r="J53" s="529" t="n"/>
      <c r="K53" s="529" t="n"/>
      <c r="L53" s="665" t="n"/>
      <c r="M53" s="529" t="n"/>
      <c r="Q53" s="563" t="n"/>
      <c r="V53" s="563" t="n"/>
      <c r="AA53" s="563" t="n"/>
      <c r="AF53" s="563" t="n"/>
      <c r="AK53" s="563" t="n"/>
    </row>
    <row r="54" ht="15" customHeight="1" s="462">
      <c r="A54" s="461" t="inlineStr">
        <is>
          <t>Europe</t>
        </is>
      </c>
      <c r="B54" s="563" t="n"/>
      <c r="C54" s="521" t="n"/>
      <c r="D54" s="529" t="n"/>
      <c r="E54" s="529" t="n"/>
      <c r="F54" s="529" t="n"/>
      <c r="G54" s="666" t="n"/>
      <c r="H54" s="529" t="n"/>
      <c r="I54" s="529" t="n"/>
      <c r="J54" s="529" t="n"/>
      <c r="K54" s="529" t="n"/>
      <c r="L54" s="665" t="n"/>
      <c r="M54" s="529" t="n"/>
      <c r="Q54" s="563" t="n"/>
      <c r="V54" s="563" t="n"/>
      <c r="AA54" s="563" t="n"/>
      <c r="AF54" s="563" t="n"/>
      <c r="AK54" s="563" t="n"/>
    </row>
    <row r="55" ht="15" customHeight="1" s="462">
      <c r="A55" s="461" t="inlineStr">
        <is>
          <t>ARV's</t>
        </is>
      </c>
      <c r="B55" s="563" t="n"/>
      <c r="C55" s="521" t="n"/>
      <c r="D55" s="529" t="n"/>
      <c r="E55" s="529" t="n"/>
      <c r="F55" s="529" t="n"/>
      <c r="G55" s="666" t="n"/>
      <c r="H55" s="529" t="n"/>
      <c r="I55" s="529" t="n"/>
      <c r="J55" s="529" t="n"/>
      <c r="K55" s="529" t="n"/>
      <c r="L55" s="665" t="n"/>
      <c r="M55" s="529" t="n"/>
      <c r="Q55" s="563" t="n"/>
      <c r="V55" s="563" t="n"/>
      <c r="AA55" s="563" t="n"/>
      <c r="AF55" s="563" t="n"/>
      <c r="AK55" s="563" t="n"/>
    </row>
    <row r="56" ht="15" customHeight="1" s="462">
      <c r="A56" s="461" t="inlineStr">
        <is>
          <t>Rest of the World</t>
        </is>
      </c>
      <c r="B56" s="563" t="n"/>
      <c r="C56" s="521" t="n"/>
      <c r="D56" s="529" t="n"/>
      <c r="E56" s="529" t="n"/>
      <c r="F56" s="529" t="n"/>
      <c r="G56" s="666" t="n"/>
      <c r="H56" s="529" t="n"/>
      <c r="I56" s="529" t="n"/>
      <c r="J56" s="529" t="n"/>
      <c r="K56" s="529" t="n"/>
      <c r="L56" s="665" t="n"/>
      <c r="M56" s="529" t="n"/>
      <c r="Q56" s="563" t="n"/>
      <c r="V56" s="563" t="n"/>
      <c r="AA56" s="563" t="n"/>
      <c r="AF56" s="563" t="n"/>
      <c r="AK56" s="563" t="n"/>
    </row>
    <row r="57" ht="15" customHeight="1" s="462">
      <c r="A57" s="522" t="inlineStr">
        <is>
          <t>Total</t>
        </is>
      </c>
      <c r="B57" s="563" t="n"/>
      <c r="C57" s="521" t="n"/>
      <c r="D57" s="529" t="n"/>
      <c r="E57" s="529" t="n"/>
      <c r="F57" s="529" t="n"/>
      <c r="G57" s="666" t="n"/>
      <c r="H57" s="529" t="n"/>
      <c r="I57" s="529" t="n"/>
      <c r="J57" s="529" t="n"/>
      <c r="K57" s="529" t="n"/>
      <c r="L57" s="665" t="n"/>
      <c r="M57" s="529" t="n"/>
      <c r="Q57" s="563" t="n"/>
      <c r="V57" s="563" t="n"/>
      <c r="AA57" s="563" t="n"/>
      <c r="AF57" s="563" t="n"/>
      <c r="AK57" s="563" t="n"/>
    </row>
    <row r="58" ht="15" customHeight="1" s="462">
      <c r="B58" s="563" t="n"/>
      <c r="C58" s="521" t="n"/>
      <c r="D58" s="529" t="n"/>
      <c r="E58" s="529" t="n"/>
      <c r="F58" s="529" t="n"/>
      <c r="G58" s="666" t="n"/>
      <c r="L58" s="665" t="n"/>
      <c r="Q58" s="563" t="n"/>
      <c r="V58" s="563" t="n"/>
      <c r="AA58" s="563" t="n"/>
      <c r="AF58" s="563" t="n"/>
      <c r="AK58" s="563" t="n"/>
    </row>
    <row r="59" ht="15" customHeight="1" s="462">
      <c r="A59" s="522" t="inlineStr">
        <is>
          <t>Active Ingredients</t>
        </is>
      </c>
      <c r="B59" s="563" t="n"/>
      <c r="C59" s="521" t="n"/>
      <c r="D59" s="521" t="n"/>
      <c r="E59" s="521" t="n"/>
      <c r="F59" s="521" t="n"/>
      <c r="G59" s="666" t="n"/>
      <c r="L59" s="665" t="n"/>
      <c r="M59" s="529" t="n"/>
      <c r="Q59" s="563" t="n"/>
      <c r="V59" s="563" t="n"/>
      <c r="AA59" s="563" t="n"/>
      <c r="AF59" s="563" t="n"/>
      <c r="AK59" s="563" t="n"/>
    </row>
    <row r="60" ht="15" customHeight="1" s="462">
      <c r="A60" s="461" t="inlineStr">
        <is>
          <t>SSPs</t>
        </is>
      </c>
      <c r="B60" s="563" t="n"/>
      <c r="C60" s="521" t="n"/>
      <c r="D60" s="529" t="n"/>
      <c r="E60" s="529" t="n"/>
      <c r="F60" s="529" t="n"/>
      <c r="G60" s="666" t="n"/>
      <c r="H60" s="529" t="n"/>
      <c r="I60" s="529" t="n"/>
      <c r="J60" s="529" t="n"/>
      <c r="K60" s="529" t="n"/>
      <c r="L60" s="665" t="n"/>
      <c r="M60" s="529" t="n"/>
      <c r="Q60" s="563" t="n"/>
      <c r="V60" s="563" t="n"/>
      <c r="AA60" s="563" t="n"/>
      <c r="AF60" s="563" t="n"/>
      <c r="AK60" s="563" t="n"/>
    </row>
    <row r="61" ht="15" customHeight="1" s="462">
      <c r="A61" s="461" t="inlineStr">
        <is>
          <t>Cephs</t>
        </is>
      </c>
      <c r="B61" s="563" t="n"/>
      <c r="C61" s="521" t="n"/>
      <c r="D61" s="529" t="n"/>
      <c r="E61" s="529" t="n"/>
      <c r="F61" s="529" t="n"/>
      <c r="G61" s="666" t="n"/>
      <c r="H61" s="529" t="n"/>
      <c r="I61" s="529" t="n"/>
      <c r="J61" s="529" t="n"/>
      <c r="K61" s="529" t="n"/>
      <c r="L61" s="665" t="n"/>
      <c r="M61" s="529" t="n"/>
      <c r="Q61" s="563" t="n"/>
      <c r="V61" s="563" t="n"/>
      <c r="AA61" s="563" t="n"/>
      <c r="AF61" s="563" t="n"/>
      <c r="AK61" s="563" t="n"/>
    </row>
    <row r="62" ht="15" customHeight="1" s="462">
      <c r="A62" s="461" t="inlineStr">
        <is>
          <t>ARVs &amp; Others</t>
        </is>
      </c>
      <c r="B62" s="563" t="n"/>
      <c r="C62" s="521" t="n"/>
      <c r="D62" s="529" t="n"/>
      <c r="E62" s="529" t="n"/>
      <c r="F62" s="529" t="n"/>
      <c r="G62" s="666" t="n"/>
      <c r="H62" s="529" t="n"/>
      <c r="I62" s="529" t="n"/>
      <c r="J62" s="529" t="n"/>
      <c r="K62" s="529" t="n"/>
      <c r="L62" s="665" t="n"/>
      <c r="M62" s="529" t="n"/>
      <c r="Q62" s="563" t="n"/>
      <c r="V62" s="563" t="n"/>
      <c r="AA62" s="563" t="n"/>
      <c r="AF62" s="563" t="n"/>
      <c r="AK62" s="563" t="n"/>
    </row>
    <row r="63" ht="15" customHeight="1" s="462">
      <c r="A63" s="522" t="inlineStr">
        <is>
          <t>Total</t>
        </is>
      </c>
      <c r="B63" s="515" t="n"/>
      <c r="C63" s="521" t="n"/>
      <c r="D63" s="529" t="n"/>
      <c r="E63" s="529" t="n"/>
      <c r="F63" s="529" t="n"/>
      <c r="G63" s="666" t="n"/>
      <c r="H63" s="529" t="n"/>
      <c r="I63" s="529" t="n"/>
      <c r="J63" s="529" t="n"/>
      <c r="K63" s="529" t="n"/>
      <c r="L63" s="665" t="n"/>
      <c r="M63" s="529" t="n"/>
      <c r="Q63" s="515" t="n"/>
      <c r="V63" s="515" t="n"/>
      <c r="AA63" s="515" t="n"/>
      <c r="AF63" s="515" t="n"/>
      <c r="AK63" s="515" t="n"/>
    </row>
    <row r="64" ht="15" customHeight="1" s="462">
      <c r="B64" s="515" t="n"/>
      <c r="C64" s="521" t="n"/>
      <c r="D64" s="521" t="n"/>
      <c r="E64" s="521" t="n"/>
      <c r="F64" s="521" t="n"/>
      <c r="G64" s="515" t="n"/>
      <c r="L64" s="515" t="n"/>
      <c r="Q64" s="515" t="n"/>
      <c r="V64" s="515" t="n"/>
      <c r="AA64" s="515" t="n"/>
      <c r="AF64" s="515" t="n"/>
      <c r="AK64" s="515" t="n"/>
    </row>
    <row r="65" ht="15" customHeight="1" s="462">
      <c r="B65" s="515" t="n"/>
      <c r="C65" s="521" t="n"/>
      <c r="D65" s="521" t="n"/>
      <c r="E65" s="521" t="n"/>
      <c r="F65" s="521" t="n"/>
      <c r="G65" s="515" t="n"/>
      <c r="L65" s="515" t="n"/>
      <c r="M65" s="573" t="n"/>
      <c r="N65" s="573" t="n"/>
      <c r="O65" s="573" t="n"/>
      <c r="P65" s="573" t="n"/>
      <c r="Q65" s="515" t="n"/>
      <c r="R65" s="573" t="n"/>
      <c r="S65" s="461" t="n"/>
      <c r="T65" s="461" t="n"/>
      <c r="U65" s="461" t="n"/>
      <c r="V65" s="515" t="n"/>
      <c r="AA65" s="515" t="n"/>
      <c r="AF65" s="515" t="n"/>
      <c r="AK65" s="515" t="n"/>
    </row>
    <row r="66" ht="15" customHeight="1" s="462">
      <c r="A66" s="491" t="inlineStr">
        <is>
          <t>Segment Revenues as (%) of Total</t>
        </is>
      </c>
      <c r="B66" s="667" t="n"/>
      <c r="C66" s="573" t="n"/>
      <c r="D66" s="573" t="n"/>
      <c r="E66" s="573" t="n"/>
      <c r="F66" s="573" t="n"/>
      <c r="G66" s="668" t="n"/>
      <c r="L66" s="668" t="n"/>
      <c r="M66" s="573" t="n"/>
      <c r="N66" s="573" t="n"/>
      <c r="O66" s="573" t="n"/>
      <c r="P66" s="573" t="n"/>
      <c r="Q66" s="668" t="n"/>
      <c r="R66" s="573" t="n"/>
      <c r="S66" s="461" t="n"/>
      <c r="T66" s="461" t="n"/>
      <c r="U66" s="461" t="n"/>
      <c r="V66" s="668" t="n"/>
      <c r="AA66" s="668" t="n"/>
      <c r="AF66" s="668" t="n"/>
      <c r="AK66" s="668" t="n"/>
    </row>
    <row r="67" ht="15" customHeight="1" s="462">
      <c r="A67" s="573" t="n"/>
      <c r="B67" s="667" t="n"/>
      <c r="C67" s="573" t="n"/>
      <c r="D67" s="573" t="n"/>
      <c r="E67" s="573" t="n"/>
      <c r="F67" s="573" t="n"/>
      <c r="G67" s="668" t="n"/>
      <c r="L67" s="668" t="n"/>
      <c r="M67" s="461" t="n"/>
      <c r="N67" s="461" t="n"/>
      <c r="O67" s="461" t="n"/>
      <c r="P67" s="461" t="n"/>
      <c r="Q67" s="668" t="n"/>
      <c r="R67" s="461" t="n"/>
      <c r="S67" s="461" t="n"/>
      <c r="T67" s="461" t="n"/>
      <c r="U67" s="461" t="n"/>
      <c r="V67" s="668" t="n"/>
      <c r="AA67" s="668" t="n"/>
      <c r="AF67" s="668" t="n"/>
      <c r="AK67" s="668" t="n"/>
    </row>
    <row r="68" ht="15" customHeight="1" s="462">
      <c r="A68" s="522" t="inlineStr">
        <is>
          <t>Formulations</t>
        </is>
      </c>
      <c r="B68" s="515" t="n"/>
      <c r="C68" s="521" t="n"/>
      <c r="D68" s="521" t="n"/>
      <c r="E68" s="521" t="n"/>
      <c r="F68" s="521" t="n"/>
      <c r="G68" s="515" t="n"/>
      <c r="L68" s="515" t="n"/>
      <c r="Q68" s="515" t="n"/>
      <c r="V68" s="515" t="n"/>
      <c r="AA68" s="515" t="n"/>
      <c r="AF68" s="515" t="n"/>
      <c r="AK68" s="515" t="n"/>
    </row>
    <row r="69" ht="15" customHeight="1" s="462">
      <c r="A69" s="461" t="inlineStr">
        <is>
          <t>USA</t>
        </is>
      </c>
      <c r="B69" s="555" t="n"/>
      <c r="C69" s="529" t="n"/>
      <c r="D69" s="529" t="n"/>
      <c r="E69" s="529" t="n"/>
      <c r="F69" s="529" t="n"/>
      <c r="G69" s="555" t="n"/>
      <c r="H69" s="529" t="n"/>
      <c r="I69" s="529" t="n"/>
      <c r="J69" s="529" t="n"/>
      <c r="K69" s="529" t="n"/>
      <c r="L69" s="555" t="n"/>
      <c r="M69" s="529" t="n"/>
      <c r="N69" s="657" t="n"/>
      <c r="O69" s="657" t="n"/>
      <c r="P69" s="657" t="n"/>
      <c r="Q69" s="555" t="n"/>
      <c r="R69" s="657" t="n"/>
      <c r="S69" s="657" t="n"/>
      <c r="T69" s="657" t="n"/>
      <c r="U69" s="657" t="n"/>
      <c r="V69" s="555" t="n"/>
      <c r="W69" s="657" t="n"/>
      <c r="X69" s="657" t="n"/>
      <c r="Y69" s="657" t="n"/>
      <c r="Z69" s="657" t="n"/>
      <c r="AA69" s="555" t="n"/>
      <c r="AB69" s="657" t="n"/>
      <c r="AC69" s="657" t="n"/>
      <c r="AD69" s="657" t="n"/>
      <c r="AE69" s="657" t="n"/>
      <c r="AF69" s="555" t="n"/>
      <c r="AG69" s="657" t="n"/>
      <c r="AH69" s="657" t="n"/>
      <c r="AI69" s="657" t="n"/>
      <c r="AJ69" s="657" t="n"/>
      <c r="AK69" s="555" t="n"/>
    </row>
    <row r="70" ht="15" customHeight="1" s="462">
      <c r="A70" s="461" t="inlineStr">
        <is>
          <t>Europe</t>
        </is>
      </c>
      <c r="B70" s="555" t="n"/>
      <c r="C70" s="529" t="n"/>
      <c r="D70" s="529" t="n"/>
      <c r="E70" s="529" t="n"/>
      <c r="F70" s="529" t="n"/>
      <c r="G70" s="555" t="n"/>
      <c r="H70" s="529" t="n"/>
      <c r="I70" s="529" t="n"/>
      <c r="J70" s="529" t="n"/>
      <c r="K70" s="529" t="n"/>
      <c r="L70" s="555" t="n"/>
      <c r="M70" s="529" t="n"/>
      <c r="N70" s="657" t="n"/>
      <c r="O70" s="657" t="n"/>
      <c r="P70" s="657" t="n"/>
      <c r="Q70" s="555" t="n"/>
      <c r="R70" s="657" t="n"/>
      <c r="S70" s="657" t="n"/>
      <c r="T70" s="657" t="n"/>
      <c r="U70" s="657" t="n"/>
      <c r="V70" s="555" t="n"/>
      <c r="W70" s="657" t="n"/>
      <c r="X70" s="657" t="n"/>
      <c r="Y70" s="657" t="n"/>
      <c r="Z70" s="657" t="n"/>
      <c r="AA70" s="555" t="n"/>
      <c r="AB70" s="657" t="n"/>
      <c r="AC70" s="657" t="n"/>
      <c r="AD70" s="657" t="n"/>
      <c r="AE70" s="657" t="n"/>
      <c r="AF70" s="555" t="n"/>
      <c r="AG70" s="657" t="n"/>
      <c r="AH70" s="657" t="n"/>
      <c r="AI70" s="657" t="n"/>
      <c r="AJ70" s="657" t="n"/>
      <c r="AK70" s="555" t="n"/>
    </row>
    <row r="71" ht="15" customHeight="1" s="462">
      <c r="A71" s="461" t="inlineStr">
        <is>
          <t>ARV's</t>
        </is>
      </c>
      <c r="B71" s="555" t="n"/>
      <c r="C71" s="529" t="n"/>
      <c r="D71" s="529" t="n"/>
      <c r="E71" s="529" t="n"/>
      <c r="F71" s="529" t="n"/>
      <c r="G71" s="555" t="n"/>
      <c r="H71" s="529" t="n"/>
      <c r="I71" s="529" t="n"/>
      <c r="J71" s="529" t="n"/>
      <c r="K71" s="529" t="n"/>
      <c r="L71" s="555" t="n"/>
      <c r="M71" s="529" t="n"/>
      <c r="N71" s="657" t="n"/>
      <c r="O71" s="657" t="n"/>
      <c r="P71" s="657" t="n"/>
      <c r="Q71" s="555" t="n"/>
      <c r="R71" s="657" t="n"/>
      <c r="S71" s="657" t="n"/>
      <c r="T71" s="657" t="n"/>
      <c r="U71" s="657" t="n"/>
      <c r="V71" s="555" t="n"/>
      <c r="W71" s="657" t="n"/>
      <c r="X71" s="657" t="n"/>
      <c r="Y71" s="657" t="n"/>
      <c r="Z71" s="657" t="n"/>
      <c r="AA71" s="555" t="n"/>
      <c r="AB71" s="657" t="n"/>
      <c r="AC71" s="657" t="n"/>
      <c r="AD71" s="657" t="n"/>
      <c r="AE71" s="657" t="n"/>
      <c r="AF71" s="555" t="n"/>
      <c r="AG71" s="657" t="n"/>
      <c r="AH71" s="657" t="n"/>
      <c r="AI71" s="657" t="n"/>
      <c r="AJ71" s="657" t="n"/>
      <c r="AK71" s="555" t="n"/>
    </row>
    <row r="72" ht="15" customHeight="1" s="462">
      <c r="A72" s="461" t="inlineStr">
        <is>
          <t>Rest of the World</t>
        </is>
      </c>
      <c r="B72" s="555" t="n"/>
      <c r="C72" s="529" t="n"/>
      <c r="D72" s="529" t="n"/>
      <c r="E72" s="529" t="n"/>
      <c r="F72" s="529" t="n"/>
      <c r="G72" s="555" t="n"/>
      <c r="H72" s="529" t="n"/>
      <c r="I72" s="529" t="n"/>
      <c r="J72" s="529" t="n"/>
      <c r="K72" s="529" t="n"/>
      <c r="L72" s="555" t="n"/>
      <c r="M72" s="529" t="n"/>
      <c r="N72" s="657" t="n"/>
      <c r="O72" s="657" t="n"/>
      <c r="P72" s="657" t="n"/>
      <c r="Q72" s="555" t="n"/>
      <c r="R72" s="657" t="n"/>
      <c r="S72" s="657" t="n"/>
      <c r="T72" s="657" t="n"/>
      <c r="U72" s="657" t="n"/>
      <c r="V72" s="555" t="n"/>
      <c r="W72" s="657" t="n"/>
      <c r="X72" s="657" t="n"/>
      <c r="Y72" s="657" t="n"/>
      <c r="Z72" s="657" t="n"/>
      <c r="AA72" s="555" t="n"/>
      <c r="AB72" s="657" t="n"/>
      <c r="AC72" s="657" t="n"/>
      <c r="AD72" s="657" t="n"/>
      <c r="AE72" s="657" t="n"/>
      <c r="AF72" s="555" t="n"/>
      <c r="AG72" s="657" t="n"/>
      <c r="AH72" s="657" t="n"/>
      <c r="AI72" s="657" t="n"/>
      <c r="AJ72" s="657" t="n"/>
      <c r="AK72" s="555" t="n"/>
    </row>
    <row r="73" ht="15" customHeight="1" s="462">
      <c r="A73" s="522" t="inlineStr">
        <is>
          <t>Total</t>
        </is>
      </c>
      <c r="B73" s="555" t="n"/>
      <c r="C73" s="529" t="n"/>
      <c r="D73" s="529" t="n"/>
      <c r="E73" s="529" t="n"/>
      <c r="F73" s="529" t="n"/>
      <c r="G73" s="555" t="n"/>
      <c r="H73" s="529" t="n"/>
      <c r="I73" s="529" t="n"/>
      <c r="J73" s="529" t="n"/>
      <c r="K73" s="529" t="n"/>
      <c r="L73" s="555" t="n"/>
      <c r="M73" s="529" t="n"/>
      <c r="N73" s="657" t="n"/>
      <c r="O73" s="657" t="n"/>
      <c r="P73" s="657" t="n"/>
      <c r="Q73" s="555" t="n"/>
      <c r="R73" s="657" t="n"/>
      <c r="S73" s="657" t="n"/>
      <c r="T73" s="657" t="n"/>
      <c r="U73" s="657" t="n"/>
      <c r="V73" s="555" t="n"/>
      <c r="W73" s="657" t="n"/>
      <c r="X73" s="657" t="n"/>
      <c r="Y73" s="657" t="n"/>
      <c r="Z73" s="657" t="n"/>
      <c r="AA73" s="555" t="n"/>
      <c r="AB73" s="657" t="n"/>
      <c r="AC73" s="657" t="n"/>
      <c r="AD73" s="657" t="n"/>
      <c r="AE73" s="657" t="n"/>
      <c r="AF73" s="555" t="n"/>
      <c r="AG73" s="657" t="n"/>
      <c r="AH73" s="657" t="n"/>
      <c r="AI73" s="657" t="n"/>
      <c r="AJ73" s="657" t="n"/>
      <c r="AK73" s="555" t="n"/>
    </row>
    <row r="74" ht="15" customHeight="1" s="462">
      <c r="B74" s="515" t="n"/>
      <c r="G74" s="515" t="n"/>
      <c r="L74" s="515" t="n"/>
      <c r="N74" s="657" t="n"/>
      <c r="O74" s="657" t="n"/>
      <c r="P74" s="657" t="n"/>
      <c r="Q74" s="515" t="n"/>
      <c r="R74" s="657" t="n"/>
      <c r="S74" s="657" t="n"/>
      <c r="T74" s="657" t="n"/>
      <c r="U74" s="657" t="n"/>
      <c r="V74" s="515" t="n"/>
      <c r="W74" s="657" t="n"/>
      <c r="X74" s="657" t="n"/>
      <c r="Y74" s="657" t="n"/>
      <c r="Z74" s="657" t="n"/>
      <c r="AA74" s="515" t="n"/>
      <c r="AB74" s="657" t="n"/>
      <c r="AC74" s="657" t="n"/>
      <c r="AD74" s="657" t="n"/>
      <c r="AE74" s="657" t="n"/>
      <c r="AF74" s="515" t="n"/>
      <c r="AG74" s="657" t="n"/>
      <c r="AH74" s="657" t="n"/>
      <c r="AI74" s="657" t="n"/>
      <c r="AJ74" s="657" t="n"/>
      <c r="AK74" s="515" t="n"/>
    </row>
    <row r="75" ht="15" customHeight="1" s="462">
      <c r="A75" s="522" t="inlineStr">
        <is>
          <t>Active Ingredients</t>
        </is>
      </c>
      <c r="B75" s="515" t="n"/>
      <c r="G75" s="515" t="n"/>
      <c r="L75" s="515" t="n"/>
      <c r="N75" s="657" t="n"/>
      <c r="O75" s="657" t="n"/>
      <c r="P75" s="657" t="n"/>
      <c r="Q75" s="515" t="n"/>
      <c r="R75" s="657" t="n"/>
      <c r="S75" s="657" t="n"/>
      <c r="T75" s="657" t="n"/>
      <c r="U75" s="657" t="n"/>
      <c r="V75" s="515" t="n"/>
      <c r="W75" s="657" t="n"/>
      <c r="X75" s="657" t="n"/>
      <c r="Y75" s="657" t="n"/>
      <c r="Z75" s="657" t="n"/>
      <c r="AA75" s="515" t="n"/>
      <c r="AB75" s="657" t="n"/>
      <c r="AC75" s="657" t="n"/>
      <c r="AD75" s="657" t="n"/>
      <c r="AE75" s="657" t="n"/>
      <c r="AF75" s="515" t="n"/>
      <c r="AG75" s="657" t="n"/>
      <c r="AH75" s="657" t="n"/>
      <c r="AI75" s="657" t="n"/>
      <c r="AJ75" s="657" t="n"/>
      <c r="AK75" s="515" t="n"/>
    </row>
    <row r="76" ht="15" customHeight="1" s="462">
      <c r="A76" s="461" t="inlineStr">
        <is>
          <t>SSPs</t>
        </is>
      </c>
      <c r="B76" s="555" t="n"/>
      <c r="C76" s="529" t="n"/>
      <c r="D76" s="529" t="n"/>
      <c r="E76" s="529" t="n"/>
      <c r="F76" s="529" t="n"/>
      <c r="G76" s="555" t="n"/>
      <c r="H76" s="529" t="n"/>
      <c r="I76" s="529" t="n"/>
      <c r="J76" s="529" t="n"/>
      <c r="K76" s="529" t="n"/>
      <c r="L76" s="555" t="n"/>
      <c r="M76" s="529" t="n"/>
      <c r="N76" s="657" t="n"/>
      <c r="O76" s="657" t="n"/>
      <c r="P76" s="657" t="n"/>
      <c r="Q76" s="555" t="n"/>
      <c r="R76" s="657" t="n"/>
      <c r="S76" s="657" t="n"/>
      <c r="T76" s="657" t="n"/>
      <c r="U76" s="657" t="n"/>
      <c r="V76" s="555" t="n"/>
      <c r="W76" s="657" t="n"/>
      <c r="X76" s="657" t="n"/>
      <c r="Y76" s="657" t="n"/>
      <c r="Z76" s="657" t="n"/>
      <c r="AA76" s="555" t="n"/>
      <c r="AB76" s="657" t="n"/>
      <c r="AC76" s="657" t="n"/>
      <c r="AD76" s="657" t="n"/>
      <c r="AE76" s="657" t="n"/>
      <c r="AF76" s="555" t="n"/>
      <c r="AG76" s="657" t="n"/>
      <c r="AH76" s="657" t="n"/>
      <c r="AI76" s="657" t="n"/>
      <c r="AJ76" s="657" t="n"/>
      <c r="AK76" s="555" t="n"/>
    </row>
    <row r="77" ht="15" customHeight="1" s="462">
      <c r="A77" s="461" t="inlineStr">
        <is>
          <t>Cephs</t>
        </is>
      </c>
      <c r="B77" s="555" t="n"/>
      <c r="C77" s="529" t="n"/>
      <c r="D77" s="529" t="n"/>
      <c r="E77" s="529" t="n"/>
      <c r="F77" s="529" t="n"/>
      <c r="G77" s="555" t="n"/>
      <c r="H77" s="529" t="n"/>
      <c r="I77" s="529" t="n"/>
      <c r="J77" s="529" t="n"/>
      <c r="K77" s="529" t="n"/>
      <c r="L77" s="555" t="n"/>
      <c r="M77" s="529" t="n"/>
      <c r="N77" s="657" t="n"/>
      <c r="O77" s="657" t="n"/>
      <c r="P77" s="657" t="n"/>
      <c r="Q77" s="555" t="n"/>
      <c r="R77" s="657" t="n"/>
      <c r="S77" s="657" t="n"/>
      <c r="T77" s="657" t="n"/>
      <c r="U77" s="657" t="n"/>
      <c r="V77" s="555" t="n"/>
      <c r="W77" s="657" t="n"/>
      <c r="X77" s="657" t="n"/>
      <c r="Y77" s="657" t="n"/>
      <c r="Z77" s="657" t="n"/>
      <c r="AA77" s="555" t="n"/>
      <c r="AB77" s="657" t="n"/>
      <c r="AC77" s="657" t="n"/>
      <c r="AD77" s="657" t="n"/>
      <c r="AE77" s="657" t="n"/>
      <c r="AF77" s="555" t="n"/>
      <c r="AG77" s="657" t="n"/>
      <c r="AH77" s="657" t="n"/>
      <c r="AI77" s="657" t="n"/>
      <c r="AJ77" s="657" t="n"/>
      <c r="AK77" s="555" t="n"/>
    </row>
    <row r="78" ht="15" customHeight="1" s="462">
      <c r="A78" s="461" t="inlineStr">
        <is>
          <t>ARVs &amp; Others</t>
        </is>
      </c>
      <c r="B78" s="555" t="n"/>
      <c r="C78" s="529" t="n"/>
      <c r="D78" s="529" t="n"/>
      <c r="E78" s="529" t="n"/>
      <c r="F78" s="529" t="n"/>
      <c r="G78" s="555" t="n"/>
      <c r="H78" s="529" t="n"/>
      <c r="I78" s="529" t="n"/>
      <c r="J78" s="529" t="n"/>
      <c r="K78" s="529" t="n"/>
      <c r="L78" s="555" t="n"/>
      <c r="M78" s="529" t="n"/>
      <c r="N78" s="657" t="n"/>
      <c r="O78" s="657" t="n"/>
      <c r="P78" s="657" t="n"/>
      <c r="Q78" s="555" t="n"/>
      <c r="R78" s="657" t="n"/>
      <c r="S78" s="657" t="n"/>
      <c r="T78" s="657" t="n"/>
      <c r="U78" s="657" t="n"/>
      <c r="V78" s="555" t="n"/>
      <c r="W78" s="657" t="n"/>
      <c r="X78" s="657" t="n"/>
      <c r="Y78" s="657" t="n"/>
      <c r="Z78" s="657" t="n"/>
      <c r="AA78" s="555" t="n"/>
      <c r="AB78" s="657" t="n"/>
      <c r="AC78" s="657" t="n"/>
      <c r="AD78" s="657" t="n"/>
      <c r="AE78" s="657" t="n"/>
      <c r="AF78" s="555" t="n"/>
      <c r="AG78" s="657" t="n"/>
      <c r="AH78" s="657" t="n"/>
      <c r="AI78" s="657" t="n"/>
      <c r="AJ78" s="657" t="n"/>
      <c r="AK78" s="555" t="n"/>
    </row>
    <row r="79" ht="15" customHeight="1" s="462">
      <c r="A79" s="522" t="inlineStr">
        <is>
          <t>Total</t>
        </is>
      </c>
      <c r="B79" s="555" t="n"/>
      <c r="C79" s="529" t="n"/>
      <c r="D79" s="529" t="n"/>
      <c r="E79" s="529" t="n"/>
      <c r="F79" s="529" t="n"/>
      <c r="G79" s="555" t="n"/>
      <c r="H79" s="529" t="n"/>
      <c r="I79" s="529" t="n"/>
      <c r="J79" s="529" t="n"/>
      <c r="K79" s="529" t="n"/>
      <c r="L79" s="555" t="n"/>
      <c r="M79" s="529" t="n"/>
      <c r="N79" s="657" t="n"/>
      <c r="O79" s="657" t="n"/>
      <c r="P79" s="657" t="n"/>
      <c r="Q79" s="555" t="n"/>
      <c r="R79" s="657" t="n"/>
      <c r="S79" s="657" t="n"/>
      <c r="T79" s="657" t="n"/>
      <c r="U79" s="657" t="n"/>
      <c r="V79" s="555" t="n"/>
      <c r="W79" s="657" t="n"/>
      <c r="X79" s="657" t="n"/>
      <c r="Y79" s="657" t="n"/>
      <c r="Z79" s="657" t="n"/>
      <c r="AA79" s="555" t="n"/>
      <c r="AB79" s="657" t="n"/>
      <c r="AC79" s="657" t="n"/>
      <c r="AD79" s="657" t="n"/>
      <c r="AE79" s="657" t="n"/>
      <c r="AF79" s="555" t="n"/>
      <c r="AG79" s="657" t="n"/>
      <c r="AH79" s="657" t="n"/>
      <c r="AI79" s="657" t="n"/>
      <c r="AJ79" s="657" t="n"/>
      <c r="AK79" s="555" t="n"/>
    </row>
    <row r="80" ht="15" customHeight="1" s="462">
      <c r="B80" s="515" t="n"/>
      <c r="G80" s="515" t="n"/>
      <c r="L80" s="515" t="n"/>
      <c r="Q80" s="515" t="n"/>
      <c r="R80" s="461" t="n"/>
      <c r="V80" s="515" t="n"/>
      <c r="AA80" s="515" t="n"/>
      <c r="AF80" s="515" t="n"/>
      <c r="AK80" s="515" t="n"/>
    </row>
    <row r="81" ht="15" customHeight="1" s="462">
      <c r="B81" s="515" t="n"/>
      <c r="G81" s="515" t="n"/>
      <c r="L81" s="515" t="n"/>
      <c r="Q81" s="515" t="n"/>
      <c r="V81" s="515" t="n"/>
      <c r="AA81" s="515" t="n"/>
      <c r="AF81" s="515" t="n"/>
      <c r="AK81" s="515" t="n"/>
    </row>
    <row r="82" ht="15" customHeight="1" s="462">
      <c r="A82" s="461" t="inlineStr">
        <is>
          <t>Formulations</t>
        </is>
      </c>
      <c r="B82" s="555" t="n"/>
      <c r="C82" s="529" t="n"/>
      <c r="D82" s="529" t="n"/>
      <c r="E82" s="529" t="n"/>
      <c r="F82" s="529" t="n"/>
      <c r="G82" s="555" t="n"/>
      <c r="H82" s="529" t="n"/>
      <c r="I82" s="529" t="n"/>
      <c r="J82" s="529" t="n"/>
      <c r="K82" s="529" t="n"/>
      <c r="L82" s="555" t="n"/>
      <c r="M82" s="529" t="n"/>
      <c r="N82" s="657" t="n"/>
      <c r="O82" s="657" t="n"/>
      <c r="P82" s="657" t="n"/>
      <c r="Q82" s="555" t="n"/>
      <c r="R82" s="657" t="n"/>
      <c r="S82" s="657" t="n"/>
      <c r="T82" s="657" t="n"/>
      <c r="U82" s="657" t="n"/>
      <c r="V82" s="555" t="n"/>
      <c r="W82" s="657" t="n"/>
      <c r="X82" s="657" t="n"/>
      <c r="Y82" s="657" t="n"/>
      <c r="Z82" s="657" t="n"/>
      <c r="AA82" s="555" t="n"/>
      <c r="AB82" s="657" t="n"/>
      <c r="AC82" s="657" t="n"/>
      <c r="AD82" s="657" t="n"/>
      <c r="AE82" s="657" t="n"/>
      <c r="AF82" s="555" t="n"/>
      <c r="AG82" s="657" t="n"/>
      <c r="AH82" s="657" t="n"/>
      <c r="AI82" s="657" t="n"/>
      <c r="AJ82" s="657" t="n"/>
      <c r="AK82" s="555" t="n"/>
    </row>
    <row r="83" ht="15" customHeight="1" s="462">
      <c r="A83" s="461" t="inlineStr">
        <is>
          <t>Active Ingredients</t>
        </is>
      </c>
      <c r="B83" s="555" t="n"/>
      <c r="C83" s="529" t="n"/>
      <c r="D83" s="529" t="n"/>
      <c r="E83" s="529" t="n"/>
      <c r="F83" s="529" t="n"/>
      <c r="G83" s="555" t="n"/>
      <c r="H83" s="529" t="n"/>
      <c r="I83" s="529" t="n"/>
      <c r="J83" s="529" t="n"/>
      <c r="K83" s="529" t="n"/>
      <c r="L83" s="555" t="n"/>
      <c r="M83" s="529" t="n"/>
      <c r="N83" s="657" t="n"/>
      <c r="O83" s="657" t="n"/>
      <c r="P83" s="657" t="n"/>
      <c r="Q83" s="555" t="n"/>
      <c r="R83" s="657" t="n"/>
      <c r="S83" s="657" t="n"/>
      <c r="T83" s="657" t="n"/>
      <c r="U83" s="657" t="n"/>
      <c r="V83" s="555" t="n"/>
      <c r="W83" s="657" t="n"/>
      <c r="X83" s="657" t="n"/>
      <c r="Y83" s="657" t="n"/>
      <c r="Z83" s="657" t="n"/>
      <c r="AA83" s="555" t="n"/>
      <c r="AB83" s="657" t="n"/>
      <c r="AC83" s="657" t="n"/>
      <c r="AD83" s="657" t="n"/>
      <c r="AE83" s="657" t="n"/>
      <c r="AF83" s="555" t="n"/>
      <c r="AG83" s="657" t="n"/>
      <c r="AH83" s="657" t="n"/>
      <c r="AI83" s="657" t="n"/>
      <c r="AJ83" s="657" t="n"/>
      <c r="AK83" s="555" t="n"/>
    </row>
    <row r="84" ht="15" customHeight="1" s="462">
      <c r="A84" s="522" t="inlineStr">
        <is>
          <t>Total</t>
        </is>
      </c>
      <c r="B84" s="555" t="n"/>
      <c r="C84" s="529" t="n"/>
      <c r="D84" s="529" t="n"/>
      <c r="E84" s="529" t="n"/>
      <c r="F84" s="529" t="n"/>
      <c r="G84" s="555" t="n"/>
      <c r="H84" s="529" t="n"/>
      <c r="I84" s="529" t="n"/>
      <c r="J84" s="529" t="n"/>
      <c r="K84" s="529" t="n"/>
      <c r="L84" s="555" t="n"/>
      <c r="M84" s="529" t="n"/>
      <c r="N84" s="657" t="n"/>
      <c r="O84" s="657" t="n"/>
      <c r="P84" s="657" t="n"/>
      <c r="Q84" s="669" t="n"/>
      <c r="R84" s="657" t="n"/>
      <c r="S84" s="657" t="n"/>
      <c r="T84" s="657" t="n"/>
      <c r="U84" s="657" t="n"/>
      <c r="V84" s="555" t="n"/>
      <c r="W84" s="657" t="n"/>
      <c r="X84" s="657" t="n"/>
      <c r="Y84" s="657" t="n"/>
      <c r="Z84" s="657" t="n"/>
      <c r="AA84" s="669" t="n"/>
      <c r="AB84" s="657" t="n"/>
      <c r="AC84" s="657" t="n"/>
      <c r="AD84" s="657" t="n"/>
      <c r="AE84" s="657" t="n"/>
      <c r="AF84" s="555" t="n"/>
      <c r="AG84" s="657" t="n"/>
      <c r="AH84" s="657" t="n"/>
      <c r="AI84" s="657" t="n"/>
      <c r="AJ84" s="657" t="n"/>
      <c r="AK84" s="555" t="n"/>
    </row>
    <row r="85" ht="15" customHeight="1" s="462">
      <c r="B85" s="515" t="n"/>
      <c r="G85" s="515" t="n"/>
      <c r="L85" s="515" t="n"/>
      <c r="Q85" s="515" t="n"/>
      <c r="V85" s="515" t="n"/>
      <c r="AA85" s="515" t="n"/>
      <c r="AF85" s="515" t="n"/>
      <c r="AK85" s="515" t="n"/>
    </row>
    <row r="86" ht="15" customHeight="1" s="462">
      <c r="B86" s="515" t="n"/>
      <c r="G86" s="515" t="n"/>
      <c r="L86" s="515" t="n"/>
      <c r="Q86" s="515" t="n"/>
      <c r="V86" s="515" t="n"/>
      <c r="AA86" s="515" t="n"/>
      <c r="AF86" s="515" t="n"/>
      <c r="AK86" s="515" t="n"/>
    </row>
    <row r="87" ht="15" customHeight="1" s="462">
      <c r="B87" s="515" t="n"/>
      <c r="G87" s="515" t="n"/>
      <c r="L87" s="515" t="n"/>
      <c r="Q87" s="515" t="n"/>
      <c r="V87" s="515" t="n"/>
      <c r="AA87" s="515" t="n"/>
      <c r="AF87" s="515" t="n"/>
      <c r="AK87" s="515" t="n"/>
    </row>
    <row r="88" ht="15" customHeight="1" s="462">
      <c r="B88" s="515" t="n"/>
      <c r="G88" s="515" t="n"/>
      <c r="L88" s="515" t="n"/>
      <c r="Q88" s="515" t="n"/>
      <c r="V88" s="515" t="n"/>
      <c r="AA88" s="515" t="n"/>
      <c r="AF88" s="515" t="n"/>
      <c r="AK88" s="515" t="n"/>
    </row>
    <row r="89" ht="15" customHeight="1" s="462">
      <c r="A89" s="522" t="inlineStr">
        <is>
          <t>Share of Each Quarter in the Total sales</t>
        </is>
      </c>
      <c r="B89" s="515" t="n"/>
      <c r="C89" s="529" t="n"/>
      <c r="G89" s="515" t="n"/>
      <c r="H89" s="529" t="n"/>
      <c r="I89" s="529" t="n"/>
      <c r="J89" s="529" t="n"/>
      <c r="K89" s="529" t="n"/>
      <c r="L89" s="515" t="n"/>
      <c r="Q89" s="515" t="n"/>
      <c r="R89" s="657" t="n">
        <v>0.231252453867295</v>
      </c>
      <c r="S89" s="657" t="n">
        <v>0.236879989530166</v>
      </c>
      <c r="T89" s="657" t="n">
        <v>0.247611569166339</v>
      </c>
      <c r="U89" s="657" t="n">
        <v>0.284255987436199</v>
      </c>
      <c r="V89" s="515" t="n"/>
      <c r="W89" s="657" t="n">
        <v>0.231252453867295</v>
      </c>
      <c r="X89" s="657" t="n">
        <v>0.236879989530166</v>
      </c>
      <c r="Y89" s="657" t="n">
        <v>0.247611569166339</v>
      </c>
      <c r="Z89" s="657" t="n">
        <v>0.284255987436199</v>
      </c>
      <c r="AA89" s="515" t="n"/>
      <c r="AB89" s="657" t="n">
        <v>0.231252453867295</v>
      </c>
      <c r="AC89" s="657" t="n">
        <v>0.236879989530166</v>
      </c>
      <c r="AD89" s="657" t="n">
        <v>0.247611569166339</v>
      </c>
      <c r="AE89" s="657" t="n">
        <v>0.284255987436199</v>
      </c>
      <c r="AF89" s="515" t="n"/>
      <c r="AG89" s="657" t="n">
        <v>0.231252453867295</v>
      </c>
      <c r="AH89" s="657" t="n">
        <v>0.236879989530166</v>
      </c>
      <c r="AI89" s="657" t="n">
        <v>0.247611569166339</v>
      </c>
      <c r="AJ89" s="657" t="n">
        <v>0.284255987436199</v>
      </c>
      <c r="AK89" s="515" t="n"/>
    </row>
    <row r="90" ht="15.75" customHeight="1" s="462">
      <c r="A90" s="489" t="n"/>
      <c r="B90" s="538" t="n"/>
      <c r="C90" s="489" t="n"/>
      <c r="D90" s="489" t="n"/>
      <c r="E90" s="489" t="n"/>
      <c r="F90" s="489" t="n"/>
      <c r="G90" s="538" t="n"/>
      <c r="H90" s="489" t="n"/>
      <c r="I90" s="489" t="n"/>
      <c r="J90" s="489" t="n"/>
      <c r="K90" s="489" t="n"/>
      <c r="L90" s="538" t="n"/>
      <c r="M90" s="489" t="n"/>
      <c r="N90" s="489" t="n"/>
      <c r="O90" s="489" t="n"/>
      <c r="P90" s="489" t="n"/>
      <c r="Q90" s="538" t="n"/>
      <c r="R90" s="489" t="n"/>
      <c r="S90" s="489" t="n"/>
      <c r="T90" s="489" t="n"/>
      <c r="U90" s="489" t="n"/>
      <c r="V90" s="538" t="n"/>
      <c r="W90" s="489" t="n"/>
      <c r="X90" s="489" t="n"/>
      <c r="Y90" s="489" t="n"/>
      <c r="Z90" s="489" t="n"/>
      <c r="AA90" s="538" t="n"/>
      <c r="AB90" s="489" t="n"/>
      <c r="AC90" s="489" t="n"/>
      <c r="AD90" s="489" t="n"/>
      <c r="AE90" s="489" t="n"/>
      <c r="AF90" s="538" t="n"/>
      <c r="AG90" s="489" t="n"/>
      <c r="AH90" s="489" t="n"/>
      <c r="AI90" s="489" t="n"/>
      <c r="AJ90" s="489" t="n"/>
      <c r="AK90" s="538"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AR2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2" activeCellId="0" sqref="A2"/>
    </sheetView>
  </sheetViews>
  <sheetFormatPr baseColWidth="8" defaultColWidth="8.96875" defaultRowHeight="15" zeroHeight="0" outlineLevelRow="0"/>
  <cols>
    <col width="35.71" customWidth="1" style="461" min="1" max="1"/>
    <col hidden="1" outlineLevel="1" width="8.970000000000001" customWidth="1" style="461" min="3" max="6"/>
    <col width="9.130000000000001" customWidth="1" style="461" min="7" max="7"/>
    <col hidden="1" outlineLevel="1" width="9.130000000000001" customWidth="1" style="461" min="8" max="11"/>
    <col width="9.130000000000001" customWidth="1" style="461" min="12" max="12"/>
    <col hidden="1" outlineLevel="1" width="9.130000000000001" customWidth="1" style="461" min="13" max="16"/>
    <col width="9.130000000000001" customWidth="1" style="461" min="17" max="17"/>
    <col hidden="1" outlineLevel="1" width="9.130000000000001" customWidth="1" style="461" min="18" max="21"/>
    <col width="9.130000000000001" customWidth="1" style="461" min="22" max="22"/>
    <col hidden="1" outlineLevel="1" width="8.970000000000001" customWidth="1" style="461" min="23" max="26"/>
    <col width="9.130000000000001" customWidth="1" style="461" min="27" max="27"/>
    <col hidden="1" outlineLevel="1" width="8.970000000000001" customWidth="1" style="461" min="28" max="31"/>
    <col width="9.130000000000001" customWidth="1" style="461" min="32" max="32"/>
    <col hidden="1" outlineLevel="1" width="8.970000000000001" customWidth="1" style="461" min="33" max="36"/>
    <col width="9.130000000000001" customWidth="1" style="461" min="37" max="37"/>
    <col hidden="1" outlineLevel="1" width="8.970000000000001" customWidth="1" style="461" min="38" max="41"/>
    <col width="9.130000000000001" customWidth="1" style="461" min="42" max="42"/>
  </cols>
  <sheetData>
    <row r="1" ht="18.75" customHeight="1" s="462">
      <c r="A1" s="487" t="inlineStr">
        <is>
          <t>Aurobindo Pharma</t>
        </is>
      </c>
      <c r="C1" s="568" t="n"/>
      <c r="E1" s="568" t="n"/>
      <c r="R1" s="468" t="n"/>
    </row>
    <row r="2" ht="15.75" customHeight="1" s="462">
      <c r="A2" s="488" t="inlineStr">
        <is>
          <t>Cost Model</t>
        </is>
      </c>
      <c r="B2" s="468" t="n"/>
      <c r="C2" s="569" t="n"/>
      <c r="D2" s="468" t="n"/>
      <c r="E2" s="615" t="n"/>
      <c r="F2" s="468" t="n"/>
      <c r="G2" s="616" t="n"/>
      <c r="J2" s="506" t="n"/>
      <c r="R2" s="468" t="n"/>
    </row>
    <row r="3" ht="15.75" customHeight="1" s="462">
      <c r="A3" s="489" t="n"/>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c r="AL3" s="489" t="n"/>
      <c r="AM3" s="489" t="n"/>
      <c r="AN3" s="489" t="n"/>
      <c r="AO3" s="489" t="n"/>
      <c r="AP3" s="489" t="n"/>
    </row>
    <row r="4" ht="45" customHeight="1" s="462">
      <c r="A4" s="532" t="inlineStr">
        <is>
          <t>For the Fiscal Period Ending</t>
        </is>
      </c>
      <c r="B4" s="533" t="inlineStr">
        <is>
          <t>FY2006 A</t>
        </is>
      </c>
      <c r="C4" s="670" t="inlineStr">
        <is>
          <t>3 months 
Jun 30 2006</t>
        </is>
      </c>
      <c r="D4" s="534" t="inlineStr">
        <is>
          <t>3 months 
Sep-30-2006</t>
        </is>
      </c>
      <c r="E4" s="534" t="inlineStr">
        <is>
          <t>3 months 
Dec-31-2006</t>
        </is>
      </c>
      <c r="F4" s="534" t="inlineStr">
        <is>
          <t>3 months 
Mar-31-2007</t>
        </is>
      </c>
      <c r="G4" s="533" t="inlineStr">
        <is>
          <t>FY2007 A</t>
        </is>
      </c>
      <c r="H4" s="534" t="inlineStr">
        <is>
          <t>3 months 
Jun-30-2007</t>
        </is>
      </c>
      <c r="I4" s="534" t="inlineStr">
        <is>
          <t>3 months 
Sep-30-2007</t>
        </is>
      </c>
      <c r="J4" s="534" t="inlineStr">
        <is>
          <t>3 months 
Dec-31-2007</t>
        </is>
      </c>
      <c r="K4" s="534" t="inlineStr">
        <is>
          <t>3 months 
Mar-31-2008</t>
        </is>
      </c>
      <c r="L4" s="533" t="inlineStr">
        <is>
          <t>FY2008 A</t>
        </is>
      </c>
      <c r="M4" s="534" t="inlineStr">
        <is>
          <t>3 months 
Jun-30-2008</t>
        </is>
      </c>
      <c r="N4" s="534" t="inlineStr">
        <is>
          <t>3 months 
Sep-30-2008</t>
        </is>
      </c>
      <c r="O4" s="534" t="inlineStr">
        <is>
          <t>3 months 
Dec-31-2008</t>
        </is>
      </c>
      <c r="P4" s="534" t="inlineStr">
        <is>
          <t>3 months 
Mar-31-2009</t>
        </is>
      </c>
      <c r="Q4" s="533" t="inlineStr">
        <is>
          <t>FY2009 A</t>
        </is>
      </c>
      <c r="R4" s="534" t="inlineStr">
        <is>
          <t>3 months 
Jun-30-2009</t>
        </is>
      </c>
      <c r="S4" s="535" t="inlineStr">
        <is>
          <t>3 months 
Sep-30-2009</t>
        </is>
      </c>
      <c r="T4" s="535" t="inlineStr">
        <is>
          <t>3 months 
Dec-31-2009</t>
        </is>
      </c>
      <c r="U4" s="535" t="inlineStr">
        <is>
          <t>3 months 
Mar-31-2010</t>
        </is>
      </c>
      <c r="V4" s="536" t="inlineStr">
        <is>
          <t>FY2010 E</t>
        </is>
      </c>
      <c r="W4" s="535" t="inlineStr">
        <is>
          <t>3 months 
Jun-30-2010</t>
        </is>
      </c>
      <c r="X4" s="535" t="inlineStr">
        <is>
          <t>3 months 
Sep-30-2010</t>
        </is>
      </c>
      <c r="Y4" s="535" t="inlineStr">
        <is>
          <t>3 months 
Dec-31-2010</t>
        </is>
      </c>
      <c r="Z4" s="535" t="inlineStr">
        <is>
          <t>3 months 
Mar-31-2011</t>
        </is>
      </c>
      <c r="AA4" s="536" t="inlineStr">
        <is>
          <t>FY2011 E</t>
        </is>
      </c>
      <c r="AB4" s="535" t="inlineStr">
        <is>
          <t>3 months 
Jun-30-2011</t>
        </is>
      </c>
      <c r="AC4" s="535" t="inlineStr">
        <is>
          <t>3 months 
Sep-30-2011</t>
        </is>
      </c>
      <c r="AD4" s="535" t="inlineStr">
        <is>
          <t>3 months 
Dec-31-2011</t>
        </is>
      </c>
      <c r="AE4" s="535" t="inlineStr">
        <is>
          <t>3 months 
Mar-31-2012</t>
        </is>
      </c>
      <c r="AF4" s="536" t="inlineStr">
        <is>
          <t>FY2012 E</t>
        </is>
      </c>
      <c r="AG4" s="535" t="inlineStr">
        <is>
          <t>3 months 
Jun-30-2012</t>
        </is>
      </c>
      <c r="AH4" s="535" t="inlineStr">
        <is>
          <t>3 months 
Sep-30-2012</t>
        </is>
      </c>
      <c r="AI4" s="535" t="inlineStr">
        <is>
          <t>3 months 
Dec-31-2012</t>
        </is>
      </c>
      <c r="AJ4" s="535" t="inlineStr">
        <is>
          <t>3 months 
Mar-31-2013</t>
        </is>
      </c>
      <c r="AK4" s="536" t="inlineStr">
        <is>
          <t>FY2013 E</t>
        </is>
      </c>
      <c r="AL4" s="535" t="inlineStr">
        <is>
          <t>3 months 
Jun-30-2013</t>
        </is>
      </c>
      <c r="AM4" s="535" t="inlineStr">
        <is>
          <t>3 months 
Sep-30-2013</t>
        </is>
      </c>
      <c r="AN4" s="535" t="inlineStr">
        <is>
          <t>3 months 
Dec-31-2013</t>
        </is>
      </c>
      <c r="AO4" s="535" t="inlineStr">
        <is>
          <t>3 months 
Mar-31-2014</t>
        </is>
      </c>
      <c r="AP4" s="536" t="inlineStr">
        <is>
          <t>FY2014 E</t>
        </is>
      </c>
    </row>
    <row r="5" ht="15" customHeight="1" s="462">
      <c r="B5" s="533" t="n"/>
      <c r="G5" s="533" t="n"/>
      <c r="L5" s="515" t="n"/>
      <c r="Q5" s="515" t="n"/>
      <c r="R5" s="468" t="n"/>
      <c r="V5" s="515" t="n"/>
      <c r="AA5" s="515" t="n"/>
      <c r="AF5" s="515" t="n"/>
      <c r="AK5" s="515" t="n"/>
      <c r="AP5" s="515" t="n"/>
    </row>
    <row r="6" ht="15" customFormat="1" customHeight="1" s="461">
      <c r="A6" s="491" t="inlineStr">
        <is>
          <t>Cost Model</t>
        </is>
      </c>
      <c r="B6" s="515" t="n"/>
      <c r="G6" s="515" t="n"/>
      <c r="L6" s="515" t="n"/>
      <c r="Q6" s="515" t="n"/>
      <c r="R6" s="468" t="n"/>
      <c r="V6" s="515" t="n"/>
      <c r="AA6" s="515" t="n"/>
      <c r="AF6" s="515" t="n"/>
      <c r="AK6" s="515" t="n"/>
      <c r="AP6" s="515" t="n"/>
    </row>
    <row r="7" ht="15" customHeight="1" s="462">
      <c r="B7" s="515" t="n"/>
      <c r="C7" s="461" t="n"/>
      <c r="D7" s="461" t="n"/>
      <c r="E7" s="461" t="n"/>
      <c r="F7" s="461" t="n"/>
      <c r="G7" s="515" t="n"/>
      <c r="H7" s="461" t="n"/>
      <c r="I7" s="461" t="n"/>
      <c r="J7" s="461" t="n"/>
      <c r="K7" s="506" t="n"/>
      <c r="L7" s="515" t="n"/>
      <c r="M7" s="461" t="n"/>
      <c r="N7" s="461" t="n"/>
      <c r="O7" s="461" t="n"/>
      <c r="P7" s="461" t="n"/>
      <c r="Q7" s="515" t="n"/>
      <c r="R7" s="521" t="n"/>
      <c r="S7" s="461" t="n"/>
      <c r="T7" s="461" t="n"/>
      <c r="U7" s="461" t="n"/>
      <c r="V7" s="515" t="n"/>
      <c r="W7" s="461" t="n"/>
      <c r="X7" s="461" t="n"/>
      <c r="Y7" s="461" t="n"/>
      <c r="Z7" s="461" t="n"/>
      <c r="AA7" s="515" t="n"/>
      <c r="AB7" s="461" t="n"/>
      <c r="AC7" s="461" t="n"/>
      <c r="AD7" s="461" t="n"/>
      <c r="AE7" s="461" t="n"/>
      <c r="AF7" s="515" t="n"/>
      <c r="AG7" s="461" t="n"/>
      <c r="AH7" s="461" t="n"/>
      <c r="AI7" s="461" t="n"/>
      <c r="AJ7" s="461" t="n"/>
      <c r="AK7" s="515" t="n"/>
      <c r="AL7" s="461" t="n"/>
      <c r="AM7" s="461" t="n"/>
      <c r="AN7" s="461" t="n"/>
      <c r="AO7" s="461" t="n"/>
      <c r="AP7" s="515" t="n"/>
      <c r="AQ7" s="461" t="n"/>
    </row>
    <row r="8" ht="15" customHeight="1" s="462">
      <c r="A8" s="491" t="inlineStr">
        <is>
          <t>As % of Revenues</t>
        </is>
      </c>
      <c r="B8" s="515" t="n"/>
      <c r="G8" s="515" t="n"/>
      <c r="L8" s="515" t="n"/>
      <c r="Q8" s="515" t="n"/>
      <c r="V8" s="515" t="n"/>
      <c r="AA8" s="515" t="n"/>
      <c r="AF8" s="515" t="n"/>
      <c r="AK8" s="515" t="n"/>
      <c r="AP8" s="515" t="n"/>
    </row>
    <row r="9" ht="15" customHeight="1" s="462">
      <c r="B9" s="515" t="n"/>
      <c r="G9" s="515" t="n"/>
      <c r="L9" s="515" t="n"/>
      <c r="Q9" s="515" t="n"/>
      <c r="V9" s="515" t="n"/>
      <c r="AA9" s="515" t="n"/>
      <c r="AF9" s="515" t="n"/>
      <c r="AK9" s="515" t="n"/>
      <c r="AP9" s="515" t="n"/>
    </row>
    <row r="10" ht="15" customHeight="1" s="462">
      <c r="A10" s="461" t="inlineStr">
        <is>
          <t>Excise Duty</t>
        </is>
      </c>
      <c r="B10" s="671" t="n"/>
      <c r="C10" s="521" t="n">
        <v>0</v>
      </c>
      <c r="D10" s="521" t="n">
        <v>0</v>
      </c>
      <c r="E10" s="521" t="n">
        <v>0</v>
      </c>
      <c r="F10" s="672" t="n"/>
      <c r="G10" s="671" t="n"/>
      <c r="H10" s="672" t="n"/>
      <c r="I10" s="672" t="n"/>
      <c r="J10" s="672" t="n"/>
      <c r="K10" s="672" t="n"/>
      <c r="L10" s="671" t="n"/>
      <c r="M10" s="672" t="n"/>
      <c r="N10" s="672" t="n"/>
      <c r="O10" s="672" t="n"/>
      <c r="P10" s="672" t="n"/>
      <c r="Q10" s="671" t="n"/>
      <c r="R10" s="672" t="n"/>
      <c r="S10" s="673" t="n"/>
      <c r="T10" s="673" t="n"/>
      <c r="U10" s="673" t="n"/>
      <c r="V10" s="671" t="n"/>
      <c r="W10" s="673" t="n"/>
      <c r="X10" s="673" t="n"/>
      <c r="Y10" s="673" t="n"/>
      <c r="Z10" s="673" t="n"/>
      <c r="AA10" s="671" t="n"/>
      <c r="AB10" s="673" t="n"/>
      <c r="AC10" s="673" t="n"/>
      <c r="AD10" s="673" t="n"/>
      <c r="AE10" s="673" t="n"/>
      <c r="AF10" s="671" t="n"/>
      <c r="AG10" s="673" t="n"/>
      <c r="AH10" s="673" t="n"/>
      <c r="AI10" s="673" t="n"/>
      <c r="AJ10" s="673" t="n"/>
      <c r="AK10" s="671" t="n"/>
      <c r="AL10" s="673" t="n"/>
      <c r="AM10" s="673" t="n"/>
      <c r="AN10" s="673" t="n"/>
      <c r="AO10" s="673" t="n"/>
      <c r="AP10" s="671" t="n"/>
    </row>
    <row r="11" ht="15" customHeight="1" s="462">
      <c r="A11" s="461" t="inlineStr">
        <is>
          <t>Other Operating Income</t>
        </is>
      </c>
      <c r="B11" s="671" t="n"/>
      <c r="C11" s="672" t="n"/>
      <c r="D11" s="672" t="n"/>
      <c r="E11" s="672" t="n"/>
      <c r="F11" s="529" t="n"/>
      <c r="G11" s="563" t="n"/>
      <c r="H11" s="521" t="n"/>
      <c r="I11" s="529" t="n"/>
      <c r="J11" s="521" t="n"/>
      <c r="K11" s="521" t="n"/>
      <c r="L11" s="563" t="n"/>
      <c r="M11" s="529" t="n"/>
      <c r="N11" s="529" t="n"/>
      <c r="O11" s="529" t="n"/>
      <c r="P11" s="529" t="n"/>
      <c r="Q11" s="555" t="n"/>
      <c r="R11" s="529" t="n"/>
      <c r="S11" s="674" t="n"/>
      <c r="T11" s="674" t="n"/>
      <c r="U11" s="674" t="n"/>
      <c r="V11" s="555" t="n"/>
      <c r="W11" s="674" t="n"/>
      <c r="X11" s="674" t="n"/>
      <c r="Y11" s="674" t="n"/>
      <c r="Z11" s="674" t="n"/>
      <c r="AA11" s="555" t="n"/>
      <c r="AB11" s="674" t="n"/>
      <c r="AC11" s="674" t="n"/>
      <c r="AD11" s="674" t="n"/>
      <c r="AE11" s="674" t="n"/>
      <c r="AF11" s="555" t="n"/>
      <c r="AG11" s="674" t="n"/>
      <c r="AH11" s="674" t="n"/>
      <c r="AI11" s="674" t="n"/>
      <c r="AJ11" s="674" t="n"/>
      <c r="AK11" s="555" t="n"/>
      <c r="AL11" s="674" t="n"/>
      <c r="AM11" s="674" t="n"/>
      <c r="AN11" s="674" t="n"/>
      <c r="AO11" s="674" t="n"/>
      <c r="AP11" s="555" t="n"/>
    </row>
    <row r="12" ht="15" customHeight="1" s="462">
      <c r="A12" s="543" t="inlineStr">
        <is>
          <t>(Increase) / Decrease in Stocks</t>
        </is>
      </c>
      <c r="B12" s="671" t="n"/>
      <c r="C12" s="529" t="n"/>
      <c r="D12" s="529" t="n"/>
      <c r="E12" s="529" t="n"/>
      <c r="F12" s="672" t="n"/>
      <c r="G12" s="671" t="n"/>
      <c r="H12" s="672" t="n"/>
      <c r="I12" s="672" t="n"/>
      <c r="J12" s="672" t="n"/>
      <c r="K12" s="672" t="n"/>
      <c r="L12" s="671" t="n"/>
      <c r="M12" s="672" t="n"/>
      <c r="N12" s="672" t="n"/>
      <c r="O12" s="672" t="n"/>
      <c r="P12" s="672" t="n"/>
      <c r="Q12" s="671" t="n"/>
      <c r="R12" s="672" t="n"/>
      <c r="S12" s="673" t="n"/>
      <c r="T12" s="673" t="n"/>
      <c r="U12" s="673" t="n"/>
      <c r="V12" s="671" t="n"/>
      <c r="W12" s="673" t="n"/>
      <c r="X12" s="673" t="n"/>
      <c r="Y12" s="673" t="n"/>
      <c r="Z12" s="673" t="n"/>
      <c r="AA12" s="671" t="n"/>
      <c r="AB12" s="673" t="n"/>
      <c r="AC12" s="673" t="n"/>
      <c r="AD12" s="673" t="n"/>
      <c r="AE12" s="673" t="n"/>
      <c r="AF12" s="671" t="n"/>
      <c r="AG12" s="673" t="n"/>
      <c r="AH12" s="673" t="n"/>
      <c r="AI12" s="673" t="n"/>
      <c r="AJ12" s="673" t="n"/>
      <c r="AK12" s="671" t="n"/>
      <c r="AL12" s="673" t="n"/>
      <c r="AM12" s="673" t="n"/>
      <c r="AN12" s="673" t="n"/>
      <c r="AO12" s="673" t="n"/>
      <c r="AP12" s="671" t="n"/>
    </row>
    <row r="13" ht="15" customHeight="1" s="462">
      <c r="A13" s="543" t="inlineStr">
        <is>
          <t>Material Consumed</t>
        </is>
      </c>
      <c r="B13" s="671" t="n"/>
      <c r="C13" s="672" t="n"/>
      <c r="D13" s="672" t="n"/>
      <c r="E13" s="672" t="n"/>
      <c r="F13" s="672" t="n"/>
      <c r="G13" s="671" t="n"/>
      <c r="H13" s="672" t="n"/>
      <c r="I13" s="672" t="n"/>
      <c r="J13" s="672" t="n"/>
      <c r="K13" s="672" t="n"/>
      <c r="L13" s="671" t="n"/>
      <c r="M13" s="672" t="n"/>
      <c r="N13" s="672" t="n"/>
      <c r="O13" s="672" t="n"/>
      <c r="P13" s="672" t="n"/>
      <c r="Q13" s="671" t="n"/>
      <c r="R13" s="672" t="n"/>
      <c r="S13" s="673" t="n"/>
      <c r="T13" s="673" t="n"/>
      <c r="U13" s="673" t="n"/>
      <c r="V13" s="671" t="n"/>
      <c r="W13" s="673" t="n"/>
      <c r="X13" s="673" t="n"/>
      <c r="Y13" s="673" t="n"/>
      <c r="Z13" s="673" t="n"/>
      <c r="AA13" s="671" t="n"/>
      <c r="AB13" s="673" t="n"/>
      <c r="AC13" s="673" t="n"/>
      <c r="AD13" s="673" t="n"/>
      <c r="AE13" s="673" t="n"/>
      <c r="AF13" s="671" t="n"/>
      <c r="AG13" s="673" t="n"/>
      <c r="AH13" s="673" t="n"/>
      <c r="AI13" s="673" t="n"/>
      <c r="AJ13" s="673" t="n"/>
      <c r="AK13" s="671" t="n"/>
      <c r="AL13" s="673" t="n"/>
      <c r="AM13" s="673" t="n"/>
      <c r="AN13" s="673" t="n"/>
      <c r="AO13" s="673" t="n"/>
      <c r="AP13" s="671" t="n"/>
    </row>
    <row r="14" ht="15" customHeight="1" s="462">
      <c r="A14" s="543" t="inlineStr">
        <is>
          <t>Purchase of traded goods</t>
        </is>
      </c>
      <c r="B14" s="671" t="n"/>
      <c r="C14" s="675" t="n">
        <v>0</v>
      </c>
      <c r="D14" s="521" t="n">
        <v>0</v>
      </c>
      <c r="E14" s="521" t="n">
        <v>0</v>
      </c>
      <c r="F14" s="672" t="n"/>
      <c r="G14" s="671" t="n"/>
      <c r="H14" s="672" t="n"/>
      <c r="I14" s="672" t="n"/>
      <c r="J14" s="672" t="n"/>
      <c r="K14" s="672" t="n"/>
      <c r="L14" s="671" t="n"/>
      <c r="M14" s="672" t="n"/>
      <c r="N14" s="672" t="n"/>
      <c r="O14" s="672" t="n"/>
      <c r="P14" s="672" t="n"/>
      <c r="Q14" s="671" t="n"/>
      <c r="R14" s="672" t="n"/>
      <c r="S14" s="673" t="n"/>
      <c r="T14" s="673" t="n"/>
      <c r="U14" s="673" t="n"/>
      <c r="V14" s="671" t="n"/>
      <c r="W14" s="673" t="n"/>
      <c r="X14" s="673" t="n"/>
      <c r="Y14" s="673" t="n"/>
      <c r="Z14" s="673" t="n"/>
      <c r="AA14" s="671" t="n"/>
      <c r="AB14" s="673" t="n"/>
      <c r="AC14" s="673" t="n"/>
      <c r="AD14" s="673" t="n"/>
      <c r="AE14" s="673" t="n"/>
      <c r="AF14" s="671" t="n"/>
      <c r="AG14" s="673" t="n"/>
      <c r="AH14" s="673" t="n"/>
      <c r="AI14" s="673" t="n"/>
      <c r="AJ14" s="673" t="n"/>
      <c r="AK14" s="671" t="n"/>
      <c r="AL14" s="673" t="n"/>
      <c r="AM14" s="673" t="n"/>
      <c r="AN14" s="673" t="n"/>
      <c r="AO14" s="673" t="n"/>
      <c r="AP14" s="671" t="n"/>
    </row>
    <row r="15" ht="15" customHeight="1" s="462">
      <c r="A15" s="543" t="inlineStr">
        <is>
          <t>Staff Cost</t>
        </is>
      </c>
      <c r="B15" s="671" t="n"/>
      <c r="C15" s="672" t="n"/>
      <c r="D15" s="672" t="n"/>
      <c r="E15" s="672" t="n"/>
      <c r="F15" s="672" t="n"/>
      <c r="G15" s="671" t="n"/>
      <c r="H15" s="672" t="n"/>
      <c r="I15" s="672" t="n"/>
      <c r="J15" s="672" t="n"/>
      <c r="K15" s="672" t="n"/>
      <c r="L15" s="671" t="n"/>
      <c r="M15" s="672" t="n"/>
      <c r="N15" s="672" t="n"/>
      <c r="O15" s="672" t="n"/>
      <c r="P15" s="672" t="n"/>
      <c r="Q15" s="671" t="n"/>
      <c r="R15" s="672" t="n"/>
      <c r="S15" s="673" t="n"/>
      <c r="T15" s="673" t="n"/>
      <c r="U15" s="673" t="n"/>
      <c r="V15" s="671" t="n"/>
      <c r="W15" s="673" t="n"/>
      <c r="X15" s="673" t="n"/>
      <c r="Y15" s="673" t="n"/>
      <c r="Z15" s="673" t="n"/>
      <c r="AA15" s="671" t="n"/>
      <c r="AB15" s="673" t="n"/>
      <c r="AC15" s="673" t="n"/>
      <c r="AD15" s="673" t="n"/>
      <c r="AE15" s="673" t="n"/>
      <c r="AF15" s="671" t="n"/>
      <c r="AG15" s="673" t="n"/>
      <c r="AH15" s="673" t="n"/>
      <c r="AI15" s="673" t="n"/>
      <c r="AJ15" s="673" t="n"/>
      <c r="AK15" s="671" t="n"/>
      <c r="AL15" s="673" t="n"/>
      <c r="AM15" s="673" t="n"/>
      <c r="AN15" s="673" t="n"/>
      <c r="AO15" s="673" t="n"/>
      <c r="AP15" s="671" t="n"/>
    </row>
    <row r="16" ht="15" customHeight="1" s="462">
      <c r="A16" s="543" t="inlineStr">
        <is>
          <t>Depreciation / Amortization</t>
        </is>
      </c>
      <c r="B16" s="671" t="n"/>
      <c r="C16" s="672" t="n"/>
      <c r="D16" s="672" t="n"/>
      <c r="E16" s="672" t="n"/>
      <c r="F16" s="672" t="n"/>
      <c r="G16" s="671" t="n"/>
      <c r="H16" s="672" t="n"/>
      <c r="I16" s="672" t="n"/>
      <c r="J16" s="672" t="n"/>
      <c r="K16" s="672" t="n"/>
      <c r="L16" s="671" t="n"/>
      <c r="M16" s="672" t="n"/>
      <c r="N16" s="672" t="n"/>
      <c r="O16" s="672" t="n"/>
      <c r="P16" s="672" t="n"/>
      <c r="Q16" s="671" t="n"/>
      <c r="R16" s="672" t="n"/>
      <c r="S16" s="673" t="n"/>
      <c r="T16" s="673" t="n"/>
      <c r="U16" s="673" t="n"/>
      <c r="V16" s="671" t="n"/>
      <c r="W16" s="673" t="n"/>
      <c r="X16" s="673" t="n"/>
      <c r="Y16" s="673" t="n"/>
      <c r="Z16" s="673" t="n"/>
      <c r="AA16" s="671" t="n"/>
      <c r="AB16" s="673" t="n"/>
      <c r="AC16" s="673" t="n"/>
      <c r="AD16" s="673" t="n"/>
      <c r="AE16" s="673" t="n"/>
      <c r="AF16" s="671" t="n"/>
      <c r="AG16" s="673" t="n"/>
      <c r="AH16" s="673" t="n"/>
      <c r="AI16" s="673" t="n"/>
      <c r="AJ16" s="673" t="n"/>
      <c r="AK16" s="671" t="n"/>
      <c r="AL16" s="673" t="n"/>
      <c r="AM16" s="673" t="n"/>
      <c r="AN16" s="673" t="n"/>
      <c r="AO16" s="673" t="n"/>
      <c r="AP16" s="671" t="n"/>
    </row>
    <row r="17" ht="15" customHeight="1" s="462">
      <c r="A17" s="543" t="inlineStr">
        <is>
          <t>Other Expenditure</t>
        </is>
      </c>
      <c r="B17" s="671" t="n"/>
      <c r="C17" s="672" t="n"/>
      <c r="D17" s="672" t="n"/>
      <c r="E17" s="672" t="n"/>
      <c r="F17" s="672" t="n"/>
      <c r="G17" s="671" t="n"/>
      <c r="H17" s="672" t="n"/>
      <c r="I17" s="672" t="n"/>
      <c r="J17" s="672" t="n"/>
      <c r="K17" s="672" t="n"/>
      <c r="L17" s="671" t="n"/>
      <c r="M17" s="672" t="n"/>
      <c r="N17" s="672" t="n"/>
      <c r="O17" s="672" t="n"/>
      <c r="P17" s="672" t="n"/>
      <c r="Q17" s="671" t="n"/>
      <c r="R17" s="672" t="n"/>
      <c r="S17" s="673" t="n"/>
      <c r="T17" s="673" t="n"/>
      <c r="U17" s="673" t="n"/>
      <c r="V17" s="671" t="n"/>
      <c r="W17" s="673" t="n"/>
      <c r="X17" s="673" t="n"/>
      <c r="Y17" s="673" t="n"/>
      <c r="Z17" s="673" t="n"/>
      <c r="AA17" s="671" t="n"/>
      <c r="AB17" s="673" t="n"/>
      <c r="AC17" s="673" t="n"/>
      <c r="AD17" s="673" t="n"/>
      <c r="AE17" s="673" t="n"/>
      <c r="AF17" s="671" t="n"/>
      <c r="AG17" s="673" t="n"/>
      <c r="AH17" s="673" t="n"/>
      <c r="AI17" s="673" t="n"/>
      <c r="AJ17" s="673" t="n"/>
      <c r="AK17" s="671" t="n"/>
      <c r="AL17" s="673" t="n"/>
      <c r="AM17" s="673" t="n"/>
      <c r="AN17" s="673" t="n"/>
      <c r="AO17" s="673" t="n"/>
      <c r="AP17" s="671" t="n"/>
    </row>
    <row r="18" ht="15" customHeight="1" s="462">
      <c r="B18" s="671" t="n"/>
      <c r="C18" s="672" t="n"/>
      <c r="D18" s="672" t="n"/>
      <c r="E18" s="672" t="n"/>
      <c r="F18" s="672" t="n"/>
      <c r="G18" s="671" t="n"/>
      <c r="H18" s="672" t="n"/>
      <c r="I18" s="672" t="n"/>
      <c r="J18" s="672" t="n"/>
      <c r="K18" s="672" t="n"/>
      <c r="L18" s="671" t="n"/>
      <c r="M18" s="672" t="n"/>
      <c r="N18" s="672" t="n"/>
      <c r="O18" s="672" t="n"/>
      <c r="P18" s="672" t="n"/>
      <c r="Q18" s="671" t="n"/>
      <c r="R18" s="672" t="n"/>
      <c r="S18" s="673" t="n"/>
      <c r="T18" s="673" t="n"/>
      <c r="U18" s="673" t="n"/>
      <c r="V18" s="671" t="n"/>
      <c r="W18" s="673" t="n"/>
      <c r="X18" s="673" t="n"/>
      <c r="Y18" s="673" t="n"/>
      <c r="Z18" s="673" t="n"/>
      <c r="AA18" s="671" t="n"/>
      <c r="AB18" s="673" t="n"/>
      <c r="AC18" s="673" t="n"/>
      <c r="AD18" s="673" t="n"/>
      <c r="AE18" s="673" t="n"/>
      <c r="AF18" s="671" t="n"/>
      <c r="AG18" s="673" t="n"/>
      <c r="AH18" s="673" t="n"/>
      <c r="AI18" s="673" t="n"/>
      <c r="AJ18" s="673" t="n"/>
      <c r="AK18" s="671" t="n"/>
      <c r="AL18" s="673" t="n"/>
      <c r="AM18" s="673" t="n"/>
      <c r="AN18" s="673" t="n"/>
      <c r="AO18" s="673" t="n"/>
      <c r="AP18" s="671" t="n"/>
    </row>
    <row r="19" ht="15" customHeight="1" s="462">
      <c r="A19" s="543" t="n"/>
      <c r="B19" s="555" t="n"/>
      <c r="C19" s="529" t="n"/>
      <c r="D19" s="529" t="n"/>
      <c r="E19" s="529" t="n"/>
      <c r="F19" s="529" t="n"/>
      <c r="G19" s="555" t="n"/>
      <c r="H19" s="529" t="n"/>
      <c r="I19" s="529" t="n"/>
      <c r="J19" s="529" t="n"/>
      <c r="K19" s="529" t="n"/>
      <c r="L19" s="555" t="n"/>
      <c r="M19" s="529" t="n"/>
      <c r="N19" s="529" t="n"/>
      <c r="O19" s="529" t="n"/>
      <c r="P19" s="529" t="n"/>
      <c r="Q19" s="555" t="n"/>
      <c r="R19" s="529" t="n"/>
      <c r="S19" s="674" t="n"/>
      <c r="T19" s="631" t="n"/>
      <c r="U19" s="631" t="n"/>
      <c r="V19" s="515" t="n"/>
      <c r="W19" s="631" t="n"/>
      <c r="X19" s="631" t="n"/>
      <c r="Y19" s="631" t="n"/>
      <c r="Z19" s="631" t="n"/>
      <c r="AA19" s="515" t="n"/>
      <c r="AB19" s="631" t="n"/>
      <c r="AC19" s="631" t="n"/>
      <c r="AD19" s="631" t="n"/>
      <c r="AE19" s="631" t="n"/>
      <c r="AF19" s="515" t="n"/>
      <c r="AG19" s="631" t="n"/>
      <c r="AH19" s="631" t="n"/>
      <c r="AI19" s="631" t="n"/>
      <c r="AJ19" s="631" t="n"/>
      <c r="AK19" s="515" t="n"/>
      <c r="AL19" s="631" t="n"/>
      <c r="AM19" s="631" t="n"/>
      <c r="AN19" s="631" t="n"/>
      <c r="AO19" s="631" t="n"/>
      <c r="AP19" s="515" t="n"/>
    </row>
    <row r="20" ht="15" customHeight="1" s="462">
      <c r="A20" s="461" t="inlineStr">
        <is>
          <t>Total Tax / Profit Before Tax</t>
        </is>
      </c>
      <c r="B20" s="555" t="n"/>
      <c r="C20" s="529" t="n"/>
      <c r="D20" s="529" t="n"/>
      <c r="E20" s="529" t="n"/>
      <c r="F20" s="529" t="n"/>
      <c r="G20" s="555" t="n"/>
      <c r="H20" s="529" t="n"/>
      <c r="I20" s="529" t="n"/>
      <c r="J20" s="529" t="n"/>
      <c r="K20" s="529" t="n"/>
      <c r="L20" s="555" t="n"/>
      <c r="M20" s="529" t="n"/>
      <c r="N20" s="529" t="n"/>
      <c r="O20" s="529" t="n"/>
      <c r="P20" s="529" t="n"/>
      <c r="Q20" s="555" t="n"/>
      <c r="R20" s="529" t="n"/>
      <c r="S20" s="674" t="n">
        <v>0.13</v>
      </c>
      <c r="T20" s="674" t="n">
        <v>0.13</v>
      </c>
      <c r="U20" s="674" t="n">
        <v>0.13</v>
      </c>
      <c r="V20" s="555" t="n"/>
      <c r="W20" s="676" t="n"/>
      <c r="X20" s="676" t="n"/>
      <c r="Y20" s="676" t="n"/>
      <c r="Z20" s="676" t="n"/>
      <c r="AA20" s="555" t="n"/>
      <c r="AB20" s="676" t="n"/>
      <c r="AC20" s="676" t="n"/>
      <c r="AD20" s="676" t="n"/>
      <c r="AE20" s="676" t="n"/>
      <c r="AF20" s="555" t="n"/>
      <c r="AG20" s="676" t="n"/>
      <c r="AH20" s="676" t="n"/>
      <c r="AI20" s="676" t="n"/>
      <c r="AJ20" s="676" t="n"/>
      <c r="AK20" s="555" t="n"/>
      <c r="AL20" s="676" t="n"/>
      <c r="AM20" s="676" t="n"/>
      <c r="AN20" s="676" t="n"/>
      <c r="AO20" s="676" t="n"/>
      <c r="AP20" s="555" t="n"/>
      <c r="AQ20" s="461" t="n"/>
      <c r="AR20" s="461" t="n"/>
    </row>
    <row r="21" ht="15.75" customHeight="1" s="462">
      <c r="A21" s="489" t="n"/>
      <c r="B21" s="538" t="n"/>
      <c r="C21" s="489" t="n"/>
      <c r="D21" s="489" t="n"/>
      <c r="E21" s="489" t="n"/>
      <c r="F21" s="489" t="n"/>
      <c r="G21" s="538" t="n"/>
      <c r="H21" s="489" t="n"/>
      <c r="I21" s="489" t="n"/>
      <c r="J21" s="489" t="n"/>
      <c r="K21" s="489" t="n"/>
      <c r="L21" s="538" t="n"/>
      <c r="M21" s="489" t="n"/>
      <c r="N21" s="489" t="n"/>
      <c r="O21" s="489" t="n"/>
      <c r="P21" s="489" t="n"/>
      <c r="Q21" s="538" t="n"/>
      <c r="R21" s="489" t="n"/>
      <c r="S21" s="489" t="n"/>
      <c r="T21" s="489" t="n"/>
      <c r="U21" s="489" t="n"/>
      <c r="V21" s="538" t="n"/>
      <c r="W21" s="489" t="n"/>
      <c r="X21" s="489" t="n"/>
      <c r="Y21" s="489" t="n"/>
      <c r="Z21" s="489" t="n"/>
      <c r="AA21" s="538" t="n"/>
      <c r="AB21" s="489" t="n"/>
      <c r="AC21" s="489" t="n"/>
      <c r="AD21" s="489" t="n"/>
      <c r="AE21" s="489" t="n"/>
      <c r="AF21" s="538" t="n"/>
      <c r="AG21" s="489" t="n"/>
      <c r="AH21" s="489" t="n"/>
      <c r="AI21" s="489" t="n"/>
      <c r="AJ21" s="489" t="n"/>
      <c r="AK21" s="538" t="n"/>
      <c r="AL21" s="489" t="n"/>
      <c r="AM21" s="489" t="n"/>
      <c r="AN21" s="489" t="n"/>
      <c r="AO21" s="489" t="n"/>
      <c r="AP21" s="538"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1.xml><?xml version="1.0" encoding="utf-8"?>
<worksheet xmlns="http://schemas.openxmlformats.org/spreadsheetml/2006/main">
  <sheetPr filterMode="0">
    <outlinePr summaryBelow="1" summaryRight="1"/>
    <pageSetUpPr fitToPage="0"/>
  </sheetPr>
  <dimension ref="A1:N22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D220" activeCellId="0" sqref="D220"/>
    </sheetView>
  </sheetViews>
  <sheetFormatPr baseColWidth="8" defaultColWidth="8.96875" defaultRowHeight="15" zeroHeight="0" outlineLevelRow="0"/>
  <cols>
    <col width="44.99" customWidth="1" style="461" min="1" max="1"/>
    <col width="15.14" customWidth="1" style="461" min="2" max="2"/>
    <col width="15.99" customWidth="1" style="677" min="3" max="3"/>
    <col width="14.7" customWidth="1" style="461" min="4" max="4"/>
    <col width="15.28" customWidth="1" style="461" min="5" max="5"/>
    <col width="18.56" customWidth="1" style="461" min="6" max="6"/>
    <col width="11.71" customWidth="1" style="461" min="7" max="7"/>
    <col width="10.7" customWidth="1" style="461" min="8" max="8"/>
    <col width="10.56" customWidth="1" style="461" min="9" max="9"/>
    <col width="10.7" customWidth="1" style="461" min="10" max="11"/>
    <col width="10.28" customWidth="1" style="461" min="12" max="12"/>
  </cols>
  <sheetData>
    <row r="1" ht="18.75" customHeight="1" s="462">
      <c r="A1" s="487" t="inlineStr">
        <is>
          <t>Aurobindo Pharma</t>
        </is>
      </c>
      <c r="B1" s="487" t="n"/>
      <c r="C1" s="678" t="n"/>
      <c r="D1" s="679" t="n"/>
      <c r="E1" s="679" t="n"/>
      <c r="F1" s="679" t="n"/>
      <c r="G1" s="679" t="n"/>
      <c r="H1" s="679" t="n"/>
      <c r="I1" s="679" t="n"/>
      <c r="J1" s="679" t="n"/>
    </row>
    <row r="2" ht="15.75" customHeight="1" s="462">
      <c r="A2" s="488" t="inlineStr">
        <is>
          <t>Debt Schedule</t>
        </is>
      </c>
      <c r="B2" s="522" t="n"/>
      <c r="C2" s="678" t="n"/>
      <c r="D2" s="679" t="n"/>
      <c r="E2" s="679" t="n"/>
      <c r="F2" s="679" t="n"/>
      <c r="G2" s="679" t="n"/>
      <c r="H2" s="679" t="n"/>
      <c r="I2" s="679" t="n"/>
      <c r="J2" s="679" t="n"/>
    </row>
    <row r="3" ht="15.75" customHeight="1" s="462">
      <c r="A3" s="489" t="inlineStr">
        <is>
          <t>(In Rs Millions)</t>
        </is>
      </c>
      <c r="B3" s="489" t="n"/>
      <c r="C3" s="680" t="n"/>
      <c r="D3" s="489" t="n"/>
      <c r="E3" s="489" t="n"/>
      <c r="F3" s="489" t="n"/>
      <c r="G3" s="489" t="n"/>
      <c r="H3" s="489" t="n"/>
      <c r="I3" s="489" t="n"/>
      <c r="J3" s="489" t="n"/>
      <c r="K3" s="489" t="n"/>
    </row>
    <row r="4" ht="36" customHeight="1" s="462">
      <c r="A4" s="681" t="inlineStr">
        <is>
          <t>For the Fiscal Period Ending</t>
        </is>
      </c>
      <c r="B4" s="617" t="inlineStr">
        <is>
          <t>FY2005 A</t>
        </is>
      </c>
      <c r="C4" s="682" t="inlineStr">
        <is>
          <t>FY2006 A</t>
        </is>
      </c>
      <c r="D4" s="617" t="inlineStr">
        <is>
          <t>FY2007 A</t>
        </is>
      </c>
      <c r="E4" s="617" t="inlineStr">
        <is>
          <t>FY2008 A</t>
        </is>
      </c>
      <c r="F4" s="683" t="inlineStr">
        <is>
          <t>FY2009 E</t>
        </is>
      </c>
      <c r="G4" s="683" t="inlineStr">
        <is>
          <t>FY2010 E</t>
        </is>
      </c>
      <c r="H4" s="683" t="inlineStr">
        <is>
          <t>FY2011 E</t>
        </is>
      </c>
      <c r="I4" s="683" t="inlineStr">
        <is>
          <t>FY2012 E</t>
        </is>
      </c>
      <c r="J4" s="683" t="inlineStr">
        <is>
          <t>FY2013 E</t>
        </is>
      </c>
      <c r="K4" s="683" t="inlineStr">
        <is>
          <t>FY2014 E</t>
        </is>
      </c>
    </row>
    <row r="5" ht="15" customHeight="1" s="462">
      <c r="A5" s="491" t="inlineStr">
        <is>
          <t>Debt Schedule</t>
        </is>
      </c>
      <c r="B5" s="573" t="n"/>
      <c r="C5" s="684" t="n"/>
      <c r="D5" s="568" t="n"/>
      <c r="E5" s="568" t="n"/>
      <c r="F5" s="685" t="n"/>
      <c r="G5" s="679" t="n"/>
      <c r="H5" s="679" t="n"/>
      <c r="I5" s="679" t="n"/>
      <c r="J5" s="679" t="n"/>
    </row>
    <row r="6" ht="15" customHeight="1" s="462">
      <c r="B6" s="461" t="n"/>
      <c r="C6" s="686" t="n"/>
      <c r="D6" s="521" t="n"/>
      <c r="E6" s="521" t="n"/>
      <c r="F6" s="521" t="n"/>
      <c r="G6" s="521" t="n"/>
      <c r="H6" s="521" t="n"/>
      <c r="I6" s="521" t="n"/>
      <c r="J6" s="521" t="n"/>
      <c r="K6" s="521" t="n"/>
    </row>
    <row r="7" ht="15" customHeight="1" s="462">
      <c r="A7" s="643" t="inlineStr">
        <is>
          <t>(I) Secured Loans</t>
        </is>
      </c>
      <c r="B7" s="580" t="n"/>
      <c r="C7" s="687" t="n"/>
      <c r="D7" s="580" t="n"/>
      <c r="E7" s="580" t="n"/>
      <c r="F7" s="580" t="n"/>
      <c r="G7" s="580" t="n"/>
      <c r="H7" s="580" t="n"/>
      <c r="I7" s="580" t="n"/>
      <c r="J7" s="580" t="n"/>
      <c r="K7" s="580" t="n"/>
      <c r="L7" s="580" t="n"/>
    </row>
    <row r="8" ht="15" customHeight="1" s="462">
      <c r="A8" s="688" t="inlineStr">
        <is>
          <t>Non Convertible Debentures</t>
        </is>
      </c>
      <c r="B8" s="576" t="n">
        <v>750.7</v>
      </c>
      <c r="C8" s="689" t="n">
        <v>0</v>
      </c>
      <c r="D8" s="576" t="n">
        <v>0</v>
      </c>
      <c r="E8" s="576" t="n">
        <v>0</v>
      </c>
      <c r="F8" s="587" t="n">
        <v>0</v>
      </c>
      <c r="G8" s="587" t="n">
        <v>0</v>
      </c>
      <c r="H8" s="587" t="n">
        <v>0</v>
      </c>
      <c r="I8" s="587" t="n">
        <v>0</v>
      </c>
      <c r="J8" s="587" t="n">
        <v>0</v>
      </c>
      <c r="K8" s="587" t="n">
        <v>0</v>
      </c>
      <c r="L8" s="580" t="n"/>
    </row>
    <row r="9" ht="15" customHeight="1" s="462">
      <c r="A9" s="688" t="inlineStr">
        <is>
          <t>Term Loans -From Banks</t>
        </is>
      </c>
      <c r="B9" s="576" t="n">
        <v>4072.6</v>
      </c>
      <c r="C9" s="689" t="n">
        <v>4183.1</v>
      </c>
      <c r="D9" s="576" t="n">
        <v>2028.5</v>
      </c>
      <c r="E9" s="576" t="n">
        <v>996.8</v>
      </c>
      <c r="F9" s="580" t="n"/>
      <c r="G9" s="580" t="n"/>
      <c r="H9" s="580" t="n"/>
      <c r="I9" s="580" t="n"/>
      <c r="J9" s="580" t="n"/>
      <c r="K9" s="580" t="n"/>
    </row>
    <row r="10" ht="15" customHeight="1" s="462">
      <c r="A10" s="688" t="inlineStr">
        <is>
          <t>Other Loans:-</t>
        </is>
      </c>
      <c r="B10" s="576" t="n"/>
      <c r="C10" s="689" t="n"/>
      <c r="D10" s="576" t="n"/>
      <c r="E10" s="576" t="n"/>
      <c r="F10" s="580" t="n"/>
      <c r="G10" s="580" t="n"/>
      <c r="H10" s="580" t="n"/>
      <c r="I10" s="580" t="n"/>
      <c r="J10" s="580" t="n"/>
      <c r="K10" s="580" t="n"/>
    </row>
    <row r="11" ht="15" customHeight="1" s="462">
      <c r="A11" s="690" t="inlineStr">
        <is>
          <t>From Banks - Working Capital Loans</t>
        </is>
      </c>
      <c r="B11" s="576" t="n">
        <v>2726</v>
      </c>
      <c r="C11" s="689" t="n">
        <v>3316.5</v>
      </c>
      <c r="D11" s="576" t="n">
        <v>5360.2</v>
      </c>
      <c r="E11" s="576" t="n">
        <v>5336.3</v>
      </c>
      <c r="F11" s="587" t="n"/>
      <c r="G11" s="587" t="n"/>
      <c r="H11" s="587" t="n"/>
      <c r="I11" s="587" t="n"/>
      <c r="J11" s="587" t="n"/>
      <c r="K11" s="587" t="n"/>
    </row>
    <row r="12" ht="15" customHeight="1" s="462">
      <c r="A12" s="690" t="inlineStr">
        <is>
          <t xml:space="preserve">Interest Accrued </t>
        </is>
      </c>
      <c r="B12" s="576" t="n">
        <v>1.6</v>
      </c>
      <c r="C12" s="689" t="n">
        <v>2.4</v>
      </c>
      <c r="D12" s="576" t="n">
        <v>0.8</v>
      </c>
      <c r="E12" s="576" t="n">
        <v>0</v>
      </c>
      <c r="F12" s="587" t="n"/>
      <c r="G12" s="587" t="n"/>
      <c r="H12" s="587" t="n"/>
      <c r="I12" s="587" t="n"/>
      <c r="J12" s="587" t="n"/>
      <c r="K12" s="587" t="n"/>
    </row>
    <row r="13" ht="15" customHeight="1" s="462">
      <c r="A13" s="690" t="inlineStr">
        <is>
          <t>Hire Purchase Loans From Banks</t>
        </is>
      </c>
      <c r="B13" s="576" t="n">
        <v>0.7</v>
      </c>
      <c r="C13" s="689" t="n">
        <v>0.5</v>
      </c>
      <c r="D13" s="576" t="n">
        <v>1.2</v>
      </c>
      <c r="E13" s="576" t="n">
        <v>1.2</v>
      </c>
      <c r="F13" s="587" t="n"/>
      <c r="G13" s="587" t="n"/>
      <c r="H13" s="587" t="n"/>
      <c r="I13" s="587" t="n"/>
      <c r="J13" s="587" t="n"/>
      <c r="K13" s="587" t="n"/>
    </row>
    <row r="14" ht="15" customHeight="1" s="462">
      <c r="A14" s="691" t="inlineStr">
        <is>
          <t>Total</t>
        </is>
      </c>
      <c r="B14" s="692" t="n"/>
      <c r="C14" s="693" t="n"/>
      <c r="D14" s="692" t="n"/>
      <c r="E14" s="692" t="n"/>
      <c r="F14" s="580" t="n"/>
      <c r="G14" s="580" t="n"/>
      <c r="H14" s="580" t="n"/>
      <c r="I14" s="580" t="n"/>
      <c r="J14" s="580" t="n"/>
      <c r="K14" s="580" t="n"/>
    </row>
    <row r="15" ht="15" customHeight="1" s="462">
      <c r="A15" s="694" t="n"/>
      <c r="B15" s="695" t="n"/>
      <c r="C15" s="696" t="n"/>
      <c r="D15" s="697" t="n"/>
      <c r="E15" s="695" t="n"/>
      <c r="F15" s="698" t="n"/>
      <c r="G15" s="698" t="n"/>
      <c r="H15" s="699" t="n"/>
      <c r="I15" s="699" t="n"/>
      <c r="J15" s="699" t="n"/>
      <c r="K15" s="699" t="n"/>
    </row>
    <row r="16" ht="15" customHeight="1" s="462">
      <c r="A16" s="643" t="inlineStr">
        <is>
          <t>(II) Unsecured Loans</t>
        </is>
      </c>
      <c r="B16" s="580" t="n"/>
      <c r="C16" s="687" t="n"/>
      <c r="D16" s="580" t="n"/>
      <c r="E16" s="580" t="n"/>
      <c r="F16" s="580" t="n"/>
      <c r="G16" s="580" t="n"/>
      <c r="H16" s="580" t="n"/>
      <c r="I16" s="580" t="n"/>
      <c r="J16" s="580" t="n"/>
      <c r="K16" s="580" t="n"/>
    </row>
    <row r="17" ht="15" customHeight="1" s="462">
      <c r="A17" s="688" t="inlineStr">
        <is>
          <t>Short Term Loans - From Banks</t>
        </is>
      </c>
      <c r="B17" s="576" t="n">
        <v>1350.8</v>
      </c>
      <c r="C17" s="689" t="n">
        <v>2175</v>
      </c>
      <c r="D17" s="576" t="n">
        <v>900</v>
      </c>
      <c r="E17" s="576" t="n">
        <v>771.8</v>
      </c>
      <c r="F17" s="587" t="n"/>
      <c r="G17" s="587" t="n"/>
      <c r="H17" s="587" t="n"/>
      <c r="I17" s="587" t="n"/>
      <c r="J17" s="587" t="n"/>
      <c r="K17" s="587" t="n"/>
    </row>
    <row r="18" ht="15" customHeight="1" s="462">
      <c r="A18" s="688" t="inlineStr">
        <is>
          <t>Other Loans:-</t>
        </is>
      </c>
      <c r="B18" s="576" t="n"/>
      <c r="C18" s="689" t="n"/>
      <c r="D18" s="576" t="n"/>
      <c r="E18" s="576" t="n"/>
      <c r="F18" s="587" t="n"/>
      <c r="G18" s="587" t="n"/>
      <c r="H18" s="587" t="n"/>
      <c r="I18" s="587" t="n"/>
      <c r="J18" s="587" t="n"/>
      <c r="K18" s="587" t="n"/>
    </row>
    <row r="19" ht="15" customHeight="1" s="462">
      <c r="A19" s="690" t="inlineStr">
        <is>
          <t>From Banks</t>
        </is>
      </c>
      <c r="B19" s="576" t="n">
        <v>330</v>
      </c>
      <c r="C19" s="689" t="n">
        <v>329.7</v>
      </c>
      <c r="D19" s="576" t="n">
        <v>158.9</v>
      </c>
      <c r="E19" s="576" t="n">
        <v>23.5</v>
      </c>
      <c r="F19" s="580" t="n"/>
      <c r="G19" s="587" t="n"/>
      <c r="H19" s="587" t="n"/>
      <c r="I19" s="587" t="n"/>
      <c r="J19" s="587" t="n"/>
      <c r="K19" s="587" t="n"/>
    </row>
    <row r="20" ht="15" customHeight="1" s="462">
      <c r="A20" s="690" t="inlineStr">
        <is>
          <t>Interest Accrued and Due</t>
        </is>
      </c>
      <c r="B20" s="576" t="n">
        <v>5.7</v>
      </c>
      <c r="C20" s="689" t="n">
        <v>11.2</v>
      </c>
      <c r="D20" s="576" t="n">
        <v>18</v>
      </c>
      <c r="E20" s="576" t="n">
        <v>25.5</v>
      </c>
      <c r="F20" s="587" t="n"/>
      <c r="G20" s="587" t="n"/>
      <c r="H20" s="587" t="n"/>
      <c r="I20" s="587" t="n"/>
      <c r="J20" s="587" t="n"/>
      <c r="K20" s="587" t="n"/>
    </row>
    <row r="21" ht="15" customHeight="1" s="462">
      <c r="A21" s="700" t="inlineStr">
        <is>
          <t>Zero Coupon FCCBS</t>
        </is>
      </c>
      <c r="B21" s="701" t="n">
        <v>0</v>
      </c>
      <c r="C21" s="689" t="n">
        <v>2677.2</v>
      </c>
      <c r="D21" s="576" t="n">
        <v>11299.6</v>
      </c>
      <c r="E21" s="576" t="n"/>
      <c r="F21" s="580" t="n"/>
      <c r="G21" s="580" t="n"/>
      <c r="H21" s="580" t="n"/>
      <c r="I21" s="702" t="n"/>
      <c r="J21" s="580" t="n"/>
      <c r="K21" s="580" t="n"/>
    </row>
    <row r="22" ht="15" customHeight="1" s="462">
      <c r="A22" s="690" t="inlineStr">
        <is>
          <t>From Others</t>
        </is>
      </c>
      <c r="B22" s="576" t="n">
        <v>297.2</v>
      </c>
      <c r="C22" s="689" t="n">
        <v>87.3</v>
      </c>
      <c r="D22" s="576" t="n">
        <v>99.59999999999999</v>
      </c>
      <c r="E22" s="576" t="n">
        <v>121</v>
      </c>
      <c r="F22" s="587" t="n"/>
      <c r="G22" s="587" t="n"/>
      <c r="H22" s="587" t="n"/>
      <c r="I22" s="587" t="n"/>
      <c r="J22" s="587" t="n"/>
      <c r="K22" s="587" t="n"/>
    </row>
    <row r="23" ht="15" customHeight="1" s="462">
      <c r="A23" s="690" t="inlineStr">
        <is>
          <t>Sales Tax Deferment Loan</t>
        </is>
      </c>
      <c r="B23" s="576" t="n">
        <v>805</v>
      </c>
      <c r="C23" s="689" t="n">
        <v>947.8</v>
      </c>
      <c r="D23" s="576" t="n">
        <v>914.6</v>
      </c>
      <c r="E23" s="576" t="n">
        <v>948.5</v>
      </c>
      <c r="F23" s="587" t="n"/>
      <c r="G23" s="587" t="n"/>
      <c r="H23" s="587" t="n"/>
      <c r="I23" s="587" t="n"/>
      <c r="J23" s="587" t="n"/>
      <c r="K23" s="587" t="n"/>
    </row>
    <row r="24" ht="15" customHeight="1" s="462">
      <c r="A24" s="691" t="inlineStr">
        <is>
          <t>Total</t>
        </is>
      </c>
      <c r="B24" s="692" t="n"/>
      <c r="C24" s="693" t="n"/>
      <c r="D24" s="692" t="n"/>
      <c r="E24" s="692" t="n"/>
      <c r="F24" s="692" t="n"/>
      <c r="G24" s="692" t="n"/>
      <c r="H24" s="692" t="n"/>
      <c r="I24" s="692" t="n"/>
      <c r="J24" s="692" t="n"/>
      <c r="K24" s="692" t="n"/>
    </row>
    <row r="25" ht="15" customHeight="1" s="462">
      <c r="A25" s="691" t="n"/>
      <c r="B25" s="692" t="n"/>
      <c r="C25" s="693" t="n"/>
      <c r="D25" s="692" t="n"/>
      <c r="E25" s="692" t="n"/>
      <c r="F25" s="698" t="n"/>
      <c r="G25" s="698" t="n"/>
      <c r="H25" s="699" t="n"/>
      <c r="I25" s="699" t="n"/>
      <c r="J25" s="699" t="n"/>
      <c r="K25" s="699" t="n"/>
    </row>
    <row r="26" ht="15" customHeight="1" s="462">
      <c r="A26" s="691" t="inlineStr">
        <is>
          <t>Total Loans</t>
        </is>
      </c>
      <c r="B26" s="692" t="n"/>
      <c r="C26" s="693" t="n"/>
      <c r="D26" s="692" t="n"/>
      <c r="E26" s="692" t="n"/>
      <c r="F26" s="692" t="n"/>
      <c r="G26" s="692" t="n"/>
      <c r="H26" s="692" t="n"/>
      <c r="I26" s="692" t="n"/>
      <c r="J26" s="692" t="n"/>
      <c r="K26" s="692" t="n"/>
    </row>
    <row r="27" ht="15" customHeight="1" s="462">
      <c r="A27" s="700" t="inlineStr">
        <is>
          <t>Total Loans: Less FCCB</t>
        </is>
      </c>
      <c r="B27" s="695" t="n"/>
      <c r="C27" s="703" t="n"/>
      <c r="D27" s="695" t="n"/>
      <c r="E27" s="695" t="n"/>
      <c r="F27" s="580" t="n"/>
      <c r="G27" s="580" t="n"/>
      <c r="H27" s="580" t="n"/>
      <c r="I27" s="580" t="n"/>
      <c r="J27" s="580" t="n"/>
      <c r="K27" s="580" t="n"/>
    </row>
    <row r="28" ht="15" customFormat="1" customHeight="1" s="461">
      <c r="A28" s="690" t="n"/>
      <c r="B28" s="580" t="n"/>
      <c r="C28" s="687" t="n"/>
      <c r="D28" s="580" t="n"/>
      <c r="E28" s="580" t="n"/>
      <c r="F28" s="580" t="n"/>
      <c r="G28" s="580" t="n"/>
      <c r="H28" s="580" t="n"/>
      <c r="I28" s="580" t="n"/>
      <c r="J28" s="580" t="n"/>
      <c r="K28" s="580" t="n"/>
    </row>
    <row r="29" ht="15" customHeight="1" s="462">
      <c r="A29" s="491" t="inlineStr">
        <is>
          <t>Interest Income, Net</t>
        </is>
      </c>
      <c r="G29" s="506" t="n"/>
    </row>
    <row r="30" ht="15" customHeight="1" s="462">
      <c r="A30" s="704" t="n"/>
    </row>
    <row r="31" ht="15" customHeight="1" s="462">
      <c r="A31" s="495" t="inlineStr">
        <is>
          <t>Interest Income</t>
        </is>
      </c>
      <c r="B31" s="576" t="n">
        <v>17.2</v>
      </c>
      <c r="C31" s="689" t="n">
        <v>86.90000000000001</v>
      </c>
      <c r="D31" s="576" t="n">
        <v>410.9</v>
      </c>
      <c r="E31" s="576" t="n">
        <v>261.8</v>
      </c>
      <c r="F31" s="506" t="n"/>
      <c r="G31" s="506" t="n"/>
      <c r="H31" s="506" t="n"/>
      <c r="I31" s="506" t="n"/>
      <c r="J31" s="506" t="n"/>
      <c r="K31" s="506" t="n"/>
    </row>
    <row r="32" ht="15" customHeight="1" s="462">
      <c r="A32" s="705" t="inlineStr">
        <is>
          <t>Interest Expense</t>
        </is>
      </c>
      <c r="B32" s="576" t="n">
        <v>499.2</v>
      </c>
      <c r="C32" s="689" t="n">
        <v>691</v>
      </c>
      <c r="D32" s="576" t="n">
        <v>864.5</v>
      </c>
      <c r="E32" s="576" t="n">
        <v>694.2</v>
      </c>
      <c r="F32" s="521" t="n"/>
      <c r="G32" s="506" t="n"/>
      <c r="H32" s="506" t="n"/>
      <c r="I32" s="506" t="n"/>
      <c r="J32" s="506" t="n"/>
      <c r="K32" s="506" t="n"/>
    </row>
    <row r="33" ht="15" customHeight="1" s="462">
      <c r="A33" s="508" t="inlineStr">
        <is>
          <t>Interest Expense, Net</t>
        </is>
      </c>
      <c r="B33" s="521" t="n"/>
      <c r="C33" s="521" t="n"/>
      <c r="D33" s="521" t="n"/>
      <c r="E33" s="521" t="n"/>
      <c r="F33" s="579" t="n">
        <v>810.9</v>
      </c>
      <c r="G33" s="521" t="n"/>
      <c r="H33" s="521" t="n"/>
      <c r="I33" s="521" t="n"/>
      <c r="J33" s="521" t="n"/>
      <c r="K33" s="521" t="n"/>
    </row>
    <row r="34" ht="15" customHeight="1" s="462">
      <c r="A34" s="461" t="n"/>
      <c r="B34" s="521" t="n"/>
      <c r="C34" s="686" t="n"/>
      <c r="D34" s="521" t="n"/>
      <c r="E34" s="521" t="n"/>
    </row>
    <row r="35" ht="15" customHeight="1" s="462">
      <c r="A35" s="461" t="inlineStr">
        <is>
          <t>Interest Expense Rate (Total Loans)</t>
        </is>
      </c>
      <c r="B35" s="672" t="n"/>
      <c r="C35" s="672" t="n"/>
      <c r="D35" s="672" t="n"/>
      <c r="E35" s="672" t="n"/>
      <c r="F35" s="672" t="n"/>
      <c r="G35" s="672" t="n"/>
      <c r="H35" s="672" t="n"/>
      <c r="I35" s="672" t="n"/>
      <c r="J35" s="672" t="n"/>
      <c r="K35" s="672" t="n"/>
    </row>
    <row r="36" ht="15" customHeight="1" s="462">
      <c r="A36" s="461" t="inlineStr">
        <is>
          <t>Interest Expense Rate (Total Loans: Less FCCB)</t>
        </is>
      </c>
      <c r="B36" s="672" t="n"/>
      <c r="C36" s="672" t="n"/>
      <c r="D36" s="672" t="n"/>
      <c r="E36" s="672" t="n"/>
      <c r="F36" s="672" t="n"/>
      <c r="G36" s="706" t="n"/>
      <c r="H36" s="706" t="n"/>
      <c r="I36" s="706" t="n"/>
      <c r="J36" s="706" t="n"/>
      <c r="K36" s="706" t="n"/>
    </row>
    <row r="37" ht="15" customHeight="1" s="462">
      <c r="A37" s="573" t="n"/>
      <c r="B37" s="672" t="n"/>
      <c r="C37" s="707" t="n"/>
      <c r="D37" s="672" t="n"/>
      <c r="E37" s="672" t="n"/>
    </row>
    <row r="38" ht="15" customHeight="1" s="462">
      <c r="A38" s="491" t="inlineStr">
        <is>
          <t>Additional Borrowing / (Repayment)</t>
        </is>
      </c>
      <c r="J38" s="643" t="n"/>
    </row>
    <row r="39" ht="15" customHeight="1" s="462">
      <c r="F39" s="506" t="n"/>
      <c r="G39" s="506" t="n"/>
      <c r="J39" s="461" t="n"/>
      <c r="L39" s="506" t="n"/>
    </row>
    <row r="40" ht="15" customHeight="1" s="462">
      <c r="A40" s="490" t="inlineStr">
        <is>
          <t>FCCB's  Due in Aug 2010</t>
        </is>
      </c>
      <c r="B40" s="521" t="n">
        <v>0</v>
      </c>
      <c r="C40" s="521" t="n">
        <v>0</v>
      </c>
      <c r="D40" s="521" t="n">
        <v>0</v>
      </c>
      <c r="E40" s="521" t="n">
        <v>0</v>
      </c>
      <c r="F40" s="521" t="n">
        <v>0</v>
      </c>
      <c r="G40" s="521" t="n">
        <v>0</v>
      </c>
      <c r="H40" s="521" t="n"/>
      <c r="J40" s="521" t="n">
        <v>0</v>
      </c>
      <c r="K40" s="521" t="n">
        <v>0</v>
      </c>
      <c r="L40" s="506" t="n"/>
    </row>
    <row r="41" ht="15" customHeight="1" s="462">
      <c r="A41" s="490" t="inlineStr">
        <is>
          <t>FCCB's  Due in May 2011 -Tranche A Bonds</t>
        </is>
      </c>
      <c r="B41" s="521" t="n">
        <v>0</v>
      </c>
      <c r="C41" s="521" t="n">
        <v>0</v>
      </c>
      <c r="D41" s="521" t="n">
        <v>0</v>
      </c>
      <c r="E41" s="521" t="n">
        <v>0</v>
      </c>
      <c r="F41" s="521" t="n">
        <v>0</v>
      </c>
      <c r="G41" s="521" t="n"/>
      <c r="H41" s="521" t="n">
        <v>0</v>
      </c>
      <c r="I41" s="506" t="n"/>
      <c r="J41" s="521" t="n">
        <v>0</v>
      </c>
      <c r="K41" s="521" t="n">
        <v>0</v>
      </c>
      <c r="L41" s="506" t="n"/>
    </row>
    <row r="42" ht="15" customHeight="1" s="462">
      <c r="A42" s="490" t="inlineStr">
        <is>
          <t>FCCB's  Due in May 2011 -Tranche B Bonds</t>
        </is>
      </c>
      <c r="B42" s="521" t="n">
        <v>0</v>
      </c>
      <c r="C42" s="521" t="n">
        <v>0</v>
      </c>
      <c r="D42" s="521" t="n">
        <v>0</v>
      </c>
      <c r="E42" s="521" t="n">
        <v>0</v>
      </c>
      <c r="F42" s="521" t="n">
        <v>0</v>
      </c>
      <c r="G42" s="521" t="n">
        <v>0</v>
      </c>
      <c r="H42" s="521" t="n">
        <v>0</v>
      </c>
      <c r="I42" s="506" t="n"/>
      <c r="J42" s="521" t="n">
        <v>0</v>
      </c>
      <c r="K42" s="521" t="n">
        <v>0</v>
      </c>
    </row>
    <row r="43" ht="15" customHeight="1" s="462">
      <c r="A43" s="490" t="inlineStr">
        <is>
          <t>Term Loans -From Banks</t>
        </is>
      </c>
      <c r="B43" s="521" t="n">
        <v>0</v>
      </c>
      <c r="C43" s="521" t="n">
        <v>0</v>
      </c>
      <c r="D43" s="521" t="n">
        <v>0</v>
      </c>
      <c r="E43" s="521" t="n">
        <v>0</v>
      </c>
      <c r="F43" s="521" t="n">
        <v>0</v>
      </c>
      <c r="G43" s="521" t="n">
        <v>0</v>
      </c>
      <c r="H43" s="637" t="n">
        <v>2000</v>
      </c>
      <c r="I43" s="708" t="n">
        <v>5000</v>
      </c>
      <c r="J43" s="521" t="n">
        <v>0</v>
      </c>
      <c r="K43" s="521" t="n">
        <v>0</v>
      </c>
    </row>
    <row r="44" ht="15" customHeight="1" s="462">
      <c r="A44" s="490" t="n"/>
      <c r="F44" s="506" t="n"/>
      <c r="G44" s="506" t="n"/>
      <c r="H44" s="506" t="n"/>
      <c r="I44" s="521" t="n"/>
    </row>
    <row r="45" ht="15" customHeight="1" s="462">
      <c r="A45" s="490" t="inlineStr">
        <is>
          <t xml:space="preserve">Outstanding FCCB's at Year End (in Rs  Million ) </t>
        </is>
      </c>
      <c r="B45" s="521" t="n">
        <v>0</v>
      </c>
      <c r="C45" s="521" t="n">
        <v>0</v>
      </c>
      <c r="D45" s="521" t="n">
        <v>0</v>
      </c>
      <c r="E45" s="576" t="n">
        <v>10245.6</v>
      </c>
      <c r="F45" s="521" t="n"/>
      <c r="G45" s="521" t="n"/>
      <c r="H45" s="521" t="n"/>
      <c r="I45" s="521" t="n"/>
      <c r="J45" s="521" t="n">
        <v>0</v>
      </c>
      <c r="K45" s="521" t="n">
        <v>0</v>
      </c>
    </row>
    <row r="46" ht="15" customHeight="1" s="462">
      <c r="A46" s="490" t="inlineStr">
        <is>
          <t xml:space="preserve">Outstanding FCCB's at Year End (in Million USD) </t>
        </is>
      </c>
      <c r="B46" s="521" t="n">
        <v>0</v>
      </c>
      <c r="C46" s="521" t="n">
        <v>0</v>
      </c>
      <c r="D46" s="521" t="n">
        <v>0</v>
      </c>
      <c r="E46" s="613" t="n">
        <v>255.5</v>
      </c>
      <c r="F46" s="613" t="n">
        <v>194.6</v>
      </c>
      <c r="G46" s="580" t="n"/>
      <c r="H46" s="521" t="n"/>
      <c r="I46" s="587" t="n"/>
      <c r="J46" s="521" t="n">
        <v>0</v>
      </c>
      <c r="K46" s="521" t="n">
        <v>0</v>
      </c>
    </row>
    <row r="47" ht="15" customHeight="1" s="462">
      <c r="A47" s="490" t="inlineStr">
        <is>
          <t>USD/INR (At Balance sheet date i.e 31 March )</t>
        </is>
      </c>
      <c r="B47" s="521" t="n">
        <v>0</v>
      </c>
      <c r="C47" s="521" t="n">
        <v>0</v>
      </c>
      <c r="D47" s="521" t="n">
        <v>0</v>
      </c>
      <c r="E47" s="709" t="n">
        <v>40.1002</v>
      </c>
      <c r="F47" s="709" t="n">
        <v>50.876</v>
      </c>
      <c r="G47" s="709" t="n">
        <v>46.5</v>
      </c>
      <c r="H47" s="709" t="n">
        <v>46</v>
      </c>
      <c r="I47" s="709" t="n">
        <v>45.5</v>
      </c>
      <c r="J47" s="521" t="n">
        <v>0</v>
      </c>
      <c r="K47" s="521" t="n">
        <v>0</v>
      </c>
    </row>
    <row r="48" ht="15" customHeight="1" s="462">
      <c r="A48" s="490" t="inlineStr">
        <is>
          <t>Forex (Gain)  / Loss on restating of FCCB's</t>
        </is>
      </c>
      <c r="F48" s="506" t="n"/>
      <c r="G48" s="506" t="n"/>
      <c r="H48" s="506" t="n"/>
      <c r="I48" s="506" t="n"/>
      <c r="J48" s="461" t="n"/>
      <c r="K48" s="461" t="n"/>
    </row>
    <row r="50" ht="15" customHeight="1" s="462">
      <c r="A50" s="491" t="inlineStr">
        <is>
          <t>Interest Income Calculation</t>
        </is>
      </c>
    </row>
    <row r="51" ht="15" customHeight="1" s="462">
      <c r="A51" s="461" t="n"/>
      <c r="B51" s="710" t="n"/>
      <c r="C51" s="710" t="n"/>
      <c r="D51" s="711" t="n"/>
      <c r="E51" s="711" t="n"/>
      <c r="F51" s="526" t="n"/>
      <c r="G51" s="526" t="n"/>
      <c r="H51" s="526" t="n"/>
      <c r="I51" s="526" t="n"/>
      <c r="J51" s="526" t="n"/>
      <c r="K51" s="526" t="n"/>
      <c r="L51" s="461" t="n"/>
    </row>
    <row r="52" ht="15" customHeight="1" s="462">
      <c r="A52" s="461" t="inlineStr">
        <is>
          <t>Cash and Cash Equivalent</t>
        </is>
      </c>
      <c r="B52" s="521" t="n">
        <v>593.9</v>
      </c>
      <c r="C52" s="677" t="n"/>
      <c r="D52" s="506" t="n"/>
      <c r="E52" s="506" t="n"/>
      <c r="F52" s="506" t="n"/>
      <c r="G52" s="506" t="n"/>
      <c r="H52" s="506" t="n"/>
      <c r="I52" s="506" t="n"/>
      <c r="J52" s="506" t="n"/>
      <c r="K52" s="506" t="n"/>
    </row>
    <row r="53" ht="15" customHeight="1" s="462">
      <c r="A53" s="461" t="inlineStr">
        <is>
          <t>Investments</t>
        </is>
      </c>
      <c r="B53" s="521" t="n">
        <v>2.4</v>
      </c>
      <c r="C53" s="677" t="n"/>
      <c r="D53" s="506" t="n"/>
      <c r="E53" s="506" t="n"/>
      <c r="F53" s="712" t="n"/>
      <c r="G53" s="712" t="n"/>
      <c r="H53" s="712" t="n"/>
      <c r="I53" s="712" t="n"/>
      <c r="J53" s="712" t="n"/>
      <c r="K53" s="712" t="n"/>
    </row>
    <row r="54" ht="15" customHeight="1" s="462">
      <c r="A54" s="461" t="inlineStr">
        <is>
          <t>Total</t>
        </is>
      </c>
      <c r="B54" s="506" t="n"/>
      <c r="C54" s="677" t="n"/>
      <c r="D54" s="506" t="n"/>
      <c r="E54" s="506" t="n"/>
      <c r="F54" s="506" t="n"/>
      <c r="G54" s="506" t="n"/>
      <c r="H54" s="506" t="n"/>
      <c r="I54" s="506" t="n"/>
      <c r="J54" s="506" t="n"/>
      <c r="K54" s="506" t="n"/>
    </row>
    <row r="55" ht="15" customHeight="1" s="462">
      <c r="A55" s="461" t="inlineStr">
        <is>
          <t>Interest Income Rate</t>
        </is>
      </c>
      <c r="B55" s="672" t="n"/>
      <c r="C55" s="707" t="n"/>
      <c r="D55" s="672" t="n"/>
      <c r="E55" s="672" t="n"/>
      <c r="F55" s="706" t="n"/>
      <c r="G55" s="706" t="n"/>
      <c r="H55" s="706" t="n"/>
      <c r="I55" s="706" t="n"/>
      <c r="J55" s="706" t="n"/>
      <c r="K55" s="706" t="n"/>
    </row>
    <row r="56" ht="15.75" customHeight="1" s="462">
      <c r="A56" s="489" t="n"/>
      <c r="B56" s="489" t="n"/>
      <c r="C56" s="489" t="n"/>
      <c r="D56" s="489" t="n"/>
      <c r="E56" s="489" t="n"/>
      <c r="F56" s="489" t="n"/>
      <c r="G56" s="489" t="n"/>
      <c r="H56" s="489" t="n"/>
      <c r="I56" s="489" t="n"/>
      <c r="J56" s="489" t="n"/>
      <c r="K56" s="489" t="n"/>
    </row>
    <row r="59" ht="15" customHeight="1" s="462">
      <c r="B59" s="461" t="n"/>
      <c r="C59" s="713" t="n"/>
      <c r="D59" s="714" t="n"/>
      <c r="E59" s="490" t="n"/>
      <c r="F59" s="490" t="n"/>
      <c r="G59" s="461" t="n"/>
    </row>
    <row r="60" ht="15" customHeight="1" s="462">
      <c r="A60" s="715" t="inlineStr">
        <is>
          <t>FCCB Scenario</t>
        </is>
      </c>
      <c r="B60" s="490" t="n"/>
      <c r="C60" s="713" t="n"/>
      <c r="D60" s="714" t="n"/>
      <c r="E60" s="490" t="n"/>
      <c r="F60" s="490" t="n"/>
      <c r="G60" s="461" t="n"/>
    </row>
    <row r="61" ht="30" customHeight="1" s="462">
      <c r="A61" s="716" t="inlineStr">
        <is>
          <t>(In Actuals)</t>
        </is>
      </c>
      <c r="B61" s="717" t="inlineStr">
        <is>
          <t>No of FCCBs Outstanding</t>
        </is>
      </c>
      <c r="C61" s="718" t="inlineStr">
        <is>
          <t>Price per Bond (USD)</t>
        </is>
      </c>
      <c r="D61" s="717" t="inlineStr">
        <is>
          <t>Premium Payable on due</t>
        </is>
      </c>
      <c r="E61" s="717" t="inlineStr">
        <is>
          <t>Outstanding Amount in USD</t>
        </is>
      </c>
      <c r="F61" s="719" t="inlineStr">
        <is>
          <t>Dilution Effect on Outstanding Shares</t>
        </is>
      </c>
      <c r="G61" s="461" t="n"/>
    </row>
    <row r="62" ht="15" customHeight="1" s="462">
      <c r="A62" s="490" t="inlineStr">
        <is>
          <t>Due in Aug 2010</t>
        </is>
      </c>
      <c r="B62" s="720" t="n">
        <v>53600</v>
      </c>
      <c r="C62" s="721" t="n">
        <v>1000</v>
      </c>
      <c r="D62" s="722" t="n">
        <v>1.39954</v>
      </c>
      <c r="E62" s="723" t="n"/>
      <c r="F62" s="724" t="n">
        <v>4500000</v>
      </c>
      <c r="G62" s="461" t="n"/>
    </row>
    <row r="63" ht="15" customHeight="1" s="462">
      <c r="A63" s="490" t="inlineStr">
        <is>
          <t>Due in May 2011 -Tranche A Bonds</t>
        </is>
      </c>
      <c r="B63" s="720" t="n">
        <v>106200</v>
      </c>
      <c r="C63" s="721" t="n">
        <v>1000</v>
      </c>
      <c r="D63" s="722" t="n">
        <v>1.46285</v>
      </c>
      <c r="E63" s="723" t="n"/>
      <c r="F63" s="725" t="n">
        <v>4700000</v>
      </c>
      <c r="G63" s="461" t="n"/>
    </row>
    <row r="64" ht="15" customHeight="1" s="462">
      <c r="A64" s="490" t="inlineStr">
        <is>
          <t>Due in May 2011 -Tranche B Bonds</t>
        </is>
      </c>
      <c r="B64" s="720" t="n">
        <v>33000</v>
      </c>
      <c r="C64" s="721" t="n">
        <v>1000</v>
      </c>
      <c r="D64" s="722" t="n">
        <v>1.46991</v>
      </c>
      <c r="E64" s="723" t="n"/>
      <c r="F64" s="724" t="n">
        <v>1700000</v>
      </c>
      <c r="G64" s="461" t="n"/>
    </row>
    <row r="65" ht="15" customHeight="1" s="462">
      <c r="A65" s="490" t="n"/>
      <c r="B65" s="714" t="n"/>
      <c r="C65" s="721" t="n"/>
      <c r="D65" s="714" t="n"/>
      <c r="E65" s="726" t="n"/>
      <c r="F65" s="490" t="n"/>
      <c r="G65" s="461" t="n"/>
    </row>
    <row r="66" ht="15" customHeight="1" s="462">
      <c r="A66" s="643" t="inlineStr">
        <is>
          <t xml:space="preserve">Total </t>
        </is>
      </c>
      <c r="B66" s="727" t="n"/>
      <c r="C66" s="713" t="n"/>
      <c r="D66" s="714" t="n"/>
      <c r="E66" s="728" t="n"/>
      <c r="F66" s="727" t="n"/>
      <c r="G66" s="461" t="n"/>
    </row>
    <row r="67" ht="15" customHeight="1" s="462">
      <c r="A67" s="643" t="n"/>
      <c r="B67" s="727" t="n"/>
      <c r="C67" s="713" t="n"/>
      <c r="D67" s="714" t="n"/>
      <c r="E67" s="728" t="n"/>
      <c r="F67" s="490" t="n"/>
      <c r="G67" s="461" t="n"/>
    </row>
    <row r="68" ht="15" customHeight="1" s="462">
      <c r="A68" s="729" t="inlineStr">
        <is>
          <t>Terms of FCCB Issue</t>
        </is>
      </c>
      <c r="B68" s="727" t="n"/>
      <c r="C68" s="713" t="n"/>
      <c r="D68" s="714" t="n"/>
      <c r="E68" s="728" t="n"/>
      <c r="F68" s="490" t="n"/>
      <c r="G68" s="461" t="n"/>
    </row>
    <row r="69" ht="15" customHeight="1" s="462">
      <c r="A69" s="643" t="n"/>
      <c r="B69" s="727" t="n"/>
      <c r="C69" s="713" t="n"/>
      <c r="D69" s="714" t="n"/>
      <c r="E69" s="728" t="n"/>
      <c r="F69" s="490" t="n"/>
      <c r="G69" s="461" t="n"/>
    </row>
    <row r="70" ht="15" customHeight="1" s="462">
      <c r="A70" s="490" t="inlineStr">
        <is>
          <t>Due in Aug 2010 (Issued in 2005-2006)</t>
        </is>
      </c>
      <c r="B70" s="730" t="inlineStr">
        <is>
          <t>Convertible on or before August 2010. Each $1000 bond to be converted into 83.12 fully paid equity shares at a fixed price of Rs 522.036 at a fixed exchange conversion of Rs 43.3925 = US  $1. OR REDEEMABLE on Maturity @ 139.954% of its principal amount.</t>
        </is>
      </c>
    </row>
    <row r="71" ht="15" customHeight="1" s="462">
      <c r="A71" s="490" t="n"/>
    </row>
    <row r="72" ht="30" customHeight="1" s="462">
      <c r="A72" s="508" t="inlineStr">
        <is>
          <t>Due in May 2011 -Tranche A Bonds (Issued in 2006-07)</t>
        </is>
      </c>
      <c r="B72" s="730" t="inlineStr">
        <is>
          <t>Convertible on or before May 2011. Each $1000 bond to be converted into 44.52 fully paid equity shares at a fixed price of Rs 1014.06 at a fixed exchange conversion of Rs 45.145 = US  $1. OR REDEEMABLE on Maturity @ 146.285% of its principal amount.</t>
        </is>
      </c>
    </row>
    <row r="73" ht="15" customHeight="1" s="462">
      <c r="A73" s="508" t="n"/>
    </row>
    <row r="74" ht="30" customHeight="1" s="462">
      <c r="A74" s="508" t="inlineStr">
        <is>
          <t>Due in May 2011 -Tranche B Bonds (Issued in 2006-07)</t>
        </is>
      </c>
      <c r="B74" s="730" t="inlineStr">
        <is>
          <t>Convertible on or before May 2011. Each $1000 bond to be converted into 51.51 fully paid equity shares at a fixed price of Rs 879  at a fixed exchange conversion of Rs 45.145 = US  $1. OR REDEEMABLE on Maturity @ 146.991% of its principal amount.</t>
        </is>
      </c>
    </row>
    <row r="75" ht="15" customHeight="1" s="462">
      <c r="A75" s="490" t="n"/>
    </row>
    <row r="76" ht="15" customHeight="1" s="462">
      <c r="A76" s="490" t="n"/>
      <c r="B76" s="490" t="n"/>
      <c r="C76" s="713" t="n"/>
      <c r="D76" s="714" t="n"/>
      <c r="E76" s="490" t="n"/>
      <c r="F76" s="490" t="n"/>
      <c r="G76" s="461" t="n"/>
    </row>
    <row r="77" ht="15" customHeight="1" s="462">
      <c r="A77" s="731" t="n"/>
      <c r="B77" s="732" t="inlineStr">
        <is>
          <t>Conversion @ Rs</t>
        </is>
      </c>
      <c r="C77" s="733" t="n">
        <v>46</v>
      </c>
      <c r="D77" s="734" t="n"/>
      <c r="E77" s="490" t="n"/>
      <c r="F77" s="712" t="n"/>
      <c r="G77" s="506" t="n"/>
    </row>
    <row r="78" ht="15" customHeight="1" s="462">
      <c r="A78" s="490" t="n"/>
      <c r="B78" s="490" t="n"/>
      <c r="C78" s="713" t="n"/>
      <c r="D78" s="714" t="n"/>
      <c r="E78" s="490" t="n"/>
      <c r="F78" s="490" t="n"/>
      <c r="G78" s="461" t="n"/>
    </row>
    <row r="79" ht="45" customHeight="1" s="462">
      <c r="A79" s="735" t="inlineStr">
        <is>
          <t>(In USD)</t>
        </is>
      </c>
      <c r="B79" s="736" t="inlineStr">
        <is>
          <t>Due in August 2010</t>
        </is>
      </c>
      <c r="C79" s="737" t="inlineStr">
        <is>
          <t>Due  in May 2011 (Tranche -A)</t>
        </is>
      </c>
      <c r="D79" s="737" t="inlineStr">
        <is>
          <t>Due  in May 2011(Tranche-B)</t>
        </is>
      </c>
      <c r="E79" s="490" t="n"/>
      <c r="F79" s="490" t="n"/>
      <c r="G79" s="506" t="n"/>
    </row>
    <row r="80" ht="15" customHeight="1" s="462">
      <c r="A80" s="558" t="inlineStr">
        <is>
          <t>Face Value of FCCB</t>
        </is>
      </c>
      <c r="B80" s="738" t="n">
        <v>1000</v>
      </c>
      <c r="C80" s="739" t="n">
        <v>1000</v>
      </c>
      <c r="D80" s="738" t="n">
        <v>1000</v>
      </c>
      <c r="E80" s="490" t="n"/>
      <c r="F80" s="490" t="n"/>
      <c r="G80" s="461" t="n"/>
    </row>
    <row r="81" ht="15" customHeight="1" s="462">
      <c r="A81" s="558" t="inlineStr">
        <is>
          <t>Premium (%)</t>
        </is>
      </c>
      <c r="B81" s="740" t="n">
        <v>1.39954</v>
      </c>
      <c r="C81" s="741" t="n">
        <v>1.46285</v>
      </c>
      <c r="D81" s="741" t="n">
        <v>1.46991</v>
      </c>
      <c r="E81" s="490" t="n"/>
      <c r="F81" s="490" t="n"/>
    </row>
    <row r="82" ht="15" customHeight="1" s="462">
      <c r="A82" s="558" t="inlineStr">
        <is>
          <t>Redemption value</t>
        </is>
      </c>
      <c r="B82" s="742" t="n"/>
      <c r="C82" s="742" t="n"/>
      <c r="D82" s="742" t="n"/>
      <c r="E82" s="490" t="n"/>
      <c r="F82" s="490" t="n"/>
      <c r="G82" s="461" t="n"/>
    </row>
    <row r="83" ht="15" customHeight="1" s="462">
      <c r="A83" s="558" t="inlineStr">
        <is>
          <t>Premium Component</t>
        </is>
      </c>
      <c r="B83" s="742" t="n"/>
      <c r="C83" s="742" t="n"/>
      <c r="D83" s="742" t="n"/>
      <c r="E83" s="490" t="n"/>
      <c r="F83" s="490" t="n"/>
      <c r="G83" s="461" t="n"/>
    </row>
    <row r="84" ht="15" customHeight="1" s="462">
      <c r="A84" s="558" t="n"/>
      <c r="B84" s="742" t="n"/>
      <c r="C84" s="743" t="n"/>
      <c r="D84" s="744" t="n"/>
      <c r="E84" s="490" t="n"/>
      <c r="F84" s="490" t="n"/>
      <c r="G84" s="461" t="n"/>
    </row>
    <row r="85" ht="15" customHeight="1" s="462">
      <c r="A85" s="558" t="inlineStr">
        <is>
          <t>(In Millions)</t>
        </is>
      </c>
      <c r="B85" s="745" t="n"/>
      <c r="C85" s="746" t="n"/>
      <c r="D85" s="747" t="n"/>
      <c r="E85" s="490" t="n"/>
      <c r="F85" s="490" t="n"/>
      <c r="G85" s="461" t="n"/>
    </row>
    <row r="86" ht="15" customHeight="1" s="462">
      <c r="A86" s="558" t="inlineStr">
        <is>
          <t>Interest Component (USD)</t>
        </is>
      </c>
      <c r="B86" s="748" t="n"/>
      <c r="C86" s="749" t="n"/>
      <c r="D86" s="749" t="n"/>
      <c r="E86" s="490" t="n"/>
      <c r="F86" s="490" t="n"/>
      <c r="G86" s="461" t="n"/>
    </row>
    <row r="87" ht="15" customHeight="1" s="462">
      <c r="A87" s="558" t="inlineStr">
        <is>
          <t>Interest Component (In INR)</t>
        </is>
      </c>
      <c r="B87" s="748" t="n"/>
      <c r="C87" s="749" t="n"/>
      <c r="D87" s="749" t="n"/>
      <c r="E87" s="490" t="n"/>
      <c r="F87" s="490" t="n"/>
      <c r="G87" s="461" t="n"/>
    </row>
    <row r="88" ht="15" customHeight="1" s="462">
      <c r="A88" s="558" t="n"/>
      <c r="B88" s="748" t="n"/>
      <c r="C88" s="749" t="n"/>
      <c r="D88" s="749" t="n"/>
      <c r="E88" s="490" t="n"/>
      <c r="F88" s="490" t="n"/>
      <c r="G88" s="461" t="n"/>
    </row>
    <row r="89" ht="15" customHeight="1" s="462">
      <c r="A89" s="558" t="inlineStr">
        <is>
          <t>Principal Component (In INR)</t>
        </is>
      </c>
      <c r="B89" s="748" t="n"/>
      <c r="C89" s="749" t="n"/>
      <c r="D89" s="749" t="n"/>
      <c r="E89" s="490" t="n"/>
      <c r="F89" s="490" t="n"/>
      <c r="G89" s="461" t="n"/>
    </row>
    <row r="90" ht="15" customHeight="1" s="462">
      <c r="A90" s="558" t="n"/>
      <c r="B90" s="748" t="n"/>
      <c r="C90" s="749" t="n"/>
      <c r="D90" s="749" t="n"/>
      <c r="E90" s="490" t="n"/>
      <c r="F90" s="490" t="n"/>
      <c r="G90" s="461" t="n"/>
    </row>
    <row r="91" ht="15" customHeight="1" s="462">
      <c r="A91" s="490" t="n"/>
      <c r="B91" s="490" t="n"/>
      <c r="C91" s="713" t="n"/>
      <c r="D91" s="490" t="n"/>
      <c r="E91" s="490" t="n"/>
      <c r="F91" s="490" t="n"/>
      <c r="G91" s="461" t="n"/>
    </row>
    <row r="92" ht="15.75" customHeight="1" s="462">
      <c r="A92" s="750" t="inlineStr">
        <is>
          <t>Scenario Analysis</t>
        </is>
      </c>
    </row>
    <row r="93" ht="15" customHeight="1" s="462">
      <c r="A93" s="751" t="inlineStr">
        <is>
          <t xml:space="preserve"> FCCB - Due in August 2010</t>
        </is>
      </c>
    </row>
    <row r="94" ht="15" customHeight="1" s="462">
      <c r="B94" s="752" t="inlineStr">
        <is>
          <t>Each Bond (in $)</t>
        </is>
      </c>
      <c r="C94" s="752" t="inlineStr">
        <is>
          <t>Premium</t>
        </is>
      </c>
      <c r="D94" s="753" t="inlineStr">
        <is>
          <t>Payable on Redemption (in $)</t>
        </is>
      </c>
    </row>
    <row r="95" ht="15" customHeight="1" s="462">
      <c r="B95" s="754" t="n">
        <v>1000</v>
      </c>
      <c r="C95" s="755" t="n">
        <v>1.39954</v>
      </c>
      <c r="D95" s="521" t="n"/>
    </row>
    <row r="96" ht="15" customHeight="1" s="462">
      <c r="B96" s="753" t="n"/>
      <c r="C96" s="753" t="n"/>
      <c r="D96" s="753" t="n"/>
      <c r="H96" s="756" t="n"/>
    </row>
    <row r="97" ht="45" customHeight="1" s="462">
      <c r="A97" s="757" t="inlineStr">
        <is>
          <t>Proceeds to Investor per Bond in USD  if Converted to Equity shares</t>
        </is>
      </c>
      <c r="B97" s="753" t="n"/>
      <c r="C97" s="758" t="inlineStr">
        <is>
          <t>Each $ 1000 Bond is convertible into</t>
        </is>
      </c>
      <c r="D97" s="759" t="n">
        <v>83.12</v>
      </c>
      <c r="E97" s="760" t="inlineStr">
        <is>
          <t xml:space="preserve">If Share Price is </t>
        </is>
      </c>
      <c r="F97" s="761" t="n">
        <v>850</v>
      </c>
      <c r="G97" s="761" t="inlineStr">
        <is>
          <t>USD/INR</t>
        </is>
      </c>
      <c r="H97" s="762" t="n">
        <v>46</v>
      </c>
    </row>
    <row r="98" ht="15" customHeight="1" s="462">
      <c r="B98" s="763" t="inlineStr">
        <is>
          <t>USD /INR</t>
        </is>
      </c>
    </row>
    <row r="99" ht="15" customHeight="1" s="462">
      <c r="B99" s="764" t="n"/>
      <c r="C99" s="765" t="n">
        <v>44</v>
      </c>
      <c r="D99" s="765" t="n">
        <v>45</v>
      </c>
      <c r="E99" s="765" t="n">
        <v>46</v>
      </c>
      <c r="F99" s="765" t="n">
        <v>47</v>
      </c>
      <c r="G99" s="765" t="n">
        <v>48</v>
      </c>
    </row>
    <row r="100" ht="15" customHeight="1" s="462">
      <c r="B100" s="761" t="n">
        <v>500</v>
      </c>
      <c r="C100" s="521" t="n"/>
      <c r="D100" s="521" t="n"/>
      <c r="E100" s="521" t="n"/>
      <c r="F100" s="521" t="n"/>
      <c r="G100" s="521" t="n"/>
    </row>
    <row r="101" ht="15" customHeight="1" s="462">
      <c r="B101" s="761" t="n">
        <v>550</v>
      </c>
      <c r="C101" s="521" t="n"/>
      <c r="D101" s="521" t="n"/>
      <c r="E101" s="521" t="n"/>
      <c r="F101" s="521" t="n"/>
      <c r="G101" s="521" t="n"/>
    </row>
    <row r="102" ht="15" customHeight="1" s="462">
      <c r="B102" s="761" t="n">
        <v>600</v>
      </c>
      <c r="C102" s="521" t="n"/>
      <c r="D102" s="521" t="n"/>
      <c r="E102" s="521" t="n"/>
      <c r="F102" s="521" t="n"/>
      <c r="G102" s="521" t="n"/>
    </row>
    <row r="103" ht="15" customHeight="1" s="462">
      <c r="B103" s="761" t="n">
        <v>650</v>
      </c>
      <c r="C103" s="521" t="n"/>
      <c r="D103" s="521" t="n"/>
      <c r="E103" s="521" t="n"/>
      <c r="F103" s="521" t="n"/>
      <c r="G103" s="521" t="n"/>
    </row>
    <row r="104" ht="15" customHeight="1" s="462">
      <c r="A104" s="766" t="inlineStr">
        <is>
          <t>Share Price in INR</t>
        </is>
      </c>
      <c r="B104" s="761" t="n">
        <v>700</v>
      </c>
      <c r="C104" s="521" t="n"/>
      <c r="D104" s="521" t="n"/>
      <c r="E104" s="521" t="n"/>
      <c r="F104" s="521" t="n"/>
      <c r="G104" s="521" t="n"/>
    </row>
    <row r="105" ht="15" customHeight="1" s="462">
      <c r="B105" s="761" t="n">
        <v>750</v>
      </c>
      <c r="C105" s="521" t="n"/>
      <c r="D105" s="521" t="n"/>
      <c r="E105" s="521" t="n"/>
      <c r="F105" s="521" t="n"/>
      <c r="G105" s="521" t="n"/>
    </row>
    <row r="106" ht="15" customHeight="1" s="462">
      <c r="B106" s="761" t="n">
        <v>800</v>
      </c>
      <c r="C106" s="521" t="n"/>
      <c r="D106" s="521" t="n"/>
      <c r="E106" s="521" t="n"/>
      <c r="F106" s="521" t="n"/>
      <c r="G106" s="521" t="n"/>
    </row>
    <row r="107" ht="15" customHeight="1" s="462">
      <c r="B107" s="767" t="n">
        <v>850</v>
      </c>
      <c r="C107" s="521" t="n"/>
      <c r="D107" s="521" t="n"/>
      <c r="E107" s="521" t="n"/>
      <c r="F107" s="521" t="n"/>
      <c r="G107" s="521" t="n"/>
    </row>
    <row r="108" ht="15" customHeight="1" s="462">
      <c r="B108" s="761" t="n">
        <v>900</v>
      </c>
      <c r="C108" s="521" t="n"/>
      <c r="D108" s="521" t="n"/>
      <c r="E108" s="521" t="n"/>
      <c r="F108" s="521" t="n"/>
      <c r="G108" s="521" t="n"/>
    </row>
    <row r="109" ht="15" customHeight="1" s="462">
      <c r="B109" s="761" t="n">
        <v>950</v>
      </c>
      <c r="C109" s="521" t="n"/>
      <c r="D109" s="521" t="n"/>
      <c r="E109" s="521" t="n"/>
      <c r="F109" s="521" t="n"/>
      <c r="G109" s="521" t="n"/>
    </row>
    <row r="110" ht="15" customHeight="1" s="462">
      <c r="B110" s="761" t="n">
        <v>1000</v>
      </c>
      <c r="C110" s="521" t="n"/>
      <c r="D110" s="521" t="n"/>
      <c r="E110" s="521" t="n"/>
      <c r="F110" s="521" t="n"/>
      <c r="G110" s="521" t="n"/>
    </row>
    <row r="111" ht="15" customHeight="1" s="462">
      <c r="B111" s="761" t="n">
        <v>1050</v>
      </c>
      <c r="C111" s="521" t="n"/>
      <c r="D111" s="521" t="n"/>
      <c r="E111" s="521" t="n"/>
      <c r="F111" s="521" t="n"/>
      <c r="G111" s="521" t="n"/>
    </row>
    <row r="112" ht="15" customHeight="1" s="462">
      <c r="A112" s="461" t="n"/>
      <c r="B112" s="761" t="n">
        <v>1100</v>
      </c>
      <c r="C112" s="521" t="n"/>
      <c r="D112" s="521" t="n"/>
      <c r="E112" s="521" t="n"/>
      <c r="F112" s="521" t="n"/>
      <c r="G112" s="521" t="n"/>
    </row>
    <row r="113" ht="15" customHeight="1" s="462">
      <c r="A113" s="461" t="n"/>
      <c r="B113" s="761" t="n">
        <v>1150</v>
      </c>
      <c r="C113" s="521" t="n"/>
      <c r="D113" s="521" t="n"/>
      <c r="E113" s="521" t="n"/>
      <c r="F113" s="521" t="n"/>
      <c r="G113" s="521" t="n"/>
    </row>
    <row r="114" ht="15" customHeight="1" s="462">
      <c r="A114" s="461" t="n"/>
      <c r="B114" s="761" t="n">
        <v>1200</v>
      </c>
      <c r="C114" s="521" t="n"/>
      <c r="D114" s="521" t="n"/>
      <c r="E114" s="521" t="n"/>
      <c r="F114" s="521" t="n"/>
      <c r="G114" s="521" t="n"/>
    </row>
    <row r="115" ht="15" customHeight="1" s="462">
      <c r="A115" s="461" t="n"/>
      <c r="B115" s="761" t="n">
        <v>1250</v>
      </c>
      <c r="C115" s="521" t="n"/>
      <c r="D115" s="521" t="n"/>
      <c r="E115" s="521" t="n"/>
      <c r="F115" s="521" t="n"/>
      <c r="G115" s="521" t="n"/>
    </row>
    <row r="116" ht="15" customHeight="1" s="462">
      <c r="B116" s="761" t="n">
        <v>1300</v>
      </c>
      <c r="C116" s="521" t="n"/>
      <c r="D116" s="521" t="n"/>
      <c r="E116" s="521" t="n"/>
      <c r="F116" s="521" t="n"/>
      <c r="G116" s="521" t="n"/>
    </row>
    <row r="117" ht="15" customHeight="1" s="462">
      <c r="B117" s="761" t="n">
        <v>1350</v>
      </c>
      <c r="C117" s="521" t="n"/>
      <c r="D117" s="521" t="n"/>
      <c r="E117" s="521" t="n"/>
      <c r="F117" s="521" t="n"/>
      <c r="G117" s="521" t="n"/>
    </row>
    <row r="118" ht="15" customHeight="1" s="462">
      <c r="B118" s="761" t="n">
        <v>1400</v>
      </c>
      <c r="C118" s="521" t="n"/>
      <c r="D118" s="521" t="n"/>
      <c r="E118" s="521" t="n"/>
      <c r="F118" s="521" t="n"/>
      <c r="G118" s="521" t="n"/>
    </row>
    <row r="119" ht="15" customHeight="1" s="462">
      <c r="B119" s="761" t="n">
        <v>1450</v>
      </c>
      <c r="C119" s="521" t="n"/>
      <c r="D119" s="521" t="n"/>
      <c r="E119" s="521" t="n"/>
      <c r="F119" s="521" t="n"/>
      <c r="G119" s="521" t="n"/>
    </row>
    <row r="120" ht="15" customHeight="1" s="462">
      <c r="B120" s="761" t="n">
        <v>1500</v>
      </c>
      <c r="C120" s="521" t="n"/>
      <c r="D120" s="521" t="n"/>
      <c r="E120" s="521" t="n"/>
      <c r="F120" s="521" t="n"/>
      <c r="G120" s="521" t="n"/>
    </row>
    <row r="121" ht="15" customHeight="1" s="462">
      <c r="B121" s="761" t="n">
        <v>1550</v>
      </c>
      <c r="C121" s="521" t="n"/>
      <c r="D121" s="521" t="n"/>
      <c r="E121" s="521" t="n"/>
      <c r="F121" s="521" t="n"/>
      <c r="G121" s="521" t="n"/>
    </row>
    <row r="122" ht="15" customHeight="1" s="462">
      <c r="B122" s="761" t="n">
        <v>1600</v>
      </c>
      <c r="C122" s="521" t="n"/>
      <c r="D122" s="521" t="n"/>
      <c r="E122" s="521" t="n"/>
      <c r="F122" s="521" t="n"/>
      <c r="G122" s="521" t="n"/>
    </row>
    <row r="123" ht="15" customHeight="1" s="462">
      <c r="B123" s="761" t="n">
        <v>1650</v>
      </c>
      <c r="C123" s="521" t="n"/>
      <c r="D123" s="521" t="n"/>
      <c r="E123" s="521" t="n"/>
      <c r="F123" s="521" t="n"/>
      <c r="G123" s="521" t="n"/>
    </row>
    <row r="124" ht="15" customHeight="1" s="462">
      <c r="B124" s="761" t="n">
        <v>1700</v>
      </c>
      <c r="C124" s="521" t="n"/>
      <c r="D124" s="521" t="n"/>
      <c r="E124" s="521" t="n"/>
      <c r="F124" s="521" t="n"/>
      <c r="G124" s="521" t="n"/>
    </row>
    <row r="125" ht="15" customHeight="1" s="462">
      <c r="B125" s="761" t="n">
        <v>1750</v>
      </c>
      <c r="C125" s="521" t="n"/>
      <c r="D125" s="521" t="n"/>
      <c r="E125" s="521" t="n"/>
      <c r="F125" s="521" t="n"/>
      <c r="G125" s="521" t="n"/>
    </row>
    <row r="126" ht="15" customHeight="1" s="462">
      <c r="B126" s="761" t="n">
        <v>1800</v>
      </c>
      <c r="C126" s="521" t="n"/>
      <c r="D126" s="521" t="n"/>
      <c r="E126" s="521" t="n"/>
      <c r="F126" s="521" t="n"/>
      <c r="G126" s="521" t="n"/>
    </row>
    <row r="127" ht="15" customHeight="1" s="462">
      <c r="F127" s="751" t="n"/>
      <c r="G127" s="461" t="n"/>
      <c r="H127" s="677" t="n"/>
      <c r="I127" s="461" t="n"/>
      <c r="J127" s="461" t="n"/>
      <c r="K127" s="461" t="n"/>
      <c r="L127" s="461" t="n"/>
      <c r="M127" s="461" t="n"/>
      <c r="N127" s="461" t="n"/>
    </row>
    <row r="128" ht="15" customHeight="1" s="462">
      <c r="F128" s="461" t="n"/>
      <c r="G128" s="752" t="n"/>
      <c r="H128" s="752" t="n"/>
      <c r="I128" s="753" t="n"/>
      <c r="J128" s="461" t="n"/>
      <c r="K128" s="461" t="n"/>
      <c r="L128" s="461" t="n"/>
      <c r="M128" s="461" t="n"/>
      <c r="N128" s="461" t="n"/>
    </row>
    <row r="129" ht="15" customHeight="1" s="462">
      <c r="A129" s="751" t="inlineStr">
        <is>
          <t xml:space="preserve"> FCCB - Due in May 2011 - Tranche A</t>
        </is>
      </c>
      <c r="I129" s="521" t="n"/>
      <c r="J129" s="461" t="n"/>
      <c r="K129" s="461" t="n"/>
      <c r="L129" s="461" t="n"/>
      <c r="M129" s="461" t="n"/>
      <c r="N129" s="461" t="n"/>
    </row>
    <row r="130" ht="15" customHeight="1" s="462">
      <c r="B130" s="752" t="inlineStr">
        <is>
          <t>Each Bond (in $)</t>
        </is>
      </c>
      <c r="C130" s="752" t="inlineStr">
        <is>
          <t>Premium</t>
        </is>
      </c>
      <c r="D130" s="753" t="inlineStr">
        <is>
          <t>Payable on Redemption (in $)</t>
        </is>
      </c>
      <c r="I130" s="753" t="n"/>
      <c r="J130" s="461" t="n"/>
      <c r="K130" s="461" t="n"/>
      <c r="L130" s="461" t="n"/>
      <c r="M130" s="461" t="n"/>
      <c r="N130" s="461" t="n"/>
    </row>
    <row r="131" ht="15" customHeight="1" s="462">
      <c r="B131" s="768" t="n">
        <v>1000</v>
      </c>
      <c r="C131" s="769" t="n">
        <v>1.46285</v>
      </c>
      <c r="D131" s="521" t="n"/>
      <c r="I131" s="770" t="n"/>
      <c r="J131" s="760" t="n"/>
      <c r="K131" s="761" t="n"/>
      <c r="L131" s="761" t="n"/>
      <c r="M131" s="761" t="n"/>
      <c r="N131" s="461" t="n"/>
    </row>
    <row r="132" ht="15" customHeight="1" s="462">
      <c r="B132" s="753" t="n"/>
      <c r="C132" s="753" t="n"/>
      <c r="D132" s="753" t="n"/>
      <c r="I132" s="771" t="n"/>
      <c r="J132" s="771" t="n"/>
      <c r="K132" s="771" t="n"/>
      <c r="L132" s="461" t="n"/>
      <c r="M132" s="461" t="n"/>
      <c r="N132" s="461" t="n"/>
    </row>
    <row r="133" ht="45" customHeight="1" s="462">
      <c r="A133" s="757" t="inlineStr">
        <is>
          <t>Proceeds to Investor per Bond in USD  if Converted to Equity shares</t>
        </is>
      </c>
      <c r="B133" s="753" t="n"/>
      <c r="C133" s="758" t="inlineStr">
        <is>
          <t>Each $ 1000 Bond is convertible into</t>
        </is>
      </c>
      <c r="D133" s="772" t="n">
        <v>44.52</v>
      </c>
      <c r="E133" s="760" t="inlineStr">
        <is>
          <t xml:space="preserve">If Share Price is </t>
        </is>
      </c>
      <c r="F133" s="761" t="n">
        <v>850</v>
      </c>
      <c r="G133" s="761" t="inlineStr">
        <is>
          <t>USD/INR</t>
        </is>
      </c>
      <c r="H133" s="762" t="n">
        <v>46</v>
      </c>
      <c r="I133" s="765" t="n"/>
      <c r="J133" s="765" t="n"/>
      <c r="K133" s="765" t="n"/>
      <c r="L133" s="765" t="n"/>
      <c r="M133" s="461" t="n"/>
      <c r="N133" s="461" t="n"/>
    </row>
    <row r="134" ht="15" customHeight="1" s="462">
      <c r="B134" s="763" t="inlineStr">
        <is>
          <t>USD /INR</t>
        </is>
      </c>
      <c r="I134" s="461" t="n"/>
      <c r="J134" s="461" t="n"/>
      <c r="K134" s="461" t="n"/>
      <c r="L134" s="461" t="n"/>
      <c r="M134" s="461" t="n"/>
      <c r="N134" s="461" t="n"/>
    </row>
    <row r="135" ht="15" customHeight="1" s="462">
      <c r="B135" s="583" t="n"/>
      <c r="C135" s="765" t="n">
        <v>44</v>
      </c>
      <c r="D135" s="765" t="n">
        <v>45</v>
      </c>
      <c r="E135" s="765" t="n">
        <v>46</v>
      </c>
      <c r="F135" s="765" t="n">
        <v>47</v>
      </c>
      <c r="G135" s="765" t="n">
        <v>48</v>
      </c>
      <c r="H135" s="461" t="n"/>
      <c r="I135" s="461" t="n"/>
      <c r="J135" s="461" t="n"/>
      <c r="K135" s="461" t="n"/>
      <c r="L135" s="461" t="n"/>
      <c r="M135" s="461" t="n"/>
      <c r="N135" s="461" t="n"/>
    </row>
    <row r="136" ht="15" customHeight="1" s="462">
      <c r="B136" s="761" t="n">
        <v>500</v>
      </c>
      <c r="C136" s="521" t="n"/>
      <c r="D136" s="521" t="n"/>
      <c r="E136" s="521" t="n"/>
      <c r="F136" s="521" t="n"/>
      <c r="G136" s="521" t="n"/>
      <c r="H136" s="461" t="n"/>
      <c r="I136" s="461" t="n"/>
      <c r="J136" s="461" t="n"/>
      <c r="K136" s="461" t="n"/>
      <c r="L136" s="461" t="n"/>
      <c r="M136" s="461" t="n"/>
      <c r="N136" s="461" t="n"/>
    </row>
    <row r="137" ht="15" customHeight="1" s="462">
      <c r="B137" s="761" t="n">
        <v>550</v>
      </c>
      <c r="C137" s="521" t="n"/>
      <c r="D137" s="521" t="n"/>
      <c r="E137" s="521" t="n"/>
      <c r="F137" s="521" t="n"/>
      <c r="G137" s="521" t="n"/>
      <c r="H137" s="461" t="n"/>
      <c r="I137" s="461" t="n"/>
      <c r="J137" s="461" t="n"/>
      <c r="K137" s="461" t="n"/>
      <c r="L137" s="461" t="n"/>
      <c r="M137" s="461" t="n"/>
      <c r="N137" s="461" t="n"/>
    </row>
    <row r="138" ht="15" customHeight="1" s="462">
      <c r="B138" s="761" t="n">
        <v>600</v>
      </c>
      <c r="C138" s="521" t="n"/>
      <c r="D138" s="521" t="n"/>
      <c r="E138" s="521" t="n"/>
      <c r="F138" s="521" t="n"/>
      <c r="G138" s="521" t="n"/>
    </row>
    <row r="139" ht="15" customHeight="1" s="462">
      <c r="B139" s="761" t="n">
        <v>650</v>
      </c>
      <c r="C139" s="521" t="n"/>
      <c r="D139" s="521" t="n"/>
      <c r="E139" s="521" t="n"/>
      <c r="F139" s="521" t="n"/>
      <c r="G139" s="521" t="n"/>
    </row>
    <row r="140" ht="15" customHeight="1" s="462">
      <c r="A140" s="766" t="inlineStr">
        <is>
          <t>Share Price in INR</t>
        </is>
      </c>
      <c r="B140" s="761" t="n">
        <v>700</v>
      </c>
      <c r="C140" s="521" t="n"/>
      <c r="D140" s="521" t="n"/>
      <c r="E140" s="521" t="n"/>
      <c r="F140" s="521" t="n"/>
      <c r="G140" s="521" t="n"/>
    </row>
    <row r="141" ht="15" customHeight="1" s="462">
      <c r="B141" s="761" t="n">
        <v>750</v>
      </c>
      <c r="C141" s="521" t="n"/>
      <c r="D141" s="521" t="n"/>
      <c r="E141" s="521" t="n"/>
      <c r="F141" s="521" t="n"/>
      <c r="G141" s="521" t="n"/>
    </row>
    <row r="142" ht="15" customHeight="1" s="462">
      <c r="B142" s="761" t="n">
        <v>800</v>
      </c>
      <c r="C142" s="521" t="n"/>
      <c r="D142" s="521" t="n"/>
      <c r="E142" s="521" t="n"/>
      <c r="F142" s="521" t="n"/>
      <c r="G142" s="521" t="n"/>
    </row>
    <row r="143" ht="15" customHeight="1" s="462">
      <c r="B143" s="767" t="n">
        <v>850</v>
      </c>
      <c r="C143" s="521" t="n"/>
      <c r="D143" s="521" t="n"/>
      <c r="E143" s="521" t="n"/>
      <c r="F143" s="521" t="n"/>
      <c r="G143" s="521" t="n"/>
    </row>
    <row r="144" ht="15" customHeight="1" s="462">
      <c r="B144" s="761" t="n">
        <v>900</v>
      </c>
      <c r="C144" s="521" t="n"/>
      <c r="D144" s="521" t="n"/>
      <c r="E144" s="521" t="n"/>
      <c r="F144" s="521" t="n"/>
      <c r="G144" s="521" t="n"/>
    </row>
    <row r="145" ht="15" customHeight="1" s="462">
      <c r="B145" s="761" t="n">
        <v>950</v>
      </c>
      <c r="C145" s="521" t="n"/>
      <c r="D145" s="521" t="n"/>
      <c r="E145" s="521" t="n"/>
      <c r="F145" s="521" t="n"/>
      <c r="G145" s="521" t="n"/>
    </row>
    <row r="146" ht="15" customHeight="1" s="462">
      <c r="B146" s="761" t="n">
        <v>1000</v>
      </c>
      <c r="C146" s="521" t="n"/>
      <c r="D146" s="521" t="n"/>
      <c r="E146" s="521" t="n"/>
      <c r="F146" s="521" t="n"/>
      <c r="G146" s="521" t="n"/>
    </row>
    <row r="147" ht="15" customHeight="1" s="462">
      <c r="B147" s="761" t="n">
        <v>1050</v>
      </c>
      <c r="C147" s="521" t="n"/>
      <c r="D147" s="521" t="n"/>
      <c r="E147" s="521" t="n"/>
      <c r="F147" s="521" t="n"/>
      <c r="G147" s="521" t="n"/>
    </row>
    <row r="148" ht="15" customHeight="1" s="462">
      <c r="A148" s="773" t="n"/>
      <c r="B148" s="761" t="n">
        <v>1100</v>
      </c>
      <c r="C148" s="521" t="n"/>
      <c r="D148" s="521" t="n"/>
      <c r="E148" s="521" t="n"/>
      <c r="F148" s="521" t="n"/>
      <c r="G148" s="521" t="n"/>
    </row>
    <row r="149" ht="15" customHeight="1" s="462">
      <c r="A149" s="773" t="n"/>
      <c r="B149" s="761" t="n">
        <v>1150</v>
      </c>
      <c r="C149" s="521" t="n"/>
      <c r="D149" s="521" t="n"/>
      <c r="E149" s="521" t="n"/>
      <c r="F149" s="521" t="n"/>
      <c r="G149" s="521" t="n"/>
    </row>
    <row r="150" ht="15" customHeight="1" s="462">
      <c r="A150" s="773" t="n"/>
      <c r="B150" s="761" t="n">
        <v>1200</v>
      </c>
      <c r="C150" s="521" t="n"/>
      <c r="D150" s="521" t="n"/>
      <c r="E150" s="521" t="n"/>
      <c r="F150" s="521" t="n"/>
      <c r="G150" s="521" t="n"/>
    </row>
    <row r="151" ht="15" customHeight="1" s="462">
      <c r="A151" s="773" t="n"/>
      <c r="B151" s="761" t="n">
        <v>1250</v>
      </c>
      <c r="C151" s="521" t="n"/>
      <c r="D151" s="521" t="n"/>
      <c r="E151" s="521" t="n"/>
      <c r="F151" s="521" t="n"/>
      <c r="G151" s="521" t="n"/>
    </row>
    <row r="152" ht="15" customHeight="1" s="462">
      <c r="A152" s="773" t="n"/>
      <c r="B152" s="761" t="n">
        <v>1300</v>
      </c>
      <c r="C152" s="521" t="n"/>
      <c r="D152" s="521" t="n"/>
      <c r="E152" s="521" t="n"/>
      <c r="F152" s="521" t="n"/>
      <c r="G152" s="521" t="n"/>
    </row>
    <row r="153" ht="15" customHeight="1" s="462">
      <c r="B153" s="761" t="n">
        <v>1350</v>
      </c>
      <c r="C153" s="521" t="n"/>
      <c r="D153" s="521" t="n"/>
      <c r="E153" s="521" t="n"/>
      <c r="F153" s="521" t="n"/>
      <c r="G153" s="521" t="n"/>
    </row>
    <row r="154" ht="15" customHeight="1" s="462">
      <c r="B154" s="761" t="n">
        <v>1400</v>
      </c>
      <c r="C154" s="521" t="n"/>
      <c r="D154" s="521" t="n"/>
      <c r="E154" s="521" t="n"/>
      <c r="F154" s="521" t="n"/>
      <c r="G154" s="521" t="n"/>
    </row>
    <row r="155" ht="15" customHeight="1" s="462">
      <c r="B155" s="761" t="n">
        <v>1450</v>
      </c>
      <c r="C155" s="521" t="n"/>
      <c r="D155" s="521" t="n"/>
      <c r="E155" s="521" t="n"/>
      <c r="F155" s="521" t="n"/>
      <c r="G155" s="521" t="n"/>
    </row>
    <row r="156" ht="15" customHeight="1" s="462">
      <c r="B156" s="761" t="n">
        <v>1500</v>
      </c>
      <c r="C156" s="521" t="n"/>
      <c r="D156" s="521" t="n"/>
      <c r="E156" s="521" t="n"/>
      <c r="F156" s="521" t="n"/>
      <c r="G156" s="521" t="n"/>
    </row>
    <row r="157" ht="15" customHeight="1" s="462">
      <c r="B157" s="761" t="n">
        <v>1550</v>
      </c>
      <c r="C157" s="521" t="n"/>
      <c r="D157" s="521" t="n"/>
      <c r="E157" s="521" t="n"/>
      <c r="F157" s="521" t="n"/>
      <c r="G157" s="521" t="n"/>
    </row>
    <row r="158" ht="15" customHeight="1" s="462">
      <c r="B158" s="761" t="n">
        <v>1600</v>
      </c>
      <c r="C158" s="521" t="n"/>
      <c r="D158" s="521" t="n"/>
      <c r="E158" s="521" t="n"/>
      <c r="F158" s="521" t="n"/>
      <c r="G158" s="521" t="n"/>
    </row>
    <row r="159" ht="15" customHeight="1" s="462">
      <c r="B159" s="761" t="n">
        <v>1650</v>
      </c>
      <c r="C159" s="521" t="n"/>
      <c r="D159" s="521" t="n"/>
      <c r="E159" s="521" t="n"/>
      <c r="F159" s="521" t="n"/>
      <c r="G159" s="521" t="n"/>
    </row>
    <row r="160" ht="15" customHeight="1" s="462">
      <c r="B160" s="761" t="n">
        <v>1700</v>
      </c>
      <c r="C160" s="521" t="n"/>
      <c r="D160" s="521" t="n"/>
      <c r="E160" s="521" t="n"/>
      <c r="F160" s="521" t="n"/>
      <c r="G160" s="521" t="n"/>
    </row>
    <row r="161" ht="15" customHeight="1" s="462">
      <c r="B161" s="761" t="n">
        <v>1750</v>
      </c>
      <c r="C161" s="521" t="n"/>
      <c r="D161" s="521" t="n"/>
      <c r="E161" s="521" t="n"/>
      <c r="F161" s="521" t="n"/>
      <c r="G161" s="521" t="n"/>
    </row>
    <row r="162" ht="15" customHeight="1" s="462">
      <c r="B162" s="761" t="n">
        <v>1800</v>
      </c>
      <c r="C162" s="521" t="n"/>
      <c r="D162" s="521" t="n"/>
      <c r="E162" s="521" t="n"/>
      <c r="F162" s="521" t="n"/>
      <c r="G162" s="521" t="n"/>
    </row>
    <row r="163" ht="15" customHeight="1" s="462">
      <c r="C163" s="521" t="n"/>
      <c r="D163" s="521" t="n"/>
      <c r="E163" s="521" t="n"/>
      <c r="F163" s="521" t="n"/>
      <c r="G163" s="521" t="n"/>
    </row>
    <row r="165" ht="15" customHeight="1" s="462">
      <c r="A165" s="751" t="inlineStr">
        <is>
          <t xml:space="preserve"> FCCB - Due in May 2011 - Tranche B</t>
        </is>
      </c>
    </row>
    <row r="166" ht="15" customHeight="1" s="462">
      <c r="B166" s="752" t="inlineStr">
        <is>
          <t>Each Bond (in $)</t>
        </is>
      </c>
      <c r="C166" s="752" t="inlineStr">
        <is>
          <t>Premium</t>
        </is>
      </c>
      <c r="D166" s="753" t="inlineStr">
        <is>
          <t>Payable on Redemption (in $)</t>
        </is>
      </c>
    </row>
    <row r="167" ht="15" customHeight="1" s="462">
      <c r="B167" s="768" t="n">
        <v>1000</v>
      </c>
      <c r="C167" s="769" t="n">
        <v>1.46991</v>
      </c>
      <c r="D167" s="521" t="n"/>
    </row>
    <row r="168" ht="15" customHeight="1" s="462">
      <c r="B168" s="753" t="n"/>
      <c r="C168" s="753" t="n"/>
      <c r="D168" s="753" t="n"/>
    </row>
    <row r="169" ht="45" customHeight="1" s="462">
      <c r="A169" s="757" t="inlineStr">
        <is>
          <t>Proceeds to Investor per Bond in USD  if Converted to Equity shares</t>
        </is>
      </c>
      <c r="B169" s="753" t="n"/>
      <c r="C169" s="758" t="inlineStr">
        <is>
          <t>Each $ 1000 Bond is convertible into</t>
        </is>
      </c>
      <c r="D169" s="772" t="n">
        <v>51.51</v>
      </c>
      <c r="E169" s="760" t="inlineStr">
        <is>
          <t xml:space="preserve">If Share Price is </t>
        </is>
      </c>
      <c r="F169" s="761" t="n">
        <v>850</v>
      </c>
      <c r="G169" s="761" t="inlineStr">
        <is>
          <t>USD/INR</t>
        </is>
      </c>
      <c r="H169" s="762" t="n">
        <v>46</v>
      </c>
    </row>
    <row r="170" ht="15" customHeight="1" s="462">
      <c r="B170" s="763" t="inlineStr">
        <is>
          <t>USD /INR</t>
        </is>
      </c>
    </row>
    <row r="171" ht="15" customHeight="1" s="462">
      <c r="B171" s="583" t="n"/>
      <c r="C171" s="765" t="n">
        <v>44</v>
      </c>
      <c r="D171" s="765" t="n">
        <v>45</v>
      </c>
      <c r="E171" s="765" t="n">
        <v>46</v>
      </c>
      <c r="F171" s="765" t="n">
        <v>47</v>
      </c>
      <c r="G171" s="765" t="n">
        <v>48</v>
      </c>
    </row>
    <row r="172" ht="15" customHeight="1" s="462">
      <c r="B172" s="761" t="n">
        <v>500</v>
      </c>
      <c r="C172" s="521" t="n"/>
      <c r="D172" s="521" t="n"/>
      <c r="E172" s="521" t="n"/>
      <c r="F172" s="521" t="n"/>
      <c r="G172" s="521" t="n"/>
    </row>
    <row r="173" ht="15" customHeight="1" s="462">
      <c r="B173" s="761" t="n">
        <v>550</v>
      </c>
      <c r="C173" s="521" t="n"/>
      <c r="D173" s="521" t="n"/>
      <c r="E173" s="521" t="n"/>
      <c r="F173" s="521" t="n"/>
      <c r="G173" s="521" t="n"/>
    </row>
    <row r="174" ht="15" customHeight="1" s="462">
      <c r="B174" s="761" t="n">
        <v>600</v>
      </c>
      <c r="C174" s="521" t="n"/>
      <c r="D174" s="521" t="n"/>
      <c r="E174" s="521" t="n"/>
      <c r="F174" s="521" t="n"/>
      <c r="G174" s="521" t="n"/>
    </row>
    <row r="175" ht="15" customHeight="1" s="462">
      <c r="B175" s="761" t="n">
        <v>650</v>
      </c>
      <c r="C175" s="521" t="n"/>
      <c r="D175" s="521" t="n"/>
      <c r="E175" s="521" t="n"/>
      <c r="F175" s="521" t="n"/>
      <c r="G175" s="521" t="n"/>
    </row>
    <row r="176" ht="15" customHeight="1" s="462">
      <c r="A176" s="766" t="inlineStr">
        <is>
          <t>Share Price in INR</t>
        </is>
      </c>
      <c r="B176" s="761" t="n">
        <v>700</v>
      </c>
      <c r="C176" s="521" t="n"/>
      <c r="D176" s="521" t="n"/>
      <c r="E176" s="521" t="n"/>
      <c r="F176" s="521" t="n"/>
      <c r="G176" s="521" t="n"/>
    </row>
    <row r="177" ht="15" customHeight="1" s="462">
      <c r="B177" s="761" t="n">
        <v>750</v>
      </c>
      <c r="C177" s="521" t="n"/>
      <c r="D177" s="521" t="n"/>
      <c r="E177" s="521" t="n"/>
      <c r="F177" s="521" t="n"/>
      <c r="G177" s="521" t="n"/>
    </row>
    <row r="178" ht="15" customHeight="1" s="462">
      <c r="B178" s="761" t="n">
        <v>800</v>
      </c>
      <c r="C178" s="521" t="n"/>
      <c r="D178" s="521" t="n"/>
      <c r="E178" s="521" t="n"/>
      <c r="F178" s="521" t="n"/>
      <c r="G178" s="521" t="n"/>
    </row>
    <row r="179" ht="15" customHeight="1" s="462">
      <c r="B179" s="767" t="n">
        <v>850</v>
      </c>
      <c r="C179" s="521" t="n"/>
      <c r="D179" s="521" t="n"/>
      <c r="E179" s="521" t="n"/>
      <c r="F179" s="521" t="n"/>
      <c r="G179" s="521" t="n"/>
    </row>
    <row r="180" ht="15" customHeight="1" s="462">
      <c r="B180" s="761" t="n">
        <v>900</v>
      </c>
      <c r="C180" s="521" t="n"/>
      <c r="D180" s="521" t="n"/>
      <c r="E180" s="521" t="n"/>
      <c r="F180" s="521" t="n"/>
      <c r="G180" s="521" t="n"/>
    </row>
    <row r="181" ht="15" customHeight="1" s="462">
      <c r="B181" s="761" t="n">
        <v>950</v>
      </c>
      <c r="C181" s="521" t="n"/>
      <c r="D181" s="521" t="n"/>
      <c r="E181" s="521" t="n"/>
      <c r="F181" s="521" t="n"/>
      <c r="G181" s="521" t="n"/>
    </row>
    <row r="182" ht="15" customHeight="1" s="462">
      <c r="B182" s="761" t="n">
        <v>1000</v>
      </c>
      <c r="C182" s="521" t="n"/>
      <c r="D182" s="521" t="n"/>
      <c r="E182" s="521" t="n"/>
      <c r="F182" s="521" t="n"/>
      <c r="G182" s="521" t="n"/>
    </row>
    <row r="183" ht="15" customHeight="1" s="462">
      <c r="B183" s="761" t="n">
        <v>1050</v>
      </c>
      <c r="C183" s="521" t="n"/>
      <c r="D183" s="521" t="n"/>
      <c r="E183" s="521" t="n"/>
      <c r="F183" s="521" t="n"/>
      <c r="G183" s="521" t="n"/>
    </row>
    <row r="184" ht="15" customHeight="1" s="462">
      <c r="B184" s="761" t="n">
        <v>1100</v>
      </c>
      <c r="C184" s="521" t="n"/>
      <c r="D184" s="521" t="n"/>
      <c r="E184" s="521" t="n"/>
      <c r="F184" s="521" t="n"/>
      <c r="G184" s="521" t="n"/>
    </row>
    <row r="185" ht="15" customHeight="1" s="462">
      <c r="B185" s="761" t="n">
        <v>1150</v>
      </c>
      <c r="C185" s="521" t="n"/>
      <c r="D185" s="521" t="n"/>
      <c r="E185" s="521" t="n"/>
      <c r="F185" s="521" t="n"/>
      <c r="G185" s="521" t="n"/>
    </row>
    <row r="186" ht="15" customHeight="1" s="462">
      <c r="B186" s="761" t="n">
        <v>1200</v>
      </c>
      <c r="C186" s="521" t="n"/>
      <c r="D186" s="521" t="n"/>
      <c r="E186" s="521" t="n"/>
      <c r="F186" s="521" t="n"/>
      <c r="G186" s="521" t="n"/>
    </row>
    <row r="187" ht="15" customHeight="1" s="462">
      <c r="B187" s="761" t="n">
        <v>1250</v>
      </c>
      <c r="C187" s="521" t="n"/>
      <c r="D187" s="521" t="n"/>
      <c r="E187" s="521" t="n"/>
      <c r="F187" s="521" t="n"/>
      <c r="G187" s="521" t="n"/>
    </row>
    <row r="188" ht="15" customHeight="1" s="462">
      <c r="B188" s="761" t="n">
        <v>1300</v>
      </c>
      <c r="C188" s="521" t="n"/>
      <c r="D188" s="521" t="n"/>
      <c r="E188" s="521" t="n"/>
      <c r="F188" s="521" t="n"/>
      <c r="G188" s="521" t="n"/>
    </row>
    <row r="189" ht="15" customHeight="1" s="462">
      <c r="B189" s="761" t="n">
        <v>1350</v>
      </c>
      <c r="C189" s="521" t="n"/>
      <c r="D189" s="521" t="n"/>
      <c r="E189" s="521" t="n"/>
      <c r="F189" s="521" t="n"/>
      <c r="G189" s="521" t="n"/>
    </row>
    <row r="190" ht="15" customHeight="1" s="462">
      <c r="B190" s="761" t="n">
        <v>1400</v>
      </c>
      <c r="C190" s="521" t="n"/>
      <c r="D190" s="521" t="n"/>
      <c r="E190" s="521" t="n"/>
      <c r="F190" s="521" t="n"/>
      <c r="G190" s="521" t="n"/>
    </row>
    <row r="191" ht="15" customHeight="1" s="462">
      <c r="B191" s="761" t="n">
        <v>1450</v>
      </c>
      <c r="C191" s="521" t="n"/>
      <c r="D191" s="521" t="n"/>
      <c r="E191" s="521" t="n"/>
      <c r="F191" s="521" t="n"/>
      <c r="G191" s="521" t="n"/>
    </row>
    <row r="192" ht="15" customHeight="1" s="462">
      <c r="B192" s="761" t="n">
        <v>1500</v>
      </c>
      <c r="C192" s="521" t="n"/>
      <c r="D192" s="521" t="n"/>
      <c r="E192" s="521" t="n"/>
      <c r="F192" s="521" t="n"/>
      <c r="G192" s="521" t="n"/>
    </row>
    <row r="193" ht="15" customHeight="1" s="462">
      <c r="B193" s="761" t="n">
        <v>1550</v>
      </c>
      <c r="C193" s="521" t="n"/>
      <c r="D193" s="521" t="n"/>
      <c r="E193" s="521" t="n"/>
      <c r="F193" s="521" t="n"/>
      <c r="G193" s="521" t="n"/>
    </row>
    <row r="194" ht="15" customHeight="1" s="462">
      <c r="B194" s="761" t="n">
        <v>1600</v>
      </c>
      <c r="C194" s="521" t="n"/>
      <c r="D194" s="521" t="n"/>
      <c r="E194" s="521" t="n"/>
      <c r="F194" s="521" t="n"/>
      <c r="G194" s="521" t="n"/>
    </row>
    <row r="195" ht="15" customHeight="1" s="462">
      <c r="B195" s="761" t="n">
        <v>1650</v>
      </c>
      <c r="C195" s="521" t="n"/>
      <c r="D195" s="521" t="n"/>
      <c r="E195" s="521" t="n"/>
      <c r="F195" s="521" t="n"/>
      <c r="G195" s="521" t="n"/>
    </row>
    <row r="196" ht="15" customHeight="1" s="462">
      <c r="B196" s="761" t="n">
        <v>1700</v>
      </c>
      <c r="C196" s="521" t="n"/>
      <c r="D196" s="521" t="n"/>
      <c r="E196" s="521" t="n"/>
      <c r="F196" s="521" t="n"/>
      <c r="G196" s="521" t="n"/>
    </row>
    <row r="197" ht="15" customHeight="1" s="462">
      <c r="B197" s="761" t="n">
        <v>1750</v>
      </c>
      <c r="C197" s="521" t="n"/>
      <c r="D197" s="521" t="n"/>
      <c r="E197" s="521" t="n"/>
      <c r="F197" s="521" t="n"/>
      <c r="G197" s="521" t="n"/>
    </row>
    <row r="198" ht="15" customHeight="1" s="462">
      <c r="B198" s="761" t="n">
        <v>1800</v>
      </c>
      <c r="C198" s="521" t="n"/>
      <c r="D198" s="521" t="n"/>
      <c r="E198" s="521" t="n"/>
      <c r="F198" s="521" t="n"/>
      <c r="G198" s="521" t="n"/>
    </row>
    <row r="199" ht="15" customHeight="1" s="462">
      <c r="D199" s="521" t="n"/>
    </row>
    <row r="200" ht="15" customHeight="1" s="462">
      <c r="D200" s="521" t="n"/>
    </row>
    <row r="201" ht="30" customHeight="1" s="462">
      <c r="A201" s="774" t="inlineStr">
        <is>
          <t>Working Note -1    Assumption of FULL conversion of FCCB's Due in Aug 2010 (FY 2011E)</t>
        </is>
      </c>
      <c r="D201" s="521" t="n"/>
    </row>
    <row r="202" ht="15" customHeight="1" s="462">
      <c r="D202" s="583" t="n"/>
      <c r="E202" s="461" t="n"/>
      <c r="F202" s="461" t="n"/>
    </row>
    <row r="203" ht="15" customHeight="1" s="462">
      <c r="A203" s="775" t="inlineStr">
        <is>
          <t>FCCB's Outstanding -Due August 2010 (FY 2011E)</t>
        </is>
      </c>
      <c r="B203" s="753" t="n"/>
      <c r="D203" s="776" t="n"/>
      <c r="E203" s="461" t="n"/>
      <c r="F203" s="461" t="n"/>
    </row>
    <row r="204" ht="15" customHeight="1" s="462">
      <c r="A204" s="775" t="inlineStr">
        <is>
          <t>No of Shares for conversion per $1000 Bond</t>
        </is>
      </c>
      <c r="B204" s="576" t="n">
        <v>83.12</v>
      </c>
      <c r="D204" s="461" t="n"/>
      <c r="E204" s="461" t="n"/>
      <c r="F204" s="461" t="n"/>
    </row>
    <row r="205" ht="15" customHeight="1" s="462">
      <c r="A205" s="775" t="inlineStr">
        <is>
          <t>Conversion @ fixed price of                                         Rs</t>
        </is>
      </c>
      <c r="B205" s="572" t="n">
        <v>522.0359999999999</v>
      </c>
      <c r="D205" s="512" t="n"/>
      <c r="E205" s="461" t="n"/>
      <c r="F205" s="461" t="n"/>
    </row>
    <row r="206" ht="15" customHeight="1" s="462">
      <c r="A206" s="775" t="inlineStr">
        <is>
          <t>Face Value per share                                                       Rs</t>
        </is>
      </c>
      <c r="B206" s="576" t="n">
        <v>5</v>
      </c>
      <c r="D206" s="461" t="n"/>
      <c r="E206" s="461" t="n"/>
      <c r="F206" s="461" t="n"/>
    </row>
    <row r="207" ht="15" customHeight="1" s="462">
      <c r="A207" s="775" t="inlineStr">
        <is>
          <t>Balance Share Premium value per share                Rs</t>
        </is>
      </c>
      <c r="B207" s="521" t="n"/>
    </row>
    <row r="208" ht="15" customHeight="1" s="462">
      <c r="A208" s="775" t="inlineStr">
        <is>
          <t>Transfer to Share Capital on Full Conversion        Rs</t>
        </is>
      </c>
      <c r="B208" s="521" t="n"/>
    </row>
    <row r="209" ht="45" customHeight="1" s="462">
      <c r="A209" s="777" t="inlineStr">
        <is>
          <t>Transfer to Share Premium (Reserves &amp; Surplus) on Full Conversion                                                           Rs</t>
        </is>
      </c>
      <c r="B209" s="778" t="n"/>
    </row>
    <row r="210" ht="30" customHeight="1" s="462">
      <c r="A210" s="777" t="inlineStr">
        <is>
          <t>Dilution Effect on Outstanding shares on Conversion in FY11E</t>
        </is>
      </c>
      <c r="B210" s="760" t="n"/>
    </row>
    <row r="213" ht="45" customHeight="1" s="462">
      <c r="A213" s="774" t="inlineStr">
        <is>
          <t>Working Note-2    Amortization of Redeemption Premium for FCCB's (both Tranche-A&amp;B)due in May 2011 (FY 2012)</t>
        </is>
      </c>
      <c r="B213" s="779" t="inlineStr">
        <is>
          <t>Due in May 2011 (Tranche-A)</t>
        </is>
      </c>
      <c r="C213" s="779" t="inlineStr">
        <is>
          <t>Due in May 2011 (Tranche-B)</t>
        </is>
      </c>
      <c r="D213" s="761" t="inlineStr">
        <is>
          <t>Total</t>
        </is>
      </c>
      <c r="F213" s="780" t="inlineStr">
        <is>
          <t>USD/INR</t>
        </is>
      </c>
    </row>
    <row r="214" ht="15" customHeight="1" s="462">
      <c r="F214" s="781" t="n"/>
    </row>
    <row r="215" ht="15" customHeight="1" s="462">
      <c r="A215" s="461" t="inlineStr">
        <is>
          <t>No of Bonds (in actuals)</t>
        </is>
      </c>
      <c r="B215" s="753" t="n"/>
      <c r="C215" s="753" t="n"/>
      <c r="D215" s="753" t="n"/>
    </row>
    <row r="216" ht="15" customHeight="1" s="462">
      <c r="A216" s="461" t="inlineStr">
        <is>
          <t>Face value ($)</t>
        </is>
      </c>
      <c r="B216" s="724" t="n">
        <v>1000</v>
      </c>
      <c r="C216" s="724" t="n">
        <v>1000</v>
      </c>
      <c r="D216" s="753" t="n"/>
    </row>
    <row r="217" ht="15" customHeight="1" s="462">
      <c r="A217" s="461" t="inlineStr">
        <is>
          <t>Premium (%)</t>
        </is>
      </c>
      <c r="B217" s="509" t="n"/>
      <c r="C217" s="509" t="n"/>
    </row>
    <row r="218" ht="15" customHeight="1" s="462">
      <c r="A218" s="461" t="inlineStr">
        <is>
          <t>Premium value /Bond($)</t>
        </is>
      </c>
      <c r="B218" s="506" t="n"/>
      <c r="C218" s="506" t="n"/>
    </row>
    <row r="219" ht="15" customHeight="1" s="462">
      <c r="A219" s="461" t="inlineStr">
        <is>
          <t>Total Premium value ($)</t>
        </is>
      </c>
      <c r="B219" s="753" t="n"/>
      <c r="C219" s="753" t="n"/>
    </row>
    <row r="220" ht="15" customHeight="1" s="462">
      <c r="A220" s="461" t="inlineStr">
        <is>
          <t>Total Premium value in Rs Millions</t>
        </is>
      </c>
      <c r="B220" s="521" t="n"/>
      <c r="C220" s="521" t="n"/>
      <c r="D220" s="782" t="n"/>
    </row>
    <row r="221" ht="15.75" customHeight="1" s="462">
      <c r="A221" s="489" t="n"/>
      <c r="B221" s="489" t="n"/>
      <c r="C221" s="489" t="n"/>
      <c r="D221" s="489" t="n"/>
      <c r="E221" s="489" t="n"/>
      <c r="F221" s="489" t="n"/>
      <c r="G221" s="489" t="n"/>
      <c r="H221" s="489" t="n"/>
      <c r="I221" s="489" t="n"/>
      <c r="J221" s="489" t="n"/>
      <c r="K221" s="489" t="n"/>
    </row>
  </sheetData>
  <mergeCells count="9">
    <mergeCell ref="A140:A147"/>
    <mergeCell ref="A176:A183"/>
    <mergeCell ref="B134:F134"/>
    <mergeCell ref="B74:K75"/>
    <mergeCell ref="B98:F98"/>
    <mergeCell ref="B70:K71"/>
    <mergeCell ref="A104:A111"/>
    <mergeCell ref="B170:F170"/>
    <mergeCell ref="B72:K73"/>
  </mergeCells>
  <conditionalFormatting sqref="C100:G126">
    <cfRule type="cellIs" rank="0" priority="2" equalAverage="0" operator="lessThan" aboveAverage="0" dxfId="0" text="" percent="0" bottom="0">
      <formula>$D$95</formula>
    </cfRule>
    <cfRule type="cellIs" rank="0" priority="3" equalAverage="0" operator="greaterThan" aboveAverage="0" dxfId="1" text="" percent="0" bottom="0">
      <formula>$D$95</formula>
    </cfRule>
  </conditionalFormatting>
  <conditionalFormatting sqref="C136:G162">
    <cfRule type="cellIs" rank="0" priority="4" equalAverage="0" operator="lessThan" aboveAverage="0" dxfId="0" text="" percent="0" bottom="0">
      <formula>$D$131</formula>
    </cfRule>
    <cfRule type="cellIs" rank="0" priority="5" equalAverage="0" operator="greaterThan" aboveAverage="0" dxfId="1" text="" percent="0" bottom="0">
      <formula>$D$131</formula>
    </cfRule>
  </conditionalFormatting>
  <conditionalFormatting sqref="C172:G198">
    <cfRule type="cellIs" rank="0" priority="6" equalAverage="0" operator="lessThan" aboveAverage="0" dxfId="0" text="" percent="0" bottom="0">
      <formula>$D$167</formula>
    </cfRule>
    <cfRule type="cellIs" rank="0" priority="7" equalAverage="0" operator="greaterThan" aboveAverage="0" dxfId="1" text="" percent="0" bottom="0">
      <formula>$D$167</formula>
    </cfRule>
  </conditionalFormatting>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2.xml><?xml version="1.0" encoding="utf-8"?>
<worksheet xmlns="http://schemas.openxmlformats.org/spreadsheetml/2006/main">
  <sheetPr filterMode="0">
    <outlinePr summaryBelow="1" summaryRight="1"/>
    <pageSetUpPr fitToPage="0"/>
  </sheetPr>
  <dimension ref="A1:M23"/>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H13" activeCellId="0" sqref="H13"/>
    </sheetView>
  </sheetViews>
  <sheetFormatPr baseColWidth="8" defaultColWidth="8.96875" defaultRowHeight="15" zeroHeight="0" outlineLevelRow="0"/>
  <cols>
    <col width="35.99" customWidth="1" style="461" min="1" max="1"/>
    <col width="10.56" customWidth="1" style="614" min="2" max="2"/>
    <col width="11.28" customWidth="1" style="461" min="3" max="3"/>
    <col width="10.56" customWidth="1" style="461" min="4" max="13"/>
  </cols>
  <sheetData>
    <row r="1" ht="18.75" customHeight="1" s="462">
      <c r="A1" s="487" t="inlineStr">
        <is>
          <t>Aurobindo Pharma</t>
        </is>
      </c>
      <c r="B1" s="783" t="n"/>
      <c r="C1" s="487" t="n"/>
      <c r="D1" s="679" t="n"/>
      <c r="E1" s="679" t="n"/>
      <c r="F1" s="679" t="n"/>
      <c r="G1" s="679" t="n"/>
      <c r="H1" s="679" t="n"/>
      <c r="I1" s="679" t="n"/>
      <c r="J1" s="679" t="n"/>
      <c r="K1" s="679" t="n"/>
    </row>
    <row r="2" ht="15.75" customHeight="1" s="462">
      <c r="A2" s="488" t="inlineStr">
        <is>
          <t>Fixed Asset</t>
        </is>
      </c>
      <c r="B2" s="764" t="n"/>
      <c r="C2" s="522" t="n"/>
      <c r="D2" s="679" t="n"/>
      <c r="E2" s="679" t="n"/>
      <c r="F2" s="679" t="n"/>
      <c r="G2" s="679" t="n"/>
      <c r="H2" s="679" t="n"/>
      <c r="I2" s="679" t="n"/>
      <c r="J2" s="679" t="n"/>
      <c r="K2" s="679" t="n"/>
    </row>
    <row r="3" ht="15.75" customHeight="1" s="462">
      <c r="A3" s="489" t="inlineStr">
        <is>
          <t>(In Rs Millions)</t>
        </is>
      </c>
      <c r="B3" s="784" t="n"/>
      <c r="C3" s="489" t="n"/>
      <c r="D3" s="489" t="n"/>
      <c r="E3" s="489" t="n"/>
      <c r="F3" s="489" t="n"/>
      <c r="G3" s="489" t="n"/>
      <c r="H3" s="489" t="n"/>
      <c r="I3" s="489" t="n"/>
      <c r="J3" s="489" t="n"/>
      <c r="K3" s="489" t="n"/>
      <c r="L3" s="489" t="n"/>
    </row>
    <row r="4" ht="30" customHeight="1" s="462">
      <c r="A4" s="681" t="inlineStr">
        <is>
          <t xml:space="preserve">For the Fiscal Period Ending
</t>
        </is>
      </c>
      <c r="B4" s="617" t="inlineStr">
        <is>
          <t>FY2004 A</t>
        </is>
      </c>
      <c r="C4" s="617" t="inlineStr">
        <is>
          <t>FY2005 A</t>
        </is>
      </c>
      <c r="D4" s="617" t="inlineStr">
        <is>
          <t>FY2006 A</t>
        </is>
      </c>
      <c r="E4" s="617" t="inlineStr">
        <is>
          <t>FY2007 A</t>
        </is>
      </c>
      <c r="F4" s="617" t="inlineStr">
        <is>
          <t>FY2008 A</t>
        </is>
      </c>
      <c r="G4" s="683" t="inlineStr">
        <is>
          <t>FY2009 E</t>
        </is>
      </c>
      <c r="H4" s="683" t="inlineStr">
        <is>
          <t>FY2010 E</t>
        </is>
      </c>
      <c r="I4" s="683" t="inlineStr">
        <is>
          <t>FY2011 E</t>
        </is>
      </c>
      <c r="J4" s="683" t="inlineStr">
        <is>
          <t>FY2012 E</t>
        </is>
      </c>
      <c r="K4" s="683" t="inlineStr">
        <is>
          <t>FY2013 E</t>
        </is>
      </c>
      <c r="L4" s="683" t="inlineStr">
        <is>
          <t>FY2014 E</t>
        </is>
      </c>
    </row>
    <row r="5" ht="15" customHeight="1" s="462">
      <c r="A5" s="491" t="inlineStr">
        <is>
          <t>Fixed Asset</t>
        </is>
      </c>
      <c r="B5" s="785" t="n"/>
      <c r="C5" s="573" t="n"/>
      <c r="D5" s="568" t="n"/>
      <c r="E5" s="568" t="n"/>
      <c r="F5" s="568" t="n"/>
      <c r="G5" s="685" t="n"/>
      <c r="H5" s="679" t="n"/>
      <c r="I5" s="679" t="n"/>
      <c r="J5" s="679" t="n"/>
      <c r="K5" s="679" t="n"/>
    </row>
    <row r="6" ht="15" customHeight="1" s="462">
      <c r="D6" s="521" t="n"/>
      <c r="E6" s="521" t="n"/>
      <c r="F6" s="521" t="n"/>
      <c r="G6" s="521" t="n"/>
      <c r="H6" s="521" t="n"/>
      <c r="I6" s="521" t="n"/>
      <c r="J6" s="521" t="n"/>
      <c r="K6" s="521" t="n"/>
      <c r="L6" s="521" t="n"/>
    </row>
    <row r="7" ht="15" customHeight="1" s="462">
      <c r="A7" s="643" t="inlineStr">
        <is>
          <t>Gross Block (C/B)</t>
        </is>
      </c>
      <c r="B7" s="527" t="n">
        <v>8900.4</v>
      </c>
      <c r="C7" s="580" t="n">
        <v>10726.9</v>
      </c>
      <c r="D7" s="580" t="n"/>
      <c r="E7" s="580" t="n"/>
      <c r="F7" s="580" t="n"/>
      <c r="G7" s="580" t="n"/>
      <c r="H7" s="580" t="n"/>
      <c r="I7" s="580" t="n"/>
      <c r="J7" s="580" t="n"/>
      <c r="K7" s="580" t="n"/>
      <c r="L7" s="580" t="n"/>
      <c r="M7" s="580" t="n"/>
    </row>
    <row r="8" ht="15" customHeight="1" s="462">
      <c r="A8" s="490" t="inlineStr">
        <is>
          <t>Capital Work-in-progress</t>
        </is>
      </c>
      <c r="B8" s="527" t="n">
        <v>1594.2</v>
      </c>
      <c r="C8" s="580" t="n">
        <v>2525.4</v>
      </c>
      <c r="D8" s="580" t="n"/>
      <c r="E8" s="580" t="n"/>
      <c r="F8" s="580" t="n"/>
      <c r="G8" s="580" t="inlineStr">
        <is>
          <t>.</t>
        </is>
      </c>
      <c r="H8" s="580" t="n">
        <v>0</v>
      </c>
      <c r="I8" s="580" t="n">
        <v>0</v>
      </c>
      <c r="J8" s="580" t="n">
        <v>0</v>
      </c>
      <c r="K8" s="580" t="n">
        <v>0</v>
      </c>
      <c r="L8" s="580" t="n">
        <v>0</v>
      </c>
    </row>
    <row r="9" ht="15" customHeight="1" s="462">
      <c r="A9" s="490" t="inlineStr">
        <is>
          <t xml:space="preserve">Total </t>
        </is>
      </c>
      <c r="B9" s="527" t="n"/>
      <c r="C9" s="580" t="n"/>
      <c r="D9" s="580" t="n"/>
      <c r="E9" s="580" t="n"/>
      <c r="F9" s="580" t="n"/>
      <c r="G9" s="580" t="n">
        <v>0</v>
      </c>
      <c r="H9" s="580" t="n">
        <v>0</v>
      </c>
      <c r="I9" s="580" t="n">
        <v>0</v>
      </c>
      <c r="J9" s="580" t="n">
        <v>0</v>
      </c>
      <c r="K9" s="580" t="n">
        <v>0</v>
      </c>
      <c r="L9" s="580" t="n">
        <v>0</v>
      </c>
    </row>
    <row r="10" ht="15" customHeight="1" s="462">
      <c r="A10" s="490" t="inlineStr">
        <is>
          <t>Additions (Capex)</t>
        </is>
      </c>
      <c r="B10" s="527" t="n"/>
      <c r="C10" s="580" t="n"/>
      <c r="D10" s="580" t="n"/>
      <c r="E10" s="580" t="n"/>
      <c r="F10" s="580" t="n"/>
      <c r="G10" s="580" t="n"/>
      <c r="H10" s="580" t="n"/>
      <c r="I10" s="580" t="n"/>
      <c r="J10" s="580" t="n"/>
      <c r="K10" s="580" t="n"/>
      <c r="L10" s="580" t="n"/>
    </row>
    <row r="11" ht="15" customHeight="1" s="462">
      <c r="A11" s="490" t="n"/>
      <c r="B11" s="527" t="n"/>
      <c r="C11" s="580" t="n"/>
      <c r="D11" s="580" t="n"/>
      <c r="E11" s="580" t="n"/>
      <c r="F11" s="580" t="n"/>
      <c r="G11" s="580" t="n"/>
      <c r="H11" s="580" t="n"/>
      <c r="I11" s="580" t="n"/>
      <c r="J11" s="580" t="n"/>
      <c r="K11" s="580" t="n"/>
      <c r="L11" s="580" t="n"/>
    </row>
    <row r="12" ht="15" customHeight="1" s="462">
      <c r="A12" s="643" t="inlineStr">
        <is>
          <t>Depreciation (B/S)</t>
        </is>
      </c>
      <c r="B12" s="527" t="n">
        <v>1482.7</v>
      </c>
      <c r="C12" s="580" t="n">
        <v>2144.2</v>
      </c>
      <c r="D12" s="580" t="n"/>
      <c r="E12" s="580" t="n"/>
      <c r="F12" s="580" t="n"/>
      <c r="G12" s="580" t="n"/>
      <c r="H12" s="580" t="n"/>
      <c r="I12" s="580" t="n"/>
      <c r="J12" s="580" t="n"/>
      <c r="K12" s="580" t="n"/>
      <c r="L12" s="580" t="n"/>
    </row>
    <row r="13" ht="15" customHeight="1" s="462">
      <c r="A13" s="490" t="inlineStr">
        <is>
          <t>Depreciation (I/S)</t>
        </is>
      </c>
      <c r="B13" s="527" t="n">
        <v>589.8</v>
      </c>
      <c r="C13" s="580" t="n">
        <v>646.7</v>
      </c>
      <c r="D13" s="580" t="n"/>
      <c r="E13" s="580" t="n"/>
      <c r="F13" s="580" t="n"/>
      <c r="G13" s="580" t="n"/>
      <c r="H13" s="580" t="n"/>
      <c r="I13" s="580" t="n"/>
      <c r="J13" s="580" t="n"/>
      <c r="K13" s="580" t="n"/>
      <c r="L13" s="580" t="n"/>
    </row>
    <row r="14" ht="15" customHeight="1" s="462">
      <c r="A14" s="694" t="inlineStr">
        <is>
          <t>Depreciation Rate</t>
        </is>
      </c>
      <c r="B14" s="786" t="n"/>
      <c r="C14" s="697" t="n"/>
      <c r="D14" s="697" t="n"/>
      <c r="E14" s="697" t="n"/>
      <c r="F14" s="697" t="n"/>
      <c r="G14" s="699" t="n"/>
      <c r="H14" s="699" t="n"/>
      <c r="I14" s="699" t="n"/>
      <c r="J14" s="699" t="n"/>
      <c r="K14" s="699" t="n"/>
      <c r="L14" s="699" t="n"/>
      <c r="M14" s="699" t="n"/>
    </row>
    <row r="15" ht="15" customHeight="1" s="462">
      <c r="A15" s="490" t="n"/>
      <c r="B15" s="527" t="n"/>
      <c r="C15" s="580" t="n"/>
      <c r="D15" s="580" t="n"/>
      <c r="E15" s="580" t="n"/>
      <c r="F15" s="580" t="n"/>
      <c r="G15" s="787" t="n"/>
      <c r="H15" s="580" t="n"/>
      <c r="I15" s="580" t="n"/>
      <c r="J15" s="580" t="n"/>
      <c r="K15" s="580" t="n"/>
      <c r="L15" s="580" t="n"/>
    </row>
    <row r="16" ht="15" customHeight="1" s="462">
      <c r="A16" s="490" t="inlineStr">
        <is>
          <t>Net Block</t>
        </is>
      </c>
      <c r="B16" s="723" t="n"/>
      <c r="C16" s="580" t="n"/>
      <c r="D16" s="580" t="n"/>
      <c r="E16" s="580" t="n"/>
      <c r="F16" s="580" t="n"/>
      <c r="G16" s="580" t="n"/>
      <c r="H16" s="580" t="n"/>
      <c r="I16" s="580" t="n"/>
      <c r="J16" s="580" t="n"/>
      <c r="K16" s="580" t="n"/>
      <c r="L16" s="580" t="n"/>
    </row>
    <row r="17" ht="15" customHeight="1" s="462">
      <c r="A17" s="490" t="inlineStr">
        <is>
          <t>Capex</t>
        </is>
      </c>
      <c r="B17" s="527" t="n"/>
      <c r="C17" s="580" t="n"/>
      <c r="D17" s="580" t="n"/>
      <c r="E17" s="580" t="n"/>
      <c r="F17" s="580" t="n"/>
      <c r="G17" s="580" t="n"/>
      <c r="H17" s="580" t="n"/>
      <c r="I17" s="580" t="n"/>
      <c r="J17" s="580" t="n"/>
      <c r="K17" s="580" t="n"/>
      <c r="L17" s="580" t="n"/>
    </row>
    <row r="18" ht="15" customHeight="1" s="462">
      <c r="A18" s="694" t="inlineStr">
        <is>
          <t>Capex as % of revenue</t>
        </is>
      </c>
      <c r="B18" s="786" t="n"/>
      <c r="C18" s="697" t="n"/>
      <c r="D18" s="697" t="n"/>
      <c r="E18" s="697" t="n"/>
      <c r="F18" s="697" t="n"/>
      <c r="G18" s="699" t="n">
        <v>0.075</v>
      </c>
      <c r="H18" s="699" t="n">
        <v>0.07000000000000001</v>
      </c>
      <c r="I18" s="699" t="n">
        <v>0.07000000000000001</v>
      </c>
      <c r="J18" s="699" t="n">
        <v>0.06</v>
      </c>
      <c r="K18" s="699" t="n"/>
      <c r="L18" s="699" t="n"/>
    </row>
    <row r="19" ht="15.75" customHeight="1" s="462">
      <c r="A19" s="489" t="n"/>
      <c r="B19" s="788" t="n"/>
      <c r="C19" s="531" t="n"/>
      <c r="D19" s="531" t="n"/>
      <c r="E19" s="531" t="n"/>
      <c r="F19" s="531" t="n"/>
      <c r="G19" s="531" t="n"/>
      <c r="H19" s="531" t="n"/>
      <c r="I19" s="531" t="n"/>
      <c r="J19" s="531" t="n"/>
      <c r="K19" s="531" t="n"/>
      <c r="L19" s="531" t="n"/>
    </row>
    <row r="20" ht="15" customHeight="1" s="462">
      <c r="C20" s="506" t="n"/>
      <c r="D20" s="506" t="n"/>
      <c r="E20" s="506" t="n"/>
      <c r="F20" s="506" t="n"/>
      <c r="G20" s="521" t="n"/>
      <c r="H20" s="521" t="n"/>
      <c r="I20" s="521" t="n"/>
      <c r="J20" s="521" t="n"/>
      <c r="K20" s="521" t="n"/>
      <c r="L20" s="521" t="n"/>
    </row>
    <row r="21" ht="15" customHeight="1" s="462">
      <c r="A21" s="490" t="n"/>
      <c r="B21" s="723" t="n"/>
      <c r="C21" s="512" t="n"/>
      <c r="D21" s="506" t="n"/>
      <c r="E21" s="506" t="n"/>
      <c r="F21" s="506" t="n"/>
    </row>
    <row r="22" ht="15" customHeight="1" s="462">
      <c r="A22" s="490" t="n"/>
      <c r="B22" s="723" t="n"/>
      <c r="C22" s="529" t="n"/>
      <c r="D22" s="529" t="n"/>
      <c r="E22" s="529" t="n"/>
      <c r="F22" s="529" t="n"/>
    </row>
    <row r="23" ht="15" customHeight="1" s="462">
      <c r="A23" s="490" t="n"/>
      <c r="B23" s="723"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3.xml><?xml version="1.0" encoding="utf-8"?>
<worksheet xmlns="http://schemas.openxmlformats.org/spreadsheetml/2006/main">
  <sheetPr filterMode="0">
    <outlinePr summaryBelow="1" summaryRight="1"/>
    <pageSetUpPr fitToPage="0"/>
  </sheetPr>
  <dimension ref="A1:N78"/>
  <sheetViews>
    <sheetView showFormulas="0" showGridLines="1" showRowColHeaders="1" showZeros="1" rightToLeft="0" tabSelected="0" showOutlineSymbols="1" defaultGridColor="1" view="normal" topLeftCell="B56" colorId="64" zoomScale="100" zoomScaleNormal="100" zoomScalePageLayoutView="100" workbookViewId="0">
      <selection pane="topLeft" activeCell="I65" activeCellId="0" sqref="I65"/>
    </sheetView>
  </sheetViews>
  <sheetFormatPr baseColWidth="8" defaultColWidth="8.96875" defaultRowHeight="15" zeroHeight="0" outlineLevelRow="0"/>
  <cols>
    <col width="39.42" customWidth="1" style="461" min="1" max="1"/>
    <col width="10.56" customWidth="1" style="461" min="2" max="3"/>
    <col width="22.28" customWidth="1" style="461" min="4" max="4"/>
    <col width="10.56" customWidth="1" style="461" min="5" max="6"/>
    <col width="17.71" customWidth="1" style="461" min="7" max="7"/>
    <col width="10.56" customWidth="1" style="461" min="8" max="8"/>
    <col width="19.42" customWidth="1" style="461" min="9" max="9"/>
    <col width="11.56" customWidth="1" style="461" min="10" max="13"/>
    <col width="22.99" customWidth="1" style="461" min="14" max="14"/>
  </cols>
  <sheetData>
    <row r="1" ht="18.75" customHeight="1" s="462">
      <c r="A1" s="487" t="inlineStr">
        <is>
          <t>Aurobindo Pharma</t>
        </is>
      </c>
    </row>
    <row r="2" ht="15.75" customHeight="1" s="462">
      <c r="A2" s="488" t="inlineStr">
        <is>
          <t>Valuation</t>
        </is>
      </c>
    </row>
    <row r="3" ht="15.75" customHeight="1" s="462">
      <c r="A3" s="489" t="inlineStr">
        <is>
          <t>(In Rs Millions, Except per share items)</t>
        </is>
      </c>
      <c r="B3" s="489" t="n"/>
      <c r="C3" s="489" t="n"/>
      <c r="D3" s="489" t="n"/>
      <c r="E3" s="489" t="n"/>
      <c r="F3" s="489" t="n"/>
      <c r="G3" s="489" t="n"/>
      <c r="H3" s="489" t="n"/>
      <c r="I3" s="489" t="n"/>
      <c r="J3" s="489" t="n"/>
      <c r="K3" s="489" t="n"/>
      <c r="L3" s="489" t="n"/>
      <c r="M3" s="789" t="n"/>
      <c r="N3" s="789" t="n"/>
    </row>
    <row r="5" ht="15.75" customHeight="1" s="462">
      <c r="A5" s="491" t="inlineStr">
        <is>
          <t>Growth Assumptions</t>
        </is>
      </c>
      <c r="D5" s="491" t="inlineStr">
        <is>
          <t>Enterprise Value (EV)</t>
        </is>
      </c>
      <c r="G5" s="491" t="inlineStr">
        <is>
          <t>Debt Equity Weightage</t>
        </is>
      </c>
    </row>
    <row r="6" ht="30" customHeight="1" s="462">
      <c r="A6" s="790" t="inlineStr">
        <is>
          <t>Long term World GDP growth rate</t>
        </is>
      </c>
      <c r="B6" s="706" t="n">
        <v>0.041</v>
      </c>
      <c r="D6" s="790" t="n"/>
      <c r="E6" s="791" t="n"/>
      <c r="G6" s="792" t="inlineStr">
        <is>
          <t>E/(D+E) @ Enterprise Value</t>
        </is>
      </c>
      <c r="H6" s="529" t="n"/>
    </row>
    <row r="7" ht="30" customHeight="1" s="462">
      <c r="A7" s="793" t="n"/>
      <c r="B7" s="793" t="n"/>
      <c r="C7" s="793" t="n"/>
      <c r="D7" s="793" t="inlineStr">
        <is>
          <t>Current Market Price</t>
        </is>
      </c>
      <c r="E7" s="794" t="n">
        <v>753</v>
      </c>
      <c r="F7" s="793" t="n"/>
      <c r="G7" s="795" t="inlineStr">
        <is>
          <t>D/(D+E) @ Enterprise Value</t>
        </is>
      </c>
      <c r="H7" s="529" t="n"/>
    </row>
    <row r="8" ht="15" customHeight="1" s="462">
      <c r="D8" s="793" t="inlineStr">
        <is>
          <t>Diluted Shares</t>
        </is>
      </c>
      <c r="E8" s="796" t="n"/>
      <c r="G8" s="791" t="n"/>
      <c r="H8" s="529" t="n"/>
    </row>
    <row r="9" ht="15" customHeight="1" s="462">
      <c r="A9" s="491" t="inlineStr">
        <is>
          <t>CAPM Assumptions</t>
        </is>
      </c>
      <c r="D9" s="793" t="inlineStr">
        <is>
          <t>Market Capitalisation</t>
        </is>
      </c>
      <c r="E9" s="797" t="n"/>
      <c r="G9" s="791" t="inlineStr">
        <is>
          <t>Interest Rate (%)</t>
        </is>
      </c>
      <c r="H9" s="529" t="n"/>
    </row>
    <row r="10" ht="15" customHeight="1" s="462">
      <c r="A10" s="791" t="inlineStr">
        <is>
          <t>Ke</t>
        </is>
      </c>
      <c r="B10" s="672" t="n"/>
      <c r="D10" s="793" t="inlineStr">
        <is>
          <t>Long Term Liabilities</t>
        </is>
      </c>
      <c r="E10" s="796" t="n"/>
      <c r="G10" s="791" t="inlineStr">
        <is>
          <t>Tax Rate (@)</t>
        </is>
      </c>
      <c r="H10" s="529" t="n"/>
    </row>
    <row r="11" ht="30" customHeight="1" s="462">
      <c r="A11" s="791" t="inlineStr">
        <is>
          <t>RFR</t>
        </is>
      </c>
      <c r="B11" s="798" t="n">
        <v>0.07000000000000001</v>
      </c>
      <c r="D11" s="799" t="inlineStr">
        <is>
          <t>Less: Cash &amp; Cash Equivalents</t>
        </is>
      </c>
      <c r="E11" s="796" t="n"/>
      <c r="G11" s="461" t="n"/>
      <c r="H11" s="529" t="n"/>
    </row>
    <row r="12" ht="15" customHeight="1" s="462">
      <c r="A12" s="791" t="inlineStr">
        <is>
          <t>Beta</t>
        </is>
      </c>
      <c r="B12" s="800" t="n">
        <v>0.6858</v>
      </c>
      <c r="D12" s="793" t="inlineStr">
        <is>
          <t>Net Debt</t>
        </is>
      </c>
      <c r="E12" s="796" t="n"/>
      <c r="G12" s="491" t="inlineStr">
        <is>
          <t>WACC Calculation</t>
        </is>
      </c>
      <c r="H12" s="529" t="n"/>
    </row>
    <row r="13" ht="15" customHeight="1" s="462">
      <c r="A13" s="791" t="inlineStr">
        <is>
          <t>Rp</t>
        </is>
      </c>
      <c r="B13" s="801" t="n">
        <v>0.07000000000000001</v>
      </c>
      <c r="D13" s="793" t="inlineStr">
        <is>
          <t>Enterprise Value (EV)</t>
        </is>
      </c>
      <c r="E13" s="802" t="n"/>
      <c r="G13" s="791" t="inlineStr">
        <is>
          <t>WACC</t>
        </is>
      </c>
      <c r="H13" s="803" t="n"/>
    </row>
    <row r="15" ht="15" customHeight="1" s="462">
      <c r="A15" s="491" t="inlineStr">
        <is>
          <t>Calculation of Free Cash Flow</t>
        </is>
      </c>
    </row>
    <row r="16" ht="15" customHeight="1" s="462">
      <c r="C16" s="804" t="inlineStr">
        <is>
          <t>Explicit Forecast Period (First Stage)</t>
        </is>
      </c>
      <c r="I16" s="805" t="inlineStr">
        <is>
          <t>Second Stage of Valuation</t>
        </is>
      </c>
      <c r="N16" s="806" t="inlineStr">
        <is>
          <t>Third  Stage of Valuation</t>
        </is>
      </c>
    </row>
    <row r="17" ht="15" customHeight="1" s="462">
      <c r="B17" s="807" t="inlineStr">
        <is>
          <t>FY2008 A</t>
        </is>
      </c>
      <c r="C17" s="807" t="inlineStr">
        <is>
          <t>FY2009 A</t>
        </is>
      </c>
      <c r="D17" s="808" t="inlineStr">
        <is>
          <t>FY2010 E</t>
        </is>
      </c>
      <c r="E17" s="808" t="inlineStr">
        <is>
          <t>FY2011 E</t>
        </is>
      </c>
      <c r="F17" s="808" t="inlineStr">
        <is>
          <t>FY2012 E</t>
        </is>
      </c>
      <c r="G17" s="808" t="inlineStr">
        <is>
          <t>FY2013 E</t>
        </is>
      </c>
      <c r="H17" s="808" t="inlineStr">
        <is>
          <t>FY2014 E</t>
        </is>
      </c>
      <c r="I17" s="808" t="inlineStr">
        <is>
          <t>FY2015 E</t>
        </is>
      </c>
      <c r="J17" s="808" t="inlineStr">
        <is>
          <t>FY2016 E</t>
        </is>
      </c>
      <c r="K17" s="808" t="inlineStr">
        <is>
          <t>FY2017 E</t>
        </is>
      </c>
      <c r="L17" s="808" t="inlineStr">
        <is>
          <t>FY2018 E</t>
        </is>
      </c>
      <c r="M17" s="808" t="inlineStr">
        <is>
          <t>FY2019 E</t>
        </is>
      </c>
      <c r="N17" s="536" t="inlineStr">
        <is>
          <t>Terminal Year</t>
        </is>
      </c>
    </row>
    <row r="19" ht="15" customHeight="1" s="462">
      <c r="A19" s="809" t="inlineStr">
        <is>
          <t>Revenues</t>
        </is>
      </c>
      <c r="B19" s="506" t="n"/>
      <c r="C19" s="506" t="n"/>
      <c r="D19" s="810" t="n"/>
      <c r="E19" s="506" t="n"/>
      <c r="F19" s="506" t="n"/>
      <c r="G19" s="506" t="n"/>
      <c r="H19" s="506" t="n"/>
      <c r="I19" s="521" t="n"/>
      <c r="J19" s="521" t="n"/>
      <c r="K19" s="521" t="n"/>
      <c r="L19" s="521" t="n"/>
      <c r="M19" s="521" t="n"/>
      <c r="N19" s="521" t="n"/>
    </row>
    <row r="20" ht="15" customHeight="1" s="462">
      <c r="A20" s="809" t="inlineStr">
        <is>
          <t>EBITDA</t>
        </is>
      </c>
      <c r="B20" s="506" t="n"/>
      <c r="C20" s="506" t="n"/>
      <c r="D20" s="506" t="n"/>
      <c r="E20" s="506" t="n"/>
      <c r="F20" s="506" t="n"/>
      <c r="G20" s="506" t="n"/>
      <c r="H20" s="506" t="n"/>
      <c r="I20" s="506" t="n"/>
      <c r="J20" s="506" t="n"/>
      <c r="K20" s="506" t="n"/>
      <c r="L20" s="506" t="n"/>
      <c r="M20" s="506" t="n"/>
      <c r="N20" s="506" t="n"/>
    </row>
    <row r="21" ht="15" customHeight="1" s="462">
      <c r="A21" s="811" t="inlineStr">
        <is>
          <t>EBIT</t>
        </is>
      </c>
      <c r="B21" s="506" t="n"/>
      <c r="C21" s="506" t="n"/>
      <c r="D21" s="506" t="n"/>
      <c r="E21" s="506" t="n"/>
      <c r="F21" s="506" t="n"/>
      <c r="G21" s="506" t="n"/>
      <c r="H21" s="506" t="n"/>
      <c r="I21" s="506" t="n"/>
      <c r="J21" s="506" t="n"/>
      <c r="K21" s="506" t="n"/>
      <c r="L21" s="506" t="n"/>
      <c r="M21" s="506" t="n"/>
      <c r="N21" s="506" t="n"/>
    </row>
    <row r="22" ht="15" customHeight="1" s="462">
      <c r="A22" s="812" t="inlineStr">
        <is>
          <t>Tax Expense</t>
        </is>
      </c>
      <c r="B22" s="506" t="n"/>
      <c r="C22" s="506" t="n"/>
      <c r="D22" s="506" t="n"/>
      <c r="E22" s="506" t="n"/>
      <c r="F22" s="506" t="n"/>
      <c r="G22" s="506" t="n"/>
      <c r="H22" s="506" t="n"/>
      <c r="I22" s="494" t="n"/>
      <c r="J22" s="494" t="n"/>
      <c r="K22" s="494" t="n"/>
      <c r="L22" s="494" t="n"/>
      <c r="M22" s="494" t="n"/>
      <c r="N22" s="494" t="n"/>
    </row>
    <row r="23" ht="15" customHeight="1" s="462">
      <c r="A23" s="791" t="inlineStr">
        <is>
          <t>Net Operating Profit After Tax</t>
        </is>
      </c>
      <c r="B23" s="506" t="n"/>
      <c r="C23" s="506" t="n"/>
      <c r="D23" s="506" t="n"/>
      <c r="E23" s="506" t="n"/>
      <c r="F23" s="506" t="n"/>
      <c r="G23" s="506" t="n"/>
      <c r="H23" s="506" t="n"/>
      <c r="I23" s="506" t="n"/>
      <c r="J23" s="506" t="n"/>
      <c r="K23" s="506" t="n"/>
      <c r="L23" s="506" t="n"/>
      <c r="M23" s="506" t="n"/>
      <c r="N23" s="506" t="n"/>
    </row>
    <row r="24" ht="15" customHeight="1" s="462">
      <c r="A24" s="809" t="inlineStr">
        <is>
          <t>Depreciation &amp; Amortisation</t>
        </is>
      </c>
      <c r="B24" s="506" t="n"/>
      <c r="C24" s="506" t="n"/>
      <c r="D24" s="506" t="n"/>
      <c r="E24" s="506" t="n"/>
      <c r="F24" s="506" t="n"/>
      <c r="G24" s="506" t="n"/>
      <c r="H24" s="506" t="n"/>
      <c r="I24" s="506" t="n"/>
      <c r="J24" s="506" t="n"/>
      <c r="K24" s="506" t="n"/>
      <c r="L24" s="506" t="n"/>
      <c r="M24" s="506" t="n"/>
      <c r="N24" s="506" t="n"/>
    </row>
    <row r="25" ht="15" customHeight="1" s="462">
      <c r="A25" s="812" t="inlineStr">
        <is>
          <t>Working Capital Change</t>
        </is>
      </c>
      <c r="B25" s="506" t="n"/>
      <c r="C25" s="506" t="n"/>
      <c r="D25" s="506" t="n"/>
      <c r="E25" s="506" t="n"/>
      <c r="F25" s="506" t="n"/>
      <c r="G25" s="506" t="n"/>
      <c r="H25" s="506" t="n"/>
      <c r="I25" s="581" t="n"/>
      <c r="J25" s="581" t="n"/>
      <c r="K25" s="581" t="n"/>
      <c r="L25" s="581" t="n"/>
      <c r="M25" s="581" t="n"/>
      <c r="N25" s="581" t="n"/>
    </row>
    <row r="26" ht="15" customHeight="1" s="462">
      <c r="A26" s="791" t="inlineStr">
        <is>
          <t>Operating Cash Flow</t>
        </is>
      </c>
      <c r="B26" s="506" t="n"/>
      <c r="C26" s="506" t="n"/>
      <c r="D26" s="506" t="n"/>
      <c r="E26" s="506" t="n"/>
      <c r="F26" s="506" t="n"/>
      <c r="G26" s="506" t="n"/>
      <c r="H26" s="506" t="n"/>
      <c r="I26" s="506" t="n"/>
      <c r="J26" s="506" t="n"/>
      <c r="K26" s="506" t="n"/>
      <c r="L26" s="506" t="n"/>
      <c r="M26" s="506" t="n"/>
      <c r="N26" s="506" t="n"/>
    </row>
    <row r="27" ht="15" customHeight="1" s="462">
      <c r="A27" s="812" t="inlineStr">
        <is>
          <t>Capex</t>
        </is>
      </c>
      <c r="B27" s="506" t="n"/>
      <c r="C27" s="506" t="n"/>
      <c r="D27" s="506" t="n"/>
      <c r="E27" s="506" t="n"/>
      <c r="F27" s="506" t="n"/>
      <c r="G27" s="506" t="n"/>
      <c r="H27" s="506" t="n"/>
      <c r="I27" s="506" t="n"/>
      <c r="J27" s="506" t="n"/>
      <c r="K27" s="506" t="n"/>
      <c r="L27" s="506" t="n"/>
      <c r="M27" s="506" t="n"/>
      <c r="N27" s="506" t="n"/>
    </row>
    <row r="28" ht="15" customHeight="1" s="462">
      <c r="A28" s="813" t="inlineStr">
        <is>
          <t>FCF</t>
        </is>
      </c>
      <c r="B28" s="506" t="n"/>
      <c r="C28" s="506" t="n"/>
      <c r="D28" s="506" t="n"/>
      <c r="E28" s="506" t="n"/>
      <c r="F28" s="506" t="n"/>
      <c r="G28" s="506" t="n"/>
      <c r="H28" s="506" t="n"/>
      <c r="I28" s="506" t="n"/>
      <c r="J28" s="506" t="n"/>
      <c r="K28" s="506" t="n"/>
      <c r="L28" s="506" t="n"/>
      <c r="M28" s="506" t="n"/>
      <c r="N28" s="506" t="n"/>
    </row>
    <row r="29" ht="15" customHeight="1" s="462">
      <c r="A29" s="461" t="n"/>
    </row>
    <row r="30" ht="15" customHeight="1" s="462">
      <c r="A30" s="791" t="inlineStr">
        <is>
          <t>Diluted Shares</t>
        </is>
      </c>
      <c r="B30" s="521" t="n"/>
      <c r="C30" s="521" t="n"/>
      <c r="D30" s="521" t="n"/>
      <c r="E30" s="521" t="n"/>
      <c r="F30" s="521" t="n"/>
      <c r="G30" s="521" t="n"/>
      <c r="H30" s="521" t="n"/>
      <c r="I30" s="587" t="n"/>
      <c r="J30" s="587" t="n"/>
      <c r="K30" s="587" t="n"/>
      <c r="L30" s="587" t="n"/>
      <c r="M30" s="587" t="n"/>
    </row>
    <row r="31" ht="15" customHeight="1" s="462">
      <c r="A31" s="791" t="n"/>
    </row>
    <row r="32" ht="15" customHeight="1" s="462">
      <c r="A32" s="791" t="inlineStr">
        <is>
          <t>Projection Year</t>
        </is>
      </c>
      <c r="C32" s="468" t="n"/>
      <c r="D32" s="468" t="n">
        <v>1</v>
      </c>
      <c r="E32" s="468" t="n">
        <v>2</v>
      </c>
      <c r="F32" s="468" t="n">
        <v>3</v>
      </c>
      <c r="G32" s="468" t="n">
        <v>4</v>
      </c>
      <c r="H32" s="468" t="n">
        <v>5</v>
      </c>
      <c r="I32" s="468" t="n">
        <v>6</v>
      </c>
      <c r="J32" s="468" t="n">
        <v>7</v>
      </c>
      <c r="K32" s="468" t="n">
        <v>8</v>
      </c>
      <c r="L32" s="468" t="n">
        <v>9</v>
      </c>
      <c r="M32" s="468" t="n">
        <v>10</v>
      </c>
    </row>
    <row r="33" ht="15" customHeight="1" s="462">
      <c r="A33" s="814" t="inlineStr">
        <is>
          <t>Discount Factor</t>
        </is>
      </c>
      <c r="C33" s="815" t="n"/>
      <c r="D33" s="815" t="n"/>
      <c r="E33" s="815" t="n"/>
      <c r="F33" s="815" t="n"/>
      <c r="G33" s="815" t="n"/>
      <c r="H33" s="815" t="n"/>
      <c r="I33" s="815" t="n"/>
      <c r="J33" s="815" t="n"/>
      <c r="K33" s="815" t="n"/>
      <c r="L33" s="815" t="n"/>
      <c r="M33" s="815" t="n"/>
    </row>
    <row r="34" ht="15" customHeight="1" s="462">
      <c r="A34" s="813" t="inlineStr">
        <is>
          <t>Present Value of FCF</t>
        </is>
      </c>
      <c r="C34" s="506" t="n"/>
      <c r="D34" s="816" t="n"/>
      <c r="E34" s="506" t="n"/>
      <c r="F34" s="506" t="n"/>
      <c r="G34" s="506" t="n"/>
      <c r="H34" s="506" t="n"/>
      <c r="I34" s="506" t="n"/>
      <c r="J34" s="506" t="n"/>
      <c r="K34" s="506" t="n"/>
      <c r="L34" s="506" t="n"/>
      <c r="M34" s="506" t="n"/>
    </row>
    <row r="36" ht="15" customHeight="1" s="462">
      <c r="A36" s="618" t="inlineStr">
        <is>
          <t>Y/Y Growth Analysis</t>
        </is>
      </c>
    </row>
    <row r="37" ht="15" customHeight="1" s="462">
      <c r="A37" s="809" t="inlineStr">
        <is>
          <t>Revenues</t>
        </is>
      </c>
      <c r="C37" s="817" t="n"/>
      <c r="D37" s="817" t="n"/>
      <c r="E37" s="817" t="n"/>
      <c r="F37" s="817" t="n"/>
      <c r="G37" s="817" t="n"/>
      <c r="H37" s="817" t="n"/>
      <c r="I37" s="818" t="n"/>
      <c r="J37" s="818" t="n"/>
      <c r="K37" s="818" t="n"/>
      <c r="L37" s="818" t="n"/>
      <c r="M37" s="818" t="n">
        <v>0.05</v>
      </c>
      <c r="N37" s="818" t="n"/>
    </row>
    <row r="38" ht="15" customHeight="1" s="462">
      <c r="A38" s="809" t="inlineStr">
        <is>
          <t>EBITDA</t>
        </is>
      </c>
      <c r="C38" s="817" t="n"/>
      <c r="D38" s="817" t="n"/>
      <c r="E38" s="817" t="n"/>
      <c r="F38" s="817" t="n"/>
      <c r="G38" s="817" t="n"/>
      <c r="H38" s="817" t="n"/>
      <c r="I38" s="817" t="n"/>
      <c r="J38" s="817" t="n"/>
      <c r="K38" s="817" t="n"/>
      <c r="L38" s="817" t="n"/>
      <c r="M38" s="817" t="n"/>
      <c r="N38" s="817" t="n"/>
    </row>
    <row r="39" ht="15" customHeight="1" s="462">
      <c r="A39" s="809" t="inlineStr">
        <is>
          <t>EBIT</t>
        </is>
      </c>
      <c r="C39" s="817" t="n"/>
      <c r="D39" s="817" t="n"/>
      <c r="E39" s="817" t="n"/>
      <c r="F39" s="817" t="n"/>
      <c r="G39" s="817" t="n"/>
      <c r="H39" s="817" t="n"/>
      <c r="I39" s="817" t="n"/>
      <c r="J39" s="817" t="n"/>
      <c r="K39" s="817" t="n"/>
      <c r="L39" s="817" t="n"/>
      <c r="M39" s="817" t="n"/>
      <c r="N39" s="817" t="n"/>
    </row>
    <row r="40" ht="15" customHeight="1" s="462">
      <c r="A40" s="809" t="inlineStr">
        <is>
          <t>Depreciation &amp; Amortisation</t>
        </is>
      </c>
      <c r="C40" s="817" t="n"/>
      <c r="D40" s="817" t="n"/>
      <c r="E40" s="817" t="n"/>
      <c r="F40" s="817" t="n"/>
      <c r="G40" s="817" t="n"/>
      <c r="H40" s="817" t="n"/>
      <c r="I40" s="817" t="n"/>
      <c r="J40" s="817" t="n"/>
      <c r="K40" s="817" t="n"/>
      <c r="L40" s="817" t="n"/>
      <c r="M40" s="817" t="n"/>
      <c r="N40" s="817" t="n"/>
    </row>
    <row r="42" ht="15" customHeight="1" s="462">
      <c r="A42" s="618" t="inlineStr">
        <is>
          <t>Margin Analysis (As % of Revenues)</t>
        </is>
      </c>
    </row>
    <row r="43" ht="15" customHeight="1" s="462">
      <c r="A43" s="811" t="inlineStr">
        <is>
          <t>EBITDA Margin</t>
        </is>
      </c>
      <c r="B43" s="817" t="n"/>
      <c r="C43" s="817" t="n"/>
      <c r="D43" s="817" t="n"/>
      <c r="E43" s="817" t="n"/>
      <c r="F43" s="817" t="n"/>
      <c r="G43" s="817" t="n"/>
      <c r="H43" s="817" t="n"/>
    </row>
    <row r="44" ht="15" customHeight="1" s="462">
      <c r="A44" s="809" t="inlineStr">
        <is>
          <t>EBIT Margin</t>
        </is>
      </c>
      <c r="B44" s="817" t="n"/>
      <c r="C44" s="817" t="n"/>
      <c r="D44" s="817" t="n"/>
      <c r="E44" s="817" t="n"/>
      <c r="F44" s="817" t="n"/>
      <c r="G44" s="817" t="n"/>
      <c r="H44" s="817" t="n"/>
      <c r="I44" s="818" t="n"/>
      <c r="J44" s="818" t="n"/>
      <c r="K44" s="818" t="n"/>
      <c r="L44" s="818" t="n"/>
      <c r="M44" s="818" t="n"/>
      <c r="N44" s="818" t="n"/>
    </row>
    <row r="45" ht="15" customHeight="1" s="462">
      <c r="A45" s="809" t="inlineStr">
        <is>
          <t>Depreciation &amp; Amortisation</t>
        </is>
      </c>
      <c r="B45" s="817" t="n"/>
      <c r="C45" s="817" t="n"/>
      <c r="D45" s="817" t="n"/>
      <c r="E45" s="817" t="n"/>
      <c r="F45" s="817" t="n"/>
      <c r="G45" s="817" t="n"/>
      <c r="H45" s="817" t="n"/>
      <c r="I45" s="818" t="n"/>
      <c r="J45" s="818" t="n"/>
      <c r="K45" s="818" t="n"/>
      <c r="L45" s="818" t="n"/>
      <c r="M45" s="818" t="n"/>
      <c r="N45" s="818" t="n"/>
    </row>
    <row r="46" ht="15" customHeight="1" s="462">
      <c r="A46" s="811" t="inlineStr">
        <is>
          <t>Capex</t>
        </is>
      </c>
      <c r="B46" s="817" t="n"/>
      <c r="C46" s="817" t="n"/>
      <c r="D46" s="817" t="n"/>
      <c r="E46" s="817" t="n"/>
      <c r="F46" s="817" t="n"/>
      <c r="G46" s="817" t="n"/>
      <c r="H46" s="817" t="n"/>
      <c r="I46" s="818" t="n"/>
      <c r="J46" s="818" t="n"/>
      <c r="K46" s="818" t="n"/>
      <c r="L46" s="818" t="n"/>
      <c r="M46" s="818" t="n"/>
      <c r="N46" s="818" t="n"/>
    </row>
    <row r="47" ht="15" customHeight="1" s="462">
      <c r="A47" s="461" t="n"/>
      <c r="B47" s="817" t="n"/>
      <c r="C47" s="817" t="n"/>
      <c r="D47" s="817" t="n"/>
      <c r="E47" s="817" t="n"/>
      <c r="F47" s="817" t="n"/>
      <c r="G47" s="817" t="n"/>
      <c r="H47" s="817" t="n"/>
      <c r="I47" s="819" t="n"/>
      <c r="J47" s="819" t="n"/>
      <c r="K47" s="819" t="n"/>
      <c r="L47" s="819" t="n"/>
      <c r="M47" s="819" t="n"/>
      <c r="N47" s="819" t="n"/>
    </row>
    <row r="48" ht="15" customHeight="1" s="462">
      <c r="A48" s="820" t="inlineStr">
        <is>
          <t>Tax Rate (Tax Expense/EBIT)</t>
        </is>
      </c>
      <c r="B48" s="817" t="n"/>
      <c r="C48" s="817" t="n"/>
      <c r="D48" s="817" t="n"/>
      <c r="E48" s="817" t="n"/>
      <c r="F48" s="817" t="n"/>
      <c r="G48" s="817" t="n"/>
      <c r="H48" s="817" t="n"/>
      <c r="I48" s="818" t="n"/>
      <c r="J48" s="818" t="n"/>
      <c r="K48" s="818" t="n"/>
      <c r="L48" s="818" t="n"/>
      <c r="M48" s="818" t="n"/>
      <c r="N48" s="818" t="n"/>
    </row>
    <row r="49" ht="15.75" customHeight="1" s="462">
      <c r="A49" s="789" t="n"/>
      <c r="B49" s="789" t="n"/>
      <c r="C49" s="789" t="n"/>
      <c r="D49" s="789" t="n"/>
      <c r="E49" s="789" t="n"/>
      <c r="F49" s="789" t="n"/>
      <c r="G49" s="789" t="n"/>
      <c r="H49" s="789" t="n"/>
      <c r="I49" s="789" t="n"/>
      <c r="J49" s="789" t="n"/>
      <c r="K49" s="789" t="n"/>
      <c r="L49" s="789" t="n"/>
      <c r="M49" s="789" t="n"/>
      <c r="N49" s="789" t="n"/>
    </row>
    <row r="51" ht="15" customHeight="1" s="462">
      <c r="A51" s="491" t="inlineStr">
        <is>
          <t>Terminal Value</t>
        </is>
      </c>
      <c r="D51" s="491" t="inlineStr">
        <is>
          <t>Calculated Equity Value</t>
        </is>
      </c>
      <c r="G51" s="491" t="inlineStr">
        <is>
          <t>Intrinsic Value</t>
        </is>
      </c>
    </row>
    <row r="52" ht="15" customHeight="1" s="462">
      <c r="A52" s="791" t="inlineStr">
        <is>
          <t>Sum of PV of FCF for explicit forecast</t>
        </is>
      </c>
      <c r="B52" s="821" t="n"/>
      <c r="D52" s="791" t="inlineStr">
        <is>
          <t>Enterprise Value</t>
        </is>
      </c>
      <c r="E52" s="821" t="n"/>
      <c r="G52" s="791" t="inlineStr">
        <is>
          <t>Equity Value</t>
        </is>
      </c>
      <c r="H52" s="821" t="n"/>
    </row>
    <row r="53" ht="15" customHeight="1" s="462">
      <c r="A53" s="791" t="inlineStr">
        <is>
          <t>WACC</t>
        </is>
      </c>
      <c r="B53" s="822" t="n"/>
      <c r="D53" s="791" t="inlineStr">
        <is>
          <t>-   Debt</t>
        </is>
      </c>
      <c r="E53" s="821" t="n"/>
      <c r="G53" s="791" t="inlineStr">
        <is>
          <t>Diluted Shares</t>
        </is>
      </c>
      <c r="H53" s="506" t="n"/>
    </row>
    <row r="54" ht="15" customHeight="1" s="462">
      <c r="A54" s="791" t="inlineStr">
        <is>
          <t>Long term growth in EBIT</t>
        </is>
      </c>
      <c r="B54" s="822" t="n"/>
      <c r="D54" s="791" t="inlineStr">
        <is>
          <t>+  Cash</t>
        </is>
      </c>
      <c r="E54" s="821" t="n"/>
      <c r="G54" s="791" t="n"/>
    </row>
    <row r="55" ht="15" customHeight="1" s="462">
      <c r="A55" s="791" t="inlineStr">
        <is>
          <t>Present Value of terminal value</t>
        </is>
      </c>
      <c r="B55" s="753" t="n"/>
      <c r="D55" s="791" t="inlineStr">
        <is>
          <t>Net Debt</t>
        </is>
      </c>
      <c r="E55" s="821" t="n"/>
      <c r="G55" s="791" t="inlineStr">
        <is>
          <t>Intrinsic Value    Rs.</t>
        </is>
      </c>
      <c r="H55" s="823" t="n"/>
    </row>
    <row r="56" ht="15" customHeight="1" s="462">
      <c r="A56" s="791" t="inlineStr">
        <is>
          <t>Terminal Value as % of Total Value</t>
        </is>
      </c>
      <c r="B56" s="529" t="n"/>
      <c r="D56" s="791" t="inlineStr">
        <is>
          <t>Equity Value</t>
        </is>
      </c>
      <c r="E56" s="821" t="n"/>
    </row>
    <row r="57" ht="15.75" customHeight="1" s="462">
      <c r="A57" s="789" t="n"/>
      <c r="B57" s="789" t="n"/>
      <c r="C57" s="789" t="n"/>
      <c r="D57" s="789" t="n"/>
      <c r="E57" s="789" t="n"/>
      <c r="F57" s="789" t="n"/>
      <c r="G57" s="789" t="n"/>
      <c r="H57" s="789" t="n"/>
      <c r="I57" s="789" t="n"/>
      <c r="J57" s="789" t="n"/>
      <c r="K57" s="789" t="n"/>
      <c r="L57" s="789" t="n"/>
      <c r="M57" s="789" t="n"/>
      <c r="N57" s="789" t="n"/>
    </row>
    <row r="59" ht="15.75" customHeight="1" s="462">
      <c r="A59" s="491" t="inlineStr">
        <is>
          <t>Sensitivity - Varying Terminal Growth Rate</t>
        </is>
      </c>
      <c r="B59" s="824" t="n"/>
      <c r="C59" s="824" t="n"/>
      <c r="D59" s="824" t="n"/>
      <c r="E59" s="824" t="n"/>
      <c r="F59" s="824" t="n"/>
      <c r="G59" s="824" t="n"/>
      <c r="H59" s="824" t="n"/>
      <c r="I59" s="824" t="n"/>
      <c r="J59" s="824" t="n"/>
      <c r="K59" s="824" t="n"/>
      <c r="L59" s="824" t="n"/>
      <c r="M59" s="824" t="n"/>
      <c r="N59" s="824" t="n"/>
    </row>
    <row r="61" ht="15" customHeight="1" s="462">
      <c r="A61" s="825" t="n"/>
      <c r="B61" s="826" t="n"/>
      <c r="C61" s="825" t="n"/>
      <c r="D61" s="804" t="inlineStr">
        <is>
          <t>PV of Terminal Value</t>
        </is>
      </c>
      <c r="G61" s="825" t="n"/>
      <c r="H61" s="804" t="inlineStr">
        <is>
          <t>Intrinsic Value</t>
        </is>
      </c>
      <c r="K61" s="827" t="n"/>
    </row>
    <row r="62" ht="15" customHeight="1" s="462">
      <c r="A62" s="828" t="inlineStr">
        <is>
          <t>WACC</t>
        </is>
      </c>
      <c r="B62" s="829" t="inlineStr">
        <is>
          <t>PV of FCF</t>
        </is>
      </c>
      <c r="C62" s="830" t="n"/>
      <c r="D62" s="831" t="n">
        <v>0.03</v>
      </c>
      <c r="E62" s="831" t="n">
        <v>0.041</v>
      </c>
      <c r="F62" s="831" t="n">
        <v>0.05</v>
      </c>
      <c r="G62" s="832" t="n"/>
      <c r="H62" s="831" t="n">
        <v>0.03</v>
      </c>
      <c r="I62" s="831" t="n">
        <v>0.041</v>
      </c>
      <c r="J62" s="831" t="n">
        <v>0.05</v>
      </c>
      <c r="K62" s="833" t="n"/>
    </row>
    <row r="63" ht="15" customHeight="1" s="462">
      <c r="A63" s="834" t="n">
        <v>0.1</v>
      </c>
      <c r="B63" s="835" t="n"/>
      <c r="C63" s="836" t="n">
        <v>0.1</v>
      </c>
      <c r="D63" s="837" t="n"/>
      <c r="E63" s="837" t="n"/>
      <c r="F63" s="837" t="n"/>
      <c r="G63" s="838" t="n"/>
      <c r="H63" s="839" t="n"/>
      <c r="I63" s="839" t="n"/>
      <c r="J63" s="839" t="n"/>
    </row>
    <row r="64" ht="15" customHeight="1" s="462">
      <c r="A64" s="834" t="n">
        <v>0.11</v>
      </c>
      <c r="B64" s="835" t="n"/>
      <c r="C64" s="836" t="n">
        <v>0.11</v>
      </c>
      <c r="D64" s="837" t="n"/>
      <c r="E64" s="837" t="n"/>
      <c r="F64" s="837" t="n"/>
      <c r="G64" s="838" t="n"/>
      <c r="H64" s="839" t="n"/>
      <c r="I64" s="839" t="n"/>
      <c r="J64" s="839" t="n"/>
    </row>
    <row r="65" ht="15" customHeight="1" s="462">
      <c r="A65" s="834" t="n"/>
      <c r="B65" s="835" t="n"/>
      <c r="C65" s="836" t="n">
        <v>0.113955395597381</v>
      </c>
      <c r="D65" s="837" t="n"/>
      <c r="E65" s="837" t="n"/>
      <c r="F65" s="837" t="n"/>
      <c r="G65" s="838" t="n"/>
      <c r="H65" s="839" t="n"/>
      <c r="I65" s="840" t="n"/>
      <c r="J65" s="839" t="n"/>
    </row>
    <row r="66" ht="15" customHeight="1" s="462">
      <c r="A66" s="834" t="n">
        <v>0.12</v>
      </c>
      <c r="B66" s="835" t="n"/>
      <c r="C66" s="836" t="n">
        <v>0.12</v>
      </c>
      <c r="D66" s="837" t="n"/>
      <c r="E66" s="837" t="n"/>
      <c r="F66" s="837" t="n"/>
      <c r="G66" s="838" t="n"/>
      <c r="H66" s="839" t="n"/>
      <c r="I66" s="839" t="n"/>
      <c r="J66" s="839" t="n"/>
    </row>
    <row r="67" ht="15" customHeight="1" s="462">
      <c r="A67" s="834" t="n">
        <v>0.13</v>
      </c>
      <c r="B67" s="835" t="n"/>
      <c r="C67" s="836" t="n">
        <v>0.13</v>
      </c>
      <c r="D67" s="837" t="n"/>
      <c r="E67" s="837" t="n"/>
      <c r="F67" s="837" t="n"/>
      <c r="G67" s="838" t="n"/>
      <c r="H67" s="839" t="n"/>
      <c r="I67" s="839" t="n"/>
      <c r="J67" s="839" t="n"/>
    </row>
    <row r="69" ht="15.75" customHeight="1" s="462">
      <c r="A69" s="491" t="inlineStr">
        <is>
          <t>Sensitivity - EV/EBITDA Exit Multiple</t>
        </is>
      </c>
      <c r="B69" s="841" t="n"/>
      <c r="C69" s="841" t="n"/>
      <c r="D69" s="841" t="n"/>
      <c r="E69" s="841" t="n"/>
      <c r="F69" s="841" t="n"/>
      <c r="G69" s="841" t="n"/>
      <c r="H69" s="841" t="n"/>
      <c r="I69" s="841" t="n"/>
      <c r="J69" s="841" t="n"/>
    </row>
    <row r="71" ht="15" customHeight="1" s="462">
      <c r="A71" s="791" t="n"/>
      <c r="B71" s="842" t="n"/>
      <c r="D71" s="804" t="inlineStr">
        <is>
          <t>PV of Terminal Value (EV/EBITDA)</t>
        </is>
      </c>
      <c r="H71" s="804" t="inlineStr">
        <is>
          <t>Intrinsic Value</t>
        </is>
      </c>
    </row>
    <row r="72" ht="15" customHeight="1" s="462">
      <c r="A72" s="828" t="inlineStr">
        <is>
          <t>WACC</t>
        </is>
      </c>
      <c r="B72" s="843" t="inlineStr">
        <is>
          <t>PV of FCF</t>
        </is>
      </c>
      <c r="C72" s="832" t="n"/>
      <c r="D72" s="844" t="n">
        <v>4.5</v>
      </c>
      <c r="E72" s="844" t="n">
        <v>5</v>
      </c>
      <c r="F72" s="844" t="n">
        <v>5.5</v>
      </c>
      <c r="G72" s="832" t="n"/>
      <c r="H72" s="844" t="n"/>
      <c r="I72" s="844" t="n"/>
      <c r="J72" s="844" t="n"/>
    </row>
    <row r="73" ht="15" customHeight="1" s="462">
      <c r="A73" s="845" t="n">
        <v>0.1</v>
      </c>
      <c r="B73" s="846" t="n">
        <v>24512.506329693</v>
      </c>
      <c r="D73" s="753" t="n"/>
      <c r="E73" s="753" t="n"/>
      <c r="F73" s="753" t="n"/>
      <c r="H73" s="506" t="n"/>
      <c r="I73" s="506" t="n"/>
      <c r="J73" s="506" t="n"/>
    </row>
    <row r="74" ht="15" customHeight="1" s="462">
      <c r="A74" s="845" t="n">
        <v>0.11</v>
      </c>
      <c r="B74" s="846" t="n">
        <v>23102.6399105772</v>
      </c>
      <c r="D74" s="753" t="n"/>
      <c r="E74" s="753" t="n"/>
      <c r="F74" s="753" t="n"/>
      <c r="H74" s="506" t="n"/>
      <c r="I74" s="506" t="n"/>
      <c r="J74" s="506" t="n"/>
    </row>
    <row r="75" ht="15" customHeight="1" s="462">
      <c r="A75" s="845" t="n">
        <v>0.114145489024307</v>
      </c>
      <c r="B75" s="846" t="n">
        <v>21536.419591101</v>
      </c>
      <c r="D75" s="753" t="n"/>
      <c r="E75" s="753" t="n"/>
      <c r="F75" s="753" t="n"/>
      <c r="H75" s="506" t="n"/>
      <c r="I75" s="847" t="n"/>
      <c r="J75" s="506" t="n"/>
    </row>
    <row r="76" ht="15" customHeight="1" s="462">
      <c r="A76" s="848" t="n">
        <v>0.12</v>
      </c>
      <c r="B76" s="846" t="n">
        <v>20590.7165272346</v>
      </c>
      <c r="D76" s="753" t="n"/>
      <c r="E76" s="753" t="n"/>
      <c r="F76" s="753" t="n"/>
      <c r="H76" s="506" t="n"/>
      <c r="I76" s="506" t="n"/>
      <c r="J76" s="506" t="n"/>
    </row>
    <row r="77" ht="15" customHeight="1" s="462">
      <c r="A77" s="845" t="n">
        <v>0.13</v>
      </c>
      <c r="B77" s="846" t="n">
        <v>20590.7165272346</v>
      </c>
      <c r="D77" s="753" t="n"/>
      <c r="E77" s="753" t="n"/>
      <c r="F77" s="753" t="n"/>
      <c r="H77" s="506" t="n"/>
      <c r="I77" s="506" t="n"/>
      <c r="J77" s="506" t="n"/>
    </row>
    <row r="78" ht="15.75" customHeight="1" s="462">
      <c r="A78" s="789" t="n"/>
      <c r="B78" s="789" t="n"/>
      <c r="C78" s="789" t="n"/>
      <c r="D78" s="789" t="n"/>
      <c r="E78" s="789" t="n"/>
      <c r="F78" s="789" t="n"/>
      <c r="G78" s="789" t="n"/>
      <c r="H78" s="789" t="n"/>
      <c r="I78" s="789" t="n"/>
      <c r="J78" s="789" t="n"/>
      <c r="K78" s="789" t="n"/>
      <c r="L78" s="789" t="n"/>
      <c r="M78" s="789" t="n"/>
      <c r="N78" s="789" t="n"/>
    </row>
  </sheetData>
  <mergeCells count="7">
    <mergeCell ref="H71:J71"/>
    <mergeCell ref="C16:H16"/>
    <mergeCell ref="D71:F71"/>
    <mergeCell ref="I16:M16"/>
    <mergeCell ref="D61:F61"/>
    <mergeCell ref="D5:E5"/>
    <mergeCell ref="H61:J61"/>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en-US</dc:language>
  <dcterms:created xsi:type="dcterms:W3CDTF">2006-09-16T05:30:00Z</dcterms:created>
  <dcterms:modified xsi:type="dcterms:W3CDTF">2026-03-05T08:39:09Z</dcterms:modified>
  <cp:revision>0</cp:revision>
</cp:coreProperties>
</file>