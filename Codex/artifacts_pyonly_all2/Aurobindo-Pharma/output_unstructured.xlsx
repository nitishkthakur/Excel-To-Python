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 sheetId="4" state="visible" r:id="rId4"/>
    <sheet name="Profit &amp; Loss Consolidated" sheetId="5" state="visible" r:id="rId5"/>
    <sheet name="Balance Sheet" sheetId="6" state="visible" r:id="rId6"/>
    <sheet name="Cash Flow Statement" sheetId="7" state="visible" r:id="rId7"/>
    <sheet name="Geographic Revenue Model" sheetId="8" state="visible" r:id="rId8"/>
    <sheet name="Segment Revenue Model" sheetId="9" state="visible" r:id="rId9"/>
    <sheet name="Cost Model" sheetId="10" state="visible" r:id="rId10"/>
    <sheet name="Debt Schedule" sheetId="11" state="visible" r:id="rId11"/>
    <sheet name="Fixed Asset" sheetId="12" state="visible" r:id="rId12"/>
    <sheet name="DCF Valuation" sheetId="13" state="visible" r:id="rId13"/>
  </sheets>
  <definedNames/>
  <calcPr calcId="124519" fullCalcOnLoad="1" refMode="A1" iterate="0" iterateCount="100" iterateDelta="0.001"/>
</workbook>
</file>

<file path=xl/styles.xml><?xml version="1.0" encoding="utf-8"?>
<styleSheet xmlns="http://schemas.openxmlformats.org/spreadsheetml/2006/main">
  <numFmts count="14">
    <numFmt numFmtId="164" formatCode="0.00_);[RED]\(0.00\)"/>
    <numFmt numFmtId="165" formatCode="_(* #,##0.00_);_(* \(#,##0.00\);_(* \-??_);_(@_)"/>
    <numFmt numFmtId="166" formatCode="[$-409]d\-mmm"/>
    <numFmt numFmtId="167" formatCode="_(* #,##0.0_);_(* \(#,##0.0\);_(* \-??_);_(@_)"/>
    <numFmt numFmtId="168" formatCode="0.0"/>
    <numFmt numFmtId="169" formatCode="_(* #,##0.000_);_(* \(#,##0.000\);_(* \-??_);_(@_)"/>
    <numFmt numFmtId="170" formatCode="_(* #,##0.000000_);_(* \(#,##0.000000\);_(* \-??_);_(@_)"/>
    <numFmt numFmtId="171" formatCode="_(* #,##0_);_(* \(#,##0\);_(* \-??_);_(@_)"/>
    <numFmt numFmtId="172" formatCode="0.0%"/>
    <numFmt numFmtId="173" formatCode="0_);[RED]\(0\)"/>
    <numFmt numFmtId="174" formatCode="0.000%"/>
    <numFmt numFmtId="175" formatCode="[$-409]m/d/yyyy"/>
    <numFmt numFmtId="176" formatCode="[$-409]mmm\-yy"/>
    <numFmt numFmtId="177" formatCode="_(\$* #,##0.00_);_(\$* \(#,##0.00\);_(\$* \-??_);_(@_)"/>
  </numFmts>
  <fonts count="52">
    <font>
      <name val="Calibri"/>
      <family val="2"/>
      <color rgb="FF000000"/>
      <sz val="11"/>
    </font>
    <font>
      <name val="Arial"/>
      <family val="0"/>
      <sz val="10"/>
    </font>
    <font>
      <name val="Arial"/>
      <family val="0"/>
      <sz val="10"/>
    </font>
    <font>
      <name val="Arial"/>
      <family val="0"/>
      <sz val="10"/>
    </font>
    <font>
      <name val="Arial"/>
      <family val="2"/>
      <sz val="10"/>
    </font>
    <font>
      <name val="Arial"/>
      <family val="2"/>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Arial"/>
      <family val="2"/>
      <i val="1"/>
      <sz val="10"/>
    </font>
    <font>
      <name val="Calibri"/>
      <family val="2"/>
      <b val="1"/>
      <color rgb="FF000000"/>
      <sz val="14"/>
    </font>
    <font>
      <name val="Calibri"/>
      <family val="2"/>
      <b val="1"/>
      <color rgb="FF000000"/>
      <sz val="12"/>
    </font>
    <font>
      <name val="Calibri"/>
      <family val="2"/>
      <sz val="11"/>
    </font>
    <font>
      <name val="Calibri"/>
      <family val="2"/>
      <b val="1"/>
      <color rgb="FFFFFFFF"/>
      <sz val="11"/>
    </font>
    <font>
      <name val="Calibri"/>
      <family val="2"/>
      <b val="1"/>
      <color rgb="FF000000"/>
      <sz val="11"/>
    </font>
    <font>
      <name val="Calibri"/>
      <family val="2"/>
      <b val="1"/>
      <sz val="11"/>
    </font>
    <font>
      <name val="Calibri"/>
      <family val="2"/>
      <b val="1"/>
      <color rgb="FF0000FF"/>
      <sz val="11"/>
    </font>
    <font>
      <name val="Calibri"/>
      <family val="2"/>
      <color rgb="FF0000FF"/>
      <sz val="11"/>
    </font>
    <font>
      <name val="Calibri"/>
      <family val="2"/>
      <color rgb="FF000000"/>
      <sz val="10"/>
    </font>
    <font>
      <name val="Calibri"/>
      <family val="2"/>
      <color rgb="FFFFFFFF"/>
      <sz val="9"/>
    </font>
    <font>
      <name val="Calibri"/>
      <family val="2"/>
      <color rgb="FFFFFFFF"/>
      <sz val="10"/>
    </font>
    <font>
      <name val="Calibri"/>
      <family val="2"/>
      <i val="1"/>
      <sz val="11"/>
    </font>
    <font>
      <name val="Calibri"/>
      <family val="2"/>
      <i val="1"/>
      <color rgb="FF000000"/>
      <sz val="11"/>
    </font>
    <font>
      <name val="Calibri"/>
      <family val="2"/>
      <b val="1"/>
      <i val="1"/>
      <color rgb="FF000000"/>
      <sz val="11"/>
    </font>
    <font>
      <name val="Arial"/>
      <family val="2"/>
      <b val="1"/>
      <sz val="8"/>
    </font>
    <font>
      <name val="Arial"/>
      <family val="2"/>
      <b val="1"/>
      <color rgb="FF0000FF"/>
      <sz val="8"/>
    </font>
    <font>
      <name val="Arial"/>
      <family val="2"/>
      <b val="1"/>
      <color rgb="FFFF0000"/>
      <sz val="8"/>
    </font>
    <font>
      <name val="Calibri"/>
      <family val="2"/>
      <b val="1"/>
      <color rgb="FFFF0000"/>
      <sz val="11"/>
    </font>
    <font>
      <name val="Calibri"/>
      <family val="2"/>
      <color rgb="FFFF0000"/>
      <sz val="11"/>
    </font>
    <font>
      <name val="Tahoma"/>
      <family val="2"/>
      <b val="1"/>
      <color rgb="FF000000"/>
      <sz val="8"/>
    </font>
    <font>
      <name val="Tahoma"/>
      <family val="2"/>
      <color rgb="FF000000"/>
      <sz val="8"/>
    </font>
    <font>
      <name val="Calibri"/>
      <family val="2"/>
      <b val="1"/>
      <color rgb="FF000000"/>
      <sz val="11"/>
      <u val="single"/>
    </font>
    <font>
      <name val="Calibri"/>
      <family val="2"/>
      <color rgb="FF000000"/>
      <sz val="11"/>
      <u val="single"/>
    </font>
    <font>
      <name val="Calibri"/>
      <family val="2"/>
      <color rgb="FFFF0000"/>
      <sz val="11"/>
      <u val="single"/>
    </font>
    <font>
      <name val="Calibri"/>
      <family val="2"/>
      <b val="1"/>
      <sz val="11"/>
      <u val="single"/>
    </font>
    <font>
      <name val="Calibri"/>
      <family val="2"/>
      <color rgb="FFFFFFFF"/>
      <sz val="11"/>
    </font>
    <font>
      <name val="Calibri"/>
      <family val="2"/>
      <i val="1"/>
      <color rgb="FFFF0000"/>
      <sz val="11"/>
    </font>
    <font>
      <name val="Calibri"/>
      <family val="2"/>
      <b val="1"/>
      <i val="1"/>
      <sz val="11"/>
    </font>
    <font>
      <name val="Calibri"/>
      <family val="2"/>
      <i val="1"/>
      <color rgb="FF0000FF"/>
      <sz val="11"/>
    </font>
    <font>
      <name val="Calibri"/>
      <family val="2"/>
      <b val="1"/>
      <sz val="12"/>
    </font>
    <font>
      <name val="Calibri"/>
      <family val="2"/>
      <b val="1"/>
      <color rgb="FF993300"/>
      <sz val="11"/>
    </font>
    <font>
      <name val="Calibri"/>
      <family val="2"/>
      <sz val="8"/>
    </font>
    <font>
      <name val="Calibri"/>
      <family val="2"/>
      <color rgb="FF000000"/>
      <sz val="8"/>
    </font>
    <font>
      <name val="Calibri"/>
      <family val="2"/>
      <color rgb="FFFF6600"/>
      <sz val="11"/>
    </font>
    <font>
      <name val="Calibri"/>
      <family val="2"/>
      <b val="1"/>
      <sz val="8"/>
    </font>
    <font>
      <name val="Tahoma"/>
      <family val="2"/>
      <b val="1"/>
      <color rgb="FF000000"/>
      <sz val="9"/>
    </font>
    <font>
      <name val="Tahoma"/>
      <family val="2"/>
      <color rgb="FF000000"/>
      <sz val="9"/>
    </font>
  </fonts>
  <fills count="10">
    <fill>
      <patternFill/>
    </fill>
    <fill>
      <patternFill patternType="gray125"/>
    </fill>
    <fill>
      <patternFill patternType="solid">
        <fgColor rgb="FFFFCC00"/>
        <bgColor rgb="FFFFFF00"/>
      </patternFill>
    </fill>
    <fill>
      <patternFill patternType="solid">
        <fgColor rgb="FFFFFFFF"/>
        <bgColor rgb="FFFFFFCC"/>
      </patternFill>
    </fill>
    <fill>
      <patternFill patternType="solid">
        <fgColor rgb="FF333399"/>
        <bgColor rgb="FF003366"/>
      </patternFill>
    </fill>
    <fill>
      <patternFill patternType="solid">
        <fgColor rgb="FFCC99FF"/>
        <bgColor rgb="FF9999FF"/>
      </patternFill>
    </fill>
    <fill>
      <patternFill patternType="solid">
        <fgColor rgb="FFFFFF00"/>
        <bgColor rgb="FFFFFF00"/>
      </patternFill>
    </fill>
    <fill>
      <patternFill patternType="solid">
        <fgColor rgb="FFFFFF99"/>
        <bgColor rgb="FFFFFFCC"/>
      </patternFill>
    </fill>
    <fill>
      <patternFill patternType="solid">
        <fgColor rgb="FF0066CC"/>
        <bgColor rgb="FF008080"/>
      </patternFill>
    </fill>
    <fill>
      <patternFill patternType="solid">
        <fgColor rgb="FFCCCCFF"/>
        <bgColor rgb="FFC0C0C0"/>
      </patternFill>
    </fill>
  </fills>
  <borders count="15">
    <border>
      <left/>
      <right/>
      <top/>
      <bottom/>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right/>
      <top/>
      <bottom style="medium">
        <color rgb="FF0000FF"/>
      </bottom>
      <diagonal/>
    </border>
    <border>
      <left/>
      <right/>
      <top/>
      <bottom style="thin">
        <color rgb="FF0000FF"/>
      </bottom>
      <diagonal/>
    </border>
    <border>
      <left/>
      <right/>
      <top style="thin"/>
      <bottom style="double"/>
      <diagonal/>
    </border>
    <border>
      <left/>
      <right/>
      <top/>
      <bottom style="double"/>
      <diagonal/>
    </border>
    <border>
      <left/>
      <right/>
      <top style="medium">
        <color rgb="FF0000FF"/>
      </top>
      <bottom/>
      <diagonal/>
    </border>
    <border>
      <left/>
      <right/>
      <top/>
      <bottom style="thin"/>
      <diagonal/>
    </border>
    <border>
      <left/>
      <right/>
      <top style="medium">
        <color rgb="FF9999FF"/>
      </top>
      <bottom/>
      <diagonal/>
    </border>
    <border>
      <left/>
      <right/>
      <top/>
      <bottom style="thin">
        <color rgb="FF808080"/>
      </bottom>
      <diagonal/>
    </border>
    <border>
      <left/>
      <right/>
      <top/>
      <bottom style="medium">
        <color rgb="FF9999FF"/>
      </bottom>
      <diagonal/>
    </border>
    <border>
      <left style="thin">
        <color rgb="FF0000FF"/>
      </left>
      <right/>
      <top/>
      <bottom/>
      <diagonal/>
    </border>
    <border>
      <left style="thin">
        <color rgb="FF0000FF"/>
      </left>
      <right/>
      <top/>
      <bottom style="thin">
        <color rgb="FF0000FF"/>
      </bottom>
      <diagonal/>
    </border>
  </borders>
  <cellStyleXfs count="11">
    <xf numFmtId="0" fontId="0" fillId="0" borderId="0" applyAlignment="1">
      <alignment horizontal="general" vertical="bottom"/>
    </xf>
    <xf numFmtId="165" fontId="0" fillId="0" borderId="0"/>
    <xf numFmtId="41" fontId="3" fillId="0" borderId="0"/>
    <xf numFmtId="177" fontId="0" fillId="0" borderId="0"/>
    <xf numFmtId="42" fontId="3" fillId="0" borderId="0"/>
    <xf numFmtId="9" fontId="0" fillId="0" borderId="0"/>
    <xf numFmtId="0" fontId="9" fillId="0" borderId="0"/>
    <xf numFmtId="0" fontId="4" fillId="0" borderId="0" applyAlignment="1">
      <alignment horizontal="general" vertical="bottom"/>
    </xf>
    <xf numFmtId="0" fontId="4" fillId="0" borderId="0" applyAlignment="1">
      <alignment horizontal="general" vertical="bottom"/>
    </xf>
    <xf numFmtId="0" fontId="5" fillId="0" borderId="0" applyAlignment="1">
      <alignment horizontal="general" vertical="bottom"/>
    </xf>
    <xf numFmtId="9" fontId="0" fillId="0" borderId="0"/>
  </cellStyleXfs>
  <cellXfs count="84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0" fillId="0" borderId="0" applyAlignment="1" pivotButton="0" quotePrefix="0" xfId="0">
      <alignment horizontal="general" vertical="bottom"/>
    </xf>
    <xf numFmtId="0" fontId="4" fillId="3" borderId="1" applyAlignment="1" pivotButton="0" quotePrefix="0" xfId="22">
      <alignment horizontal="left" vertical="top" wrapText="1"/>
    </xf>
    <xf numFmtId="0" fontId="4" fillId="3" borderId="0" applyAlignment="1" pivotButton="0" quotePrefix="0" xfId="22">
      <alignment horizontal="general"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justify" vertical="bottom" wrapText="1"/>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0"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top"/>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0" fontId="0" fillId="0" borderId="0" applyAlignment="1" pivotButton="0" quotePrefix="0" xfId="0">
      <alignment horizontal="general" vertical="bottom"/>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9" fillId="0" borderId="0" applyAlignment="1" pivotButton="0" quotePrefix="0" xfId="0">
      <alignment horizontal="general"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0" fontId="27" fillId="0" borderId="0" applyAlignment="1" pivotButton="0" quotePrefix="0" xfId="0">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27"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0" fontId="0" fillId="0" borderId="0" applyAlignment="1" pivotButton="0" quotePrefix="0" xfId="0">
      <alignment horizontal="center"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0" fillId="0" borderId="0" applyAlignment="1" pivotButton="0" quotePrefix="0" xfId="0">
      <alignment horizontal="general" vertical="bottom"/>
    </xf>
    <xf numFmtId="0" fontId="17" fillId="5" borderId="0" applyAlignment="1" pivotButton="0" quotePrefix="0" xfId="0">
      <alignment horizontal="general" vertical="bottom"/>
    </xf>
    <xf numFmtId="9" fontId="0" fillId="5" borderId="0" applyAlignment="1" pivotButton="0" quotePrefix="0" xfId="19">
      <alignment horizontal="general" vertical="bottom"/>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0" fillId="0" borderId="0" applyAlignment="1" pivotButton="0" quotePrefix="0" xfId="0">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19" fillId="0" borderId="0" applyAlignment="1" pivotButton="0" quotePrefix="0" xfId="0">
      <alignment horizontal="general" vertical="bottom"/>
    </xf>
    <xf numFmtId="165" fontId="20" fillId="5" borderId="0" applyAlignment="1" pivotButton="0" quotePrefix="0" xfId="15">
      <alignment horizontal="general" vertical="bottom"/>
    </xf>
    <xf numFmtId="9" fontId="0" fillId="0" borderId="0" applyAlignment="1" pivotButton="0" quotePrefix="0" xfId="19">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0" fontId="0" fillId="0" borderId="0" applyAlignment="1" pivotButton="0" quotePrefix="0" xfId="0">
      <alignment horizontal="general" vertical="bottom"/>
    </xf>
    <xf numFmtId="165" fontId="22" fillId="0" borderId="0" applyAlignment="1" pivotButton="0" quotePrefix="0" xfId="15">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33" fillId="0" borderId="0" applyAlignment="1" pivotButton="0" quotePrefix="0" xfId="15">
      <alignment horizontal="general" vertical="bottom"/>
    </xf>
    <xf numFmtId="165" fontId="0" fillId="0" borderId="0" applyAlignment="1" pivotButton="0" quotePrefix="0" xfId="15">
      <alignment horizontal="center" vertical="bottom"/>
    </xf>
    <xf numFmtId="0" fontId="0" fillId="0" borderId="0" applyAlignment="1" pivotButton="0" quotePrefix="0" xfId="0">
      <alignment horizontal="general" vertical="bottom"/>
    </xf>
    <xf numFmtId="164" fontId="30" fillId="0" borderId="0" applyAlignment="1" pivotButton="0" quotePrefix="0" xfId="0">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0" fillId="0" borderId="0" applyAlignment="1" pivotButton="0" quotePrefix="0" xfId="15">
      <alignment horizontal="general" vertical="bottom"/>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7" fillId="0" borderId="0" applyAlignment="1" pivotButton="0" quotePrefix="0" xfId="15">
      <alignment horizontal="general" vertical="bottom"/>
    </xf>
    <xf numFmtId="165" fontId="19" fillId="0" borderId="0" applyAlignment="1" pivotButton="0" quotePrefix="0" xfId="15">
      <alignment horizontal="general" vertical="bottom"/>
    </xf>
    <xf numFmtId="165" fontId="38"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165" fontId="22" fillId="0" borderId="0" applyAlignment="1" pivotButton="0" quotePrefix="0" xfId="0">
      <alignment horizontal="general" vertical="bottom"/>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164" fontId="21" fillId="5" borderId="0" applyAlignment="1" pivotButton="0" quotePrefix="0" xfId="0">
      <alignment horizontal="center" vertical="center"/>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165" fontId="36" fillId="0" borderId="0" applyAlignment="1" pivotButton="0" quotePrefix="0" xfId="15">
      <alignment horizontal="general" vertical="bottom"/>
    </xf>
    <xf numFmtId="0" fontId="36" fillId="0" borderId="0" applyAlignment="1" pivotButton="0" quotePrefix="0" xfId="0">
      <alignment horizontal="general" vertical="bottom"/>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0" fontId="20" fillId="0" borderId="0" applyAlignment="1" pivotButton="0" quotePrefix="0" xfId="0">
      <alignment horizontal="general" vertical="bottom"/>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0" fontId="15" fillId="0" borderId="0" applyAlignment="1" pivotButton="0" quotePrefix="0" xfId="0">
      <alignment horizontal="general" vertical="bottom"/>
    </xf>
    <xf numFmtId="0" fontId="19" fillId="0" borderId="0" applyAlignment="1" pivotButton="0" quotePrefix="0" xfId="0">
      <alignment horizontal="general" vertical="center"/>
    </xf>
    <xf numFmtId="164" fontId="20" fillId="0" borderId="0" applyAlignment="1" pivotButton="0" quotePrefix="0" xfId="0">
      <alignment horizontal="center" vertical="center"/>
    </xf>
    <xf numFmtId="164" fontId="19" fillId="0" borderId="0" applyAlignment="1" pivotButton="0" quotePrefix="0" xfId="0">
      <alignment horizontal="center" vertical="center" wrapText="1"/>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0" fontId="0" fillId="0" borderId="0" applyAlignment="1" pivotButton="0" quotePrefix="0" xfId="0">
      <alignment horizontal="center"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5" fontId="0" fillId="0" borderId="0" applyAlignment="1" pivotButton="0" quotePrefix="0" xfId="0">
      <alignment horizontal="general" vertical="bottom"/>
    </xf>
    <xf numFmtId="164" fontId="22" fillId="0" borderId="0" applyAlignment="1" pivotButton="0" quotePrefix="0" xfId="0">
      <alignment horizontal="center" vertical="center" wrapText="1"/>
    </xf>
    <xf numFmtId="9" fontId="17" fillId="5" borderId="0" applyAlignment="1" pivotButton="0" quotePrefix="0" xfId="19">
      <alignment horizontal="center" vertical="center"/>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0" fontId="0" fillId="5" borderId="0" applyAlignment="1" pivotButton="0" quotePrefix="0" xfId="0">
      <alignment horizontal="general" vertical="bottom"/>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19">
      <alignment horizontal="general" vertical="bottom"/>
    </xf>
    <xf numFmtId="0" fontId="32" fillId="0" borderId="0" applyAlignment="1" pivotButton="0" quotePrefix="0" xfId="0">
      <alignment horizontal="general" vertical="bottom"/>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64" fontId="5" fillId="0" borderId="0" applyAlignment="1" pivotButton="0" quotePrefix="0" xfId="0">
      <alignment horizontal="general" vertical="bottom"/>
    </xf>
    <xf numFmtId="173" fontId="0" fillId="0" borderId="0" applyAlignment="1" pivotButton="0" quotePrefix="0" xfId="15">
      <alignment horizontal="general" vertical="bottom"/>
    </xf>
    <xf numFmtId="0" fontId="20" fillId="0" borderId="0" applyAlignment="1" pivotButton="0" quotePrefix="0" xfId="0">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0" fontId="17" fillId="0" borderId="0" applyAlignment="1" pivotButton="0" quotePrefix="0" xfId="0">
      <alignment horizontal="left" vertical="bottom" indent="5"/>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0" fillId="0" borderId="0" applyAlignment="1" pivotButton="0" quotePrefix="0" xfId="0">
      <alignment horizontal="left" vertical="bottom" indent="1"/>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0" fontId="0" fillId="0" borderId="0" applyAlignment="1" pivotButton="0" quotePrefix="0" xfId="0">
      <alignment horizontal="general" vertical="bottom"/>
    </xf>
    <xf numFmtId="0" fontId="17" fillId="0" borderId="0" applyAlignment="1" pivotButton="0" quotePrefix="0" xfId="0">
      <alignment horizontal="general" vertical="bottom"/>
    </xf>
    <xf numFmtId="165" fontId="0" fillId="6" borderId="0" applyAlignment="1" pivotButton="0" quotePrefix="0" xfId="0">
      <alignment horizontal="general" vertical="bottom"/>
    </xf>
    <xf numFmtId="165" fontId="22" fillId="0" borderId="0" applyAlignment="1" pivotButton="0" quotePrefix="0" xfId="15">
      <alignment horizontal="center"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0" fontId="20" fillId="0" borderId="0" applyAlignment="1" pivotButton="0" quotePrefix="0" xfId="0">
      <alignment horizontal="general"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17" fillId="0" borderId="0" applyAlignment="1" pivotButton="0" quotePrefix="0" xfId="0">
      <alignment horizontal="general" vertical="bottom"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0" fontId="17" fillId="0" borderId="0" applyAlignment="1" pivotButton="0" quotePrefix="0" xfId="0">
      <alignment horizontal="general" vertical="bottom"/>
    </xf>
    <xf numFmtId="165" fontId="17" fillId="0" borderId="0" applyAlignment="1" pivotButton="0" quotePrefix="0" xfId="0">
      <alignment horizontal="general" vertical="bottom"/>
    </xf>
    <xf numFmtId="0" fontId="17" fillId="0" borderId="0" applyAlignment="1" pivotButton="0" quotePrefix="0" xfId="0">
      <alignment horizontal="center" vertical="bottom"/>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3" fontId="0" fillId="0" borderId="0" applyAlignment="1" pivotButton="0" quotePrefix="0" xfId="0">
      <alignment horizontal="general" vertical="bottom"/>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2" fontId="0" fillId="0" borderId="0" applyAlignment="1" pivotButton="0" quotePrefix="0" xfId="0">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9"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0" fontId="17" fillId="0" borderId="0" applyAlignment="1" pivotButton="0" quotePrefix="0" xfId="0">
      <alignment horizontal="general"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0" applyAlignment="1" pivotButton="0" quotePrefix="0" xfId="15">
      <alignment horizontal="center"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0" fontId="17" fillId="0" borderId="0" applyAlignment="1" pivotButton="0" quotePrefix="0" xfId="21">
      <alignment horizontal="general"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0" fontId="17" fillId="0" borderId="0" applyAlignment="1" pivotButton="0" quotePrefix="0" xfId="21">
      <alignment horizontal="general"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17" fillId="0" borderId="0" applyAlignment="1" pivotButton="0" quotePrefix="0" xfId="21">
      <alignment horizontal="left" vertical="bottom" indent="1"/>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xf numFmtId="0" fontId="0" fillId="0" borderId="0" applyAlignment="1" pivotButton="0" quotePrefix="0" xfId="0">
      <alignment horizontal="general" vertical="bottom"/>
    </xf>
    <xf numFmtId="0" fontId="0" fillId="0" borderId="0" pivotButton="0" quotePrefix="0" xfId="0"/>
    <xf numFmtId="0" fontId="6" fillId="0" borderId="0" applyAlignment="1" pivotButton="0" quotePrefix="0" xfId="0">
      <alignment horizontal="center" vertical="bottom"/>
    </xf>
    <xf numFmtId="0" fontId="7" fillId="0" borderId="0" applyAlignment="1" pivotButton="0" quotePrefix="0" xfId="0">
      <alignment horizontal="center" vertical="bottom"/>
    </xf>
    <xf numFmtId="0" fontId="8" fillId="0" borderId="0" applyAlignment="1" pivotButton="0" quotePrefix="0" xfId="0">
      <alignment horizontal="center" vertical="bottom"/>
    </xf>
    <xf numFmtId="0" fontId="9" fillId="0" borderId="0" applyAlignment="1" pivotButton="0" quotePrefix="0" xfId="20">
      <alignment horizontal="center" vertical="bottom"/>
    </xf>
    <xf numFmtId="0" fontId="10" fillId="0" borderId="0" applyAlignment="1" pivotButton="0" quotePrefix="0" xfId="0">
      <alignment horizontal="center" vertical="bottom"/>
    </xf>
    <xf numFmtId="0" fontId="0" fillId="0" borderId="0" applyAlignment="1" pivotButton="0" quotePrefix="0" xfId="0">
      <alignment horizontal="center" vertical="bottom"/>
    </xf>
    <xf numFmtId="0" fontId="11" fillId="0" borderId="0" applyAlignment="1" pivotButton="0" quotePrefix="0" xfId="0">
      <alignment horizontal="center" vertical="bottom"/>
    </xf>
    <xf numFmtId="0" fontId="12" fillId="2" borderId="0" applyAlignment="1" pivotButton="0" quotePrefix="0" xfId="22">
      <alignment horizontal="general" vertical="bottom"/>
    </xf>
    <xf numFmtId="0" fontId="4" fillId="2" borderId="0" applyAlignment="1" pivotButton="0" quotePrefix="0" xfId="22">
      <alignment horizontal="general" vertical="bottom"/>
    </xf>
    <xf numFmtId="0" fontId="4" fillId="2" borderId="1" applyAlignment="1" pivotButton="0" quotePrefix="0" xfId="22">
      <alignment horizontal="general" vertical="bottom"/>
    </xf>
    <xf numFmtId="0" fontId="4" fillId="3" borderId="0" applyAlignment="1" pivotButton="0" quotePrefix="0" xfId="22">
      <alignment horizontal="general" vertical="bottom"/>
    </xf>
    <xf numFmtId="0" fontId="4" fillId="3" borderId="1" applyAlignment="1" pivotButton="0" quotePrefix="0" xfId="22">
      <alignment horizontal="general" vertical="bottom"/>
    </xf>
    <xf numFmtId="0" fontId="4" fillId="3" borderId="1" applyAlignment="1" pivotButton="0" quotePrefix="0" xfId="22">
      <alignment horizontal="left" vertical="top" wrapText="1"/>
    </xf>
    <xf numFmtId="0" fontId="0" fillId="0" borderId="1" pivotButton="0" quotePrefix="0" xfId="0"/>
    <xf numFmtId="0" fontId="4" fillId="3" borderId="0" applyAlignment="1" pivotButton="0" quotePrefix="0" xfId="22">
      <alignment horizontal="general" vertical="top" wrapText="1"/>
    </xf>
    <xf numFmtId="0" fontId="4" fillId="3" borderId="1" applyAlignment="1" pivotButton="0" quotePrefix="0" xfId="22">
      <alignment horizontal="general" vertical="top" wrapText="1"/>
    </xf>
    <xf numFmtId="0" fontId="4" fillId="3" borderId="0" applyAlignment="1" pivotButton="0" quotePrefix="0" xfId="22">
      <alignment horizontal="left" vertical="top" wrapText="1"/>
    </xf>
    <xf numFmtId="0" fontId="11" fillId="0" borderId="0" applyAlignment="1" pivotButton="0" quotePrefix="0" xfId="0">
      <alignment horizontal="left" vertical="bottom"/>
    </xf>
    <xf numFmtId="0" fontId="13" fillId="3" borderId="0" applyAlignment="1" pivotButton="0" quotePrefix="0" xfId="20">
      <alignment horizontal="general" vertical="bottom"/>
    </xf>
    <xf numFmtId="0" fontId="10" fillId="0" borderId="0" applyAlignment="1" pivotButton="0" quotePrefix="0" xfId="0">
      <alignment horizontal="left" vertical="bottom"/>
    </xf>
    <xf numFmtId="0" fontId="4" fillId="3" borderId="2" applyAlignment="1" pivotButton="0" quotePrefix="0" xfId="22">
      <alignment horizontal="general" vertical="bottom"/>
    </xf>
    <xf numFmtId="0" fontId="13" fillId="3" borderId="2" applyAlignment="1" pivotButton="0" quotePrefix="0" xfId="20">
      <alignment horizontal="general" vertical="bottom"/>
    </xf>
    <xf numFmtId="0" fontId="4" fillId="3" borderId="3" applyAlignment="1" pivotButton="0" quotePrefix="0" xfId="22">
      <alignment horizontal="general" vertical="bottom"/>
    </xf>
    <xf numFmtId="0" fontId="14" fillId="3" borderId="0" applyAlignment="1" pivotButton="0" quotePrefix="0" xfId="22">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4" applyAlignment="1" pivotButton="0" quotePrefix="0" xfId="0">
      <alignment horizontal="general" vertical="bottom"/>
    </xf>
    <xf numFmtId="0" fontId="17" fillId="0" borderId="0" applyAlignment="1" pivotButton="0" quotePrefix="0" xfId="0">
      <alignment horizontal="general" vertical="bottom"/>
    </xf>
    <xf numFmtId="164" fontId="18" fillId="4" borderId="0" applyAlignment="1" pivotButton="0" quotePrefix="0" xfId="0">
      <alignment horizontal="general" vertical="bottom"/>
    </xf>
    <xf numFmtId="0" fontId="0" fillId="0" borderId="5" applyAlignment="1" pivotButton="0" quotePrefix="0" xfId="0">
      <alignment horizontal="left" vertical="top"/>
    </xf>
    <xf numFmtId="0" fontId="0" fillId="0" borderId="0" applyAlignment="1" pivotButton="0" quotePrefix="0" xfId="0">
      <alignment horizontal="justify" vertical="bottom" wrapText="1"/>
    </xf>
    <xf numFmtId="165" fontId="0" fillId="0" borderId="0" applyAlignment="1" pivotButton="0" quotePrefix="0" xfId="0">
      <alignment horizontal="center" vertical="bottom"/>
    </xf>
    <xf numFmtId="0" fontId="0" fillId="0" borderId="0" applyAlignment="1" pivotButton="0" quotePrefix="0" xfId="0">
      <alignment horizontal="left" vertical="bottom" indent="1"/>
    </xf>
    <xf numFmtId="166" fontId="0" fillId="0" borderId="0" applyAlignment="1" pivotButton="0" quotePrefix="0" xfId="0">
      <alignment horizontal="center" vertical="bottom"/>
    </xf>
    <xf numFmtId="0" fontId="0" fillId="0" borderId="0" applyAlignment="1" pivotButton="0" quotePrefix="0" xfId="0">
      <alignment horizontal="left" vertical="top"/>
    </xf>
    <xf numFmtId="0" fontId="0" fillId="0" borderId="5" applyAlignment="1" pivotButton="0" quotePrefix="0" xfId="0">
      <alignment horizontal="general" vertical="bottom"/>
    </xf>
    <xf numFmtId="0" fontId="19" fillId="0" borderId="6" applyAlignment="1" pivotButton="0" quotePrefix="0" xfId="0">
      <alignment horizontal="general" vertical="center"/>
    </xf>
    <xf numFmtId="164" fontId="19" fillId="0" borderId="7" applyAlignment="1" pivotButton="0" quotePrefix="0" xfId="0">
      <alignment horizontal="center" vertical="center" wrapText="1"/>
    </xf>
    <xf numFmtId="164" fontId="20" fillId="5" borderId="7" applyAlignment="1" pivotButton="0" quotePrefix="0" xfId="0">
      <alignment horizontal="center" vertical="center"/>
    </xf>
    <xf numFmtId="164" fontId="21" fillId="0" borderId="7" applyAlignment="1" pivotButton="0" quotePrefix="0" xfId="0">
      <alignment horizontal="center" vertical="center" wrapText="1"/>
    </xf>
    <xf numFmtId="164" fontId="21" fillId="5" borderId="7" applyAlignment="1" pivotButton="0" quotePrefix="0" xfId="0">
      <alignment horizontal="center" vertical="center"/>
    </xf>
    <xf numFmtId="165" fontId="21" fillId="0" borderId="7" applyAlignment="1" pivotButton="0" quotePrefix="0" xfId="15">
      <alignment horizontal="center" vertical="center" wrapText="1"/>
    </xf>
    <xf numFmtId="0" fontId="17" fillId="0" borderId="0" applyAlignment="1" pivotButton="0" quotePrefix="0" xfId="23">
      <alignment horizontal="general" vertical="bottom"/>
    </xf>
    <xf numFmtId="165" fontId="0" fillId="0" borderId="0" applyAlignment="1" pivotButton="0" quotePrefix="0" xfId="0">
      <alignment horizontal="general" vertical="bottom"/>
    </xf>
    <xf numFmtId="165" fontId="0" fillId="5" borderId="0" applyAlignment="1" pivotButton="0" quotePrefix="0" xfId="0">
      <alignment horizontal="general" vertical="bottom"/>
    </xf>
    <xf numFmtId="0" fontId="17" fillId="0" borderId="0" applyAlignment="1" pivotButton="0" quotePrefix="0" xfId="0">
      <alignment horizontal="general" vertical="bottom" wrapText="1"/>
    </xf>
    <xf numFmtId="10" fontId="0" fillId="0" borderId="0" applyAlignment="1" pivotButton="0" quotePrefix="0" xfId="0">
      <alignment horizontal="general" vertical="bottom"/>
    </xf>
    <xf numFmtId="10" fontId="0" fillId="5" borderId="0" applyAlignment="1" pivotButton="0" quotePrefix="0" xfId="0">
      <alignment horizontal="general" vertical="bottom"/>
    </xf>
    <xf numFmtId="167" fontId="17" fillId="0" borderId="0" applyAlignment="1" pivotButton="0" quotePrefix="0" xfId="15">
      <alignment horizontal="general" vertical="bottom" wrapText="1"/>
    </xf>
    <xf numFmtId="2" fontId="0" fillId="0" borderId="0" applyAlignment="1" pivotButton="0" quotePrefix="0" xfId="0">
      <alignment horizontal="general" vertical="bottom"/>
    </xf>
    <xf numFmtId="2" fontId="0" fillId="5" borderId="0" applyAlignment="1" pivotButton="0" quotePrefix="0" xfId="0">
      <alignment horizontal="general" vertical="bottom"/>
    </xf>
    <xf numFmtId="10" fontId="22" fillId="0" borderId="0" applyAlignment="1" pivotButton="0" quotePrefix="0" xfId="19">
      <alignment horizontal="center" vertical="bottom" wrapText="1"/>
    </xf>
    <xf numFmtId="0" fontId="0" fillId="5" borderId="0" applyAlignment="1" pivotButton="0" quotePrefix="0" xfId="0">
      <alignment horizontal="general" vertical="bottom"/>
    </xf>
    <xf numFmtId="0" fontId="17" fillId="5" borderId="0" applyAlignment="1" pivotButton="0" quotePrefix="0" xfId="0">
      <alignment horizontal="general" vertical="bottom" wrapText="1"/>
    </xf>
    <xf numFmtId="2" fontId="17" fillId="5" borderId="0" applyAlignment="1" pivotButton="0" quotePrefix="0" xfId="0">
      <alignment horizontal="general" vertical="bottom" wrapText="1"/>
    </xf>
    <xf numFmtId="10" fontId="0" fillId="0" borderId="0" applyAlignment="1" pivotButton="0" quotePrefix="0" xfId="19">
      <alignment horizontal="center" vertical="bottom" wrapText="1"/>
    </xf>
    <xf numFmtId="165" fontId="17" fillId="0" borderId="0" applyAlignment="1" pivotButton="0" quotePrefix="0" xfId="0">
      <alignment horizontal="general" vertical="bottom" wrapText="1"/>
    </xf>
    <xf numFmtId="164" fontId="18" fillId="4" borderId="0" applyAlignment="1" pivotButton="0" quotePrefix="0" xfId="0">
      <alignment horizontal="general" vertical="bottom" wrapText="1"/>
    </xf>
    <xf numFmtId="165" fontId="0" fillId="0" borderId="0" applyAlignment="1" pivotButton="0" quotePrefix="0" xfId="15">
      <alignment horizontal="general" vertical="bottom"/>
    </xf>
    <xf numFmtId="0" fontId="19" fillId="0" borderId="0" applyAlignment="1" pivotButton="0" quotePrefix="0" xfId="0">
      <alignment horizontal="general" vertical="bottom"/>
    </xf>
    <xf numFmtId="164" fontId="17" fillId="0" borderId="0" applyAlignment="1" pivotButton="0" quotePrefix="0" xfId="0">
      <alignment horizontal="center" vertical="center"/>
    </xf>
    <xf numFmtId="165" fontId="17" fillId="0" borderId="0" applyAlignment="1" pivotButton="0" quotePrefix="0" xfId="15">
      <alignment horizontal="center" vertical="center"/>
    </xf>
    <xf numFmtId="0" fontId="20" fillId="0" borderId="0" applyAlignment="1" pivotButton="0" quotePrefix="0" xfId="0">
      <alignment horizontal="center" vertical="center"/>
    </xf>
    <xf numFmtId="0" fontId="21" fillId="0" borderId="0" applyAlignment="1" pivotButton="0" quotePrefix="0" xfId="0">
      <alignment horizontal="center" vertical="center"/>
    </xf>
    <xf numFmtId="165" fontId="17" fillId="0" borderId="0" applyAlignment="1" pivotButton="0" quotePrefix="0" xfId="15">
      <alignment horizontal="center" vertical="top"/>
    </xf>
    <xf numFmtId="165" fontId="17" fillId="0" borderId="0" applyAlignment="1" pivotButton="0" quotePrefix="0" xfId="15">
      <alignment horizontal="general" vertical="top"/>
    </xf>
    <xf numFmtId="9" fontId="0" fillId="0" borderId="0" applyAlignment="1" pivotButton="0" quotePrefix="0" xfId="19">
      <alignment horizontal="general" vertical="bottom"/>
    </xf>
    <xf numFmtId="9" fontId="0" fillId="0" borderId="0" applyAlignment="1" pivotButton="0" quotePrefix="0" xfId="19">
      <alignment horizontal="general" vertical="top"/>
    </xf>
    <xf numFmtId="165" fontId="17" fillId="0" borderId="4" applyAlignment="1" pivotButton="0" quotePrefix="0" xfId="15">
      <alignment horizontal="general" vertical="bottom"/>
    </xf>
    <xf numFmtId="0" fontId="19" fillId="0" borderId="0" applyAlignment="1" pivotButton="0" quotePrefix="0" xfId="0">
      <alignment horizontal="general" vertical="center"/>
    </xf>
    <xf numFmtId="164" fontId="20" fillId="5" borderId="0" applyAlignment="1" pivotButton="0" quotePrefix="0" xfId="0">
      <alignment horizontal="center" vertical="center"/>
    </xf>
    <xf numFmtId="164" fontId="19" fillId="0" borderId="0" applyAlignment="1" pivotButton="0" quotePrefix="0" xfId="0">
      <alignment horizontal="center" vertical="center" wrapText="1"/>
    </xf>
    <xf numFmtId="164" fontId="21" fillId="0" borderId="0" applyAlignment="1" pivotButton="0" quotePrefix="0" xfId="0">
      <alignment horizontal="center" vertical="center" wrapText="1"/>
    </xf>
    <xf numFmtId="164" fontId="21" fillId="5" borderId="0" applyAlignment="1" pivotButton="0" quotePrefix="0" xfId="0">
      <alignment horizontal="center" vertical="center"/>
    </xf>
    <xf numFmtId="165" fontId="21" fillId="0" borderId="0" applyAlignment="1" pivotButton="0" quotePrefix="0" xfId="15">
      <alignment horizontal="center" vertical="center" wrapText="1"/>
    </xf>
    <xf numFmtId="0" fontId="17" fillId="5" borderId="4" applyAlignment="1" pivotButton="0" quotePrefix="0" xfId="0">
      <alignment horizontal="general" vertical="bottom"/>
    </xf>
    <xf numFmtId="10" fontId="22" fillId="0" borderId="8" applyAlignment="1" pivotButton="0" quotePrefix="0" xfId="19">
      <alignment horizontal="center" vertical="center" wrapText="1"/>
    </xf>
    <xf numFmtId="0" fontId="0" fillId="0" borderId="8" pivotButton="0" quotePrefix="0" xfId="0"/>
    <xf numFmtId="165" fontId="19" fillId="5" borderId="0" applyAlignment="1" pivotButton="0" quotePrefix="0" xfId="0">
      <alignment horizontal="general" vertical="bottom"/>
    </xf>
    <xf numFmtId="165" fontId="19" fillId="0" borderId="0" applyAlignment="1" pivotButton="0" quotePrefix="0" xfId="0">
      <alignment horizontal="general" vertical="bottom"/>
    </xf>
    <xf numFmtId="0" fontId="0" fillId="0" borderId="0" applyAlignment="1" pivotButton="0" quotePrefix="0" xfId="0">
      <alignment horizontal="left" vertical="bottom"/>
    </xf>
    <xf numFmtId="0" fontId="17" fillId="0" borderId="0" applyAlignment="1" pivotButton="0" quotePrefix="0" xfId="0">
      <alignment horizontal="left" vertical="bottom" wrapText="1" indent="1"/>
    </xf>
    <xf numFmtId="0" fontId="20" fillId="0" borderId="0" applyAlignment="1" pivotButton="0" quotePrefix="0" xfId="0">
      <alignment horizontal="left" vertical="bottom" wrapText="1"/>
    </xf>
    <xf numFmtId="0" fontId="27" fillId="0" borderId="0" applyAlignment="1" pivotButton="0" quotePrefix="0" xfId="0">
      <alignment horizontal="general" vertical="bottom"/>
    </xf>
    <xf numFmtId="0" fontId="26" fillId="0" borderId="0" applyAlignment="1" pivotButton="0" quotePrefix="0" xfId="0">
      <alignment horizontal="left" vertical="bottom" wrapText="1"/>
    </xf>
    <xf numFmtId="10" fontId="27" fillId="5" borderId="0" applyAlignment="1" pivotButton="0" quotePrefix="0" xfId="19">
      <alignment horizontal="general" vertical="bottom"/>
    </xf>
    <xf numFmtId="10" fontId="27" fillId="0" borderId="0" applyAlignment="1" pivotButton="0" quotePrefix="0" xfId="19">
      <alignment horizontal="general" vertical="bottom"/>
    </xf>
    <xf numFmtId="10" fontId="27" fillId="5" borderId="0" applyAlignment="1" pivotButton="0" quotePrefix="0" xfId="0">
      <alignment horizontal="general" vertical="bottom"/>
    </xf>
    <xf numFmtId="10" fontId="27" fillId="0" borderId="0" applyAlignment="1" pivotButton="0" quotePrefix="0" xfId="0">
      <alignment horizontal="general" vertical="bottom"/>
    </xf>
    <xf numFmtId="10" fontId="0" fillId="0" borderId="0" applyAlignment="1" pivotButton="0" quotePrefix="0" xfId="19">
      <alignment horizontal="general" vertical="bottom"/>
    </xf>
    <xf numFmtId="0" fontId="20" fillId="0" borderId="0" applyAlignment="1" pivotButton="0" quotePrefix="0" xfId="0">
      <alignment horizontal="general" vertical="bottom" wrapText="1"/>
    </xf>
    <xf numFmtId="0" fontId="26" fillId="0" borderId="0" applyAlignment="1" pivotButton="0" quotePrefix="0" xfId="0">
      <alignment horizontal="general" vertical="bottom" wrapText="1"/>
    </xf>
    <xf numFmtId="9" fontId="0" fillId="5" borderId="0" applyAlignment="1" pivotButton="0" quotePrefix="0" xfId="19">
      <alignment horizontal="general" vertical="bottom"/>
    </xf>
    <xf numFmtId="0" fontId="0" fillId="0" borderId="0" applyAlignment="1" pivotButton="0" quotePrefix="0" xfId="0">
      <alignment horizontal="general" vertical="bottom" wrapText="1"/>
    </xf>
    <xf numFmtId="0" fontId="28" fillId="0" borderId="0" applyAlignment="1" pivotButton="0" quotePrefix="0" xfId="0">
      <alignment horizontal="general" vertical="bottom"/>
    </xf>
    <xf numFmtId="0" fontId="17" fillId="5" borderId="0" applyAlignment="1" pivotButton="0" quotePrefix="0" xfId="0">
      <alignment horizontal="general" vertical="bottom"/>
    </xf>
    <xf numFmtId="10" fontId="22" fillId="0" borderId="0" applyAlignment="1" pivotButton="0" quotePrefix="0" xfId="19">
      <alignment horizontal="center" vertical="center" wrapText="1"/>
    </xf>
    <xf numFmtId="168" fontId="0" fillId="5" borderId="0" applyAlignment="1" pivotButton="0" quotePrefix="0" xfId="0">
      <alignment horizontal="center" vertical="center"/>
    </xf>
    <xf numFmtId="9" fontId="17" fillId="0" borderId="0" applyAlignment="1" pivotButton="0" quotePrefix="0" xfId="19">
      <alignment horizontal="general" vertical="bottom" wrapText="1"/>
    </xf>
    <xf numFmtId="10" fontId="0" fillId="5" borderId="0" applyAlignment="1" pivotButton="0" quotePrefix="0" xfId="19">
      <alignment horizontal="general" vertical="bottom"/>
    </xf>
    <xf numFmtId="165" fontId="0" fillId="5" borderId="0" applyAlignment="1" pivotButton="0" quotePrefix="0" xfId="15">
      <alignment horizontal="general" vertical="bottom"/>
    </xf>
    <xf numFmtId="0" fontId="17" fillId="0" borderId="4" applyAlignment="1" pivotButton="0" quotePrefix="0" xfId="0">
      <alignment horizontal="general" vertical="bottom" wrapText="1"/>
    </xf>
    <xf numFmtId="167" fontId="17" fillId="5" borderId="4" applyAlignment="1" pivotButton="0" quotePrefix="0" xfId="0">
      <alignment horizontal="general" vertical="bottom" wrapText="1"/>
    </xf>
    <xf numFmtId="167" fontId="17" fillId="0" borderId="4" applyAlignment="1" pivotButton="0" quotePrefix="0" xfId="0">
      <alignment horizontal="general" vertical="bottom" wrapText="1"/>
    </xf>
    <xf numFmtId="167" fontId="0" fillId="0" borderId="0" applyAlignment="1" pivotButton="0" quotePrefix="0" xfId="0">
      <alignment horizontal="general" vertical="bottom"/>
    </xf>
    <xf numFmtId="164" fontId="29" fillId="0" borderId="0" applyAlignment="1" pivotButton="0" quotePrefix="0" xfId="0">
      <alignment horizontal="right" vertical="bottom"/>
    </xf>
    <xf numFmtId="164" fontId="30" fillId="0" borderId="0" applyAlignment="1" pivotButton="0" quotePrefix="0" xfId="0">
      <alignment horizontal="center" vertical="bottom"/>
    </xf>
    <xf numFmtId="164" fontId="29" fillId="0" borderId="0" applyAlignment="1" pivotButton="0" quotePrefix="0" xfId="0">
      <alignment horizontal="center" vertical="bottom"/>
    </xf>
    <xf numFmtId="0" fontId="31" fillId="0" borderId="0" applyAlignment="1" pivotButton="0" quotePrefix="0" xfId="0">
      <alignment horizontal="center" vertical="bottom"/>
    </xf>
    <xf numFmtId="169" fontId="22" fillId="0" borderId="0" applyAlignment="1" pivotButton="0" quotePrefix="0" xfId="15">
      <alignment horizontal="general" vertical="bottom"/>
    </xf>
    <xf numFmtId="164" fontId="18" fillId="0" borderId="0" applyAlignment="1" pivotButton="0" quotePrefix="0" xfId="0">
      <alignment horizontal="general" vertical="bottom"/>
    </xf>
    <xf numFmtId="0" fontId="32" fillId="6" borderId="0" applyAlignment="1" pivotButton="0" quotePrefix="0" xfId="0">
      <alignment horizontal="center" vertical="bottom" wrapText="1"/>
    </xf>
    <xf numFmtId="165" fontId="22" fillId="5" borderId="0" applyAlignment="1" pivotButton="0" quotePrefix="0" xfId="15">
      <alignment horizontal="general" vertical="bottom"/>
    </xf>
    <xf numFmtId="165" fontId="22" fillId="0" borderId="0" applyAlignment="1" pivotButton="0" quotePrefix="0" xfId="15">
      <alignment horizontal="general" vertical="bottom"/>
    </xf>
    <xf numFmtId="165" fontId="17" fillId="5" borderId="0" applyAlignment="1" pivotButton="0" quotePrefix="0" xfId="15">
      <alignment horizontal="general" vertical="bottom"/>
    </xf>
    <xf numFmtId="0" fontId="0" fillId="0" borderId="0" applyAlignment="1" pivotButton="0" quotePrefix="0" xfId="0">
      <alignment horizontal="left" vertical="bottom" indent="2"/>
    </xf>
    <xf numFmtId="165" fontId="22" fillId="0" borderId="0" applyAlignment="1" pivotButton="0" quotePrefix="0" xfId="0">
      <alignment horizontal="general" vertical="bottom"/>
    </xf>
    <xf numFmtId="165" fontId="17" fillId="0" borderId="0" applyAlignment="1" pivotButton="0" quotePrefix="0" xfId="15">
      <alignment horizontal="general" vertical="bottom"/>
    </xf>
    <xf numFmtId="165" fontId="33" fillId="0" borderId="0" applyAlignment="1" pivotButton="0" quotePrefix="0" xfId="0">
      <alignment horizontal="general" vertical="bottom"/>
    </xf>
    <xf numFmtId="165" fontId="19" fillId="5" borderId="0" applyAlignment="1" pivotButton="0" quotePrefix="0" xfId="15">
      <alignment horizontal="general" vertical="bottom"/>
    </xf>
    <xf numFmtId="165" fontId="19" fillId="0" borderId="0" applyAlignment="1" pivotButton="0" quotePrefix="0" xfId="15">
      <alignment horizontal="general" vertical="bottom"/>
    </xf>
    <xf numFmtId="165" fontId="20" fillId="5" borderId="0" applyAlignment="1" pivotButton="0" quotePrefix="0" xfId="15">
      <alignment horizontal="general" vertical="bottom"/>
    </xf>
    <xf numFmtId="9" fontId="19" fillId="5" borderId="0" applyAlignment="1" pivotButton="0" quotePrefix="0" xfId="19">
      <alignment horizontal="general" vertical="bottom"/>
    </xf>
    <xf numFmtId="0" fontId="19" fillId="0" borderId="0" applyAlignment="1" pivotButton="0" quotePrefix="0" xfId="0">
      <alignment horizontal="general" vertical="bottom" wrapText="1"/>
    </xf>
    <xf numFmtId="165" fontId="33" fillId="0" borderId="0" applyAlignment="1" pivotButton="0" quotePrefix="0" xfId="15">
      <alignment horizontal="general" vertical="bottom"/>
    </xf>
    <xf numFmtId="10" fontId="26" fillId="5" borderId="0" applyAlignment="1" pivotButton="0" quotePrefix="0" xfId="19">
      <alignment horizontal="general" vertical="bottom"/>
    </xf>
    <xf numFmtId="10" fontId="28" fillId="0" borderId="0" applyAlignment="1" pivotButton="0" quotePrefix="0" xfId="19">
      <alignment horizontal="general" vertical="bottom"/>
    </xf>
    <xf numFmtId="165" fontId="22" fillId="5" borderId="0" applyAlignment="1" pivotButton="0" quotePrefix="0" xfId="0">
      <alignment horizontal="general" vertical="bottom"/>
    </xf>
    <xf numFmtId="2" fontId="22" fillId="0" borderId="0" applyAlignment="1" pivotButton="0" quotePrefix="0" xfId="15">
      <alignment horizontal="general" vertical="bottom"/>
    </xf>
    <xf numFmtId="165" fontId="17" fillId="5" borderId="0" applyAlignment="1" pivotButton="0" quotePrefix="0" xfId="0">
      <alignment horizontal="general" vertical="bottom"/>
    </xf>
    <xf numFmtId="165" fontId="27" fillId="0" borderId="0" applyAlignment="1" pivotButton="0" quotePrefix="0" xfId="15">
      <alignment horizontal="general" vertical="bottom"/>
    </xf>
    <xf numFmtId="2" fontId="0" fillId="0" borderId="0" applyAlignment="1" pivotButton="0" quotePrefix="0" xfId="15">
      <alignment horizontal="general" vertical="bottom"/>
    </xf>
    <xf numFmtId="9" fontId="20" fillId="5" borderId="0" applyAlignment="1" pivotButton="0" quotePrefix="0" xfId="19">
      <alignment horizontal="general" vertical="bottom"/>
    </xf>
    <xf numFmtId="165" fontId="33" fillId="5" borderId="0" applyAlignment="1" pivotButton="0" quotePrefix="0" xfId="15">
      <alignment horizontal="general" vertical="bottom"/>
    </xf>
    <xf numFmtId="167" fontId="0" fillId="0" borderId="0" applyAlignment="1" pivotButton="0" quotePrefix="0" xfId="15">
      <alignment horizontal="general" vertical="bottom"/>
    </xf>
    <xf numFmtId="165" fontId="21" fillId="5" borderId="0" applyAlignment="1" pivotButton="0" quotePrefix="0" xfId="15">
      <alignment horizontal="general" vertical="bottom"/>
    </xf>
    <xf numFmtId="165" fontId="21" fillId="0" borderId="0" applyAlignment="1" pivotButton="0" quotePrefix="0" xfId="15">
      <alignment horizontal="general" vertical="bottom"/>
    </xf>
    <xf numFmtId="2" fontId="21" fillId="0" borderId="0" applyAlignment="1" pivotButton="0" quotePrefix="0" xfId="15">
      <alignment horizontal="general" vertical="bottom"/>
    </xf>
    <xf numFmtId="167" fontId="0" fillId="5" borderId="0" applyAlignment="1" pivotButton="0" quotePrefix="0" xfId="15">
      <alignment horizontal="general" vertical="bottom"/>
    </xf>
    <xf numFmtId="167" fontId="33" fillId="0" borderId="0" applyAlignment="1" pivotButton="0" quotePrefix="0" xfId="15">
      <alignment horizontal="general" vertical="bottom"/>
    </xf>
    <xf numFmtId="167" fontId="33" fillId="5" borderId="0" applyAlignment="1" pivotButton="0" quotePrefix="0" xfId="15">
      <alignment horizontal="general" vertical="bottom"/>
    </xf>
    <xf numFmtId="167" fontId="33" fillId="0" borderId="0" applyAlignment="1" pivotButton="0" quotePrefix="0" xfId="0">
      <alignment horizontal="general" vertical="bottom"/>
    </xf>
    <xf numFmtId="167" fontId="32" fillId="5" borderId="0" applyAlignment="1" pivotButton="0" quotePrefix="0" xfId="15">
      <alignment horizontal="general" vertical="bottom"/>
    </xf>
    <xf numFmtId="167" fontId="19" fillId="5" borderId="0" applyAlignment="1" pivotButton="0" quotePrefix="0" xfId="15">
      <alignment horizontal="general" vertical="bottom"/>
    </xf>
    <xf numFmtId="167" fontId="19" fillId="0" borderId="0" applyAlignment="1" pivotButton="0" quotePrefix="0" xfId="15">
      <alignment horizontal="general" vertical="bottom"/>
    </xf>
    <xf numFmtId="167" fontId="32" fillId="0" borderId="0" applyAlignment="1" pivotButton="0" quotePrefix="0" xfId="15">
      <alignment horizontal="general" vertical="bottom"/>
    </xf>
    <xf numFmtId="167" fontId="32" fillId="0" borderId="0" applyAlignment="1" pivotButton="0" quotePrefix="0" xfId="0">
      <alignment horizontal="general" vertical="bottom"/>
    </xf>
    <xf numFmtId="167" fontId="17" fillId="5" borderId="0" applyAlignment="1" pivotButton="0" quotePrefix="0" xfId="15">
      <alignment horizontal="general" vertical="bottom"/>
    </xf>
    <xf numFmtId="10" fontId="17" fillId="5" borderId="0" applyAlignment="1" pivotButton="0" quotePrefix="0" xfId="19">
      <alignment horizontal="general" vertical="bottom"/>
    </xf>
    <xf numFmtId="9" fontId="17" fillId="5" borderId="0" applyAlignment="1" pivotButton="0" quotePrefix="0" xfId="19">
      <alignment horizontal="general" vertical="bottom"/>
    </xf>
    <xf numFmtId="165" fontId="22" fillId="0" borderId="0" applyAlignment="1" pivotButton="0" quotePrefix="0" xfId="15">
      <alignment horizontal="center" vertical="bottom"/>
    </xf>
    <xf numFmtId="165" fontId="0" fillId="0" borderId="0" applyAlignment="1" pivotButton="0" quotePrefix="0" xfId="15">
      <alignment horizontal="center" vertical="bottom"/>
    </xf>
    <xf numFmtId="164" fontId="31" fillId="0" borderId="0" applyAlignment="1" pivotButton="0" quotePrefix="0" xfId="0">
      <alignment horizontal="center" vertical="bottom"/>
    </xf>
    <xf numFmtId="0" fontId="29" fillId="0" borderId="0" applyAlignment="1" pivotButton="0" quotePrefix="0" xfId="0">
      <alignment horizontal="center" vertical="bottom"/>
    </xf>
    <xf numFmtId="0" fontId="19" fillId="5" borderId="0" applyAlignment="1" pivotButton="0" quotePrefix="0" xfId="0">
      <alignment horizontal="center" vertical="center"/>
    </xf>
    <xf numFmtId="0" fontId="36" fillId="0" borderId="0" applyAlignment="1" pivotButton="0" quotePrefix="0" xfId="0">
      <alignment horizontal="general" vertical="bottom"/>
    </xf>
    <xf numFmtId="0" fontId="0" fillId="0" borderId="0" applyAlignment="1" pivotButton="0" quotePrefix="0" xfId="0">
      <alignment horizontal="left" vertical="bottom" indent="5"/>
    </xf>
    <xf numFmtId="165" fontId="22" fillId="0" borderId="0" applyAlignment="1" pivotButton="0" quotePrefix="0" xfId="15">
      <alignment horizontal="left" vertical="bottom" indent="5"/>
    </xf>
    <xf numFmtId="165" fontId="9" fillId="0" borderId="0" applyAlignment="1" pivotButton="0" quotePrefix="0" xfId="15">
      <alignment horizontal="left" vertical="bottom" indent="5"/>
    </xf>
    <xf numFmtId="165" fontId="9" fillId="0" borderId="0" applyAlignment="1" pivotButton="0" quotePrefix="0" xfId="15">
      <alignment horizontal="general" vertical="bottom"/>
    </xf>
    <xf numFmtId="165" fontId="37" fillId="0" borderId="0" applyAlignment="1" pivotButton="0" quotePrefix="0" xfId="15">
      <alignment horizontal="general" vertical="bottom"/>
    </xf>
    <xf numFmtId="165" fontId="38" fillId="0" borderId="0" applyAlignment="1" pivotButton="0" quotePrefix="0" xfId="15">
      <alignment horizontal="general" vertical="bottom"/>
    </xf>
    <xf numFmtId="0" fontId="19" fillId="0" borderId="0" applyAlignment="1" pivotButton="0" quotePrefix="0" xfId="0">
      <alignment horizontal="left" vertical="bottom" indent="15"/>
    </xf>
    <xf numFmtId="165" fontId="19" fillId="0" borderId="6" applyAlignment="1" pivotButton="0" quotePrefix="0" xfId="15">
      <alignment horizontal="general" vertical="bottom"/>
    </xf>
    <xf numFmtId="165" fontId="36" fillId="0" borderId="0" applyAlignment="1" pivotButton="0" quotePrefix="0" xfId="15">
      <alignment horizontal="general" vertical="bottom"/>
    </xf>
    <xf numFmtId="0" fontId="0" fillId="0" borderId="0" applyAlignment="1" pivotButton="0" quotePrefix="0" xfId="0">
      <alignment horizontal="left" vertical="bottom" wrapText="1" indent="5"/>
    </xf>
    <xf numFmtId="165" fontId="9" fillId="0" borderId="0" applyAlignment="1" pivotButton="0" quotePrefix="0" xfId="15">
      <alignment horizontal="left" vertical="bottom" wrapText="1" indent="5"/>
    </xf>
    <xf numFmtId="0" fontId="0" fillId="0" borderId="0" applyAlignment="1" pivotButton="0" quotePrefix="0" xfId="0">
      <alignment horizontal="left" vertical="bottom" indent="15"/>
    </xf>
    <xf numFmtId="0" fontId="32" fillId="0" borderId="0" applyAlignment="1" pivotButton="0" quotePrefix="0" xfId="0">
      <alignment horizontal="general" vertical="bottom"/>
    </xf>
    <xf numFmtId="170" fontId="0" fillId="0" borderId="0" applyAlignment="1" pivotButton="0" quotePrefix="0" xfId="15">
      <alignment horizontal="general" vertical="bottom"/>
    </xf>
    <xf numFmtId="0" fontId="0" fillId="0" borderId="0" applyAlignment="1" pivotButton="0" quotePrefix="0" xfId="0">
      <alignment horizontal="left" vertical="bottom" wrapText="1" indent="1"/>
    </xf>
    <xf numFmtId="0" fontId="0" fillId="0" borderId="0" applyAlignment="1" pivotButton="0" quotePrefix="0" xfId="0">
      <alignment horizontal="left" vertical="bottom" indent="9"/>
    </xf>
    <xf numFmtId="0" fontId="19" fillId="0" borderId="0" applyAlignment="1" pivotButton="0" quotePrefix="0" xfId="0">
      <alignment horizontal="left" vertical="bottom" indent="5"/>
    </xf>
    <xf numFmtId="0" fontId="0" fillId="0" borderId="0" applyAlignment="1" pivotButton="0" quotePrefix="0" xfId="0">
      <alignment horizontal="left" vertical="bottom" wrapText="1" indent="9"/>
    </xf>
    <xf numFmtId="165" fontId="0" fillId="6" borderId="0" applyAlignment="1" pivotButton="0" quotePrefix="0" xfId="15">
      <alignment horizontal="general" vertical="bottom"/>
    </xf>
    <xf numFmtId="0" fontId="36" fillId="0" borderId="0" applyAlignment="1" pivotButton="0" quotePrefix="0" xfId="0">
      <alignment horizontal="general" vertical="bottom" wrapText="1"/>
    </xf>
    <xf numFmtId="0" fontId="22" fillId="0" borderId="0" applyAlignment="1" pivotButton="0" quotePrefix="0" xfId="0">
      <alignment horizontal="general" vertical="bottom"/>
    </xf>
    <xf numFmtId="0" fontId="19" fillId="0" borderId="0" applyAlignment="1" pivotButton="0" quotePrefix="0" xfId="0">
      <alignment horizontal="left" vertical="bottom" indent="9"/>
    </xf>
    <xf numFmtId="9" fontId="17" fillId="0" borderId="0" applyAlignment="1" pivotButton="0" quotePrefix="0" xfId="19">
      <alignment horizontal="general" vertical="bottom"/>
    </xf>
    <xf numFmtId="0" fontId="0" fillId="0" borderId="0" applyAlignment="1" pivotButton="0" quotePrefix="0" xfId="0">
      <alignment horizontal="left" vertical="bottom" indent="13"/>
    </xf>
    <xf numFmtId="0" fontId="20" fillId="0" borderId="0" applyAlignment="1" pivotButton="0" quotePrefix="0" xfId="0">
      <alignment horizontal="general" vertical="bottom"/>
    </xf>
    <xf numFmtId="171" fontId="0" fillId="0" borderId="0" applyAlignment="1" pivotButton="0" quotePrefix="0" xfId="15">
      <alignment horizontal="left" vertical="bottom" indent="1"/>
    </xf>
    <xf numFmtId="165" fontId="39" fillId="0" borderId="0" applyAlignment="1" pivotButton="0" quotePrefix="0" xfId="15">
      <alignment horizontal="general" vertical="bottom"/>
    </xf>
    <xf numFmtId="0" fontId="20" fillId="0" borderId="4" applyAlignment="1" pivotButton="0" quotePrefix="0" xfId="0">
      <alignment horizontal="general" vertical="bottom"/>
    </xf>
    <xf numFmtId="165" fontId="39" fillId="0" borderId="4" applyAlignment="1" pivotButton="0" quotePrefix="0" xfId="15">
      <alignment horizontal="general" vertical="bottom"/>
    </xf>
    <xf numFmtId="164" fontId="20" fillId="0" borderId="0" applyAlignment="1" pivotButton="0" quotePrefix="0" xfId="0">
      <alignment horizontal="center" vertical="center"/>
    </xf>
    <xf numFmtId="0" fontId="19" fillId="5" borderId="0" applyAlignment="1" pivotButton="0" quotePrefix="0" xfId="0">
      <alignment horizontal="center" vertical="bottom"/>
    </xf>
    <xf numFmtId="0" fontId="21" fillId="5" borderId="0" applyAlignment="1" pivotButton="0" quotePrefix="0" xfId="0">
      <alignment horizontal="center" vertical="bottom"/>
    </xf>
    <xf numFmtId="165" fontId="22" fillId="0" borderId="0" applyAlignment="1" pivotButton="0" quotePrefix="0" xfId="15">
      <alignment horizontal="center" vertical="center"/>
    </xf>
    <xf numFmtId="165" fontId="20" fillId="0" borderId="0" applyAlignment="1" pivotButton="0" quotePrefix="0" xfId="15">
      <alignment horizontal="center" vertical="center"/>
    </xf>
    <xf numFmtId="167" fontId="22" fillId="0" borderId="0" applyAlignment="1" pivotButton="0" quotePrefix="0" xfId="15">
      <alignment horizontal="general" vertical="bottom"/>
    </xf>
    <xf numFmtId="165" fontId="0" fillId="0" borderId="0" applyAlignment="1" pivotButton="0" quotePrefix="0" xfId="15">
      <alignment horizontal="left" vertical="top" indent="5"/>
    </xf>
    <xf numFmtId="165" fontId="18" fillId="0" borderId="0" applyAlignment="1" pivotButton="0" quotePrefix="0" xfId="15">
      <alignment horizontal="general" vertical="bottom"/>
    </xf>
    <xf numFmtId="165" fontId="0" fillId="0" borderId="0" applyAlignment="1" pivotButton="0" quotePrefix="0" xfId="15">
      <alignment horizontal="left" vertical="bottom" indent="5"/>
    </xf>
    <xf numFmtId="9" fontId="32" fillId="0" borderId="0" applyAlignment="1" pivotButton="0" quotePrefix="0" xfId="19">
      <alignment horizontal="right" vertical="bottom"/>
    </xf>
    <xf numFmtId="9" fontId="17" fillId="0" borderId="0" applyAlignment="1" pivotButton="0" quotePrefix="0" xfId="19">
      <alignment horizontal="right" vertical="bottom"/>
    </xf>
    <xf numFmtId="164" fontId="17" fillId="5" borderId="0" applyAlignment="1" pivotButton="0" quotePrefix="0" xfId="0">
      <alignment horizontal="center" vertical="center"/>
    </xf>
    <xf numFmtId="9" fontId="17" fillId="5" borderId="0" applyAlignment="1" pivotButton="0" quotePrefix="0" xfId="19">
      <alignment horizontal="center" vertical="center"/>
    </xf>
    <xf numFmtId="165" fontId="22" fillId="5" borderId="0" applyAlignment="1" pivotButton="0" quotePrefix="0" xfId="15">
      <alignment horizontal="center" vertical="center"/>
    </xf>
    <xf numFmtId="165" fontId="17" fillId="5" borderId="0" applyAlignment="1" pivotButton="0" quotePrefix="0" xfId="15">
      <alignment horizontal="center" vertical="center"/>
    </xf>
    <xf numFmtId="164" fontId="22" fillId="0" borderId="0" applyAlignment="1" pivotButton="0" quotePrefix="0" xfId="0">
      <alignment horizontal="center" vertical="center" wrapText="1"/>
    </xf>
    <xf numFmtId="9" fontId="17" fillId="5" borderId="0" applyAlignment="1" pivotButton="0" quotePrefix="0" xfId="19">
      <alignment horizontal="center" vertical="bottom"/>
    </xf>
    <xf numFmtId="9" fontId="0" fillId="5" borderId="0" applyAlignment="1" pivotButton="0" quotePrefix="0" xfId="19">
      <alignment horizontal="center" vertical="bottom"/>
    </xf>
    <xf numFmtId="9" fontId="0" fillId="5" borderId="0" applyAlignment="1" pivotButton="0" quotePrefix="0" xfId="19">
      <alignment horizontal="center" vertical="top"/>
    </xf>
    <xf numFmtId="164" fontId="40" fillId="5" borderId="0" applyAlignment="1" pivotButton="0" quotePrefix="0" xfId="0">
      <alignment horizontal="general" vertical="bottom"/>
    </xf>
    <xf numFmtId="164" fontId="18" fillId="5" borderId="0" applyAlignment="1" pivotButton="0" quotePrefix="0" xfId="0">
      <alignment horizontal="general" vertical="bottom"/>
    </xf>
    <xf numFmtId="9" fontId="32" fillId="5" borderId="0" applyAlignment="1" pivotButton="0" quotePrefix="0" xfId="19">
      <alignment horizontal="right" vertical="bottom"/>
    </xf>
    <xf numFmtId="164" fontId="20" fillId="0" borderId="0" applyAlignment="1" pivotButton="0" quotePrefix="0" xfId="0">
      <alignment horizontal="center" vertical="center" wrapText="1"/>
    </xf>
    <xf numFmtId="172" fontId="0" fillId="5" borderId="0" applyAlignment="1" pivotButton="0" quotePrefix="0" xfId="19">
      <alignment horizontal="general" vertical="bottom"/>
    </xf>
    <xf numFmtId="172" fontId="0" fillId="0" borderId="0" applyAlignment="1" pivotButton="0" quotePrefix="0" xfId="19">
      <alignment horizontal="general" vertical="bottom"/>
    </xf>
    <xf numFmtId="172" fontId="32" fillId="0" borderId="0" applyAlignment="1" pivotButton="0" quotePrefix="0" xfId="19">
      <alignment horizontal="general" vertical="bottom"/>
    </xf>
    <xf numFmtId="9" fontId="32" fillId="0" borderId="0" applyAlignment="1" pivotButton="0" quotePrefix="0" xfId="19">
      <alignment horizontal="general" vertical="bottom"/>
    </xf>
    <xf numFmtId="165" fontId="19" fillId="0" borderId="0" applyAlignment="1" pivotButton="0" quotePrefix="0" xfId="15">
      <alignment horizontal="center" vertical="center" wrapText="1"/>
    </xf>
    <xf numFmtId="9" fontId="32" fillId="0" borderId="0" applyAlignment="1" pivotButton="0" quotePrefix="0" xfId="0">
      <alignment horizontal="general" vertical="bottom"/>
    </xf>
    <xf numFmtId="173" fontId="0" fillId="0" borderId="0" applyAlignment="1" pivotButton="0" quotePrefix="0" xfId="0">
      <alignment horizontal="general" vertical="bottom"/>
    </xf>
    <xf numFmtId="173" fontId="5" fillId="0" borderId="0" applyAlignment="1" pivotButton="0" quotePrefix="0" xfId="0">
      <alignment horizontal="general" vertical="bottom"/>
    </xf>
    <xf numFmtId="164" fontId="5" fillId="0" borderId="0" applyAlignment="1" pivotButton="0" quotePrefix="0" xfId="0">
      <alignment horizontal="general" vertical="bottom"/>
    </xf>
    <xf numFmtId="173" fontId="17" fillId="0" borderId="4" applyAlignment="1" pivotButton="0" quotePrefix="0" xfId="0">
      <alignment horizontal="general" vertical="bottom"/>
    </xf>
    <xf numFmtId="0" fontId="19" fillId="0" borderId="0" applyAlignment="1" pivotButton="0" quotePrefix="0" xfId="0">
      <alignment horizontal="general" vertical="center" wrapText="1"/>
    </xf>
    <xf numFmtId="173" fontId="19" fillId="5" borderId="0" applyAlignment="1" pivotButton="0" quotePrefix="0" xfId="0">
      <alignment horizontal="center" vertical="center"/>
    </xf>
    <xf numFmtId="0" fontId="21" fillId="5" borderId="0" applyAlignment="1" pivotButton="0" quotePrefix="0" xfId="0">
      <alignment horizontal="center" vertical="center"/>
    </xf>
    <xf numFmtId="173" fontId="29" fillId="0" borderId="0" applyAlignment="1" pivotButton="0" quotePrefix="0" xfId="0">
      <alignment horizontal="right" vertical="bottom"/>
    </xf>
    <xf numFmtId="164" fontId="5" fillId="0" borderId="0" applyAlignment="1" pivotButton="0" quotePrefix="0" xfId="0">
      <alignment horizontal="right" vertical="bottom"/>
    </xf>
    <xf numFmtId="173" fontId="0" fillId="0" borderId="0" applyAlignment="1" pivotButton="0" quotePrefix="0" xfId="15">
      <alignment horizontal="general" vertical="bottom"/>
    </xf>
    <xf numFmtId="173" fontId="17" fillId="0" borderId="0" applyAlignment="1" pivotButton="0" quotePrefix="0" xfId="15">
      <alignment horizontal="general" vertical="bottom"/>
    </xf>
    <xf numFmtId="0" fontId="17" fillId="0" borderId="0" applyAlignment="1" pivotButton="0" quotePrefix="0" xfId="0">
      <alignment horizontal="left" vertical="bottom" indent="2"/>
    </xf>
    <xf numFmtId="173" fontId="22" fillId="0" borderId="0" applyAlignment="1" pivotButton="0" quotePrefix="0" xfId="15">
      <alignment horizontal="general" vertical="bottom"/>
    </xf>
    <xf numFmtId="0" fontId="17" fillId="0" borderId="0" applyAlignment="1" pivotButton="0" quotePrefix="0" xfId="0">
      <alignment horizontal="left" vertical="bottom" indent="5"/>
    </xf>
    <xf numFmtId="0" fontId="20" fillId="0" borderId="0" applyAlignment="1" pivotButton="0" quotePrefix="0" xfId="0">
      <alignment horizontal="center" vertical="bottom"/>
    </xf>
    <xf numFmtId="165" fontId="20" fillId="0" borderId="0" applyAlignment="1" pivotButton="0" quotePrefix="0" xfId="15">
      <alignment horizontal="general" vertical="bottom"/>
    </xf>
    <xf numFmtId="173" fontId="20" fillId="0" borderId="0" applyAlignment="1" pivotButton="0" quotePrefix="0" xfId="15">
      <alignment horizontal="general" vertical="bottom"/>
    </xf>
    <xf numFmtId="0" fontId="26" fillId="0" borderId="0" applyAlignment="1" pivotButton="0" quotePrefix="0" xfId="0">
      <alignment horizontal="general" vertical="bottom"/>
    </xf>
    <xf numFmtId="165" fontId="26" fillId="0" borderId="0" applyAlignment="1" pivotButton="0" quotePrefix="0" xfId="15">
      <alignment horizontal="general" vertical="bottom"/>
    </xf>
    <xf numFmtId="173" fontId="26" fillId="0" borderId="0" applyAlignment="1" pivotButton="0" quotePrefix="0" xfId="19">
      <alignment horizontal="general" vertical="bottom"/>
    </xf>
    <xf numFmtId="172" fontId="26" fillId="0" borderId="0" applyAlignment="1" pivotButton="0" quotePrefix="0" xfId="19">
      <alignment horizontal="general" vertical="bottom"/>
    </xf>
    <xf numFmtId="165" fontId="41" fillId="0" borderId="0" applyAlignment="1" pivotButton="0" quotePrefix="0" xfId="15">
      <alignment horizontal="general" vertical="bottom"/>
    </xf>
    <xf numFmtId="172" fontId="41" fillId="0" borderId="0" applyAlignment="1" pivotButton="0" quotePrefix="0" xfId="15">
      <alignment horizontal="general" vertical="bottom"/>
    </xf>
    <xf numFmtId="0" fontId="42" fillId="0" borderId="0" applyAlignment="1" pivotButton="0" quotePrefix="0" xfId="0">
      <alignment horizontal="left" vertical="bottom" indent="5"/>
    </xf>
    <xf numFmtId="165" fontId="43" fillId="0" borderId="0" applyAlignment="1" pivotButton="0" quotePrefix="0" xfId="15">
      <alignment horizontal="general" vertical="bottom"/>
    </xf>
    <xf numFmtId="171" fontId="17" fillId="0" borderId="0" applyAlignment="1" pivotButton="0" quotePrefix="0" xfId="15">
      <alignment horizontal="general" vertical="bottom"/>
    </xf>
    <xf numFmtId="173" fontId="26" fillId="0" borderId="0" applyAlignment="1" pivotButton="0" quotePrefix="0" xfId="15">
      <alignment horizontal="general" vertical="bottom"/>
    </xf>
    <xf numFmtId="0" fontId="18" fillId="0" borderId="0" applyAlignment="1" pivotButton="0" quotePrefix="0" xfId="0">
      <alignment horizontal="general" vertical="bottom"/>
    </xf>
    <xf numFmtId="0" fontId="17" fillId="0" borderId="9" applyAlignment="1" pivotButton="0" quotePrefix="0" xfId="0">
      <alignment horizontal="left" vertical="bottom" wrapText="1" indent="1"/>
    </xf>
    <xf numFmtId="172" fontId="33" fillId="0" borderId="0" applyAlignment="1" pivotButton="0" quotePrefix="0" xfId="0">
      <alignment horizontal="general" vertical="bottom"/>
    </xf>
    <xf numFmtId="173" fontId="0" fillId="0" borderId="0" applyAlignment="1" pivotButton="0" quotePrefix="0" xfId="19">
      <alignment horizontal="general" vertical="bottom"/>
    </xf>
    <xf numFmtId="165" fontId="0" fillId="6" borderId="0" applyAlignment="1" pivotButton="0" quotePrefix="0" xfId="0">
      <alignment horizontal="general" vertical="bottom"/>
    </xf>
    <xf numFmtId="165" fontId="32" fillId="0" borderId="0" applyAlignment="1" pivotButton="0" quotePrefix="0" xfId="15">
      <alignment horizontal="center" vertical="bottom"/>
    </xf>
    <xf numFmtId="173" fontId="19" fillId="0" borderId="0" applyAlignment="1" pivotButton="0" quotePrefix="0" xfId="0">
      <alignment horizontal="center" vertical="center"/>
    </xf>
    <xf numFmtId="0" fontId="19" fillId="0" borderId="0" applyAlignment="1" pivotButton="0" quotePrefix="0" xfId="0">
      <alignment horizontal="center" vertical="center"/>
    </xf>
    <xf numFmtId="165" fontId="17" fillId="0" borderId="0" applyAlignment="1" pivotButton="0" quotePrefix="0" xfId="0">
      <alignment horizontal="general" vertical="bottom"/>
    </xf>
    <xf numFmtId="173" fontId="17" fillId="0" borderId="0" applyAlignment="1" pivotButton="0" quotePrefix="0" xfId="0">
      <alignment horizontal="general" vertical="bottom"/>
    </xf>
    <xf numFmtId="0" fontId="17" fillId="0" borderId="0" applyAlignment="1" pivotButton="0" quotePrefix="0" xfId="0">
      <alignment horizontal="center" vertical="bottom"/>
    </xf>
    <xf numFmtId="0" fontId="32" fillId="6" borderId="0" applyAlignment="1" pivotButton="0" quotePrefix="0" xfId="0">
      <alignment horizontal="general" vertical="bottom"/>
    </xf>
    <xf numFmtId="0" fontId="17" fillId="0" borderId="0" applyAlignment="1" pivotButton="0" quotePrefix="0" xfId="0">
      <alignment horizontal="general" vertical="top"/>
    </xf>
    <xf numFmtId="0" fontId="20" fillId="0" borderId="0" applyAlignment="1" pivotButton="0" quotePrefix="0" xfId="0">
      <alignment horizontal="center" vertical="top" wrapText="1"/>
    </xf>
    <xf numFmtId="173" fontId="20" fillId="0" borderId="0" applyAlignment="1" pivotButton="0" quotePrefix="0" xfId="0">
      <alignment horizontal="center" vertical="top" wrapText="1"/>
    </xf>
    <xf numFmtId="0" fontId="20" fillId="0" borderId="0" applyAlignment="1" pivotButton="0" quotePrefix="0" xfId="0">
      <alignment horizontal="general" vertical="top" wrapText="1"/>
    </xf>
    <xf numFmtId="171" fontId="17" fillId="0" borderId="0" applyAlignment="1" pivotButton="0" quotePrefix="0" xfId="15">
      <alignment horizontal="center" vertical="bottom"/>
    </xf>
    <xf numFmtId="173" fontId="17" fillId="0" borderId="0" applyAlignment="1" pivotButton="0" quotePrefix="0" xfId="0">
      <alignment horizontal="center" vertical="bottom"/>
    </xf>
    <xf numFmtId="174" fontId="22" fillId="0" borderId="0" applyAlignment="1" pivotButton="0" quotePrefix="0" xfId="0">
      <alignment horizontal="center" vertical="bottom"/>
    </xf>
    <xf numFmtId="165" fontId="17" fillId="0" borderId="0" applyAlignment="1" pivotButton="0" quotePrefix="0" xfId="15">
      <alignment horizontal="center" vertical="bottom"/>
    </xf>
    <xf numFmtId="171" fontId="22" fillId="0" borderId="0" applyAlignment="1" pivotButton="0" quotePrefix="0" xfId="15">
      <alignment horizontal="general" vertical="bottom"/>
    </xf>
    <xf numFmtId="171" fontId="22" fillId="0" borderId="0" applyAlignment="1" pivotButton="0" quotePrefix="0" xfId="15">
      <alignment horizontal="center" vertical="bottom"/>
    </xf>
    <xf numFmtId="165" fontId="17" fillId="0" borderId="0" applyAlignment="1" pivotButton="0" quotePrefix="0" xfId="0">
      <alignment horizontal="center" vertical="bottom"/>
    </xf>
    <xf numFmtId="171" fontId="20" fillId="0" borderId="0" applyAlignment="1" pivotButton="0" quotePrefix="0" xfId="0">
      <alignment horizontal="general" vertical="bottom"/>
    </xf>
    <xf numFmtId="165" fontId="20" fillId="0" borderId="0" applyAlignment="1" pivotButton="0" quotePrefix="0" xfId="0">
      <alignment horizontal="general" vertical="bottom"/>
    </xf>
    <xf numFmtId="0" fontId="20" fillId="6" borderId="0" applyAlignment="1" pivotButton="0" quotePrefix="0" xfId="0">
      <alignment horizontal="general" vertical="bottom"/>
    </xf>
    <xf numFmtId="171" fontId="17" fillId="0" borderId="0" applyAlignment="1" pivotButton="0" quotePrefix="0" xfId="0">
      <alignment horizontal="general" vertical="center" wrapText="1"/>
    </xf>
    <xf numFmtId="0" fontId="20" fillId="0" borderId="0" applyAlignment="1" pivotButton="0" quotePrefix="0" xfId="0">
      <alignment horizontal="right" vertical="bottom"/>
    </xf>
    <xf numFmtId="0" fontId="17" fillId="0" borderId="0" applyAlignment="1" pivotButton="0" quotePrefix="0" xfId="0">
      <alignment horizontal="right" vertical="bottom"/>
    </xf>
    <xf numFmtId="173" fontId="33" fillId="6" borderId="0" applyAlignment="1" pivotButton="0" quotePrefix="0" xfId="0">
      <alignment horizontal="center" vertical="bottom"/>
    </xf>
    <xf numFmtId="0" fontId="20" fillId="0" borderId="0" applyAlignment="1" pivotButton="0" quotePrefix="0" xfId="0">
      <alignment horizontal="center" vertical="bottom" wrapText="1"/>
    </xf>
    <xf numFmtId="175" fontId="20" fillId="5" borderId="0" applyAlignment="1" pivotButton="0" quotePrefix="0" xfId="0">
      <alignment horizontal="left" vertical="bottom"/>
    </xf>
    <xf numFmtId="176" fontId="20" fillId="5" borderId="0" applyAlignment="1" pivotButton="0" quotePrefix="0" xfId="0">
      <alignment horizontal="center" vertical="center" wrapText="1"/>
    </xf>
    <xf numFmtId="0" fontId="19" fillId="5" borderId="0" applyAlignment="1" pivotButton="0" quotePrefix="0" xfId="0">
      <alignment horizontal="center" vertical="center" wrapText="1"/>
    </xf>
    <xf numFmtId="0" fontId="22" fillId="5" borderId="0" applyAlignment="1" pivotButton="0" quotePrefix="0" xfId="0">
      <alignment horizontal="center" vertical="center"/>
    </xf>
    <xf numFmtId="173" fontId="22" fillId="5" borderId="0" applyAlignment="1" pivotButton="0" quotePrefix="0" xfId="0">
      <alignment horizontal="center" vertical="center"/>
    </xf>
    <xf numFmtId="10" fontId="22" fillId="5" borderId="0" applyAlignment="1" pivotButton="0" quotePrefix="0" xfId="19">
      <alignment horizontal="center" vertical="center"/>
    </xf>
    <xf numFmtId="10" fontId="22" fillId="5" borderId="0" applyAlignment="1" pivotButton="0" quotePrefix="0" xfId="0">
      <alignment horizontal="center" vertical="center"/>
    </xf>
    <xf numFmtId="0" fontId="17" fillId="5" borderId="0" applyAlignment="1" pivotButton="0" quotePrefix="0" xfId="0">
      <alignment horizontal="center" vertical="center"/>
    </xf>
    <xf numFmtId="173" fontId="0" fillId="5" borderId="0" applyAlignment="1" pivotButton="0" quotePrefix="0" xfId="0">
      <alignment horizontal="center" vertical="center"/>
    </xf>
    <xf numFmtId="0" fontId="0" fillId="5" borderId="0" applyAlignment="1" pivotButton="0" quotePrefix="0" xfId="0">
      <alignment horizontal="center" vertical="center"/>
    </xf>
    <xf numFmtId="0" fontId="17" fillId="5" borderId="0" applyAlignment="1" pivotButton="0" quotePrefix="0" xfId="0">
      <alignment horizontal="left" vertical="top"/>
    </xf>
    <xf numFmtId="173" fontId="0" fillId="5" borderId="0" applyAlignment="1" pivotButton="0" quotePrefix="0" xfId="0">
      <alignment horizontal="left" vertical="top"/>
    </xf>
    <xf numFmtId="0" fontId="0" fillId="5" borderId="0" applyAlignment="1" pivotButton="0" quotePrefix="0" xfId="0">
      <alignment horizontal="left" vertical="top"/>
    </xf>
    <xf numFmtId="165" fontId="17" fillId="5" borderId="0" applyAlignment="1" pivotButton="0" quotePrefix="0" xfId="0">
      <alignment horizontal="left" vertical="top"/>
    </xf>
    <xf numFmtId="165" fontId="0" fillId="5" borderId="0" applyAlignment="1" pivotButton="0" quotePrefix="0" xfId="15">
      <alignment horizontal="left" vertical="top"/>
    </xf>
    <xf numFmtId="0" fontId="44" fillId="6" borderId="0" applyAlignment="1" pivotButton="0" quotePrefix="0" xfId="0">
      <alignment horizontal="general" vertical="bottom"/>
    </xf>
    <xf numFmtId="0" fontId="39" fillId="0" borderId="0" applyAlignment="1" pivotButton="0" quotePrefix="0" xfId="0">
      <alignment horizontal="general" vertical="bottom"/>
    </xf>
    <xf numFmtId="171" fontId="0" fillId="0" borderId="0" applyAlignment="1" pivotButton="0" quotePrefix="0" xfId="15">
      <alignment horizontal="center" vertical="center"/>
    </xf>
    <xf numFmtId="171" fontId="0" fillId="0" borderId="0" applyAlignment="1" pivotButton="0" quotePrefix="0" xfId="15">
      <alignment horizontal="general" vertical="bottom"/>
    </xf>
    <xf numFmtId="171" fontId="22" fillId="0" borderId="0" applyAlignment="1" pivotButton="0" quotePrefix="0" xfId="15">
      <alignment horizontal="general" vertical="top"/>
    </xf>
    <xf numFmtId="10" fontId="22" fillId="0" borderId="0" applyAlignment="1" pivotButton="0" quotePrefix="0" xfId="19">
      <alignment horizontal="center" vertical="center"/>
    </xf>
    <xf numFmtId="0" fontId="33" fillId="0" borderId="0" applyAlignment="1" pivotButton="0" quotePrefix="0" xfId="0">
      <alignment horizontal="general" vertical="bottom"/>
    </xf>
    <xf numFmtId="0" fontId="45" fillId="0" borderId="0" applyAlignment="1" pivotButton="0" quotePrefix="0" xfId="0">
      <alignment horizontal="center" vertical="center" wrapText="1"/>
    </xf>
    <xf numFmtId="171" fontId="0" fillId="0" borderId="0" applyAlignment="1" pivotButton="0" quotePrefix="0" xfId="15">
      <alignment horizontal="center" vertical="top" wrapText="1"/>
    </xf>
    <xf numFmtId="0" fontId="22" fillId="6" borderId="0" applyAlignment="1" pivotButton="0" quotePrefix="0" xfId="15">
      <alignment horizontal="center" vertical="center"/>
    </xf>
    <xf numFmtId="0" fontId="0" fillId="0" borderId="0" applyAlignment="1" pivotButton="0" quotePrefix="0" xfId="0">
      <alignment horizontal="general" vertical="center"/>
    </xf>
    <xf numFmtId="0" fontId="0" fillId="0" borderId="0" applyAlignment="1" pivotButton="0" quotePrefix="0" xfId="0">
      <alignment horizontal="center" vertical="center"/>
    </xf>
    <xf numFmtId="0" fontId="33" fillId="0" borderId="0" applyAlignment="1" pivotButton="0" quotePrefix="0" xfId="0">
      <alignment horizontal="center" vertical="center"/>
    </xf>
    <xf numFmtId="173" fontId="19" fillId="0" borderId="0" applyAlignment="1" pivotButton="0" quotePrefix="0" xfId="0">
      <alignment horizontal="center" vertical="bottom" wrapText="1"/>
    </xf>
    <xf numFmtId="165" fontId="19" fillId="0" borderId="0" applyAlignment="1" pivotButton="0" quotePrefix="0" xfId="15">
      <alignment horizontal="center" vertical="bottom"/>
    </xf>
    <xf numFmtId="0" fontId="0" fillId="0" borderId="0" applyAlignment="1" pivotButton="0" quotePrefix="0" xfId="15">
      <alignment horizontal="center" vertical="bottom"/>
    </xf>
    <xf numFmtId="0" fontId="19" fillId="0" borderId="0" applyAlignment="1" pivotButton="0" quotePrefix="0" xfId="0">
      <alignment horizontal="right" vertical="bottom" textRotation="90" wrapText="1"/>
    </xf>
    <xf numFmtId="0" fontId="0" fillId="7" borderId="0" applyAlignment="1" pivotButton="0" quotePrefix="0" xfId="0">
      <alignment horizontal="center" vertical="center"/>
    </xf>
    <xf numFmtId="171" fontId="0" fillId="0" borderId="0" applyAlignment="1" pivotButton="0" quotePrefix="0" xfId="15">
      <alignment horizontal="general" vertical="top"/>
    </xf>
    <xf numFmtId="10" fontId="0" fillId="0" borderId="0" applyAlignment="1" pivotButton="0" quotePrefix="0" xfId="19">
      <alignment horizontal="center" vertical="center"/>
    </xf>
    <xf numFmtId="0" fontId="17" fillId="0" borderId="0" applyAlignment="1" pivotButton="0" quotePrefix="0" xfId="15">
      <alignment horizontal="center" vertical="center"/>
    </xf>
    <xf numFmtId="0" fontId="19" fillId="0" borderId="0" applyAlignment="1" pivotButton="0" quotePrefix="0" xfId="0">
      <alignment horizontal="center" vertical="bottom"/>
    </xf>
    <xf numFmtId="0" fontId="17" fillId="6" borderId="0" applyAlignment="1" pivotButton="0" quotePrefix="0" xfId="15">
      <alignment horizontal="center" vertical="center"/>
    </xf>
    <xf numFmtId="0" fontId="19" fillId="0" borderId="0" applyAlignment="1" pivotButton="0" quotePrefix="0" xfId="0">
      <alignment horizontal="right" vertical="center" textRotation="90"/>
    </xf>
    <xf numFmtId="0" fontId="19" fillId="6" borderId="0" applyAlignment="1" pivotButton="0" quotePrefix="0" xfId="0">
      <alignment horizontal="general" vertical="bottom" wrapText="1"/>
    </xf>
    <xf numFmtId="0" fontId="0" fillId="0" borderId="0" applyAlignment="1" pivotButton="0" quotePrefix="0" xfId="0">
      <alignment horizontal="general" vertical="top"/>
    </xf>
    <xf numFmtId="169" fontId="32" fillId="0" borderId="0" applyAlignment="1" pivotButton="0" quotePrefix="0" xfId="15">
      <alignment horizontal="general" vertical="bottom"/>
    </xf>
    <xf numFmtId="0" fontId="0" fillId="0" borderId="0" applyAlignment="1" pivotButton="0" quotePrefix="0" xfId="0">
      <alignment horizontal="general" vertical="top" wrapText="1"/>
    </xf>
    <xf numFmtId="165" fontId="0" fillId="0" borderId="0" applyAlignment="1" pivotButton="0" quotePrefix="0" xfId="0">
      <alignment horizontal="general" vertical="center"/>
    </xf>
    <xf numFmtId="0" fontId="0" fillId="0" borderId="0" applyAlignment="1" pivotButton="0" quotePrefix="0" xfId="0">
      <alignment horizontal="center" vertical="center" wrapText="1"/>
    </xf>
    <xf numFmtId="0" fontId="32" fillId="0" borderId="0" applyAlignment="1" pivotButton="0" quotePrefix="0" xfId="0">
      <alignment horizontal="center" vertical="center"/>
    </xf>
    <xf numFmtId="2" fontId="32" fillId="0" borderId="0" applyAlignment="1" pivotButton="0" quotePrefix="0" xfId="0">
      <alignment horizontal="center" vertical="center"/>
    </xf>
    <xf numFmtId="165" fontId="19" fillId="6" borderId="0" applyAlignment="1" pivotButton="0" quotePrefix="0" xfId="0">
      <alignment horizontal="general" vertical="bottom"/>
    </xf>
    <xf numFmtId="165" fontId="15" fillId="0" borderId="0" applyAlignment="1" pivotButton="0" quotePrefix="0" xfId="15">
      <alignment horizontal="center" vertical="bottom"/>
    </xf>
    <xf numFmtId="165" fontId="17" fillId="0" borderId="4" applyAlignment="1" pivotButton="0" quotePrefix="0" xfId="15">
      <alignment horizontal="center" vertical="bottom"/>
    </xf>
    <xf numFmtId="165" fontId="18" fillId="0" borderId="0" applyAlignment="1" pivotButton="0" quotePrefix="0" xfId="15">
      <alignment horizontal="center" vertical="bottom"/>
    </xf>
    <xf numFmtId="165" fontId="26" fillId="0" borderId="0" applyAlignment="1" pivotButton="0" quotePrefix="0" xfId="15">
      <alignment horizontal="center" vertical="top"/>
    </xf>
    <xf numFmtId="10" fontId="17" fillId="0" borderId="0" applyAlignment="1" pivotButton="0" quotePrefix="0" xfId="19">
      <alignment horizontal="general" vertical="bottom"/>
    </xf>
    <xf numFmtId="165" fontId="17" fillId="0" borderId="4" applyAlignment="1" pivotButton="0" quotePrefix="0" xfId="15">
      <alignment horizontal="center" vertical="top"/>
    </xf>
    <xf numFmtId="0" fontId="46" fillId="0" borderId="4" applyAlignment="1" pivotButton="0" quotePrefix="0" xfId="21">
      <alignment horizontal="general" vertical="bottom"/>
    </xf>
    <xf numFmtId="0" fontId="17" fillId="0" borderId="0" applyAlignment="1" pivotButton="0" quotePrefix="0" xfId="21">
      <alignment horizontal="general" vertical="center"/>
    </xf>
    <xf numFmtId="0" fontId="17" fillId="0" borderId="0" applyAlignment="1" pivotButton="0" quotePrefix="0" xfId="21">
      <alignment horizontal="general" vertical="bottom"/>
    </xf>
    <xf numFmtId="0" fontId="17" fillId="0" borderId="10" applyAlignment="1" pivotButton="0" quotePrefix="0" xfId="21">
      <alignment horizontal="general" vertical="center" wrapText="1"/>
    </xf>
    <xf numFmtId="0" fontId="17" fillId="0" borderId="0" applyAlignment="1" pivotButton="0" quotePrefix="0" xfId="21">
      <alignment horizontal="left" vertical="bottom"/>
    </xf>
    <xf numFmtId="165" fontId="33" fillId="6" borderId="0" applyAlignment="1" pivotButton="0" quotePrefix="0" xfId="15">
      <alignment horizontal="general" vertical="bottom"/>
    </xf>
    <xf numFmtId="0" fontId="17" fillId="0" borderId="0" applyAlignment="1" pivotButton="0" quotePrefix="0" xfId="21">
      <alignment horizontal="left" vertical="top" wrapText="1"/>
    </xf>
    <xf numFmtId="165" fontId="17" fillId="0" borderId="0" applyAlignment="1" pivotButton="0" quotePrefix="0" xfId="15">
      <alignment horizontal="right" vertical="bottom"/>
    </xf>
    <xf numFmtId="165" fontId="20" fillId="0" borderId="0" applyAlignment="1" pivotButton="0" quotePrefix="0" xfId="15">
      <alignment horizontal="left" vertical="bottom"/>
    </xf>
    <xf numFmtId="9" fontId="33" fillId="0" borderId="0" applyAlignment="1" pivotButton="0" quotePrefix="0" xfId="24">
      <alignment horizontal="general" vertical="bottom"/>
    </xf>
    <xf numFmtId="0" fontId="17" fillId="0" borderId="0" applyAlignment="1" pivotButton="0" quotePrefix="0" xfId="21">
      <alignment horizontal="left" vertical="bottom" wrapText="1"/>
    </xf>
    <xf numFmtId="2" fontId="33" fillId="0" borderId="0" applyAlignment="1" pivotButton="0" quotePrefix="0" xfId="21">
      <alignment horizontal="general" vertical="bottom"/>
    </xf>
    <xf numFmtId="9" fontId="33" fillId="0" borderId="0" applyAlignment="1" pivotButton="0" quotePrefix="0" xfId="19">
      <alignment horizontal="general" vertical="bottom"/>
    </xf>
    <xf numFmtId="165" fontId="17" fillId="0" borderId="0" applyAlignment="1" pivotButton="0" quotePrefix="0" xfId="15">
      <alignment horizontal="left" vertical="bottom"/>
    </xf>
    <xf numFmtId="172" fontId="0" fillId="6" borderId="0" applyAlignment="1" pivotButton="0" quotePrefix="0" xfId="19">
      <alignment horizontal="general" vertical="bottom"/>
    </xf>
    <xf numFmtId="164" fontId="18" fillId="4" borderId="0" applyAlignment="1" pivotButton="0" quotePrefix="0" xfId="0">
      <alignment horizontal="center" vertical="bottom"/>
    </xf>
    <xf numFmtId="164" fontId="20" fillId="8" borderId="0" applyAlignment="1" pivotButton="0" quotePrefix="0" xfId="0">
      <alignment horizontal="center" vertical="bottom"/>
    </xf>
    <xf numFmtId="164" fontId="20" fillId="9" borderId="0" applyAlignment="1" pivotButton="0" quotePrefix="0" xfId="0">
      <alignment horizontal="center" vertical="bottom"/>
    </xf>
    <xf numFmtId="0" fontId="19" fillId="5" borderId="0" applyAlignment="1" pivotButton="0" quotePrefix="0" xfId="0">
      <alignment horizontal="center" vertical="top"/>
    </xf>
    <xf numFmtId="164" fontId="21" fillId="5" borderId="0" applyAlignment="1" pivotButton="0" quotePrefix="0" xfId="0">
      <alignment horizontal="center" vertical="top"/>
    </xf>
    <xf numFmtId="0" fontId="17" fillId="0" borderId="0" applyAlignment="1" pivotButton="0" quotePrefix="0" xfId="21">
      <alignment horizontal="left" vertical="bottom" indent="1"/>
    </xf>
    <xf numFmtId="165" fontId="0" fillId="0" borderId="0" applyAlignment="1" pivotButton="0" quotePrefix="0" xfId="0">
      <alignment horizontal="center" vertical="top"/>
    </xf>
    <xf numFmtId="172" fontId="17" fillId="0" borderId="0" applyAlignment="1" pivotButton="0" quotePrefix="0" xfId="24">
      <alignment horizontal="left" vertical="bottom" indent="1"/>
    </xf>
    <xf numFmtId="172" fontId="17" fillId="0" borderId="11" applyAlignment="1" pivotButton="0" quotePrefix="0" xfId="24">
      <alignment horizontal="left" vertical="bottom" indent="1"/>
    </xf>
    <xf numFmtId="0" fontId="20" fillId="0" borderId="0" applyAlignment="1" pivotButton="0" quotePrefix="0" xfId="21">
      <alignment horizontal="general" vertical="bottom"/>
    </xf>
    <xf numFmtId="172" fontId="17" fillId="0" borderId="11" applyAlignment="1" pivotButton="0" quotePrefix="0" xfId="24">
      <alignment horizontal="left" vertical="bottom"/>
    </xf>
    <xf numFmtId="2" fontId="0" fillId="0" borderId="0" applyAlignment="1" pivotButton="0" quotePrefix="0" xfId="15">
      <alignment horizontal="center" vertical="bottom"/>
    </xf>
    <xf numFmtId="165" fontId="0" fillId="0" borderId="0" applyAlignment="1" pivotButton="0" quotePrefix="0" xfId="0">
      <alignment horizontal="left" vertical="bottom"/>
    </xf>
    <xf numFmtId="9" fontId="0" fillId="0" borderId="0" applyAlignment="1" pivotButton="0" quotePrefix="0" xfId="19">
      <alignment horizontal="center" vertical="bottom"/>
    </xf>
    <xf numFmtId="9" fontId="33" fillId="0" borderId="0" applyAlignment="1" pivotButton="0" quotePrefix="0" xfId="0">
      <alignment horizontal="center" vertical="bottom"/>
    </xf>
    <xf numFmtId="0" fontId="33" fillId="0" borderId="0" applyAlignment="1" pivotButton="0" quotePrefix="0" xfId="0">
      <alignment horizontal="center" vertical="bottom"/>
    </xf>
    <xf numFmtId="172" fontId="17" fillId="0" borderId="0" applyAlignment="1" pivotButton="0" quotePrefix="0" xfId="24">
      <alignment horizontal="left" vertical="bottom"/>
    </xf>
    <xf numFmtId="171" fontId="0" fillId="0" borderId="0" applyAlignment="1" pivotButton="0" quotePrefix="0" xfId="0">
      <alignment horizontal="general" vertical="bottom"/>
    </xf>
    <xf numFmtId="9" fontId="0" fillId="0" borderId="0" applyAlignment="1" pivotButton="0" quotePrefix="0" xfId="0">
      <alignment horizontal="general" vertical="bottom"/>
    </xf>
    <xf numFmtId="171" fontId="32" fillId="6" borderId="0" applyAlignment="1" pivotButton="0" quotePrefix="0" xfId="17">
      <alignment horizontal="general" vertical="bottom"/>
    </xf>
    <xf numFmtId="171" fontId="47" fillId="0" borderId="12" applyAlignment="1" pivotButton="0" quotePrefix="0" xfId="15">
      <alignment horizontal="general" vertical="bottom"/>
    </xf>
    <xf numFmtId="0" fontId="46" fillId="0" borderId="0" applyAlignment="1" pivotButton="0" quotePrefix="0" xfId="21">
      <alignment horizontal="general" vertical="bottom"/>
    </xf>
    <xf numFmtId="0" fontId="46" fillId="0" borderId="13" applyAlignment="1" pivotButton="0" quotePrefix="0" xfId="21">
      <alignment horizontal="right" vertical="bottom"/>
    </xf>
    <xf numFmtId="164" fontId="18" fillId="0" borderId="0" applyAlignment="1" pivotButton="0" quotePrefix="0" xfId="0">
      <alignment horizontal="center" vertical="bottom"/>
    </xf>
    <xf numFmtId="0" fontId="20" fillId="0" borderId="5" applyAlignment="1" pivotButton="0" quotePrefix="0" xfId="21">
      <alignment horizontal="right" vertical="bottom"/>
    </xf>
    <xf numFmtId="0" fontId="20" fillId="0" borderId="14" applyAlignment="1" pivotButton="0" quotePrefix="0" xfId="21">
      <alignment horizontal="center" vertical="bottom"/>
    </xf>
    <xf numFmtId="171" fontId="48" fillId="0" borderId="5" applyAlignment="1" pivotButton="0" quotePrefix="0" xfId="21">
      <alignment horizontal="general" vertical="bottom"/>
    </xf>
    <xf numFmtId="172" fontId="20" fillId="0" borderId="5" applyAlignment="1" pivotButton="0" quotePrefix="0" xfId="21">
      <alignment horizontal="center" vertical="bottom"/>
    </xf>
    <xf numFmtId="0" fontId="46" fillId="0" borderId="5" applyAlignment="1" pivotButton="0" quotePrefix="0" xfId="21">
      <alignment horizontal="general" vertical="bottom"/>
    </xf>
    <xf numFmtId="9" fontId="49" fillId="0" borderId="0" applyAlignment="1" pivotButton="0" quotePrefix="0" xfId="21">
      <alignment horizontal="center" vertical="bottom"/>
    </xf>
    <xf numFmtId="172" fontId="17" fillId="0" borderId="0" applyAlignment="1" pivotButton="0" quotePrefix="0" xfId="21">
      <alignment horizontal="right" vertical="bottom"/>
    </xf>
    <xf numFmtId="171" fontId="17" fillId="0" borderId="13" applyAlignment="1" pivotButton="0" quotePrefix="0" xfId="21">
      <alignment horizontal="center" vertical="bottom"/>
    </xf>
    <xf numFmtId="172" fontId="48" fillId="0" borderId="0" applyAlignment="1" pivotButton="0" quotePrefix="0" xfId="21">
      <alignment horizontal="right" vertical="bottom"/>
    </xf>
    <xf numFmtId="171" fontId="0" fillId="0" borderId="0" applyAlignment="1" pivotButton="0" quotePrefix="0" xfId="15">
      <alignment horizontal="center" vertical="bottom"/>
    </xf>
    <xf numFmtId="0" fontId="47" fillId="0" borderId="0" applyAlignment="1" pivotButton="0" quotePrefix="0" xfId="0">
      <alignment horizontal="general" vertical="bottom"/>
    </xf>
    <xf numFmtId="2" fontId="17" fillId="0" borderId="0" applyAlignment="1" pivotButton="0" quotePrefix="0" xfId="21">
      <alignment horizontal="center" vertical="bottom"/>
    </xf>
    <xf numFmtId="1" fontId="32" fillId="6" borderId="0" applyAlignment="1" pivotButton="0" quotePrefix="0" xfId="21">
      <alignment horizontal="center" vertical="bottom"/>
    </xf>
    <xf numFmtId="0" fontId="18" fillId="0" borderId="12" applyAlignment="1" pivotButton="0" quotePrefix="0" xfId="0">
      <alignment horizontal="center" vertical="bottom"/>
    </xf>
    <xf numFmtId="0" fontId="17" fillId="0" borderId="13" applyAlignment="1" pivotButton="0" quotePrefix="0" xfId="21">
      <alignment horizontal="right" vertical="bottom"/>
    </xf>
    <xf numFmtId="0" fontId="20" fillId="0" borderId="14" applyAlignment="1" pivotButton="0" quotePrefix="0" xfId="21">
      <alignment horizontal="right" vertical="bottom"/>
    </xf>
    <xf numFmtId="168" fontId="20" fillId="0" borderId="5" applyAlignment="1" pivotButton="0" quotePrefix="0" xfId="21">
      <alignment horizontal="center" vertical="bottom"/>
    </xf>
    <xf numFmtId="172" fontId="17" fillId="0" borderId="0" applyAlignment="1" pivotButton="0" quotePrefix="0" xfId="21">
      <alignment horizontal="general" vertical="bottom"/>
    </xf>
    <xf numFmtId="171" fontId="17" fillId="0" borderId="13" applyAlignment="1" pivotButton="0" quotePrefix="0" xfId="21">
      <alignment horizontal="general" vertical="bottom"/>
    </xf>
    <xf numFmtId="1" fontId="32" fillId="6" borderId="0" applyAlignment="1" pivotButton="0" quotePrefix="0" xfId="0">
      <alignment horizontal="center" vertical="bottom"/>
    </xf>
    <xf numFmtId="172" fontId="17" fillId="0" borderId="0" applyAlignment="1" pivotButton="0" quotePrefix="0" xfId="24">
      <alignment horizontal="general" vertical="bottom"/>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Normal 2" xfId="7"/>
    <cellStyle name="Normal 2 2" xfId="8"/>
    <cellStyle name="Normal_RtN Datapage sample" xfId="9"/>
    <cellStyle name="Percent 2" xfId="10"/>
  </cellStyles>
  <dxfs count="6">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
      <font>
        <name val="Calibri"/>
        <family val="2"/>
        <color rgb="FF800080"/>
        <sz val="11"/>
      </font>
      <fill>
        <patternFill>
          <bgColor rgb="FFFF99CC"/>
        </patternFill>
      </fill>
    </dxf>
    <dxf>
      <font>
        <name val="Calibri"/>
        <family val="2"/>
        <color rgb="FF008000"/>
        <sz val="11"/>
      </font>
      <fill>
        <patternFill>
          <bgColor rgb="FFCCFF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4F81BD"/>
      <rgbColor rgb="FFC0C0C0"/>
      <rgbColor rgb="FF808080"/>
      <rgbColor rgb="FF9999FF"/>
      <rgbColor rgb="FFC0504D"/>
      <rgbColor rgb="FFFFFFCC"/>
      <rgbColor rgb="FFAABAD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91C3D5"/>
      <rgbColor rgb="FFCCFFCC"/>
      <rgbColor rgb="FFFFFF99"/>
      <rgbColor rgb="FF99CCFF"/>
      <rgbColor rgb="FFFF99CC"/>
      <rgbColor rgb="FFCC99FF"/>
      <rgbColor rgb="FFC6D6AC"/>
      <rgbColor rgb="FF40699C"/>
      <rgbColor rgb="FF4BACC6"/>
      <rgbColor rgb="FF9BBB59"/>
      <rgbColor rgb="FFFFCC00"/>
      <rgbColor rgb="FFFF9900"/>
      <rgbColor rgb="FFFF6600"/>
      <rgbColor rgb="FF8064A2"/>
      <rgbColor rgb="FF7F9A48"/>
      <rgbColor rgb="FF003366"/>
      <rgbColor rgb="FF4198AF"/>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09925915763479221"/>
          <y val="0.139421338155515"/>
          <w val="0.816504321580464"/>
          <h val="0.615551537070525"/>
        </manualLayout>
      </layout>
      <pie3DChart>
        <varyColors val="1"/>
        <ser>
          <idx val="0"/>
          <order val="0"/>
          <spPr>
            <a:solidFill>
              <a:srgbClr val="4f81bd"/>
            </a:solidFill>
            <a:ln w="0">
              <a:noFill/>
              <a:prstDash val="solid"/>
            </a:ln>
          </spPr>
          <explosion val="5"/>
          <dPt>
            <idx val="0"/>
            <explosion val="5"/>
            <spPr>
              <a:solidFill>
                <a:srgbClr val="4f81bd"/>
              </a:solidFill>
              <a:ln w="0">
                <a:noFill/>
                <a:prstDash val="solid"/>
              </a:ln>
            </spPr>
          </dPt>
          <dPt>
            <idx val="1"/>
            <explosion val="5"/>
            <spPr>
              <a:solidFill>
                <a:srgbClr val="c0504d"/>
              </a:solidFill>
              <a:ln w="0">
                <a:noFill/>
                <a:prstDash val="solid"/>
              </a:ln>
            </spPr>
          </dPt>
          <dPt>
            <idx val="2"/>
            <explosion val="5"/>
            <spPr>
              <a:solidFill>
                <a:srgbClr val="9bbb59"/>
              </a:solidFill>
              <a:ln w="0">
                <a:noFill/>
                <a:prstDash val="solid"/>
              </a:ln>
            </spPr>
          </dPt>
          <dPt>
            <idx val="3"/>
            <explosion val="5"/>
            <spPr>
              <a:solidFill>
                <a:srgbClr val="8064a2"/>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3"/>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Overview'!$I$44:$I$47</f>
              <strCache>
                <ptCount val="4"/>
                <pt idx="0">
                  <v>USA</v>
                </pt>
                <pt idx="1">
                  <v>Europe</v>
                </pt>
                <pt idx="2">
                  <v>ARV's</v>
                </pt>
                <pt idx="3">
                  <v>Rest of the World</v>
                </pt>
              </strCache>
            </strRef>
          </cat>
          <val>
            <numRef>
              <f>'Company Overview'!$J$44:$J$47</f>
              <numCache>
                <formatCode>_(* #,##0.00_);_(* \(#,##0.00\);_(* \-??_);_(@_)</formatCode>
                <ptCount val="4"/>
                <pt idx="0">
                  <v>5584</v>
                </pt>
                <pt idx="1">
                  <v>1923</v>
                </pt>
                <pt idx="2">
                  <v>4640</v>
                </pt>
                <pt idx="3">
                  <v>1951</v>
                </pt>
              </numCache>
            </numRef>
          </val>
        </ser>
      </pie3DChart>
    </plotArea>
    <legend>
      <legendPos val="r"/>
      <layout>
        <manualLayout>
          <xMode val="edge"/>
          <yMode val="edge"/>
          <wMode val="factor"/>
          <hMode val="factor"/>
          <x val="0.183495678419536"/>
          <y val="0.8229656419529841"/>
          <w val="0.534778433255591"/>
          <h val="0.10849909584086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07442172309755"/>
          <y val="0.141975308641975"/>
          <w val="0.802799195440831"/>
          <h val="0.606808829031051"/>
        </manualLayout>
      </layout>
      <pie3DChart>
        <varyColors val="1"/>
        <ser>
          <idx val="0"/>
          <order val="0"/>
          <spPr>
            <a:solidFill>
              <a:srgbClr val="4f81bd"/>
            </a:solidFill>
            <a:ln w="0">
              <a:noFill/>
              <a:prstDash val="solid"/>
            </a:ln>
          </spPr>
          <explosion val="5"/>
          <dPt>
            <idx val="0"/>
            <explosion val="5"/>
            <spPr>
              <a:solidFill>
                <a:srgbClr val="40699c"/>
              </a:solidFill>
              <a:ln w="0">
                <a:noFill/>
                <a:prstDash val="solid"/>
              </a:ln>
            </spPr>
          </dPt>
          <dPt>
            <idx val="1"/>
            <explosion val="5"/>
            <spPr>
              <a:solidFill>
                <a:srgbClr val="4f81bd"/>
              </a:solidFill>
              <a:ln w="0">
                <a:noFill/>
                <a:prstDash val="solid"/>
              </a:ln>
            </spPr>
          </dPt>
          <dPt>
            <idx val="2"/>
            <explosion val="5"/>
            <spPr>
              <a:solidFill>
                <a:srgbClr val="aabad7"/>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Overview'!$A$43:$A$45</f>
              <strCache>
                <ptCount val="3"/>
                <pt idx="0">
                  <v xml:space="preserve">India </v>
                </pt>
                <pt idx="1">
                  <v>China</v>
                </pt>
                <pt idx="2">
                  <v>Rest of the World</v>
                </pt>
              </strCache>
            </strRef>
          </cat>
          <val>
            <numRef>
              <f>'Company Overview'!$B$43:$B$45</f>
              <numCache>
                <formatCode>_(* #,##0.00_);_(* \(#,##0.00\);_(* \-??_);_(@_)</formatCode>
                <ptCount val="3"/>
                <pt idx="0">
                  <v>24443.8443149965</v>
                </pt>
                <pt idx="1">
                  <v>366.562112319882</v>
                </pt>
                <pt idx="2">
                  <v>6432.02357268361</v>
                </pt>
              </numCache>
            </numRef>
          </val>
        </ser>
      </pie3DChart>
    </plotArea>
    <legend>
      <legendPos val="r"/>
      <layout>
        <manualLayout>
          <xMode val="edge"/>
          <yMode val="edge"/>
          <wMode val="factor"/>
          <hMode val="factor"/>
          <x val="0.185719074756956"/>
          <y val="0.8153759820426491"/>
          <w val="0.529249078109286"/>
          <h val="0.112233445566779"/>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3.xml><?xml version="1.0" encoding="utf-8"?>
<chartSpace xmlns:a="http://schemas.openxmlformats.org/drawingml/2006/main" xmlns="http://schemas.openxmlformats.org/drawingml/2006/chart">
  <chart>
    <plotArea>
      <layout>
        <manualLayout>
          <xMode val="edge"/>
          <yMode val="edge"/>
          <wMode val="factor"/>
          <hMode val="factor"/>
          <x val="0.0193290846697948"/>
          <y val="0.0505994716521032"/>
          <w val="0.968660270327054"/>
          <h val="0.837228205649258"/>
        </manualLayout>
      </layout>
      <barChart>
        <barDir val="col"/>
        <grouping val="stacked"/>
        <varyColors val="0"/>
        <ser>
          <idx val="0"/>
          <order val="0"/>
          <tx>
            <strRef>
              <f>'Company Overview'!$A$80</f>
              <strCache>
                <ptCount val="1"/>
                <pt idx="0">
                  <v>Formulations</v>
                </pt>
              </strCache>
            </strRef>
          </tx>
          <spPr>
            <a:solidFill>
              <a:srgbClr val="40699c"/>
            </a:solidFill>
            <a:ln w="0">
              <a:solidFill>
                <a:srgbClr val="333399"/>
              </a:solidFill>
              <a:prstDash val="solid"/>
            </a:ln>
          </spPr>
          <invertIfNegative val="0"/>
          <dLbls>
            <numFmt formatCode="#,##0"/>
            <txPr>
              <a:bodyPr/>
              <a:lstStyle/>
              <a:p>
                <a:pPr>
                  <a:defRPr sz="900" b="0" strike="noStrike" spc="-1">
                    <a:solidFill>
                      <a:srgbClr val="ffffff"/>
                    </a:solidFill>
                    <a:latin typeface="Calibri"/>
                  </a:defRPr>
                </a:pPr>
                <a:r>
                  <a:t/>
                </a:r>
              </a:p>
            </txPr>
            <dLblPos val="ct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Overview'!$B$80:$I$80</f>
              <numCache>
                <formatCode>_(* #,##0.00_);_(* \(#,##0.00\);_(* \-??_);_(@_)</formatCode>
                <ptCount val="8"/>
                <pt idx="0">
                  <v>7196.2</v>
                </pt>
                <pt idx="1">
                  <v>10048</v>
                </pt>
                <pt idx="2">
                  <v>14098</v>
                </pt>
                <pt idx="3">
                  <v>21408.6194230573</v>
                </pt>
                <pt idx="4">
                  <v>28084.8073262365</v>
                </pt>
                <pt idx="5">
                  <v>34825.1610845333</v>
                </pt>
                <pt idx="6">
                  <v>42486.6965231306</v>
                </pt>
                <pt idx="7">
                  <v>50984.0358277568</v>
                </pt>
              </numCache>
            </numRef>
          </val>
        </ser>
        <ser>
          <idx val="1"/>
          <order val="1"/>
          <tx>
            <strRef>
              <f>'Company Overview'!$A$81</f>
              <strCache>
                <ptCount val="1"/>
                <pt idx="0">
                  <v>Active Ingredients</v>
                </pt>
              </strCache>
            </strRef>
          </tx>
          <spPr>
            <a:solidFill>
              <a:srgbClr val="4f81bd"/>
            </a:solidFill>
            <a:ln w="0">
              <a:solidFill>
                <a:srgbClr val="333399"/>
              </a:solidFill>
              <a:prstDash val="solid"/>
            </a:ln>
          </spPr>
          <invertIfNegative val="0"/>
          <dLbls>
            <numFmt formatCode="#,##0"/>
            <txPr>
              <a:bodyPr/>
              <a:lstStyle/>
              <a:p>
                <a:pPr>
                  <a:defRPr sz="1000" b="0" strike="noStrike" spc="-1">
                    <a:solidFill>
                      <a:srgbClr val="ffffff"/>
                    </a:solidFill>
                    <a:latin typeface="Calibri"/>
                  </a:defRPr>
                </a:pPr>
                <a:r>
                  <a:t/>
                </a:r>
              </a:p>
            </txPr>
            <dLblPos val="inEnd"/>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Overview'!$B$81:$I$81</f>
              <numCache>
                <formatCode>_(* #,##0.00_);_(* \(#,##0.00\);_(* \-??_);_(@_)</formatCode>
                <ptCount val="8"/>
                <pt idx="0">
                  <v>15306</v>
                </pt>
                <pt idx="1">
                  <v>15476</v>
                </pt>
                <pt idx="2">
                  <v>16466</v>
                </pt>
                <pt idx="3">
                  <v>17956.8423769427</v>
                </pt>
                <pt idx="4">
                  <v>20728.3653057635</v>
                </pt>
                <pt idx="5">
                  <v>25703.1729791467</v>
                </pt>
                <pt idx="6">
                  <v>31357.8710345589</v>
                </pt>
                <pt idx="7">
                  <v>37629.4452414707</v>
                </pt>
              </numCache>
            </numRef>
          </val>
        </ser>
        <gapWidth val="150"/>
        <overlap val="100"/>
        <axId val="39708768"/>
        <axId val="50534756"/>
      </barChart>
      <lineChart>
        <grouping val="stacked"/>
        <varyColors val="0"/>
        <ser>
          <idx val="2"/>
          <order val="2"/>
          <tx>
            <strRef>
              <f>'Company Overview'!$A$82</f>
              <strCache>
                <ptCount val="1"/>
                <pt idx="0">
                  <v>% Y-o-Y Growth</v>
                </pt>
              </strCache>
            </strRef>
          </tx>
          <spPr>
            <a:solidFill>
              <a:srgbClr val="c0c0c0"/>
            </a:solidFill>
            <a:ln w="37800">
              <a:solidFill>
                <a:srgbClr val="c0c0c0"/>
              </a:solidFill>
              <a:prstDash val="solid"/>
              <a:round/>
            </a:ln>
          </spPr>
          <marker>
            <symbol val="none"/>
            <spPr>
              <a:ln>
                <a:prstDash val="solid"/>
              </a:ln>
            </spPr>
          </marker>
          <dLbls>
            <numFmt formatCode="0%"/>
            <txPr>
              <a:bodyPr/>
              <a:lstStyle/>
              <a:p>
                <a:pPr>
                  <a:defRPr sz="1000" b="0" strike="noStrike" spc="-1">
                    <a:solidFill>
                      <a:srgbClr val="000000"/>
                    </a:solidFill>
                    <a:latin typeface="Calibri"/>
                  </a:defRPr>
                </a:pPr>
                <a:r>
                  <a:t/>
                </a:r>
              </a:p>
            </txPr>
            <dLblPos val="r"/>
            <showLegendKey val="0"/>
            <showVal val="1"/>
            <showCatName val="0"/>
            <showSerName val="0"/>
            <showPercent val="0"/>
            <showLeaderLines val="1"/>
          </dLbls>
          <cat>
            <strRef>
              <f>'Company Overview'!$B$79:$I$79</f>
              <strCache>
                <ptCount val="8"/>
                <pt idx="0">
                  <v>FY2007 A</v>
                </pt>
                <pt idx="1">
                  <v>FY2008 A</v>
                </pt>
                <pt idx="2">
                  <v>FY2009 A</v>
                </pt>
                <pt idx="3">
                  <v>FY2010 E</v>
                </pt>
                <pt idx="4">
                  <v>FY2011 E</v>
                </pt>
                <pt idx="5">
                  <v>FY2012 E</v>
                </pt>
                <pt idx="6">
                  <v>FY2013 E</v>
                </pt>
                <pt idx="7">
                  <v>FY2014 E</v>
                </pt>
              </strCache>
            </strRef>
          </cat>
          <val>
            <numRef>
              <f>'Company Overview'!$B$82:$I$82</f>
              <numCache>
                <formatCode>0%</formatCode>
                <ptCount val="8"/>
                <pt idx="1">
                  <v>0.134289091733253</v>
                </pt>
                <pt idx="2">
                  <v>0.197461212976022</v>
                </pt>
                <pt idx="3">
                  <v>0.287968256772674</v>
                </pt>
                <pt idx="4">
                  <v>0.24</v>
                </pt>
                <pt idx="5">
                  <v>0.24</v>
                </pt>
                <pt idx="6">
                  <v>0.22</v>
                </pt>
                <pt idx="7">
                  <v>0.2</v>
                </pt>
              </numCache>
            </numRef>
          </val>
          <smooth val="0"/>
        </ser>
        <hiLowLines>
          <spPr>
            <a:ln w="0">
              <a:noFill/>
              <a:prstDash val="solid"/>
            </a:ln>
          </spPr>
        </hiLowLines>
        <marker val="0"/>
        <axId val="21718716"/>
        <axId val="99464514"/>
      </lineChart>
      <catAx>
        <axId val="39708768"/>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50534756"/>
        <crossesAt val="0"/>
        <auto val="1"/>
        <lblAlgn val="ctr"/>
        <lblOffset val="100"/>
        <noMultiLvlLbl val="0"/>
      </catAx>
      <valAx>
        <axId val="50534756"/>
        <scaling>
          <orientation val="minMax"/>
        </scaling>
        <delete val="0"/>
        <axPos val="l"/>
        <numFmt formatCode="_ * #,##0_ ;_ * \-#,##0_ ;_ * \-_ ;_ @_ "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39708768"/>
        <crossesAt val="1"/>
        <crossBetween val="midCat"/>
      </valAx>
      <catAx>
        <axId val="21718716"/>
        <scaling>
          <orientation val="minMax"/>
        </scaling>
        <delete val="1"/>
        <axPos val="t"/>
        <numFmt formatCode="General" sourceLinked="1"/>
        <majorTickMark val="out"/>
        <minorTickMark val="none"/>
        <tickLblPos val="nextTo"/>
        <spPr>
          <a:ln w="0">
            <a:noFill/>
            <a:prstDash val="solid"/>
          </a:ln>
        </spPr>
        <txPr>
          <a:bodyPr/>
          <a:lstStyle/>
          <a:p>
            <a:pPr>
              <a:defRPr sz="1000" b="0" strike="noStrike" spc="-1">
                <a:solidFill>
                  <a:srgbClr val="000000"/>
                </a:solidFill>
                <a:latin typeface="Calibri"/>
              </a:defRPr>
            </a:pPr>
            <a:r>
              <a:t/>
            </a:r>
          </a:p>
        </txPr>
        <crossAx val="99464514"/>
        <auto val="1"/>
        <lblAlgn val="ctr"/>
        <lblOffset val="100"/>
        <noMultiLvlLbl val="0"/>
      </catAx>
      <valAx>
        <axId val="99464514"/>
        <scaling>
          <orientation val="minMax"/>
          <min val="0.1"/>
        </scaling>
        <delete val="0"/>
        <axPos val="r"/>
        <numFmt formatCode="0%" sourceLinked="0"/>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21718716"/>
        <crosses val="max"/>
        <crossBetween val="midCat"/>
      </valAx>
    </plotArea>
    <legend>
      <legendPos val="r"/>
      <layout>
        <manualLayout>
          <xMode val="edge"/>
          <yMode val="edge"/>
          <wMode val="factor"/>
          <hMode val="factor"/>
          <x val="0.267140556061349"/>
          <y val="0.898902662060557"/>
          <w val="0.389137894810561"/>
          <h val="0.0609632188579557"/>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4.xml><?xml version="1.0" encoding="utf-8"?>
<chartSpace xmlns:a="http://schemas.openxmlformats.org/drawingml/2006/main" xmlns="http://schemas.openxmlformats.org/drawingml/2006/chart">
  <chart>
    <plotArea>
      <layout>
        <manualLayout>
          <layoutTarget val="inner"/>
          <xMode val="edge"/>
          <yMode val="edge"/>
          <wMode val="factor"/>
          <hMode val="factor"/>
          <x val="0.104886769964243"/>
          <y val="0.142669172932331"/>
          <w val="0.807787048073103"/>
          <h val="0.605639097744361"/>
        </manualLayout>
      </layout>
      <pie3DChart>
        <varyColors val="1"/>
        <ser>
          <idx val="0"/>
          <order val="0"/>
          <spPr>
            <a:solidFill>
              <a:srgbClr val="9bbb59"/>
            </a:solidFill>
            <a:ln w="0">
              <a:noFill/>
              <a:prstDash val="solid"/>
            </a:ln>
          </spPr>
          <explosion val="5"/>
          <dPt>
            <idx val="0"/>
            <explosion val="5"/>
            <spPr>
              <a:solidFill>
                <a:srgbClr val="7f9a48"/>
              </a:solidFill>
              <a:ln w="0">
                <a:noFill/>
                <a:prstDash val="solid"/>
              </a:ln>
            </spPr>
          </dPt>
          <dPt>
            <idx val="1"/>
            <explosion val="5"/>
            <spPr>
              <a:solidFill>
                <a:srgbClr val="9bbb59"/>
              </a:solidFill>
              <a:ln w="0">
                <a:noFill/>
                <a:prstDash val="solid"/>
              </a:ln>
            </spPr>
          </dPt>
          <dPt>
            <idx val="2"/>
            <explosion val="5"/>
            <spPr>
              <a:solidFill>
                <a:srgbClr val="c6d6ac"/>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0"/>
              <showCatName val="1"/>
              <showSerName val="0"/>
              <showPercent val="0"/>
            </dLbl>
            <dLbl>
              <idx val="1"/>
              <txPr>
                <a:bodyPr/>
                <a:lstStyle/>
                <a:p>
                  <a:pPr>
                    <a:defRPr sz="1000" b="0" strike="noStrike" spc="-1">
                      <a:solidFill>
                        <a:srgbClr val="000000"/>
                      </a:solidFill>
                      <a:latin typeface="Calibri"/>
                    </a:defRPr>
                  </a:pPr>
                  <a:r>
                    <a:t/>
                  </a:r>
                </a:p>
              </txPr>
              <dLblPos val="outEnd"/>
              <showLegendKey val="0"/>
              <showVal val="0"/>
              <showCatName val="0"/>
              <showSerName val="0"/>
              <showPercent val="1"/>
            </dLbl>
            <dLbl>
              <idx val="2"/>
              <txPr>
                <a:bodyPr/>
                <a:lstStyle/>
                <a:p>
                  <a:pPr>
                    <a:defRPr sz="1000" b="0" strike="noStrike" spc="-1">
                      <a:solidFill>
                        <a:srgbClr val="000000"/>
                      </a:solidFill>
                      <a:latin typeface="Calibri"/>
                    </a:defRPr>
                  </a:pPr>
                  <a:r>
                    <a:t/>
                  </a:r>
                </a:p>
              </txPr>
              <dLblPos val="outEnd"/>
              <showLegendKey val="0"/>
              <showVal val="0"/>
              <showCatName val="0"/>
              <showSerName val="0"/>
              <showPercent val="1"/>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Overview'!$S$44:$S$46</f>
              <strCache>
                <ptCount val="3"/>
                <pt idx="0">
                  <v>SSPs</v>
                </pt>
                <pt idx="1">
                  <v>Cephs</v>
                </pt>
                <pt idx="2">
                  <v>ARVs &amp; Others</v>
                </pt>
              </strCache>
            </strRef>
          </cat>
          <val>
            <numRef>
              <f>'Company Overview'!$T$44:$T$46</f>
              <numCache>
                <formatCode>_(* #,##0.00_);_(* \(#,##0.00\);_(* \-??_);_(@_)</formatCode>
                <ptCount val="3"/>
                <pt idx="0">
                  <v>7379</v>
                </pt>
                <pt idx="1">
                  <v>6344</v>
                </pt>
                <pt idx="2">
                  <v>2743</v>
                </pt>
              </numCache>
            </numRef>
          </val>
        </ser>
      </pie3DChart>
    </plotArea>
    <legend>
      <legendPos val="r"/>
      <layout>
        <manualLayout>
          <xMode val="edge"/>
          <yMode val="edge"/>
          <wMode val="factor"/>
          <hMode val="factor"/>
          <x val="0.233531982518872"/>
          <y val="0.816165413533835"/>
          <w val="0.45689312673818"/>
          <h val="0.112781954887218"/>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5.xml><?xml version="1.0" encoding="utf-8"?>
<chartSpace xmlns:a="http://schemas.openxmlformats.org/drawingml/2006/main" xmlns="http://schemas.openxmlformats.org/drawingml/2006/chart">
  <chart>
    <plotArea>
      <layout>
        <manualLayout>
          <layoutTarget val="inner"/>
          <xMode val="edge"/>
          <yMode val="edge"/>
          <wMode val="factor"/>
          <hMode val="factor"/>
          <x val="0.104549778059607"/>
          <y val="0.141814780168382"/>
          <w val="0.80778376664553"/>
          <h val="0.6082319925163699"/>
        </manualLayout>
      </layout>
      <pie3DChart>
        <varyColors val="1"/>
        <ser>
          <idx val="0"/>
          <order val="0"/>
          <spPr>
            <a:solidFill>
              <a:srgbClr val="4bacc6"/>
            </a:solidFill>
            <a:ln w="0">
              <a:noFill/>
              <a:prstDash val="solid"/>
            </a:ln>
          </spPr>
          <explosion val="5"/>
          <dPt>
            <idx val="0"/>
            <explosion val="5"/>
            <spPr>
              <a:solidFill>
                <a:srgbClr val="4198af"/>
              </a:solidFill>
              <a:ln w="0">
                <a:noFill/>
                <a:prstDash val="solid"/>
              </a:ln>
            </spPr>
          </dPt>
          <dPt>
            <idx val="1"/>
            <explosion val="5"/>
            <spPr>
              <a:solidFill>
                <a:srgbClr val="91c3d5"/>
              </a:solidFill>
              <a:ln w="0">
                <a:noFill/>
                <a:prstDash val="solid"/>
              </a:ln>
            </spPr>
          </dPt>
          <dLbls>
            <dLbl>
              <idx val="0"/>
              <txPr>
                <a:bodyPr/>
                <a:lstStyle/>
                <a:p>
                  <a:pPr>
                    <a:defRPr sz="1000" b="0" strike="noStrike" spc="-1">
                      <a:solidFill>
                        <a:srgbClr val="000000"/>
                      </a:solidFill>
                      <a:latin typeface="Calibri"/>
                    </a:defRPr>
                  </a:pPr>
                  <a:r>
                    <a:t/>
                  </a:r>
                </a:p>
              </txPr>
              <dLblPos val="outEnd"/>
              <showLegendKey val="0"/>
              <showVal val="1"/>
              <showCatName val="0"/>
              <showSerName val="0"/>
              <showPercent val="0"/>
            </dLbl>
            <dLbl>
              <idx val="1"/>
              <txPr>
                <a:bodyPr/>
                <a:lstStyle/>
                <a:p>
                  <a:pPr>
                    <a:defRPr sz="1000" b="0" strike="noStrike" spc="-1">
                      <a:solidFill>
                        <a:srgbClr val="000000"/>
                      </a:solidFill>
                      <a:latin typeface="Calibri"/>
                    </a:defRPr>
                  </a:pPr>
                  <a:r>
                    <a:t/>
                  </a:r>
                </a:p>
              </txPr>
              <dLblPos val="outEnd"/>
              <showLegendKey val="0"/>
              <showVal val="1"/>
              <showCatName val="0"/>
              <showSerName val="0"/>
              <showPercent val="0"/>
            </dLbl>
            <txPr>
              <a:bodyPr/>
              <a:lstStyle/>
              <a:p>
                <a:pPr>
                  <a:defRPr sz="1000" b="0" strike="noStrike" spc="-1">
                    <a:solidFill>
                      <a:srgbClr val="000000"/>
                    </a:solidFill>
                    <a:latin typeface="Calibri"/>
                  </a:defRPr>
                </a:pPr>
                <a:r>
                  <a:t/>
                </a:r>
              </a:p>
            </txPr>
            <dLblPos val="outEnd"/>
            <showLegendKey val="0"/>
            <showVal val="0"/>
            <showCatName val="0"/>
            <showSerName val="0"/>
            <showPercent val="1"/>
            <showLeaderLines val="1"/>
          </dLbls>
          <cat>
            <strRef>
              <f>'Company Overview'!$AC$43:$AC$44</f>
              <strCache>
                <ptCount val="2"/>
                <pt idx="0">
                  <v>Formulations</v>
                </pt>
                <pt idx="1">
                  <v>Active Ingredients</v>
                </pt>
              </strCache>
            </strRef>
          </cat>
          <val>
            <numRef>
              <f>'Company Overview'!$AD$43:$AD$44</f>
              <numCache>
                <formatCode>0.00_);[RED]\(0.00\)</formatCode>
                <ptCount val="2"/>
                <pt idx="0">
                  <v>14098</v>
                </pt>
                <pt idx="1">
                  <v>16466</v>
                </pt>
              </numCache>
            </numRef>
          </val>
        </ser>
      </pie3DChart>
    </plotArea>
    <legend>
      <legendPos val="r"/>
      <layout>
        <manualLayout>
          <xMode val="edge"/>
          <yMode val="edge"/>
          <wMode val="factor"/>
          <hMode val="factor"/>
          <x val="0.207355738744451"/>
          <y val="0.8177736202058"/>
          <w val="0.500554850982879"/>
          <h val="0.112254443405051"/>
        </manualLayout>
      </layout>
      <overlay val="0"/>
      <spPr>
        <a:noFill/>
        <a:ln w="0">
          <a:noFill/>
          <a:prstDash val="solid"/>
        </a:ln>
      </spPr>
      <txPr>
        <a:bodyPr/>
        <a:lstStyle/>
        <a:p>
          <a:pPr>
            <a:defRPr sz="1000" b="0" strike="noStrike" spc="-1">
              <a:solidFill>
                <a:srgbClr val="000000"/>
              </a:solidFill>
              <a:latin typeface="Calibri"/>
            </a:defRPr>
          </a:pPr>
          <a:r>
            <a:t/>
          </a:r>
        </a:p>
      </txPr>
    </legend>
    <plotVisOnly val="1"/>
    <dispBlanksAs val="gap"/>
  </chart>
  <spPr>
    <a:solidFill>
      <a:srgbClr val="ffffff"/>
    </a:solidFill>
    <a:ln w="0">
      <a:noFill/>
      <a:prstDash val="solid"/>
    </a:ln>
  </spPr>
</chartSpace>
</file>

<file path=xl/charts/chart6.xml><?xml version="1.0" encoding="utf-8"?>
<chartSpace xmlns:a="http://schemas.openxmlformats.org/drawingml/2006/main" xmlns="http://schemas.openxmlformats.org/drawingml/2006/chart">
  <chart>
    <plotArea>
      <layout>
        <manualLayout>
          <xMode val="edge"/>
          <yMode val="edge"/>
          <wMode val="factor"/>
          <hMode val="factor"/>
          <x val="0.0267761687238799"/>
          <y val="0.053611798901927"/>
          <w val="0.957138691806784"/>
          <h val="0.916783292065884"/>
        </manualLayout>
      </layout>
      <barChart>
        <barDir val="col"/>
        <grouping val="stacked"/>
        <varyColors val="0"/>
        <ser>
          <idx val="0"/>
          <order val="0"/>
          <spPr>
            <a:gradFill>
              <a:gsLst>
                <a:gs pos="0">
                  <a:srgbClr val="333333"/>
                </a:gs>
                <a:gs pos="100000">
                  <a:srgbClr val="808080"/>
                </a:gs>
              </a:gsLst>
              <a:lin ang="16200000"/>
            </a:gradFill>
            <a:ln w="0">
              <a:noFill/>
              <a:prstDash val="solid"/>
            </a:ln>
          </spPr>
          <invertIfNegative val="0"/>
          <dPt>
            <idx val="1"/>
            <invertIfNegative val="0"/>
            <spPr>
              <a:noFill/>
              <a:ln w="0">
                <a:noFill/>
                <a:prstDash val="solid"/>
              </a:ln>
            </spPr>
          </dPt>
          <dPt>
            <idx val="2"/>
            <invertIfNegative val="0"/>
            <spPr>
              <a:noFill/>
              <a:ln w="0">
                <a:noFill/>
                <a:prstDash val="solid"/>
              </a:ln>
            </spPr>
          </dPt>
          <dLbls>
            <dLbl>
              <idx val="1"/>
              <txPr>
                <a:bodyPr/>
                <a:lstStyle/>
                <a:p>
                  <a:pPr>
                    <a:defRPr sz="1000" b="0" strike="noStrike" spc="-1">
                      <a:solidFill>
                        <a:srgbClr val="ffffff"/>
                      </a:solidFill>
                      <a:latin typeface="Calibri"/>
                    </a:defRPr>
                  </a:pPr>
                  <a:r>
                    <a:t/>
                  </a:r>
                </a:p>
              </txPr>
              <dLblPos val="ctr"/>
              <showLegendKey val="0"/>
              <showVal val="0"/>
              <showCatName val="0"/>
              <showSerName val="0"/>
              <showPercent val="0"/>
            </dLbl>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Overview'!$M$79:$M$82</f>
              <numCache>
                <formatCode>_(* #,##0.00_);_(* \(#,##0.00\);_(* \-??_);_(@_)</formatCode>
                <ptCount val="4"/>
                <pt idx="0">
                  <v>7583.45602084063</v>
                </pt>
                <pt idx="1">
                  <v>7583.45602084063</v>
                </pt>
                <pt idx="2">
                  <v>7583.45602084063</v>
                </pt>
              </numCache>
            </numRef>
          </val>
        </ser>
        <ser>
          <idx val="1"/>
          <order val="1"/>
          <spPr>
            <a:gradFill>
              <a:gsLst>
                <a:gs pos="0">
                  <a:srgbClr val="808080"/>
                </a:gs>
                <a:gs pos="100000">
                  <a:srgbClr val="c0c0c0"/>
                </a:gs>
              </a:gsLst>
              <a:lin ang="16200000"/>
            </a:gradFill>
            <a:ln w="0">
              <a:noFill/>
              <a:prstDash val="solid"/>
            </a:ln>
          </spPr>
          <invertIfNegative val="0"/>
          <dPt>
            <idx val="2"/>
            <invertIfNegative val="0"/>
            <spPr>
              <a:noFill/>
              <a:ln w="0">
                <a:noFill/>
                <a:prstDash val="solid"/>
              </a:ln>
            </spPr>
          </dPt>
          <dLbls>
            <dLbl>
              <idx val="2"/>
              <txPr>
                <a:bodyPr/>
                <a:lstStyle/>
                <a:p>
                  <a:pPr>
                    <a:defRPr sz="1000" b="0" strike="noStrike" spc="-1">
                      <a:solidFill>
                        <a:srgbClr val="ffffff"/>
                      </a:solidFill>
                      <a:latin typeface="Calibri"/>
                    </a:defRPr>
                  </a:pPr>
                  <a:r>
                    <a:t/>
                  </a:r>
                </a:p>
              </txPr>
              <dLblPos val="ctr"/>
              <showLegendKey val="0"/>
              <showVal val="0"/>
              <showCatName val="0"/>
              <showSerName val="0"/>
              <showPercent val="0"/>
            </dLbl>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Overview'!$N$79:$N$82</f>
              <numCache>
                <formatCode>_(* #,##0.00_);_(* \(#,##0.00\);_(* \-??_);_(@_)</formatCode>
                <ptCount val="4"/>
                <pt idx="1">
                  <v>13507.8456107095</v>
                </pt>
                <pt idx="2">
                  <v>13507.8456107095</v>
                </pt>
              </numCache>
            </numRef>
          </val>
        </ser>
        <ser>
          <idx val="2"/>
          <order val="2"/>
          <spPr>
            <a:ln w="0">
              <a:noFill/>
              <a:prstDash val="solid"/>
            </a:ln>
          </spPr>
          <invertIfNegative val="0"/>
          <dLbls>
            <numFmt formatCode="#,##0"/>
            <txPr>
              <a:bodyPr/>
              <a:lstStyle/>
              <a:p>
                <a:pPr>
                  <a:defRPr sz="1000" b="0" strike="noStrike" spc="-1">
                    <a:solidFill>
                      <a:srgbClr val="ffffff"/>
                    </a:solidFill>
                    <a:latin typeface="Calibri"/>
                  </a:defRPr>
                </a:pPr>
                <a:r>
                  <a:t/>
                </a:r>
              </a:p>
            </txPr>
            <dLblPos val="ctr"/>
            <showLegendKey val="0"/>
            <showVal val="1"/>
            <showCatName val="0"/>
            <showSerName val="0"/>
            <showPercent val="0"/>
            <showLeaderLines val="1"/>
          </dLbls>
          <cat>
            <strRef>
              <f>'Company Overview'!$L$79:$L$82</f>
              <strCache>
                <ptCount val="4"/>
                <pt idx="0">
                  <v>Explicit Forecast FCF (First Stage)</v>
                </pt>
                <pt idx="1">
                  <v xml:space="preserve">Second Stage </v>
                </pt>
                <pt idx="2">
                  <v>Terminal Year Forecast FCF</v>
                </pt>
                <pt idx="3">
                  <v>Total Enterprise Value</v>
                </pt>
              </strCache>
            </strRef>
          </cat>
          <val>
            <numRef>
              <f>'Company Overview'!$O$79:$O$82</f>
              <numCache>
                <formatCode>General</formatCode>
                <ptCount val="4"/>
                <pt idx="2">
                  <v>41293.4188590443</v>
                </pt>
                <pt idx="3">
                  <v>62384.7204905944</v>
                </pt>
              </numCache>
            </numRef>
          </val>
        </ser>
        <gapWidth val="150"/>
        <overlap val="100"/>
        <axId val="72369144"/>
        <axId val="19677063"/>
      </barChart>
      <catAx>
        <axId val="72369144"/>
        <scaling>
          <orientation val="minMax"/>
        </scaling>
        <delete val="0"/>
        <axPos val="b"/>
        <numFmt formatCode="General"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19677063"/>
        <crossesAt val="0"/>
        <auto val="1"/>
        <lblAlgn val="ctr"/>
        <lblOffset val="100"/>
        <noMultiLvlLbl val="0"/>
      </catAx>
      <valAx>
        <axId val="19677063"/>
        <scaling>
          <orientation val="minMax"/>
        </scaling>
        <delete val="0"/>
        <axPos val="l"/>
        <numFmt formatCode="_(* #,##0.00_);_(* \(#,##0.00\);_(* \-??_);_(@_)" sourceLinked="1"/>
        <majorTickMark val="out"/>
        <minorTickMark val="none"/>
        <tickLblPos val="nextTo"/>
        <spPr>
          <a:ln w="0">
            <a:solidFill>
              <a:srgbClr val="808080"/>
            </a:solidFill>
            <a:prstDash val="solid"/>
          </a:ln>
        </spPr>
        <txPr>
          <a:bodyPr/>
          <a:lstStyle/>
          <a:p>
            <a:pPr>
              <a:defRPr sz="1000" b="0" strike="noStrike" spc="-1">
                <a:solidFill>
                  <a:srgbClr val="000000"/>
                </a:solidFill>
                <a:latin typeface="Calibri"/>
              </a:defRPr>
            </a:pPr>
            <a:r>
              <a:t/>
            </a:r>
          </a:p>
        </txPr>
        <crossAx val="72369144"/>
        <crossesAt val="1"/>
        <crossBetween val="midCat"/>
      </valAx>
    </plotArea>
    <plotVisOnly val="1"/>
    <dispBlanksAs val="gap"/>
  </chart>
  <spPr>
    <a:solidFill>
      <a:srgbClr val="ffffff"/>
    </a:solidFill>
    <a:ln w="0">
      <a:noFill/>
      <a:prstDash val="solid"/>
    </a:ln>
  </spPr>
</chartSpace>
</file>

<file path=xl/comments/comment1.xml><?xml version="1.0" encoding="utf-8"?>
<comments xmlns="http://schemas.openxmlformats.org/spreadsheetml/2006/main">
  <authors>
    <author>Unknown Author</author>
  </authors>
  <commentList>
    <comment ref="G9" authorId="0" shapeId="0">
      <text>
        <t>Author:
Segment data only available from FY2007</t>
      </text>
    </comment>
    <comment ref="O9" authorId="0" shapeId="0">
      <text>
        <t>Author:
Deducted 0.2 mn to ensure compatabilty with segment revenues and P/L nos</t>
      </text>
    </comment>
    <comment ref="V29" authorId="0" shapeId="0">
      <text>
        <t>Author:
Normal interest forecast + the proportiionate Interest amortisation on account of Redemption Premium</t>
      </text>
    </comment>
    <comment ref="AA29" authorId="0" shapeId="0">
      <text>
        <t>Author:
Normal interest forecast + the proportiionate Interest amortisation on account of Redemption Premium</t>
      </text>
    </comment>
    <comment ref="AF29" authorId="0" shapeId="0">
      <text>
        <t>Author:
Normal interest forecast + the proportiionate Interest amortisation on account of Redemption Premium</t>
      </text>
    </comment>
    <comment ref="F30" authorId="0" shapeId="0">
      <text>
        <t xml:space="preserve">Author:
Forex Gain in some quarters are shown in the other income part
</t>
      </text>
    </comment>
    <comment ref="I30" authorId="0" shapeId="0">
      <text>
        <t xml:space="preserve">Author:
Forex Gain/Loss in some quarters are shown in the other income part
</t>
      </text>
    </comment>
    <comment ref="AA31" authorId="0" shapeId="0">
      <text>
        <t>Author:
The gain from conversion of FCCB's USD 53,600 i.e the difference between the sum allocated to share capital &amp; Share premium and the value of the FCCBs in the books on the balance sheet date i.e 31 March 2011 (2325.79-2492.40)</t>
      </text>
    </comment>
    <comment ref="R44" authorId="0" shapeId="0">
      <text>
        <t>Author:
Assumed NIL minority interest I am taking the PBT to Cash flow statement and Net profit to Balance sheet (Added to reserves)</t>
      </text>
    </comment>
    <comment ref="S44" authorId="0" shapeId="0">
      <text>
        <t xml:space="preserve">Author:
Assumed NIL minority interest I am taking the PBT to Cash flow statement and Net profit to Balance sheet (Added to reserves)
</t>
      </text>
    </comment>
    <comment ref="T44" authorId="0" shapeId="0">
      <text>
        <t xml:space="preserve">Author:
Assumed NIL minority interest I am taking the PBT to Cash flow statement and Net profit to Balance sheet (Added to reserves)
</t>
      </text>
    </comment>
    <comment ref="U44" authorId="0" shapeId="0">
      <text>
        <t xml:space="preserve">Author:
Assumed NIL minority interest I am taking the PBT to Cash flow statement and Net profit to Balance sheet (Added to reserves)
</t>
      </text>
    </comment>
    <comment ref="V44" authorId="0" shapeId="0">
      <text>
        <t>Author:
Assumed NIL minority interest I am taking the PBT to Cash flow statement and Net profit to Balance sheet (Added to reserves)</t>
      </text>
    </comment>
    <comment ref="X48" authorId="0" shapeId="0">
      <text>
        <t>Author:
Addition in Capital due to conversion of FCCB's due in Aug 2010</t>
      </text>
    </comment>
    <comment ref="AB55" authorId="0" shapeId="0">
      <text>
        <t xml:space="preserve">Author:
Diluted shares decreased due to Redemption of Tranche-A &amp; Tranche-B FCCB's (4.7 mn &amp; 1.7 mn shares respectively)
 </t>
      </text>
    </comment>
  </commentList>
</comments>
</file>

<file path=xl/comments/comment2.xml><?xml version="1.0" encoding="utf-8"?>
<comments xmlns="http://schemas.openxmlformats.org/spreadsheetml/2006/main">
  <authors>
    <author>Unknown Author</author>
  </authors>
  <commentList>
    <comment ref="G12" authorId="0" shapeId="0">
      <text>
        <t>Author:
Added the share capital on conversion of FCCBs due in Aug 2010</t>
      </text>
    </comment>
    <comment ref="G14" authorId="0" shapeId="0">
      <text>
        <t xml:space="preserve">Author:
Added the share premium on conversion of FCCB's Due in AUG 2010
</t>
      </text>
    </comment>
  </commentList>
</comments>
</file>

<file path=xl/comments/comment3.xml><?xml version="1.0" encoding="utf-8"?>
<comments xmlns="http://schemas.openxmlformats.org/spreadsheetml/2006/main">
  <authors>
    <author>Unknown Author</author>
  </authors>
  <commentList>
    <comment ref="G27" authorId="0" shapeId="0">
      <text>
        <t>Author:
The gain from conversion of FCCB's USD 53,600 i.e the difference between the sum allocated to share capital &amp; Share premium and the value of the FCCBs in the books on the balance sheet date i.e 31 March 2011 (2325.79-2492.40)</t>
      </text>
    </comment>
    <comment ref="G55" authorId="0" shapeId="0">
      <text>
        <t>Author:
Debt borrowing for the repayment of FCCB's due in May 2011</t>
      </text>
    </comment>
    <comment ref="H55" authorId="0" shapeId="0">
      <text>
        <t>Author:
Debt borrowing for the repayment of FCCB's due in May 2011</t>
      </text>
    </comment>
    <comment ref="F57" authorId="0" shapeId="0">
      <text>
        <t>Author:
FCCB Redeemption of  USD 1.8 mn</t>
      </text>
    </comment>
    <comment ref="H58" authorId="0" shapeId="0">
      <text>
        <t>Author:
Redemption  of FCCB's</t>
      </text>
    </comment>
  </commentList>
</comments>
</file>

<file path=xl/comments/comment4.xml><?xml version="1.0" encoding="utf-8"?>
<comments xmlns="http://schemas.openxmlformats.org/spreadsheetml/2006/main">
  <authors>
    <author>Unknown Author</author>
  </authors>
  <commentList>
    <comment ref="F11" authorId="0" shapeId="0">
      <text>
        <t>Author:
Linked from the P&amp; L A/c as Historical data was available</t>
      </text>
    </comment>
  </commentList>
</comments>
</file>

<file path=xl/comments/comment5.xml><?xml version="1.0" encoding="utf-8"?>
<comments xmlns="http://schemas.openxmlformats.org/spreadsheetml/2006/main">
  <authors>
    <author>Unknown Author</author>
  </authors>
  <commentList>
    <comment ref="N82" authorId="0" shapeId="0">
      <text>
        <t>Author:
Formulations contribution increased going forward for FY10E &amp; FY11E</t>
      </text>
    </comment>
    <comment ref="R82" authorId="0" shapeId="0">
      <text>
        <t>Author:
Formulations contribution increased going forward for FY10E &amp; FY11E</t>
      </text>
    </comment>
  </commentList>
</comments>
</file>

<file path=xl/comments/comment6.xml><?xml version="1.0" encoding="utf-8"?>
<comments xmlns="http://schemas.openxmlformats.org/spreadsheetml/2006/main">
  <authors>
    <author>Unknown Author</author>
  </authors>
  <commentList>
    <comment ref="S20" authorId="0" shapeId="0">
      <text>
        <t>Author:
Management Guidance for the tax rate due to Export incentives</t>
      </text>
    </comment>
  </commentList>
</comments>
</file>

<file path=xl/comments/comment7.xml><?xml version="1.0" encoding="utf-8"?>
<comments xmlns="http://schemas.openxmlformats.org/spreadsheetml/2006/main">
  <authors>
    <author>Unknown Author</author>
  </authors>
  <commentList>
    <comment ref="B4" authorId="0" shapeId="0">
      <text>
        <t xml:space="preserve">Author:
FY 2005 A numbers have been input for better clarity 
</t>
      </text>
    </comment>
    <comment ref="F19" authorId="0" shapeId="0">
      <text>
        <t>Author:
The difference in the value of FCCB's as on balance sheet date 31 Mar, between the 2 years is assumed as Other loans from banks  for the purpose of purchasing the USD 60.9 mn FCCB's at discount</t>
      </text>
    </comment>
    <comment ref="E21" authorId="0" shapeId="0">
      <text>
        <t>Author:
Total value of FCCB's of 255,500 @ 40.1 USD/INR as on 31 March 2008</t>
      </text>
    </comment>
    <comment ref="F21" authorId="0" shapeId="0">
      <text>
        <t>Author:
FCCB's of 194.60 mn USD multiplied by USD/INR of 50.876 as on 31 March 2009</t>
      </text>
    </comment>
    <comment ref="B33" authorId="0" shapeId="0">
      <text>
        <t>Author:
Inserted - sign to show as positive values</t>
      </text>
    </comment>
    <comment ref="F33" authorId="0" shapeId="0">
      <text>
        <t>Author:
Interest expense (Net) was given in reported Consolidated P&amp;L. I then projected interest income and since balance sheet was not available then deduced the interest expense as the balancing figure</t>
      </text>
    </comment>
    <comment ref="F36" authorId="0" shapeId="0">
      <text>
        <t>Author:
This figure was obtained from the deduced interest expense since only Interest expense (NET) was available and Gross interest expense in Balance sheet was not available,since not publshed</t>
      </text>
    </comment>
    <comment ref="G36" authorId="0" shapeId="0">
      <text>
        <t>Author:
Assumed the same figure as of last year</t>
      </text>
    </comment>
    <comment ref="H40" authorId="0" shapeId="0">
      <text>
        <t>Author:
53.600 FCCB's on conversion at Rs 46.5 (assumed), is reduced from Unsecured loan amount. It is shown on conversion as part of share capital and Reserves</t>
      </text>
    </comment>
    <comment ref="G41" authorId="0" shapeId="0">
      <text>
        <t>system
Redemption of  USD 1.8 mn FCCBs @ INR 50.88</t>
      </text>
    </comment>
    <comment ref="H43" authorId="0" shapeId="0">
      <text>
        <t>Author:
Term Loan of Rs 2000 mn is assumed to be raised by the company to redeem the FCCB's due in May 2011 (FY2012)</t>
      </text>
    </comment>
    <comment ref="I43" authorId="0" shapeId="0">
      <text>
        <t>Author:
Term loans of Rs 5000 mn is assumed to be raised by the company so as to partially offset the repayment of FCCB's on redemption</t>
      </text>
    </comment>
    <comment ref="E45" authorId="0" shapeId="0">
      <text>
        <t>Author:
=10,245.6*40.10</t>
      </text>
    </comment>
    <comment ref="F55" authorId="0" shapeId="0">
      <text>
        <t>Author:
Assumption of  last 4 years Average interest rate</t>
      </text>
    </comment>
    <comment ref="B61" authorId="0" shapeId="0">
      <text>
        <t>Author:
As on 30 June 2009</t>
      </text>
    </comment>
    <comment ref="C77" authorId="0" shapeId="0">
      <text>
        <t>Author:
Assumption</t>
      </text>
    </comment>
    <comment ref="B107" authorId="0" shapeId="0">
      <text>
        <t>Author:
Approximate Present Share Price</t>
      </text>
    </comment>
    <comment ref="B143" authorId="0" shapeId="0">
      <text>
        <t>Author:
Approximate Present Share Price</t>
      </text>
    </comment>
    <comment ref="B179" authorId="0" shapeId="0">
      <text>
        <t>Author:
Approximate Present Share Price</t>
      </text>
    </comment>
    <comment ref="F214" authorId="0" shapeId="0">
      <text>
        <t xml:space="preserve">Author:
Assumption
</t>
      </text>
    </comment>
    <comment ref="D220" authorId="0" shapeId="0">
      <text>
        <t>Author:
Total premium (Rs Mn) on redemption of FCCB's due in May 2011 (Tranhce A&amp;B) that needs to be amortized over FY10E- FY12E</t>
      </text>
    </comment>
  </commentList>
</comments>
</file>

<file path=xl/comments/comment8.xml><?xml version="1.0" encoding="utf-8"?>
<comments xmlns="http://schemas.openxmlformats.org/spreadsheetml/2006/main">
  <authors>
    <author>Unknown Author</author>
  </authors>
  <commentList>
    <comment ref="C4" authorId="0" shapeId="0">
      <text>
        <t xml:space="preserve">Author:
FY 2005 A numbers have been input for better clarity for capex rate and depreciation
</t>
      </text>
    </comment>
    <comment ref="F9" authorId="0" shapeId="0">
      <text>
        <t>Author:
We get the total i.e Gross Block + Capital work in progress to get better picture of CAPEX which we use to calculate as a % of revenue</t>
      </text>
    </comment>
    <comment ref="G18" authorId="0" shapeId="0">
      <text>
        <t>Author:
Have assumed lesser Capex as % of revenues from the historical years for the first three years of forecast peroid</t>
      </text>
    </comment>
    <comment ref="J18" authorId="0" shapeId="0">
      <text>
        <t xml:space="preserve">Author:
Have assumed 6% of CAPEX as a % of revenue for the last forecast period considering the company had made enough investments in fixed assets in the previous years
</t>
      </text>
    </comment>
  </commentList>
</comments>
</file>

<file path=xl/comments/comment9.xml><?xml version="1.0" encoding="utf-8"?>
<comments xmlns="http://schemas.openxmlformats.org/spreadsheetml/2006/main">
  <authors>
    <author>Unknown Author</author>
  </authors>
  <commentList>
    <comment ref="B6" authorId="0" shapeId="0">
      <text>
        <t xml:space="preserve">Author:
IMF forecast </t>
      </text>
    </comment>
    <comment ref="E10" authorId="0" shapeId="0">
      <text>
        <t>Author:
Total Debt as of FY08A</t>
      </text>
    </comment>
    <comment ref="H10" authorId="0" shapeId="0">
      <text>
        <t>Author:
Taken the assumed tax rate from FY10E since it was more in line with future tax rates, and also the rate as expected  by the company</t>
      </text>
    </comment>
    <comment ref="B11" authorId="0" shapeId="0">
      <text>
        <t>Author:
10 year RBI treasury bill rate of 7% on an average</t>
      </text>
    </comment>
    <comment ref="B12" authorId="0" shapeId="0">
      <text>
        <t>Author:
Value taken from Capitaline.com</t>
      </text>
    </comment>
    <comment ref="B13" authorId="0" shapeId="0">
      <text>
        <t>JP Morgan estimates for risk premium in India for the long term</t>
      </text>
    </comment>
    <comment ref="B26" authorId="0" shapeId="0">
      <text>
        <t>Author:
NOPAT + Depreciation + Change in Working capital (as opposed to - as given in standard formula) since we are taking the sum effect of working capital change directlly from the cash flow statement</t>
      </text>
    </comment>
    <comment ref="N37" authorId="0" shapeId="0">
      <text>
        <t>Author:
Forecasted Global GDP growth by IMF</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358920</colOff>
      <row>41</row>
      <rowOff>105120</rowOff>
    </from>
    <to>
      <col>16</col>
      <colOff>527760</colOff>
      <row>51</row>
      <rowOff>190440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1153800</colOff>
      <row>41</row>
      <rowOff>171360</rowOff>
    </from>
    <to>
      <col>7</col>
      <colOff>46440</colOff>
      <row>51</row>
      <rowOff>190440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0</col>
      <colOff>149400</colOff>
      <row>56</row>
      <rowOff>19440</rowOff>
    </from>
    <to>
      <col>9</col>
      <colOff>765720</colOff>
      <row>74</row>
      <rowOff>133200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20</col>
      <colOff>425880</colOff>
      <row>42</row>
      <rowOff>0</rowOff>
    </from>
    <to>
      <col>26</col>
      <colOff>650880</colOff>
      <row>52</row>
      <rowOff>9720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30</col>
      <colOff>280440</colOff>
      <row>42</row>
      <rowOff>19440</rowOff>
    </from>
    <to>
      <col>36</col>
      <colOff>516600</colOff>
      <row>52</row>
      <rowOff>38160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11</col>
      <colOff>353880</colOff>
      <row>56</row>
      <rowOff>104760</rowOff>
    </from>
    <to>
      <col>19</col>
      <colOff>571680</colOff>
      <row>74</row>
      <rowOff>19440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sheet1.xml><?xml version="1.0" encoding="utf-8"?>
<worksheet xmlns="http://schemas.openxmlformats.org/spreadsheetml/2006/main">
  <sheetPr filterMode="0">
    <outlinePr summaryBelow="1" summaryRight="1"/>
    <pageSetUpPr fitToPage="0"/>
  </sheetPr>
  <dimension ref="A1:H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5" zeroHeight="1" outlineLevelRow="0"/>
  <cols>
    <col hidden="1" width="9.130000000000001" customWidth="1" style="461" min="9" max="257"/>
  </cols>
  <sheetData>
    <row r="1" ht="15" customHeight="1" s="462">
      <c r="A1" s="461" t="n"/>
      <c r="B1" s="461" t="n"/>
      <c r="C1" s="461" t="n"/>
      <c r="D1" s="461" t="n"/>
      <c r="E1" s="461" t="n"/>
      <c r="F1" s="461" t="n"/>
      <c r="G1" s="461" t="n"/>
      <c r="H1" s="461" t="n"/>
    </row>
    <row r="2" ht="15" customHeight="1" s="462">
      <c r="A2" s="461" t="n"/>
      <c r="B2" s="461" t="n"/>
      <c r="C2" s="461" t="n"/>
      <c r="D2" s="461" t="n"/>
      <c r="E2" s="461" t="n"/>
      <c r="F2" s="461" t="n"/>
      <c r="G2" s="461" t="n"/>
      <c r="H2" s="461" t="n"/>
    </row>
    <row r="3" ht="28.5" customHeight="1" s="462">
      <c r="A3" s="461" t="n"/>
      <c r="B3" s="461" t="n"/>
      <c r="C3" s="461" t="n"/>
      <c r="D3" s="461" t="n"/>
      <c r="E3" s="463" t="inlineStr">
        <is>
          <t>Reference Model</t>
        </is>
      </c>
      <c r="F3" s="461" t="n"/>
      <c r="G3" s="461" t="n"/>
      <c r="H3" s="461" t="n"/>
    </row>
    <row r="4" ht="15" customHeight="1" s="462">
      <c r="A4" s="461" t="n"/>
      <c r="B4" s="461" t="n"/>
      <c r="C4" s="461" t="n"/>
      <c r="D4" s="461" t="n"/>
      <c r="E4" s="461" t="n"/>
      <c r="F4" s="461" t="n"/>
      <c r="G4" s="461" t="n"/>
      <c r="H4" s="461" t="n"/>
    </row>
    <row r="5" ht="42" customHeight="1" s="462">
      <c r="A5" s="461" t="n"/>
      <c r="B5" s="461" t="n"/>
      <c r="C5" s="461" t="n"/>
      <c r="D5" s="461" t="n"/>
      <c r="E5" s="464" t="inlineStr">
        <is>
          <t>Aurobindo Pharma</t>
        </is>
      </c>
      <c r="F5" s="461" t="n"/>
      <c r="G5" s="461" t="n"/>
      <c r="H5" s="461" t="n"/>
    </row>
    <row r="6" ht="15" customHeight="1" s="462">
      <c r="A6" s="461" t="n"/>
      <c r="B6" s="461" t="n"/>
      <c r="C6" s="461" t="n"/>
      <c r="D6" s="461" t="n"/>
      <c r="E6" s="465" t="inlineStr">
        <is>
          <t>Prepared By: Gopal Sathis Kumar, Distance learning, Chennai</t>
        </is>
      </c>
      <c r="F6" s="461" t="n"/>
      <c r="G6" s="461" t="n"/>
      <c r="H6" s="461" t="n"/>
    </row>
    <row r="7" ht="15" customHeight="1" s="462">
      <c r="A7" s="461" t="n"/>
      <c r="B7" s="461" t="n"/>
      <c r="C7" s="461" t="n"/>
      <c r="D7" s="461" t="n"/>
      <c r="E7" s="461" t="n"/>
      <c r="F7" s="461" t="n"/>
      <c r="G7" s="461" t="n"/>
      <c r="H7" s="461" t="n"/>
    </row>
    <row r="8" ht="15" customHeight="1" s="462">
      <c r="A8" s="461" t="n"/>
      <c r="B8" s="461" t="n"/>
      <c r="C8" s="461" t="n"/>
      <c r="D8" s="461" t="n"/>
      <c r="E8" s="461" t="n"/>
      <c r="F8" s="461" t="n"/>
      <c r="G8" s="461" t="n"/>
      <c r="H8" s="461" t="n"/>
    </row>
    <row r="9" ht="15" customHeight="1" s="462">
      <c r="A9" s="461" t="n"/>
      <c r="B9" s="461" t="n"/>
      <c r="C9" s="461" t="n"/>
      <c r="D9" s="461" t="n"/>
      <c r="E9" s="461" t="n"/>
      <c r="F9" s="461" t="n"/>
      <c r="G9" s="461" t="n"/>
      <c r="H9" s="461" t="n"/>
    </row>
    <row r="10" ht="15" customHeight="1" s="462">
      <c r="A10" s="461" t="n"/>
      <c r="B10" s="461" t="n"/>
      <c r="C10" s="461" t="n"/>
      <c r="D10" s="461" t="n"/>
      <c r="E10" s="461" t="n"/>
      <c r="F10" s="461" t="n"/>
      <c r="G10" s="461" t="n"/>
      <c r="H10" s="461" t="n"/>
    </row>
    <row r="11" ht="15" customHeight="1" s="462">
      <c r="A11" s="461" t="n"/>
      <c r="B11" s="461" t="n"/>
      <c r="C11" s="461" t="n"/>
      <c r="D11" s="461" t="n"/>
      <c r="E11" s="461" t="n"/>
      <c r="F11" s="461" t="n"/>
      <c r="G11" s="461" t="n"/>
      <c r="H11" s="461" t="n"/>
    </row>
    <row r="12" ht="15" customHeight="1" s="462">
      <c r="A12" s="461" t="n"/>
      <c r="B12" s="461" t="n"/>
      <c r="C12" s="461" t="n"/>
      <c r="D12" s="461" t="n"/>
      <c r="E12" s="461" t="n"/>
      <c r="F12" s="461" t="n"/>
      <c r="G12" s="461" t="n"/>
      <c r="H12" s="461" t="n"/>
    </row>
    <row r="13" ht="15" customHeight="1" s="462">
      <c r="A13" s="461" t="n"/>
      <c r="B13" s="461" t="n"/>
      <c r="C13" s="461" t="n"/>
      <c r="D13" s="461" t="n"/>
      <c r="E13" s="461" t="n"/>
      <c r="F13" s="461" t="n"/>
      <c r="G13" s="461" t="n"/>
      <c r="H13" s="461" t="n"/>
    </row>
    <row r="14" ht="15" customHeight="1" s="462">
      <c r="A14" s="461" t="n"/>
      <c r="B14" s="461" t="n"/>
      <c r="C14" s="461" t="n"/>
      <c r="D14" s="461" t="n"/>
      <c r="E14" s="466" t="inlineStr">
        <is>
          <t>http://proschoolonline.com</t>
        </is>
      </c>
      <c r="F14" s="461" t="n"/>
      <c r="G14" s="461" t="n"/>
      <c r="H14" s="461" t="n"/>
    </row>
    <row r="15" ht="15" customHeight="1" s="462">
      <c r="A15" s="461" t="n"/>
      <c r="B15" s="461" t="n"/>
      <c r="C15" s="461" t="n"/>
      <c r="D15" s="461" t="n"/>
      <c r="E15" s="467" t="inlineStr">
        <is>
          <t>Email ID : mumbai@proschoolonline.com</t>
        </is>
      </c>
      <c r="F15" s="461" t="n"/>
      <c r="G15" s="461" t="n"/>
      <c r="H15" s="461" t="n"/>
    </row>
    <row r="16" ht="15" customHeight="1" s="462">
      <c r="A16" s="461" t="n"/>
      <c r="B16" s="461" t="n"/>
      <c r="C16" s="461" t="n"/>
      <c r="D16" s="461" t="n"/>
      <c r="E16" s="467" t="n"/>
      <c r="F16" s="461" t="n"/>
      <c r="G16" s="461" t="n"/>
      <c r="H16" s="461" t="n"/>
    </row>
    <row r="17" ht="15" customHeight="1" s="462">
      <c r="A17" s="461" t="n"/>
      <c r="B17" s="461" t="n"/>
      <c r="C17" s="461" t="n"/>
      <c r="D17" s="461" t="n"/>
      <c r="E17" s="467" t="inlineStr">
        <is>
          <t>Mumbai</t>
        </is>
      </c>
      <c r="F17" s="461" t="n"/>
      <c r="G17" s="461" t="n"/>
      <c r="H17" s="461" t="n"/>
    </row>
    <row r="18" ht="15" customHeight="1" s="462">
      <c r="A18" s="461" t="n"/>
      <c r="B18" s="461" t="n"/>
      <c r="C18" s="461" t="n"/>
      <c r="D18" s="461" t="n"/>
      <c r="E18" s="468" t="n"/>
      <c r="F18" s="461" t="n"/>
      <c r="G18" s="461" t="n"/>
      <c r="H18" s="461" t="n"/>
    </row>
    <row r="19" ht="15" customHeight="1" s="462">
      <c r="A19" s="461" t="n"/>
      <c r="B19" s="461" t="n"/>
      <c r="C19" s="461" t="n"/>
      <c r="D19" s="461" t="n"/>
      <c r="E19" s="469" t="inlineStr">
        <is>
          <t>IMS Proschool Pvt Ltd,</t>
        </is>
      </c>
      <c r="F19" s="461" t="n"/>
      <c r="G19" s="461" t="n"/>
      <c r="H19" s="461" t="n"/>
    </row>
    <row r="20" ht="15" customHeight="1" s="462">
      <c r="A20" s="461" t="n"/>
      <c r="B20" s="461" t="n"/>
      <c r="C20" s="461" t="n"/>
      <c r="D20" s="461" t="n"/>
      <c r="E20" s="469" t="inlineStr">
        <is>
          <t>Maharashtra High School Complex,</t>
        </is>
      </c>
      <c r="F20" s="461" t="n"/>
      <c r="G20" s="461" t="n"/>
      <c r="H20" s="461" t="n"/>
    </row>
    <row r="21" ht="15" customHeight="1" s="462">
      <c r="A21" s="461" t="n"/>
      <c r="B21" s="461" t="n"/>
      <c r="C21" s="461" t="n"/>
      <c r="D21" s="461" t="n"/>
      <c r="E21" s="469" t="inlineStr">
        <is>
          <t>Principal N.M Kale Marg, Off Gokhale Rd,</t>
        </is>
      </c>
      <c r="F21" s="461" t="n"/>
      <c r="G21" s="461" t="n"/>
      <c r="H21" s="461" t="n"/>
    </row>
    <row r="22" ht="15" customHeight="1" s="462">
      <c r="A22" s="461" t="n"/>
      <c r="B22" s="461" t="n"/>
      <c r="C22" s="461" t="n"/>
      <c r="D22" s="461" t="n"/>
      <c r="E22" s="469" t="inlineStr">
        <is>
          <t>Dadar (W), Mumbai 400028</t>
        </is>
      </c>
      <c r="F22" s="461" t="n"/>
      <c r="G22" s="461" t="n"/>
      <c r="H22" s="461" t="n"/>
    </row>
    <row r="23" ht="15" customHeight="1" s="462">
      <c r="A23" s="461" t="n"/>
      <c r="B23" s="461" t="n"/>
      <c r="C23" s="461" t="n"/>
      <c r="D23" s="461" t="n"/>
      <c r="E23" s="467" t="inlineStr">
        <is>
          <t>Tel. No. : 022-65285393/94</t>
        </is>
      </c>
      <c r="F23" s="461" t="n"/>
      <c r="G23" s="461" t="n"/>
      <c r="H23" s="461" t="n"/>
    </row>
    <row r="24" ht="15" customHeight="1" s="462">
      <c r="A24" s="461" t="n"/>
      <c r="B24" s="461" t="n"/>
      <c r="C24" s="461" t="n"/>
      <c r="D24" s="461" t="n"/>
      <c r="E24" s="469" t="inlineStr">
        <is>
          <t>+91 9372895050</t>
        </is>
      </c>
      <c r="F24" s="461" t="n"/>
      <c r="G24" s="461" t="n"/>
      <c r="H24" s="461" t="n"/>
    </row>
    <row r="25" ht="15" customHeight="1" s="462">
      <c r="A25" s="461" t="n"/>
      <c r="B25" s="461" t="n"/>
      <c r="C25" s="461" t="n"/>
      <c r="D25" s="461" t="n"/>
      <c r="E25" s="461" t="n"/>
      <c r="F25" s="461" t="n"/>
      <c r="G25" s="461" t="n"/>
      <c r="H25" s="461"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4"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C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hidden="1" width="9.130000000000001" customWidth="1" style="461" min="13" max="257"/>
  </cols>
  <sheetData>
    <row r="1" ht="18" customHeight="1" s="462">
      <c r="A1" s="470" t="inlineStr">
        <is>
          <t>Directions</t>
        </is>
      </c>
      <c r="B1" s="471" t="n"/>
      <c r="C1" s="471" t="n"/>
      <c r="D1" s="471" t="n"/>
      <c r="E1" s="471" t="n"/>
      <c r="F1" s="471" t="n"/>
      <c r="G1" s="471" t="n"/>
      <c r="H1" s="471" t="n"/>
      <c r="I1" s="471" t="n"/>
      <c r="J1" s="471" t="n"/>
      <c r="K1" s="471" t="n"/>
      <c r="L1" s="472" t="n"/>
    </row>
    <row r="2" ht="15" customHeight="1" s="462">
      <c r="A2" s="473" t="n"/>
      <c r="B2" s="473" t="n"/>
      <c r="C2" s="473" t="n"/>
      <c r="D2" s="473" t="n"/>
      <c r="E2" s="473" t="n"/>
      <c r="F2" s="473" t="n"/>
      <c r="G2" s="473" t="n"/>
      <c r="H2" s="473" t="n"/>
      <c r="I2" s="473" t="n"/>
      <c r="J2" s="473" t="n"/>
      <c r="K2" s="473" t="n"/>
      <c r="L2" s="474" t="n"/>
    </row>
    <row r="3" ht="15" customHeight="1" s="462">
      <c r="A3" s="475" t="inlineStr">
        <is>
          <t xml:space="preserve">Aurobindo pharma is one of the leading pharmaceutical company of the country.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476" t="n"/>
    </row>
    <row r="4" ht="15" customHeight="1" s="462">
      <c r="L4" s="476" t="n"/>
    </row>
    <row r="5" ht="15" customHeight="1" s="462">
      <c r="L5" s="476" t="n"/>
    </row>
    <row r="6" ht="15" customHeight="1" s="462">
      <c r="L6" s="476" t="n"/>
    </row>
    <row r="7" ht="15" customHeight="1" s="462">
      <c r="L7" s="476" t="n"/>
    </row>
    <row r="8" ht="15" customHeight="1" s="462">
      <c r="L8" s="476" t="n"/>
    </row>
    <row r="9" ht="15" customHeight="1" s="462">
      <c r="L9" s="476" t="n"/>
    </row>
    <row r="10" ht="15" customHeight="1" s="462">
      <c r="L10" s="476" t="n"/>
    </row>
    <row r="11" ht="15" customHeight="1" s="462">
      <c r="L11" s="476" t="n"/>
    </row>
    <row r="12" ht="15" customHeight="1" s="462">
      <c r="L12" s="476" t="n"/>
    </row>
    <row r="13" ht="15" customHeight="1" s="462">
      <c r="L13" s="476" t="n"/>
    </row>
    <row r="14" ht="15" customHeight="1" s="462">
      <c r="L14" s="476" t="n"/>
    </row>
    <row r="15" ht="15" customHeight="1" s="462">
      <c r="L15" s="476" t="n"/>
    </row>
    <row r="16" ht="15" customHeight="1" s="462">
      <c r="L16" s="476" t="n"/>
    </row>
    <row r="17" ht="15" customHeight="1" s="462">
      <c r="A17" s="477" t="n"/>
      <c r="B17" s="477" t="n"/>
      <c r="C17" s="477" t="n"/>
      <c r="D17" s="477" t="n"/>
      <c r="E17" s="477" t="n"/>
      <c r="F17" s="477" t="n"/>
      <c r="G17" s="477" t="n"/>
      <c r="H17" s="477" t="n"/>
      <c r="I17" s="477" t="n"/>
      <c r="J17" s="477" t="n"/>
      <c r="K17" s="477" t="n"/>
      <c r="L17" s="478" t="n"/>
    </row>
    <row r="18" ht="15" customHeight="1" s="462">
      <c r="A18" s="477" t="n"/>
      <c r="B18" s="477" t="n"/>
      <c r="C18" s="477" t="n"/>
      <c r="D18" s="477" t="n"/>
      <c r="E18" s="477" t="n"/>
      <c r="F18" s="477" t="n"/>
      <c r="G18" s="477" t="n"/>
      <c r="H18" s="477" t="n"/>
      <c r="I18" s="477" t="n"/>
      <c r="J18" s="477" t="n"/>
      <c r="K18" s="477" t="n"/>
      <c r="L18" s="478" t="n"/>
    </row>
    <row r="19" ht="15" customHeight="1" s="462">
      <c r="A19" s="477" t="n"/>
      <c r="B19" s="477" t="n"/>
      <c r="C19" s="477" t="n"/>
      <c r="D19" s="477" t="n"/>
      <c r="E19" s="477" t="n"/>
      <c r="F19" s="477" t="n"/>
      <c r="G19" s="477" t="n"/>
      <c r="H19" s="477" t="n"/>
      <c r="I19" s="477" t="n"/>
      <c r="J19" s="477" t="n"/>
      <c r="K19" s="477" t="n"/>
      <c r="L19" s="478" t="n"/>
    </row>
    <row r="20" ht="15" customHeight="1" s="462">
      <c r="A20" s="479" t="n"/>
      <c r="B20" s="479" t="n"/>
      <c r="C20" s="479" t="n"/>
      <c r="D20" s="479" t="n"/>
      <c r="E20" s="479" t="n"/>
      <c r="F20" s="479" t="n"/>
      <c r="G20" s="479" t="n"/>
      <c r="H20" s="479" t="n"/>
      <c r="I20" s="480" t="inlineStr">
        <is>
          <t>IMS Proschool Pvt Ltd,</t>
        </is>
      </c>
      <c r="J20" s="461" t="n"/>
      <c r="K20" s="479" t="n"/>
      <c r="L20" s="475" t="n"/>
    </row>
    <row r="21" ht="15" customHeight="1" s="462">
      <c r="A21" s="479" t="n"/>
      <c r="B21" s="479" t="n"/>
      <c r="C21" s="479" t="n"/>
      <c r="D21" s="479" t="n"/>
      <c r="E21" s="479" t="n"/>
      <c r="F21" s="479" t="n"/>
      <c r="G21" s="479" t="n"/>
      <c r="H21" s="479" t="n"/>
      <c r="I21" s="480" t="inlineStr">
        <is>
          <t>Maharashtra High School Complex,</t>
        </is>
      </c>
      <c r="J21" s="461" t="n"/>
      <c r="K21" s="479" t="n"/>
      <c r="L21" s="475" t="n"/>
    </row>
    <row r="22" ht="15" customHeight="1" s="462">
      <c r="A22" s="473" t="n"/>
      <c r="B22" s="473" t="n"/>
      <c r="C22" s="473" t="n"/>
      <c r="D22" s="473" t="n"/>
      <c r="E22" s="473" t="n"/>
      <c r="F22" s="473" t="n"/>
      <c r="G22" s="473" t="n"/>
      <c r="H22" s="473" t="n"/>
      <c r="I22" s="480" t="inlineStr">
        <is>
          <t>Principal N.M Kale Marg, Off Gokhale Rd,</t>
        </is>
      </c>
      <c r="J22" s="461" t="n"/>
      <c r="K22" s="473" t="n"/>
      <c r="L22" s="474" t="n"/>
    </row>
    <row r="23" ht="15" customHeight="1" s="462">
      <c r="A23" s="473" t="n"/>
      <c r="B23" s="473" t="n"/>
      <c r="C23" s="473" t="n"/>
      <c r="D23" s="473" t="n"/>
      <c r="E23" s="473" t="n"/>
      <c r="F23" s="473" t="n"/>
      <c r="G23" s="473" t="n"/>
      <c r="H23" s="473" t="n"/>
      <c r="I23" s="480" t="inlineStr">
        <is>
          <t>Dadar (W), Mumbai 400028</t>
        </is>
      </c>
      <c r="J23" s="461" t="n"/>
      <c r="K23" s="473" t="n"/>
      <c r="L23" s="474" t="n"/>
    </row>
    <row r="24" ht="15" customHeight="1" s="462">
      <c r="A24" s="473" t="n"/>
      <c r="B24" s="481" t="n"/>
      <c r="C24" s="473" t="n"/>
      <c r="D24" s="473" t="n"/>
      <c r="E24" s="473" t="n"/>
      <c r="F24" s="473" t="n"/>
      <c r="G24" s="473" t="n"/>
      <c r="H24" s="473" t="n"/>
      <c r="I24" s="482" t="inlineStr">
        <is>
          <t>Tel. No. : 022-65285393/94</t>
        </is>
      </c>
      <c r="J24" s="461" t="n"/>
      <c r="K24" s="473" t="n"/>
      <c r="L24" s="474" t="n"/>
    </row>
    <row r="25" ht="15" customHeight="1" s="462">
      <c r="A25" s="473" t="n"/>
      <c r="B25" s="473" t="n"/>
      <c r="C25" s="473" t="n"/>
      <c r="D25" s="473" t="n"/>
      <c r="E25" s="473" t="n"/>
      <c r="F25" s="473" t="n"/>
      <c r="G25" s="473" t="n"/>
      <c r="H25" s="473" t="n"/>
      <c r="I25" s="480" t="inlineStr">
        <is>
          <t>+91 9372895050</t>
        </is>
      </c>
      <c r="J25" s="461" t="n"/>
      <c r="K25" s="473" t="n"/>
      <c r="L25" s="474" t="n"/>
    </row>
    <row r="26" ht="15" customHeight="1" s="462">
      <c r="A26" s="473" t="n"/>
      <c r="B26" s="473" t="n"/>
      <c r="C26" s="473" t="n"/>
      <c r="D26" s="473" t="n"/>
      <c r="E26" s="473" t="n"/>
      <c r="F26" s="473" t="n"/>
      <c r="G26" s="473" t="n"/>
      <c r="H26" s="473" t="n"/>
      <c r="I26" s="481" t="inlineStr">
        <is>
          <t>Email ID : mumbai@proschoolonline.com</t>
        </is>
      </c>
      <c r="J26" s="473" t="n"/>
      <c r="K26" s="473" t="n"/>
      <c r="L26" s="474" t="n"/>
    </row>
    <row r="27" ht="15.75" customHeight="1" s="462">
      <c r="A27" s="483" t="n"/>
      <c r="B27" s="483" t="n"/>
      <c r="C27" s="483" t="n"/>
      <c r="D27" s="483" t="n"/>
      <c r="E27" s="483" t="n"/>
      <c r="F27" s="483" t="n"/>
      <c r="G27" s="483" t="n"/>
      <c r="H27" s="483" t="n"/>
      <c r="I27" s="484" t="n"/>
      <c r="J27" s="483" t="n"/>
      <c r="K27" s="483" t="n"/>
      <c r="L27" s="485" t="n"/>
    </row>
    <row r="28" hidden="1" ht="15" customHeight="1" s="462">
      <c r="A28" s="473" t="n"/>
      <c r="B28" s="481" t="n"/>
      <c r="C28" s="473" t="n"/>
      <c r="D28" s="473" t="n"/>
      <c r="E28" s="473" t="n"/>
      <c r="F28" s="473" t="n"/>
      <c r="G28" s="473" t="n"/>
      <c r="H28" s="473" t="n"/>
      <c r="I28" s="473" t="n"/>
      <c r="J28" s="473" t="n"/>
      <c r="K28" s="473" t="n"/>
      <c r="L28" s="473" t="n"/>
    </row>
    <row r="29" hidden="1" ht="15" customHeight="1" s="462">
      <c r="A29" s="486" t="n"/>
    </row>
    <row r="30" hidden="1" ht="15" customHeight="1" s="462"/>
    <row r="31" hidden="1" ht="15" customHeight="1" s="462"/>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82"/>
  <sheetViews>
    <sheetView showFormulas="0" showGridLines="0" showRowColHeaders="1" showZeros="1" rightToLeft="0" tabSelected="0" showOutlineSymbols="1" defaultGridColor="1" view="normal" topLeftCell="A23" colorId="64" zoomScale="100" zoomScaleNormal="100" zoomScalePageLayoutView="100" workbookViewId="0">
      <selection pane="topLeft" activeCell="F37" activeCellId="0" sqref="F37"/>
    </sheetView>
  </sheetViews>
  <sheetFormatPr baseColWidth="8" defaultColWidth="8.96875" defaultRowHeight="15" zeroHeight="0" outlineLevelRow="0"/>
  <cols>
    <col width="29.85" customWidth="1" style="461" min="1" max="1"/>
    <col width="14.7" customWidth="1" style="461" min="2" max="2"/>
    <col width="10.7" customWidth="1" style="461" min="3" max="3"/>
    <col width="10.56" customWidth="1" style="461" min="4" max="5"/>
    <col width="10.42" customWidth="1" style="461" min="6" max="6"/>
    <col width="10.56" customWidth="1" style="461" min="7" max="8"/>
    <col width="12.85" customWidth="1" style="461" min="9" max="9"/>
    <col width="10.56" customWidth="1" style="461" min="10" max="10"/>
    <col width="14.85" customWidth="1" style="461" min="12" max="12"/>
    <col width="9.56" customWidth="1" style="461" min="13" max="13"/>
    <col width="10.56" customWidth="1" style="461" min="14" max="15"/>
    <col width="17.42" customWidth="1" style="461" min="19" max="19"/>
    <col width="9.56" customWidth="1" style="461" min="20" max="20"/>
    <col width="17.42" customWidth="1" style="461" min="29" max="29"/>
  </cols>
  <sheetData>
    <row r="1" ht="18.75" customHeight="1" s="462">
      <c r="A1" s="487" t="inlineStr">
        <is>
          <t>Aurobindo Pharma</t>
        </is>
      </c>
    </row>
    <row r="2" ht="15.75" customHeight="1" s="462">
      <c r="A2" s="488" t="inlineStr">
        <is>
          <t>Company Overview</t>
        </is>
      </c>
    </row>
    <row r="3" ht="15.75" customHeight="1" s="462">
      <c r="A3" s="489" t="inlineStr">
        <is>
          <t>(In Rs Millions, except per share data)</t>
        </is>
      </c>
      <c r="B3" s="489" t="n"/>
      <c r="C3" s="489" t="n"/>
      <c r="D3" s="489" t="n"/>
      <c r="E3" s="489" t="n"/>
      <c r="F3" s="489" t="n"/>
      <c r="G3" s="489" t="n"/>
      <c r="H3" s="489" t="n"/>
      <c r="I3" s="489" t="n"/>
      <c r="J3" s="489" t="n"/>
      <c r="K3" s="489" t="n"/>
      <c r="L3" s="489" t="n"/>
      <c r="M3" s="489" t="n"/>
      <c r="N3" s="489" t="n"/>
      <c r="O3" s="489" t="n"/>
      <c r="P3" s="489" t="n"/>
      <c r="Q3" s="489" t="n"/>
      <c r="R3" s="489" t="n"/>
      <c r="S3" s="489" t="n"/>
      <c r="T3" s="489" t="n"/>
    </row>
    <row r="4" ht="15" customHeight="1" s="462">
      <c r="A4" s="490" t="n"/>
      <c r="B4" s="490" t="n"/>
      <c r="C4" s="490" t="n"/>
      <c r="D4" s="490" t="n"/>
      <c r="E4" s="490" t="n"/>
      <c r="F4" s="490" t="n"/>
      <c r="G4" s="490" t="n"/>
      <c r="H4" s="490" t="n"/>
      <c r="I4" s="490" t="n"/>
      <c r="J4" s="490" t="n"/>
      <c r="K4" s="490" t="n"/>
      <c r="L4" s="490" t="n"/>
      <c r="M4" s="490" t="n"/>
      <c r="N4" s="490" t="n"/>
      <c r="O4" s="490" t="n"/>
      <c r="P4" s="490" t="n"/>
      <c r="Q4" s="490" t="n"/>
      <c r="R4" s="490" t="n"/>
    </row>
    <row r="5" ht="15" customHeight="1" s="462">
      <c r="A5" s="491" t="inlineStr">
        <is>
          <t>Company Information</t>
        </is>
      </c>
      <c r="B5" s="491" t="n"/>
      <c r="F5" s="491" t="inlineStr">
        <is>
          <t>Company Description</t>
        </is>
      </c>
      <c r="H5" s="492" t="n"/>
      <c r="I5" s="492" t="n"/>
      <c r="J5" s="492" t="n"/>
      <c r="K5" s="492" t="n"/>
      <c r="L5" s="492" t="n"/>
      <c r="M5" s="492" t="n"/>
      <c r="N5" s="492" t="n"/>
      <c r="O5" s="492" t="n"/>
      <c r="P5" s="492" t="n"/>
      <c r="Q5" s="492" t="n"/>
      <c r="R5" s="461" t="n"/>
    </row>
    <row r="6" ht="15" customHeight="1" s="462">
      <c r="A6" s="461" t="inlineStr">
        <is>
          <t>Industry</t>
        </is>
      </c>
      <c r="B6" s="468" t="inlineStr">
        <is>
          <t>Pharmceuticals</t>
        </is>
      </c>
      <c r="F6" s="493" t="inlineStr">
        <is>
          <t xml:space="preserve">Aurobindo Pharma, incorporated in 1986 is a Hyderabad based pharma company, which initially forayed into the pharmaceutical sector as an API supplier focusing on antibiotics like Semi Synthetic Penicillins (SSPs) and Cephalosporins, emerging a market leader in these segments. Over the years, the company has diversified into the cardiovascular (CVS), central nervous system (CNS), gastrointestinal (GI), anti-infective segments, etc.  After a strong presence in its core business of bulk actives, the company is now focusing on generic formulations. It has 14 state-of-the-art manufacturing facilities spread across India, China, USA and Brazil. The company’s operations are vertically integrated and its formulations profile is supported by in-house APIs. Aurobindo has a presence across US, Europe, India and other emerging countries like Brazil, China, South Africa, etc. A higher proportion of the company’s revenue is from APIs and formulations are likely to replace this, going forward.                                                             </t>
        </is>
      </c>
      <c r="Q6" s="493" t="n"/>
    </row>
    <row r="7" ht="15" customHeight="1" s="462">
      <c r="A7" s="461" t="inlineStr">
        <is>
          <t>Sector</t>
        </is>
      </c>
      <c r="B7" s="468" t="inlineStr">
        <is>
          <t>Pharma</t>
        </is>
      </c>
      <c r="Q7" s="493" t="n"/>
    </row>
    <row r="8" ht="15" customHeight="1" s="462">
      <c r="A8" s="461" t="inlineStr">
        <is>
          <t>Country</t>
        </is>
      </c>
      <c r="B8" s="468" t="inlineStr">
        <is>
          <t>India</t>
        </is>
      </c>
      <c r="Q8" s="493" t="n"/>
    </row>
    <row r="9" ht="15" customHeight="1" s="462">
      <c r="A9" s="461" t="inlineStr">
        <is>
          <t>Current Market Price             Rs</t>
        </is>
      </c>
      <c r="B9" s="494" t="n">
        <v>753</v>
      </c>
      <c r="C9" s="495" t="n"/>
      <c r="Q9" s="493" t="n"/>
    </row>
    <row r="10" ht="15" customHeight="1" s="462">
      <c r="A10" s="461" t="inlineStr">
        <is>
          <t>Ticker</t>
        </is>
      </c>
      <c r="B10" s="461" t="inlineStr">
        <is>
          <t>AUROPHARMA</t>
        </is>
      </c>
      <c r="Q10" s="493" t="n"/>
    </row>
    <row r="11" ht="15" customHeight="1" s="462">
      <c r="A11" s="461" t="inlineStr">
        <is>
          <t>Market Capitalization (Rs in Mn)</t>
        </is>
      </c>
      <c r="B11" s="494" t="n">
        <v>48655.6094720497</v>
      </c>
      <c r="Q11" s="493" t="n"/>
    </row>
    <row r="12" ht="15" customHeight="1" s="462">
      <c r="A12" s="461" t="inlineStr">
        <is>
          <t xml:space="preserve">Relative Index </t>
        </is>
      </c>
      <c r="B12" s="468" t="inlineStr">
        <is>
          <t>S&amp;P CNX Nifty</t>
        </is>
      </c>
      <c r="Q12" s="493" t="n"/>
    </row>
    <row r="13" ht="15" customHeight="1" s="462">
      <c r="A13" s="461" t="inlineStr">
        <is>
          <t>Year end</t>
        </is>
      </c>
      <c r="B13" s="496" t="n">
        <v>39903</v>
      </c>
      <c r="Q13" s="493" t="n"/>
    </row>
    <row r="14" ht="15" customHeight="1" s="462">
      <c r="A14" s="461" t="inlineStr">
        <is>
          <t>Reporting currency</t>
        </is>
      </c>
      <c r="B14" s="468" t="inlineStr">
        <is>
          <t>INR</t>
        </is>
      </c>
      <c r="Q14" s="493" t="n"/>
    </row>
    <row r="15" ht="15" customHeight="1" s="462">
      <c r="F15" s="493" t="n"/>
      <c r="G15" s="493" t="n"/>
      <c r="H15" s="493" t="n"/>
      <c r="I15" s="493" t="n"/>
      <c r="J15" s="493" t="n"/>
      <c r="K15" s="493" t="n"/>
      <c r="L15" s="493" t="n"/>
      <c r="M15" s="493" t="n"/>
      <c r="N15" s="493" t="n"/>
      <c r="O15" s="493" t="n"/>
      <c r="P15" s="493" t="n"/>
      <c r="Q15" s="493" t="n"/>
    </row>
    <row r="16" ht="15" customHeight="1" s="462">
      <c r="F16" s="497" t="n"/>
      <c r="G16" s="497" t="n"/>
      <c r="H16" s="497" t="n"/>
      <c r="I16" s="497" t="n"/>
      <c r="J16" s="497" t="n"/>
      <c r="K16" s="497" t="n"/>
      <c r="L16" s="497" t="n"/>
      <c r="M16" s="497" t="n"/>
      <c r="N16" s="497" t="n"/>
      <c r="O16" s="497" t="n"/>
      <c r="P16" s="497" t="n"/>
      <c r="Q16" s="461" t="n"/>
    </row>
    <row r="17" ht="15" customHeight="1" s="462">
      <c r="F17" s="491" t="inlineStr">
        <is>
          <t>Products</t>
        </is>
      </c>
      <c r="G17" s="492" t="n"/>
      <c r="H17" s="492" t="n"/>
      <c r="I17" s="492" t="n"/>
      <c r="J17" s="492" t="n"/>
      <c r="K17" s="492" t="n"/>
      <c r="L17" s="492" t="n"/>
      <c r="M17" s="492" t="n"/>
      <c r="N17" s="492" t="n"/>
      <c r="O17" s="492" t="n"/>
      <c r="P17" s="492" t="n"/>
      <c r="Q17" s="498" t="n"/>
    </row>
    <row r="18" ht="15" customHeight="1" s="462">
      <c r="F18" s="493" t="inlineStr">
        <is>
          <t xml:space="preserve">Aurobindo is a leading player in APIs and has a strong presence in SSPs, CCPs, and ARVs. Aurobindo ranks the highest in terms of DMF filings by any Indian company and is the second largest globally. Aurobindo has set up seven state–of-the-art manufacturing facilities and all have the necessary regulatory approvals. Six of these facilities are situated in India near Hyderabad and one is in China. The key products segments are:- CVS,CNS, Anti-allergic, Cephalosporins,(synthetic &amp; non-synthetic) SSP’s, Gastro intestinals, and ARV’s. </t>
        </is>
      </c>
    </row>
    <row r="19" ht="15" customHeight="1" s="462"/>
    <row r="20" ht="15" customHeight="1" s="462"/>
    <row r="21" ht="15" customHeight="1" s="462"/>
    <row r="22" ht="15" customHeight="1" s="462"/>
    <row r="23" ht="15" customHeight="1" s="462">
      <c r="F23" s="461" t="n"/>
      <c r="G23" s="461" t="n"/>
      <c r="H23" s="461" t="n"/>
      <c r="I23" s="461" t="n"/>
      <c r="J23" s="461" t="n"/>
      <c r="K23" s="461" t="n"/>
      <c r="L23" s="461" t="n"/>
      <c r="M23" s="461" t="n"/>
      <c r="N23" s="461" t="n"/>
      <c r="O23" s="461" t="n"/>
      <c r="P23" s="461" t="n"/>
      <c r="Q23" s="461" t="n"/>
    </row>
    <row r="24" ht="15" customHeight="1" s="462">
      <c r="F24" s="461" t="n"/>
      <c r="G24" s="461" t="n"/>
      <c r="H24" s="461" t="n"/>
      <c r="I24" s="461" t="n"/>
      <c r="J24" s="461" t="n"/>
      <c r="K24" s="461" t="n"/>
      <c r="L24" s="461" t="n"/>
      <c r="M24" s="461" t="n"/>
      <c r="N24" s="461" t="n"/>
      <c r="O24" s="461" t="n"/>
      <c r="P24" s="461" t="n"/>
      <c r="Q24" s="461" t="n"/>
    </row>
    <row r="25" ht="15" customHeight="1" s="462">
      <c r="A25" s="491" t="inlineStr">
        <is>
          <t>Per Share Data &amp; Key Ratios</t>
        </is>
      </c>
      <c r="B25" s="492" t="n"/>
      <c r="C25" s="492" t="n"/>
      <c r="D25" s="492" t="n"/>
      <c r="E25" s="492" t="n"/>
      <c r="F25" s="492" t="n"/>
      <c r="G25" s="492" t="n"/>
      <c r="H25" s="492" t="n"/>
      <c r="I25" s="492" t="n"/>
      <c r="J25" s="492" t="n"/>
      <c r="K25" s="492" t="n"/>
      <c r="L25" s="492" t="n"/>
      <c r="M25" s="492" t="n"/>
      <c r="N25" s="492" t="n"/>
      <c r="O25" s="492" t="n"/>
      <c r="P25" s="492" t="n"/>
      <c r="Q25" s="497" t="n"/>
      <c r="R25" s="497" t="n"/>
    </row>
    <row r="26" ht="45.75" customHeight="1" s="462">
      <c r="A26" s="499" t="inlineStr">
        <is>
          <t>For the Fiscal Period Ending</t>
        </is>
      </c>
      <c r="B26" s="500" t="inlineStr">
        <is>
          <t>3 months 
Jun-30-          2008</t>
        </is>
      </c>
      <c r="C26" s="500" t="inlineStr">
        <is>
          <t>3 months 
Sep-30-2008</t>
        </is>
      </c>
      <c r="D26" s="500" t="inlineStr">
        <is>
          <t>3 months 
Dec-31-2008</t>
        </is>
      </c>
      <c r="E26" s="500" t="inlineStr">
        <is>
          <t>3 months 
Mar-31-2009</t>
        </is>
      </c>
      <c r="F26" s="501" t="inlineStr">
        <is>
          <t>FY2009 A</t>
        </is>
      </c>
      <c r="G26" s="500" t="inlineStr">
        <is>
          <t>3 months 
Jun-30-2009</t>
        </is>
      </c>
      <c r="H26" s="502" t="inlineStr">
        <is>
          <t>3 months 
Sep-30-2009</t>
        </is>
      </c>
      <c r="I26" s="502" t="inlineStr">
        <is>
          <t>3 months 
Dec-31-     2009</t>
        </is>
      </c>
      <c r="J26" s="502" t="inlineStr">
        <is>
          <t>3 months 
Mar-31-2010</t>
        </is>
      </c>
      <c r="K26" s="503" t="inlineStr">
        <is>
          <t>FY2010 E</t>
        </is>
      </c>
      <c r="L26" s="504" t="inlineStr">
        <is>
          <t>3 months 
Jun-30-                                                      2010</t>
        </is>
      </c>
      <c r="M26" s="504" t="inlineStr">
        <is>
          <t>3 months 
Sep-30-2010</t>
        </is>
      </c>
      <c r="N26" s="504" t="inlineStr">
        <is>
          <t>3 months 
Dec-31-2010</t>
        </is>
      </c>
      <c r="O26" s="504" t="inlineStr">
        <is>
          <t>3 months 
Mar-31-2011</t>
        </is>
      </c>
      <c r="P26" s="503" t="inlineStr">
        <is>
          <t>FY2011 E</t>
        </is>
      </c>
    </row>
    <row r="27" ht="15.75" customHeight="1" s="462">
      <c r="A27" s="505" t="inlineStr">
        <is>
          <t>EPS diluted (reported)</t>
        </is>
      </c>
      <c r="B27" s="506" t="n">
        <v>2.43</v>
      </c>
      <c r="C27" s="506" t="n">
        <v>-7.15</v>
      </c>
      <c r="D27" s="506" t="n">
        <v>6.19</v>
      </c>
      <c r="E27" s="506" t="n">
        <v>12.37</v>
      </c>
      <c r="F27" s="507" t="n">
        <v>15.43</v>
      </c>
      <c r="G27" s="506" t="n">
        <v>25.76</v>
      </c>
      <c r="H27" s="506" t="n">
        <v>14.0379872690049</v>
      </c>
      <c r="I27" s="506" t="n">
        <v>15.3908350661502</v>
      </c>
      <c r="J27" s="506" t="n">
        <v>17.4024746105531</v>
      </c>
      <c r="K27" s="507" t="n">
        <v>72.591296945708</v>
      </c>
      <c r="L27" s="506" t="n">
        <v>22.4163158687223</v>
      </c>
      <c r="M27" s="506" t="n">
        <v>14.9459322005408</v>
      </c>
      <c r="N27" s="506" t="n">
        <v>15.8518899890029</v>
      </c>
      <c r="O27" s="506" t="n">
        <v>22.0972326539909</v>
      </c>
      <c r="P27" s="507" t="n">
        <v>78.96696167471561</v>
      </c>
    </row>
    <row r="28" ht="15" customHeight="1" s="462">
      <c r="A28" s="508" t="inlineStr">
        <is>
          <t>Operating Margin (%)</t>
        </is>
      </c>
      <c r="B28" s="509" t="n">
        <v>0.123728405891424</v>
      </c>
      <c r="C28" s="509" t="n">
        <v>0.13271627533071</v>
      </c>
      <c r="D28" s="509" t="n">
        <v>0.167419857818653</v>
      </c>
      <c r="E28" s="509" t="n">
        <v>0.162057019209742</v>
      </c>
      <c r="F28" s="510" t="n">
        <v>0.147571320647055</v>
      </c>
      <c r="G28" s="509" t="n">
        <v>0.196489700136686</v>
      </c>
      <c r="H28" s="509" t="n">
        <v>0.140806369376536</v>
      </c>
      <c r="I28" s="509" t="n">
        <v>0.148994314229731</v>
      </c>
      <c r="J28" s="509" t="n">
        <v>0.163397607972018</v>
      </c>
      <c r="K28" s="510" t="n">
        <v>0.160605461161247</v>
      </c>
      <c r="L28" s="509" t="n">
        <v>0.19272118816276</v>
      </c>
      <c r="M28" s="509" t="n">
        <v>0.138835556557953</v>
      </c>
      <c r="N28" s="509" t="n">
        <v>0.137094663961782</v>
      </c>
      <c r="O28" s="509" t="n">
        <v>0.152843490268763</v>
      </c>
      <c r="P28" s="510" t="n">
        <v>0.154847514976173</v>
      </c>
    </row>
    <row r="29" ht="15" customHeight="1" s="462">
      <c r="A29" s="505" t="inlineStr">
        <is>
          <t>EBITDA/sales (%)</t>
        </is>
      </c>
      <c r="B29" s="509" t="n">
        <v>0.164108150935921</v>
      </c>
      <c r="C29" s="509" t="n">
        <v>0.177731766239901</v>
      </c>
      <c r="D29" s="509" t="n">
        <v>0.215518380506885</v>
      </c>
      <c r="E29" s="509" t="n">
        <v>0.208671431695499</v>
      </c>
      <c r="F29" s="510" t="n">
        <v>0.192732693293652</v>
      </c>
      <c r="G29" s="509" t="n">
        <v>0.239418901428554</v>
      </c>
      <c r="H29" s="509" t="n">
        <v>0.172641086040097</v>
      </c>
      <c r="I29" s="509" t="n">
        <v>0.182333933315515</v>
      </c>
      <c r="J29" s="509" t="n">
        <v>0.196746873868201</v>
      </c>
      <c r="K29" s="510" t="n">
        <v>0.19556523233314</v>
      </c>
      <c r="L29" s="509" t="n">
        <v>0.224744197463283</v>
      </c>
      <c r="M29" s="509" t="n">
        <v>0.171420999842006</v>
      </c>
      <c r="N29" s="509" t="n">
        <v>0.169558515937869</v>
      </c>
      <c r="O29" s="509" t="n">
        <v>0.181129522267042</v>
      </c>
      <c r="P29" s="510" t="n">
        <v>0.186050653206402</v>
      </c>
      <c r="Q29" s="509" t="n"/>
    </row>
    <row r="30" ht="15" customHeight="1" s="462">
      <c r="A30" s="505" t="inlineStr">
        <is>
          <t>EBIT/sales (%)</t>
        </is>
      </c>
      <c r="B30" s="509" t="n">
        <v>0.125850677004485</v>
      </c>
      <c r="C30" s="509" t="n">
        <v>0.137909839179085</v>
      </c>
      <c r="D30" s="509" t="n">
        <v>0.174449641903856</v>
      </c>
      <c r="E30" s="509" t="n">
        <v>0.168191706087497</v>
      </c>
      <c r="F30" s="510" t="n">
        <v>0.152776837120338</v>
      </c>
      <c r="G30" s="509" t="n">
        <v>0.199187139383823</v>
      </c>
      <c r="H30" s="509" t="n">
        <v>0.144433570086511</v>
      </c>
      <c r="I30" s="509" t="n">
        <v>0.154126417361929</v>
      </c>
      <c r="J30" s="509" t="n">
        <v>0.168539357914614</v>
      </c>
      <c r="K30" s="510" t="n">
        <v>0.164832516869254</v>
      </c>
      <c r="L30" s="509" t="n">
        <v>0.194696708375205</v>
      </c>
      <c r="M30" s="509" t="n">
        <v>0.142087346130053</v>
      </c>
      <c r="N30" s="509" t="n">
        <v>0.141496193940705</v>
      </c>
      <c r="O30" s="509" t="n">
        <v>0.156684810840415</v>
      </c>
      <c r="P30" s="510" t="n">
        <v>0.158256430869727</v>
      </c>
      <c r="Q30" s="509" t="n"/>
    </row>
    <row r="31" ht="15" customHeight="1" s="462">
      <c r="A31" s="505" t="inlineStr">
        <is>
          <t>Net income/sales (%)</t>
        </is>
      </c>
      <c r="B31" s="509" t="n">
        <v>0.0232317944509683</v>
      </c>
      <c r="C31" s="509" t="n">
        <v>-0.0530641336071926</v>
      </c>
      <c r="D31" s="509" t="n">
        <v>0.0552868733317478</v>
      </c>
      <c r="E31" s="509" t="n">
        <v>0.0921354004811071</v>
      </c>
      <c r="F31" s="510" t="n">
        <v>0.0326835108149431</v>
      </c>
      <c r="G31" s="509" t="n">
        <v>0.201340252325483</v>
      </c>
      <c r="H31" s="509" t="n">
        <v>0.0875037223238726</v>
      </c>
      <c r="I31" s="509" t="n">
        <v>0.0959364994534861</v>
      </c>
      <c r="J31" s="509" t="n">
        <v>0.108475757734323</v>
      </c>
      <c r="K31" s="510" t="n">
        <v>0.119153593891923</v>
      </c>
      <c r="L31" s="509" t="n">
        <v>0.128315403182993</v>
      </c>
      <c r="M31" s="509" t="n">
        <v>0.0835209715785773</v>
      </c>
      <c r="N31" s="509" t="n">
        <v>0.0847444025794865</v>
      </c>
      <c r="O31" s="509" t="n">
        <v>0.102903269135687</v>
      </c>
      <c r="P31" s="510" t="n">
        <v>0.104531295674259</v>
      </c>
      <c r="Q31" s="509" t="n"/>
    </row>
    <row r="32" ht="15" customHeight="1" s="462">
      <c r="A32" s="511" t="inlineStr">
        <is>
          <t>Interest Cover</t>
        </is>
      </c>
      <c r="B32" s="512" t="n">
        <v>8.753962264150941</v>
      </c>
      <c r="C32" s="512" t="n">
        <v>8.23243761996161</v>
      </c>
      <c r="D32" s="512" t="n">
        <v>6.40361209265803</v>
      </c>
      <c r="E32" s="512" t="n">
        <v>6.78010471204189</v>
      </c>
      <c r="F32" s="513" t="n">
        <v>7.26431125909484</v>
      </c>
      <c r="G32" s="512" t="n">
        <v>8.727072310405649</v>
      </c>
      <c r="H32" s="512" t="n">
        <v>3.2895412934694</v>
      </c>
      <c r="I32" s="512" t="n">
        <v>3.4742309411954</v>
      </c>
      <c r="J32" s="512" t="n">
        <v>3.74885828626069</v>
      </c>
      <c r="K32" s="513" t="n">
        <v>4.1414398130559</v>
      </c>
      <c r="L32" s="512" t="n">
        <v>4.76074900588277</v>
      </c>
      <c r="M32" s="512" t="n">
        <v>3.71957094719885</v>
      </c>
      <c r="N32" s="512" t="n">
        <v>3.84583800567111</v>
      </c>
      <c r="O32" s="512" t="n">
        <v>4.71627706751531</v>
      </c>
      <c r="P32" s="513" t="n">
        <v>4.26060875656701</v>
      </c>
    </row>
    <row r="33" ht="15" customHeight="1" s="462">
      <c r="A33" s="508" t="inlineStr">
        <is>
          <t>ROE</t>
        </is>
      </c>
      <c r="B33" s="514" t="inlineStr">
        <is>
          <t>Quarterly data not available</t>
        </is>
      </c>
      <c r="F33" s="510" t="n">
        <v>0.0816177293647508</v>
      </c>
      <c r="G33" s="514" t="inlineStr">
        <is>
          <t>Quarterly data not available</t>
        </is>
      </c>
      <c r="K33" s="510" t="n">
        <v>0.277060172349794</v>
      </c>
      <c r="L33" s="514" t="inlineStr">
        <is>
          <t>Quarterly data not available</t>
        </is>
      </c>
      <c r="P33" s="510" t="n">
        <v>0.209479930935322</v>
      </c>
    </row>
    <row r="34" ht="15" customHeight="1" s="462">
      <c r="A34" s="508" t="inlineStr">
        <is>
          <t>EV/Sales</t>
        </is>
      </c>
      <c r="F34" s="515" t="n"/>
      <c r="H34" s="506" t="n">
        <v>1.5507274117583</v>
      </c>
      <c r="I34" s="506" t="n">
        <v>1.5507274117583</v>
      </c>
      <c r="J34" s="506" t="n">
        <v>1.5507274117583</v>
      </c>
      <c r="K34" s="513" t="n">
        <v>1.63341433154608</v>
      </c>
      <c r="L34" s="506" t="n">
        <v>1.42406015610379</v>
      </c>
      <c r="M34" s="506" t="n">
        <v>1.39022889272674</v>
      </c>
      <c r="N34" s="506" t="n">
        <v>1.3299758434648</v>
      </c>
      <c r="O34" s="506" t="n">
        <v>1.15852407727228</v>
      </c>
      <c r="P34" s="513" t="n">
        <v>1.31726962221458</v>
      </c>
    </row>
    <row r="35" ht="15" customHeight="1" s="462">
      <c r="A35" s="508" t="inlineStr">
        <is>
          <t>EV/EBITDA</t>
        </is>
      </c>
      <c r="F35" s="515" t="n"/>
      <c r="H35" s="506" t="n">
        <v>8.982377528592091</v>
      </c>
      <c r="I35" s="506" t="n">
        <v>8.50487555201744</v>
      </c>
      <c r="J35" s="506" t="n">
        <v>7.88184015974314</v>
      </c>
      <c r="K35" s="513" t="n">
        <v>8.35227362276542</v>
      </c>
      <c r="L35" s="506" t="n">
        <v>6.3363600581343</v>
      </c>
      <c r="M35" s="506" t="n">
        <v>8.1100267412282</v>
      </c>
      <c r="N35" s="506" t="n">
        <v>7.84375727817847</v>
      </c>
      <c r="O35" s="506" t="n">
        <v>6.39610850165139</v>
      </c>
      <c r="P35" s="513" t="n">
        <v>7.0801666079249</v>
      </c>
    </row>
    <row r="36" ht="15" customHeight="1" s="462">
      <c r="A36" s="508" t="inlineStr">
        <is>
          <t>P/E</t>
        </is>
      </c>
      <c r="F36" s="515" t="n"/>
      <c r="H36" s="506" t="n">
        <v>13.410042080295</v>
      </c>
      <c r="I36" s="506" t="n">
        <v>12.2313051365242</v>
      </c>
      <c r="J36" s="506" t="n">
        <v>10.8174270736096</v>
      </c>
      <c r="K36" s="513" t="n">
        <v>10.3731443255957</v>
      </c>
      <c r="L36" s="506" t="n">
        <v>8.397900935303429</v>
      </c>
      <c r="M36" s="506" t="n">
        <v>12.5954003720951</v>
      </c>
      <c r="N36" s="506" t="n">
        <v>11.8755555413643</v>
      </c>
      <c r="O36" s="506" t="n">
        <v>8.51916631135262</v>
      </c>
      <c r="P36" s="513" t="n">
        <v>9.53563343492678</v>
      </c>
    </row>
    <row r="37" ht="15" customHeight="1" s="462">
      <c r="A37" s="508" t="inlineStr">
        <is>
          <t>P/Sales</t>
        </is>
      </c>
      <c r="F37" s="507" t="n"/>
      <c r="H37" s="506" t="n">
        <v>1.20176663264723</v>
      </c>
      <c r="I37" s="506" t="n">
        <v>1.11122479442327</v>
      </c>
      <c r="J37" s="506" t="n">
        <v>1.13375597401609</v>
      </c>
      <c r="K37" s="513" t="n">
        <v>1.20660376261553</v>
      </c>
      <c r="L37" s="506" t="n">
        <v>1.05899930439004</v>
      </c>
      <c r="M37" s="506" t="n">
        <v>1.07831798098293</v>
      </c>
      <c r="N37" s="506" t="n">
        <v>0.964034092422916</v>
      </c>
      <c r="O37" s="506" t="n">
        <v>0.858892221869621</v>
      </c>
      <c r="P37" s="513" t="n">
        <v>0.982015353866355</v>
      </c>
    </row>
    <row r="38" ht="15" customFormat="1" customHeight="1" s="461">
      <c r="A38" s="508" t="inlineStr">
        <is>
          <t>P/BV</t>
        </is>
      </c>
      <c r="B38" s="508" t="n"/>
      <c r="C38" s="508" t="n"/>
      <c r="D38" s="508" t="n"/>
      <c r="E38" s="508" t="n"/>
      <c r="F38" s="516" t="n"/>
      <c r="G38" s="514" t="inlineStr">
        <is>
          <t>Quarterly data not available</t>
        </is>
      </c>
      <c r="K38" s="517" t="n">
        <v>2.87398515465882</v>
      </c>
      <c r="L38" s="514" t="inlineStr">
        <is>
          <t>Quarterly data not available</t>
        </is>
      </c>
      <c r="P38" s="517" t="n">
        <v>1.99752383337301</v>
      </c>
      <c r="Q38" s="508" t="n"/>
      <c r="R38" s="508" t="n"/>
      <c r="S38" s="508" t="n"/>
      <c r="T38" s="508" t="n"/>
      <c r="U38" s="508" t="n"/>
      <c r="V38" s="508" t="n"/>
      <c r="W38" s="508" t="n"/>
      <c r="X38" s="508" t="n"/>
      <c r="Y38" s="508" t="n"/>
      <c r="Z38" s="508" t="n"/>
      <c r="AA38" s="508" t="n"/>
      <c r="AB38" s="508" t="n"/>
      <c r="AC38" s="508" t="n"/>
      <c r="AD38" s="508" t="n"/>
      <c r="AE38" s="508" t="n"/>
      <c r="AF38" s="508" t="n"/>
      <c r="AG38" s="508" t="n"/>
      <c r="AH38" s="508" t="n"/>
      <c r="AI38" s="508" t="n"/>
      <c r="AJ38" s="508" t="n"/>
      <c r="AK38" s="508" t="n"/>
    </row>
    <row r="39" ht="15" customHeight="1" s="462">
      <c r="A39" s="508" t="n"/>
      <c r="B39" s="508" t="n"/>
      <c r="C39" s="508" t="n"/>
      <c r="D39" s="508" t="n"/>
      <c r="E39" s="508" t="n"/>
      <c r="F39" s="508" t="n"/>
      <c r="G39" s="518" t="n"/>
      <c r="H39" s="518" t="n"/>
      <c r="I39" s="518" t="n"/>
      <c r="J39" s="518" t="n"/>
      <c r="K39" s="519" t="n"/>
      <c r="L39" s="518" t="n"/>
      <c r="M39" s="518" t="n"/>
      <c r="N39" s="518" t="n"/>
      <c r="O39" s="518" t="n"/>
      <c r="P39" s="519" t="n"/>
      <c r="Q39" s="508" t="n"/>
      <c r="R39" s="508" t="n"/>
      <c r="S39" s="508" t="n"/>
      <c r="T39" s="508" t="n"/>
      <c r="U39" s="508" t="n"/>
      <c r="V39" s="508" t="n"/>
      <c r="W39" s="508" t="n"/>
      <c r="X39" s="508" t="n"/>
      <c r="Y39" s="508" t="n"/>
      <c r="Z39" s="508" t="n"/>
      <c r="AA39" s="508" t="n"/>
      <c r="AB39" s="508" t="n"/>
      <c r="AC39" s="508" t="n"/>
      <c r="AD39" s="508" t="n"/>
      <c r="AE39" s="508" t="n"/>
      <c r="AF39" s="508" t="n"/>
      <c r="AG39" s="508" t="n"/>
      <c r="AH39" s="508" t="n"/>
      <c r="AI39" s="508" t="n"/>
      <c r="AJ39" s="508" t="n"/>
      <c r="AK39" s="508" t="n"/>
    </row>
    <row r="41" ht="15" customHeight="1" s="462">
      <c r="A41" s="520" t="inlineStr">
        <is>
          <t>Geographic  Revenue breakup for 2009</t>
        </is>
      </c>
      <c r="C41" s="492" t="n"/>
      <c r="D41" s="492" t="n"/>
      <c r="E41" s="492" t="n"/>
      <c r="F41" s="492" t="n"/>
      <c r="G41" s="492" t="n"/>
      <c r="I41" s="491" t="inlineStr">
        <is>
          <t>Product Revenue Breakup for 2009</t>
        </is>
      </c>
      <c r="M41" s="492" t="n"/>
      <c r="N41" s="492" t="n"/>
      <c r="O41" s="492" t="n"/>
      <c r="P41" s="492" t="n"/>
      <c r="Q41" s="492" t="n"/>
      <c r="R41" s="492" t="n"/>
      <c r="S41" s="492" t="n"/>
      <c r="T41" s="492" t="n"/>
      <c r="U41" s="492" t="n"/>
      <c r="V41" s="492" t="n"/>
      <c r="W41" s="492" t="n"/>
      <c r="X41" s="492" t="n"/>
      <c r="Y41" s="492" t="n"/>
      <c r="Z41" s="492" t="n"/>
      <c r="AA41" s="492" t="n"/>
      <c r="AB41" s="492" t="n"/>
      <c r="AC41" s="492" t="n"/>
      <c r="AD41" s="492" t="n"/>
      <c r="AE41" s="492" t="n"/>
      <c r="AF41" s="492" t="n"/>
      <c r="AG41" s="492" t="n"/>
      <c r="AH41" s="492" t="n"/>
      <c r="AI41" s="492" t="n"/>
      <c r="AJ41" s="492" t="n"/>
      <c r="AK41" s="492" t="n"/>
    </row>
    <row r="43" ht="15" customHeight="1" s="462">
      <c r="A43" s="461" t="inlineStr">
        <is>
          <t xml:space="preserve">India </t>
        </is>
      </c>
      <c r="B43" s="521" t="n">
        <v>24443.8443149965</v>
      </c>
      <c r="I43" s="522" t="inlineStr">
        <is>
          <t>Formulations</t>
        </is>
      </c>
      <c r="S43" s="522" t="inlineStr">
        <is>
          <t>Active Ingredients</t>
        </is>
      </c>
      <c r="AC43" s="522" t="inlineStr">
        <is>
          <t>Formulations</t>
        </is>
      </c>
      <c r="AD43" s="523" t="n">
        <v>14098</v>
      </c>
    </row>
    <row r="44" ht="15" customHeight="1" s="462">
      <c r="A44" s="461" t="inlineStr">
        <is>
          <t>China</t>
        </is>
      </c>
      <c r="B44" s="521" t="n">
        <v>366.562112319882</v>
      </c>
      <c r="I44" s="461" t="inlineStr">
        <is>
          <t>USA</t>
        </is>
      </c>
      <c r="J44" s="524" t="n">
        <v>5584</v>
      </c>
      <c r="S44" s="461" t="inlineStr">
        <is>
          <t>SSPs</t>
        </is>
      </c>
      <c r="T44" s="524" t="n">
        <v>7379</v>
      </c>
      <c r="AC44" s="522" t="inlineStr">
        <is>
          <t>Active Ingredients</t>
        </is>
      </c>
      <c r="AD44" s="523" t="n">
        <v>16466</v>
      </c>
    </row>
    <row r="45" ht="15" customHeight="1" s="462">
      <c r="A45" s="461" t="inlineStr">
        <is>
          <t>Rest of the World</t>
        </is>
      </c>
      <c r="B45" s="521" t="n">
        <v>6432.02357268361</v>
      </c>
      <c r="I45" s="461" t="inlineStr">
        <is>
          <t>Europe</t>
        </is>
      </c>
      <c r="J45" s="524" t="n">
        <v>1923</v>
      </c>
      <c r="S45" s="461" t="inlineStr">
        <is>
          <t>Cephs</t>
        </is>
      </c>
      <c r="T45" s="524" t="n">
        <v>6344</v>
      </c>
    </row>
    <row r="46" ht="15" customHeight="1" s="462">
      <c r="A46" s="522" t="inlineStr">
        <is>
          <t>Consolidated</t>
        </is>
      </c>
      <c r="B46" s="521" t="n">
        <v>31242.43</v>
      </c>
      <c r="I46" s="461" t="inlineStr">
        <is>
          <t>ARV's</t>
        </is>
      </c>
      <c r="J46" s="524" t="n">
        <v>4640</v>
      </c>
      <c r="S46" s="461" t="inlineStr">
        <is>
          <t>ARVs &amp; Others</t>
        </is>
      </c>
      <c r="T46" s="524" t="n">
        <v>2743</v>
      </c>
    </row>
    <row r="47" ht="15" customHeight="1" s="462">
      <c r="I47" s="461" t="inlineStr">
        <is>
          <t>Rest of the World</t>
        </is>
      </c>
      <c r="J47" s="524" t="n">
        <v>1951</v>
      </c>
      <c r="S47" s="522" t="inlineStr">
        <is>
          <t>Total</t>
        </is>
      </c>
      <c r="T47" s="523" t="n">
        <v>16466</v>
      </c>
    </row>
    <row r="48" ht="15" customHeight="1" s="462">
      <c r="I48" s="522" t="inlineStr">
        <is>
          <t>Total</t>
        </is>
      </c>
      <c r="J48" s="524" t="n">
        <v>14098</v>
      </c>
    </row>
    <row r="55" ht="15" customHeight="1" s="462">
      <c r="A55" s="491" t="inlineStr">
        <is>
          <t>Revenue Forecast</t>
        </is>
      </c>
      <c r="B55" s="492" t="n"/>
      <c r="C55" s="492" t="n"/>
      <c r="D55" s="492" t="n"/>
      <c r="E55" s="492" t="n"/>
      <c r="F55" s="492" t="n"/>
      <c r="G55" s="492" t="n"/>
      <c r="H55" s="492" t="n"/>
      <c r="I55" s="492" t="n"/>
      <c r="J55" s="492" t="n"/>
      <c r="L55" s="520" t="inlineStr">
        <is>
          <t xml:space="preserve">Enterprise Value Added </t>
        </is>
      </c>
      <c r="O55" s="492" t="n"/>
      <c r="P55" s="492" t="n"/>
      <c r="Q55" s="492" t="n"/>
      <c r="R55" s="492" t="n"/>
      <c r="S55" s="492" t="n"/>
      <c r="T55" s="492" t="n"/>
    </row>
    <row r="76" ht="15.75" customHeight="1" s="462">
      <c r="A76" s="489" t="n"/>
      <c r="B76" s="489" t="n"/>
      <c r="C76" s="489" t="n"/>
      <c r="D76" s="489" t="n"/>
      <c r="E76" s="489" t="n"/>
      <c r="F76" s="489" t="n"/>
      <c r="G76" s="489" t="n"/>
      <c r="H76" s="489" t="n"/>
      <c r="I76" s="489" t="n"/>
      <c r="J76" s="489" t="n"/>
      <c r="K76" s="489" t="n"/>
      <c r="L76" s="489" t="n"/>
      <c r="M76" s="489" t="n"/>
      <c r="N76" s="489" t="n"/>
      <c r="O76" s="489" t="n"/>
      <c r="P76" s="489" t="n"/>
      <c r="Q76" s="489" t="n"/>
      <c r="R76" s="489" t="n"/>
      <c r="S76" s="489" t="n"/>
      <c r="T76" s="489" t="n"/>
    </row>
    <row r="78" ht="15" customHeight="1" s="462">
      <c r="A78" s="522" t="inlineStr">
        <is>
          <t>Revenue Data</t>
        </is>
      </c>
    </row>
    <row r="79" ht="15" customHeight="1" s="462">
      <c r="B79" s="525" t="inlineStr">
        <is>
          <t>FY2007 A</t>
        </is>
      </c>
      <c r="C79" s="525" t="inlineStr">
        <is>
          <t>FY2008 A</t>
        </is>
      </c>
      <c r="D79" s="525" t="inlineStr">
        <is>
          <t>FY2009 A</t>
        </is>
      </c>
      <c r="E79" s="526" t="inlineStr">
        <is>
          <t>FY2010 E</t>
        </is>
      </c>
      <c r="F79" s="526" t="inlineStr">
        <is>
          <t>FY2011 E</t>
        </is>
      </c>
      <c r="G79" s="526" t="inlineStr">
        <is>
          <t>FY2012 E</t>
        </is>
      </c>
      <c r="H79" s="526" t="inlineStr">
        <is>
          <t>FY2013 E</t>
        </is>
      </c>
      <c r="I79" s="526" t="inlineStr">
        <is>
          <t>FY2014 E</t>
        </is>
      </c>
      <c r="L79" s="461" t="inlineStr">
        <is>
          <t>Explicit Forecast FCF (First Stage)</t>
        </is>
      </c>
      <c r="M79" s="506" t="n">
        <v>7583.45602084063</v>
      </c>
    </row>
    <row r="80" ht="15" customHeight="1" s="462">
      <c r="A80" s="461" t="inlineStr">
        <is>
          <t>Formulations</t>
        </is>
      </c>
      <c r="B80" s="527" t="n">
        <v>7196.2</v>
      </c>
      <c r="C80" s="527" t="n">
        <v>10048</v>
      </c>
      <c r="D80" s="527" t="n">
        <v>14098</v>
      </c>
      <c r="E80" s="527" t="n">
        <v>21408.6194230573</v>
      </c>
      <c r="F80" s="527" t="n">
        <v>28084.8073262365</v>
      </c>
      <c r="G80" s="527" t="n">
        <v>34825.1610845333</v>
      </c>
      <c r="H80" s="527" t="n">
        <v>42486.6965231306</v>
      </c>
      <c r="I80" s="528" t="n">
        <v>50984.0358277568</v>
      </c>
      <c r="L80" s="461" t="inlineStr">
        <is>
          <t xml:space="preserve">Second Stage </t>
        </is>
      </c>
      <c r="M80" s="506" t="n">
        <v>7583.45602084063</v>
      </c>
      <c r="N80" s="506" t="n">
        <v>13507.8456107095</v>
      </c>
    </row>
    <row r="81" ht="15" customHeight="1" s="462">
      <c r="A81" s="461" t="inlineStr">
        <is>
          <t>Active Ingredients</t>
        </is>
      </c>
      <c r="B81" s="527" t="n">
        <v>15306</v>
      </c>
      <c r="C81" s="527" t="n">
        <v>15476</v>
      </c>
      <c r="D81" s="527" t="n">
        <v>16466</v>
      </c>
      <c r="E81" s="527" t="n">
        <v>17956.8423769427</v>
      </c>
      <c r="F81" s="527" t="n">
        <v>20728.3653057635</v>
      </c>
      <c r="G81" s="527" t="n">
        <v>25703.1729791467</v>
      </c>
      <c r="H81" s="527" t="n">
        <v>31357.8710345589</v>
      </c>
      <c r="I81" s="528" t="n">
        <v>37629.4452414707</v>
      </c>
      <c r="L81" s="461" t="inlineStr">
        <is>
          <t>Terminal Year Forecast FCF</t>
        </is>
      </c>
      <c r="M81" s="506" t="n">
        <v>7583.45602084063</v>
      </c>
      <c r="N81" s="506" t="n">
        <v>13507.8456107095</v>
      </c>
      <c r="O81" s="461" t="n">
        <v>41293.4188590443</v>
      </c>
    </row>
    <row r="82" ht="15" customHeight="1" s="462">
      <c r="A82" s="461" t="inlineStr">
        <is>
          <t>% Y-o-Y Growth</t>
        </is>
      </c>
      <c r="C82" s="529" t="n">
        <v>0.134289091733253</v>
      </c>
      <c r="D82" s="529" t="n">
        <v>0.197461212976022</v>
      </c>
      <c r="E82" s="529" t="n">
        <v>0.287968256772674</v>
      </c>
      <c r="F82" s="529" t="n">
        <v>0.24</v>
      </c>
      <c r="G82" s="529" t="n">
        <v>0.24</v>
      </c>
      <c r="H82" s="529" t="n">
        <v>0.22</v>
      </c>
      <c r="I82" s="530" t="n">
        <v>0.2</v>
      </c>
      <c r="L82" s="522" t="inlineStr">
        <is>
          <t>Total Enterprise Value</t>
        </is>
      </c>
      <c r="O82" s="506" t="n">
        <v>62384.7204905944</v>
      </c>
    </row>
  </sheetData>
  <mergeCells count="11">
    <mergeCell ref="F18:Q22"/>
    <mergeCell ref="A41:B41"/>
    <mergeCell ref="F5:G5"/>
    <mergeCell ref="F6:P14"/>
    <mergeCell ref="B33:E33"/>
    <mergeCell ref="G38:J38"/>
    <mergeCell ref="L38:O38"/>
    <mergeCell ref="L55:N55"/>
    <mergeCell ref="G33:J33"/>
    <mergeCell ref="I41:L41"/>
    <mergeCell ref="L33:O3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Q9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76" activePane="bottomRight" state="frozen"/>
      <selection pane="topLeft" activeCell="A1" activeCellId="0" sqref="A1"/>
      <selection pane="topRight" activeCell="B1" activeCellId="0" sqref="B1"/>
      <selection pane="bottomLeft" activeCell="A76" activeCellId="0" sqref="A76"/>
      <selection pane="bottomRight" activeCell="AL89" activeCellId="0" sqref="AL89"/>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6"/>
    <col width="10.56" customWidth="1" style="461" min="7" max="7"/>
    <col hidden="1" outlineLevel="1" width="9.56" customWidth="1" style="461" min="8" max="11"/>
    <col width="10.56" customWidth="1" style="461" min="12" max="12"/>
    <col hidden="1" outlineLevel="1" width="9.56" customWidth="1" style="461" min="13" max="13"/>
    <col hidden="1" outlineLevel="1" width="10.56" customWidth="1" style="461" min="14" max="16"/>
    <col width="10.56" customWidth="1" style="461" min="17" max="17"/>
    <col hidden="1" outlineLevel="1" width="10.56" customWidth="1" style="461" min="18"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s>
  <sheetData>
    <row r="1" ht="18.75" customHeight="1" s="462">
      <c r="A1" s="487" t="inlineStr">
        <is>
          <t>Aurobindo Pharma</t>
        </is>
      </c>
      <c r="Q1" s="521" t="n"/>
      <c r="R1" s="521" t="n"/>
      <c r="S1" s="521" t="n"/>
      <c r="T1" s="521" t="n"/>
      <c r="U1" s="521" t="n"/>
      <c r="V1" s="521" t="n"/>
    </row>
    <row r="2" ht="15.75" customHeight="1" s="462">
      <c r="A2" s="488" t="inlineStr">
        <is>
          <t>Presentation</t>
        </is>
      </c>
      <c r="Q2" s="521" t="n"/>
      <c r="R2" s="521" t="n"/>
      <c r="S2" s="521" t="n"/>
      <c r="T2" s="521" t="n"/>
      <c r="U2" s="521" t="n"/>
      <c r="V2" s="521"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531" t="n"/>
      <c r="R3" s="531" t="n"/>
      <c r="S3" s="531" t="n"/>
      <c r="T3" s="531" t="n"/>
      <c r="U3" s="531" t="n"/>
      <c r="V3" s="531" t="n"/>
      <c r="W3" s="489" t="n"/>
      <c r="X3" s="489" t="n"/>
      <c r="Y3" s="489" t="n"/>
      <c r="Z3" s="489" t="n"/>
      <c r="AA3" s="489" t="n"/>
      <c r="AB3" s="489" t="n"/>
      <c r="AC3" s="489" t="n"/>
      <c r="AD3" s="489" t="n"/>
      <c r="AE3" s="489" t="n"/>
      <c r="AF3" s="489" t="n"/>
      <c r="AG3" s="489" t="n"/>
      <c r="AH3" s="489" t="n"/>
      <c r="AI3" s="489" t="n"/>
      <c r="AJ3" s="489" t="n"/>
      <c r="AK3" s="489" t="n"/>
    </row>
    <row r="4" ht="15" customHeight="1" s="462">
      <c r="Q4" s="521" t="n"/>
      <c r="R4" s="521" t="n"/>
      <c r="S4" s="521" t="n"/>
      <c r="T4" s="521" t="n"/>
      <c r="U4" s="521" t="n"/>
      <c r="V4" s="521" t="n"/>
    </row>
    <row r="5" ht="45" customHeight="1" s="462">
      <c r="A5" s="532" t="inlineStr">
        <is>
          <t>For the Fiscal Period Ending</t>
        </is>
      </c>
      <c r="B5" s="533" t="inlineStr">
        <is>
          <t>FY2007 A</t>
        </is>
      </c>
      <c r="C5" s="534" t="inlineStr">
        <is>
          <t>3 months 
Jun-30-2007</t>
        </is>
      </c>
      <c r="D5" s="534" t="inlineStr">
        <is>
          <t>3 months 
Sep-30-2007</t>
        </is>
      </c>
      <c r="E5" s="534" t="inlineStr">
        <is>
          <t>3 months 
Dec-31-2007</t>
        </is>
      </c>
      <c r="F5" s="534" t="inlineStr">
        <is>
          <t>3 months 
Mar-31-2008</t>
        </is>
      </c>
      <c r="G5" s="533" t="inlineStr">
        <is>
          <t>FY2008 A</t>
        </is>
      </c>
      <c r="H5" s="534" t="inlineStr">
        <is>
          <t>3 months 
Jun-30-2008</t>
        </is>
      </c>
      <c r="I5" s="534" t="inlineStr">
        <is>
          <t>3 months 
Sep-30-2008</t>
        </is>
      </c>
      <c r="J5" s="534" t="inlineStr">
        <is>
          <t>3 months 
Dec-31-2008</t>
        </is>
      </c>
      <c r="K5" s="534" t="inlineStr">
        <is>
          <t>3 months 
Mar-31-2009</t>
        </is>
      </c>
      <c r="L5" s="533" t="inlineStr">
        <is>
          <t>FY2009 A</t>
        </is>
      </c>
      <c r="M5" s="534" t="inlineStr">
        <is>
          <t>3 months 
Jun-30-2009</t>
        </is>
      </c>
      <c r="N5" s="535" t="inlineStr">
        <is>
          <t>3 months 
Sep-30-2009</t>
        </is>
      </c>
      <c r="O5" s="535" t="inlineStr">
        <is>
          <t>3 months 
Dec-31-2009</t>
        </is>
      </c>
      <c r="P5" s="535" t="inlineStr">
        <is>
          <t>3 months 
Mar-31-2010</t>
        </is>
      </c>
      <c r="Q5" s="536" t="inlineStr">
        <is>
          <t>FY2010 E</t>
        </is>
      </c>
      <c r="R5" s="537" t="inlineStr">
        <is>
          <t>3 months 
Jun-30-2010</t>
        </is>
      </c>
      <c r="S5" s="537" t="inlineStr">
        <is>
          <t>3 months 
Sep-30-2010</t>
        </is>
      </c>
      <c r="T5" s="537" t="inlineStr">
        <is>
          <t>3 months 
Dec-31-2010</t>
        </is>
      </c>
      <c r="U5" s="537" t="inlineStr">
        <is>
          <t>3 months 
Mar-31-2011</t>
        </is>
      </c>
      <c r="V5" s="536" t="inlineStr">
        <is>
          <t>FY2011 E</t>
        </is>
      </c>
      <c r="W5" s="535" t="inlineStr">
        <is>
          <t>3 months 
Jun-30-2011</t>
        </is>
      </c>
      <c r="X5" s="535" t="inlineStr">
        <is>
          <t>3 months 
Sep-30-2011</t>
        </is>
      </c>
      <c r="Y5" s="535" t="inlineStr">
        <is>
          <t>3 months 
Dec-31-2011</t>
        </is>
      </c>
      <c r="Z5" s="535" t="inlineStr">
        <is>
          <t>3 months 
Mar-31-2012</t>
        </is>
      </c>
      <c r="AA5" s="536" t="inlineStr">
        <is>
          <t>FY2012 E</t>
        </is>
      </c>
      <c r="AB5" s="535" t="inlineStr">
        <is>
          <t>3 months 
Jun-30-2012</t>
        </is>
      </c>
      <c r="AC5" s="535" t="inlineStr">
        <is>
          <t>3 months 
Sep-30-2012</t>
        </is>
      </c>
      <c r="AD5" s="535" t="inlineStr">
        <is>
          <t>3 months 
Dec-31-2012</t>
        </is>
      </c>
      <c r="AE5" s="535" t="inlineStr">
        <is>
          <t>3 months 
Mar-31-2013</t>
        </is>
      </c>
      <c r="AF5" s="536" t="inlineStr">
        <is>
          <t>FY2013 E</t>
        </is>
      </c>
      <c r="AG5" s="535" t="inlineStr">
        <is>
          <t>3 months 
Jun-30-2013</t>
        </is>
      </c>
      <c r="AH5" s="535" t="inlineStr">
        <is>
          <t>3 months 
Sep-30-2013</t>
        </is>
      </c>
      <c r="AI5" s="535" t="inlineStr">
        <is>
          <t>3 months 
Dec-31-2013</t>
        </is>
      </c>
      <c r="AJ5" s="535" t="inlineStr">
        <is>
          <t>3 months 
Mar-31-2014</t>
        </is>
      </c>
      <c r="AK5" s="536" t="inlineStr">
        <is>
          <t>FY2014 E</t>
        </is>
      </c>
    </row>
    <row r="6" ht="15" customHeight="1" s="462">
      <c r="B6" s="515" t="n"/>
      <c r="G6" s="515" t="n"/>
      <c r="L6" s="515" t="n"/>
      <c r="Q6" s="515" t="n"/>
      <c r="V6" s="515" t="n"/>
      <c r="AA6" s="515" t="n"/>
      <c r="AF6" s="515" t="n"/>
      <c r="AK6" s="515" t="n"/>
    </row>
    <row r="7" ht="15.75" customHeight="1" s="462">
      <c r="A7" s="491" t="inlineStr">
        <is>
          <t>Geographic Revenue</t>
        </is>
      </c>
      <c r="B7" s="538" t="n"/>
      <c r="C7" s="489" t="n"/>
      <c r="D7" s="489" t="n"/>
      <c r="E7" s="489" t="n"/>
      <c r="F7" s="489" t="n"/>
      <c r="G7" s="538" t="n"/>
      <c r="H7" s="489" t="n"/>
      <c r="I7" s="489" t="n"/>
      <c r="J7" s="489" t="n"/>
      <c r="K7" s="489" t="n"/>
      <c r="L7" s="538" t="n"/>
      <c r="M7" s="489" t="n"/>
      <c r="N7" s="489" t="n"/>
      <c r="O7" s="489" t="n"/>
      <c r="P7" s="489" t="n"/>
      <c r="Q7" s="538" t="n"/>
      <c r="R7" s="489" t="n"/>
      <c r="S7" s="489" t="n"/>
      <c r="T7" s="489" t="n"/>
      <c r="U7" s="489" t="n"/>
      <c r="V7" s="538" t="n"/>
      <c r="W7" s="489" t="n"/>
      <c r="X7" s="489" t="n"/>
      <c r="Y7" s="489" t="n"/>
      <c r="Z7" s="489" t="n"/>
      <c r="AA7" s="538" t="n"/>
      <c r="AB7" s="489" t="n"/>
      <c r="AC7" s="489" t="n"/>
      <c r="AD7" s="489" t="n"/>
      <c r="AE7" s="489" t="n"/>
      <c r="AF7" s="538" t="n"/>
      <c r="AG7" s="489" t="n"/>
      <c r="AH7" s="489" t="n"/>
      <c r="AI7" s="489" t="n"/>
      <c r="AJ7" s="489" t="n"/>
      <c r="AK7" s="538" t="n"/>
    </row>
    <row r="8" ht="15" customHeight="1" s="462">
      <c r="A8" s="461" t="inlineStr">
        <is>
          <t xml:space="preserve">India </t>
        </is>
      </c>
      <c r="B8" s="507" t="n">
        <v>16023.4</v>
      </c>
      <c r="C8" s="539" t="inlineStr">
        <is>
          <t>Quarterly data not available</t>
        </is>
      </c>
      <c r="D8" s="540" t="n"/>
      <c r="E8" s="540" t="n"/>
      <c r="F8" s="540" t="n"/>
      <c r="G8" s="507" t="n">
        <v>19058.3</v>
      </c>
      <c r="H8" s="539" t="inlineStr">
        <is>
          <t>Quarterly data not available</t>
        </is>
      </c>
      <c r="I8" s="540" t="n"/>
      <c r="J8" s="540" t="n"/>
      <c r="K8" s="540" t="n"/>
      <c r="L8" s="507" t="n">
        <v>24443.8443149965</v>
      </c>
      <c r="M8" s="539" t="inlineStr">
        <is>
          <t>Quarterly data not available</t>
        </is>
      </c>
      <c r="N8" s="540" t="n"/>
      <c r="O8" s="540" t="n"/>
      <c r="P8" s="540" t="n"/>
      <c r="Q8" s="507" t="n">
        <v>31492.36944</v>
      </c>
      <c r="R8" s="539" t="inlineStr">
        <is>
          <t>Quarterly data not available</t>
        </is>
      </c>
      <c r="S8" s="540" t="n"/>
      <c r="T8" s="540" t="n"/>
      <c r="U8" s="540" t="n"/>
      <c r="V8" s="507" t="n">
        <v>39538.66983192</v>
      </c>
      <c r="W8" s="539" t="inlineStr">
        <is>
          <t>Quarterly data not available</t>
        </is>
      </c>
      <c r="X8" s="540" t="n"/>
      <c r="Y8" s="540" t="n"/>
      <c r="Z8" s="540" t="n"/>
      <c r="AA8" s="507" t="n">
        <v>47817.3839103072</v>
      </c>
      <c r="AB8" s="539" t="inlineStr">
        <is>
          <t>Quarterly data not available</t>
        </is>
      </c>
      <c r="AC8" s="540" t="n"/>
      <c r="AD8" s="540" t="n"/>
      <c r="AE8" s="540" t="n"/>
      <c r="AF8" s="507" t="n">
        <v>57598.7626949979</v>
      </c>
      <c r="AG8" s="539" t="inlineStr">
        <is>
          <t>Quarterly data not available</t>
        </is>
      </c>
      <c r="AH8" s="540" t="n"/>
      <c r="AI8" s="540" t="n"/>
      <c r="AJ8" s="540" t="n"/>
      <c r="AK8" s="507" t="n">
        <v>70890.78485538199</v>
      </c>
    </row>
    <row r="9" ht="15" customHeight="1" s="462">
      <c r="A9" s="461" t="inlineStr">
        <is>
          <t>China</t>
        </is>
      </c>
      <c r="B9" s="507" t="n">
        <v>976</v>
      </c>
      <c r="G9" s="507" t="n">
        <v>285.8</v>
      </c>
      <c r="L9" s="507" t="n">
        <v>366.562112319882</v>
      </c>
      <c r="Q9" s="507" t="n">
        <v>461.868261523051</v>
      </c>
      <c r="V9" s="507" t="n">
        <v>572.716644288583</v>
      </c>
      <c r="AA9" s="507" t="n">
        <v>710.1686389178431</v>
      </c>
      <c r="AF9" s="507" t="n">
        <v>866.405739479769</v>
      </c>
      <c r="AK9" s="507" t="n">
        <v>1039.68688737572</v>
      </c>
    </row>
    <row r="10" ht="15" customHeight="1" s="462">
      <c r="A10" s="461" t="inlineStr">
        <is>
          <t>Rest of the World</t>
        </is>
      </c>
      <c r="B10" s="507" t="n">
        <v>4229.8</v>
      </c>
      <c r="G10" s="507" t="n">
        <v>5014.9</v>
      </c>
      <c r="L10" s="507" t="n">
        <v>6432.02357268361</v>
      </c>
      <c r="Q10" s="507" t="n">
        <v>7479.437742</v>
      </c>
      <c r="V10" s="507" t="n">
        <v>8786.371073759999</v>
      </c>
      <c r="AA10" s="507" t="n">
        <v>12105.666812736</v>
      </c>
      <c r="AF10" s="507" t="n">
        <v>15507.3591871148</v>
      </c>
      <c r="AK10" s="507" t="n">
        <v>16836.5614031532</v>
      </c>
    </row>
    <row r="11" ht="15" customHeight="1" s="462">
      <c r="A11" s="522" t="inlineStr">
        <is>
          <t>Consolidated</t>
        </is>
      </c>
      <c r="B11" s="541" t="n">
        <v>21229.2</v>
      </c>
      <c r="G11" s="541" t="n">
        <v>24359</v>
      </c>
      <c r="L11" s="541" t="n">
        <v>31242.43</v>
      </c>
      <c r="Q11" s="541" t="n">
        <v>39365.4618</v>
      </c>
      <c r="V11" s="541" t="n">
        <v>48813.172632</v>
      </c>
      <c r="AA11" s="541" t="n">
        <v>60528.33406368</v>
      </c>
      <c r="AF11" s="541" t="n">
        <v>73844.5675576896</v>
      </c>
      <c r="AK11" s="541" t="n">
        <v>88613.48106922751</v>
      </c>
    </row>
    <row r="12" ht="15" customHeight="1" s="462">
      <c r="B12" s="515" t="n"/>
      <c r="G12" s="515" t="n"/>
      <c r="L12" s="515" t="n"/>
      <c r="Q12" s="515" t="n"/>
      <c r="V12" s="515" t="n"/>
      <c r="AA12" s="515" t="n"/>
      <c r="AF12" s="515" t="n"/>
      <c r="AK12" s="515" t="n"/>
    </row>
    <row r="13" ht="15" customHeight="1" s="462">
      <c r="B13" s="515" t="n"/>
      <c r="G13" s="515" t="n"/>
      <c r="L13" s="515" t="n"/>
      <c r="Q13" s="515" t="n"/>
      <c r="V13" s="515" t="n"/>
      <c r="AA13" s="515" t="n"/>
      <c r="AF13" s="515" t="n"/>
      <c r="AK13" s="515" t="n"/>
    </row>
    <row r="14" ht="15.75" customHeight="1" s="462">
      <c r="A14" s="491" t="inlineStr">
        <is>
          <t>Segment Revenues</t>
        </is>
      </c>
      <c r="B14" s="538" t="n"/>
      <c r="C14" s="489" t="n"/>
      <c r="D14" s="489" t="n"/>
      <c r="E14" s="489" t="n"/>
      <c r="F14" s="489" t="n"/>
      <c r="G14" s="538" t="n"/>
      <c r="H14" s="489" t="n"/>
      <c r="I14" s="489" t="n"/>
      <c r="J14" s="489" t="n"/>
      <c r="K14" s="489" t="n"/>
      <c r="L14" s="538" t="n"/>
      <c r="M14" s="489" t="n"/>
      <c r="N14" s="489" t="n"/>
      <c r="O14" s="489" t="n"/>
      <c r="P14" s="489" t="n"/>
      <c r="Q14" s="538" t="n"/>
      <c r="R14" s="489" t="n"/>
      <c r="S14" s="489" t="n"/>
      <c r="T14" s="489" t="n"/>
      <c r="U14" s="489" t="n"/>
      <c r="V14" s="538" t="n"/>
      <c r="W14" s="489" t="n"/>
      <c r="X14" s="489" t="n"/>
      <c r="Y14" s="489" t="n"/>
      <c r="Z14" s="489" t="n"/>
      <c r="AA14" s="538" t="n"/>
      <c r="AB14" s="489" t="n"/>
      <c r="AC14" s="489" t="n"/>
      <c r="AD14" s="489" t="n"/>
      <c r="AE14" s="489" t="n"/>
      <c r="AF14" s="538" t="n"/>
      <c r="AG14" s="489" t="n"/>
      <c r="AH14" s="489" t="n"/>
      <c r="AI14" s="489" t="n"/>
      <c r="AJ14" s="489" t="n"/>
      <c r="AK14" s="538" t="n"/>
    </row>
    <row r="15" ht="15" customHeight="1" s="462">
      <c r="A15" s="461" t="n"/>
      <c r="B15" s="515" t="n"/>
      <c r="G15" s="515" t="n"/>
      <c r="L15" s="515" t="n"/>
      <c r="Q15" s="515" t="n"/>
      <c r="V15" s="515" t="n"/>
      <c r="AA15" s="515" t="n"/>
      <c r="AF15" s="515" t="n"/>
      <c r="AK15" s="515" t="n"/>
    </row>
    <row r="16" ht="15" customHeight="1" s="462">
      <c r="A16" s="522" t="inlineStr">
        <is>
          <t>Formulations</t>
        </is>
      </c>
      <c r="B16" s="515" t="n"/>
      <c r="G16" s="515" t="n"/>
      <c r="L16" s="515" t="n"/>
      <c r="Q16" s="515" t="n"/>
      <c r="V16" s="515" t="n"/>
      <c r="AA16" s="515" t="n"/>
      <c r="AF16" s="515" t="n"/>
      <c r="AK16" s="515" t="n"/>
    </row>
    <row r="17" ht="15" customHeight="1" s="462">
      <c r="A17" s="461" t="inlineStr">
        <is>
          <t>USA</t>
        </is>
      </c>
      <c r="B17" s="507" t="n">
        <v>1563</v>
      </c>
      <c r="C17" s="506" t="n">
        <v>546</v>
      </c>
      <c r="D17" s="506" t="n">
        <v>518</v>
      </c>
      <c r="E17" s="506" t="n">
        <v>497</v>
      </c>
      <c r="F17" s="506" t="n">
        <v>798</v>
      </c>
      <c r="G17" s="507" t="n">
        <v>2359</v>
      </c>
      <c r="H17" s="506" t="n">
        <v>817</v>
      </c>
      <c r="I17" s="506" t="n">
        <v>1051</v>
      </c>
      <c r="J17" s="506" t="n">
        <v>1427</v>
      </c>
      <c r="K17" s="506" t="n">
        <v>2289</v>
      </c>
      <c r="L17" s="507" t="n">
        <v>5584</v>
      </c>
      <c r="M17" s="506" t="n">
        <v>2310</v>
      </c>
      <c r="N17" s="506" t="n">
        <v>1777.77256246889</v>
      </c>
      <c r="O17" s="506" t="n">
        <v>2247.85716632468</v>
      </c>
      <c r="P17" s="506" t="n">
        <v>2943.1287035422</v>
      </c>
      <c r="Q17" s="507" t="n">
        <v>9278.75843233577</v>
      </c>
      <c r="R17" s="506" t="n">
        <v>3265.36697756981</v>
      </c>
      <c r="S17" s="506" t="n">
        <v>2135.2521973175</v>
      </c>
      <c r="T17" s="506" t="n">
        <v>2767.4999404159</v>
      </c>
      <c r="U17" s="506" t="n">
        <v>4152.31378505458</v>
      </c>
      <c r="V17" s="507" t="n">
        <v>12320.4329003578</v>
      </c>
      <c r="W17" s="506" t="n">
        <v>4049.05505218656</v>
      </c>
      <c r="X17" s="506" t="n">
        <v>2647.7127246737</v>
      </c>
      <c r="Y17" s="506" t="n">
        <v>3431.69992611572</v>
      </c>
      <c r="Z17" s="506" t="n">
        <v>5148.86909346768</v>
      </c>
      <c r="AA17" s="507" t="n">
        <v>15277.3367964437</v>
      </c>
      <c r="AB17" s="506" t="n">
        <v>4939.84716366761</v>
      </c>
      <c r="AC17" s="506" t="n">
        <v>3230.20952410192</v>
      </c>
      <c r="AD17" s="506" t="n">
        <v>4186.67390986118</v>
      </c>
      <c r="AE17" s="506" t="n">
        <v>6281.62029403057</v>
      </c>
      <c r="AF17" s="507" t="n">
        <v>18638.3508916613</v>
      </c>
      <c r="AG17" s="506" t="n">
        <v>5927.81659640113</v>
      </c>
      <c r="AH17" s="506" t="n">
        <v>3876.2514289223</v>
      </c>
      <c r="AI17" s="506" t="n">
        <v>5024.00869183341</v>
      </c>
      <c r="AJ17" s="506" t="n">
        <v>7537.94435283669</v>
      </c>
      <c r="AK17" s="507" t="n">
        <v>22366.0210699935</v>
      </c>
    </row>
    <row r="18" ht="15" customHeight="1" s="462">
      <c r="A18" s="461" t="inlineStr">
        <is>
          <t>Europe</t>
        </is>
      </c>
      <c r="B18" s="507" t="n">
        <v>1280</v>
      </c>
      <c r="C18" s="506" t="n">
        <v>362</v>
      </c>
      <c r="D18" s="506" t="n">
        <v>562</v>
      </c>
      <c r="E18" s="506" t="n">
        <v>641</v>
      </c>
      <c r="F18" s="506" t="n">
        <v>446</v>
      </c>
      <c r="G18" s="507" t="n">
        <v>2011</v>
      </c>
      <c r="H18" s="506" t="n">
        <v>447</v>
      </c>
      <c r="I18" s="506" t="n">
        <v>557</v>
      </c>
      <c r="J18" s="506" t="n">
        <v>467</v>
      </c>
      <c r="K18" s="506" t="n">
        <v>452</v>
      </c>
      <c r="L18" s="507" t="n">
        <v>1923</v>
      </c>
      <c r="M18" s="506" t="n">
        <v>464</v>
      </c>
      <c r="N18" s="506" t="n">
        <v>942.168712935463</v>
      </c>
      <c r="O18" s="506" t="n">
        <v>735.633704746758</v>
      </c>
      <c r="P18" s="506" t="n">
        <v>581.1682717348521</v>
      </c>
      <c r="Q18" s="507" t="n">
        <v>2722.97068941707</v>
      </c>
      <c r="R18" s="506" t="n">
        <v>655.9005530703</v>
      </c>
      <c r="S18" s="506" t="n">
        <v>1131.62271541946</v>
      </c>
      <c r="T18" s="506" t="n">
        <v>905.691991712842</v>
      </c>
      <c r="U18" s="506" t="n">
        <v>819.9413852532419</v>
      </c>
      <c r="V18" s="507" t="n">
        <v>3513.15664545584</v>
      </c>
      <c r="W18" s="506" t="n">
        <v>813.316685807171</v>
      </c>
      <c r="X18" s="506" t="n">
        <v>1403.21216712013</v>
      </c>
      <c r="Y18" s="506" t="n">
        <v>1123.05806972392</v>
      </c>
      <c r="Z18" s="506" t="n">
        <v>1016.72731771402</v>
      </c>
      <c r="AA18" s="507" t="n">
        <v>4356.31424036524</v>
      </c>
      <c r="AB18" s="506" t="n">
        <v>992.246356684749</v>
      </c>
      <c r="AC18" s="506" t="n">
        <v>1711.91884388655</v>
      </c>
      <c r="AD18" s="506" t="n">
        <v>1370.13084506319</v>
      </c>
      <c r="AE18" s="506" t="n">
        <v>1240.4073276111</v>
      </c>
      <c r="AF18" s="507" t="n">
        <v>5314.7033732456</v>
      </c>
      <c r="AG18" s="506" t="n">
        <v>1190.6956280217</v>
      </c>
      <c r="AH18" s="506" t="n">
        <v>2054.30261266386</v>
      </c>
      <c r="AI18" s="506" t="n">
        <v>1644.15701407583</v>
      </c>
      <c r="AJ18" s="506" t="n">
        <v>1488.48879313333</v>
      </c>
      <c r="AK18" s="507" t="n">
        <v>6377.64404789471</v>
      </c>
    </row>
    <row r="19" ht="15" customHeight="1" s="462">
      <c r="A19" s="461" t="inlineStr">
        <is>
          <t>ARV's</t>
        </is>
      </c>
      <c r="B19" s="507" t="n">
        <v>2875</v>
      </c>
      <c r="C19" s="506" t="n">
        <v>642</v>
      </c>
      <c r="D19" s="506" t="n">
        <v>1072</v>
      </c>
      <c r="E19" s="506" t="n">
        <v>939</v>
      </c>
      <c r="F19" s="506" t="n">
        <v>1391</v>
      </c>
      <c r="G19" s="507" t="n">
        <v>4044</v>
      </c>
      <c r="H19" s="506" t="n">
        <v>1249</v>
      </c>
      <c r="I19" s="506" t="n">
        <v>858</v>
      </c>
      <c r="J19" s="506" t="n">
        <v>1215</v>
      </c>
      <c r="K19" s="506" t="n">
        <v>1318</v>
      </c>
      <c r="L19" s="507" t="n">
        <v>4640</v>
      </c>
      <c r="M19" s="506" t="n">
        <v>1375.1</v>
      </c>
      <c r="N19" s="506" t="n">
        <v>1451.31194918964</v>
      </c>
      <c r="O19" s="506" t="n">
        <v>1913.90781855955</v>
      </c>
      <c r="P19" s="506" t="n">
        <v>1694.64553572242</v>
      </c>
      <c r="Q19" s="507" t="n">
        <v>6434.96530347161</v>
      </c>
      <c r="R19" s="506" t="n">
        <v>1943.81217785985</v>
      </c>
      <c r="S19" s="506" t="n">
        <v>1743.14594224397</v>
      </c>
      <c r="T19" s="506" t="n">
        <v>2356.35068507731</v>
      </c>
      <c r="U19" s="506" t="n">
        <v>2390.89103045083</v>
      </c>
      <c r="V19" s="507" t="n">
        <v>8434.19983563196</v>
      </c>
      <c r="W19" s="506" t="n">
        <v>2410.32710054621</v>
      </c>
      <c r="X19" s="506" t="n">
        <v>2161.50096838253</v>
      </c>
      <c r="Y19" s="506" t="n">
        <v>2921.87484949586</v>
      </c>
      <c r="Z19" s="506" t="n">
        <v>2964.70487775902</v>
      </c>
      <c r="AA19" s="507" t="n">
        <v>10458.4077961836</v>
      </c>
      <c r="AB19" s="506" t="n">
        <v>2940.59906266638</v>
      </c>
      <c r="AC19" s="506" t="n">
        <v>2637.03118142668</v>
      </c>
      <c r="AD19" s="506" t="n">
        <v>3564.68731638495</v>
      </c>
      <c r="AE19" s="506" t="n">
        <v>3616.93995086601</v>
      </c>
      <c r="AF19" s="507" t="n">
        <v>12759.257511344</v>
      </c>
      <c r="AG19" s="506" t="n">
        <v>3528.71887519965</v>
      </c>
      <c r="AH19" s="506" t="n">
        <v>3164.43741771202</v>
      </c>
      <c r="AI19" s="506" t="n">
        <v>4277.62477966194</v>
      </c>
      <c r="AJ19" s="506" t="n">
        <v>4340.32794103921</v>
      </c>
      <c r="AK19" s="507" t="n">
        <v>15311.1090136128</v>
      </c>
    </row>
    <row r="20" ht="15" customHeight="1" s="462">
      <c r="A20" s="461" t="inlineStr">
        <is>
          <t>Rest of the World</t>
        </is>
      </c>
      <c r="B20" s="507" t="n">
        <v>1478.2</v>
      </c>
      <c r="C20" s="506" t="n">
        <v>246</v>
      </c>
      <c r="D20" s="506" t="n">
        <v>245</v>
      </c>
      <c r="E20" s="506" t="n">
        <v>389</v>
      </c>
      <c r="F20" s="506" t="n">
        <v>754</v>
      </c>
      <c r="G20" s="507" t="n">
        <v>1634</v>
      </c>
      <c r="H20" s="506" t="n">
        <v>384</v>
      </c>
      <c r="I20" s="506" t="n">
        <v>727</v>
      </c>
      <c r="J20" s="506" t="n">
        <v>422</v>
      </c>
      <c r="K20" s="506" t="n">
        <v>418</v>
      </c>
      <c r="L20" s="507" t="n">
        <v>1951</v>
      </c>
      <c r="M20" s="506" t="n">
        <v>540</v>
      </c>
      <c r="N20" s="506" t="n">
        <v>1229.72469354413</v>
      </c>
      <c r="O20" s="506" t="n">
        <v>664.7482299852931</v>
      </c>
      <c r="P20" s="506" t="n">
        <v>537.452074303469</v>
      </c>
      <c r="Q20" s="507" t="n">
        <v>2971.92499783289</v>
      </c>
      <c r="R20" s="506" t="n">
        <v>763.332540211124</v>
      </c>
      <c r="S20" s="506" t="n">
        <v>1477.00128206453</v>
      </c>
      <c r="T20" s="506" t="n">
        <v>818.419744117386</v>
      </c>
      <c r="U20" s="506" t="n">
        <v>758.26437839791</v>
      </c>
      <c r="V20" s="507" t="n">
        <v>3817.01794479095</v>
      </c>
      <c r="W20" s="506" t="n">
        <v>946.532349861794</v>
      </c>
      <c r="X20" s="506" t="n">
        <v>1831.48158976002</v>
      </c>
      <c r="Y20" s="506" t="n">
        <v>1014.84048270556</v>
      </c>
      <c r="Z20" s="506" t="n">
        <v>940.247829213408</v>
      </c>
      <c r="AA20" s="507" t="n">
        <v>4733.10225154078</v>
      </c>
      <c r="AB20" s="506" t="n">
        <v>1154.76946683139</v>
      </c>
      <c r="AC20" s="506" t="n">
        <v>2234.40753950722</v>
      </c>
      <c r="AD20" s="506" t="n">
        <v>1238.10538890078</v>
      </c>
      <c r="AE20" s="506" t="n">
        <v>1147.10235164036</v>
      </c>
      <c r="AF20" s="507" t="n">
        <v>5774.38474687975</v>
      </c>
      <c r="AG20" s="506" t="n">
        <v>1385.72336019767</v>
      </c>
      <c r="AH20" s="506" t="n">
        <v>2681.28904740867</v>
      </c>
      <c r="AI20" s="506" t="n">
        <v>1485.72646668094</v>
      </c>
      <c r="AJ20" s="506" t="n">
        <v>1376.52282196843</v>
      </c>
      <c r="AK20" s="507" t="n">
        <v>6929.26169625571</v>
      </c>
    </row>
    <row r="21" ht="15" customHeight="1" s="462">
      <c r="A21" s="522" t="inlineStr">
        <is>
          <t>Total</t>
        </is>
      </c>
      <c r="B21" s="541" t="n">
        <v>7196.2</v>
      </c>
      <c r="C21" s="542" t="n">
        <v>1796</v>
      </c>
      <c r="D21" s="542" t="n">
        <v>2397</v>
      </c>
      <c r="E21" s="542" t="n">
        <v>2466</v>
      </c>
      <c r="F21" s="542" t="n">
        <v>3389</v>
      </c>
      <c r="G21" s="541" t="n">
        <v>10048</v>
      </c>
      <c r="H21" s="542" t="n">
        <v>2897</v>
      </c>
      <c r="I21" s="542" t="n">
        <v>3193</v>
      </c>
      <c r="J21" s="542" t="n">
        <v>3531</v>
      </c>
      <c r="K21" s="542" t="n">
        <v>4477</v>
      </c>
      <c r="L21" s="541" t="n">
        <v>14098</v>
      </c>
      <c r="M21" s="542" t="n">
        <v>4689.1</v>
      </c>
      <c r="N21" s="542" t="n">
        <v>5400.97791813812</v>
      </c>
      <c r="O21" s="542" t="n">
        <v>5562.14691961628</v>
      </c>
      <c r="P21" s="542" t="n">
        <v>5756.39458530295</v>
      </c>
      <c r="Q21" s="541" t="n">
        <v>21408.6194230573</v>
      </c>
      <c r="R21" s="542" t="n">
        <v>6628.41224871108</v>
      </c>
      <c r="S21" s="542" t="n">
        <v>6487.02213704547</v>
      </c>
      <c r="T21" s="542" t="n">
        <v>6847.96236132344</v>
      </c>
      <c r="U21" s="542" t="n">
        <v>8121.41057915656</v>
      </c>
      <c r="V21" s="541" t="n">
        <v>28084.8073262365</v>
      </c>
      <c r="W21" s="542" t="n">
        <v>8219.23118840174</v>
      </c>
      <c r="X21" s="542" t="n">
        <v>8043.90744993638</v>
      </c>
      <c r="Y21" s="542" t="n">
        <v>8491.47332804106</v>
      </c>
      <c r="Z21" s="542" t="n">
        <v>10070.5491181541</v>
      </c>
      <c r="AA21" s="541" t="n">
        <v>34825.1610845333</v>
      </c>
      <c r="AB21" s="542" t="n">
        <v>10027.4620498501</v>
      </c>
      <c r="AC21" s="542" t="n">
        <v>9813.56708892238</v>
      </c>
      <c r="AD21" s="542" t="n">
        <v>10359.5974602101</v>
      </c>
      <c r="AE21" s="542" t="n">
        <v>12286.069924148</v>
      </c>
      <c r="AF21" s="541" t="n">
        <v>42486.6965231306</v>
      </c>
      <c r="AG21" s="542" t="n">
        <v>12032.9544598201</v>
      </c>
      <c r="AH21" s="542" t="n">
        <v>11776.2805067069</v>
      </c>
      <c r="AI21" s="542" t="n">
        <v>12431.5169522521</v>
      </c>
      <c r="AJ21" s="542" t="n">
        <v>14743.2839089777</v>
      </c>
      <c r="AK21" s="541" t="n">
        <v>50984.0358277568</v>
      </c>
    </row>
    <row r="22" ht="15" customHeight="1" s="462">
      <c r="B22" s="507" t="n"/>
      <c r="C22" s="506" t="n"/>
      <c r="D22" s="506" t="n"/>
      <c r="E22" s="506" t="n"/>
      <c r="F22" s="506" t="n"/>
      <c r="G22" s="507" t="n"/>
      <c r="H22" s="506" t="n"/>
      <c r="I22" s="506" t="n"/>
      <c r="J22" s="506" t="n"/>
      <c r="K22" s="506" t="n"/>
      <c r="L22" s="507" t="n"/>
      <c r="M22" s="506" t="n"/>
      <c r="N22" s="506" t="n"/>
      <c r="O22" s="506" t="n"/>
      <c r="P22" s="506" t="n"/>
      <c r="Q22" s="507" t="n"/>
      <c r="R22" s="506" t="n"/>
      <c r="S22" s="506" t="n"/>
      <c r="T22" s="506" t="n"/>
      <c r="U22" s="506" t="n"/>
      <c r="V22" s="507" t="n"/>
      <c r="W22" s="506" t="n"/>
      <c r="X22" s="506" t="n"/>
      <c r="Y22" s="506" t="n"/>
      <c r="Z22" s="506" t="n"/>
      <c r="AA22" s="507" t="n"/>
      <c r="AB22" s="506" t="n"/>
      <c r="AC22" s="506" t="n"/>
      <c r="AD22" s="506" t="n"/>
      <c r="AE22" s="506" t="n"/>
      <c r="AF22" s="507" t="n"/>
      <c r="AG22" s="506" t="n"/>
      <c r="AH22" s="506" t="n"/>
      <c r="AI22" s="506" t="n"/>
      <c r="AJ22" s="506" t="n"/>
      <c r="AK22" s="507" t="n"/>
    </row>
    <row r="23" ht="15" customHeight="1" s="462">
      <c r="A23" s="522" t="inlineStr">
        <is>
          <t>Active Ingredients</t>
        </is>
      </c>
      <c r="B23" s="507" t="n"/>
      <c r="C23" s="506" t="n"/>
      <c r="D23" s="506" t="n"/>
      <c r="E23" s="506" t="n"/>
      <c r="F23" s="506" t="n"/>
      <c r="G23" s="507" t="n"/>
      <c r="H23" s="506" t="n"/>
      <c r="I23" s="506" t="n"/>
      <c r="J23" s="506" t="n"/>
      <c r="K23" s="506" t="n"/>
      <c r="L23" s="507" t="n"/>
      <c r="M23" s="506" t="n"/>
      <c r="N23" s="506" t="n"/>
      <c r="O23" s="506" t="n"/>
      <c r="P23" s="506" t="n"/>
      <c r="Q23" s="507" t="n"/>
      <c r="R23" s="506" t="n"/>
      <c r="S23" s="506" t="n"/>
      <c r="T23" s="506" t="n"/>
      <c r="U23" s="506" t="n"/>
      <c r="V23" s="507" t="n"/>
      <c r="W23" s="506" t="n"/>
      <c r="X23" s="506" t="n"/>
      <c r="Y23" s="506" t="n"/>
      <c r="Z23" s="506" t="n"/>
      <c r="AA23" s="507" t="n"/>
      <c r="AB23" s="506" t="n"/>
      <c r="AC23" s="506" t="n"/>
      <c r="AD23" s="506" t="n"/>
      <c r="AE23" s="506" t="n"/>
      <c r="AF23" s="507" t="n"/>
      <c r="AG23" s="506" t="n"/>
      <c r="AH23" s="506" t="n"/>
      <c r="AI23" s="506" t="n"/>
      <c r="AJ23" s="506" t="n"/>
      <c r="AK23" s="507" t="n"/>
    </row>
    <row r="24" ht="15" customHeight="1" s="462">
      <c r="A24" s="461" t="inlineStr">
        <is>
          <t>SSPs</t>
        </is>
      </c>
      <c r="B24" s="507" t="n">
        <v>5913</v>
      </c>
      <c r="C24" s="506" t="n">
        <v>2123</v>
      </c>
      <c r="D24" s="506" t="n">
        <v>2278</v>
      </c>
      <c r="E24" s="506" t="n">
        <v>1748</v>
      </c>
      <c r="F24" s="506" t="n">
        <v>1892</v>
      </c>
      <c r="G24" s="507" t="n">
        <v>8041</v>
      </c>
      <c r="H24" s="506" t="n">
        <v>2140</v>
      </c>
      <c r="I24" s="506" t="n">
        <v>1856</v>
      </c>
      <c r="J24" s="506" t="n">
        <v>1744</v>
      </c>
      <c r="K24" s="506" t="n">
        <v>1639</v>
      </c>
      <c r="L24" s="507" t="n">
        <v>7379</v>
      </c>
      <c r="M24" s="506" t="n">
        <v>1517</v>
      </c>
      <c r="N24" s="506" t="n">
        <v>2277.0706245455</v>
      </c>
      <c r="O24" s="506" t="n">
        <v>2075.33566970255</v>
      </c>
      <c r="P24" s="506" t="n">
        <v>1794.19162623806</v>
      </c>
      <c r="Q24" s="507" t="n">
        <v>7663.59792048612</v>
      </c>
      <c r="R24" s="506" t="n">
        <v>1975.64180217705</v>
      </c>
      <c r="S24" s="506" t="n">
        <v>2327.83844014826</v>
      </c>
      <c r="T24" s="506" t="n">
        <v>2263.15813207039</v>
      </c>
      <c r="U24" s="506" t="n">
        <v>2239.57459650359</v>
      </c>
      <c r="V24" s="507" t="n">
        <v>8806.212970899291</v>
      </c>
      <c r="W24" s="506" t="n">
        <v>2449.79583469954</v>
      </c>
      <c r="X24" s="506" t="n">
        <v>2886.51966578384</v>
      </c>
      <c r="Y24" s="506" t="n">
        <v>2806.31608376729</v>
      </c>
      <c r="Z24" s="506" t="n">
        <v>2777.07249966446</v>
      </c>
      <c r="AA24" s="507" t="n">
        <v>10919.7040839151</v>
      </c>
      <c r="AB24" s="506" t="n">
        <v>2988.75091833344</v>
      </c>
      <c r="AC24" s="506" t="n">
        <v>3521.55399225628</v>
      </c>
      <c r="AD24" s="506" t="n">
        <v>3423.70562219609</v>
      </c>
      <c r="AE24" s="506" t="n">
        <v>3388.02844959064</v>
      </c>
      <c r="AF24" s="507" t="n">
        <v>13322.0389823764</v>
      </c>
      <c r="AG24" s="506" t="n">
        <v>3586.50110200012</v>
      </c>
      <c r="AH24" s="506" t="n">
        <v>4225.86479070754</v>
      </c>
      <c r="AI24" s="506" t="n">
        <v>4108.44674663531</v>
      </c>
      <c r="AJ24" s="506" t="n">
        <v>4065.63413950876</v>
      </c>
      <c r="AK24" s="507" t="n">
        <v>15986.4467788517</v>
      </c>
    </row>
    <row r="25" ht="15" customHeight="1" s="462">
      <c r="A25" s="461" t="inlineStr">
        <is>
          <t>Cephs</t>
        </is>
      </c>
      <c r="B25" s="507" t="n">
        <v>6429</v>
      </c>
      <c r="C25" s="506" t="n">
        <v>1309</v>
      </c>
      <c r="D25" s="506" t="n">
        <v>1577</v>
      </c>
      <c r="E25" s="506" t="n">
        <v>1620</v>
      </c>
      <c r="F25" s="506" t="n">
        <v>1412</v>
      </c>
      <c r="G25" s="507" t="n">
        <v>5918</v>
      </c>
      <c r="H25" s="506" t="n">
        <v>1564</v>
      </c>
      <c r="I25" s="506" t="n">
        <v>1560</v>
      </c>
      <c r="J25" s="506" t="n">
        <v>1543</v>
      </c>
      <c r="K25" s="506" t="n">
        <v>1677</v>
      </c>
      <c r="L25" s="507" t="n">
        <v>6344</v>
      </c>
      <c r="M25" s="506" t="n">
        <v>1390</v>
      </c>
      <c r="N25" s="506" t="n">
        <v>1913.91711976885</v>
      </c>
      <c r="O25" s="506" t="n">
        <v>1836.14847382514</v>
      </c>
      <c r="P25" s="506" t="n">
        <v>1835.78972373473</v>
      </c>
      <c r="Q25" s="507" t="n">
        <v>6975.85531732872</v>
      </c>
      <c r="R25" s="506" t="n">
        <v>1810.24529006334</v>
      </c>
      <c r="S25" s="506" t="n">
        <v>1956.58834409013</v>
      </c>
      <c r="T25" s="506" t="n">
        <v>2002.32396661962</v>
      </c>
      <c r="U25" s="506" t="n">
        <v>2291.49883974163</v>
      </c>
      <c r="V25" s="507" t="n">
        <v>8060.65644051472</v>
      </c>
      <c r="W25" s="506" t="n">
        <v>2244.70415967855</v>
      </c>
      <c r="X25" s="506" t="n">
        <v>2426.16954667176</v>
      </c>
      <c r="Y25" s="506" t="n">
        <v>2482.88171860833</v>
      </c>
      <c r="Z25" s="506" t="n">
        <v>2841.45856127962</v>
      </c>
      <c r="AA25" s="507" t="n">
        <v>9995.21398623825</v>
      </c>
      <c r="AB25" s="506" t="n">
        <v>2738.53907480783</v>
      </c>
      <c r="AC25" s="506" t="n">
        <v>2959.92684693955</v>
      </c>
      <c r="AD25" s="506" t="n">
        <v>3029.11569670216</v>
      </c>
      <c r="AE25" s="506" t="n">
        <v>3466.57944476113</v>
      </c>
      <c r="AF25" s="507" t="n">
        <v>12194.1610632107</v>
      </c>
      <c r="AG25" s="506" t="n">
        <v>3286.24688976939</v>
      </c>
      <c r="AH25" s="506" t="n">
        <v>3551.91221632746</v>
      </c>
      <c r="AI25" s="506" t="n">
        <v>3634.93883604259</v>
      </c>
      <c r="AJ25" s="506" t="n">
        <v>4159.89533371336</v>
      </c>
      <c r="AK25" s="507" t="n">
        <v>14632.9932758528</v>
      </c>
    </row>
    <row r="26" ht="15" customHeight="1" s="462">
      <c r="A26" s="461" t="inlineStr">
        <is>
          <t>ARVs &amp; Others</t>
        </is>
      </c>
      <c r="B26" s="507" t="n">
        <v>2964</v>
      </c>
      <c r="C26" s="506" t="n">
        <v>436</v>
      </c>
      <c r="D26" s="506" t="n">
        <v>418</v>
      </c>
      <c r="E26" s="506" t="n">
        <v>268</v>
      </c>
      <c r="F26" s="506" t="n">
        <v>395</v>
      </c>
      <c r="G26" s="507" t="n">
        <v>1517</v>
      </c>
      <c r="H26" s="506" t="n">
        <v>467</v>
      </c>
      <c r="I26" s="506" t="n">
        <v>631</v>
      </c>
      <c r="J26" s="506" t="n">
        <v>750</v>
      </c>
      <c r="K26" s="506" t="n">
        <v>895</v>
      </c>
      <c r="L26" s="507" t="n">
        <v>2743</v>
      </c>
      <c r="M26" s="506" t="n">
        <v>671</v>
      </c>
      <c r="N26" s="506" t="n">
        <v>774.154937547528</v>
      </c>
      <c r="O26" s="506" t="n">
        <v>892.489536856029</v>
      </c>
      <c r="P26" s="506" t="n">
        <v>979.744664724261</v>
      </c>
      <c r="Q26" s="507" t="n">
        <v>3317.38913912782</v>
      </c>
      <c r="R26" s="506" t="n">
        <v>873.866611246406</v>
      </c>
      <c r="S26" s="506" t="n">
        <v>791.4149007185071</v>
      </c>
      <c r="T26" s="506" t="n">
        <v>973.261811383484</v>
      </c>
      <c r="U26" s="506" t="n">
        <v>1222.95257100105</v>
      </c>
      <c r="V26" s="507" t="n">
        <v>3861.49589434944</v>
      </c>
      <c r="W26" s="506" t="n">
        <v>1083.59459794554</v>
      </c>
      <c r="X26" s="506" t="n">
        <v>981.3544768909489</v>
      </c>
      <c r="Y26" s="506" t="n">
        <v>1206.84464611552</v>
      </c>
      <c r="Z26" s="506" t="n">
        <v>1516.4611880413</v>
      </c>
      <c r="AA26" s="507" t="n">
        <v>4788.25490899331</v>
      </c>
      <c r="AB26" s="506" t="n">
        <v>1321.98540949356</v>
      </c>
      <c r="AC26" s="506" t="n">
        <v>1197.25246180696</v>
      </c>
      <c r="AD26" s="506" t="n">
        <v>1472.35046826093</v>
      </c>
      <c r="AE26" s="506" t="n">
        <v>1850.08264941038</v>
      </c>
      <c r="AF26" s="507" t="n">
        <v>5841.67098897184</v>
      </c>
      <c r="AG26" s="506" t="n">
        <v>1586.38249139228</v>
      </c>
      <c r="AH26" s="506" t="n">
        <v>1436.70295416835</v>
      </c>
      <c r="AI26" s="506" t="n">
        <v>1766.82056191312</v>
      </c>
      <c r="AJ26" s="506" t="n">
        <v>2220.09917929246</v>
      </c>
      <c r="AK26" s="507" t="n">
        <v>7010.0051867662</v>
      </c>
    </row>
    <row r="27" ht="15" customHeight="1" s="462">
      <c r="A27" s="522" t="inlineStr">
        <is>
          <t>Total</t>
        </is>
      </c>
      <c r="B27" s="541" t="n">
        <v>15306</v>
      </c>
      <c r="C27" s="542" t="n">
        <v>3868</v>
      </c>
      <c r="D27" s="542" t="n">
        <v>4273</v>
      </c>
      <c r="E27" s="542" t="n">
        <v>3636</v>
      </c>
      <c r="F27" s="542" t="n">
        <v>3699</v>
      </c>
      <c r="G27" s="541" t="n">
        <v>15476</v>
      </c>
      <c r="H27" s="542" t="n">
        <v>4171</v>
      </c>
      <c r="I27" s="542" t="n">
        <v>4047</v>
      </c>
      <c r="J27" s="542" t="n">
        <v>4037</v>
      </c>
      <c r="K27" s="542" t="n">
        <v>4211</v>
      </c>
      <c r="L27" s="541" t="n">
        <v>16466</v>
      </c>
      <c r="M27" s="542" t="n">
        <v>3578</v>
      </c>
      <c r="N27" s="542" t="n">
        <v>4965.14268186188</v>
      </c>
      <c r="O27" s="542" t="n">
        <v>4803.97368038372</v>
      </c>
      <c r="P27" s="542" t="n">
        <v>4609.72601469705</v>
      </c>
      <c r="Q27" s="541" t="n">
        <v>17956.8423769427</v>
      </c>
      <c r="R27" s="542" t="n">
        <v>4659.7537034868</v>
      </c>
      <c r="S27" s="542" t="n">
        <v>5075.84168495689</v>
      </c>
      <c r="T27" s="542" t="n">
        <v>5238.7439100735</v>
      </c>
      <c r="U27" s="542" t="n">
        <v>5754.02600724627</v>
      </c>
      <c r="V27" s="541" t="n">
        <v>20728.3653057635</v>
      </c>
      <c r="W27" s="542" t="n">
        <v>5778.09459232363</v>
      </c>
      <c r="X27" s="542" t="n">
        <v>6294.04368934654</v>
      </c>
      <c r="Y27" s="542" t="n">
        <v>6496.04244849114</v>
      </c>
      <c r="Z27" s="542" t="n">
        <v>7134.99224898537</v>
      </c>
      <c r="AA27" s="541" t="n">
        <v>25703.1729791467</v>
      </c>
      <c r="AB27" s="542" t="n">
        <v>7049.27540263483</v>
      </c>
      <c r="AC27" s="542" t="n">
        <v>7678.73330100278</v>
      </c>
      <c r="AD27" s="542" t="n">
        <v>7925.17178715919</v>
      </c>
      <c r="AE27" s="542" t="n">
        <v>8704.69054376215</v>
      </c>
      <c r="AF27" s="541" t="n">
        <v>31357.8710345589</v>
      </c>
      <c r="AG27" s="542" t="n">
        <v>8459.130483161791</v>
      </c>
      <c r="AH27" s="542" t="n">
        <v>9214.47996120334</v>
      </c>
      <c r="AI27" s="542" t="n">
        <v>9510.20614459102</v>
      </c>
      <c r="AJ27" s="542" t="n">
        <v>10445.6286525146</v>
      </c>
      <c r="AK27" s="541" t="n">
        <v>37629.4452414707</v>
      </c>
    </row>
    <row r="28" ht="15" customHeight="1" s="462">
      <c r="B28" s="507" t="n"/>
      <c r="C28" s="506" t="n"/>
      <c r="D28" s="506" t="n"/>
      <c r="E28" s="506" t="n"/>
      <c r="F28" s="506" t="n"/>
      <c r="G28" s="507" t="n"/>
      <c r="H28" s="506" t="n"/>
      <c r="I28" s="506" t="n"/>
      <c r="J28" s="506" t="n"/>
      <c r="K28" s="506" t="n"/>
      <c r="L28" s="507" t="n"/>
      <c r="M28" s="506" t="n"/>
      <c r="N28" s="506" t="n"/>
      <c r="O28" s="506" t="n"/>
      <c r="P28" s="506" t="n"/>
      <c r="Q28" s="507" t="n"/>
      <c r="R28" s="506" t="n"/>
      <c r="S28" s="506" t="n"/>
      <c r="T28" s="506" t="n"/>
      <c r="U28" s="506" t="n"/>
      <c r="V28" s="507" t="n"/>
      <c r="W28" s="506" t="n"/>
      <c r="X28" s="506" t="n"/>
      <c r="Y28" s="506" t="n"/>
      <c r="Z28" s="506" t="n"/>
      <c r="AA28" s="507" t="n"/>
      <c r="AB28" s="506" t="n"/>
      <c r="AC28" s="506" t="n"/>
      <c r="AD28" s="506" t="n"/>
      <c r="AE28" s="506" t="n"/>
      <c r="AF28" s="507" t="n"/>
      <c r="AG28" s="506" t="n"/>
      <c r="AH28" s="506" t="n"/>
      <c r="AI28" s="506" t="n"/>
      <c r="AJ28" s="506" t="n"/>
      <c r="AK28" s="507" t="n"/>
    </row>
    <row r="29" ht="15" customHeight="1" s="462">
      <c r="A29" s="461" t="inlineStr">
        <is>
          <t>Formulations</t>
        </is>
      </c>
      <c r="B29" s="507" t="n">
        <v>7196.2</v>
      </c>
      <c r="C29" s="506" t="n">
        <v>1796</v>
      </c>
      <c r="D29" s="506" t="n">
        <v>2397</v>
      </c>
      <c r="E29" s="506" t="n">
        <v>2466</v>
      </c>
      <c r="F29" s="506" t="n">
        <v>3389</v>
      </c>
      <c r="G29" s="507" t="n">
        <v>10048</v>
      </c>
      <c r="H29" s="506" t="n">
        <v>2897</v>
      </c>
      <c r="I29" s="506" t="n">
        <v>3193</v>
      </c>
      <c r="J29" s="506" t="n">
        <v>3531</v>
      </c>
      <c r="K29" s="506" t="n">
        <v>4477</v>
      </c>
      <c r="L29" s="507" t="n">
        <v>14098</v>
      </c>
      <c r="M29" s="506" t="n">
        <v>4689.1</v>
      </c>
      <c r="N29" s="506" t="n">
        <v>5400.97791813812</v>
      </c>
      <c r="O29" s="506" t="n">
        <v>5562.14691961628</v>
      </c>
      <c r="P29" s="506" t="n">
        <v>5756.39458530295</v>
      </c>
      <c r="Q29" s="507" t="n">
        <v>21408.6194230573</v>
      </c>
      <c r="R29" s="506" t="n">
        <v>6628.41224871108</v>
      </c>
      <c r="S29" s="506" t="n">
        <v>6487.02213704547</v>
      </c>
      <c r="T29" s="506" t="n">
        <v>6847.96236132344</v>
      </c>
      <c r="U29" s="506" t="n">
        <v>8121.41057915656</v>
      </c>
      <c r="V29" s="507" t="n">
        <v>28084.8073262365</v>
      </c>
      <c r="W29" s="506" t="n">
        <v>8219.23118840174</v>
      </c>
      <c r="X29" s="506" t="n">
        <v>8043.90744993638</v>
      </c>
      <c r="Y29" s="506" t="n">
        <v>8491.47332804106</v>
      </c>
      <c r="Z29" s="506" t="n">
        <v>10070.5491181541</v>
      </c>
      <c r="AA29" s="507" t="n">
        <v>34825.1610845333</v>
      </c>
      <c r="AB29" s="506" t="n">
        <v>10027.4620498501</v>
      </c>
      <c r="AC29" s="506" t="n">
        <v>9813.56708892238</v>
      </c>
      <c r="AD29" s="506" t="n">
        <v>10359.5974602101</v>
      </c>
      <c r="AE29" s="506" t="n">
        <v>12286.069924148</v>
      </c>
      <c r="AF29" s="507" t="n">
        <v>42486.6965231306</v>
      </c>
      <c r="AG29" s="506" t="n">
        <v>12032.9544598201</v>
      </c>
      <c r="AH29" s="506" t="n">
        <v>11776.2805067069</v>
      </c>
      <c r="AI29" s="506" t="n">
        <v>12431.5169522521</v>
      </c>
      <c r="AJ29" s="506" t="n">
        <v>14743.2839089777</v>
      </c>
      <c r="AK29" s="507" t="n">
        <v>50984.0358277568</v>
      </c>
    </row>
    <row r="30" ht="15" customHeight="1" s="462">
      <c r="A30" s="461" t="inlineStr">
        <is>
          <t>Active Ingredients</t>
        </is>
      </c>
      <c r="B30" s="507" t="n">
        <v>15306</v>
      </c>
      <c r="C30" s="506" t="n">
        <v>3868</v>
      </c>
      <c r="D30" s="506" t="n">
        <v>4273</v>
      </c>
      <c r="E30" s="506" t="n">
        <v>3636</v>
      </c>
      <c r="F30" s="506" t="n">
        <v>3699</v>
      </c>
      <c r="G30" s="507" t="n">
        <v>15476</v>
      </c>
      <c r="H30" s="506" t="n">
        <v>4171</v>
      </c>
      <c r="I30" s="506" t="n">
        <v>4047</v>
      </c>
      <c r="J30" s="506" t="n">
        <v>4037</v>
      </c>
      <c r="K30" s="506" t="n">
        <v>4211</v>
      </c>
      <c r="L30" s="507" t="n">
        <v>16466</v>
      </c>
      <c r="M30" s="506" t="n">
        <v>3578</v>
      </c>
      <c r="N30" s="506" t="n">
        <v>4965.14268186188</v>
      </c>
      <c r="O30" s="506" t="n">
        <v>4803.97368038372</v>
      </c>
      <c r="P30" s="506" t="n">
        <v>4609.72601469705</v>
      </c>
      <c r="Q30" s="507" t="n">
        <v>17956.8423769427</v>
      </c>
      <c r="R30" s="506" t="n">
        <v>4659.7537034868</v>
      </c>
      <c r="S30" s="506" t="n">
        <v>5075.84168495689</v>
      </c>
      <c r="T30" s="506" t="n">
        <v>5238.7439100735</v>
      </c>
      <c r="U30" s="506" t="n">
        <v>5754.02600724627</v>
      </c>
      <c r="V30" s="507" t="n">
        <v>20728.3653057635</v>
      </c>
      <c r="W30" s="506" t="n">
        <v>5778.09459232363</v>
      </c>
      <c r="X30" s="506" t="n">
        <v>6294.04368934654</v>
      </c>
      <c r="Y30" s="506" t="n">
        <v>6496.04244849114</v>
      </c>
      <c r="Z30" s="506" t="n">
        <v>7134.99224898537</v>
      </c>
      <c r="AA30" s="507" t="n">
        <v>25703.1729791467</v>
      </c>
      <c r="AB30" s="506" t="n">
        <v>7049.27540263483</v>
      </c>
      <c r="AC30" s="506" t="n">
        <v>7678.73330100278</v>
      </c>
      <c r="AD30" s="506" t="n">
        <v>7925.17178715919</v>
      </c>
      <c r="AE30" s="506" t="n">
        <v>8704.69054376215</v>
      </c>
      <c r="AF30" s="507" t="n">
        <v>31357.8710345589</v>
      </c>
      <c r="AG30" s="506" t="n">
        <v>8459.130483161791</v>
      </c>
      <c r="AH30" s="506" t="n">
        <v>9214.47996120334</v>
      </c>
      <c r="AI30" s="506" t="n">
        <v>9510.20614459102</v>
      </c>
      <c r="AJ30" s="506" t="n">
        <v>10445.6286525146</v>
      </c>
      <c r="AK30" s="507" t="n">
        <v>37629.4452414707</v>
      </c>
    </row>
    <row r="31" ht="15" customHeight="1" s="462">
      <c r="A31" s="522" t="inlineStr">
        <is>
          <t>Total</t>
        </is>
      </c>
      <c r="B31" s="541" t="n">
        <v>22502.2</v>
      </c>
      <c r="C31" s="542" t="n">
        <v>5664</v>
      </c>
      <c r="D31" s="542" t="n">
        <v>6670</v>
      </c>
      <c r="E31" s="542" t="n">
        <v>6102</v>
      </c>
      <c r="F31" s="542" t="n">
        <v>7088</v>
      </c>
      <c r="G31" s="541" t="n">
        <v>25524</v>
      </c>
      <c r="H31" s="542" t="n">
        <v>7068</v>
      </c>
      <c r="I31" s="542" t="n">
        <v>7240</v>
      </c>
      <c r="J31" s="542" t="n">
        <v>7568</v>
      </c>
      <c r="K31" s="542" t="n">
        <v>8688</v>
      </c>
      <c r="L31" s="541" t="n">
        <v>30564</v>
      </c>
      <c r="M31" s="542" t="n">
        <v>8267.1</v>
      </c>
      <c r="N31" s="542" t="n">
        <v>10366.1206</v>
      </c>
      <c r="O31" s="542" t="n">
        <v>10366.1206</v>
      </c>
      <c r="P31" s="542" t="n">
        <v>10366.1206</v>
      </c>
      <c r="Q31" s="541" t="n">
        <v>39365.4618</v>
      </c>
      <c r="R31" s="542" t="n">
        <v>11288.1659521979</v>
      </c>
      <c r="S31" s="542" t="n">
        <v>11562.8638220024</v>
      </c>
      <c r="T31" s="542" t="n">
        <v>12086.7062713969</v>
      </c>
      <c r="U31" s="542" t="n">
        <v>13875.4365864028</v>
      </c>
      <c r="V31" s="541" t="n">
        <v>48813.172632</v>
      </c>
      <c r="W31" s="542" t="n">
        <v>13997.3257807254</v>
      </c>
      <c r="X31" s="542" t="n">
        <v>14337.9511392829</v>
      </c>
      <c r="Y31" s="542" t="n">
        <v>14987.5157765322</v>
      </c>
      <c r="Z31" s="542" t="n">
        <v>17205.5413671395</v>
      </c>
      <c r="AA31" s="541" t="n">
        <v>60528.33406368</v>
      </c>
      <c r="AB31" s="542" t="n">
        <v>17076.7374524849</v>
      </c>
      <c r="AC31" s="542" t="n">
        <v>17492.3003899252</v>
      </c>
      <c r="AD31" s="542" t="n">
        <v>18284.7692473693</v>
      </c>
      <c r="AE31" s="542" t="n">
        <v>20990.7604679102</v>
      </c>
      <c r="AF31" s="541" t="n">
        <v>73844.5675576896</v>
      </c>
      <c r="AG31" s="542" t="n">
        <v>20492.0849429819</v>
      </c>
      <c r="AH31" s="542" t="n">
        <v>20990.7604679102</v>
      </c>
      <c r="AI31" s="542" t="n">
        <v>21941.7230968431</v>
      </c>
      <c r="AJ31" s="542" t="n">
        <v>25188.9125614922</v>
      </c>
      <c r="AK31" s="541" t="n">
        <v>88613.48106922751</v>
      </c>
    </row>
    <row r="32" ht="15" customHeight="1" s="462">
      <c r="B32" s="515" t="n"/>
      <c r="G32" s="515" t="n"/>
      <c r="L32" s="515" t="n"/>
      <c r="Q32" s="515" t="n"/>
      <c r="V32" s="515" t="n"/>
      <c r="AA32" s="515" t="n"/>
      <c r="AF32" s="515" t="n"/>
      <c r="AK32" s="515" t="n"/>
    </row>
    <row r="33" ht="15" customHeight="1" s="462">
      <c r="B33" s="515" t="n"/>
      <c r="G33" s="515" t="n"/>
      <c r="L33" s="515" t="n"/>
      <c r="Q33" s="515" t="n"/>
      <c r="V33" s="515" t="n"/>
      <c r="AA33" s="515" t="n"/>
      <c r="AF33" s="515" t="n"/>
      <c r="AK33" s="515" t="n"/>
    </row>
    <row r="34" ht="15.75" customHeight="1" s="462">
      <c r="A34" s="491" t="inlineStr">
        <is>
          <t>Income Statement</t>
        </is>
      </c>
      <c r="B34" s="538" t="n"/>
      <c r="C34" s="489" t="n"/>
      <c r="D34" s="489" t="n"/>
      <c r="E34" s="489" t="n"/>
      <c r="F34" s="489" t="n"/>
      <c r="G34" s="538" t="n"/>
      <c r="H34" s="489" t="n"/>
      <c r="I34" s="489" t="n"/>
      <c r="J34" s="489" t="n"/>
      <c r="K34" s="489" t="n"/>
      <c r="L34" s="538" t="n"/>
      <c r="M34" s="489" t="n"/>
      <c r="N34" s="489" t="n"/>
      <c r="O34" s="489" t="n"/>
      <c r="P34" s="489" t="n"/>
      <c r="Q34" s="538" t="n"/>
      <c r="R34" s="489" t="n"/>
      <c r="S34" s="489" t="n"/>
      <c r="T34" s="489" t="n"/>
      <c r="U34" s="489" t="n"/>
      <c r="V34" s="538" t="n"/>
      <c r="W34" s="489" t="n"/>
      <c r="X34" s="489" t="n"/>
      <c r="Y34" s="489" t="n"/>
      <c r="Z34" s="489" t="n"/>
      <c r="AA34" s="538" t="n"/>
      <c r="AB34" s="489" t="n"/>
      <c r="AC34" s="489" t="n"/>
      <c r="AD34" s="489" t="n"/>
      <c r="AE34" s="489" t="n"/>
      <c r="AF34" s="538" t="n"/>
      <c r="AG34" s="489" t="n"/>
      <c r="AH34" s="489" t="n"/>
      <c r="AI34" s="489" t="n"/>
      <c r="AJ34" s="489" t="n"/>
      <c r="AK34" s="538" t="n"/>
    </row>
    <row r="35" ht="15" customHeight="1" s="462">
      <c r="A35" s="461" t="n"/>
      <c r="B35" s="515" t="n"/>
      <c r="G35" s="515" t="n"/>
      <c r="L35" s="515" t="n"/>
      <c r="Q35" s="515" t="n"/>
      <c r="V35" s="515" t="n"/>
      <c r="AA35" s="515" t="n"/>
      <c r="AF35" s="515" t="n"/>
      <c r="AK35" s="515" t="n"/>
    </row>
    <row r="36" ht="15" customHeight="1" s="462">
      <c r="A36" s="522" t="inlineStr">
        <is>
          <t>Total Income</t>
        </is>
      </c>
      <c r="B36" s="507" t="n">
        <v>21229.2</v>
      </c>
      <c r="C36" s="506" t="n">
        <v>5323.4</v>
      </c>
      <c r="D36" s="506" t="n">
        <v>6302</v>
      </c>
      <c r="E36" s="506" t="n">
        <v>5695.6</v>
      </c>
      <c r="F36" s="506" t="n">
        <v>7056.2</v>
      </c>
      <c r="G36" s="507" t="n">
        <v>24359</v>
      </c>
      <c r="H36" s="506" t="n">
        <v>6832.4</v>
      </c>
      <c r="I36" s="506" t="n">
        <v>7094.53</v>
      </c>
      <c r="J36" s="506" t="n">
        <v>8228.200000000001</v>
      </c>
      <c r="K36" s="506" t="n">
        <v>9087.299999999999</v>
      </c>
      <c r="L36" s="507" t="n">
        <v>31242.43</v>
      </c>
      <c r="M36" s="506" t="n">
        <v>8527.5</v>
      </c>
      <c r="N36" s="506" t="n">
        <v>10121.6842251794</v>
      </c>
      <c r="O36" s="506" t="n">
        <v>10946.3921513069</v>
      </c>
      <c r="P36" s="506" t="n">
        <v>10728.8540451297</v>
      </c>
      <c r="Q36" s="507" t="n">
        <v>40324.4304216159</v>
      </c>
      <c r="R36" s="506" t="n">
        <v>11486.2231897485</v>
      </c>
      <c r="S36" s="506" t="n">
        <v>11280.4410039834</v>
      </c>
      <c r="T36" s="506" t="n">
        <v>12617.7097507421</v>
      </c>
      <c r="U36" s="506" t="n">
        <v>14162.3151989132</v>
      </c>
      <c r="V36" s="507" t="n">
        <v>49546.6891433872</v>
      </c>
      <c r="W36" s="506" t="n">
        <v>14139.4767552882</v>
      </c>
      <c r="X36" s="506" t="n">
        <v>13967.4428449395</v>
      </c>
      <c r="Y36" s="506" t="n">
        <v>15435.4560909202</v>
      </c>
      <c r="Z36" s="506" t="n">
        <v>17420.4388466523</v>
      </c>
      <c r="AA36" s="507" t="n">
        <v>60962.8145378002</v>
      </c>
      <c r="AB36" s="506" t="n">
        <v>17155.3416414516</v>
      </c>
      <c r="AC36" s="506" t="n">
        <v>17021.6682708261</v>
      </c>
      <c r="AD36" s="506" t="n">
        <v>18638.2944309226</v>
      </c>
      <c r="AE36" s="506" t="n">
        <v>21123.8393929158</v>
      </c>
      <c r="AF36" s="507" t="n">
        <v>73939.1437361162</v>
      </c>
      <c r="AG36" s="506" t="n">
        <v>20500.2099697419</v>
      </c>
      <c r="AH36" s="506" t="n">
        <v>20409.0819249914</v>
      </c>
      <c r="AI36" s="506" t="n">
        <v>22190.5333171072</v>
      </c>
      <c r="AJ36" s="506" t="n">
        <v>25231.247271499</v>
      </c>
      <c r="AK36" s="507" t="n">
        <v>88331.07248333941</v>
      </c>
    </row>
    <row r="37" ht="15" customHeight="1" s="462">
      <c r="B37" s="515" t="n"/>
      <c r="G37" s="515" t="n"/>
      <c r="L37" s="515" t="n"/>
      <c r="Q37" s="515" t="n"/>
      <c r="V37" s="515" t="n"/>
      <c r="AA37" s="515" t="n"/>
      <c r="AF37" s="515" t="n"/>
      <c r="AK37" s="515" t="n"/>
    </row>
    <row r="38" ht="15" customHeight="1" s="462">
      <c r="A38" s="543" t="inlineStr">
        <is>
          <t>Material Consumed</t>
        </is>
      </c>
      <c r="B38" s="507" t="n">
        <v>11755.7</v>
      </c>
      <c r="C38" s="506" t="n">
        <v>3036.9</v>
      </c>
      <c r="D38" s="506" t="n">
        <v>3309.3</v>
      </c>
      <c r="E38" s="506" t="n">
        <v>2974.7</v>
      </c>
      <c r="F38" s="506" t="n">
        <v>3290.8</v>
      </c>
      <c r="G38" s="507" t="n">
        <v>12611.7</v>
      </c>
      <c r="H38" s="506" t="n">
        <v>3572.4</v>
      </c>
      <c r="I38" s="506" t="n">
        <v>3995</v>
      </c>
      <c r="J38" s="506" t="n">
        <v>4281.4</v>
      </c>
      <c r="K38" s="506" t="n">
        <v>3650.2</v>
      </c>
      <c r="L38" s="507" t="n">
        <v>15499</v>
      </c>
      <c r="M38" s="506" t="n">
        <v>4013.1</v>
      </c>
      <c r="N38" s="506" t="n">
        <v>5720.1928520815</v>
      </c>
      <c r="O38" s="506" t="n">
        <v>5864.51924427707</v>
      </c>
      <c r="P38" s="506" t="n">
        <v>4355.09977948736</v>
      </c>
      <c r="Q38" s="507" t="n">
        <v>19952.9118758459</v>
      </c>
      <c r="R38" s="506" t="n">
        <v>5479.61664704253</v>
      </c>
      <c r="S38" s="506" t="n">
        <v>6380.57510002437</v>
      </c>
      <c r="T38" s="506" t="n">
        <v>6837.92175141505</v>
      </c>
      <c r="U38" s="506" t="n">
        <v>5829.46245268782</v>
      </c>
      <c r="V38" s="507" t="n">
        <v>24527.5759511698</v>
      </c>
      <c r="W38" s="506" t="n">
        <v>6794.72464233274</v>
      </c>
      <c r="X38" s="506" t="n">
        <v>7911.91312403022</v>
      </c>
      <c r="Y38" s="506" t="n">
        <v>8479.02297175467</v>
      </c>
      <c r="Z38" s="506" t="n">
        <v>7228.5334413329</v>
      </c>
      <c r="AA38" s="507" t="n">
        <v>30414.1941794505</v>
      </c>
      <c r="AB38" s="506" t="n">
        <v>8289.564063645939</v>
      </c>
      <c r="AC38" s="506" t="n">
        <v>9652.53401131686</v>
      </c>
      <c r="AD38" s="506" t="n">
        <v>10344.4080255407</v>
      </c>
      <c r="AE38" s="506" t="n">
        <v>8818.810798426141</v>
      </c>
      <c r="AF38" s="507" t="n">
        <v>37105.3168989296</v>
      </c>
      <c r="AG38" s="506" t="n">
        <v>9947.476876375131</v>
      </c>
      <c r="AH38" s="506" t="n">
        <v>11583.0408135802</v>
      </c>
      <c r="AI38" s="506" t="n">
        <v>12413.2896306488</v>
      </c>
      <c r="AJ38" s="506" t="n">
        <v>10582.5729581114</v>
      </c>
      <c r="AK38" s="507" t="n">
        <v>44526.3802787156</v>
      </c>
    </row>
    <row r="39" ht="15" customHeight="1" s="462">
      <c r="A39" s="543" t="inlineStr">
        <is>
          <t>Staff Cost</t>
        </is>
      </c>
      <c r="B39" s="507" t="n">
        <v>1504.2</v>
      </c>
      <c r="C39" s="506" t="n">
        <v>442.3</v>
      </c>
      <c r="D39" s="506" t="n">
        <v>492.9</v>
      </c>
      <c r="E39" s="506" t="n">
        <v>497.9</v>
      </c>
      <c r="F39" s="506" t="n">
        <v>496.9</v>
      </c>
      <c r="G39" s="507" t="n">
        <v>1930</v>
      </c>
      <c r="H39" s="506" t="n">
        <v>573.7</v>
      </c>
      <c r="I39" s="506" t="n">
        <v>589.6</v>
      </c>
      <c r="J39" s="506" t="n">
        <v>653.6</v>
      </c>
      <c r="K39" s="506" t="n">
        <v>617.8</v>
      </c>
      <c r="L39" s="507" t="n">
        <v>2434.7</v>
      </c>
      <c r="M39" s="506" t="n">
        <v>690.6</v>
      </c>
      <c r="N39" s="506" t="n">
        <v>844.2116910105771</v>
      </c>
      <c r="O39" s="506" t="n">
        <v>895.279529607019</v>
      </c>
      <c r="P39" s="506" t="n">
        <v>737.104992539392</v>
      </c>
      <c r="Q39" s="507" t="n">
        <v>3167.19621315699</v>
      </c>
      <c r="R39" s="506" t="n">
        <v>942.9675952374899</v>
      </c>
      <c r="S39" s="506" t="n">
        <v>941.673862071181</v>
      </c>
      <c r="T39" s="506" t="n">
        <v>1043.87949192434</v>
      </c>
      <c r="U39" s="506" t="n">
        <v>986.6423492604609</v>
      </c>
      <c r="V39" s="507" t="n">
        <v>3915.16329849347</v>
      </c>
      <c r="W39" s="506" t="n">
        <v>1169.27981809449</v>
      </c>
      <c r="X39" s="506" t="n">
        <v>1167.67558896826</v>
      </c>
      <c r="Y39" s="506" t="n">
        <v>1294.41056998618</v>
      </c>
      <c r="Z39" s="506" t="n">
        <v>1223.43651308297</v>
      </c>
      <c r="AA39" s="507" t="n">
        <v>4854.80249013191</v>
      </c>
      <c r="AB39" s="506" t="n">
        <v>1426.52137807528</v>
      </c>
      <c r="AC39" s="506" t="n">
        <v>1424.56421854128</v>
      </c>
      <c r="AD39" s="506" t="n">
        <v>1579.18089538314</v>
      </c>
      <c r="AE39" s="506" t="n">
        <v>1492.59254596123</v>
      </c>
      <c r="AF39" s="507" t="n">
        <v>5922.85903796093</v>
      </c>
      <c r="AG39" s="506" t="n">
        <v>1711.82565369033</v>
      </c>
      <c r="AH39" s="506" t="n">
        <v>1709.47706224954</v>
      </c>
      <c r="AI39" s="506" t="n">
        <v>1895.01707445977</v>
      </c>
      <c r="AJ39" s="506" t="n">
        <v>1791.11105515347</v>
      </c>
      <c r="AK39" s="507" t="n">
        <v>7107.43084555311</v>
      </c>
    </row>
    <row r="40" ht="15" customHeight="1" s="462">
      <c r="A40" s="543" t="inlineStr">
        <is>
          <t>Other Expenditure</t>
        </is>
      </c>
      <c r="B40" s="507" t="n">
        <v>4486.8</v>
      </c>
      <c r="C40" s="506" t="n">
        <v>1258.7</v>
      </c>
      <c r="D40" s="506" t="n">
        <v>1422.6</v>
      </c>
      <c r="E40" s="506" t="n">
        <v>1380.6</v>
      </c>
      <c r="F40" s="506" t="n">
        <v>1441.7</v>
      </c>
      <c r="G40" s="507" t="n">
        <v>5503.6</v>
      </c>
      <c r="H40" s="506" t="n">
        <v>1424.7</v>
      </c>
      <c r="I40" s="506" t="n">
        <v>1641.1</v>
      </c>
      <c r="J40" s="506" t="n">
        <v>1728.9</v>
      </c>
      <c r="K40" s="506" t="n">
        <v>1998.1</v>
      </c>
      <c r="L40" s="507" t="n">
        <v>6792.8</v>
      </c>
      <c r="M40" s="506" t="n">
        <v>1666.1</v>
      </c>
      <c r="N40" s="506" t="n">
        <v>2349.7893590866</v>
      </c>
      <c r="O40" s="506" t="n">
        <v>2368.189685951</v>
      </c>
      <c r="P40" s="506" t="n">
        <v>2383.95837745704</v>
      </c>
      <c r="Q40" s="507" t="n">
        <v>8768.037422494641</v>
      </c>
      <c r="R40" s="506" t="n">
        <v>2274.94687290064</v>
      </c>
      <c r="S40" s="506" t="n">
        <v>2621.0667826408</v>
      </c>
      <c r="T40" s="506" t="n">
        <v>2761.26568786413</v>
      </c>
      <c r="U40" s="506" t="n">
        <v>3191.01663654472</v>
      </c>
      <c r="V40" s="507" t="n">
        <v>10848.2959799503</v>
      </c>
      <c r="W40" s="506" t="n">
        <v>2820.93412239679</v>
      </c>
      <c r="X40" s="506" t="n">
        <v>3250.12281047459</v>
      </c>
      <c r="Y40" s="506" t="n">
        <v>3423.96945295152</v>
      </c>
      <c r="Z40" s="506" t="n">
        <v>3956.86062931545</v>
      </c>
      <c r="AA40" s="507" t="n">
        <v>13451.8870151384</v>
      </c>
      <c r="AB40" s="506" t="n">
        <v>3441.53962932409</v>
      </c>
      <c r="AC40" s="506" t="n">
        <v>3965.149828779</v>
      </c>
      <c r="AD40" s="506" t="n">
        <v>4177.24273260086</v>
      </c>
      <c r="AE40" s="506" t="n">
        <v>4827.36996776485</v>
      </c>
      <c r="AF40" s="507" t="n">
        <v>16411.3021584688</v>
      </c>
      <c r="AG40" s="506" t="n">
        <v>4129.84755518891</v>
      </c>
      <c r="AH40" s="506" t="n">
        <v>4758.1797945348</v>
      </c>
      <c r="AI40" s="506" t="n">
        <v>5012.69127912103</v>
      </c>
      <c r="AJ40" s="506" t="n">
        <v>5792.84396131782</v>
      </c>
      <c r="AK40" s="507" t="n">
        <v>19693.5625901626</v>
      </c>
    </row>
    <row r="41" ht="15" customHeight="1" s="462">
      <c r="A41" s="543" t="inlineStr">
        <is>
          <t>Depreciation &amp; Amortization</t>
        </is>
      </c>
      <c r="B41" s="507" t="n">
        <v>997.2</v>
      </c>
      <c r="C41" s="506" t="n">
        <v>233.5</v>
      </c>
      <c r="D41" s="506" t="n">
        <v>249.5</v>
      </c>
      <c r="E41" s="506" t="n">
        <v>256</v>
      </c>
      <c r="F41" s="506" t="n">
        <v>264.8</v>
      </c>
      <c r="G41" s="507" t="n">
        <v>1003.8</v>
      </c>
      <c r="H41" s="506" t="n">
        <v>270.4</v>
      </c>
      <c r="I41" s="506" t="n">
        <v>288.3</v>
      </c>
      <c r="J41" s="506" t="n">
        <v>310.8</v>
      </c>
      <c r="K41" s="506" t="n">
        <v>351.7</v>
      </c>
      <c r="L41" s="507" t="n">
        <v>1221.2</v>
      </c>
      <c r="M41" s="506" t="n">
        <v>332.6</v>
      </c>
      <c r="N41" s="506" t="n">
        <v>292.402512201303</v>
      </c>
      <c r="O41" s="506" t="n">
        <v>292.402512201303</v>
      </c>
      <c r="P41" s="506" t="n">
        <v>292.402512201303</v>
      </c>
      <c r="Q41" s="507" t="n">
        <v>1209.80753660391</v>
      </c>
      <c r="R41" s="506" t="n">
        <v>339.181043273079</v>
      </c>
      <c r="S41" s="506" t="n">
        <v>339.181043273079</v>
      </c>
      <c r="T41" s="506" t="n">
        <v>339.181043273079</v>
      </c>
      <c r="U41" s="506" t="n">
        <v>339.181043273079</v>
      </c>
      <c r="V41" s="507" t="n">
        <v>1356.72417309232</v>
      </c>
      <c r="W41" s="506" t="n">
        <v>381.608963032208</v>
      </c>
      <c r="X41" s="506" t="n">
        <v>381.608963032208</v>
      </c>
      <c r="Y41" s="506" t="n">
        <v>381.608963032208</v>
      </c>
      <c r="Z41" s="506" t="n">
        <v>381.608963032208</v>
      </c>
      <c r="AA41" s="507" t="n">
        <v>1526.43585212883</v>
      </c>
      <c r="AB41" s="506" t="n">
        <v>430.636470638241</v>
      </c>
      <c r="AC41" s="506" t="n">
        <v>430.636470638241</v>
      </c>
      <c r="AD41" s="506" t="n">
        <v>430.636470638241</v>
      </c>
      <c r="AE41" s="506" t="n">
        <v>430.636470638241</v>
      </c>
      <c r="AF41" s="507" t="n">
        <v>1722.54588255296</v>
      </c>
      <c r="AG41" s="506" t="n">
        <v>492.317353473248</v>
      </c>
      <c r="AH41" s="506" t="n">
        <v>492.317353473248</v>
      </c>
      <c r="AI41" s="506" t="n">
        <v>492.317353473248</v>
      </c>
      <c r="AJ41" s="506" t="n">
        <v>492.317353473248</v>
      </c>
      <c r="AK41" s="507" t="n">
        <v>1969.26941389299</v>
      </c>
    </row>
    <row r="42" ht="15" customHeight="1" s="462">
      <c r="A42" s="522" t="inlineStr">
        <is>
          <t>Total Expenditure</t>
        </is>
      </c>
      <c r="B42" s="507" t="n">
        <v>19204.5</v>
      </c>
      <c r="C42" s="506" t="n">
        <v>4862</v>
      </c>
      <c r="D42" s="506" t="n">
        <v>5599.5</v>
      </c>
      <c r="E42" s="506" t="n">
        <v>5163.7</v>
      </c>
      <c r="F42" s="506" t="n">
        <v>6326.2</v>
      </c>
      <c r="G42" s="507" t="n">
        <v>21951.4</v>
      </c>
      <c r="H42" s="506" t="n">
        <v>5957.9</v>
      </c>
      <c r="I42" s="506" t="n">
        <v>6133.7</v>
      </c>
      <c r="J42" s="506" t="n">
        <v>6961.2</v>
      </c>
      <c r="K42" s="506" t="n">
        <v>7679.3</v>
      </c>
      <c r="L42" s="507" t="n">
        <v>26732.1</v>
      </c>
      <c r="M42" s="506" t="n">
        <v>6903.1</v>
      </c>
      <c r="N42" s="506" t="n">
        <v>8662.06841897407</v>
      </c>
      <c r="O42" s="506" t="n">
        <v>9401.89912128717</v>
      </c>
      <c r="P42" s="506" t="n">
        <v>9035.0547351402</v>
      </c>
      <c r="Q42" s="507" t="n">
        <v>34002.1222754014</v>
      </c>
      <c r="R42" s="506" t="n">
        <v>9310.75443526255</v>
      </c>
      <c r="S42" s="506" t="n">
        <v>9675.10436985191</v>
      </c>
      <c r="T42" s="506" t="n">
        <v>10960.6868160602</v>
      </c>
      <c r="U42" s="506" t="n">
        <v>12041.5450420445</v>
      </c>
      <c r="V42" s="507" t="n">
        <v>41988.0906632191</v>
      </c>
      <c r="W42" s="506" t="n">
        <v>11506.3599690992</v>
      </c>
      <c r="X42" s="506" t="n">
        <v>11958.15388799</v>
      </c>
      <c r="Y42" s="506" t="n">
        <v>13552.2761212882</v>
      </c>
      <c r="Z42" s="506" t="n">
        <v>14892.5403215087</v>
      </c>
      <c r="AA42" s="507" t="n">
        <v>51909.330299886</v>
      </c>
      <c r="AB42" s="506" t="n">
        <v>14002.8326980399</v>
      </c>
      <c r="AC42" s="506" t="n">
        <v>14554.0212790867</v>
      </c>
      <c r="AD42" s="506" t="n">
        <v>16498.8504037106</v>
      </c>
      <c r="AE42" s="506" t="n">
        <v>18133.9727279796</v>
      </c>
      <c r="AF42" s="507" t="n">
        <v>63189.6771088167</v>
      </c>
      <c r="AG42" s="506" t="n">
        <v>16778.9528263553</v>
      </c>
      <c r="AH42" s="506" t="n">
        <v>17440.3791236114</v>
      </c>
      <c r="AI42" s="506" t="n">
        <v>19774.17407316</v>
      </c>
      <c r="AJ42" s="506" t="n">
        <v>21736.3208622829</v>
      </c>
      <c r="AK42" s="507" t="n">
        <v>75729.82688540949</v>
      </c>
    </row>
    <row r="43" ht="15" customHeight="1" s="462">
      <c r="A43" s="544" t="n"/>
      <c r="B43" s="515" t="n"/>
      <c r="G43" s="515" t="n"/>
      <c r="L43" s="515" t="n"/>
      <c r="Q43" s="515" t="n"/>
      <c r="V43" s="515" t="n"/>
      <c r="AA43" s="515" t="n"/>
      <c r="AF43" s="515" t="n"/>
      <c r="AK43" s="515" t="n"/>
    </row>
    <row r="44" ht="15" customHeight="1" s="462">
      <c r="A44" s="545" t="inlineStr">
        <is>
          <t>Operating Income</t>
        </is>
      </c>
      <c r="B44" s="507" t="n">
        <v>2024.7</v>
      </c>
      <c r="C44" s="506" t="n">
        <v>461.4</v>
      </c>
      <c r="D44" s="506" t="n">
        <v>702.5</v>
      </c>
      <c r="E44" s="506" t="n">
        <v>531.9</v>
      </c>
      <c r="F44" s="506" t="n">
        <v>711.799999999999</v>
      </c>
      <c r="G44" s="507" t="n">
        <v>2407.6</v>
      </c>
      <c r="H44" s="506" t="n">
        <v>874.499999999999</v>
      </c>
      <c r="I44" s="506" t="n">
        <v>960.83</v>
      </c>
      <c r="J44" s="506" t="n">
        <v>1267</v>
      </c>
      <c r="K44" s="506" t="n">
        <v>1408</v>
      </c>
      <c r="L44" s="507" t="n">
        <v>4510.33</v>
      </c>
      <c r="M44" s="506" t="n">
        <v>1624.4</v>
      </c>
      <c r="N44" s="506" t="n">
        <v>1459.61580620532</v>
      </c>
      <c r="O44" s="506" t="n">
        <v>1544.49303001968</v>
      </c>
      <c r="P44" s="506" t="n">
        <v>1693.79930998946</v>
      </c>
      <c r="Q44" s="507" t="n">
        <v>6322.30814621446</v>
      </c>
      <c r="R44" s="506" t="n">
        <v>2175.46875448599</v>
      </c>
      <c r="S44" s="506" t="n">
        <v>1605.33663413152</v>
      </c>
      <c r="T44" s="506" t="n">
        <v>1657.02293468192</v>
      </c>
      <c r="U44" s="506" t="n">
        <v>2120.7701568687</v>
      </c>
      <c r="V44" s="507" t="n">
        <v>7558.59848016813</v>
      </c>
      <c r="W44" s="506" t="n">
        <v>2633.11678618903</v>
      </c>
      <c r="X44" s="506" t="n">
        <v>2009.28895694949</v>
      </c>
      <c r="Y44" s="506" t="n">
        <v>1883.17996963199</v>
      </c>
      <c r="Z44" s="506" t="n">
        <v>2527.8985251436</v>
      </c>
      <c r="AA44" s="507" t="n">
        <v>9053.484237914119</v>
      </c>
      <c r="AB44" s="506" t="n">
        <v>3152.50894341167</v>
      </c>
      <c r="AC44" s="506" t="n">
        <v>2467.64699173944</v>
      </c>
      <c r="AD44" s="506" t="n">
        <v>2139.44402721208</v>
      </c>
      <c r="AE44" s="506" t="n">
        <v>2989.86666493625</v>
      </c>
      <c r="AF44" s="507" t="n">
        <v>10749.4666272994</v>
      </c>
      <c r="AG44" s="506" t="n">
        <v>3721.25714338665</v>
      </c>
      <c r="AH44" s="506" t="n">
        <v>2968.70280137996</v>
      </c>
      <c r="AI44" s="506" t="n">
        <v>2416.35924394714</v>
      </c>
      <c r="AJ44" s="506" t="n">
        <v>3494.92640921614</v>
      </c>
      <c r="AK44" s="507" t="n">
        <v>12601.2455979299</v>
      </c>
    </row>
    <row r="45" ht="15" customFormat="1" customHeight="1" s="546">
      <c r="A45" s="547" t="inlineStr">
        <is>
          <t>Operating Income Margin(%)</t>
        </is>
      </c>
      <c r="B45" s="548" t="n">
        <v>0.0899778688306033</v>
      </c>
      <c r="C45" s="549" t="n">
        <v>0.08145611185650729</v>
      </c>
      <c r="D45" s="549" t="n">
        <v>0.105328655391628</v>
      </c>
      <c r="E45" s="549" t="n">
        <v>0.0871695701338927</v>
      </c>
      <c r="F45" s="549" t="n">
        <v>0.100437420629321</v>
      </c>
      <c r="G45" s="548" t="n">
        <v>0.0943309733611775</v>
      </c>
      <c r="H45" s="549" t="n">
        <v>0.123728405891424</v>
      </c>
      <c r="I45" s="549" t="n">
        <v>0.13271627533071</v>
      </c>
      <c r="J45" s="549" t="n">
        <v>0.167419857818653</v>
      </c>
      <c r="K45" s="549" t="n">
        <v>0.162057019209742</v>
      </c>
      <c r="L45" s="548" t="n">
        <v>0.147571320647055</v>
      </c>
      <c r="M45" s="549" t="n">
        <v>0.196489700136686</v>
      </c>
      <c r="N45" s="549" t="n">
        <v>0.140806369376536</v>
      </c>
      <c r="O45" s="549" t="n">
        <v>0.148994314229731</v>
      </c>
      <c r="P45" s="549" t="n">
        <v>0.163397607972018</v>
      </c>
      <c r="Q45" s="548" t="n">
        <v>0.160605461161247</v>
      </c>
      <c r="R45" s="549" t="n">
        <v>0.19272118816276</v>
      </c>
      <c r="S45" s="549" t="n">
        <v>0.138835556557953</v>
      </c>
      <c r="T45" s="549" t="n">
        <v>0.137094663961782</v>
      </c>
      <c r="U45" s="549" t="n">
        <v>0.152843490268763</v>
      </c>
      <c r="V45" s="548" t="n">
        <v>0.154847514976173</v>
      </c>
      <c r="W45" s="549" t="n">
        <v>0.188115703487797</v>
      </c>
      <c r="X45" s="549" t="n">
        <v>0.140137801937717</v>
      </c>
      <c r="Y45" s="549" t="n">
        <v>0.125649907410321</v>
      </c>
      <c r="Z45" s="549" t="n">
        <v>0.14692350976945</v>
      </c>
      <c r="AA45" s="548" t="n">
        <v>0.149574317184894</v>
      </c>
      <c r="AB45" s="549" t="n">
        <v>0.184608386243763</v>
      </c>
      <c r="AC45" s="549" t="n">
        <v>0.141070467390367</v>
      </c>
      <c r="AD45" s="549" t="n">
        <v>0.117006892363156</v>
      </c>
      <c r="AE45" s="549" t="n">
        <v>0.142437272318315</v>
      </c>
      <c r="AF45" s="548" t="n">
        <v>0.145568820873677</v>
      </c>
      <c r="AG45" s="549" t="n">
        <v>0.18159485253652</v>
      </c>
      <c r="AH45" s="549" t="n">
        <v>0.141429025685772</v>
      </c>
      <c r="AI45" s="549" t="n">
        <v>0.110126229981217</v>
      </c>
      <c r="AJ45" s="549" t="n">
        <v>0.138748602214732</v>
      </c>
      <c r="AK45" s="548" t="n">
        <v>0.14220461092241</v>
      </c>
    </row>
    <row r="46" ht="15" customHeight="1" s="462">
      <c r="A46" s="544" t="n"/>
      <c r="B46" s="515" t="n"/>
      <c r="G46" s="515" t="n"/>
      <c r="L46" s="515" t="n"/>
      <c r="Q46" s="515" t="n"/>
      <c r="V46" s="515" t="n"/>
      <c r="AA46" s="515" t="n"/>
      <c r="AF46" s="515" t="n"/>
      <c r="AK46" s="515" t="n"/>
    </row>
    <row r="47" ht="15" customHeight="1" s="462">
      <c r="A47" s="522" t="inlineStr">
        <is>
          <t>Profit Before Interest and Tax (PBIT)</t>
        </is>
      </c>
      <c r="B47" s="507" t="n">
        <v>2517.8</v>
      </c>
      <c r="C47" s="506" t="n">
        <v>796.7</v>
      </c>
      <c r="D47" s="506" t="n">
        <v>728.6</v>
      </c>
      <c r="E47" s="506" t="n">
        <v>707.1</v>
      </c>
      <c r="F47" s="506" t="n">
        <v>1117.6</v>
      </c>
      <c r="G47" s="507" t="n">
        <v>3350</v>
      </c>
      <c r="H47" s="506" t="n">
        <v>889.499999999999</v>
      </c>
      <c r="I47" s="506" t="n">
        <v>998.4299999999999</v>
      </c>
      <c r="J47" s="506" t="n">
        <v>1320.2</v>
      </c>
      <c r="K47" s="506" t="n">
        <v>1461.3</v>
      </c>
      <c r="L47" s="507" t="n">
        <v>4669.43</v>
      </c>
      <c r="M47" s="506" t="n">
        <v>1646.7</v>
      </c>
      <c r="N47" s="506" t="n">
        <v>1497.21580620532</v>
      </c>
      <c r="O47" s="506" t="n">
        <v>1597.69303001968</v>
      </c>
      <c r="P47" s="506" t="n">
        <v>1747.09930998946</v>
      </c>
      <c r="Q47" s="507" t="n">
        <v>6488.70814621445</v>
      </c>
      <c r="R47" s="506" t="n">
        <v>2197.76875448599</v>
      </c>
      <c r="S47" s="506" t="n">
        <v>1642.93663413152</v>
      </c>
      <c r="T47" s="506" t="n">
        <v>1710.22293468192</v>
      </c>
      <c r="U47" s="506" t="n">
        <v>2174.0701568687</v>
      </c>
      <c r="V47" s="507" t="n">
        <v>7724.99848016813</v>
      </c>
      <c r="W47" s="506" t="n">
        <v>2655.41678618903</v>
      </c>
      <c r="X47" s="506" t="n">
        <v>2046.88895694949</v>
      </c>
      <c r="Y47" s="506" t="n">
        <v>1936.37996963199</v>
      </c>
      <c r="Z47" s="506" t="n">
        <v>2581.1985251436</v>
      </c>
      <c r="AA47" s="507" t="n">
        <v>9219.884237914121</v>
      </c>
      <c r="AB47" s="506" t="n">
        <v>3174.80894341167</v>
      </c>
      <c r="AC47" s="506" t="n">
        <v>2505.24699173944</v>
      </c>
      <c r="AD47" s="506" t="n">
        <v>2192.64402721208</v>
      </c>
      <c r="AE47" s="506" t="n">
        <v>3043.16666493625</v>
      </c>
      <c r="AF47" s="507" t="n">
        <v>10915.8666272994</v>
      </c>
      <c r="AG47" s="506" t="n">
        <v>3743.55714338665</v>
      </c>
      <c r="AH47" s="506" t="n">
        <v>3006.30280137996</v>
      </c>
      <c r="AI47" s="506" t="n">
        <v>2469.55924394714</v>
      </c>
      <c r="AJ47" s="506" t="n">
        <v>3548.22640921614</v>
      </c>
      <c r="AK47" s="507" t="n">
        <v>12767.6455979299</v>
      </c>
    </row>
    <row r="48" ht="15" customFormat="1" customHeight="1" s="546">
      <c r="A48" s="549" t="inlineStr">
        <is>
          <t>PBIT  Margin (%)</t>
        </is>
      </c>
      <c r="B48" s="550" t="n">
        <v>0.111891281741341</v>
      </c>
      <c r="C48" s="551" t="n">
        <v>0.140650377798178</v>
      </c>
      <c r="D48" s="551" t="n">
        <v>0.109241933549238</v>
      </c>
      <c r="E48" s="551" t="n">
        <v>0.115881938412626</v>
      </c>
      <c r="F48" s="551" t="n">
        <v>0.157697192041766</v>
      </c>
      <c r="G48" s="550" t="n">
        <v>0.131254677172265</v>
      </c>
      <c r="H48" s="551" t="n">
        <v>0.125850677004485</v>
      </c>
      <c r="I48" s="551" t="n">
        <v>0.137909839179085</v>
      </c>
      <c r="J48" s="551" t="n">
        <v>0.174449641903856</v>
      </c>
      <c r="K48" s="551" t="n">
        <v>0.168191706087497</v>
      </c>
      <c r="L48" s="550" t="n">
        <v>0.152776837120338</v>
      </c>
      <c r="M48" s="551" t="n">
        <v>0.199187139383823</v>
      </c>
      <c r="N48" s="551" t="n">
        <v>0.144433570086511</v>
      </c>
      <c r="O48" s="551" t="n">
        <v>0.154126417361929</v>
      </c>
      <c r="P48" s="551" t="n">
        <v>0.168539357914614</v>
      </c>
      <c r="Q48" s="550" t="n">
        <v>0.164832516869254</v>
      </c>
      <c r="R48" s="551" t="n">
        <v>0.194696708375205</v>
      </c>
      <c r="S48" s="551" t="n">
        <v>0.142087346130053</v>
      </c>
      <c r="T48" s="551" t="n">
        <v>0.141496193940705</v>
      </c>
      <c r="U48" s="551" t="n">
        <v>0.156684810840415</v>
      </c>
      <c r="V48" s="550" t="n">
        <v>0.158256430869727</v>
      </c>
      <c r="W48" s="551" t="n">
        <v>0.189708864949446</v>
      </c>
      <c r="X48" s="551" t="n">
        <v>0.142760212882959</v>
      </c>
      <c r="Y48" s="551" t="n">
        <v>0.129199528361066</v>
      </c>
      <c r="Z48" s="551" t="n">
        <v>0.150021348940137</v>
      </c>
      <c r="AA48" s="550" t="n">
        <v>0.152323442905502</v>
      </c>
      <c r="AB48" s="551" t="n">
        <v>0.185914256294295</v>
      </c>
      <c r="AC48" s="551" t="n">
        <v>0.143219984558598</v>
      </c>
      <c r="AD48" s="551" t="n">
        <v>0.119916417732619</v>
      </c>
      <c r="AE48" s="551" t="n">
        <v>0.144976484753305</v>
      </c>
      <c r="AF48" s="550" t="n">
        <v>0.14782220261188</v>
      </c>
      <c r="AG48" s="551" t="n">
        <v>0.18268307757863</v>
      </c>
      <c r="AH48" s="551" t="n">
        <v>0.143220289992631</v>
      </c>
      <c r="AI48" s="551" t="n">
        <v>0.11255083445577</v>
      </c>
      <c r="AJ48" s="551" t="n">
        <v>0.140864612577223</v>
      </c>
      <c r="AK48" s="550" t="n">
        <v>0.14408242903758</v>
      </c>
    </row>
    <row r="49" ht="15" customHeight="1" s="462">
      <c r="A49" s="552" t="n"/>
      <c r="B49" s="515" t="n"/>
      <c r="G49" s="515" t="n"/>
      <c r="L49" s="515" t="n"/>
      <c r="Q49" s="515" t="n"/>
      <c r="V49" s="515" t="n"/>
      <c r="AA49" s="515" t="n"/>
      <c r="AF49" s="515" t="n"/>
      <c r="AK49" s="515" t="n"/>
    </row>
    <row r="50" ht="15" customHeight="1" s="462">
      <c r="A50" s="553" t="inlineStr">
        <is>
          <t>EBITDA</t>
        </is>
      </c>
      <c r="B50" s="507" t="n">
        <v>3515</v>
      </c>
      <c r="C50" s="506" t="n">
        <v>1030.2</v>
      </c>
      <c r="D50" s="506" t="n">
        <v>978.1</v>
      </c>
      <c r="E50" s="506" t="n">
        <v>963.1</v>
      </c>
      <c r="F50" s="506" t="n">
        <v>1382.4</v>
      </c>
      <c r="G50" s="507" t="n">
        <v>4353.8</v>
      </c>
      <c r="H50" s="506" t="n">
        <v>1159.9</v>
      </c>
      <c r="I50" s="506" t="n">
        <v>1286.73</v>
      </c>
      <c r="J50" s="506" t="n">
        <v>1631</v>
      </c>
      <c r="K50" s="506" t="n">
        <v>1813</v>
      </c>
      <c r="L50" s="507" t="n">
        <v>5890.63</v>
      </c>
      <c r="M50" s="506" t="n">
        <v>1979.3</v>
      </c>
      <c r="N50" s="506" t="n">
        <v>1789.61831840663</v>
      </c>
      <c r="O50" s="506" t="n">
        <v>1890.09554222099</v>
      </c>
      <c r="P50" s="506" t="n">
        <v>2039.50182219076</v>
      </c>
      <c r="Q50" s="507" t="n">
        <v>7698.51568281836</v>
      </c>
      <c r="R50" s="506" t="n">
        <v>2536.94979775907</v>
      </c>
      <c r="S50" s="506" t="n">
        <v>1982.1176774046</v>
      </c>
      <c r="T50" s="506" t="n">
        <v>2049.403977955</v>
      </c>
      <c r="U50" s="506" t="n">
        <v>2513.25120014178</v>
      </c>
      <c r="V50" s="507" t="n">
        <v>9081.722653260451</v>
      </c>
      <c r="W50" s="506" t="n">
        <v>3037.02574922124</v>
      </c>
      <c r="X50" s="506" t="n">
        <v>2428.4979199817</v>
      </c>
      <c r="Y50" s="506" t="n">
        <v>2317.9889326642</v>
      </c>
      <c r="Z50" s="506" t="n">
        <v>2962.80748817581</v>
      </c>
      <c r="AA50" s="507" t="n">
        <v>10746.320090043</v>
      </c>
      <c r="AB50" s="506" t="n">
        <v>3605.44541404991</v>
      </c>
      <c r="AC50" s="506" t="n">
        <v>2935.88346237768</v>
      </c>
      <c r="AD50" s="506" t="n">
        <v>2623.28049785032</v>
      </c>
      <c r="AE50" s="506" t="n">
        <v>3473.80313557449</v>
      </c>
      <c r="AF50" s="507" t="n">
        <v>12638.4125098524</v>
      </c>
      <c r="AG50" s="506" t="n">
        <v>4235.8744968599</v>
      </c>
      <c r="AH50" s="506" t="n">
        <v>3498.62015485321</v>
      </c>
      <c r="AI50" s="506" t="n">
        <v>2961.87659742038</v>
      </c>
      <c r="AJ50" s="506" t="n">
        <v>4040.54376268939</v>
      </c>
      <c r="AK50" s="507" t="n">
        <v>14736.9150118229</v>
      </c>
    </row>
    <row r="51" ht="15" customFormat="1" customHeight="1" s="546">
      <c r="A51" s="554" t="inlineStr">
        <is>
          <t>EBITDA Margin (%)</t>
        </is>
      </c>
      <c r="B51" s="548" t="n">
        <v>0.156206948653909</v>
      </c>
      <c r="C51" s="549" t="n">
        <v>0.18187274909964</v>
      </c>
      <c r="D51" s="549" t="n">
        <v>0.146650473791532</v>
      </c>
      <c r="E51" s="549" t="n">
        <v>0.157836083842737</v>
      </c>
      <c r="F51" s="549" t="n">
        <v>0.195061379991534</v>
      </c>
      <c r="G51" s="548" t="n">
        <v>0.170584063723166</v>
      </c>
      <c r="H51" s="549" t="n">
        <v>0.164108150935921</v>
      </c>
      <c r="I51" s="549" t="n">
        <v>0.177731766239901</v>
      </c>
      <c r="J51" s="549" t="n">
        <v>0.215518380506885</v>
      </c>
      <c r="K51" s="549" t="n">
        <v>0.208671431695499</v>
      </c>
      <c r="L51" s="548" t="n">
        <v>0.192732693293652</v>
      </c>
      <c r="M51" s="549" t="n">
        <v>0.239418901428554</v>
      </c>
      <c r="N51" s="549" t="n">
        <v>0.172641086040097</v>
      </c>
      <c r="O51" s="549" t="n">
        <v>0.182333933315515</v>
      </c>
      <c r="P51" s="549" t="n">
        <v>0.196746873868201</v>
      </c>
      <c r="Q51" s="548" t="n">
        <v>0.19556523233314</v>
      </c>
      <c r="R51" s="549" t="n">
        <v>0.224744197463283</v>
      </c>
      <c r="S51" s="549" t="n">
        <v>0.171420999842006</v>
      </c>
      <c r="T51" s="549" t="n">
        <v>0.169558515937869</v>
      </c>
      <c r="U51" s="549" t="n">
        <v>0.181129522267042</v>
      </c>
      <c r="V51" s="548" t="n">
        <v>0.186050653206402</v>
      </c>
      <c r="W51" s="549" t="n">
        <v>0.216971855681411</v>
      </c>
      <c r="X51" s="549" t="n">
        <v>0.169375519304717</v>
      </c>
      <c r="Y51" s="549" t="n">
        <v>0.154661317274058</v>
      </c>
      <c r="Z51" s="549" t="n">
        <v>0.172200770958269</v>
      </c>
      <c r="AA51" s="548" t="n">
        <v>0.177541976931615</v>
      </c>
      <c r="AB51" s="549" t="n">
        <v>0.211131981391754</v>
      </c>
      <c r="AC51" s="549" t="n">
        <v>0.167838614529432</v>
      </c>
      <c r="AD51" s="549" t="n">
        <v>0.143468066911905</v>
      </c>
      <c r="AE51" s="549" t="n">
        <v>0.165492009728999</v>
      </c>
      <c r="AF51" s="548" t="n">
        <v>0.171148845850832</v>
      </c>
      <c r="AG51" s="549" t="n">
        <v>0.206707834202619</v>
      </c>
      <c r="AH51" s="549" t="n">
        <v>0.166674292729973</v>
      </c>
      <c r="AI51" s="549" t="n">
        <v>0.134988331789062</v>
      </c>
      <c r="AJ51" s="549" t="n">
        <v>0.160409614858341</v>
      </c>
      <c r="AK51" s="548" t="n">
        <v>0.166305564729028</v>
      </c>
    </row>
    <row r="52" ht="15" customHeight="1" s="462">
      <c r="A52" s="554" t="n"/>
      <c r="B52" s="515" t="n"/>
      <c r="G52" s="515" t="n"/>
      <c r="L52" s="515" t="n"/>
      <c r="Q52" s="515" t="n"/>
      <c r="V52" s="513" t="n"/>
      <c r="AA52" s="515" t="n"/>
      <c r="AF52" s="515" t="n"/>
      <c r="AK52" s="515" t="n"/>
    </row>
    <row r="53" ht="15" customHeight="1" s="462">
      <c r="A53" s="461" t="inlineStr">
        <is>
          <t>Interest (net)</t>
        </is>
      </c>
      <c r="B53" s="507" t="n">
        <v>453.6</v>
      </c>
      <c r="C53" s="506" t="n">
        <v>106.3</v>
      </c>
      <c r="D53" s="506" t="n">
        <v>116.1</v>
      </c>
      <c r="E53" s="506" t="n">
        <v>101</v>
      </c>
      <c r="F53" s="506" t="n">
        <v>109</v>
      </c>
      <c r="G53" s="507" t="n">
        <v>432.4</v>
      </c>
      <c r="H53" s="506" t="n">
        <v>132.5</v>
      </c>
      <c r="I53" s="506" t="n">
        <v>156.3</v>
      </c>
      <c r="J53" s="506" t="n">
        <v>254.7</v>
      </c>
      <c r="K53" s="506" t="n">
        <v>267.4</v>
      </c>
      <c r="L53" s="507" t="n">
        <v>810.9</v>
      </c>
      <c r="M53" s="506" t="n">
        <v>226.8</v>
      </c>
      <c r="N53" s="506" t="n">
        <v>544.032787172936</v>
      </c>
      <c r="O53" s="506" t="n">
        <v>544.032787172936</v>
      </c>
      <c r="P53" s="506" t="n">
        <v>544.032787172936</v>
      </c>
      <c r="Q53" s="507" t="n">
        <v>1858.89836151881</v>
      </c>
      <c r="R53" s="506" t="n">
        <v>532.888794310349</v>
      </c>
      <c r="S53" s="506" t="n">
        <v>532.888794310349</v>
      </c>
      <c r="T53" s="506" t="n">
        <v>532.888794310349</v>
      </c>
      <c r="U53" s="506" t="n">
        <v>532.888794310349</v>
      </c>
      <c r="V53" s="507" t="n">
        <v>2131.5551772414</v>
      </c>
      <c r="W53" s="506" t="n">
        <v>656.913178832481</v>
      </c>
      <c r="X53" s="506" t="n">
        <v>656.913178832481</v>
      </c>
      <c r="Y53" s="506" t="n">
        <v>656.913178832481</v>
      </c>
      <c r="Z53" s="506" t="n">
        <v>656.913178832481</v>
      </c>
      <c r="AA53" s="507" t="n">
        <v>2627.65271532993</v>
      </c>
      <c r="AB53" s="506" t="n">
        <v>435.008810775486</v>
      </c>
      <c r="AC53" s="506" t="n">
        <v>435.008810775486</v>
      </c>
      <c r="AD53" s="506" t="n">
        <v>435.008810775486</v>
      </c>
      <c r="AE53" s="506" t="n">
        <v>435.008810775486</v>
      </c>
      <c r="AF53" s="507" t="n">
        <v>1740.03524310194</v>
      </c>
      <c r="AG53" s="506" t="n">
        <v>423.963948558768</v>
      </c>
      <c r="AH53" s="506" t="n">
        <v>423.963948558768</v>
      </c>
      <c r="AI53" s="506" t="n">
        <v>423.963948558768</v>
      </c>
      <c r="AJ53" s="506" t="n">
        <v>423.963948558768</v>
      </c>
      <c r="AK53" s="507" t="n">
        <v>1695.85579423507</v>
      </c>
    </row>
    <row r="54" ht="15" customHeight="1" s="462">
      <c r="B54" s="515" t="n"/>
      <c r="G54" s="515" t="n"/>
      <c r="L54" s="515" t="n"/>
      <c r="Q54" s="515" t="n"/>
      <c r="V54" s="555" t="n"/>
      <c r="AA54" s="515" t="n"/>
      <c r="AF54" s="515" t="n"/>
      <c r="AK54" s="515" t="n"/>
    </row>
    <row r="55" ht="30" customHeight="1" s="462">
      <c r="A55" s="556" t="inlineStr">
        <is>
          <t>Profit from Ordinary Activities before Tax (PBT)</t>
        </is>
      </c>
      <c r="B55" s="507" t="n">
        <v>2064.2</v>
      </c>
      <c r="C55" s="506" t="n">
        <v>690.4</v>
      </c>
      <c r="D55" s="506" t="n">
        <v>838.2</v>
      </c>
      <c r="E55" s="506" t="n">
        <v>606.1</v>
      </c>
      <c r="F55" s="506" t="n">
        <v>782.899999999999</v>
      </c>
      <c r="G55" s="507" t="n">
        <v>2917.6</v>
      </c>
      <c r="H55" s="506" t="n">
        <v>219.899999999999</v>
      </c>
      <c r="I55" s="506" t="n">
        <v>-208.87</v>
      </c>
      <c r="J55" s="506" t="n">
        <v>495.000000000001</v>
      </c>
      <c r="K55" s="506" t="n">
        <v>805.800000000002</v>
      </c>
      <c r="L55" s="507" t="n">
        <v>1311.83</v>
      </c>
      <c r="M55" s="506" t="n">
        <v>1995.3</v>
      </c>
      <c r="N55" s="506" t="n">
        <v>1042.61395236572</v>
      </c>
      <c r="O55" s="506" t="n">
        <v>1143.09117618008</v>
      </c>
      <c r="P55" s="506" t="n">
        <v>1292.49745614985</v>
      </c>
      <c r="Q55" s="507" t="n">
        <v>5473.50258469565</v>
      </c>
      <c r="R55" s="506" t="n">
        <v>1664.87996017564</v>
      </c>
      <c r="S55" s="506" t="n">
        <v>1110.04783982117</v>
      </c>
      <c r="T55" s="506" t="n">
        <v>1177.33414037157</v>
      </c>
      <c r="U55" s="506" t="n">
        <v>1641.18136255836</v>
      </c>
      <c r="V55" s="507" t="n">
        <v>5829.65181057474</v>
      </c>
      <c r="W55" s="506" t="n">
        <v>1998.50360735655</v>
      </c>
      <c r="X55" s="506" t="n">
        <v>1389.97577811701</v>
      </c>
      <c r="Y55" s="506" t="n">
        <v>1279.46679079951</v>
      </c>
      <c r="Z55" s="506" t="n">
        <v>1924.28534631112</v>
      </c>
      <c r="AA55" s="507" t="n">
        <v>6592.23152258419</v>
      </c>
      <c r="AB55" s="506" t="n">
        <v>2739.80013263619</v>
      </c>
      <c r="AC55" s="506" t="n">
        <v>2070.23818096395</v>
      </c>
      <c r="AD55" s="506" t="n">
        <v>1757.6352164366</v>
      </c>
      <c r="AE55" s="506" t="n">
        <v>2608.15785416076</v>
      </c>
      <c r="AF55" s="507" t="n">
        <v>9175.83138419749</v>
      </c>
      <c r="AG55" s="506" t="n">
        <v>3319.59319482788</v>
      </c>
      <c r="AH55" s="506" t="n">
        <v>2582.33885282119</v>
      </c>
      <c r="AI55" s="506" t="n">
        <v>2045.59529538837</v>
      </c>
      <c r="AJ55" s="506" t="n">
        <v>3124.26246065737</v>
      </c>
      <c r="AK55" s="507" t="n">
        <v>11071.7898036948</v>
      </c>
    </row>
    <row r="56" ht="15" customFormat="1" customHeight="1" s="546">
      <c r="A56" s="557" t="inlineStr">
        <is>
          <t>PBT Margin (%)</t>
        </is>
      </c>
      <c r="B56" s="550" t="n">
        <v>0.09173325274862019</v>
      </c>
      <c r="C56" s="551" t="n">
        <v>0.121884047736742</v>
      </c>
      <c r="D56" s="551" t="n">
        <v>0.125674703130623</v>
      </c>
      <c r="E56" s="551" t="n">
        <v>0.0993297169734017</v>
      </c>
      <c r="F56" s="551" t="n">
        <v>0.110469874417948</v>
      </c>
      <c r="G56" s="550" t="n">
        <v>0.114313028691881</v>
      </c>
      <c r="H56" s="551" t="n">
        <v>0.0311124945174662</v>
      </c>
      <c r="I56" s="551" t="n">
        <v>-0.0288505234311225</v>
      </c>
      <c r="J56" s="551" t="n">
        <v>0.0654087053040515</v>
      </c>
      <c r="K56" s="551" t="n">
        <v>0.0927454162494392</v>
      </c>
      <c r="L56" s="550" t="n">
        <v>0.0429211356074668</v>
      </c>
      <c r="M56" s="551" t="n">
        <v>0.241354283848024</v>
      </c>
      <c r="N56" s="551" t="n">
        <v>0.100578991176865</v>
      </c>
      <c r="O56" s="551" t="n">
        <v>0.110271838452283</v>
      </c>
      <c r="P56" s="551" t="n">
        <v>0.124684779004969</v>
      </c>
      <c r="Q56" s="550" t="n">
        <v>0.139043271294626</v>
      </c>
      <c r="R56" s="551" t="n">
        <v>0.147488969175854</v>
      </c>
      <c r="S56" s="551" t="n">
        <v>0.0960011167569854</v>
      </c>
      <c r="T56" s="551" t="n">
        <v>0.0974073592867661</v>
      </c>
      <c r="U56" s="551" t="n">
        <v>0.118279619696192</v>
      </c>
      <c r="V56" s="550" t="n">
        <v>0.119427840811008</v>
      </c>
      <c r="W56" s="551" t="n">
        <v>0.142777530412883</v>
      </c>
      <c r="X56" s="551" t="n">
        <v>0.0969438216530657</v>
      </c>
      <c r="Y56" s="551" t="n">
        <v>0.0853688369624889</v>
      </c>
      <c r="Z56" s="551" t="n">
        <v>0.111841022915226</v>
      </c>
      <c r="AA56" s="550" t="n">
        <v>0.108911497806114</v>
      </c>
      <c r="AB56" s="551" t="n">
        <v>0.160440490477735</v>
      </c>
      <c r="AC56" s="551" t="n">
        <v>0.118351396603978</v>
      </c>
      <c r="AD56" s="551" t="n">
        <v>0.0961256438436856</v>
      </c>
      <c r="AE56" s="551" t="n">
        <v>0.124252661457788</v>
      </c>
      <c r="AF56" s="550" t="n">
        <v>0.124258719194598</v>
      </c>
      <c r="AG56" s="551" t="n">
        <v>0.161993921265916</v>
      </c>
      <c r="AH56" s="551" t="n">
        <v>0.123022644023258</v>
      </c>
      <c r="AI56" s="551" t="n">
        <v>0.093228562148917</v>
      </c>
      <c r="AJ56" s="551" t="n">
        <v>0.124033240936078</v>
      </c>
      <c r="AK56" s="550" t="n">
        <v>0.124944756374543</v>
      </c>
    </row>
    <row r="57" ht="15" customHeight="1" s="462">
      <c r="A57" s="557" t="n"/>
      <c r="B57" s="515" t="n"/>
      <c r="G57" s="515" t="n"/>
      <c r="L57" s="515" t="n"/>
      <c r="Q57" s="515" t="n"/>
      <c r="V57" s="515" t="n"/>
      <c r="AA57" s="515" t="n"/>
      <c r="AF57" s="515" t="n"/>
      <c r="AK57" s="515" t="n"/>
    </row>
    <row r="58" ht="15" customHeight="1" s="462">
      <c r="A58" s="461" t="inlineStr">
        <is>
          <t>Total Tax</t>
        </is>
      </c>
      <c r="B58" s="507" t="n">
        <v>43.7</v>
      </c>
      <c r="C58" s="506" t="n">
        <v>70.09999999999999</v>
      </c>
      <c r="D58" s="506" t="n">
        <v>215</v>
      </c>
      <c r="E58" s="506" t="n">
        <v>161.7</v>
      </c>
      <c r="F58" s="506" t="n">
        <v>89.2</v>
      </c>
      <c r="G58" s="507" t="n">
        <v>536</v>
      </c>
      <c r="H58" s="506" t="n">
        <v>55.3</v>
      </c>
      <c r="I58" s="506" t="n">
        <v>173.3</v>
      </c>
      <c r="J58" s="506" t="n">
        <v>78.59999999999999</v>
      </c>
      <c r="K58" s="506" t="n">
        <v>5.69999999999999</v>
      </c>
      <c r="L58" s="507" t="n">
        <v>312.9</v>
      </c>
      <c r="M58" s="506" t="n">
        <v>330.8</v>
      </c>
      <c r="N58" s="506" t="n">
        <v>135.539813807543</v>
      </c>
      <c r="O58" s="506" t="n">
        <v>148.601852903411</v>
      </c>
      <c r="P58" s="506" t="n">
        <v>168.024669299481</v>
      </c>
      <c r="Q58" s="507" t="n">
        <v>782.966336010435</v>
      </c>
      <c r="R58" s="506" t="n">
        <v>216.434394822833</v>
      </c>
      <c r="S58" s="506" t="n">
        <v>144.306219176752</v>
      </c>
      <c r="T58" s="506" t="n">
        <v>153.053438248304</v>
      </c>
      <c r="U58" s="506" t="n">
        <v>213.353577132586</v>
      </c>
      <c r="V58" s="507" t="n">
        <v>727.147629380475</v>
      </c>
      <c r="W58" s="506" t="n">
        <v>259.805468956352</v>
      </c>
      <c r="X58" s="506" t="n">
        <v>180.696851155212</v>
      </c>
      <c r="Y58" s="506" t="n">
        <v>166.330682803936</v>
      </c>
      <c r="Z58" s="506" t="n">
        <v>250.157095020446</v>
      </c>
      <c r="AA58" s="507" t="n">
        <v>856.990097935946</v>
      </c>
      <c r="AB58" s="506" t="n">
        <v>356.174017242704</v>
      </c>
      <c r="AC58" s="506" t="n">
        <v>269.130963525313</v>
      </c>
      <c r="AD58" s="506" t="n">
        <v>228.492578136757</v>
      </c>
      <c r="AE58" s="506" t="n">
        <v>339.060521040899</v>
      </c>
      <c r="AF58" s="507" t="n">
        <v>1192.85807994567</v>
      </c>
      <c r="AG58" s="506" t="n">
        <v>431.547115327624</v>
      </c>
      <c r="AH58" s="506" t="n">
        <v>335.704050866755</v>
      </c>
      <c r="AI58" s="506" t="n">
        <v>265.927388400488</v>
      </c>
      <c r="AJ58" s="506" t="n">
        <v>406.154119885458</v>
      </c>
      <c r="AK58" s="507" t="n">
        <v>1439.33267448033</v>
      </c>
    </row>
    <row r="59" ht="15" customFormat="1" customHeight="1" s="546">
      <c r="A59" s="546" t="inlineStr">
        <is>
          <t>Tax Rate</t>
        </is>
      </c>
      <c r="B59" s="548" t="n">
        <v>0.0211704292219746</v>
      </c>
      <c r="C59" s="549" t="n">
        <v>0.101535341830823</v>
      </c>
      <c r="D59" s="549" t="n">
        <v>0.256502028155571</v>
      </c>
      <c r="E59" s="549" t="n">
        <v>0.266787658802178</v>
      </c>
      <c r="F59" s="549" t="n">
        <v>0.113935368501724</v>
      </c>
      <c r="G59" s="548" t="n">
        <v>0.18371264052646</v>
      </c>
      <c r="H59" s="549" t="n">
        <v>0.251477944520238</v>
      </c>
      <c r="I59" s="549" t="n">
        <v>-0.82970268588117</v>
      </c>
      <c r="J59" s="549" t="n">
        <v>0.158787878787878</v>
      </c>
      <c r="K59" s="549" t="n">
        <v>0.0070737155621742</v>
      </c>
      <c r="L59" s="548" t="n">
        <v>0.238521759679226</v>
      </c>
      <c r="M59" s="549" t="n">
        <v>0.165789605573097</v>
      </c>
      <c r="N59" s="549" t="n">
        <v>0.13</v>
      </c>
      <c r="O59" s="549" t="n">
        <v>0.13</v>
      </c>
      <c r="P59" s="549" t="n">
        <v>0.13</v>
      </c>
      <c r="Q59" s="548" t="n">
        <v>0.14304667329466</v>
      </c>
      <c r="R59" s="549" t="n">
        <v>0.13</v>
      </c>
      <c r="S59" s="549" t="n">
        <v>0.13</v>
      </c>
      <c r="T59" s="549" t="n">
        <v>0.13</v>
      </c>
      <c r="U59" s="549" t="n">
        <v>0.13</v>
      </c>
      <c r="V59" s="548" t="n">
        <v>0.124732600334974</v>
      </c>
      <c r="W59" s="549" t="n">
        <v>0.13</v>
      </c>
      <c r="X59" s="549" t="n">
        <v>0.13</v>
      </c>
      <c r="Y59" s="549" t="n">
        <v>0.13</v>
      </c>
      <c r="Z59" s="549" t="n">
        <v>0.13</v>
      </c>
      <c r="AA59" s="548" t="n">
        <v>0.13</v>
      </c>
      <c r="AB59" s="549" t="n">
        <v>0.13</v>
      </c>
      <c r="AC59" s="549" t="n">
        <v>0.13</v>
      </c>
      <c r="AD59" s="549" t="n">
        <v>0.13</v>
      </c>
      <c r="AE59" s="549" t="n">
        <v>0.13</v>
      </c>
      <c r="AF59" s="548" t="n">
        <v>0.13</v>
      </c>
      <c r="AG59" s="549" t="n">
        <v>0.13</v>
      </c>
      <c r="AH59" s="549" t="n">
        <v>0.13</v>
      </c>
      <c r="AI59" s="549" t="n">
        <v>0.13</v>
      </c>
      <c r="AJ59" s="549" t="n">
        <v>0.13</v>
      </c>
      <c r="AK59" s="548" t="n">
        <v>0.13</v>
      </c>
    </row>
    <row r="60" ht="15" customHeight="1" s="462">
      <c r="B60" s="515" t="n"/>
      <c r="G60" s="515" t="n"/>
      <c r="L60" s="515" t="n"/>
      <c r="Q60" s="515" t="n"/>
      <c r="V60" s="515" t="n"/>
      <c r="AA60" s="515" t="n"/>
      <c r="AF60" s="515" t="n"/>
      <c r="AK60" s="515" t="n"/>
    </row>
    <row r="61" ht="15" customHeight="1" s="462">
      <c r="A61" s="522" t="inlineStr">
        <is>
          <t>Net Profit (PAT)</t>
        </is>
      </c>
      <c r="B61" s="507" t="n">
        <v>2009.5</v>
      </c>
      <c r="C61" s="506" t="n">
        <v>617.4</v>
      </c>
      <c r="D61" s="506" t="n">
        <v>620.6</v>
      </c>
      <c r="E61" s="506" t="n">
        <v>445.7</v>
      </c>
      <c r="F61" s="506" t="n">
        <v>701.299999999999</v>
      </c>
      <c r="G61" s="507" t="n">
        <v>2385</v>
      </c>
      <c r="H61" s="506" t="n">
        <v>164.199999999999</v>
      </c>
      <c r="I61" s="506" t="n">
        <v>-384.17</v>
      </c>
      <c r="J61" s="506" t="n">
        <v>418.400000000001</v>
      </c>
      <c r="K61" s="506" t="n">
        <v>800.500000000002</v>
      </c>
      <c r="L61" s="507" t="n">
        <v>998.930000000002</v>
      </c>
      <c r="M61" s="506" t="n">
        <v>1664.5</v>
      </c>
      <c r="N61" s="506" t="n">
        <v>907.0741385581759</v>
      </c>
      <c r="O61" s="506" t="n">
        <v>994.489323276671</v>
      </c>
      <c r="P61" s="506" t="n">
        <v>1124.47278685037</v>
      </c>
      <c r="Q61" s="507" t="n">
        <v>4690.53624868521</v>
      </c>
      <c r="R61" s="506" t="n">
        <v>1448.4455653528</v>
      </c>
      <c r="S61" s="506" t="n">
        <v>965.741620644418</v>
      </c>
      <c r="T61" s="506" t="n">
        <v>1024.28070212327</v>
      </c>
      <c r="U61" s="506" t="n">
        <v>1427.82778542577</v>
      </c>
      <c r="V61" s="507" t="n">
        <v>5102.50418119426</v>
      </c>
      <c r="W61" s="506" t="n">
        <v>1738.6981384002</v>
      </c>
      <c r="X61" s="506" t="n">
        <v>1209.2789269618</v>
      </c>
      <c r="Y61" s="506" t="n">
        <v>1113.13610799557</v>
      </c>
      <c r="Z61" s="506" t="n">
        <v>1674.12825129068</v>
      </c>
      <c r="AA61" s="507" t="n">
        <v>5735.24142464825</v>
      </c>
      <c r="AB61" s="506" t="n">
        <v>2383.62611539348</v>
      </c>
      <c r="AC61" s="506" t="n">
        <v>1801.10721743864</v>
      </c>
      <c r="AD61" s="506" t="n">
        <v>1529.14263829984</v>
      </c>
      <c r="AE61" s="506" t="n">
        <v>2269.09733311986</v>
      </c>
      <c r="AF61" s="507" t="n">
        <v>7982.97330425182</v>
      </c>
      <c r="AG61" s="506" t="n">
        <v>2888.04607950025</v>
      </c>
      <c r="AH61" s="506" t="n">
        <v>2246.63480195444</v>
      </c>
      <c r="AI61" s="506" t="n">
        <v>1779.66790698788</v>
      </c>
      <c r="AJ61" s="506" t="n">
        <v>2718.10834077191</v>
      </c>
      <c r="AK61" s="507" t="n">
        <v>9632.45712921449</v>
      </c>
    </row>
    <row r="62" ht="15" customHeight="1" s="462">
      <c r="A62" s="546" t="inlineStr">
        <is>
          <t>Net Profit Margin (%)</t>
        </is>
      </c>
      <c r="B62" s="548" t="n">
        <v>0.0893023793229107</v>
      </c>
      <c r="C62" s="549" t="n">
        <v>0.108996539792387</v>
      </c>
      <c r="D62" s="549" t="n">
        <v>0.0930490584142977</v>
      </c>
      <c r="E62" s="549" t="n">
        <v>0.0730428227273472</v>
      </c>
      <c r="F62" s="549" t="n">
        <v>0.0989558346267813</v>
      </c>
      <c r="G62" s="548" t="n">
        <v>0.0934454940465229</v>
      </c>
      <c r="H62" s="549" t="n">
        <v>0.0232317944509683</v>
      </c>
      <c r="I62" s="549" t="n">
        <v>-0.0530641336071926</v>
      </c>
      <c r="J62" s="549" t="n">
        <v>0.0552868733317478</v>
      </c>
      <c r="K62" s="549" t="n">
        <v>0.0921354004811071</v>
      </c>
      <c r="L62" s="548" t="n">
        <v>0.0326835108149431</v>
      </c>
      <c r="M62" s="549" t="n">
        <v>0.201340252325483</v>
      </c>
      <c r="N62" s="549" t="n">
        <v>0.0875037223238726</v>
      </c>
      <c r="O62" s="549" t="n">
        <v>0.0959364994534861</v>
      </c>
      <c r="P62" s="549" t="n">
        <v>0.108475757734323</v>
      </c>
      <c r="Q62" s="548" t="n">
        <v>0.119153593891923</v>
      </c>
      <c r="R62" s="549" t="n">
        <v>0.128315403182993</v>
      </c>
      <c r="S62" s="549" t="n">
        <v>0.0835209715785773</v>
      </c>
      <c r="T62" s="549" t="n">
        <v>0.0847444025794865</v>
      </c>
      <c r="U62" s="549" t="n">
        <v>0.102903269135687</v>
      </c>
      <c r="V62" s="548" t="n">
        <v>0.104531295674259</v>
      </c>
      <c r="W62" s="549" t="n">
        <v>0.124216451459209</v>
      </c>
      <c r="X62" s="549" t="n">
        <v>0.08434112483816709</v>
      </c>
      <c r="Y62" s="549" t="n">
        <v>0.07427088815736529</v>
      </c>
      <c r="Z62" s="549" t="n">
        <v>0.0973016899362469</v>
      </c>
      <c r="AA62" s="548" t="n">
        <v>0.0947530030913188</v>
      </c>
      <c r="AB62" s="549" t="n">
        <v>0.139583226715629</v>
      </c>
      <c r="AC62" s="549" t="n">
        <v>0.102965715045461</v>
      </c>
      <c r="AD62" s="549" t="n">
        <v>0.0836293101440065</v>
      </c>
      <c r="AE62" s="549" t="n">
        <v>0.108099815468276</v>
      </c>
      <c r="AF62" s="548" t="n">
        <v>0.108105085699301</v>
      </c>
      <c r="AG62" s="549" t="n">
        <v>0.140934711501347</v>
      </c>
      <c r="AH62" s="549" t="n">
        <v>0.107029700300234</v>
      </c>
      <c r="AI62" s="549" t="n">
        <v>0.0811088490695578</v>
      </c>
      <c r="AJ62" s="549" t="n">
        <v>0.107908919614388</v>
      </c>
      <c r="AK62" s="548" t="n">
        <v>0.108701938045852</v>
      </c>
    </row>
    <row r="63" ht="15" customHeight="1" s="462">
      <c r="A63" s="522" t="inlineStr">
        <is>
          <t>Diluted EPS</t>
        </is>
      </c>
      <c r="B63" s="507" t="n">
        <v>30.27</v>
      </c>
      <c r="C63" s="506" t="n">
        <v>9.130000000000001</v>
      </c>
      <c r="D63" s="506" t="n">
        <v>9.19</v>
      </c>
      <c r="E63" s="506" t="n">
        <v>6.59</v>
      </c>
      <c r="F63" s="506" t="n">
        <v>10.37</v>
      </c>
      <c r="G63" s="507" t="n">
        <v>35.33</v>
      </c>
      <c r="H63" s="506" t="n">
        <v>2.43</v>
      </c>
      <c r="I63" s="506" t="n">
        <v>-7.15</v>
      </c>
      <c r="J63" s="506" t="n">
        <v>6.19</v>
      </c>
      <c r="K63" s="506" t="n">
        <v>12.37</v>
      </c>
      <c r="L63" s="507" t="n">
        <v>15.43</v>
      </c>
      <c r="M63" s="506" t="n">
        <v>25.76</v>
      </c>
      <c r="N63" s="506" t="n">
        <v>14.0379872690049</v>
      </c>
      <c r="O63" s="506" t="n">
        <v>15.3908350661502</v>
      </c>
      <c r="P63" s="506" t="n">
        <v>17.4024746105531</v>
      </c>
      <c r="Q63" s="507" t="n">
        <v>72.591296945708</v>
      </c>
      <c r="R63" s="506" t="n">
        <v>22.4163158687223</v>
      </c>
      <c r="S63" s="506" t="n">
        <v>14.9459322005408</v>
      </c>
      <c r="T63" s="506" t="n">
        <v>15.8518899890029</v>
      </c>
      <c r="U63" s="506" t="n">
        <v>22.0972326539909</v>
      </c>
      <c r="V63" s="507" t="n">
        <v>78.96696167471561</v>
      </c>
      <c r="W63" s="506" t="n">
        <v>29.8830393382253</v>
      </c>
      <c r="X63" s="506" t="n">
        <v>20.7839008665049</v>
      </c>
      <c r="Y63" s="506" t="n">
        <v>19.1314923328999</v>
      </c>
      <c r="Z63" s="506" t="n">
        <v>28.7732754097184</v>
      </c>
      <c r="AA63" s="507" t="n">
        <v>98.5717079473484</v>
      </c>
      <c r="AB63" s="506" t="n">
        <v>40.9674292510972</v>
      </c>
      <c r="AC63" s="506" t="n">
        <v>30.9556654156213</v>
      </c>
      <c r="AD63" s="506" t="n">
        <v>26.2814048079195</v>
      </c>
      <c r="AE63" s="506" t="n">
        <v>38.9990208020086</v>
      </c>
      <c r="AF63" s="507" t="n">
        <v>137.203520276647</v>
      </c>
      <c r="AG63" s="506" t="n">
        <v>49.6369051638386</v>
      </c>
      <c r="AH63" s="506" t="n">
        <v>38.6129568340158</v>
      </c>
      <c r="AI63" s="506" t="n">
        <v>30.5871875623156</v>
      </c>
      <c r="AJ63" s="506" t="n">
        <v>46.7161818828321</v>
      </c>
      <c r="AK63" s="507" t="n">
        <v>165.553231443002</v>
      </c>
    </row>
    <row r="64" ht="15" customFormat="1" customHeight="1" s="461">
      <c r="A64" s="490" t="n"/>
      <c r="B64" s="558" t="n"/>
      <c r="C64" s="490" t="n"/>
      <c r="D64" s="490" t="n"/>
      <c r="E64" s="490" t="n"/>
      <c r="F64" s="490" t="n"/>
      <c r="G64" s="558" t="n"/>
      <c r="H64" s="490" t="n"/>
      <c r="I64" s="490" t="n"/>
      <c r="J64" s="490" t="n"/>
      <c r="K64" s="490" t="n"/>
      <c r="L64" s="558" t="n"/>
      <c r="M64" s="490" t="n"/>
      <c r="N64" s="490" t="n"/>
      <c r="O64" s="490" t="n"/>
      <c r="P64" s="490" t="n"/>
      <c r="Q64" s="558" t="n"/>
      <c r="R64" s="490" t="n"/>
      <c r="S64" s="490" t="n"/>
      <c r="T64" s="490" t="n"/>
      <c r="U64" s="490" t="n"/>
      <c r="V64" s="558" t="n"/>
      <c r="W64" s="490" t="n"/>
      <c r="X64" s="490" t="n"/>
      <c r="Y64" s="490" t="n"/>
      <c r="Z64" s="490" t="n"/>
      <c r="AA64" s="558" t="n"/>
      <c r="AB64" s="490" t="n"/>
      <c r="AC64" s="490" t="n"/>
      <c r="AD64" s="490" t="n"/>
      <c r="AE64" s="490" t="n"/>
      <c r="AF64" s="558" t="n"/>
      <c r="AG64" s="490" t="n"/>
      <c r="AH64" s="490" t="n"/>
      <c r="AI64" s="490" t="n"/>
      <c r="AJ64" s="490" t="n"/>
      <c r="AK64" s="558" t="n"/>
    </row>
    <row r="65" ht="15" customHeight="1" s="462">
      <c r="B65" s="515" t="n"/>
      <c r="G65" s="515" t="n"/>
      <c r="L65" s="515" t="n"/>
      <c r="Q65" s="515" t="n"/>
      <c r="V65" s="515" t="n"/>
      <c r="AA65" s="515" t="n"/>
      <c r="AF65" s="515" t="n"/>
      <c r="AK65" s="515" t="n"/>
    </row>
    <row r="66" ht="15.75" customHeight="1" s="462">
      <c r="A66" s="491" t="inlineStr">
        <is>
          <t>Other Selected Items and Ratios</t>
        </is>
      </c>
      <c r="B66" s="538" t="n"/>
      <c r="C66" s="489" t="n"/>
      <c r="D66" s="489" t="n"/>
      <c r="E66" s="489" t="n"/>
      <c r="F66" s="489" t="n"/>
      <c r="G66" s="538" t="n"/>
      <c r="H66" s="489" t="n"/>
      <c r="I66" s="489" t="n"/>
      <c r="J66" s="489" t="n"/>
      <c r="K66" s="489" t="n"/>
      <c r="L66" s="538" t="n"/>
      <c r="M66" s="489" t="n"/>
      <c r="N66" s="489" t="n"/>
      <c r="O66" s="489" t="n"/>
      <c r="P66" s="489" t="n"/>
      <c r="Q66" s="538" t="n"/>
      <c r="R66" s="489" t="n"/>
      <c r="S66" s="489" t="n"/>
      <c r="T66" s="489" t="n"/>
      <c r="U66" s="489" t="n"/>
      <c r="V66" s="538" t="n"/>
      <c r="W66" s="489" t="n"/>
      <c r="X66" s="489" t="n"/>
      <c r="Y66" s="489" t="n"/>
      <c r="Z66" s="489" t="n"/>
      <c r="AA66" s="538" t="n"/>
      <c r="AB66" s="489" t="n"/>
      <c r="AC66" s="489" t="n"/>
      <c r="AD66" s="489" t="n"/>
      <c r="AE66" s="489" t="n"/>
      <c r="AF66" s="538" t="n"/>
      <c r="AG66" s="489" t="n"/>
      <c r="AH66" s="489" t="n"/>
      <c r="AI66" s="489" t="n"/>
      <c r="AJ66" s="489" t="n"/>
      <c r="AK66" s="538" t="n"/>
    </row>
    <row r="67" ht="15" customHeight="1" s="462">
      <c r="B67" s="515" t="n"/>
      <c r="G67" s="515" t="n"/>
      <c r="L67" s="515" t="n"/>
      <c r="Q67" s="515" t="n"/>
      <c r="V67" s="515" t="n"/>
      <c r="AA67" s="515" t="n"/>
      <c r="AF67" s="515" t="n"/>
      <c r="AK67" s="515" t="n"/>
    </row>
    <row r="68" ht="15" customHeight="1" s="462">
      <c r="A68" s="508" t="inlineStr">
        <is>
          <t>Cash and Bank Balances</t>
        </is>
      </c>
      <c r="B68" s="507" t="n">
        <v>5824.6</v>
      </c>
      <c r="C68" s="559" t="inlineStr">
        <is>
          <t>Quarterly data not available</t>
        </is>
      </c>
      <c r="G68" s="507" t="n">
        <v>2825.7</v>
      </c>
      <c r="H68" s="559" t="inlineStr">
        <is>
          <t>Quarterly data not available</t>
        </is>
      </c>
      <c r="L68" s="507" t="n">
        <v>1594.63478286004</v>
      </c>
      <c r="M68" s="559" t="inlineStr">
        <is>
          <t>Quarterly data not available</t>
        </is>
      </c>
      <c r="Q68" s="507" t="n">
        <v>869.2938203561311</v>
      </c>
      <c r="R68" s="559" t="inlineStr">
        <is>
          <t>Quarterly data not available</t>
        </is>
      </c>
      <c r="V68" s="507" t="n">
        <v>2450.1651719119</v>
      </c>
      <c r="W68" s="559" t="inlineStr">
        <is>
          <t>Quarterly data not available</t>
        </is>
      </c>
      <c r="AA68" s="507" t="n">
        <v>747.332476921988</v>
      </c>
      <c r="AB68" s="559" t="inlineStr">
        <is>
          <t>Quarterly data not available</t>
        </is>
      </c>
      <c r="AF68" s="507" t="n">
        <v>1555.52099216655</v>
      </c>
      <c r="AG68" s="559" t="inlineStr">
        <is>
          <t>Quarterly data not available</t>
        </is>
      </c>
      <c r="AK68" s="507" t="n">
        <v>2886.51042195621</v>
      </c>
    </row>
    <row r="69" ht="15" customHeight="1" s="462">
      <c r="A69" s="508" t="inlineStr">
        <is>
          <t>Capex</t>
        </is>
      </c>
      <c r="B69" s="507" t="n">
        <v>1809.5</v>
      </c>
      <c r="G69" s="507" t="n">
        <v>2456.9</v>
      </c>
      <c r="L69" s="507" t="n">
        <v>2292.27975</v>
      </c>
      <c r="Q69" s="507" t="n">
        <v>2755.582326</v>
      </c>
      <c r="V69" s="507" t="n">
        <v>3416.92208424</v>
      </c>
      <c r="AA69" s="507" t="n">
        <v>3631.7000438208</v>
      </c>
      <c r="AF69" s="507" t="n">
        <v>4430.67405346138</v>
      </c>
      <c r="AK69" s="507" t="n">
        <v>5316.80886415365</v>
      </c>
      <c r="AL69" s="490" t="n"/>
      <c r="AM69" s="490" t="n"/>
      <c r="AN69" s="490" t="n"/>
      <c r="AO69" s="461" t="n"/>
      <c r="AP69" s="461" t="n"/>
      <c r="AQ69" s="461" t="n"/>
    </row>
    <row r="70" ht="15" customHeight="1" s="462">
      <c r="A70" s="508" t="inlineStr">
        <is>
          <t>Total Debt</t>
        </is>
      </c>
      <c r="B70" s="507" t="n">
        <v>20781.4</v>
      </c>
      <c r="G70" s="507" t="n">
        <v>18470.2</v>
      </c>
      <c r="L70" s="507" t="n">
        <v>18470.2</v>
      </c>
      <c r="Q70" s="507" t="n">
        <v>17534.9304</v>
      </c>
      <c r="V70" s="507" t="n">
        <v>16972.9304</v>
      </c>
      <c r="AA70" s="507" t="n">
        <v>15569.7304</v>
      </c>
      <c r="AF70" s="507" t="n">
        <v>15569.7304</v>
      </c>
      <c r="AK70" s="507" t="n">
        <v>15569.7304</v>
      </c>
      <c r="AL70" s="490" t="n"/>
      <c r="AM70" s="490" t="n"/>
      <c r="AN70" s="490" t="n"/>
      <c r="AO70" s="490" t="n"/>
      <c r="AP70" s="490" t="n"/>
      <c r="AQ70" s="461" t="n"/>
    </row>
    <row r="71" ht="15" customHeight="1" s="462">
      <c r="A71" s="508" t="inlineStr">
        <is>
          <t>Total Shareholder's Equity</t>
        </is>
      </c>
      <c r="B71" s="507" t="n">
        <v>8860.1</v>
      </c>
      <c r="G71" s="507" t="n">
        <v>11240.2</v>
      </c>
      <c r="L71" s="507" t="n">
        <v>12239.13</v>
      </c>
      <c r="Q71" s="507" t="n">
        <v>16929.6662486852</v>
      </c>
      <c r="V71" s="507" t="n">
        <v>24357.9619222315</v>
      </c>
      <c r="AA71" s="507" t="n">
        <v>30093.2033468797</v>
      </c>
      <c r="AF71" s="507" t="n">
        <v>38076.1766511315</v>
      </c>
      <c r="AK71" s="507" t="n">
        <v>47708.633780346</v>
      </c>
      <c r="AL71" s="461" t="n"/>
      <c r="AM71" s="461" t="n"/>
      <c r="AN71" s="461" t="n"/>
      <c r="AO71" s="461" t="n"/>
      <c r="AP71" s="461" t="n"/>
      <c r="AQ71" s="461" t="n"/>
    </row>
    <row r="72" ht="15" customHeight="1" s="462">
      <c r="A72" s="508" t="inlineStr">
        <is>
          <t>Cash Ratio</t>
        </is>
      </c>
      <c r="B72" s="560" t="n">
        <v>1.31113812353683</v>
      </c>
      <c r="G72" s="560" t="n">
        <v>0.509502344031735</v>
      </c>
      <c r="L72" s="560" t="n">
        <v>0.248050396544306</v>
      </c>
      <c r="Q72" s="560" t="n">
        <v>0.104906173131219</v>
      </c>
      <c r="V72" s="560" t="n">
        <v>0.240083827120803</v>
      </c>
      <c r="AA72" s="560" t="n">
        <v>0.0590554133853307</v>
      </c>
      <c r="AF72" s="560" t="n">
        <v>0.100753908788816</v>
      </c>
      <c r="AK72" s="560" t="n">
        <v>0.15580375173137</v>
      </c>
      <c r="AL72" s="461" t="n"/>
      <c r="AM72" s="461" t="n"/>
      <c r="AN72" s="461" t="n"/>
      <c r="AO72" s="461" t="n"/>
      <c r="AP72" s="461" t="n"/>
      <c r="AQ72" s="461" t="n"/>
    </row>
    <row r="73" ht="15" customHeight="1" s="462">
      <c r="A73" s="508" t="inlineStr">
        <is>
          <t>Days Sales Outstanding (DSO)</t>
        </is>
      </c>
      <c r="B73" s="507" t="n">
        <v>101.559025339745</v>
      </c>
      <c r="G73" s="507" t="n">
        <v>95.1023002871931</v>
      </c>
      <c r="L73" s="507" t="n">
        <v>95.1023002871931</v>
      </c>
      <c r="Q73" s="507" t="n">
        <v>95.1023002871931</v>
      </c>
      <c r="V73" s="507" t="n">
        <v>95.1023002871931</v>
      </c>
      <c r="AA73" s="507" t="n">
        <v>95.1023002871931</v>
      </c>
      <c r="AF73" s="507" t="n">
        <v>95.1023002871931</v>
      </c>
      <c r="AK73" s="507" t="n">
        <v>95.1023002871931</v>
      </c>
      <c r="AL73" s="461" t="n"/>
      <c r="AM73" s="461" t="n"/>
      <c r="AN73" s="461" t="n"/>
      <c r="AO73" s="461" t="n"/>
      <c r="AP73" s="461" t="n"/>
      <c r="AQ73" s="461" t="n"/>
    </row>
    <row r="74" ht="15" customHeight="1" s="462">
      <c r="A74" s="508" t="inlineStr">
        <is>
          <t>Inventory Days</t>
        </is>
      </c>
      <c r="B74" s="507" t="n">
        <v>91.3392134991245</v>
      </c>
      <c r="G74" s="507" t="n">
        <v>103.640642325128</v>
      </c>
      <c r="L74" s="507" t="n">
        <v>103.640642325128</v>
      </c>
      <c r="Q74" s="507" t="n">
        <v>103.640642325128</v>
      </c>
      <c r="V74" s="507" t="n">
        <v>103.640642325128</v>
      </c>
      <c r="AA74" s="507" t="n">
        <v>103.640642325128</v>
      </c>
      <c r="AF74" s="507" t="n">
        <v>103.640642325128</v>
      </c>
      <c r="AK74" s="507" t="n">
        <v>103.640642325128</v>
      </c>
      <c r="AL74" s="461" t="n"/>
      <c r="AM74" s="461" t="n"/>
      <c r="AN74" s="461" t="n"/>
      <c r="AO74" s="461" t="n"/>
      <c r="AP74" s="461" t="n"/>
      <c r="AQ74" s="461" t="n"/>
    </row>
    <row r="75" ht="15" customHeight="1" s="462">
      <c r="A75" s="508" t="inlineStr">
        <is>
          <t>Payable Days</t>
        </is>
      </c>
      <c r="B75" s="507" t="n">
        <v>123.712576677755</v>
      </c>
      <c r="G75" s="507" t="n">
        <v>142.291092616544</v>
      </c>
      <c r="L75" s="507" t="n">
        <v>142.291092616544</v>
      </c>
      <c r="Q75" s="507" t="n">
        <v>142.291092616544</v>
      </c>
      <c r="V75" s="507" t="n">
        <v>142.291092616544</v>
      </c>
      <c r="AA75" s="507" t="n">
        <v>142.291092616544</v>
      </c>
      <c r="AF75" s="507" t="n">
        <v>142.291092616544</v>
      </c>
      <c r="AK75" s="507" t="n">
        <v>142.291092616544</v>
      </c>
      <c r="AL75" s="461" t="n"/>
      <c r="AM75" s="461" t="n"/>
      <c r="AN75" s="461" t="n"/>
      <c r="AO75" s="461" t="n"/>
      <c r="AP75" s="461" t="n"/>
      <c r="AQ75" s="461" t="n"/>
    </row>
    <row r="76" ht="15" customHeight="1" s="462">
      <c r="A76" s="508" t="inlineStr">
        <is>
          <t>Book Value Per Share</t>
        </is>
      </c>
      <c r="B76" s="507" t="n">
        <v>133.463661109729</v>
      </c>
      <c r="G76" s="507" t="n">
        <v>166.505771907757</v>
      </c>
      <c r="L76" s="507" t="n">
        <v>189.052061605918</v>
      </c>
      <c r="Q76" s="507" t="n">
        <v>262.005528727024</v>
      </c>
      <c r="V76" s="507" t="n">
        <v>376.966716201071</v>
      </c>
      <c r="AA76" s="507" t="n">
        <v>517.212481894906</v>
      </c>
      <c r="AF76" s="507" t="n">
        <v>654.416002171553</v>
      </c>
      <c r="AK76" s="507" t="n">
        <v>819.969233614555</v>
      </c>
    </row>
    <row r="77" ht="15" customHeight="1" s="462">
      <c r="A77" s="508" t="inlineStr">
        <is>
          <t>Net Cash Per Share</t>
        </is>
      </c>
      <c r="B77" s="507" t="n">
        <v>87.7385628265738</v>
      </c>
      <c r="G77" s="507" t="n">
        <v>41.8582729559749</v>
      </c>
      <c r="L77" s="507" t="n">
        <v>24.6315704799439</v>
      </c>
      <c r="Q77" s="507" t="n">
        <v>13.4532945703658</v>
      </c>
      <c r="V77" s="507" t="n">
        <v>37.919047659027</v>
      </c>
      <c r="AA77" s="507" t="n">
        <v>12.8444180811867</v>
      </c>
      <c r="AF77" s="507" t="n">
        <v>26.7347700982291</v>
      </c>
      <c r="AK77" s="507" t="n">
        <v>49.6105117872167</v>
      </c>
    </row>
    <row r="78" ht="15" customHeight="1" s="462">
      <c r="B78" s="515" t="n"/>
      <c r="G78" s="515" t="n"/>
      <c r="L78" s="515" t="n"/>
      <c r="Q78" s="515" t="n"/>
      <c r="V78" s="515" t="n"/>
      <c r="AA78" s="515" t="n"/>
      <c r="AF78" s="515" t="n"/>
      <c r="AK78" s="515" t="n"/>
    </row>
    <row r="79" ht="15" customHeight="1" s="462">
      <c r="B79" s="515" t="n"/>
      <c r="G79" s="515" t="n"/>
      <c r="L79" s="515" t="n"/>
      <c r="Q79" s="515" t="n"/>
      <c r="V79" s="515" t="n"/>
      <c r="AA79" s="515" t="n"/>
      <c r="AF79" s="515" t="n"/>
      <c r="AK79" s="515" t="n"/>
    </row>
    <row r="80" ht="15.75" customHeight="1" s="462">
      <c r="A80" s="491" t="inlineStr">
        <is>
          <t>Valuation Metrics</t>
        </is>
      </c>
      <c r="B80" s="538" t="n"/>
      <c r="C80" s="489" t="n"/>
      <c r="D80" s="489" t="n"/>
      <c r="E80" s="489" t="n"/>
      <c r="F80" s="489" t="n"/>
      <c r="G80" s="538" t="n"/>
      <c r="H80" s="489" t="n"/>
      <c r="I80" s="489" t="n"/>
      <c r="J80" s="489" t="n"/>
      <c r="K80" s="489" t="n"/>
      <c r="L80" s="538" t="n"/>
      <c r="M80" s="489" t="n"/>
      <c r="N80" s="489" t="n"/>
      <c r="O80" s="489" t="n"/>
      <c r="P80" s="489" t="n"/>
      <c r="Q80" s="538" t="n"/>
      <c r="R80" s="489" t="n"/>
      <c r="S80" s="489" t="n"/>
      <c r="T80" s="489" t="n"/>
      <c r="U80" s="489" t="n"/>
      <c r="V80" s="538" t="n"/>
      <c r="W80" s="489" t="n"/>
      <c r="X80" s="489" t="n"/>
      <c r="Y80" s="489" t="n"/>
      <c r="Z80" s="489" t="n"/>
      <c r="AA80" s="538" t="n"/>
      <c r="AB80" s="489" t="n"/>
      <c r="AC80" s="489" t="n"/>
      <c r="AD80" s="489" t="n"/>
      <c r="AE80" s="489" t="n"/>
      <c r="AF80" s="538" t="n"/>
      <c r="AG80" s="489" t="n"/>
      <c r="AH80" s="489" t="n"/>
      <c r="AI80" s="489" t="n"/>
      <c r="AJ80" s="489" t="n"/>
      <c r="AK80" s="538" t="n"/>
    </row>
    <row r="81" ht="15" customHeight="1" s="462">
      <c r="A81" s="461" t="n"/>
      <c r="B81" s="515" t="n"/>
      <c r="G81" s="515" t="n"/>
      <c r="L81" s="515" t="n"/>
      <c r="Q81" s="515" t="n"/>
      <c r="V81" s="515" t="n"/>
      <c r="AA81" s="515" t="n"/>
      <c r="AF81" s="515" t="n"/>
      <c r="AK81" s="515" t="n"/>
    </row>
    <row r="82" ht="15" customFormat="1" customHeight="1" s="546">
      <c r="A82" s="554" t="inlineStr">
        <is>
          <t>EBITDA Margin (%)</t>
        </is>
      </c>
      <c r="B82" s="550" t="n">
        <v>0.156206948653909</v>
      </c>
      <c r="C82" s="551" t="n">
        <v>0.18187274909964</v>
      </c>
      <c r="D82" s="551" t="n">
        <v>0.146650473791532</v>
      </c>
      <c r="E82" s="551" t="n">
        <v>0.157836083842737</v>
      </c>
      <c r="F82" s="551" t="n">
        <v>0.195061379991534</v>
      </c>
      <c r="G82" s="550" t="n">
        <v>0.170584063723166</v>
      </c>
      <c r="H82" s="551" t="n">
        <v>0.164108150935921</v>
      </c>
      <c r="I82" s="551" t="n">
        <v>0.177731766239901</v>
      </c>
      <c r="J82" s="551" t="n">
        <v>0.215518380506885</v>
      </c>
      <c r="K82" s="551" t="n">
        <v>0.208671431695499</v>
      </c>
      <c r="L82" s="550" t="n">
        <v>0.192732693293652</v>
      </c>
      <c r="M82" s="551" t="n">
        <v>0.239418901428554</v>
      </c>
      <c r="N82" s="551" t="n">
        <v>0.172641086040097</v>
      </c>
      <c r="O82" s="551" t="n">
        <v>0.182333933315515</v>
      </c>
      <c r="P82" s="551" t="n">
        <v>0.196746873868201</v>
      </c>
      <c r="Q82" s="550" t="n">
        <v>0.19556523233314</v>
      </c>
      <c r="R82" s="551" t="n">
        <v>0.224744197463283</v>
      </c>
      <c r="S82" s="551" t="n">
        <v>0.171420999842006</v>
      </c>
      <c r="T82" s="551" t="n">
        <v>0.169558515937869</v>
      </c>
      <c r="U82" s="551" t="n">
        <v>0.181129522267042</v>
      </c>
      <c r="V82" s="550" t="n">
        <v>0.186050653206402</v>
      </c>
      <c r="W82" s="551" t="n">
        <v>0.216971855681411</v>
      </c>
      <c r="X82" s="551" t="n">
        <v>0.169375519304717</v>
      </c>
      <c r="Y82" s="551" t="n">
        <v>0.154661317274058</v>
      </c>
      <c r="Z82" s="551" t="n">
        <v>0.172200770958269</v>
      </c>
      <c r="AA82" s="550" t="n">
        <v>0.177541976931615</v>
      </c>
      <c r="AB82" s="551" t="n">
        <v>0.211131981391754</v>
      </c>
      <c r="AC82" s="551" t="n">
        <v>0.167838614529432</v>
      </c>
      <c r="AD82" s="551" t="n">
        <v>0.143468066911905</v>
      </c>
      <c r="AE82" s="551" t="n">
        <v>0.165492009728999</v>
      </c>
      <c r="AF82" s="550" t="n">
        <v>0.171148845850832</v>
      </c>
      <c r="AG82" s="551" t="n">
        <v>0.206707834202619</v>
      </c>
      <c r="AH82" s="551" t="n">
        <v>0.166674292729973</v>
      </c>
      <c r="AI82" s="551" t="n">
        <v>0.134988331789062</v>
      </c>
      <c r="AJ82" s="551" t="n">
        <v>0.160409614858341</v>
      </c>
      <c r="AK82" s="550" t="n">
        <v>0.166305564729028</v>
      </c>
    </row>
    <row r="83" ht="15" customFormat="1" customHeight="1" s="546">
      <c r="A83" s="554" t="inlineStr">
        <is>
          <t>EBIT Margin (%)</t>
        </is>
      </c>
      <c r="B83" s="550" t="n">
        <v>0.111891281741341</v>
      </c>
      <c r="C83" s="551" t="n">
        <v>0.140650377798178</v>
      </c>
      <c r="D83" s="551" t="n">
        <v>0.109241933549238</v>
      </c>
      <c r="E83" s="551" t="n">
        <v>0.115881938412626</v>
      </c>
      <c r="F83" s="551" t="n">
        <v>0.157697192041766</v>
      </c>
      <c r="G83" s="550" t="n">
        <v>0.131254677172265</v>
      </c>
      <c r="H83" s="551" t="n">
        <v>0.125850677004485</v>
      </c>
      <c r="I83" s="551" t="n">
        <v>0.137909839179085</v>
      </c>
      <c r="J83" s="551" t="n">
        <v>0.174449641903856</v>
      </c>
      <c r="K83" s="551" t="n">
        <v>0.168191706087497</v>
      </c>
      <c r="L83" s="550" t="n">
        <v>0.152776837120338</v>
      </c>
      <c r="M83" s="551" t="n">
        <v>0.199187139383823</v>
      </c>
      <c r="N83" s="551" t="n">
        <v>0.144433570086511</v>
      </c>
      <c r="O83" s="551" t="n">
        <v>0.154126417361929</v>
      </c>
      <c r="P83" s="551" t="n">
        <v>0.168539357914614</v>
      </c>
      <c r="Q83" s="550" t="n">
        <v>0.164832516869254</v>
      </c>
      <c r="R83" s="551" t="n">
        <v>0.194696708375205</v>
      </c>
      <c r="S83" s="551" t="n">
        <v>0.142087346130053</v>
      </c>
      <c r="T83" s="551" t="n">
        <v>0.141496193940705</v>
      </c>
      <c r="U83" s="551" t="n">
        <v>0.156684810840415</v>
      </c>
      <c r="V83" s="550" t="n">
        <v>0.158256430869727</v>
      </c>
      <c r="W83" s="551" t="n">
        <v>0.189708864949446</v>
      </c>
      <c r="X83" s="551" t="n">
        <v>0.142760212882959</v>
      </c>
      <c r="Y83" s="551" t="n">
        <v>0.129199528361066</v>
      </c>
      <c r="Z83" s="551" t="n">
        <v>0.150021348940137</v>
      </c>
      <c r="AA83" s="550" t="n">
        <v>0.152323442905502</v>
      </c>
      <c r="AB83" s="551" t="n">
        <v>0.185914256294295</v>
      </c>
      <c r="AC83" s="551" t="n">
        <v>0.143219984558598</v>
      </c>
      <c r="AD83" s="551" t="n">
        <v>0.119916417732619</v>
      </c>
      <c r="AE83" s="551" t="n">
        <v>0.144976484753305</v>
      </c>
      <c r="AF83" s="550" t="n">
        <v>0.14782220261188</v>
      </c>
      <c r="AG83" s="551" t="n">
        <v>0.18268307757863</v>
      </c>
      <c r="AH83" s="551" t="n">
        <v>0.143220289992631</v>
      </c>
      <c r="AI83" s="551" t="n">
        <v>0.11255083445577</v>
      </c>
      <c r="AJ83" s="551" t="n">
        <v>0.140864612577223</v>
      </c>
      <c r="AK83" s="550" t="n">
        <v>0.14408242903758</v>
      </c>
    </row>
    <row r="84" ht="15" customFormat="1" customHeight="1" s="546">
      <c r="A84" s="554" t="inlineStr">
        <is>
          <t>Net Profit Margin (%)</t>
        </is>
      </c>
      <c r="B84" s="550" t="n">
        <v>0.0893023793229107</v>
      </c>
      <c r="C84" s="551" t="n">
        <v>0.108996539792387</v>
      </c>
      <c r="D84" s="551" t="n">
        <v>0.0930490584142977</v>
      </c>
      <c r="E84" s="551" t="n">
        <v>0.0730428227273472</v>
      </c>
      <c r="F84" s="551" t="n">
        <v>0.0989558346267813</v>
      </c>
      <c r="G84" s="550" t="n">
        <v>0.0934454940465229</v>
      </c>
      <c r="H84" s="551" t="n">
        <v>0.0232317944509683</v>
      </c>
      <c r="I84" s="551" t="n">
        <v>-0.0530641336071926</v>
      </c>
      <c r="J84" s="551" t="n">
        <v>0.0552868733317478</v>
      </c>
      <c r="K84" s="551" t="n">
        <v>0.0921354004811071</v>
      </c>
      <c r="L84" s="550" t="n">
        <v>0.0326835108149431</v>
      </c>
      <c r="M84" s="551" t="n">
        <v>0.201340252325483</v>
      </c>
      <c r="N84" s="551" t="n">
        <v>0.0875037223238726</v>
      </c>
      <c r="O84" s="551" t="n">
        <v>0.0959364994534861</v>
      </c>
      <c r="P84" s="551" t="n">
        <v>0.108475757734323</v>
      </c>
      <c r="Q84" s="550" t="n">
        <v>0.119153593891923</v>
      </c>
      <c r="R84" s="551" t="n">
        <v>0.128315403182993</v>
      </c>
      <c r="S84" s="551" t="n">
        <v>0.0835209715785773</v>
      </c>
      <c r="T84" s="551" t="n">
        <v>0.0847444025794865</v>
      </c>
      <c r="U84" s="551" t="n">
        <v>0.102903269135687</v>
      </c>
      <c r="V84" s="550" t="n">
        <v>0.104531295674259</v>
      </c>
      <c r="W84" s="551" t="n">
        <v>0.124216451459209</v>
      </c>
      <c r="X84" s="551" t="n">
        <v>0.08434112483816709</v>
      </c>
      <c r="Y84" s="551" t="n">
        <v>0.07427088815736529</v>
      </c>
      <c r="Z84" s="551" t="n">
        <v>0.0973016899362469</v>
      </c>
      <c r="AA84" s="550" t="n">
        <v>0.0947530030913188</v>
      </c>
      <c r="AB84" s="551" t="n">
        <v>0.139583226715629</v>
      </c>
      <c r="AC84" s="551" t="n">
        <v>0.102965715045461</v>
      </c>
      <c r="AD84" s="551" t="n">
        <v>0.0836293101440065</v>
      </c>
      <c r="AE84" s="551" t="n">
        <v>0.108099815468276</v>
      </c>
      <c r="AF84" s="550" t="n">
        <v>0.108105085699301</v>
      </c>
      <c r="AG84" s="551" t="n">
        <v>0.140934711501347</v>
      </c>
      <c r="AH84" s="551" t="n">
        <v>0.107029700300234</v>
      </c>
      <c r="AI84" s="551" t="n">
        <v>0.0811088490695578</v>
      </c>
      <c r="AJ84" s="551" t="n">
        <v>0.107908919614388</v>
      </c>
      <c r="AK84" s="550" t="n">
        <v>0.108701938045852</v>
      </c>
    </row>
    <row r="85" ht="15" customHeight="1" s="462">
      <c r="A85" s="508" t="n"/>
      <c r="B85" s="515" t="n"/>
      <c r="G85" s="515" t="n"/>
      <c r="L85" s="515" t="n"/>
      <c r="Q85" s="515" t="n"/>
      <c r="V85" s="515" t="n"/>
      <c r="AA85" s="515" t="n"/>
      <c r="AF85" s="515" t="n"/>
      <c r="AK85" s="515" t="n"/>
    </row>
    <row r="86" ht="15" customHeight="1" s="462">
      <c r="A86" s="511" t="inlineStr">
        <is>
          <t>Interest Cover</t>
        </is>
      </c>
      <c r="B86" s="513" t="n">
        <v>7.74911816578483</v>
      </c>
      <c r="C86" s="512" t="n">
        <v>9.69143932267168</v>
      </c>
      <c r="D86" s="512" t="n">
        <v>8.42463393626184</v>
      </c>
      <c r="E86" s="512" t="n">
        <v>9.53564356435643</v>
      </c>
      <c r="F86" s="512" t="n">
        <v>12.6825688073394</v>
      </c>
      <c r="G86" s="513" t="n">
        <v>10.0689176688252</v>
      </c>
      <c r="H86" s="512" t="n">
        <v>8.753962264150941</v>
      </c>
      <c r="I86" s="512" t="n">
        <v>8.23243761996161</v>
      </c>
      <c r="J86" s="512" t="n">
        <v>6.40361209265803</v>
      </c>
      <c r="K86" s="512" t="n">
        <v>6.78010471204189</v>
      </c>
      <c r="L86" s="513" t="n">
        <v>7.26431125909484</v>
      </c>
      <c r="M86" s="512" t="n">
        <v>8.727072310405649</v>
      </c>
      <c r="N86" s="512" t="n">
        <v>3.2895412934694</v>
      </c>
      <c r="O86" s="512" t="n">
        <v>3.4742309411954</v>
      </c>
      <c r="P86" s="512" t="n">
        <v>3.74885828626069</v>
      </c>
      <c r="Q86" s="513" t="n">
        <v>4.1414398130559</v>
      </c>
      <c r="R86" s="512" t="n">
        <v>4.76074900588277</v>
      </c>
      <c r="S86" s="512" t="n">
        <v>3.71957094719885</v>
      </c>
      <c r="T86" s="512" t="n">
        <v>3.84583800567111</v>
      </c>
      <c r="U86" s="512" t="n">
        <v>4.71627706751531</v>
      </c>
      <c r="V86" s="513" t="n">
        <v>4.26060875656701</v>
      </c>
      <c r="W86" s="512" t="n">
        <v>4.62317677142493</v>
      </c>
      <c r="X86" s="512" t="n">
        <v>3.69683239465194</v>
      </c>
      <c r="Y86" s="512" t="n">
        <v>3.52860774811051</v>
      </c>
      <c r="Z86" s="512" t="n">
        <v>4.51019645159433</v>
      </c>
      <c r="AA86" s="513" t="n">
        <v>4.08970334144543</v>
      </c>
      <c r="AB86" s="512" t="n">
        <v>8.28821238729055</v>
      </c>
      <c r="AC86" s="512" t="n">
        <v>6.74902068568199</v>
      </c>
      <c r="AD86" s="512" t="n">
        <v>6.0304077362797</v>
      </c>
      <c r="AE86" s="512" t="n">
        <v>7.98559258922085</v>
      </c>
      <c r="AF86" s="513" t="n">
        <v>7.26330834961827</v>
      </c>
      <c r="AG86" s="512" t="n">
        <v>9.991119554526779</v>
      </c>
      <c r="AH86" s="512" t="n">
        <v>8.252164286011791</v>
      </c>
      <c r="AI86" s="512" t="n">
        <v>6.98615202422057</v>
      </c>
      <c r="AJ86" s="512" t="n">
        <v>9.530394686682429</v>
      </c>
      <c r="AK86" s="513" t="n">
        <v>8.68995763786039</v>
      </c>
    </row>
    <row r="87" ht="15" customHeight="1" s="462">
      <c r="A87" s="561" t="inlineStr">
        <is>
          <t>ROE</t>
        </is>
      </c>
      <c r="B87" s="562" t="n">
        <v>0.226803309217729</v>
      </c>
      <c r="C87" s="514" t="inlineStr">
        <is>
          <t>Quarterly data not available</t>
        </is>
      </c>
      <c r="G87" s="562" t="n">
        <v>0.212184836568744</v>
      </c>
      <c r="H87" s="514" t="inlineStr">
        <is>
          <t>Quarterly data not available</t>
        </is>
      </c>
      <c r="L87" s="562" t="n">
        <v>0.0816177293647508</v>
      </c>
      <c r="M87" s="514" t="inlineStr">
        <is>
          <t>Quarterly data not available</t>
        </is>
      </c>
      <c r="Q87" s="562" t="n">
        <v>0.277060172349794</v>
      </c>
      <c r="R87" s="514" t="inlineStr">
        <is>
          <t>Quarterly data not available</t>
        </is>
      </c>
      <c r="V87" s="562" t="n">
        <v>0.209479930935322</v>
      </c>
      <c r="W87" s="514" t="inlineStr">
        <is>
          <t>Quarterly data not available</t>
        </is>
      </c>
      <c r="AA87" s="562" t="n">
        <v>0.190582616231945</v>
      </c>
      <c r="AB87" s="514" t="inlineStr">
        <is>
          <t>Quarterly data not available</t>
        </is>
      </c>
      <c r="AF87" s="562" t="n">
        <v>0.209657954300267</v>
      </c>
      <c r="AG87" s="514" t="inlineStr">
        <is>
          <t>Quarterly data not available</t>
        </is>
      </c>
      <c r="AK87" s="562" t="n">
        <v>0.201901760037041</v>
      </c>
    </row>
    <row r="88" ht="15" customHeight="1" s="462">
      <c r="A88" s="508" t="inlineStr">
        <is>
          <t>EV/Sales</t>
        </is>
      </c>
      <c r="B88" s="515" t="n"/>
      <c r="G88" s="515" t="n"/>
      <c r="L88" s="515" t="n"/>
      <c r="N88" s="506" t="n">
        <v>1.5507274117583</v>
      </c>
      <c r="O88" s="506" t="n">
        <v>1.5507274117583</v>
      </c>
      <c r="P88" s="506" t="n">
        <v>1.5507274117583</v>
      </c>
      <c r="Q88" s="563" t="n">
        <v>1.63341433154608</v>
      </c>
      <c r="R88" s="521" t="n">
        <v>1.42406015610379</v>
      </c>
      <c r="S88" s="521" t="n">
        <v>1.39022889272674</v>
      </c>
      <c r="T88" s="521" t="n">
        <v>1.3299758434648</v>
      </c>
      <c r="U88" s="521" t="n">
        <v>1.15852407727228</v>
      </c>
      <c r="V88" s="563" t="n">
        <v>1.31726962221458</v>
      </c>
      <c r="W88" s="521" t="n">
        <v>1.14843560976112</v>
      </c>
      <c r="X88" s="521" t="n">
        <v>1.12115233284415</v>
      </c>
      <c r="Y88" s="521" t="n">
        <v>1.07256116408452</v>
      </c>
      <c r="Z88" s="521" t="n">
        <v>0.934293610703455</v>
      </c>
      <c r="AA88" s="563" t="n">
        <v>1.06231421146337</v>
      </c>
      <c r="AB88" s="521" t="n">
        <v>0.941340663738626</v>
      </c>
      <c r="AC88" s="521" t="n">
        <v>0.918977322003398</v>
      </c>
      <c r="AD88" s="521" t="n">
        <v>0.879148495151243</v>
      </c>
      <c r="AE88" s="521" t="n">
        <v>0.765814435002832</v>
      </c>
      <c r="AF88" s="563" t="n">
        <v>0.870749353658501</v>
      </c>
      <c r="AG88" s="521" t="n">
        <v>0.784450553115521</v>
      </c>
      <c r="AH88" s="521" t="n">
        <v>0.765814435002832</v>
      </c>
      <c r="AI88" s="521" t="n">
        <v>0.732623745959369</v>
      </c>
      <c r="AJ88" s="521" t="n">
        <v>0.638178695835693</v>
      </c>
      <c r="AK88" s="563" t="n">
        <v>0.725624461382084</v>
      </c>
      <c r="AL88" s="506" t="n"/>
    </row>
    <row r="89" ht="15" customHeight="1" s="462">
      <c r="A89" s="508" t="inlineStr">
        <is>
          <t>EV/EBITDA</t>
        </is>
      </c>
      <c r="B89" s="515" t="n"/>
      <c r="G89" s="515" t="n"/>
      <c r="L89" s="515" t="n"/>
      <c r="N89" s="506" t="n">
        <v>8.982377528592091</v>
      </c>
      <c r="O89" s="506" t="n">
        <v>8.50487555201744</v>
      </c>
      <c r="P89" s="506" t="n">
        <v>7.88184015974314</v>
      </c>
      <c r="Q89" s="563" t="n">
        <v>8.35227362276542</v>
      </c>
      <c r="R89" s="521" t="n">
        <v>6.3363600581343</v>
      </c>
      <c r="S89" s="521" t="n">
        <v>8.1100267412282</v>
      </c>
      <c r="T89" s="521" t="n">
        <v>7.84375727817847</v>
      </c>
      <c r="U89" s="521" t="n">
        <v>6.39610850165139</v>
      </c>
      <c r="V89" s="563" t="n">
        <v>7.0801666079249</v>
      </c>
      <c r="W89" s="521" t="n">
        <v>5.29301648895615</v>
      </c>
      <c r="X89" s="521" t="n">
        <v>6.61932927170617</v>
      </c>
      <c r="Y89" s="521" t="n">
        <v>6.93490255345459</v>
      </c>
      <c r="Z89" s="521" t="n">
        <v>5.4256064331435</v>
      </c>
      <c r="AA89" s="563" t="n">
        <v>5.98345377145682</v>
      </c>
      <c r="AB89" s="521" t="n">
        <v>4.45854132345766</v>
      </c>
      <c r="AC89" s="521" t="n">
        <v>5.47536289297866</v>
      </c>
      <c r="AD89" s="521" t="n">
        <v>6.12783397779433</v>
      </c>
      <c r="AE89" s="521" t="n">
        <v>4.6275009667046</v>
      </c>
      <c r="AF89" s="563" t="n">
        <v>5.08767295116566</v>
      </c>
      <c r="AG89" s="521" t="n">
        <v>3.7949725328097</v>
      </c>
      <c r="AH89" s="521" t="n">
        <v>4.59467637425958</v>
      </c>
      <c r="AI89" s="521" t="n">
        <v>5.42731165167813</v>
      </c>
      <c r="AJ89" s="521" t="n">
        <v>3.97843169437989</v>
      </c>
      <c r="AK89" s="563" t="n">
        <v>4.36320012841657</v>
      </c>
    </row>
    <row r="90" ht="15" customHeight="1" s="462">
      <c r="A90" s="508" t="inlineStr">
        <is>
          <t>P/E</t>
        </is>
      </c>
      <c r="B90" s="515" t="n"/>
      <c r="G90" s="515" t="n"/>
      <c r="L90" s="515" t="n"/>
      <c r="N90" s="506" t="n">
        <v>13.410042080295</v>
      </c>
      <c r="O90" s="506" t="n">
        <v>12.2313051365242</v>
      </c>
      <c r="P90" s="506" t="n">
        <v>10.8174270736096</v>
      </c>
      <c r="Q90" s="563" t="n">
        <v>10.3731443255957</v>
      </c>
      <c r="R90" s="521" t="n">
        <v>8.397900935303429</v>
      </c>
      <c r="S90" s="521" t="n">
        <v>12.5954003720951</v>
      </c>
      <c r="T90" s="521" t="n">
        <v>11.8755555413643</v>
      </c>
      <c r="U90" s="521" t="n">
        <v>8.51916631135262</v>
      </c>
      <c r="V90" s="563" t="n">
        <v>9.53563343492678</v>
      </c>
      <c r="W90" s="521" t="n">
        <v>6.29956002364182</v>
      </c>
      <c r="X90" s="521" t="n">
        <v>9.05749123848938</v>
      </c>
      <c r="Y90" s="521" t="n">
        <v>9.839796954902059</v>
      </c>
      <c r="Z90" s="521" t="n">
        <v>6.54252938949095</v>
      </c>
      <c r="AA90" s="563" t="n">
        <v>7.63910878365029</v>
      </c>
      <c r="AB90" s="521" t="n">
        <v>4.59511381215013</v>
      </c>
      <c r="AC90" s="521" t="n">
        <v>6.08127777169352</v>
      </c>
      <c r="AD90" s="521" t="n">
        <v>7.16285911563121</v>
      </c>
      <c r="AE90" s="521" t="n">
        <v>4.82704427261682</v>
      </c>
      <c r="AF90" s="563" t="n">
        <v>5.48819737628968</v>
      </c>
      <c r="AG90" s="521" t="n">
        <v>3.79254104136097</v>
      </c>
      <c r="AH90" s="521" t="n">
        <v>4.8753065145781</v>
      </c>
      <c r="AI90" s="521" t="n">
        <v>6.15453773304513</v>
      </c>
      <c r="AJ90" s="521" t="n">
        <v>4.02965294706973</v>
      </c>
      <c r="AK90" s="563" t="n">
        <v>4.54838599909328</v>
      </c>
    </row>
    <row r="91" ht="15.75" customHeight="1" s="462">
      <c r="A91" s="564" t="n"/>
      <c r="B91" s="565" t="n"/>
      <c r="C91" s="566" t="n"/>
      <c r="D91" s="566" t="n"/>
      <c r="E91" s="566" t="n"/>
      <c r="F91" s="566" t="n"/>
      <c r="G91" s="565" t="n"/>
      <c r="H91" s="566" t="n"/>
      <c r="I91" s="566" t="n"/>
      <c r="J91" s="566" t="n"/>
      <c r="K91" s="566" t="n"/>
      <c r="L91" s="565" t="n"/>
      <c r="M91" s="566" t="n"/>
      <c r="N91" s="566" t="n"/>
      <c r="O91" s="566" t="n"/>
      <c r="P91" s="566" t="n"/>
      <c r="Q91" s="565" t="n"/>
      <c r="R91" s="566" t="n"/>
      <c r="S91" s="566" t="n"/>
      <c r="T91" s="566" t="n"/>
      <c r="U91" s="566" t="n"/>
      <c r="V91" s="565" t="n"/>
      <c r="W91" s="566" t="n"/>
      <c r="X91" s="566" t="n"/>
      <c r="Y91" s="566" t="n"/>
      <c r="Z91" s="566" t="n"/>
      <c r="AA91" s="565" t="n"/>
      <c r="AB91" s="566" t="n"/>
      <c r="AC91" s="566" t="n"/>
      <c r="AD91" s="566" t="n"/>
      <c r="AE91" s="566" t="n"/>
      <c r="AF91" s="565" t="n"/>
      <c r="AG91" s="566" t="n"/>
      <c r="AH91" s="566" t="n"/>
      <c r="AI91" s="566" t="n"/>
      <c r="AJ91" s="566" t="n"/>
      <c r="AK91" s="565" t="n"/>
      <c r="AL91" s="566" t="n"/>
      <c r="AM91" s="566" t="n"/>
      <c r="AN91" s="566" t="n"/>
      <c r="AO91" s="566" t="n"/>
      <c r="AP91" s="567" t="n"/>
    </row>
  </sheetData>
  <mergeCells count="21">
    <mergeCell ref="AG87:AJ87"/>
    <mergeCell ref="H87:K87"/>
    <mergeCell ref="AG68:AJ77"/>
    <mergeCell ref="R68:U77"/>
    <mergeCell ref="AB87:AE87"/>
    <mergeCell ref="AB68:AE77"/>
    <mergeCell ref="C87:F87"/>
    <mergeCell ref="C68:F77"/>
    <mergeCell ref="W87:Z87"/>
    <mergeCell ref="M87:P87"/>
    <mergeCell ref="W68:Z77"/>
    <mergeCell ref="M68:P77"/>
    <mergeCell ref="H68:K77"/>
    <mergeCell ref="R87:U87"/>
    <mergeCell ref="AB8:AE11"/>
    <mergeCell ref="C8:F11"/>
    <mergeCell ref="M8:P11"/>
    <mergeCell ref="W8:Z11"/>
    <mergeCell ref="H8:K11"/>
    <mergeCell ref="AG8:AJ11"/>
    <mergeCell ref="R8:U1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P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42" activePane="bottomRight" state="frozen"/>
      <selection pane="topLeft" activeCell="A1" activeCellId="0" sqref="A1"/>
      <selection pane="topRight" activeCell="B1" activeCellId="0" sqref="B1"/>
      <selection pane="bottomLeft" activeCell="A42" activeCellId="0" sqref="A42"/>
      <selection pane="bottomRight" activeCell="AA63" activeCellId="0" sqref="AA63"/>
    </sheetView>
  </sheetViews>
  <sheetFormatPr baseColWidth="8" defaultColWidth="8.96875" defaultRowHeight="15" zeroHeight="0" outlineLevelRow="0"/>
  <cols>
    <col width="43.71" customWidth="1" style="461" min="1" max="1"/>
    <col width="10.56" customWidth="1" style="461" min="2" max="2"/>
    <col hidden="1" outlineLevel="1" width="9.56" customWidth="1" style="461" min="3" max="5"/>
    <col hidden="1" outlineLevel="1" width="12.42" customWidth="1" style="461" min="6" max="6"/>
    <col width="10.56" customWidth="1" style="461" min="7" max="7"/>
    <col hidden="1" outlineLevel="1" width="10.28" customWidth="1" style="461" min="8" max="8"/>
    <col hidden="1" outlineLevel="1" width="10.85" customWidth="1" style="461" min="9" max="9"/>
    <col hidden="1" outlineLevel="1" width="9.56" customWidth="1" style="461" min="10" max="11"/>
    <col width="11.28" customWidth="1" style="461" min="12" max="12"/>
    <col hidden="1" outlineLevel="1" width="9.56" customWidth="1" style="461" min="13" max="14"/>
    <col hidden="1" outlineLevel="1" width="9.710000000000001" customWidth="1" style="461" min="15" max="15"/>
    <col hidden="1" outlineLevel="1" width="11.28" customWidth="1" style="461" min="16" max="16"/>
    <col width="11.56" customWidth="1" style="461" min="17" max="17"/>
    <col hidden="1" outlineLevel="1" width="9.56" customWidth="1" style="468" min="18" max="18"/>
    <col hidden="1" outlineLevel="1" width="10.56" customWidth="1" style="461" min="19" max="21"/>
    <col width="10.56" customWidth="1" style="461" min="22" max="22"/>
    <col hidden="1" outlineLevel="1" width="10.56" customWidth="1" style="461" min="23" max="26"/>
    <col width="10.56" customWidth="1" style="461" min="27" max="27"/>
    <col hidden="1" outlineLevel="1" width="10.56" customWidth="1" style="461" min="28" max="31"/>
    <col width="10.56" customWidth="1" style="461" min="32" max="32"/>
    <col hidden="1" outlineLevel="1" width="10.56" customWidth="1" style="461" min="33" max="36"/>
    <col width="10.56" customWidth="1" style="461" min="37" max="37"/>
    <col hidden="1" outlineLevel="1" width="10.56" customWidth="1" style="461" min="38" max="41"/>
    <col width="10.56" customWidth="1" style="461" min="42" max="42"/>
  </cols>
  <sheetData>
    <row r="1" ht="18.75" customHeight="1" s="462">
      <c r="A1" s="487" t="inlineStr">
        <is>
          <t>Aurobindo Pharma</t>
        </is>
      </c>
      <c r="C1" s="568" t="n"/>
      <c r="E1" s="568" t="n"/>
    </row>
    <row r="2" ht="15.75" customHeight="1" s="462">
      <c r="A2" s="488" t="inlineStr">
        <is>
          <t>Profit &amp; Loss Consolidated</t>
        </is>
      </c>
      <c r="B2" s="468" t="n"/>
      <c r="C2" s="569" t="n"/>
      <c r="D2" s="468" t="n"/>
      <c r="E2" s="570" t="n"/>
      <c r="F2" s="468" t="n"/>
      <c r="G2" s="571" t="n"/>
      <c r="J2" s="506" t="n"/>
      <c r="T2" s="572" t="n"/>
    </row>
    <row r="3" ht="15.75" customHeight="1" s="462">
      <c r="A3" s="489" t="inlineStr">
        <is>
          <t>(In Rs Millions, Except per share items)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534" t="inlineStr">
        <is>
          <t>3 months 
Jun-30-2006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33" t="n"/>
      <c r="Q5" s="533" t="n"/>
      <c r="V5" s="533" t="n"/>
      <c r="AA5" s="533" t="n"/>
      <c r="AF5" s="533" t="n"/>
      <c r="AK5" s="533" t="n"/>
      <c r="AP5" s="533" t="n"/>
    </row>
    <row r="6" ht="15" customFormat="1" customHeight="1" s="461">
      <c r="A6" s="573" t="n"/>
      <c r="B6" s="515" t="n"/>
      <c r="G6" s="515" t="n"/>
      <c r="L6" s="515" t="n"/>
      <c r="Q6" s="515" t="n"/>
      <c r="R6" s="468" t="n"/>
      <c r="V6" s="515" t="n"/>
      <c r="AA6" s="515" t="n"/>
      <c r="AF6" s="515" t="n"/>
      <c r="AK6" s="515" t="n"/>
      <c r="AP6" s="515" t="n"/>
    </row>
    <row r="7" ht="15" customHeight="1" s="462">
      <c r="A7" s="491" t="inlineStr">
        <is>
          <t>Profit &amp; Loss  Consolidated</t>
        </is>
      </c>
      <c r="B7" s="515" t="n"/>
      <c r="C7" s="574" t="inlineStr">
        <is>
          <t xml:space="preserve"> Numbers for these Quarters are Stand Alone as Consolidated data was not available</t>
        </is>
      </c>
      <c r="F7" s="461" t="n"/>
      <c r="G7" s="515" t="n"/>
      <c r="H7" s="461" t="n"/>
      <c r="I7" s="461" t="n"/>
      <c r="J7" s="461" t="n"/>
      <c r="K7" s="506" t="n"/>
      <c r="L7" s="515" t="n"/>
      <c r="M7" s="461" t="n"/>
      <c r="N7" s="461" t="n"/>
      <c r="O7" s="461" t="n"/>
      <c r="P7" s="461" t="n"/>
      <c r="Q7" s="555" t="n"/>
      <c r="R7" s="521" t="n"/>
      <c r="S7" s="461" t="n"/>
      <c r="T7" s="461" t="n"/>
      <c r="U7" s="461" t="n"/>
      <c r="V7" s="558" t="n"/>
      <c r="W7" s="461" t="n"/>
      <c r="X7" s="461" t="n"/>
      <c r="Y7" s="461" t="n"/>
      <c r="Z7" s="461" t="n"/>
      <c r="AA7" s="555" t="n"/>
      <c r="AB7" s="461" t="n"/>
      <c r="AC7" s="461" t="n"/>
      <c r="AF7" s="515" t="n"/>
      <c r="AK7" s="515" t="n"/>
      <c r="AP7" s="515" t="n"/>
    </row>
    <row r="8" ht="15" customFormat="1" customHeight="1" s="461">
      <c r="A8" s="573" t="n"/>
      <c r="B8" s="515" t="n"/>
      <c r="G8" s="515" t="n"/>
      <c r="L8" s="515" t="n"/>
      <c r="Q8" s="515" t="n"/>
      <c r="R8" s="521" t="n"/>
      <c r="V8" s="558" t="n"/>
      <c r="AA8" s="515" t="n"/>
      <c r="AF8" s="515" t="n"/>
      <c r="AK8" s="515" t="n"/>
      <c r="AP8" s="515" t="n"/>
    </row>
    <row r="9" ht="15" customHeight="1" s="462">
      <c r="A9" s="461" t="inlineStr">
        <is>
          <t>Sales (including excise duty)</t>
        </is>
      </c>
      <c r="B9" s="575" t="n">
        <v>16955</v>
      </c>
      <c r="F9" s="576" t="n">
        <v>5611</v>
      </c>
      <c r="G9" s="575" t="n">
        <v>22502.2</v>
      </c>
      <c r="H9" s="521" t="n">
        <v>5664.4</v>
      </c>
      <c r="I9" s="521" t="n">
        <v>6669.6</v>
      </c>
      <c r="J9" s="521" t="n">
        <v>6101.9</v>
      </c>
      <c r="K9" s="506" t="n">
        <v>7087</v>
      </c>
      <c r="L9" s="575" t="n">
        <v>25522.9</v>
      </c>
      <c r="M9" s="521" t="n">
        <v>7067.9</v>
      </c>
      <c r="N9" s="521" t="n">
        <v>7239.73</v>
      </c>
      <c r="O9" s="521" t="n">
        <v>7567.8</v>
      </c>
      <c r="P9" s="506" t="n">
        <v>8688.299999999999</v>
      </c>
      <c r="Q9" s="575" t="n">
        <v>30563.73</v>
      </c>
      <c r="R9" s="521" t="n">
        <v>8267.1</v>
      </c>
      <c r="S9" s="521" t="n">
        <v>10366.1206</v>
      </c>
      <c r="T9" s="521" t="n">
        <v>10366.1206</v>
      </c>
      <c r="U9" s="521" t="n">
        <v>10366.1206</v>
      </c>
      <c r="V9" s="577" t="n">
        <v>39365.4618</v>
      </c>
      <c r="W9" s="521" t="n">
        <v>11288.1659521979</v>
      </c>
      <c r="X9" s="521" t="n">
        <v>11562.8638220024</v>
      </c>
      <c r="Y9" s="521" t="n">
        <v>12086.7062713969</v>
      </c>
      <c r="Z9" s="521" t="n">
        <v>13875.4365864028</v>
      </c>
      <c r="AA9" s="577" t="n">
        <v>48813.172632</v>
      </c>
      <c r="AB9" s="521" t="n">
        <v>13997.3257807254</v>
      </c>
      <c r="AC9" s="521" t="n">
        <v>14337.9511392829</v>
      </c>
      <c r="AD9" s="521" t="n">
        <v>14987.5157765322</v>
      </c>
      <c r="AE9" s="521" t="n">
        <v>17205.5413671395</v>
      </c>
      <c r="AF9" s="577" t="n">
        <v>60528.33406368</v>
      </c>
      <c r="AG9" s="521" t="n">
        <v>17076.7374524849</v>
      </c>
      <c r="AH9" s="521" t="n">
        <v>17492.3003899252</v>
      </c>
      <c r="AI9" s="521" t="n">
        <v>18284.7692473693</v>
      </c>
      <c r="AJ9" s="521" t="n">
        <v>20990.7604679102</v>
      </c>
      <c r="AK9" s="577" t="n">
        <v>73844.5675576896</v>
      </c>
      <c r="AL9" s="521" t="n">
        <v>20492.0849429819</v>
      </c>
      <c r="AM9" s="521" t="n">
        <v>20990.7604679102</v>
      </c>
      <c r="AN9" s="521" t="n">
        <v>21941.7230968431</v>
      </c>
      <c r="AO9" s="521" t="n">
        <v>25188.9125614922</v>
      </c>
      <c r="AP9" s="577" t="n">
        <v>88613.48106922751</v>
      </c>
    </row>
    <row r="10" ht="15" customHeight="1" s="462">
      <c r="A10" s="578" t="inlineStr">
        <is>
          <t>Less: Excise Duty</t>
        </is>
      </c>
      <c r="B10" s="575" t="n">
        <v>1018.9</v>
      </c>
      <c r="F10" s="576" t="n">
        <v>288</v>
      </c>
      <c r="G10" s="575" t="n">
        <v>1273</v>
      </c>
      <c r="H10" s="576" t="n">
        <v>341</v>
      </c>
      <c r="I10" s="576" t="n">
        <v>385.8</v>
      </c>
      <c r="J10" s="576" t="n">
        <v>406.3</v>
      </c>
      <c r="K10" s="576" t="n">
        <v>30.8000000000002</v>
      </c>
      <c r="L10" s="575" t="n">
        <v>1163.9</v>
      </c>
      <c r="M10" s="576" t="n">
        <v>271.3</v>
      </c>
      <c r="N10" s="576" t="n">
        <v>229.8</v>
      </c>
      <c r="O10" s="576" t="n">
        <v>216.7</v>
      </c>
      <c r="P10" s="579" t="n">
        <v>187.8</v>
      </c>
      <c r="Q10" s="575" t="n">
        <v>905.6</v>
      </c>
      <c r="R10" s="576" t="n">
        <v>170.6</v>
      </c>
      <c r="S10" s="580" t="n">
        <v>329.036374820608</v>
      </c>
      <c r="T10" s="580" t="n">
        <v>296.828448693147</v>
      </c>
      <c r="U10" s="580" t="n">
        <v>224.066554870343</v>
      </c>
      <c r="V10" s="577" t="n">
        <v>1020.5313783841</v>
      </c>
      <c r="W10" s="506" t="n">
        <v>232.942762449342</v>
      </c>
      <c r="X10" s="506" t="n">
        <v>367.022818018924</v>
      </c>
      <c r="Y10" s="506" t="n">
        <v>346.096520654842</v>
      </c>
      <c r="Z10" s="506" t="n">
        <v>299.921387489665</v>
      </c>
      <c r="AA10" s="577" t="n">
        <v>1245.98348861277</v>
      </c>
      <c r="AB10" s="506" t="n">
        <v>288.849025437185</v>
      </c>
      <c r="AC10" s="506" t="n">
        <v>455.108294343465</v>
      </c>
      <c r="AD10" s="506" t="n">
        <v>429.159685612004</v>
      </c>
      <c r="AE10" s="506" t="n">
        <v>371.902520487184</v>
      </c>
      <c r="AF10" s="577" t="n">
        <v>1545.01952587984</v>
      </c>
      <c r="AG10" s="506" t="n">
        <v>352.395811033365</v>
      </c>
      <c r="AH10" s="506" t="n">
        <v>555.232119099028</v>
      </c>
      <c r="AI10" s="506" t="n">
        <v>523.5748164466449</v>
      </c>
      <c r="AJ10" s="506" t="n">
        <v>453.721074994364</v>
      </c>
      <c r="AK10" s="577" t="n">
        <v>1884.9238215734</v>
      </c>
      <c r="AL10" s="506" t="n">
        <v>422.874973240038</v>
      </c>
      <c r="AM10" s="506" t="n">
        <v>666.278542918833</v>
      </c>
      <c r="AN10" s="506" t="n">
        <v>628.289779735974</v>
      </c>
      <c r="AO10" s="506" t="n">
        <v>544.465289993237</v>
      </c>
      <c r="AP10" s="577" t="n">
        <v>2261.90858588808</v>
      </c>
    </row>
    <row r="11" ht="15" customFormat="1" customHeight="1" s="461">
      <c r="A11" s="522" t="inlineStr">
        <is>
          <t>Net Sales</t>
        </is>
      </c>
      <c r="B11" s="563" t="n">
        <v>15936.1</v>
      </c>
      <c r="C11" s="521" t="n">
        <v>4385.6</v>
      </c>
      <c r="D11" s="521" t="n">
        <v>4800</v>
      </c>
      <c r="E11" s="521" t="n">
        <v>5284</v>
      </c>
      <c r="F11" s="521" t="n">
        <v>5323</v>
      </c>
      <c r="G11" s="563" t="n">
        <v>21229.2</v>
      </c>
      <c r="H11" s="521" t="n">
        <v>5323.4</v>
      </c>
      <c r="I11" s="521" t="n">
        <v>6283.8</v>
      </c>
      <c r="J11" s="521" t="n">
        <v>5695.6</v>
      </c>
      <c r="K11" s="521" t="n">
        <v>7056.2</v>
      </c>
      <c r="L11" s="563" t="n">
        <v>24359</v>
      </c>
      <c r="M11" s="521" t="n">
        <v>6796.6</v>
      </c>
      <c r="N11" s="521" t="n">
        <v>7009.93</v>
      </c>
      <c r="O11" s="521" t="n">
        <v>7351.1</v>
      </c>
      <c r="P11" s="506" t="n">
        <v>8500.5</v>
      </c>
      <c r="Q11" s="563" t="n">
        <v>29658.13</v>
      </c>
      <c r="R11" s="521" t="n">
        <v>8096.5</v>
      </c>
      <c r="S11" s="521" t="n">
        <v>10037.0842251794</v>
      </c>
      <c r="T11" s="521" t="n">
        <v>10069.2921513069</v>
      </c>
      <c r="U11" s="521" t="n">
        <v>10142.0540451297</v>
      </c>
      <c r="V11" s="577" t="n">
        <v>38344.9304216159</v>
      </c>
      <c r="W11" s="521" t="n">
        <v>11055.2231897485</v>
      </c>
      <c r="X11" s="521" t="n">
        <v>11195.8410039834</v>
      </c>
      <c r="Y11" s="521" t="n">
        <v>11740.6097507421</v>
      </c>
      <c r="Z11" s="521" t="n">
        <v>13575.5151989132</v>
      </c>
      <c r="AA11" s="577" t="n">
        <v>47567.1891433872</v>
      </c>
      <c r="AB11" s="521" t="n">
        <v>13708.4767552882</v>
      </c>
      <c r="AC11" s="521" t="n">
        <v>13882.8428449395</v>
      </c>
      <c r="AD11" s="521" t="n">
        <v>14558.3560909202</v>
      </c>
      <c r="AE11" s="521" t="n">
        <v>16833.6388466523</v>
      </c>
      <c r="AF11" s="577" t="n">
        <v>58983.3145378002</v>
      </c>
      <c r="AG11" s="521" t="n">
        <v>16724.3416414516</v>
      </c>
      <c r="AH11" s="521" t="n">
        <v>16937.0682708261</v>
      </c>
      <c r="AI11" s="521" t="n">
        <v>17761.1944309226</v>
      </c>
      <c r="AJ11" s="521" t="n">
        <v>20537.0393929158</v>
      </c>
      <c r="AK11" s="577" t="n">
        <v>71959.6437361162</v>
      </c>
      <c r="AL11" s="521" t="n">
        <v>20069.2099697419</v>
      </c>
      <c r="AM11" s="521" t="n">
        <v>20324.4819249914</v>
      </c>
      <c r="AN11" s="521" t="n">
        <v>21313.4333171072</v>
      </c>
      <c r="AO11" s="521" t="n">
        <v>24644.447271499</v>
      </c>
      <c r="AP11" s="577" t="n">
        <v>86351.57248333941</v>
      </c>
    </row>
    <row r="12" ht="15" customFormat="1" customHeight="1" s="461">
      <c r="A12" s="578" t="inlineStr">
        <is>
          <t>Other Operating Income</t>
        </is>
      </c>
      <c r="B12" s="563" t="n">
        <v>0</v>
      </c>
      <c r="C12" s="521" t="n">
        <v>0</v>
      </c>
      <c r="D12" s="521" t="n">
        <v>0</v>
      </c>
      <c r="E12" s="521" t="n"/>
      <c r="F12" s="576" t="n">
        <v>33</v>
      </c>
      <c r="G12" s="563" t="n">
        <v>0</v>
      </c>
      <c r="H12" s="521" t="n">
        <v>0</v>
      </c>
      <c r="I12" s="576" t="n">
        <v>18.2</v>
      </c>
      <c r="J12" s="521" t="n">
        <v>0</v>
      </c>
      <c r="K12" s="521" t="n">
        <v>0</v>
      </c>
      <c r="L12" s="563" t="n">
        <v>0</v>
      </c>
      <c r="M12" s="576" t="n">
        <v>35.8</v>
      </c>
      <c r="N12" s="576" t="n">
        <v>84.59999999999999</v>
      </c>
      <c r="O12" s="576" t="n">
        <v>877.1</v>
      </c>
      <c r="P12" s="506" t="n">
        <v>586.8</v>
      </c>
      <c r="Q12" s="563" t="n">
        <v>1584.3</v>
      </c>
      <c r="R12" s="576" t="n">
        <v>431</v>
      </c>
      <c r="S12" s="581" t="n">
        <v>84.59999999999999</v>
      </c>
      <c r="T12" s="581" t="n">
        <v>877.1</v>
      </c>
      <c r="U12" s="581" t="n">
        <v>586.8</v>
      </c>
      <c r="V12" s="577" t="n">
        <v>1979.5</v>
      </c>
      <c r="W12" s="581" t="n">
        <v>431</v>
      </c>
      <c r="X12" s="581" t="n">
        <v>84.59999999999999</v>
      </c>
      <c r="Y12" s="581" t="n">
        <v>877.1</v>
      </c>
      <c r="Z12" s="581" t="n">
        <v>586.8</v>
      </c>
      <c r="AA12" s="577" t="n">
        <v>1979.5</v>
      </c>
      <c r="AB12" s="581" t="n">
        <v>431</v>
      </c>
      <c r="AC12" s="581" t="n">
        <v>84.59999999999999</v>
      </c>
      <c r="AD12" s="581" t="n">
        <v>877.1</v>
      </c>
      <c r="AE12" s="581" t="n">
        <v>586.8</v>
      </c>
      <c r="AF12" s="577" t="n">
        <v>1979.5</v>
      </c>
      <c r="AG12" s="581" t="n">
        <v>431</v>
      </c>
      <c r="AH12" s="581" t="n">
        <v>84.59999999999999</v>
      </c>
      <c r="AI12" s="581" t="n">
        <v>877.1</v>
      </c>
      <c r="AJ12" s="581" t="n">
        <v>586.8</v>
      </c>
      <c r="AK12" s="577" t="n">
        <v>1979.5</v>
      </c>
      <c r="AL12" s="581" t="n">
        <v>431</v>
      </c>
      <c r="AM12" s="581" t="n">
        <v>84.59999999999999</v>
      </c>
      <c r="AN12" s="581" t="n">
        <v>877.1</v>
      </c>
      <c r="AO12" s="581" t="n">
        <v>586.8</v>
      </c>
      <c r="AP12" s="577" t="n">
        <v>1979.5</v>
      </c>
    </row>
    <row r="13" ht="15" customFormat="1" customHeight="1" s="522">
      <c r="A13" s="522" t="inlineStr">
        <is>
          <t>Total Income</t>
        </is>
      </c>
      <c r="B13" s="582" t="n">
        <v>15936.1</v>
      </c>
      <c r="C13" s="583" t="n">
        <v>4385.6</v>
      </c>
      <c r="D13" s="583" t="n">
        <v>4800</v>
      </c>
      <c r="E13" s="583" t="n">
        <v>5284</v>
      </c>
      <c r="F13" s="583" t="n">
        <v>5356</v>
      </c>
      <c r="G13" s="582" t="n">
        <v>21229.2</v>
      </c>
      <c r="H13" s="583" t="n">
        <v>5323.4</v>
      </c>
      <c r="I13" s="583" t="n">
        <v>6302</v>
      </c>
      <c r="J13" s="583" t="n">
        <v>5695.6</v>
      </c>
      <c r="K13" s="583" t="n">
        <v>7056.2</v>
      </c>
      <c r="L13" s="582" t="n">
        <v>24359</v>
      </c>
      <c r="M13" s="583" t="n">
        <v>6832.4</v>
      </c>
      <c r="N13" s="583" t="n">
        <v>7094.53</v>
      </c>
      <c r="O13" s="583" t="n">
        <v>8228.200000000001</v>
      </c>
      <c r="P13" s="542" t="n">
        <v>9087.299999999999</v>
      </c>
      <c r="Q13" s="582" t="n">
        <v>31242.43</v>
      </c>
      <c r="R13" s="583" t="n">
        <v>8527.5</v>
      </c>
      <c r="S13" s="583" t="n">
        <v>10121.6842251794</v>
      </c>
      <c r="T13" s="583" t="n">
        <v>10946.3921513069</v>
      </c>
      <c r="U13" s="583" t="n">
        <v>10728.8540451297</v>
      </c>
      <c r="V13" s="584" t="n">
        <v>40324.4304216159</v>
      </c>
      <c r="W13" s="583" t="n">
        <v>11486.2231897485</v>
      </c>
      <c r="X13" s="583" t="n">
        <v>11280.4410039834</v>
      </c>
      <c r="Y13" s="583" t="n">
        <v>12617.7097507421</v>
      </c>
      <c r="Z13" s="583" t="n">
        <v>14162.3151989132</v>
      </c>
      <c r="AA13" s="584" t="n">
        <v>49546.6891433872</v>
      </c>
      <c r="AB13" s="583" t="n">
        <v>14139.4767552882</v>
      </c>
      <c r="AC13" s="583" t="n">
        <v>13967.4428449395</v>
      </c>
      <c r="AD13" s="583" t="n">
        <v>15435.4560909202</v>
      </c>
      <c r="AE13" s="583" t="n">
        <v>17420.4388466523</v>
      </c>
      <c r="AF13" s="584" t="n">
        <v>60962.8145378002</v>
      </c>
      <c r="AG13" s="583" t="n">
        <v>17155.3416414516</v>
      </c>
      <c r="AH13" s="583" t="n">
        <v>17021.6682708261</v>
      </c>
      <c r="AI13" s="583" t="n">
        <v>18638.2944309226</v>
      </c>
      <c r="AJ13" s="583" t="n">
        <v>21123.8393929158</v>
      </c>
      <c r="AK13" s="584" t="n">
        <v>73939.1437361162</v>
      </c>
      <c r="AL13" s="583" t="n">
        <v>20500.2099697419</v>
      </c>
      <c r="AM13" s="583" t="n">
        <v>20409.0819249914</v>
      </c>
      <c r="AN13" s="583" t="n">
        <v>22190.5333171072</v>
      </c>
      <c r="AO13" s="583" t="n">
        <v>25231.247271499</v>
      </c>
      <c r="AP13" s="584" t="n">
        <v>88331.07248333941</v>
      </c>
    </row>
    <row r="14" ht="15" customHeight="1" s="462">
      <c r="B14" s="582" t="n"/>
      <c r="C14" s="521" t="n"/>
      <c r="D14" s="521" t="n"/>
      <c r="E14" s="521" t="n"/>
      <c r="F14" s="529" t="n"/>
      <c r="G14" s="585" t="n"/>
      <c r="H14" s="521" t="n"/>
      <c r="I14" s="529" t="n"/>
      <c r="J14" s="521" t="n"/>
      <c r="K14" s="521" t="n"/>
      <c r="L14" s="582" t="n"/>
      <c r="M14" s="529" t="n"/>
      <c r="N14" s="529" t="n"/>
      <c r="O14" s="529" t="n"/>
      <c r="P14" s="529" t="n"/>
      <c r="Q14" s="582" t="n"/>
      <c r="R14" s="529" t="n"/>
      <c r="S14" s="529" t="n"/>
      <c r="T14" s="529" t="n"/>
      <c r="U14" s="529" t="n"/>
      <c r="V14" s="584" t="n"/>
      <c r="AA14" s="584" t="n"/>
      <c r="AF14" s="584" t="n"/>
      <c r="AK14" s="584" t="n"/>
      <c r="AP14" s="584" t="n"/>
    </row>
    <row r="15" ht="15" customHeight="1" s="462">
      <c r="A15" s="522" t="inlineStr">
        <is>
          <t xml:space="preserve">Expenditure </t>
        </is>
      </c>
      <c r="B15" s="563" t="n"/>
      <c r="C15" s="521" t="n"/>
      <c r="D15" s="521" t="n"/>
      <c r="E15" s="521" t="n"/>
      <c r="F15" s="521" t="n"/>
      <c r="G15" s="563" t="n"/>
      <c r="H15" s="521" t="n"/>
      <c r="I15" s="521" t="n"/>
      <c r="J15" s="521" t="n"/>
      <c r="K15" s="521" t="n"/>
      <c r="L15" s="563" t="n"/>
      <c r="M15" s="521" t="n"/>
      <c r="N15" s="521" t="n"/>
      <c r="O15" s="521" t="n"/>
      <c r="P15" s="521" t="n"/>
      <c r="Q15" s="563" t="n"/>
      <c r="R15" s="521" t="n"/>
      <c r="S15" s="506" t="n"/>
      <c r="V15" s="577" t="n"/>
      <c r="AA15" s="577" t="n"/>
      <c r="AF15" s="577" t="n"/>
      <c r="AK15" s="577" t="n"/>
      <c r="AP15" s="577" t="n"/>
    </row>
    <row r="16" ht="15" customHeight="1" s="462">
      <c r="A16" s="578" t="inlineStr">
        <is>
          <t>a. (Increase) / Decrease in Stocks</t>
        </is>
      </c>
      <c r="B16" s="575" t="n">
        <v>-518.3</v>
      </c>
      <c r="C16" s="576" t="n">
        <v>-445.1</v>
      </c>
      <c r="D16" s="576" t="n">
        <v>84.40000000000001</v>
      </c>
      <c r="E16" s="576" t="n">
        <v>-222.9</v>
      </c>
      <c r="F16" s="576" t="n">
        <v>-440</v>
      </c>
      <c r="G16" s="575" t="n">
        <v>-890.5</v>
      </c>
      <c r="H16" s="576" t="n">
        <v>-439.6</v>
      </c>
      <c r="I16" s="576" t="n">
        <v>-327.4</v>
      </c>
      <c r="J16" s="576" t="n">
        <v>-433.5</v>
      </c>
      <c r="K16" s="521" t="n">
        <v>488.1</v>
      </c>
      <c r="L16" s="575" t="n">
        <v>-712.4</v>
      </c>
      <c r="M16" s="576" t="n">
        <v>-99.7</v>
      </c>
      <c r="N16" s="576" t="n">
        <v>-580.7</v>
      </c>
      <c r="O16" s="576" t="n">
        <v>-170.9</v>
      </c>
      <c r="P16" s="506" t="n">
        <v>644.1</v>
      </c>
      <c r="Q16" s="575" t="n">
        <v>-207.2</v>
      </c>
      <c r="R16" s="576" t="n">
        <v>-101.8</v>
      </c>
      <c r="S16" s="580" t="n">
        <v>-831.4683327168279</v>
      </c>
      <c r="T16" s="580" t="n">
        <v>-234.093132817992</v>
      </c>
      <c r="U16" s="580" t="n">
        <v>768.483855122406</v>
      </c>
      <c r="V16" s="577" t="n">
        <v>-398.877610412414</v>
      </c>
      <c r="W16" s="506" t="n">
        <v>-139.001015341987</v>
      </c>
      <c r="X16" s="506" t="n">
        <v>-927.459314288899</v>
      </c>
      <c r="Y16" s="506" t="n">
        <v>-272.948294323547</v>
      </c>
      <c r="Z16" s="506" t="n">
        <v>1028.64411971295</v>
      </c>
      <c r="AA16" s="577" t="n">
        <v>-310.764504241478</v>
      </c>
      <c r="AB16" s="506" t="n">
        <v>-172.361259024064</v>
      </c>
      <c r="AC16" s="506" t="n">
        <v>-1150.04954971823</v>
      </c>
      <c r="AD16" s="506" t="n">
        <v>-338.455884961198</v>
      </c>
      <c r="AE16" s="506" t="n">
        <v>1275.51870844406</v>
      </c>
      <c r="AF16" s="577" t="n">
        <v>-385.347985259433</v>
      </c>
      <c r="AG16" s="506" t="n">
        <v>-210.280736009359</v>
      </c>
      <c r="AH16" s="506" t="n">
        <v>-1403.06045065625</v>
      </c>
      <c r="AI16" s="506" t="n">
        <v>-412.916179652661</v>
      </c>
      <c r="AJ16" s="506" t="n">
        <v>1556.13282430176</v>
      </c>
      <c r="AK16" s="577" t="n">
        <v>-470.124542016508</v>
      </c>
      <c r="AL16" s="506" t="n">
        <v>-252.33688321123</v>
      </c>
      <c r="AM16" s="506" t="n">
        <v>-1683.67254078749</v>
      </c>
      <c r="AN16" s="506" t="n">
        <v>-495.499415583194</v>
      </c>
      <c r="AO16" s="506" t="n">
        <v>1867.35938916211</v>
      </c>
      <c r="AP16" s="577" t="n">
        <v>-564.14945041981</v>
      </c>
    </row>
    <row r="17" ht="15" customHeight="1" s="462">
      <c r="A17" s="578" t="inlineStr">
        <is>
          <t>b. Material Consumed</t>
        </is>
      </c>
      <c r="B17" s="575" t="n">
        <v>9146.299999999999</v>
      </c>
      <c r="C17" s="576" t="n">
        <v>2921.2</v>
      </c>
      <c r="D17" s="576" t="n">
        <v>2541.7</v>
      </c>
      <c r="E17" s="576" t="n">
        <v>3284.6</v>
      </c>
      <c r="F17" s="576" t="n">
        <v>3037</v>
      </c>
      <c r="G17" s="575" t="n">
        <v>11755.7</v>
      </c>
      <c r="H17" s="576" t="n">
        <v>3036.9</v>
      </c>
      <c r="I17" s="576" t="n">
        <v>3309.3</v>
      </c>
      <c r="J17" s="576" t="n">
        <v>2974.7</v>
      </c>
      <c r="K17" s="521" t="n">
        <v>3290.8</v>
      </c>
      <c r="L17" s="575" t="n">
        <v>12611.7</v>
      </c>
      <c r="M17" s="576" t="n">
        <v>3572.4</v>
      </c>
      <c r="N17" s="576" t="n">
        <v>3995</v>
      </c>
      <c r="O17" s="576" t="n">
        <v>4281.4</v>
      </c>
      <c r="P17" s="506" t="n">
        <v>3650.2</v>
      </c>
      <c r="Q17" s="575" t="n">
        <v>15499</v>
      </c>
      <c r="R17" s="576" t="n">
        <v>4013.1</v>
      </c>
      <c r="S17" s="521" t="n">
        <v>5720.1928520815</v>
      </c>
      <c r="T17" s="521" t="n">
        <v>5864.51924427707</v>
      </c>
      <c r="U17" s="521" t="n">
        <v>4355.09977948736</v>
      </c>
      <c r="V17" s="577" t="n">
        <v>19952.9118758459</v>
      </c>
      <c r="W17" s="506" t="n">
        <v>5479.61664704253</v>
      </c>
      <c r="X17" s="506" t="n">
        <v>6380.57510002437</v>
      </c>
      <c r="Y17" s="506" t="n">
        <v>6837.92175141505</v>
      </c>
      <c r="Z17" s="506" t="n">
        <v>5829.46245268782</v>
      </c>
      <c r="AA17" s="577" t="n">
        <v>24527.5759511698</v>
      </c>
      <c r="AB17" s="506" t="n">
        <v>6794.72464233274</v>
      </c>
      <c r="AC17" s="506" t="n">
        <v>7911.91312403022</v>
      </c>
      <c r="AD17" s="506" t="n">
        <v>8479.02297175467</v>
      </c>
      <c r="AE17" s="506" t="n">
        <v>7228.5334413329</v>
      </c>
      <c r="AF17" s="577" t="n">
        <v>30414.1941794505</v>
      </c>
      <c r="AG17" s="506" t="n">
        <v>8289.564063645939</v>
      </c>
      <c r="AH17" s="506" t="n">
        <v>9652.53401131686</v>
      </c>
      <c r="AI17" s="506" t="n">
        <v>10344.4080255407</v>
      </c>
      <c r="AJ17" s="506" t="n">
        <v>8818.810798426141</v>
      </c>
      <c r="AK17" s="577" t="n">
        <v>37105.3168989296</v>
      </c>
      <c r="AL17" s="506" t="n">
        <v>9947.476876375131</v>
      </c>
      <c r="AM17" s="506" t="n">
        <v>11583.0408135802</v>
      </c>
      <c r="AN17" s="506" t="n">
        <v>12413.2896306488</v>
      </c>
      <c r="AO17" s="506" t="n">
        <v>10582.5729581114</v>
      </c>
      <c r="AP17" s="577" t="n">
        <v>44526.3802787156</v>
      </c>
    </row>
    <row r="18" ht="15" customHeight="1" s="462">
      <c r="A18" s="578" t="inlineStr">
        <is>
          <t>C. Purchase of traded goods</t>
        </is>
      </c>
      <c r="B18" s="575" t="n">
        <v>908.5</v>
      </c>
      <c r="C18" s="576" t="n">
        <v>0</v>
      </c>
      <c r="D18" s="576" t="n">
        <v>0</v>
      </c>
      <c r="E18" s="576" t="n">
        <v>0</v>
      </c>
      <c r="F18" s="576" t="n">
        <v>330</v>
      </c>
      <c r="G18" s="575" t="n">
        <v>1351.1</v>
      </c>
      <c r="H18" s="576" t="n">
        <v>330.2</v>
      </c>
      <c r="I18" s="576" t="n">
        <v>452.6</v>
      </c>
      <c r="J18" s="576" t="n">
        <v>488</v>
      </c>
      <c r="K18" s="521" t="n">
        <v>343.9</v>
      </c>
      <c r="L18" s="575" t="n">
        <v>1614.7</v>
      </c>
      <c r="M18" s="576" t="n">
        <v>216.4</v>
      </c>
      <c r="N18" s="576" t="n">
        <v>200.4</v>
      </c>
      <c r="O18" s="576" t="n">
        <v>157.4</v>
      </c>
      <c r="P18" s="506" t="n">
        <v>417.4</v>
      </c>
      <c r="Q18" s="575" t="n">
        <v>991.6</v>
      </c>
      <c r="R18" s="576" t="n">
        <v>302.5</v>
      </c>
      <c r="S18" s="521" t="n">
        <v>286.940337310922</v>
      </c>
      <c r="T18" s="521" t="n">
        <v>215.601282068765</v>
      </c>
      <c r="U18" s="521" t="n">
        <v>498.0052183327</v>
      </c>
      <c r="V18" s="577" t="n">
        <v>1303.04683771239</v>
      </c>
      <c r="W18" s="506" t="n">
        <v>413.043292150798</v>
      </c>
      <c r="X18" s="506" t="n">
        <v>320.066896131385</v>
      </c>
      <c r="Y18" s="506" t="n">
        <v>251.387135907117</v>
      </c>
      <c r="Z18" s="506" t="n">
        <v>666.59844056542</v>
      </c>
      <c r="AA18" s="577" t="n">
        <v>1651.09576475472</v>
      </c>
      <c r="AB18" s="506" t="n">
        <v>512.173682266989</v>
      </c>
      <c r="AC18" s="506" t="n">
        <v>396.882951202917</v>
      </c>
      <c r="AD18" s="506" t="n">
        <v>311.720048524825</v>
      </c>
      <c r="AE18" s="506" t="n">
        <v>826.582066301121</v>
      </c>
      <c r="AF18" s="577" t="n">
        <v>2047.35874829585</v>
      </c>
      <c r="AG18" s="506" t="n">
        <v>624.851892365726</v>
      </c>
      <c r="AH18" s="506" t="n">
        <v>484.197200467559</v>
      </c>
      <c r="AI18" s="506" t="n">
        <v>380.298459200286</v>
      </c>
      <c r="AJ18" s="506" t="n">
        <v>1008.43012088737</v>
      </c>
      <c r="AK18" s="577" t="n">
        <v>2497.77767292094</v>
      </c>
      <c r="AL18" s="506" t="n">
        <v>749.822270838872</v>
      </c>
      <c r="AM18" s="506" t="n">
        <v>581.036640561071</v>
      </c>
      <c r="AN18" s="506" t="n">
        <v>456.358151040343</v>
      </c>
      <c r="AO18" s="506" t="n">
        <v>1210.11614506484</v>
      </c>
      <c r="AP18" s="577" t="n">
        <v>2997.33320750513</v>
      </c>
    </row>
    <row r="19" ht="15" customHeight="1" s="462">
      <c r="A19" s="578" t="inlineStr">
        <is>
          <t>d. Staff Cost</t>
        </is>
      </c>
      <c r="B19" s="575" t="n">
        <v>1024.2</v>
      </c>
      <c r="C19" s="576" t="n">
        <v>258</v>
      </c>
      <c r="D19" s="576" t="n">
        <v>288.1</v>
      </c>
      <c r="E19" s="576" t="n">
        <v>262.7</v>
      </c>
      <c r="F19" s="576" t="n">
        <v>442</v>
      </c>
      <c r="G19" s="575" t="n">
        <v>1504.2</v>
      </c>
      <c r="H19" s="576" t="n">
        <v>442.3</v>
      </c>
      <c r="I19" s="576" t="n">
        <v>492.9</v>
      </c>
      <c r="J19" s="576" t="n">
        <v>497.9</v>
      </c>
      <c r="K19" s="521" t="n">
        <v>496.9</v>
      </c>
      <c r="L19" s="575" t="n">
        <v>1930</v>
      </c>
      <c r="M19" s="576" t="n">
        <v>573.7</v>
      </c>
      <c r="N19" s="576" t="n">
        <v>589.6</v>
      </c>
      <c r="O19" s="576" t="n">
        <v>653.6</v>
      </c>
      <c r="P19" s="506" t="n">
        <v>617.8</v>
      </c>
      <c r="Q19" s="575" t="n">
        <v>2434.7</v>
      </c>
      <c r="R19" s="576" t="n">
        <v>690.6</v>
      </c>
      <c r="S19" s="521" t="n">
        <v>844.2116910105771</v>
      </c>
      <c r="T19" s="521" t="n">
        <v>895.279529607019</v>
      </c>
      <c r="U19" s="521" t="n">
        <v>737.104992539392</v>
      </c>
      <c r="V19" s="577" t="n">
        <v>3167.19621315699</v>
      </c>
      <c r="W19" s="506" t="n">
        <v>942.9675952374899</v>
      </c>
      <c r="X19" s="506" t="n">
        <v>941.673862071181</v>
      </c>
      <c r="Y19" s="506" t="n">
        <v>1043.87949192434</v>
      </c>
      <c r="Z19" s="506" t="n">
        <v>986.6423492604609</v>
      </c>
      <c r="AA19" s="577" t="n">
        <v>3915.16329849347</v>
      </c>
      <c r="AB19" s="506" t="n">
        <v>1169.27981809449</v>
      </c>
      <c r="AC19" s="506" t="n">
        <v>1167.67558896826</v>
      </c>
      <c r="AD19" s="506" t="n">
        <v>1294.41056998618</v>
      </c>
      <c r="AE19" s="506" t="n">
        <v>1223.43651308297</v>
      </c>
      <c r="AF19" s="577" t="n">
        <v>4854.80249013191</v>
      </c>
      <c r="AG19" s="506" t="n">
        <v>1426.52137807528</v>
      </c>
      <c r="AH19" s="506" t="n">
        <v>1424.56421854128</v>
      </c>
      <c r="AI19" s="506" t="n">
        <v>1579.18089538314</v>
      </c>
      <c r="AJ19" s="506" t="n">
        <v>1492.59254596123</v>
      </c>
      <c r="AK19" s="577" t="n">
        <v>5922.85903796093</v>
      </c>
      <c r="AL19" s="506" t="n">
        <v>1711.82565369033</v>
      </c>
      <c r="AM19" s="506" t="n">
        <v>1709.47706224954</v>
      </c>
      <c r="AN19" s="506" t="n">
        <v>1895.01707445977</v>
      </c>
      <c r="AO19" s="506" t="n">
        <v>1791.11105515347</v>
      </c>
      <c r="AP19" s="577" t="n">
        <v>7107.43084555311</v>
      </c>
    </row>
    <row r="20" ht="15" customHeight="1" s="462">
      <c r="A20" s="578" t="inlineStr">
        <is>
          <t>e. Depreciation / Amortization</t>
        </is>
      </c>
      <c r="B20" s="575" t="n">
        <v>721.3</v>
      </c>
      <c r="C20" s="576" t="n">
        <v>142.8</v>
      </c>
      <c r="D20" s="576" t="n">
        <v>149.9</v>
      </c>
      <c r="E20" s="576" t="n">
        <v>162.9</v>
      </c>
      <c r="F20" s="576" t="n">
        <v>234</v>
      </c>
      <c r="G20" s="575" t="n">
        <v>997.2</v>
      </c>
      <c r="H20" s="576" t="n">
        <v>233.5</v>
      </c>
      <c r="I20" s="576" t="n">
        <v>249.5</v>
      </c>
      <c r="J20" s="576" t="n">
        <v>256</v>
      </c>
      <c r="K20" s="521" t="n">
        <v>264.8</v>
      </c>
      <c r="L20" s="575" t="n">
        <v>1003.8</v>
      </c>
      <c r="M20" s="576" t="n">
        <v>270.4</v>
      </c>
      <c r="N20" s="576" t="n">
        <v>288.3</v>
      </c>
      <c r="O20" s="576" t="n">
        <v>310.8</v>
      </c>
      <c r="P20" s="506" t="n">
        <v>351.7</v>
      </c>
      <c r="Q20" s="575" t="n">
        <v>1221.2</v>
      </c>
      <c r="R20" s="576" t="n">
        <v>332.6</v>
      </c>
      <c r="S20" s="521" t="n">
        <v>292.402512201303</v>
      </c>
      <c r="T20" s="521" t="n">
        <v>292.402512201303</v>
      </c>
      <c r="U20" s="521" t="n">
        <v>292.402512201303</v>
      </c>
      <c r="V20" s="577" t="n">
        <v>1209.80753660391</v>
      </c>
      <c r="W20" s="506" t="n">
        <v>339.181043273079</v>
      </c>
      <c r="X20" s="506" t="n">
        <v>339.181043273079</v>
      </c>
      <c r="Y20" s="506" t="n">
        <v>339.181043273079</v>
      </c>
      <c r="Z20" s="506" t="n">
        <v>339.181043273079</v>
      </c>
      <c r="AA20" s="577" t="n">
        <v>1356.72417309232</v>
      </c>
      <c r="AB20" s="506" t="n">
        <v>381.608963032208</v>
      </c>
      <c r="AC20" s="506" t="n">
        <v>381.608963032208</v>
      </c>
      <c r="AD20" s="506" t="n">
        <v>381.608963032208</v>
      </c>
      <c r="AE20" s="506" t="n">
        <v>381.608963032208</v>
      </c>
      <c r="AF20" s="577" t="n">
        <v>1526.43585212883</v>
      </c>
      <c r="AG20" s="506" t="n">
        <v>430.636470638241</v>
      </c>
      <c r="AH20" s="506" t="n">
        <v>430.636470638241</v>
      </c>
      <c r="AI20" s="506" t="n">
        <v>430.636470638241</v>
      </c>
      <c r="AJ20" s="506" t="n">
        <v>430.636470638241</v>
      </c>
      <c r="AK20" s="577" t="n">
        <v>1722.54588255296</v>
      </c>
      <c r="AL20" s="506" t="n">
        <v>492.317353473248</v>
      </c>
      <c r="AM20" s="506" t="n">
        <v>492.317353473248</v>
      </c>
      <c r="AN20" s="506" t="n">
        <v>492.317353473248</v>
      </c>
      <c r="AO20" s="506" t="n">
        <v>492.317353473248</v>
      </c>
      <c r="AP20" s="577" t="n">
        <v>1969.26941389299</v>
      </c>
    </row>
    <row r="21" ht="15" customHeight="1" s="462">
      <c r="A21" s="578" t="inlineStr">
        <is>
          <t>f.  Other Expenditure</t>
        </is>
      </c>
      <c r="B21" s="575" t="n">
        <v>3600.5</v>
      </c>
      <c r="C21" s="576" t="n">
        <v>992.7</v>
      </c>
      <c r="D21" s="576" t="n">
        <v>1194.9</v>
      </c>
      <c r="E21" s="576" t="n">
        <v>1174.9</v>
      </c>
      <c r="F21" s="576" t="n">
        <v>1259</v>
      </c>
      <c r="G21" s="575" t="n">
        <v>4486.8</v>
      </c>
      <c r="H21" s="576" t="n">
        <v>1258.7</v>
      </c>
      <c r="I21" s="576" t="n">
        <v>1422.6</v>
      </c>
      <c r="J21" s="576" t="n">
        <v>1380.6</v>
      </c>
      <c r="K21" s="521" t="n">
        <v>1441.7</v>
      </c>
      <c r="L21" s="575" t="n">
        <v>5503.6</v>
      </c>
      <c r="M21" s="576" t="n">
        <v>1424.7</v>
      </c>
      <c r="N21" s="576" t="n">
        <v>1641.1</v>
      </c>
      <c r="O21" s="576" t="n">
        <v>1728.9</v>
      </c>
      <c r="P21" s="506" t="n">
        <v>1998.1</v>
      </c>
      <c r="Q21" s="575" t="n">
        <v>6792.8</v>
      </c>
      <c r="R21" s="576" t="n">
        <v>1666.1</v>
      </c>
      <c r="S21" s="521" t="n">
        <v>2349.7893590866</v>
      </c>
      <c r="T21" s="521" t="n">
        <v>2368.189685951</v>
      </c>
      <c r="U21" s="521" t="n">
        <v>2383.95837745704</v>
      </c>
      <c r="V21" s="577" t="n">
        <v>8768.037422494641</v>
      </c>
      <c r="W21" s="506" t="n">
        <v>2274.94687290064</v>
      </c>
      <c r="X21" s="506" t="n">
        <v>2621.0667826408</v>
      </c>
      <c r="Y21" s="506" t="n">
        <v>2761.26568786413</v>
      </c>
      <c r="Z21" s="506" t="n">
        <v>3191.01663654472</v>
      </c>
      <c r="AA21" s="577" t="n">
        <v>10848.2959799503</v>
      </c>
      <c r="AB21" s="506" t="n">
        <v>2820.93412239679</v>
      </c>
      <c r="AC21" s="506" t="n">
        <v>3250.12281047459</v>
      </c>
      <c r="AD21" s="506" t="n">
        <v>3423.96945295152</v>
      </c>
      <c r="AE21" s="506" t="n">
        <v>3956.86062931545</v>
      </c>
      <c r="AF21" s="577" t="n">
        <v>13451.8870151384</v>
      </c>
      <c r="AG21" s="506" t="n">
        <v>3441.53962932409</v>
      </c>
      <c r="AH21" s="506" t="n">
        <v>3965.149828779</v>
      </c>
      <c r="AI21" s="506" t="n">
        <v>4177.24273260086</v>
      </c>
      <c r="AJ21" s="506" t="n">
        <v>4827.36996776485</v>
      </c>
      <c r="AK21" s="577" t="n">
        <v>16411.3021584688</v>
      </c>
      <c r="AL21" s="506" t="n">
        <v>4129.84755518891</v>
      </c>
      <c r="AM21" s="506" t="n">
        <v>4758.1797945348</v>
      </c>
      <c r="AN21" s="506" t="n">
        <v>5012.69127912103</v>
      </c>
      <c r="AO21" s="506" t="n">
        <v>5792.84396131782</v>
      </c>
      <c r="AP21" s="577" t="n">
        <v>19693.5625901626</v>
      </c>
    </row>
    <row r="22" ht="15" customFormat="1" customHeight="1" s="522">
      <c r="A22" s="522" t="inlineStr">
        <is>
          <t>Total Expenditure</t>
        </is>
      </c>
      <c r="B22" s="582" t="n">
        <v>14882.5</v>
      </c>
      <c r="C22" s="583" t="n">
        <v>3869.6</v>
      </c>
      <c r="D22" s="583" t="n">
        <v>4259</v>
      </c>
      <c r="E22" s="583" t="n">
        <v>4662.2</v>
      </c>
      <c r="F22" s="583" t="n">
        <v>4862</v>
      </c>
      <c r="G22" s="582" t="n">
        <v>19204.5</v>
      </c>
      <c r="H22" s="583" t="n">
        <v>4862</v>
      </c>
      <c r="I22" s="583" t="n">
        <v>5599.5</v>
      </c>
      <c r="J22" s="583" t="n">
        <v>5163.7</v>
      </c>
      <c r="K22" s="583" t="n">
        <v>6326.2</v>
      </c>
      <c r="L22" s="582" t="n">
        <v>21951.4</v>
      </c>
      <c r="M22" s="583" t="n">
        <v>5957.9</v>
      </c>
      <c r="N22" s="583" t="n">
        <v>6133.7</v>
      </c>
      <c r="O22" s="583" t="n">
        <v>6961.2</v>
      </c>
      <c r="P22" s="542" t="n">
        <v>7679.3</v>
      </c>
      <c r="Q22" s="582" t="n">
        <v>26732.1</v>
      </c>
      <c r="R22" s="583" t="n">
        <v>6903.1</v>
      </c>
      <c r="S22" s="583" t="n">
        <v>8662.06841897407</v>
      </c>
      <c r="T22" s="583" t="n">
        <v>9401.89912128717</v>
      </c>
      <c r="U22" s="583" t="n">
        <v>9035.0547351402</v>
      </c>
      <c r="V22" s="584" t="n">
        <v>34002.1222754014</v>
      </c>
      <c r="W22" s="583" t="n">
        <v>9310.75443526255</v>
      </c>
      <c r="X22" s="583" t="n">
        <v>9675.10436985191</v>
      </c>
      <c r="Y22" s="583" t="n">
        <v>10960.6868160602</v>
      </c>
      <c r="Z22" s="583" t="n">
        <v>12041.5450420445</v>
      </c>
      <c r="AA22" s="584" t="n">
        <v>41988.0906632191</v>
      </c>
      <c r="AB22" s="583" t="n">
        <v>11506.3599690992</v>
      </c>
      <c r="AC22" s="583" t="n">
        <v>11958.15388799</v>
      </c>
      <c r="AD22" s="583" t="n">
        <v>13552.2761212882</v>
      </c>
      <c r="AE22" s="583" t="n">
        <v>14892.5403215087</v>
      </c>
      <c r="AF22" s="584" t="n">
        <v>51909.330299886</v>
      </c>
      <c r="AG22" s="583" t="n">
        <v>14002.8326980399</v>
      </c>
      <c r="AH22" s="583" t="n">
        <v>14554.0212790867</v>
      </c>
      <c r="AI22" s="583" t="n">
        <v>16498.8504037106</v>
      </c>
      <c r="AJ22" s="583" t="n">
        <v>18133.9727279796</v>
      </c>
      <c r="AK22" s="584" t="n">
        <v>63189.6771088167</v>
      </c>
      <c r="AL22" s="583" t="n">
        <v>16778.9528263553</v>
      </c>
      <c r="AM22" s="583" t="n">
        <v>17440.3791236114</v>
      </c>
      <c r="AN22" s="583" t="n">
        <v>19774.17407316</v>
      </c>
      <c r="AO22" s="583" t="n">
        <v>21736.3208622829</v>
      </c>
      <c r="AP22" s="584" t="n">
        <v>75729.82688540949</v>
      </c>
    </row>
    <row r="23" ht="30" customHeight="1" s="462">
      <c r="A23" s="586" t="inlineStr">
        <is>
          <t xml:space="preserve">Operating Income  (Profit from Operations before other income) </t>
        </is>
      </c>
      <c r="B23" s="582" t="n">
        <v>1053.6</v>
      </c>
      <c r="C23" s="521" t="n">
        <v>516.000000000001</v>
      </c>
      <c r="D23" s="521" t="n">
        <v>541</v>
      </c>
      <c r="E23" s="521" t="n">
        <v>621.8</v>
      </c>
      <c r="F23" s="521" t="n">
        <v>494</v>
      </c>
      <c r="G23" s="582" t="n">
        <v>2024.7</v>
      </c>
      <c r="H23" s="521" t="n">
        <v>461.4</v>
      </c>
      <c r="I23" s="521" t="n">
        <v>702.5</v>
      </c>
      <c r="J23" s="521" t="n">
        <v>531.9</v>
      </c>
      <c r="K23" s="521" t="n">
        <v>711.799999999999</v>
      </c>
      <c r="L23" s="582" t="n">
        <v>2407.6</v>
      </c>
      <c r="M23" s="521" t="n">
        <v>874.499999999999</v>
      </c>
      <c r="N23" s="521" t="n">
        <v>960.83</v>
      </c>
      <c r="O23" s="521" t="n">
        <v>1267</v>
      </c>
      <c r="P23" s="506" t="n">
        <v>1408</v>
      </c>
      <c r="Q23" s="582" t="n">
        <v>4510.33</v>
      </c>
      <c r="R23" s="521" t="n">
        <v>1624.4</v>
      </c>
      <c r="S23" s="521" t="n">
        <v>1459.61580620532</v>
      </c>
      <c r="T23" s="521" t="n">
        <v>1544.49303001968</v>
      </c>
      <c r="U23" s="521" t="n">
        <v>1693.79930998946</v>
      </c>
      <c r="V23" s="584" t="n">
        <v>6322.30814621446</v>
      </c>
      <c r="W23" s="521" t="n">
        <v>2175.46875448599</v>
      </c>
      <c r="X23" s="521" t="n">
        <v>1605.33663413152</v>
      </c>
      <c r="Y23" s="521" t="n">
        <v>1657.02293468192</v>
      </c>
      <c r="Z23" s="521" t="n">
        <v>2120.7701568687</v>
      </c>
      <c r="AA23" s="584" t="n">
        <v>7558.59848016813</v>
      </c>
      <c r="AB23" s="521" t="n">
        <v>2633.11678618903</v>
      </c>
      <c r="AC23" s="521" t="n">
        <v>2009.28895694949</v>
      </c>
      <c r="AD23" s="521" t="n">
        <v>1883.17996963199</v>
      </c>
      <c r="AE23" s="521" t="n">
        <v>2527.8985251436</v>
      </c>
      <c r="AF23" s="584" t="n">
        <v>9053.484237914119</v>
      </c>
      <c r="AG23" s="521" t="n">
        <v>3152.50894341167</v>
      </c>
      <c r="AH23" s="521" t="n">
        <v>2467.64699173944</v>
      </c>
      <c r="AI23" s="521" t="n">
        <v>2139.44402721208</v>
      </c>
      <c r="AJ23" s="521" t="n">
        <v>2989.86666493625</v>
      </c>
      <c r="AK23" s="584" t="n">
        <v>10749.4666272994</v>
      </c>
      <c r="AL23" s="521" t="n">
        <v>3721.25714338665</v>
      </c>
      <c r="AM23" s="521" t="n">
        <v>2968.70280137996</v>
      </c>
      <c r="AN23" s="521" t="n">
        <v>2416.35924394714</v>
      </c>
      <c r="AO23" s="521" t="n">
        <v>3494.92640921614</v>
      </c>
      <c r="AP23" s="584" t="n">
        <v>12601.2455979299</v>
      </c>
    </row>
    <row r="24" ht="15" customHeight="1" s="462">
      <c r="A24" s="578" t="inlineStr">
        <is>
          <t>Other Income</t>
        </is>
      </c>
      <c r="B24" s="575" t="n">
        <v>225.7</v>
      </c>
      <c r="C24" s="576" t="n">
        <v>171.1</v>
      </c>
      <c r="D24" s="576" t="n">
        <v>267</v>
      </c>
      <c r="E24" s="576" t="n">
        <v>263.3</v>
      </c>
      <c r="F24" s="576" t="n">
        <v>8</v>
      </c>
      <c r="G24" s="575" t="n">
        <v>493.1</v>
      </c>
      <c r="H24" s="576" t="n">
        <v>335.3</v>
      </c>
      <c r="I24" s="576" t="n">
        <v>26.1</v>
      </c>
      <c r="J24" s="576" t="n">
        <v>175.2</v>
      </c>
      <c r="K24" s="521" t="n">
        <v>405.8</v>
      </c>
      <c r="L24" s="575" t="n">
        <v>942.4</v>
      </c>
      <c r="M24" s="576" t="n">
        <v>15</v>
      </c>
      <c r="N24" s="576" t="n">
        <v>37.6</v>
      </c>
      <c r="O24" s="576" t="n">
        <v>53.2</v>
      </c>
      <c r="P24" s="506" t="n">
        <v>53.3</v>
      </c>
      <c r="Q24" s="575" t="n">
        <v>159.1</v>
      </c>
      <c r="R24" s="576" t="n">
        <v>22.3</v>
      </c>
      <c r="S24" s="587" t="n">
        <v>37.6</v>
      </c>
      <c r="T24" s="587" t="n">
        <v>53.2</v>
      </c>
      <c r="U24" s="587" t="n">
        <v>53.3</v>
      </c>
      <c r="V24" s="577" t="n">
        <v>166.4</v>
      </c>
      <c r="W24" s="581" t="n">
        <v>22.3</v>
      </c>
      <c r="X24" s="581" t="n">
        <v>37.6</v>
      </c>
      <c r="Y24" s="581" t="n">
        <v>53.2</v>
      </c>
      <c r="Z24" s="581" t="n">
        <v>53.3</v>
      </c>
      <c r="AA24" s="577" t="n">
        <v>166.4</v>
      </c>
      <c r="AB24" s="581" t="n">
        <v>22.3</v>
      </c>
      <c r="AC24" s="581" t="n">
        <v>37.6</v>
      </c>
      <c r="AD24" s="581" t="n">
        <v>53.2</v>
      </c>
      <c r="AE24" s="581" t="n">
        <v>53.3</v>
      </c>
      <c r="AF24" s="577" t="n">
        <v>166.4</v>
      </c>
      <c r="AG24" s="581" t="n">
        <v>22.3</v>
      </c>
      <c r="AH24" s="581" t="n">
        <v>37.6</v>
      </c>
      <c r="AI24" s="581" t="n">
        <v>53.2</v>
      </c>
      <c r="AJ24" s="581" t="n">
        <v>53.3</v>
      </c>
      <c r="AK24" s="577" t="n">
        <v>166.4</v>
      </c>
      <c r="AL24" s="581" t="n">
        <v>22.3</v>
      </c>
      <c r="AM24" s="581" t="n">
        <v>37.6</v>
      </c>
      <c r="AN24" s="581" t="n">
        <v>53.2</v>
      </c>
      <c r="AO24" s="581" t="n">
        <v>53.3</v>
      </c>
      <c r="AP24" s="577" t="n">
        <v>166.4</v>
      </c>
    </row>
    <row r="25" ht="15" customHeight="1" s="462">
      <c r="A25" s="522" t="inlineStr">
        <is>
          <t>Profit Before Interest and Tax (PBIT)</t>
        </is>
      </c>
      <c r="B25" s="563" t="n">
        <v>1279.3</v>
      </c>
      <c r="C25" s="521" t="n">
        <v>687.100000000001</v>
      </c>
      <c r="D25" s="521" t="n">
        <v>808</v>
      </c>
      <c r="E25" s="521" t="n">
        <v>885.1</v>
      </c>
      <c r="F25" s="521" t="n">
        <v>502</v>
      </c>
      <c r="G25" s="563" t="n">
        <v>2517.8</v>
      </c>
      <c r="H25" s="506" t="n">
        <v>796.7</v>
      </c>
      <c r="I25" s="506" t="n">
        <v>728.6</v>
      </c>
      <c r="J25" s="506" t="n">
        <v>707.1</v>
      </c>
      <c r="K25" s="521" t="n">
        <v>1117.6</v>
      </c>
      <c r="L25" s="563" t="n">
        <v>3350</v>
      </c>
      <c r="M25" s="521" t="n">
        <v>889.499999999999</v>
      </c>
      <c r="N25" s="521" t="n">
        <v>998.4299999999999</v>
      </c>
      <c r="O25" s="521" t="n">
        <v>1320.2</v>
      </c>
      <c r="P25" s="506" t="n">
        <v>1461.3</v>
      </c>
      <c r="Q25" s="563" t="n">
        <v>4669.43</v>
      </c>
      <c r="R25" s="521" t="n">
        <v>1646.7</v>
      </c>
      <c r="S25" s="521" t="n">
        <v>1497.21580620532</v>
      </c>
      <c r="T25" s="521" t="n">
        <v>1597.69303001968</v>
      </c>
      <c r="U25" s="521" t="n">
        <v>1747.09930998946</v>
      </c>
      <c r="V25" s="577" t="n">
        <v>6488.70814621445</v>
      </c>
      <c r="W25" s="521" t="n">
        <v>2197.76875448599</v>
      </c>
      <c r="X25" s="521" t="n">
        <v>1642.93663413152</v>
      </c>
      <c r="Y25" s="521" t="n">
        <v>1710.22293468192</v>
      </c>
      <c r="Z25" s="521" t="n">
        <v>2174.0701568687</v>
      </c>
      <c r="AA25" s="577" t="n">
        <v>7724.99848016813</v>
      </c>
      <c r="AB25" s="521" t="n">
        <v>2655.41678618903</v>
      </c>
      <c r="AC25" s="521" t="n">
        <v>2046.88895694949</v>
      </c>
      <c r="AD25" s="521" t="n">
        <v>1936.37996963199</v>
      </c>
      <c r="AE25" s="521" t="n">
        <v>2581.1985251436</v>
      </c>
      <c r="AF25" s="577" t="n">
        <v>9219.884237914121</v>
      </c>
      <c r="AG25" s="521" t="n">
        <v>3174.80894341167</v>
      </c>
      <c r="AH25" s="521" t="n">
        <v>2505.24699173944</v>
      </c>
      <c r="AI25" s="521" t="n">
        <v>2192.64402721208</v>
      </c>
      <c r="AJ25" s="521" t="n">
        <v>3043.16666493625</v>
      </c>
      <c r="AK25" s="577" t="n">
        <v>10915.8666272994</v>
      </c>
      <c r="AL25" s="521" t="n">
        <v>3743.55714338665</v>
      </c>
      <c r="AM25" s="521" t="n">
        <v>3006.30280137996</v>
      </c>
      <c r="AN25" s="521" t="n">
        <v>2469.55924394714</v>
      </c>
      <c r="AO25" s="521" t="n">
        <v>3548.22640921614</v>
      </c>
      <c r="AP25" s="577" t="n">
        <v>12767.6455979299</v>
      </c>
    </row>
    <row r="26" ht="15" customHeight="1" s="462">
      <c r="A26" s="522" t="n"/>
      <c r="B26" s="563" t="n"/>
      <c r="C26" s="521" t="n"/>
      <c r="D26" s="521" t="n"/>
      <c r="E26" s="521" t="n"/>
      <c r="F26" s="521" t="n"/>
      <c r="G26" s="563" t="n"/>
      <c r="H26" s="506" t="n"/>
      <c r="I26" s="506" t="n"/>
      <c r="J26" s="506" t="n"/>
      <c r="K26" s="521" t="n"/>
      <c r="L26" s="563" t="n"/>
      <c r="M26" s="521" t="n"/>
      <c r="N26" s="521" t="n"/>
      <c r="O26" s="521" t="n"/>
      <c r="P26" s="506" t="n"/>
      <c r="Q26" s="563" t="n"/>
      <c r="R26" s="521" t="n"/>
      <c r="S26" s="521" t="n"/>
      <c r="V26" s="577" t="n"/>
      <c r="AA26" s="577" t="n"/>
      <c r="AF26" s="577" t="n"/>
      <c r="AK26" s="577" t="n"/>
      <c r="AP26" s="577" t="n"/>
    </row>
    <row r="27" ht="15" customFormat="1" customHeight="1" s="549">
      <c r="A27" s="549" t="inlineStr">
        <is>
          <t>PBIT  Margin (%)</t>
        </is>
      </c>
      <c r="B27" s="548" t="n">
        <v>0.0754526688292539</v>
      </c>
      <c r="C27" s="549" t="n">
        <v>0.15667183509668</v>
      </c>
      <c r="D27" s="549" t="n">
        <v>0.168333333333333</v>
      </c>
      <c r="E27" s="549" t="n">
        <v>0.167505677517033</v>
      </c>
      <c r="F27" s="549" t="n">
        <v>0.0894671181607557</v>
      </c>
      <c r="G27" s="548" t="n">
        <v>0.111891281741341</v>
      </c>
      <c r="H27" s="549" t="n">
        <v>0.140650377798178</v>
      </c>
      <c r="I27" s="549" t="n">
        <v>0.109241933549238</v>
      </c>
      <c r="J27" s="549" t="n">
        <v>0.115881938412626</v>
      </c>
      <c r="K27" s="549" t="n">
        <v>0.157697192041766</v>
      </c>
      <c r="L27" s="548" t="n">
        <v>0.131254677172265</v>
      </c>
      <c r="M27" s="549" t="n">
        <v>0.125850677004485</v>
      </c>
      <c r="N27" s="549" t="n">
        <v>0.137909839179085</v>
      </c>
      <c r="O27" s="549" t="n">
        <v>0.174449641903856</v>
      </c>
      <c r="P27" s="549" t="n">
        <v>0.168191706087497</v>
      </c>
      <c r="Q27" s="548" t="n">
        <v>0.152776837120338</v>
      </c>
      <c r="R27" s="549" t="n">
        <v>0.199187139383823</v>
      </c>
      <c r="S27" s="549" t="n">
        <v>0.144433570086511</v>
      </c>
      <c r="T27" s="549" t="n">
        <v>0.154126417361929</v>
      </c>
      <c r="U27" s="549" t="n">
        <v>0.168539357914614</v>
      </c>
      <c r="V27" s="588" t="n">
        <v>0.164832516869254</v>
      </c>
      <c r="W27" s="549" t="n">
        <v>0.194696708375205</v>
      </c>
      <c r="X27" s="549" t="n">
        <v>0.142087346130053</v>
      </c>
      <c r="Y27" s="549" t="n">
        <v>0.141496193940705</v>
      </c>
      <c r="Z27" s="549" t="n">
        <v>0.156684810840415</v>
      </c>
      <c r="AA27" s="588" t="n">
        <v>0.158256430869727</v>
      </c>
      <c r="AB27" s="549" t="n">
        <v>0.189708864949446</v>
      </c>
      <c r="AC27" s="549" t="n">
        <v>0.142760212882959</v>
      </c>
      <c r="AD27" s="549" t="n">
        <v>0.129199528361066</v>
      </c>
      <c r="AE27" s="549" t="n">
        <v>0.150021348940137</v>
      </c>
      <c r="AF27" s="588" t="n">
        <v>0.152323442905502</v>
      </c>
      <c r="AG27" s="549" t="n">
        <v>0.185914256294295</v>
      </c>
      <c r="AH27" s="549" t="n">
        <v>0.143219984558598</v>
      </c>
      <c r="AI27" s="549" t="n">
        <v>0.119916417732619</v>
      </c>
      <c r="AJ27" s="549" t="n">
        <v>0.144976484753305</v>
      </c>
      <c r="AK27" s="588" t="n">
        <v>0.14782220261188</v>
      </c>
      <c r="AL27" s="549" t="n">
        <v>0.18268307757863</v>
      </c>
      <c r="AM27" s="549" t="n">
        <v>0.143220289992631</v>
      </c>
      <c r="AN27" s="549" t="n">
        <v>0.11255083445577</v>
      </c>
      <c r="AO27" s="549" t="n">
        <v>0.140864612577223</v>
      </c>
      <c r="AP27" s="588" t="n">
        <v>0.14408242903758</v>
      </c>
    </row>
    <row r="28" ht="15" customFormat="1" customHeight="1" s="549">
      <c r="A28" s="589" t="n"/>
      <c r="B28" s="548" t="n"/>
      <c r="G28" s="548" t="n"/>
      <c r="L28" s="548" t="n"/>
      <c r="Q28" s="548" t="n"/>
      <c r="V28" s="588" t="n"/>
      <c r="AA28" s="588" t="n"/>
      <c r="AF28" s="588" t="n"/>
      <c r="AK28" s="588" t="n"/>
      <c r="AP28" s="588" t="n"/>
    </row>
    <row r="29" ht="15" customHeight="1" s="462">
      <c r="A29" s="461" t="inlineStr">
        <is>
          <t>Interest (net)</t>
        </is>
      </c>
      <c r="B29" s="590" t="n">
        <v>604.1</v>
      </c>
      <c r="C29" s="576" t="n">
        <v>180.9</v>
      </c>
      <c r="D29" s="576" t="n">
        <v>202.4</v>
      </c>
      <c r="E29" s="576" t="n">
        <v>196.7</v>
      </c>
      <c r="F29" s="576" t="n">
        <v>106</v>
      </c>
      <c r="G29" s="590" t="n">
        <v>453.6</v>
      </c>
      <c r="H29" s="591" t="n">
        <v>106.3</v>
      </c>
      <c r="I29" s="576" t="n">
        <v>116.1</v>
      </c>
      <c r="J29" s="576" t="n">
        <v>101</v>
      </c>
      <c r="K29" s="521" t="n">
        <v>109</v>
      </c>
      <c r="L29" s="590" t="n">
        <v>432.4</v>
      </c>
      <c r="M29" s="576" t="n">
        <v>132.5</v>
      </c>
      <c r="N29" s="576" t="n">
        <v>156.3</v>
      </c>
      <c r="O29" s="576" t="n">
        <v>254.7</v>
      </c>
      <c r="P29" s="506" t="n">
        <v>267.4</v>
      </c>
      <c r="Q29" s="590" t="n">
        <v>810.9</v>
      </c>
      <c r="R29" s="576" t="n">
        <v>226.8</v>
      </c>
      <c r="S29" s="521" t="n">
        <v>544.032787172936</v>
      </c>
      <c r="T29" s="521" t="n">
        <v>544.032787172936</v>
      </c>
      <c r="U29" s="521" t="n">
        <v>544.032787172936</v>
      </c>
      <c r="V29" s="592" t="n">
        <v>1858.89836151881</v>
      </c>
      <c r="W29" s="506" t="n">
        <v>532.888794310349</v>
      </c>
      <c r="X29" s="506" t="n">
        <v>532.888794310349</v>
      </c>
      <c r="Y29" s="506" t="n">
        <v>532.888794310349</v>
      </c>
      <c r="Z29" s="506" t="n">
        <v>532.888794310349</v>
      </c>
      <c r="AA29" s="592" t="n">
        <v>2131.5551772414</v>
      </c>
      <c r="AB29" s="506" t="n">
        <v>656.913178832481</v>
      </c>
      <c r="AC29" s="506" t="n">
        <v>656.913178832481</v>
      </c>
      <c r="AD29" s="506" t="n">
        <v>656.913178832481</v>
      </c>
      <c r="AE29" s="506" t="n">
        <v>656.913178832481</v>
      </c>
      <c r="AF29" s="592" t="n">
        <v>2627.65271532993</v>
      </c>
      <c r="AG29" s="506" t="n">
        <v>435.008810775486</v>
      </c>
      <c r="AH29" s="506" t="n">
        <v>435.008810775486</v>
      </c>
      <c r="AI29" s="506" t="n">
        <v>435.008810775486</v>
      </c>
      <c r="AJ29" s="506" t="n">
        <v>435.008810775486</v>
      </c>
      <c r="AK29" s="592" t="n">
        <v>1740.03524310194</v>
      </c>
      <c r="AL29" s="506" t="n">
        <v>423.963948558768</v>
      </c>
      <c r="AM29" s="506" t="n">
        <v>423.963948558768</v>
      </c>
      <c r="AN29" s="506" t="n">
        <v>423.963948558768</v>
      </c>
      <c r="AO29" s="506" t="n">
        <v>423.963948558768</v>
      </c>
      <c r="AP29" s="592" t="n">
        <v>1695.85579423507</v>
      </c>
    </row>
    <row r="30" ht="15" customHeight="1" s="462">
      <c r="A30" s="461" t="inlineStr">
        <is>
          <t>Foreign Exchange (Gain) / Loss (net)</t>
        </is>
      </c>
      <c r="B30" s="563" t="n">
        <v>0</v>
      </c>
      <c r="C30" s="521" t="n">
        <v>0</v>
      </c>
      <c r="D30" s="521" t="n">
        <v>0</v>
      </c>
      <c r="E30" s="521" t="n"/>
      <c r="F30" s="576" t="n">
        <v>-294</v>
      </c>
      <c r="G30" s="563" t="n">
        <v>0</v>
      </c>
      <c r="H30" s="521" t="n">
        <v>0</v>
      </c>
      <c r="I30" s="576" t="n">
        <v>-225.7</v>
      </c>
      <c r="J30" s="521" t="n">
        <v>0</v>
      </c>
      <c r="K30" s="521" t="n">
        <v>0</v>
      </c>
      <c r="L30" s="563" t="n">
        <v>0</v>
      </c>
      <c r="M30" s="576" t="n">
        <v>537.1</v>
      </c>
      <c r="N30" s="576" t="n">
        <v>1051</v>
      </c>
      <c r="O30" s="576" t="n">
        <v>570.5</v>
      </c>
      <c r="P30" s="506" t="n">
        <v>388.1</v>
      </c>
      <c r="Q30" s="563" t="n">
        <v>2546.7</v>
      </c>
      <c r="R30" s="576" t="n">
        <v>-575.4</v>
      </c>
      <c r="S30" s="521" t="n">
        <v>-89.4309333333332</v>
      </c>
      <c r="T30" s="521" t="n">
        <v>-89.4309333333332</v>
      </c>
      <c r="U30" s="521" t="n">
        <v>-89.4309333333332</v>
      </c>
      <c r="V30" s="577" t="n">
        <v>-843.6928</v>
      </c>
      <c r="W30" s="521" t="n">
        <v>0</v>
      </c>
      <c r="X30" s="521" t="n">
        <v>0</v>
      </c>
      <c r="Y30" s="521" t="n">
        <v>0</v>
      </c>
      <c r="Z30" s="521" t="n">
        <v>0</v>
      </c>
      <c r="AA30" s="577" t="n">
        <v>-69.59999999999999</v>
      </c>
      <c r="AB30" s="521" t="n">
        <v>0</v>
      </c>
      <c r="AC30" s="521" t="n">
        <v>0</v>
      </c>
      <c r="AD30" s="521" t="n">
        <v>0</v>
      </c>
      <c r="AE30" s="521" t="n">
        <v>0</v>
      </c>
      <c r="AF30" s="577" t="n">
        <v>0</v>
      </c>
      <c r="AG30" s="521" t="n">
        <v>0</v>
      </c>
      <c r="AH30" s="521" t="n">
        <v>0</v>
      </c>
      <c r="AI30" s="521" t="n">
        <v>0</v>
      </c>
      <c r="AJ30" s="521" t="n">
        <v>0</v>
      </c>
      <c r="AK30" s="577" t="n">
        <v>0</v>
      </c>
      <c r="AL30" s="521" t="n">
        <v>0</v>
      </c>
      <c r="AM30" s="521" t="n">
        <v>0</v>
      </c>
      <c r="AN30" s="521" t="n">
        <v>0</v>
      </c>
      <c r="AO30" s="521" t="n">
        <v>0</v>
      </c>
      <c r="AP30" s="577" t="n">
        <v>0</v>
      </c>
    </row>
    <row r="31" ht="15" customHeight="1" s="462">
      <c r="A31" s="461" t="inlineStr">
        <is>
          <t>Exceptional Item</t>
        </is>
      </c>
      <c r="B31" s="575" t="n">
        <v>309.8</v>
      </c>
      <c r="C31" s="521" t="n">
        <v>0</v>
      </c>
      <c r="D31" s="521" t="n">
        <v>0</v>
      </c>
      <c r="E31" s="521" t="n">
        <v>0</v>
      </c>
      <c r="F31" s="521" t="n">
        <v>0</v>
      </c>
      <c r="G31" s="575" t="n">
        <v>0</v>
      </c>
      <c r="H31" s="521" t="n">
        <v>0</v>
      </c>
      <c r="I31" s="521" t="n">
        <v>0</v>
      </c>
      <c r="J31" s="521" t="n">
        <v>0</v>
      </c>
      <c r="K31" s="521" t="n">
        <v>0</v>
      </c>
      <c r="L31" s="575" t="n">
        <v>0</v>
      </c>
      <c r="M31" s="521" t="n">
        <v>0</v>
      </c>
      <c r="N31" s="521" t="n">
        <v>0</v>
      </c>
      <c r="O31" s="521" t="n">
        <v>0</v>
      </c>
      <c r="P31" s="521" t="n">
        <v>0</v>
      </c>
      <c r="Q31" s="575" t="n">
        <v>0</v>
      </c>
      <c r="R31" s="521" t="n">
        <v>0</v>
      </c>
      <c r="S31" s="521" t="n">
        <v>0</v>
      </c>
      <c r="T31" s="521" t="n">
        <v>0</v>
      </c>
      <c r="U31" s="521" t="n">
        <v>0</v>
      </c>
      <c r="V31" s="577" t="n">
        <v>0</v>
      </c>
      <c r="W31" s="521" t="n">
        <v>0</v>
      </c>
      <c r="X31" s="521" t="n">
        <v>0</v>
      </c>
      <c r="Y31" s="521" t="n">
        <v>0</v>
      </c>
      <c r="Z31" s="521" t="n">
        <v>0</v>
      </c>
      <c r="AA31" s="577" t="n">
        <v>-166.608507648</v>
      </c>
      <c r="AB31" s="521" t="n">
        <v>0</v>
      </c>
      <c r="AC31" s="521" t="n">
        <v>0</v>
      </c>
      <c r="AD31" s="521" t="n">
        <v>0</v>
      </c>
      <c r="AE31" s="521" t="n">
        <v>0</v>
      </c>
      <c r="AF31" s="577" t="n">
        <v>0</v>
      </c>
      <c r="AG31" s="521" t="n">
        <v>0</v>
      </c>
      <c r="AH31" s="521" t="n">
        <v>0</v>
      </c>
      <c r="AI31" s="521" t="n">
        <v>0</v>
      </c>
      <c r="AJ31" s="521" t="n">
        <v>0</v>
      </c>
      <c r="AK31" s="577" t="n">
        <v>0</v>
      </c>
      <c r="AL31" s="521" t="n">
        <v>0</v>
      </c>
      <c r="AM31" s="521" t="n">
        <v>0</v>
      </c>
      <c r="AN31" s="521" t="n">
        <v>0</v>
      </c>
      <c r="AO31" s="521" t="n">
        <v>0</v>
      </c>
      <c r="AP31" s="577" t="n">
        <v>0</v>
      </c>
    </row>
    <row r="32" ht="15" customHeight="1" s="462">
      <c r="A32" s="522" t="inlineStr">
        <is>
          <t>Profit from Ordinary Activities before Tax (PBT)</t>
        </is>
      </c>
      <c r="B32" s="563" t="n">
        <v>985.000000000001</v>
      </c>
      <c r="C32" s="521" t="n">
        <v>506.200000000001</v>
      </c>
      <c r="D32" s="521" t="n">
        <v>605.6</v>
      </c>
      <c r="E32" s="521" t="n">
        <v>688.4</v>
      </c>
      <c r="F32" s="521" t="n">
        <v>690</v>
      </c>
      <c r="G32" s="563" t="n">
        <v>2064.2</v>
      </c>
      <c r="H32" s="521" t="n">
        <v>690.4</v>
      </c>
      <c r="I32" s="521" t="n">
        <v>838.2</v>
      </c>
      <c r="J32" s="521" t="n">
        <v>606.1</v>
      </c>
      <c r="K32" s="521" t="n">
        <v>782.899999999999</v>
      </c>
      <c r="L32" s="563" t="n">
        <v>2917.6</v>
      </c>
      <c r="M32" s="521" t="n">
        <v>219.899999999999</v>
      </c>
      <c r="N32" s="521" t="n">
        <v>-208.87</v>
      </c>
      <c r="O32" s="521" t="n">
        <v>495.000000000001</v>
      </c>
      <c r="P32" s="506" t="n">
        <v>805.800000000002</v>
      </c>
      <c r="Q32" s="563" t="n">
        <v>1311.83</v>
      </c>
      <c r="R32" s="521" t="n">
        <v>1995.3</v>
      </c>
      <c r="S32" s="521" t="n">
        <v>1042.61395236572</v>
      </c>
      <c r="T32" s="521" t="n">
        <v>1143.09117618008</v>
      </c>
      <c r="U32" s="521" t="n">
        <v>1292.49745614985</v>
      </c>
      <c r="V32" s="577" t="n">
        <v>5473.50258469565</v>
      </c>
      <c r="W32" s="521" t="n">
        <v>1664.87996017564</v>
      </c>
      <c r="X32" s="521" t="n">
        <v>1110.04783982117</v>
      </c>
      <c r="Y32" s="521" t="n">
        <v>1177.33414037157</v>
      </c>
      <c r="Z32" s="521" t="n">
        <v>1641.18136255836</v>
      </c>
      <c r="AA32" s="577" t="n">
        <v>5829.65181057474</v>
      </c>
      <c r="AB32" s="521" t="n">
        <v>1998.50360735655</v>
      </c>
      <c r="AC32" s="521" t="n">
        <v>1389.97577811701</v>
      </c>
      <c r="AD32" s="521" t="n">
        <v>1279.46679079951</v>
      </c>
      <c r="AE32" s="521" t="n">
        <v>1924.28534631112</v>
      </c>
      <c r="AF32" s="577" t="n">
        <v>6592.23152258419</v>
      </c>
      <c r="AG32" s="521" t="n">
        <v>2739.80013263619</v>
      </c>
      <c r="AH32" s="521" t="n">
        <v>2070.23818096395</v>
      </c>
      <c r="AI32" s="521" t="n">
        <v>1757.6352164366</v>
      </c>
      <c r="AJ32" s="521" t="n">
        <v>2608.15785416076</v>
      </c>
      <c r="AK32" s="577" t="n">
        <v>9175.83138419749</v>
      </c>
      <c r="AL32" s="521" t="n">
        <v>3319.59319482788</v>
      </c>
      <c r="AM32" s="521" t="n">
        <v>2582.33885282119</v>
      </c>
      <c r="AN32" s="521" t="n">
        <v>2045.59529538837</v>
      </c>
      <c r="AO32" s="521" t="n">
        <v>3124.26246065737</v>
      </c>
      <c r="AP32" s="577" t="n">
        <v>11071.7898036948</v>
      </c>
    </row>
    <row r="33" ht="15" customHeight="1" s="462">
      <c r="A33" s="522" t="n"/>
      <c r="B33" s="563" t="n"/>
      <c r="C33" s="521" t="n"/>
      <c r="D33" s="521" t="n"/>
      <c r="E33" s="521" t="n"/>
      <c r="F33" s="521" t="n"/>
      <c r="G33" s="563" t="n"/>
      <c r="H33" s="521" t="n"/>
      <c r="I33" s="521" t="n"/>
      <c r="J33" s="521" t="n"/>
      <c r="K33" s="521" t="n"/>
      <c r="L33" s="563" t="n"/>
      <c r="M33" s="521" t="n"/>
      <c r="N33" s="521" t="n"/>
      <c r="O33" s="521" t="n"/>
      <c r="P33" s="506" t="n"/>
      <c r="Q33" s="563" t="n"/>
      <c r="R33" s="521" t="n"/>
      <c r="S33" s="521" t="n"/>
      <c r="V33" s="577" t="n"/>
      <c r="AA33" s="577" t="n"/>
      <c r="AF33" s="577" t="n"/>
      <c r="AK33" s="577" t="n"/>
      <c r="AP33" s="577" t="n"/>
    </row>
    <row r="34" ht="15" customFormat="1" customHeight="1" s="546">
      <c r="A34" s="546" t="inlineStr">
        <is>
          <t>PBT Margin (%)</t>
        </is>
      </c>
      <c r="B34" s="548" t="n">
        <v>0.0580949572397523</v>
      </c>
      <c r="C34" s="549" t="n">
        <v>0.115423203210507</v>
      </c>
      <c r="D34" s="549" t="n">
        <v>0.126166666666667</v>
      </c>
      <c r="E34" s="549" t="n">
        <v>0.130280090840273</v>
      </c>
      <c r="F34" s="549" t="n">
        <v>0.12297273213331</v>
      </c>
      <c r="G34" s="548" t="n">
        <v>0.09173325274862019</v>
      </c>
      <c r="H34" s="549" t="n">
        <v>0.121884047736742</v>
      </c>
      <c r="I34" s="549" t="n">
        <v>0.125674703130623</v>
      </c>
      <c r="J34" s="549" t="n">
        <v>0.0993297169734017</v>
      </c>
      <c r="K34" s="549" t="n">
        <v>0.110469874417948</v>
      </c>
      <c r="L34" s="548" t="n">
        <v>0.114313028691881</v>
      </c>
      <c r="M34" s="549" t="n">
        <v>0.0311124945174662</v>
      </c>
      <c r="N34" s="549" t="n">
        <v>-0.0288505234311225</v>
      </c>
      <c r="O34" s="549" t="n">
        <v>0.0654087053040515</v>
      </c>
      <c r="P34" s="549" t="n">
        <v>0.0927454162494392</v>
      </c>
      <c r="Q34" s="548" t="n">
        <v>0.0429211356074668</v>
      </c>
      <c r="R34" s="549" t="n">
        <v>0.241354283848024</v>
      </c>
      <c r="S34" s="549" t="n">
        <v>0.100578991176865</v>
      </c>
      <c r="T34" s="549" t="n">
        <v>0.110271838452283</v>
      </c>
      <c r="U34" s="549" t="n">
        <v>0.124684779004969</v>
      </c>
      <c r="V34" s="588" t="n">
        <v>0.139043271294626</v>
      </c>
      <c r="W34" s="549" t="n">
        <v>0.147488969175854</v>
      </c>
      <c r="X34" s="549" t="n">
        <v>0.0960011167569854</v>
      </c>
      <c r="Y34" s="549" t="n">
        <v>0.0974073592867661</v>
      </c>
      <c r="Z34" s="549" t="n">
        <v>0.118279619696192</v>
      </c>
      <c r="AA34" s="588" t="n">
        <v>0.119427840811008</v>
      </c>
      <c r="AB34" s="549" t="n">
        <v>0.142777530412883</v>
      </c>
      <c r="AC34" s="549" t="n">
        <v>0.0969438216530657</v>
      </c>
      <c r="AD34" s="549" t="n">
        <v>0.0853688369624889</v>
      </c>
      <c r="AE34" s="549" t="n">
        <v>0.111841022915226</v>
      </c>
      <c r="AF34" s="588" t="n">
        <v>0.108911497806114</v>
      </c>
      <c r="AG34" s="549" t="n">
        <v>0.160440490477735</v>
      </c>
      <c r="AH34" s="549" t="n">
        <v>0.118351396603978</v>
      </c>
      <c r="AI34" s="549" t="n">
        <v>0.0961256438436856</v>
      </c>
      <c r="AJ34" s="549" t="n">
        <v>0.124252661457788</v>
      </c>
      <c r="AK34" s="588" t="n">
        <v>0.124258719194598</v>
      </c>
      <c r="AL34" s="549" t="n">
        <v>0.161993921265916</v>
      </c>
      <c r="AM34" s="549" t="n">
        <v>0.123022644023258</v>
      </c>
      <c r="AN34" s="549" t="n">
        <v>0.093228562148917</v>
      </c>
      <c r="AO34" s="549" t="n">
        <v>0.124033240936078</v>
      </c>
      <c r="AP34" s="588" t="n">
        <v>0.124944756374543</v>
      </c>
    </row>
    <row r="35" ht="15" customFormat="1" customHeight="1" s="546">
      <c r="A35" s="557" t="n"/>
      <c r="B35" s="548" t="n"/>
      <c r="C35" s="549" t="n"/>
      <c r="D35" s="549" t="n"/>
      <c r="E35" s="549" t="n"/>
      <c r="F35" s="549" t="n"/>
      <c r="G35" s="548" t="n"/>
      <c r="H35" s="549" t="n"/>
      <c r="I35" s="549" t="n"/>
      <c r="J35" s="549" t="n"/>
      <c r="K35" s="549" t="n"/>
      <c r="L35" s="548" t="n"/>
      <c r="M35" s="549" t="n"/>
      <c r="N35" s="549" t="n"/>
      <c r="O35" s="549" t="n"/>
      <c r="P35" s="549" t="n"/>
      <c r="Q35" s="548" t="n"/>
      <c r="R35" s="549" t="n"/>
      <c r="S35" s="593" t="n"/>
      <c r="V35" s="588" t="n"/>
      <c r="AA35" s="588" t="n"/>
      <c r="AF35" s="588" t="n"/>
      <c r="AK35" s="588" t="n"/>
      <c r="AP35" s="588" t="n"/>
    </row>
    <row r="36" ht="15" customHeight="1" s="462">
      <c r="A36" s="461" t="inlineStr">
        <is>
          <t>Provision for Taxation</t>
        </is>
      </c>
      <c r="B36" s="563" t="n"/>
      <c r="C36" s="521" t="n"/>
      <c r="D36" s="521" t="n"/>
      <c r="E36" s="521" t="n"/>
      <c r="F36" s="521" t="n"/>
      <c r="G36" s="563" t="n"/>
      <c r="H36" s="594" t="n"/>
      <c r="I36" s="521" t="n"/>
      <c r="J36" s="521" t="n"/>
      <c r="K36" s="521" t="n"/>
      <c r="L36" s="563" t="n"/>
      <c r="M36" s="521" t="n"/>
      <c r="N36" s="521" t="n"/>
      <c r="O36" s="521" t="n"/>
      <c r="Q36" s="563" t="n"/>
      <c r="R36" s="521" t="n"/>
      <c r="S36" s="521" t="n"/>
      <c r="V36" s="577" t="n"/>
      <c r="AA36" s="577" t="n"/>
      <c r="AF36" s="577" t="n"/>
      <c r="AK36" s="577" t="n"/>
      <c r="AP36" s="577" t="n"/>
    </row>
    <row r="37" ht="15" customHeight="1" s="462">
      <c r="A37" s="578" t="inlineStr">
        <is>
          <t>a. Current Tax</t>
        </is>
      </c>
      <c r="B37" s="575" t="n">
        <v>128.4</v>
      </c>
      <c r="C37" s="576" t="n">
        <v>58.1</v>
      </c>
      <c r="D37" s="576" t="n">
        <v>60.5</v>
      </c>
      <c r="E37" s="576" t="n">
        <v>40</v>
      </c>
      <c r="F37" s="576" t="n">
        <v>81</v>
      </c>
      <c r="G37" s="575" t="n">
        <v>203.4</v>
      </c>
      <c r="H37" s="591" t="n">
        <v>80.59999999999999</v>
      </c>
      <c r="I37" s="576" t="n">
        <v>199.1</v>
      </c>
      <c r="J37" s="576" t="n">
        <v>153.7</v>
      </c>
      <c r="K37" s="521" t="n">
        <v>45.8</v>
      </c>
      <c r="L37" s="575" t="n">
        <v>479.2</v>
      </c>
      <c r="M37" s="576" t="n">
        <v>65.3</v>
      </c>
      <c r="N37" s="576" t="n">
        <v>188.3</v>
      </c>
      <c r="O37" s="576" t="n">
        <v>33.9</v>
      </c>
      <c r="P37" s="506" t="n">
        <v>-5.89999999999998</v>
      </c>
      <c r="Q37" s="575" t="n">
        <v>281.6</v>
      </c>
      <c r="R37" s="576" t="n">
        <v>320.1</v>
      </c>
      <c r="S37" s="521" t="n">
        <v>0</v>
      </c>
      <c r="T37" s="521" t="n">
        <v>0</v>
      </c>
      <c r="U37" s="521" t="n">
        <v>0</v>
      </c>
      <c r="V37" s="577" t="n"/>
      <c r="W37" s="521" t="n">
        <v>0</v>
      </c>
      <c r="X37" s="521" t="n">
        <v>0</v>
      </c>
      <c r="Y37" s="521" t="n">
        <v>0</v>
      </c>
      <c r="Z37" s="521" t="n">
        <v>0</v>
      </c>
      <c r="AA37" s="577" t="n"/>
      <c r="AB37" s="521" t="n">
        <v>0</v>
      </c>
      <c r="AC37" s="521" t="n">
        <v>0</v>
      </c>
      <c r="AD37" s="521" t="n">
        <v>0</v>
      </c>
      <c r="AE37" s="521" t="n">
        <v>0</v>
      </c>
      <c r="AF37" s="577" t="n"/>
      <c r="AG37" s="521" t="n">
        <v>0</v>
      </c>
      <c r="AH37" s="521" t="n">
        <v>0</v>
      </c>
      <c r="AI37" s="521" t="n">
        <v>0</v>
      </c>
      <c r="AJ37" s="521" t="n">
        <v>0</v>
      </c>
      <c r="AK37" s="577" t="n"/>
      <c r="AL37" s="521" t="n">
        <v>0</v>
      </c>
      <c r="AM37" s="521" t="n">
        <v>0</v>
      </c>
      <c r="AN37" s="521" t="n">
        <v>0</v>
      </c>
      <c r="AO37" s="521" t="n">
        <v>0</v>
      </c>
      <c r="AP37" s="577" t="n"/>
    </row>
    <row r="38" ht="15" customHeight="1" s="462">
      <c r="A38" s="578" t="inlineStr">
        <is>
          <t>b. MAT Credit Entitlement</t>
        </is>
      </c>
      <c r="B38" s="575" t="n">
        <v>-80.90000000000001</v>
      </c>
      <c r="C38" s="576" t="n">
        <v>-52.2</v>
      </c>
      <c r="D38" s="576" t="n">
        <v>-13.7</v>
      </c>
      <c r="E38" s="576" t="n">
        <v>11.3</v>
      </c>
      <c r="F38" s="576" t="n">
        <v>-4</v>
      </c>
      <c r="G38" s="575" t="n">
        <v>-145.4</v>
      </c>
      <c r="H38" s="576" t="n">
        <v>-3.8</v>
      </c>
      <c r="I38" s="576" t="n">
        <v>3.9</v>
      </c>
      <c r="J38" s="576" t="n">
        <v>0</v>
      </c>
      <c r="K38" s="521" t="n">
        <v>0</v>
      </c>
      <c r="L38" s="575" t="n">
        <v>0</v>
      </c>
      <c r="M38" s="576" t="n">
        <v>-40.8</v>
      </c>
      <c r="N38" s="576" t="n">
        <v>40.8</v>
      </c>
      <c r="O38" s="576" t="n">
        <v>0</v>
      </c>
      <c r="P38" s="506" t="n">
        <v>0</v>
      </c>
      <c r="Q38" s="575" t="n">
        <v>0</v>
      </c>
      <c r="R38" s="576" t="n">
        <v>0</v>
      </c>
      <c r="S38" s="521" t="n">
        <v>0</v>
      </c>
      <c r="T38" s="521" t="n">
        <v>0</v>
      </c>
      <c r="U38" s="521" t="n">
        <v>0</v>
      </c>
      <c r="V38" s="577" t="n"/>
      <c r="W38" s="521" t="n">
        <v>0</v>
      </c>
      <c r="X38" s="521" t="n">
        <v>0</v>
      </c>
      <c r="Y38" s="521" t="n">
        <v>0</v>
      </c>
      <c r="Z38" s="521" t="n">
        <v>0</v>
      </c>
      <c r="AA38" s="577" t="n"/>
      <c r="AB38" s="521" t="n">
        <v>0</v>
      </c>
      <c r="AC38" s="521" t="n">
        <v>0</v>
      </c>
      <c r="AD38" s="521" t="n">
        <v>0</v>
      </c>
      <c r="AE38" s="521" t="n">
        <v>0</v>
      </c>
      <c r="AF38" s="577" t="n"/>
      <c r="AG38" s="521" t="n">
        <v>0</v>
      </c>
      <c r="AH38" s="521" t="n">
        <v>0</v>
      </c>
      <c r="AI38" s="521" t="n">
        <v>0</v>
      </c>
      <c r="AJ38" s="521" t="n">
        <v>0</v>
      </c>
      <c r="AK38" s="577" t="n"/>
      <c r="AL38" s="521" t="n">
        <v>0</v>
      </c>
      <c r="AM38" s="521" t="n">
        <v>0</v>
      </c>
      <c r="AN38" s="521" t="n">
        <v>0</v>
      </c>
      <c r="AO38" s="521" t="n">
        <v>0</v>
      </c>
      <c r="AP38" s="577" t="n"/>
    </row>
    <row r="39" ht="15" customHeight="1" s="462">
      <c r="A39" s="578" t="inlineStr">
        <is>
          <t>c. Defferred Tax</t>
        </is>
      </c>
      <c r="B39" s="575" t="n">
        <v>159</v>
      </c>
      <c r="C39" s="576" t="n">
        <v>137.4</v>
      </c>
      <c r="D39" s="576" t="n">
        <v>11.5</v>
      </c>
      <c r="E39" s="576" t="n">
        <v>44</v>
      </c>
      <c r="F39" s="576" t="n">
        <v>-8</v>
      </c>
      <c r="G39" s="575" t="n">
        <v>-40.6</v>
      </c>
      <c r="H39" s="576" t="n">
        <v>-7.7</v>
      </c>
      <c r="I39" s="576" t="n">
        <v>10.7</v>
      </c>
      <c r="J39" s="576" t="n">
        <v>6.4</v>
      </c>
      <c r="K39" s="521" t="n">
        <v>42.7</v>
      </c>
      <c r="L39" s="575" t="n">
        <v>52.1</v>
      </c>
      <c r="M39" s="576" t="n">
        <v>10.1</v>
      </c>
      <c r="N39" s="576" t="n">
        <v>-2.9</v>
      </c>
      <c r="O39" s="576" t="n">
        <v>41.6</v>
      </c>
      <c r="P39" s="506" t="n">
        <v>10.6</v>
      </c>
      <c r="Q39" s="575" t="n">
        <v>59.4</v>
      </c>
      <c r="R39" s="576" t="n">
        <v>10.7</v>
      </c>
      <c r="S39" s="521" t="n">
        <v>0</v>
      </c>
      <c r="T39" s="521" t="n">
        <v>0</v>
      </c>
      <c r="U39" s="521" t="n">
        <v>0</v>
      </c>
      <c r="V39" s="577" t="n"/>
      <c r="W39" s="521" t="n">
        <v>0</v>
      </c>
      <c r="X39" s="521" t="n">
        <v>0</v>
      </c>
      <c r="Y39" s="521" t="n">
        <v>0</v>
      </c>
      <c r="Z39" s="521" t="n">
        <v>0</v>
      </c>
      <c r="AA39" s="577" t="n"/>
      <c r="AB39" s="521" t="n">
        <v>0</v>
      </c>
      <c r="AC39" s="521" t="n">
        <v>0</v>
      </c>
      <c r="AD39" s="521" t="n">
        <v>0</v>
      </c>
      <c r="AE39" s="521" t="n">
        <v>0</v>
      </c>
      <c r="AF39" s="577" t="n"/>
      <c r="AG39" s="521" t="n">
        <v>0</v>
      </c>
      <c r="AH39" s="521" t="n">
        <v>0</v>
      </c>
      <c r="AI39" s="521" t="n">
        <v>0</v>
      </c>
      <c r="AJ39" s="521" t="n">
        <v>0</v>
      </c>
      <c r="AK39" s="577" t="n"/>
      <c r="AL39" s="521" t="n">
        <v>0</v>
      </c>
      <c r="AM39" s="521" t="n">
        <v>0</v>
      </c>
      <c r="AN39" s="521" t="n">
        <v>0</v>
      </c>
      <c r="AO39" s="521" t="n">
        <v>0</v>
      </c>
      <c r="AP39" s="577" t="n"/>
    </row>
    <row r="40" ht="15" customHeight="1" s="462">
      <c r="A40" s="578" t="inlineStr">
        <is>
          <t>d. Fringe Benefit Tax (net of recovery)</t>
        </is>
      </c>
      <c r="B40" s="575" t="n">
        <v>2.8</v>
      </c>
      <c r="C40" s="576" t="n">
        <v>0.8</v>
      </c>
      <c r="D40" s="576" t="n">
        <v>0.9</v>
      </c>
      <c r="E40" s="576" t="n">
        <v>1.1</v>
      </c>
      <c r="F40" s="576" t="n">
        <v>1</v>
      </c>
      <c r="G40" s="575" t="n">
        <v>3.9</v>
      </c>
      <c r="H40" s="576" t="n">
        <v>1</v>
      </c>
      <c r="I40" s="576" t="n">
        <v>1.3</v>
      </c>
      <c r="J40" s="576" t="n">
        <v>1.6</v>
      </c>
      <c r="K40" s="521" t="n">
        <v>0.8</v>
      </c>
      <c r="L40" s="575" t="n">
        <v>4.7</v>
      </c>
      <c r="M40" s="576" t="n">
        <v>0.9</v>
      </c>
      <c r="N40" s="576" t="n">
        <v>1.7</v>
      </c>
      <c r="O40" s="576" t="n">
        <v>1.6</v>
      </c>
      <c r="P40" s="506" t="n">
        <v>1</v>
      </c>
      <c r="Q40" s="575" t="n">
        <v>5.2</v>
      </c>
      <c r="R40" s="576" t="n">
        <v>0</v>
      </c>
      <c r="S40" s="521" t="n">
        <v>0</v>
      </c>
      <c r="T40" s="521" t="n">
        <v>0</v>
      </c>
      <c r="U40" s="521" t="n">
        <v>0</v>
      </c>
      <c r="V40" s="577" t="n"/>
      <c r="W40" s="521" t="n">
        <v>0</v>
      </c>
      <c r="X40" s="521" t="n">
        <v>0</v>
      </c>
      <c r="Y40" s="521" t="n">
        <v>0</v>
      </c>
      <c r="Z40" s="521" t="n">
        <v>0</v>
      </c>
      <c r="AA40" s="577" t="n"/>
      <c r="AB40" s="521" t="n">
        <v>0</v>
      </c>
      <c r="AC40" s="521" t="n">
        <v>0</v>
      </c>
      <c r="AD40" s="521" t="n">
        <v>0</v>
      </c>
      <c r="AE40" s="521" t="n">
        <v>0</v>
      </c>
      <c r="AF40" s="577" t="n"/>
      <c r="AG40" s="521" t="n">
        <v>0</v>
      </c>
      <c r="AH40" s="521" t="n">
        <v>0</v>
      </c>
      <c r="AI40" s="521" t="n">
        <v>0</v>
      </c>
      <c r="AJ40" s="521" t="n">
        <v>0</v>
      </c>
      <c r="AK40" s="577" t="n"/>
      <c r="AL40" s="521" t="n">
        <v>0</v>
      </c>
      <c r="AM40" s="521" t="n">
        <v>0</v>
      </c>
      <c r="AN40" s="521" t="n">
        <v>0</v>
      </c>
      <c r="AO40" s="521" t="n">
        <v>0</v>
      </c>
      <c r="AP40" s="577" t="n"/>
    </row>
    <row r="41" ht="15" customHeight="1" s="462">
      <c r="A41" s="578" t="inlineStr">
        <is>
          <t>e. Tax adjustment of previous years</t>
        </is>
      </c>
      <c r="B41" s="575" t="n">
        <v>64.59999999999999</v>
      </c>
      <c r="C41" s="576" t="n">
        <v>0</v>
      </c>
      <c r="D41" s="576" t="n">
        <v>0</v>
      </c>
      <c r="E41" s="576" t="n">
        <v>-9.199999999999999</v>
      </c>
      <c r="F41" s="576" t="n">
        <v>0</v>
      </c>
      <c r="G41" s="575" t="n">
        <v>22.4</v>
      </c>
      <c r="H41" s="576" t="n">
        <v>0</v>
      </c>
      <c r="I41" s="576" t="n">
        <v>0</v>
      </c>
      <c r="J41" s="576" t="n">
        <v>0</v>
      </c>
      <c r="K41" s="521" t="n">
        <v>0</v>
      </c>
      <c r="L41" s="575" t="n">
        <v>0</v>
      </c>
      <c r="M41" s="576" t="n">
        <v>19.8</v>
      </c>
      <c r="N41" s="576" t="n">
        <v>-54.6</v>
      </c>
      <c r="O41" s="576" t="n">
        <v>1.5</v>
      </c>
      <c r="P41" s="506" t="n">
        <v>0</v>
      </c>
      <c r="Q41" s="575" t="n">
        <v>-33.3</v>
      </c>
      <c r="R41" s="576" t="n">
        <v>0</v>
      </c>
      <c r="S41" s="521" t="n">
        <v>0</v>
      </c>
      <c r="T41" s="521" t="n">
        <v>0</v>
      </c>
      <c r="U41" s="521" t="n">
        <v>0</v>
      </c>
      <c r="V41" s="577" t="n"/>
      <c r="W41" s="521" t="n">
        <v>0</v>
      </c>
      <c r="X41" s="521" t="n">
        <v>0</v>
      </c>
      <c r="Y41" s="521" t="n">
        <v>0</v>
      </c>
      <c r="Z41" s="521" t="n">
        <v>0</v>
      </c>
      <c r="AA41" s="577" t="n"/>
      <c r="AB41" s="521" t="n">
        <v>0</v>
      </c>
      <c r="AC41" s="521" t="n">
        <v>0</v>
      </c>
      <c r="AD41" s="521" t="n">
        <v>0</v>
      </c>
      <c r="AE41" s="521" t="n">
        <v>0</v>
      </c>
      <c r="AF41" s="577" t="n"/>
      <c r="AG41" s="521" t="n">
        <v>0</v>
      </c>
      <c r="AH41" s="521" t="n">
        <v>0</v>
      </c>
      <c r="AI41" s="521" t="n">
        <v>0</v>
      </c>
      <c r="AJ41" s="521" t="n">
        <v>0</v>
      </c>
      <c r="AK41" s="577" t="n"/>
      <c r="AL41" s="521" t="n">
        <v>0</v>
      </c>
      <c r="AM41" s="521" t="n">
        <v>0</v>
      </c>
      <c r="AN41" s="521" t="n">
        <v>0</v>
      </c>
      <c r="AO41" s="521" t="n">
        <v>0</v>
      </c>
      <c r="AP41" s="577" t="n"/>
    </row>
    <row r="42" ht="15" customHeight="1" s="462">
      <c r="A42" s="461" t="inlineStr">
        <is>
          <t>Total Tax</t>
        </is>
      </c>
      <c r="B42" s="563" t="n">
        <v>273.9</v>
      </c>
      <c r="C42" s="521" t="n">
        <v>144.1</v>
      </c>
      <c r="D42" s="521" t="n">
        <v>59.2</v>
      </c>
      <c r="E42" s="521" t="n">
        <v>87.2</v>
      </c>
      <c r="F42" s="521" t="n">
        <v>70</v>
      </c>
      <c r="G42" s="563" t="n">
        <v>43.7</v>
      </c>
      <c r="H42" s="521" t="n">
        <v>70.09999999999999</v>
      </c>
      <c r="I42" s="521" t="n">
        <v>215</v>
      </c>
      <c r="J42" s="521" t="n">
        <v>161.7</v>
      </c>
      <c r="K42" s="521" t="n">
        <v>89.2</v>
      </c>
      <c r="L42" s="563" t="n">
        <v>536</v>
      </c>
      <c r="M42" s="521" t="n">
        <v>55.3</v>
      </c>
      <c r="N42" s="521" t="n">
        <v>173.3</v>
      </c>
      <c r="O42" s="521" t="n">
        <v>78.59999999999999</v>
      </c>
      <c r="P42" s="506" t="n">
        <v>5.69999999999999</v>
      </c>
      <c r="Q42" s="563" t="n">
        <v>312.9</v>
      </c>
      <c r="R42" s="521" t="n">
        <v>330.8</v>
      </c>
      <c r="S42" s="521" t="n">
        <v>135.539813807543</v>
      </c>
      <c r="T42" s="521" t="n">
        <v>148.601852903411</v>
      </c>
      <c r="U42" s="521" t="n">
        <v>168.024669299481</v>
      </c>
      <c r="V42" s="577" t="n">
        <v>782.966336010435</v>
      </c>
      <c r="W42" s="506" t="n">
        <v>216.434394822833</v>
      </c>
      <c r="X42" s="506" t="n">
        <v>144.306219176752</v>
      </c>
      <c r="Y42" s="506" t="n">
        <v>153.053438248304</v>
      </c>
      <c r="Z42" s="506" t="n">
        <v>213.353577132586</v>
      </c>
      <c r="AA42" s="577" t="n">
        <v>727.147629380475</v>
      </c>
      <c r="AB42" s="506" t="n">
        <v>259.805468956352</v>
      </c>
      <c r="AC42" s="506" t="n">
        <v>180.696851155212</v>
      </c>
      <c r="AD42" s="506" t="n">
        <v>166.330682803936</v>
      </c>
      <c r="AE42" s="506" t="n">
        <v>250.157095020446</v>
      </c>
      <c r="AF42" s="577" t="n">
        <v>856.990097935946</v>
      </c>
      <c r="AG42" s="506" t="n">
        <v>356.174017242704</v>
      </c>
      <c r="AH42" s="506" t="n">
        <v>269.130963525313</v>
      </c>
      <c r="AI42" s="506" t="n">
        <v>228.492578136757</v>
      </c>
      <c r="AJ42" s="506" t="n">
        <v>339.060521040899</v>
      </c>
      <c r="AK42" s="577" t="n">
        <v>1192.85807994567</v>
      </c>
      <c r="AL42" s="506" t="n">
        <v>431.547115327624</v>
      </c>
      <c r="AM42" s="506" t="n">
        <v>335.704050866755</v>
      </c>
      <c r="AN42" s="506" t="n">
        <v>265.927388400488</v>
      </c>
      <c r="AO42" s="506" t="n">
        <v>406.154119885458</v>
      </c>
      <c r="AP42" s="577" t="n">
        <v>1439.33267448033</v>
      </c>
    </row>
    <row r="43" ht="15" customHeight="1" s="462">
      <c r="A43" s="461" t="inlineStr">
        <is>
          <t>Profit before Minority Interest</t>
        </is>
      </c>
      <c r="B43" s="563" t="n">
        <v>711.100000000001</v>
      </c>
      <c r="C43" s="521" t="n">
        <v>362.100000000001</v>
      </c>
      <c r="D43" s="521" t="n">
        <v>546.4</v>
      </c>
      <c r="E43" s="521" t="n">
        <v>601.2</v>
      </c>
      <c r="F43" s="521" t="n">
        <v>620</v>
      </c>
      <c r="G43" s="563" t="n">
        <v>2020.5</v>
      </c>
      <c r="H43" s="521" t="n">
        <v>620.3</v>
      </c>
      <c r="I43" s="521" t="n">
        <v>623.2</v>
      </c>
      <c r="J43" s="521" t="n">
        <v>444.4</v>
      </c>
      <c r="K43" s="521" t="n">
        <v>693.699999999999</v>
      </c>
      <c r="L43" s="563" t="n">
        <v>2381.6</v>
      </c>
      <c r="M43" s="521" t="n">
        <v>164.599999999999</v>
      </c>
      <c r="N43" s="521" t="n">
        <v>-382.17</v>
      </c>
      <c r="O43" s="521" t="n">
        <v>416.400000000001</v>
      </c>
      <c r="P43" s="506" t="n">
        <v>800.100000000002</v>
      </c>
      <c r="Q43" s="563" t="n">
        <v>998.930000000002</v>
      </c>
      <c r="R43" s="521" t="n">
        <v>1664.5</v>
      </c>
      <c r="S43" s="521" t="n">
        <v>907.0741385581759</v>
      </c>
      <c r="T43" s="521" t="n">
        <v>994.489323276671</v>
      </c>
      <c r="U43" s="521" t="n">
        <v>1124.47278685037</v>
      </c>
      <c r="V43" s="577" t="n">
        <v>4690.53624868521</v>
      </c>
      <c r="W43" s="521" t="n">
        <v>1448.4455653528</v>
      </c>
      <c r="X43" s="521" t="n">
        <v>965.741620644418</v>
      </c>
      <c r="Y43" s="521" t="n">
        <v>1024.28070212327</v>
      </c>
      <c r="Z43" s="521" t="n">
        <v>1427.82778542577</v>
      </c>
      <c r="AA43" s="577" t="n">
        <v>5102.50418119426</v>
      </c>
      <c r="AB43" s="521" t="n">
        <v>1738.6981384002</v>
      </c>
      <c r="AC43" s="521" t="n">
        <v>1209.2789269618</v>
      </c>
      <c r="AD43" s="521" t="n">
        <v>1113.13610799557</v>
      </c>
      <c r="AE43" s="521" t="n">
        <v>1674.12825129068</v>
      </c>
      <c r="AF43" s="577" t="n">
        <v>5735.24142464825</v>
      </c>
      <c r="AG43" s="521" t="n">
        <v>2383.62611539348</v>
      </c>
      <c r="AH43" s="521" t="n">
        <v>1801.10721743864</v>
      </c>
      <c r="AI43" s="521" t="n">
        <v>1529.14263829984</v>
      </c>
      <c r="AJ43" s="521" t="n">
        <v>2269.09733311986</v>
      </c>
      <c r="AK43" s="577" t="n">
        <v>7982.97330425182</v>
      </c>
      <c r="AL43" s="521" t="n">
        <v>2888.04607950025</v>
      </c>
      <c r="AM43" s="521" t="n">
        <v>2246.63480195444</v>
      </c>
      <c r="AN43" s="521" t="n">
        <v>1779.66790698788</v>
      </c>
      <c r="AO43" s="521" t="n">
        <v>2718.10834077191</v>
      </c>
      <c r="AP43" s="577" t="n">
        <v>9632.45712921449</v>
      </c>
    </row>
    <row r="44" ht="15" customHeight="1" s="462">
      <c r="A44" s="461" t="inlineStr">
        <is>
          <t>Minority Interest</t>
        </is>
      </c>
      <c r="B44" s="575" t="n">
        <v>-14.1</v>
      </c>
      <c r="C44" s="576" t="n">
        <v>0</v>
      </c>
      <c r="D44" s="576" t="n">
        <v>0</v>
      </c>
      <c r="E44" s="576" t="n">
        <v>0</v>
      </c>
      <c r="F44" s="576" t="n">
        <v>3</v>
      </c>
      <c r="G44" s="575" t="n">
        <v>11</v>
      </c>
      <c r="H44" s="576" t="n">
        <v>2.9</v>
      </c>
      <c r="I44" s="576" t="n">
        <v>2.6</v>
      </c>
      <c r="J44" s="576" t="n">
        <v>-1.3</v>
      </c>
      <c r="K44" s="521" t="n">
        <v>-7.6</v>
      </c>
      <c r="L44" s="575" t="n">
        <v>-3.4</v>
      </c>
      <c r="M44" s="576" t="n">
        <v>0.4</v>
      </c>
      <c r="N44" s="576" t="n">
        <v>2</v>
      </c>
      <c r="O44" s="576" t="n">
        <v>-2</v>
      </c>
      <c r="P44" s="506" t="n">
        <v>-0.4</v>
      </c>
      <c r="Q44" s="575" t="n">
        <v>0</v>
      </c>
      <c r="R44" s="576" t="n">
        <v>0</v>
      </c>
      <c r="S44" s="587" t="n">
        <v>0</v>
      </c>
      <c r="T44" s="587" t="n">
        <v>0</v>
      </c>
      <c r="U44" s="587" t="n">
        <v>0</v>
      </c>
      <c r="V44" s="577" t="n">
        <v>0</v>
      </c>
      <c r="W44" s="576" t="n">
        <v>0</v>
      </c>
      <c r="X44" s="587" t="n">
        <v>0</v>
      </c>
      <c r="Y44" s="587" t="n">
        <v>0</v>
      </c>
      <c r="Z44" s="587" t="n">
        <v>0</v>
      </c>
      <c r="AA44" s="577" t="n">
        <v>0</v>
      </c>
      <c r="AB44" s="576" t="n">
        <v>0</v>
      </c>
      <c r="AC44" s="587" t="n">
        <v>0</v>
      </c>
      <c r="AD44" s="587" t="n">
        <v>0</v>
      </c>
      <c r="AE44" s="587" t="n">
        <v>0</v>
      </c>
      <c r="AF44" s="577" t="n">
        <v>0</v>
      </c>
      <c r="AG44" s="576" t="n">
        <v>0</v>
      </c>
      <c r="AH44" s="587" t="n">
        <v>0</v>
      </c>
      <c r="AI44" s="587" t="n">
        <v>0</v>
      </c>
      <c r="AJ44" s="587" t="n">
        <v>0</v>
      </c>
      <c r="AK44" s="577" t="n">
        <v>0</v>
      </c>
      <c r="AL44" s="576" t="n">
        <v>0</v>
      </c>
      <c r="AM44" s="587" t="n">
        <v>0</v>
      </c>
      <c r="AN44" s="587" t="n">
        <v>0</v>
      </c>
      <c r="AO44" s="587" t="n">
        <v>0</v>
      </c>
      <c r="AP44" s="577" t="n">
        <v>0</v>
      </c>
    </row>
    <row r="45" ht="15" customFormat="1" customHeight="1" s="522">
      <c r="A45" s="522" t="inlineStr">
        <is>
          <t>Net Profit for the Period (PAT)</t>
        </is>
      </c>
      <c r="B45" s="582" t="n">
        <v>697.000000000001</v>
      </c>
      <c r="C45" s="583" t="n">
        <v>362.100000000001</v>
      </c>
      <c r="D45" s="583" t="n">
        <v>546.4</v>
      </c>
      <c r="E45" s="583" t="n">
        <v>601.2</v>
      </c>
      <c r="F45" s="583" t="n">
        <v>617</v>
      </c>
      <c r="G45" s="582" t="n">
        <v>2009.5</v>
      </c>
      <c r="H45" s="583" t="n">
        <v>617.4</v>
      </c>
      <c r="I45" s="583" t="n">
        <v>620.6</v>
      </c>
      <c r="J45" s="583" t="n">
        <v>445.7</v>
      </c>
      <c r="K45" s="583" t="n">
        <v>701.299999999999</v>
      </c>
      <c r="L45" s="582" t="n">
        <v>2385</v>
      </c>
      <c r="M45" s="583" t="n">
        <v>164.199999999999</v>
      </c>
      <c r="N45" s="583" t="n">
        <v>-384.17</v>
      </c>
      <c r="O45" s="583" t="n">
        <v>418.400000000001</v>
      </c>
      <c r="P45" s="542" t="n">
        <v>800.500000000002</v>
      </c>
      <c r="Q45" s="582" t="n">
        <v>998.930000000002</v>
      </c>
      <c r="R45" s="583" t="n">
        <v>1664.5</v>
      </c>
      <c r="S45" s="583" t="n">
        <v>907.0741385581759</v>
      </c>
      <c r="T45" s="583" t="n">
        <v>994.489323276671</v>
      </c>
      <c r="U45" s="583" t="n">
        <v>1124.47278685037</v>
      </c>
      <c r="V45" s="584" t="n">
        <v>4690.53624868521</v>
      </c>
      <c r="W45" s="583" t="n">
        <v>1448.4455653528</v>
      </c>
      <c r="X45" s="583" t="n">
        <v>965.741620644418</v>
      </c>
      <c r="Y45" s="583" t="n">
        <v>1024.28070212327</v>
      </c>
      <c r="Z45" s="583" t="n">
        <v>1427.82778542577</v>
      </c>
      <c r="AA45" s="584" t="n">
        <v>5102.50418119426</v>
      </c>
      <c r="AB45" s="583" t="n">
        <v>1738.6981384002</v>
      </c>
      <c r="AC45" s="583" t="n">
        <v>1209.2789269618</v>
      </c>
      <c r="AD45" s="583" t="n">
        <v>1113.13610799557</v>
      </c>
      <c r="AE45" s="583" t="n">
        <v>1674.12825129068</v>
      </c>
      <c r="AF45" s="584" t="n">
        <v>5735.24142464825</v>
      </c>
      <c r="AG45" s="583" t="n">
        <v>2383.62611539348</v>
      </c>
      <c r="AH45" s="583" t="n">
        <v>1801.10721743864</v>
      </c>
      <c r="AI45" s="583" t="n">
        <v>1529.14263829984</v>
      </c>
      <c r="AJ45" s="583" t="n">
        <v>2269.09733311986</v>
      </c>
      <c r="AK45" s="584" t="n">
        <v>7982.97330425182</v>
      </c>
      <c r="AL45" s="583" t="n">
        <v>2888.04607950025</v>
      </c>
      <c r="AM45" s="583" t="n">
        <v>2246.63480195444</v>
      </c>
      <c r="AN45" s="583" t="n">
        <v>1779.66790698788</v>
      </c>
      <c r="AO45" s="583" t="n">
        <v>2718.10834077191</v>
      </c>
      <c r="AP45" s="584" t="n">
        <v>9632.45712921449</v>
      </c>
    </row>
    <row r="46" ht="15" customFormat="1" customHeight="1" s="546">
      <c r="A46" s="546" t="inlineStr">
        <is>
          <t>Net Profit Margin (%)</t>
        </is>
      </c>
      <c r="B46" s="548" t="n">
        <v>0.041108817457977</v>
      </c>
      <c r="C46" s="549" t="n">
        <v>0.0825656694636995</v>
      </c>
      <c r="D46" s="549" t="n">
        <v>0.113833333333333</v>
      </c>
      <c r="E46" s="549" t="n">
        <v>0.113777441332324</v>
      </c>
      <c r="F46" s="549" t="n">
        <v>0.109962573516307</v>
      </c>
      <c r="G46" s="548" t="n">
        <v>0.0893023793229107</v>
      </c>
      <c r="H46" s="549" t="n">
        <v>0.108996539792387</v>
      </c>
      <c r="I46" s="549" t="n">
        <v>0.0930490584142977</v>
      </c>
      <c r="J46" s="549" t="n">
        <v>0.0730428227273472</v>
      </c>
      <c r="K46" s="549" t="n">
        <v>0.0989558346267813</v>
      </c>
      <c r="L46" s="548" t="n">
        <v>0.0934454940465229</v>
      </c>
      <c r="M46" s="549" t="n">
        <v>0.0232317944509683</v>
      </c>
      <c r="N46" s="549" t="n">
        <v>-0.0530641336071926</v>
      </c>
      <c r="O46" s="549" t="n">
        <v>0.0552868733317478</v>
      </c>
      <c r="P46" s="549" t="n">
        <v>0.0921354004811071</v>
      </c>
      <c r="Q46" s="548" t="n">
        <v>0.0326835108149431</v>
      </c>
      <c r="R46" s="549" t="n">
        <v>0.201340252325483</v>
      </c>
      <c r="S46" s="549" t="n">
        <v>0.0875037223238726</v>
      </c>
      <c r="T46" s="549" t="n">
        <v>0.0959364994534861</v>
      </c>
      <c r="U46" s="549" t="n">
        <v>0.108475757734323</v>
      </c>
      <c r="V46" s="588" t="n">
        <v>0.119153593891923</v>
      </c>
      <c r="W46" s="549" t="n">
        <v>0.128315403182993</v>
      </c>
      <c r="X46" s="549" t="n">
        <v>0.0835209715785773</v>
      </c>
      <c r="Y46" s="549" t="n">
        <v>0.0847444025794865</v>
      </c>
      <c r="Z46" s="549" t="n">
        <v>0.102903269135687</v>
      </c>
      <c r="AA46" s="588" t="n">
        <v>0.104531295674259</v>
      </c>
      <c r="AB46" s="549" t="n">
        <v>0.124216451459209</v>
      </c>
      <c r="AC46" s="549" t="n">
        <v>0.08434112483816709</v>
      </c>
      <c r="AD46" s="549" t="n">
        <v>0.07427088815736529</v>
      </c>
      <c r="AE46" s="549" t="n">
        <v>0.0973016899362469</v>
      </c>
      <c r="AF46" s="588" t="n">
        <v>0.0947530030913188</v>
      </c>
      <c r="AG46" s="549" t="n">
        <v>0.139583226715629</v>
      </c>
      <c r="AH46" s="549" t="n">
        <v>0.102965715045461</v>
      </c>
      <c r="AI46" s="549" t="n">
        <v>0.0836293101440065</v>
      </c>
      <c r="AJ46" s="549" t="n">
        <v>0.108099815468276</v>
      </c>
      <c r="AK46" s="588" t="n">
        <v>0.108105085699301</v>
      </c>
      <c r="AL46" s="549" t="n">
        <v>0.140934711501347</v>
      </c>
      <c r="AM46" s="549" t="n">
        <v>0.107029700300234</v>
      </c>
      <c r="AN46" s="549" t="n">
        <v>0.0811088490695578</v>
      </c>
      <c r="AO46" s="549" t="n">
        <v>0.107908919614388</v>
      </c>
      <c r="AP46" s="588" t="n">
        <v>0.108701938045852</v>
      </c>
    </row>
    <row r="47" ht="15" customHeight="1" s="462">
      <c r="A47" s="522" t="n"/>
      <c r="B47" s="582" t="n"/>
      <c r="C47" s="521" t="n"/>
      <c r="D47" s="521" t="n"/>
      <c r="E47" s="521" t="n"/>
      <c r="F47" s="521" t="n"/>
      <c r="G47" s="582" t="n"/>
      <c r="H47" s="552" t="n"/>
      <c r="I47" s="552" t="n"/>
      <c r="J47" s="552" t="n"/>
      <c r="K47" s="552" t="n"/>
      <c r="L47" s="582" t="n"/>
      <c r="M47" s="521" t="n"/>
      <c r="N47" s="521" t="n"/>
      <c r="O47" s="521" t="n"/>
      <c r="Q47" s="582" t="n"/>
      <c r="R47" s="521" t="n"/>
      <c r="S47" s="521" t="n"/>
      <c r="V47" s="584" t="n"/>
      <c r="AA47" s="595" t="n"/>
      <c r="AF47" s="584" t="n"/>
      <c r="AK47" s="584" t="n"/>
      <c r="AP47" s="584" t="n"/>
    </row>
    <row r="48" ht="15" customFormat="1" customHeight="1" s="461">
      <c r="A48" s="461" t="inlineStr">
        <is>
          <t>Paid up Equity Share Capital</t>
        </is>
      </c>
      <c r="B48" s="575" t="n">
        <v>266.35</v>
      </c>
      <c r="C48" s="576" t="n">
        <v>266.35</v>
      </c>
      <c r="D48" s="576" t="n">
        <v>266.47</v>
      </c>
      <c r="E48" s="576" t="n">
        <v>266.74</v>
      </c>
      <c r="F48" s="576" t="n">
        <v>266.74</v>
      </c>
      <c r="G48" s="575" t="n">
        <v>266.74</v>
      </c>
      <c r="H48" s="591" t="n">
        <v>266.74</v>
      </c>
      <c r="I48" s="576" t="n">
        <v>268.697</v>
      </c>
      <c r="J48" s="576" t="n">
        <v>268.826</v>
      </c>
      <c r="K48" s="576" t="n">
        <v>268.826</v>
      </c>
      <c r="L48" s="575" t="n">
        <v>268.826</v>
      </c>
      <c r="M48" s="576" t="n">
        <v>268.826</v>
      </c>
      <c r="N48" s="576" t="n">
        <v>268.826</v>
      </c>
      <c r="O48" s="576" t="n">
        <v>268.826</v>
      </c>
      <c r="P48" s="576" t="n">
        <v>268.826</v>
      </c>
      <c r="Q48" s="575" t="n">
        <v>268.826</v>
      </c>
      <c r="R48" s="576" t="n">
        <v>268.826</v>
      </c>
      <c r="S48" s="587" t="n">
        <v>268.826</v>
      </c>
      <c r="T48" s="587" t="n">
        <v>268.826</v>
      </c>
      <c r="U48" s="587" t="n">
        <v>268.826</v>
      </c>
      <c r="V48" s="596" t="n">
        <v>268.826</v>
      </c>
      <c r="W48" s="587" t="n">
        <v>268.826</v>
      </c>
      <c r="X48" s="587" t="n">
        <v>291.07616</v>
      </c>
      <c r="Y48" s="587" t="n">
        <v>291.07616</v>
      </c>
      <c r="Z48" s="587" t="n">
        <v>291.07616</v>
      </c>
      <c r="AA48" s="596" t="n">
        <v>291.07616</v>
      </c>
      <c r="AB48" s="587" t="n">
        <v>291.07616</v>
      </c>
      <c r="AC48" s="587" t="n">
        <v>291.07616</v>
      </c>
      <c r="AD48" s="587" t="n">
        <v>291.07616</v>
      </c>
      <c r="AE48" s="587" t="n">
        <v>291.07616</v>
      </c>
      <c r="AF48" s="596" t="n">
        <v>291.07616</v>
      </c>
      <c r="AG48" s="587" t="n">
        <v>291.07616</v>
      </c>
      <c r="AH48" s="587" t="n">
        <v>291.07616</v>
      </c>
      <c r="AI48" s="587" t="n">
        <v>291.07616</v>
      </c>
      <c r="AJ48" s="587" t="n">
        <v>291.07616</v>
      </c>
      <c r="AK48" s="596" t="n">
        <v>291.07616</v>
      </c>
      <c r="AL48" s="587" t="n">
        <v>291.07616</v>
      </c>
      <c r="AM48" s="587" t="n">
        <v>291.07616</v>
      </c>
      <c r="AN48" s="587" t="n">
        <v>291.07616</v>
      </c>
      <c r="AO48" s="587" t="n">
        <v>291.07616</v>
      </c>
      <c r="AP48" s="596" t="n">
        <v>291.07616</v>
      </c>
    </row>
    <row r="49" ht="15" customHeight="1" s="462">
      <c r="A49" s="578" t="inlineStr">
        <is>
          <t>(Face value Rs 5/- per share)</t>
        </is>
      </c>
      <c r="B49" s="563" t="n"/>
      <c r="C49" s="521" t="n"/>
      <c r="D49" s="521" t="n"/>
      <c r="E49" s="521" t="n"/>
      <c r="F49" s="521" t="n"/>
      <c r="G49" s="563" t="n"/>
      <c r="H49" s="594" t="n"/>
      <c r="I49" s="521" t="n"/>
      <c r="J49" s="521" t="n"/>
      <c r="K49" s="521" t="n"/>
      <c r="L49" s="563" t="n"/>
      <c r="M49" s="521" t="n"/>
      <c r="N49" s="521" t="n"/>
      <c r="O49" s="521" t="n"/>
      <c r="Q49" s="563" t="n"/>
      <c r="R49" s="521" t="n"/>
      <c r="S49" s="521" t="n"/>
      <c r="V49" s="577" t="n"/>
      <c r="AA49" s="577" t="n"/>
      <c r="AF49" s="577" t="n"/>
      <c r="AK49" s="577" t="n"/>
      <c r="AP49" s="577" t="n"/>
    </row>
    <row r="50" ht="15" customHeight="1" s="462">
      <c r="B50" s="563" t="n"/>
      <c r="C50" s="521" t="n"/>
      <c r="D50" s="521" t="n"/>
      <c r="E50" s="521" t="n"/>
      <c r="F50" s="521" t="n"/>
      <c r="G50" s="563" t="n"/>
      <c r="H50" s="594" t="n"/>
      <c r="I50" s="521" t="n"/>
      <c r="J50" s="521" t="n"/>
      <c r="K50" s="521" t="n"/>
      <c r="L50" s="563" t="n"/>
      <c r="M50" s="521" t="n"/>
      <c r="N50" s="521" t="n"/>
      <c r="O50" s="521" t="n"/>
      <c r="Q50" s="563" t="n"/>
      <c r="R50" s="521" t="n"/>
      <c r="S50" s="597" t="n"/>
      <c r="T50" s="506" t="n"/>
      <c r="V50" s="577" t="n"/>
      <c r="AA50" s="577" t="n"/>
      <c r="AF50" s="577" t="n"/>
      <c r="AK50" s="577" t="n"/>
      <c r="AP50" s="577" t="n"/>
    </row>
    <row r="51" ht="15" customHeight="1" s="462">
      <c r="A51" s="461" t="inlineStr">
        <is>
          <t>Basic EPS</t>
        </is>
      </c>
      <c r="B51" s="575" t="n">
        <v>13.28</v>
      </c>
      <c r="C51" s="576" t="n">
        <v>6.8</v>
      </c>
      <c r="D51" s="576" t="n">
        <v>10.25</v>
      </c>
      <c r="E51" s="576" t="n">
        <v>11.28</v>
      </c>
      <c r="F51" s="576" t="n">
        <v>11.57</v>
      </c>
      <c r="G51" s="575" t="n">
        <v>37.7</v>
      </c>
      <c r="H51" s="591" t="n">
        <v>11.57</v>
      </c>
      <c r="I51" s="576" t="n">
        <v>11.56</v>
      </c>
      <c r="J51" s="576" t="n">
        <v>8.289999999999999</v>
      </c>
      <c r="K51" s="576" t="n">
        <v>13.04</v>
      </c>
      <c r="L51" s="575" t="n">
        <v>44.46</v>
      </c>
      <c r="M51" s="576" t="n">
        <v>3.06</v>
      </c>
      <c r="N51" s="576" t="n">
        <v>-7.15</v>
      </c>
      <c r="O51" s="576" t="n">
        <v>7.78</v>
      </c>
      <c r="P51" s="576" t="n">
        <v>14.89</v>
      </c>
      <c r="Q51" s="575" t="n">
        <v>18.58</v>
      </c>
      <c r="R51" s="576" t="n">
        <v>30.98</v>
      </c>
      <c r="S51" s="521" t="n">
        <v>16.8826415214973</v>
      </c>
      <c r="T51" s="521" t="n">
        <v>18.5096300601449</v>
      </c>
      <c r="U51" s="521" t="n">
        <v>20.9289077420394</v>
      </c>
      <c r="V51" s="577" t="n">
        <v>87.3011793236815</v>
      </c>
      <c r="W51" s="521" t="n">
        <v>26.9587525470891</v>
      </c>
      <c r="X51" s="521" t="n">
        <v>16.5982203597644</v>
      </c>
      <c r="Y51" s="521" t="n">
        <v>17.6043327124615</v>
      </c>
      <c r="Z51" s="521" t="n">
        <v>24.5401044251123</v>
      </c>
      <c r="AA51" s="577" t="n">
        <v>89.4083887899626</v>
      </c>
      <c r="AB51" s="521" t="n">
        <v>29.8830393382253</v>
      </c>
      <c r="AC51" s="521" t="n">
        <v>20.7839008665049</v>
      </c>
      <c r="AD51" s="521" t="n">
        <v>19.1314923328998</v>
      </c>
      <c r="AE51" s="521" t="n">
        <v>28.7732754097184</v>
      </c>
      <c r="AF51" s="577" t="n">
        <v>98.5717079473484</v>
      </c>
      <c r="AG51" s="521" t="n">
        <v>40.9674292510972</v>
      </c>
      <c r="AH51" s="521" t="n">
        <v>30.9556654156213</v>
      </c>
      <c r="AI51" s="521" t="n">
        <v>26.2814048079195</v>
      </c>
      <c r="AJ51" s="521" t="n">
        <v>38.9990208020086</v>
      </c>
      <c r="AK51" s="577" t="n">
        <v>137.203520276647</v>
      </c>
      <c r="AL51" s="521" t="n">
        <v>49.6369051638386</v>
      </c>
      <c r="AM51" s="521" t="n">
        <v>38.6129568340157</v>
      </c>
      <c r="AN51" s="521" t="n">
        <v>30.5871875623156</v>
      </c>
      <c r="AO51" s="521" t="n">
        <v>46.7161818828321</v>
      </c>
      <c r="AP51" s="577" t="n">
        <v>165.553231443002</v>
      </c>
    </row>
    <row r="52" ht="15" customFormat="1" customHeight="1" s="522">
      <c r="A52" s="522" t="inlineStr">
        <is>
          <t>Diluted EPS</t>
        </is>
      </c>
      <c r="B52" s="598" t="n">
        <v>12.52</v>
      </c>
      <c r="C52" s="599" t="n">
        <v>5.73</v>
      </c>
      <c r="D52" s="599" t="n">
        <v>7.99</v>
      </c>
      <c r="E52" s="599" t="n">
        <v>8.789999999999999</v>
      </c>
      <c r="F52" s="599" t="n">
        <v>9.130000000000001</v>
      </c>
      <c r="G52" s="598" t="n">
        <v>30.27</v>
      </c>
      <c r="H52" s="600" t="n">
        <v>9.130000000000001</v>
      </c>
      <c r="I52" s="599" t="n">
        <v>9.19</v>
      </c>
      <c r="J52" s="599" t="n">
        <v>6.59</v>
      </c>
      <c r="K52" s="599" t="n">
        <v>10.37</v>
      </c>
      <c r="L52" s="598" t="n">
        <v>35.33</v>
      </c>
      <c r="M52" s="599" t="n">
        <v>2.43</v>
      </c>
      <c r="N52" s="599" t="n">
        <v>-7.15</v>
      </c>
      <c r="O52" s="599" t="n">
        <v>6.19</v>
      </c>
      <c r="P52" s="599" t="n">
        <v>12.37</v>
      </c>
      <c r="Q52" s="598" t="n">
        <v>15.43</v>
      </c>
      <c r="R52" s="599" t="n">
        <v>25.76</v>
      </c>
      <c r="S52" s="583" t="n">
        <v>14.0379872690049</v>
      </c>
      <c r="T52" s="583" t="n">
        <v>15.3908350661502</v>
      </c>
      <c r="U52" s="583" t="n">
        <v>17.4024746105531</v>
      </c>
      <c r="V52" s="584" t="n">
        <v>72.591296945708</v>
      </c>
      <c r="W52" s="583" t="n">
        <v>22.4163158687223</v>
      </c>
      <c r="X52" s="583" t="n">
        <v>14.9459322005408</v>
      </c>
      <c r="Y52" s="583" t="n">
        <v>15.8518899890029</v>
      </c>
      <c r="Z52" s="583" t="n">
        <v>22.0972326539909</v>
      </c>
      <c r="AA52" s="584" t="n">
        <v>78.96696167471561</v>
      </c>
      <c r="AB52" s="583" t="n">
        <v>29.8830393382253</v>
      </c>
      <c r="AC52" s="583" t="n">
        <v>20.7839008665049</v>
      </c>
      <c r="AD52" s="583" t="n">
        <v>19.1314923328999</v>
      </c>
      <c r="AE52" s="583" t="n">
        <v>28.7732754097184</v>
      </c>
      <c r="AF52" s="584" t="n">
        <v>98.5717079473484</v>
      </c>
      <c r="AG52" s="583" t="n">
        <v>40.9674292510972</v>
      </c>
      <c r="AH52" s="583" t="n">
        <v>30.9556654156213</v>
      </c>
      <c r="AI52" s="583" t="n">
        <v>26.2814048079195</v>
      </c>
      <c r="AJ52" s="583" t="n">
        <v>38.9990208020086</v>
      </c>
      <c r="AK52" s="584" t="n">
        <v>137.203520276647</v>
      </c>
      <c r="AL52" s="583" t="n">
        <v>49.6369051638386</v>
      </c>
      <c r="AM52" s="583" t="n">
        <v>38.6129568340158</v>
      </c>
      <c r="AN52" s="583" t="n">
        <v>30.5871875623156</v>
      </c>
      <c r="AO52" s="583" t="n">
        <v>46.7161818828321</v>
      </c>
      <c r="AP52" s="584" t="n">
        <v>165.553231443002</v>
      </c>
    </row>
    <row r="53" ht="15" customHeight="1" s="462">
      <c r="B53" s="563" t="n"/>
      <c r="C53" s="521" t="n"/>
      <c r="D53" s="521" t="n"/>
      <c r="E53" s="521" t="n"/>
      <c r="F53" s="521" t="n"/>
      <c r="G53" s="563" t="n"/>
      <c r="H53" s="594" t="n"/>
      <c r="I53" s="521" t="n"/>
      <c r="J53" s="521" t="n"/>
      <c r="K53" s="521" t="n"/>
      <c r="L53" s="563" t="n"/>
      <c r="M53" s="521" t="n"/>
      <c r="N53" s="521" t="n"/>
      <c r="O53" s="521" t="n"/>
      <c r="Q53" s="563" t="n"/>
      <c r="R53" s="521" t="n"/>
      <c r="S53" s="521" t="n"/>
      <c r="V53" s="577" t="n"/>
      <c r="AA53" s="577" t="n"/>
      <c r="AF53" s="577" t="n"/>
      <c r="AK53" s="577" t="n"/>
      <c r="AP53" s="577" t="n"/>
    </row>
    <row r="54" ht="15" customHeight="1" s="462">
      <c r="A54" s="461" t="inlineStr">
        <is>
          <t>No of Shares -Basic</t>
        </is>
      </c>
      <c r="B54" s="601" t="n">
        <v>52.4849397590362</v>
      </c>
      <c r="C54" s="597" t="n">
        <v>53.2500000000001</v>
      </c>
      <c r="D54" s="597" t="n">
        <v>53.3073170731707</v>
      </c>
      <c r="E54" s="597" t="n">
        <v>53.2978723404255</v>
      </c>
      <c r="F54" s="597" t="n">
        <v>53.3275713050994</v>
      </c>
      <c r="G54" s="601" t="n">
        <v>53.3023872679045</v>
      </c>
      <c r="H54" s="597" t="n">
        <v>53.362143474503</v>
      </c>
      <c r="I54" s="597" t="n">
        <v>53.6851211072664</v>
      </c>
      <c r="J54" s="597" t="n">
        <v>53.7635705669481</v>
      </c>
      <c r="K54" s="597" t="n">
        <v>53.7806748466257</v>
      </c>
      <c r="L54" s="601" t="n">
        <v>53.6437246963562</v>
      </c>
      <c r="M54" s="597" t="n">
        <v>53.6601307189539</v>
      </c>
      <c r="N54" s="597" t="n">
        <v>53.7300699300699</v>
      </c>
      <c r="O54" s="597" t="n">
        <v>53.7789203084834</v>
      </c>
      <c r="P54" s="597" t="n">
        <v>53.7609133646744</v>
      </c>
      <c r="Q54" s="601" t="n">
        <v>53.7637244348763</v>
      </c>
      <c r="R54" s="597" t="n">
        <v>53.7282117495158</v>
      </c>
      <c r="S54" s="602" t="n">
        <v>53.7282117495158</v>
      </c>
      <c r="T54" s="602" t="n">
        <v>53.7282117495158</v>
      </c>
      <c r="U54" s="602" t="n">
        <v>53.7282117495158</v>
      </c>
      <c r="V54" s="603" t="n">
        <v>53.7282117495158</v>
      </c>
      <c r="W54" s="604" t="n">
        <v>53.7282117495158</v>
      </c>
      <c r="X54" s="604" t="n">
        <v>58.1834437495158</v>
      </c>
      <c r="Y54" s="604" t="n">
        <v>58.1834437495158</v>
      </c>
      <c r="Z54" s="604" t="n">
        <v>58.1834437495158</v>
      </c>
      <c r="AA54" s="603" t="n">
        <v>57.0696357495158</v>
      </c>
      <c r="AB54" s="604" t="n">
        <v>58.1834437495158</v>
      </c>
      <c r="AC54" s="604" t="n">
        <v>58.1834437495158</v>
      </c>
      <c r="AD54" s="604" t="n">
        <v>58.1834437495158</v>
      </c>
      <c r="AE54" s="604" t="n">
        <v>58.1834437495158</v>
      </c>
      <c r="AF54" s="605" t="n">
        <v>58.1834437495158</v>
      </c>
      <c r="AG54" s="604" t="n">
        <v>58.1834437495158</v>
      </c>
      <c r="AH54" s="604" t="n">
        <v>58.1834437495158</v>
      </c>
      <c r="AI54" s="604" t="n">
        <v>58.1834437495158</v>
      </c>
      <c r="AJ54" s="604" t="n">
        <v>58.1834437495158</v>
      </c>
      <c r="AK54" s="603" t="n">
        <v>58.1834437495158</v>
      </c>
      <c r="AL54" s="604" t="n">
        <v>58.1834437495158</v>
      </c>
      <c r="AM54" s="604" t="n">
        <v>58.1834437495158</v>
      </c>
      <c r="AN54" s="604" t="n">
        <v>58.1834437495158</v>
      </c>
      <c r="AO54" s="604" t="n">
        <v>58.1834437495158</v>
      </c>
      <c r="AP54" s="603" t="n">
        <v>58.1834437495158</v>
      </c>
    </row>
    <row r="55" ht="15" customFormat="1" customHeight="1" s="522">
      <c r="A55" s="522" t="inlineStr">
        <is>
          <t xml:space="preserve">No of Shares - Diluted </t>
        </is>
      </c>
      <c r="B55" s="606" t="n">
        <v>55.6709265175719</v>
      </c>
      <c r="C55" s="607" t="n">
        <v>63.193717277487</v>
      </c>
      <c r="D55" s="607" t="n">
        <v>68.38548185231539</v>
      </c>
      <c r="E55" s="607" t="n">
        <v>68.39590443686011</v>
      </c>
      <c r="F55" s="607" t="n">
        <v>67.57940854326399</v>
      </c>
      <c r="G55" s="606" t="n">
        <v>66.385860588041</v>
      </c>
      <c r="H55" s="607" t="n">
        <v>67.6232201533406</v>
      </c>
      <c r="I55" s="607" t="n">
        <v>67.5299238302503</v>
      </c>
      <c r="J55" s="607" t="n">
        <v>67.6327769347496</v>
      </c>
      <c r="K55" s="607" t="n">
        <v>67.62777242044351</v>
      </c>
      <c r="L55" s="606" t="n">
        <v>67.5063685253326</v>
      </c>
      <c r="M55" s="607" t="n">
        <v>67.572016460905</v>
      </c>
      <c r="N55" s="607" t="n">
        <v>53.7300699300699</v>
      </c>
      <c r="O55" s="607" t="n">
        <v>67.59289176090481</v>
      </c>
      <c r="P55" s="607" t="n">
        <v>64.7130153597415</v>
      </c>
      <c r="Q55" s="606" t="n">
        <v>64.7394685677254</v>
      </c>
      <c r="R55" s="607" t="n">
        <v>64.6156832298137</v>
      </c>
      <c r="S55" s="608" t="n">
        <v>64.6156832298137</v>
      </c>
      <c r="T55" s="608" t="n">
        <v>64.6156832298137</v>
      </c>
      <c r="U55" s="608" t="n">
        <v>64.6156832298137</v>
      </c>
      <c r="V55" s="605" t="n">
        <v>64.6156832298137</v>
      </c>
      <c r="W55" s="609" t="n">
        <v>64.6156832298137</v>
      </c>
      <c r="X55" s="609" t="n">
        <v>64.6156832298137</v>
      </c>
      <c r="Y55" s="609" t="n">
        <v>64.6156832298137</v>
      </c>
      <c r="Z55" s="609" t="n">
        <v>64.6156832298137</v>
      </c>
      <c r="AA55" s="605" t="n">
        <v>64.6156832298137</v>
      </c>
      <c r="AB55" s="609" t="n">
        <v>58.1834437495158</v>
      </c>
      <c r="AC55" s="609" t="n">
        <v>58.1834437495158</v>
      </c>
      <c r="AD55" s="609" t="n">
        <v>58.1834437495158</v>
      </c>
      <c r="AE55" s="609" t="n">
        <v>58.1834437495158</v>
      </c>
      <c r="AF55" s="605" t="n">
        <v>58.1834437495158</v>
      </c>
      <c r="AG55" s="609" t="n">
        <v>58.1834437495158</v>
      </c>
      <c r="AH55" s="609" t="n">
        <v>58.1834437495158</v>
      </c>
      <c r="AI55" s="609" t="n">
        <v>58.1834437495158</v>
      </c>
      <c r="AJ55" s="609" t="n">
        <v>58.1834437495158</v>
      </c>
      <c r="AK55" s="605" t="n">
        <v>58.1834437495158</v>
      </c>
      <c r="AL55" s="609" t="n">
        <v>58.1834437495158</v>
      </c>
      <c r="AM55" s="609" t="n">
        <v>58.1834437495158</v>
      </c>
      <c r="AN55" s="609" t="n">
        <v>58.1834437495158</v>
      </c>
      <c r="AO55" s="609" t="n">
        <v>58.1834437495158</v>
      </c>
      <c r="AP55" s="605" t="n">
        <v>58.1834437495158</v>
      </c>
    </row>
    <row r="56" ht="15" customHeight="1" s="462">
      <c r="B56" s="601" t="n"/>
      <c r="C56" s="521" t="n"/>
      <c r="D56" s="521" t="n"/>
      <c r="E56" s="521" t="n"/>
      <c r="F56" s="521" t="n"/>
      <c r="G56" s="601" t="n"/>
      <c r="H56" s="594" t="n"/>
      <c r="I56" s="521" t="n"/>
      <c r="J56" s="521" t="n"/>
      <c r="K56" s="521" t="n"/>
      <c r="L56" s="601" t="n"/>
      <c r="M56" s="521" t="n"/>
      <c r="N56" s="521" t="n"/>
      <c r="O56" s="521" t="n"/>
      <c r="P56" s="521" t="n"/>
      <c r="Q56" s="601" t="n"/>
      <c r="R56" s="521" t="n"/>
      <c r="V56" s="610" t="n"/>
      <c r="AA56" s="611" t="n"/>
      <c r="AF56" s="610" t="n"/>
      <c r="AK56" s="610" t="n"/>
      <c r="AP56" s="610" t="n"/>
    </row>
    <row r="57" ht="15" customHeight="1" s="462">
      <c r="B57" s="563" t="n"/>
      <c r="G57" s="563" t="n"/>
      <c r="H57" s="512" t="n"/>
      <c r="L57" s="563" t="n"/>
      <c r="M57" s="506" t="n"/>
      <c r="N57" s="506" t="n"/>
      <c r="O57" s="506" t="n"/>
      <c r="P57" s="506" t="n"/>
      <c r="Q57" s="563" t="n"/>
      <c r="R57" s="567" t="n"/>
      <c r="V57" s="577" t="n"/>
      <c r="AA57" s="612" t="n"/>
      <c r="AF57" s="577" t="n"/>
      <c r="AK57" s="577" t="n"/>
      <c r="AP57" s="577" t="n"/>
    </row>
    <row r="58" ht="15" customHeight="1" s="462">
      <c r="A58" s="491" t="inlineStr">
        <is>
          <t>One Time / Proforma Adjustments</t>
        </is>
      </c>
      <c r="B58" s="515" t="n"/>
      <c r="G58" s="515" t="n"/>
      <c r="H58" s="512" t="n"/>
      <c r="L58" s="515" t="n"/>
      <c r="Q58" s="515" t="n"/>
      <c r="V58" s="558" t="n"/>
      <c r="AA58" s="558" t="n"/>
      <c r="AF58" s="558" t="n"/>
      <c r="AK58" s="558" t="n"/>
      <c r="AP58" s="558" t="n"/>
    </row>
    <row r="59" ht="15" customHeight="1" s="462">
      <c r="B59" s="515" t="n"/>
      <c r="G59" s="515" t="n"/>
      <c r="L59" s="515" t="n"/>
      <c r="Q59" s="515" t="n"/>
      <c r="V59" s="558" t="n"/>
      <c r="AA59" s="558" t="n"/>
      <c r="AF59" s="558" t="n"/>
      <c r="AK59" s="558" t="n"/>
      <c r="AP59" s="558" t="n"/>
    </row>
    <row r="60" ht="15" customHeight="1" s="462">
      <c r="A60" s="461" t="inlineStr">
        <is>
          <t>Foreign Exchange (Gain) / Loss (net)</t>
        </is>
      </c>
      <c r="B60" s="507" t="n">
        <v>0</v>
      </c>
      <c r="C60" s="506" t="n">
        <v>-171.1</v>
      </c>
      <c r="D60" s="506" t="n">
        <v>-267</v>
      </c>
      <c r="E60" s="506" t="n">
        <v>-263.3</v>
      </c>
      <c r="F60" s="506" t="n">
        <v>-294</v>
      </c>
      <c r="G60" s="507" t="n">
        <v>-995.4</v>
      </c>
      <c r="H60" s="506" t="n">
        <v>-335.3</v>
      </c>
      <c r="I60" s="506" t="n">
        <v>-225.7</v>
      </c>
      <c r="J60" s="506" t="n">
        <v>-175.2</v>
      </c>
      <c r="K60" s="506" t="n">
        <v>-405.8</v>
      </c>
      <c r="L60" s="507" t="n">
        <v>-1142</v>
      </c>
      <c r="M60" s="506" t="n">
        <v>537.1</v>
      </c>
      <c r="N60" s="506" t="n">
        <v>1051</v>
      </c>
      <c r="O60" s="506" t="n">
        <v>570.5</v>
      </c>
      <c r="P60" s="506" t="n">
        <v>388.1</v>
      </c>
      <c r="Q60" s="507" t="n">
        <v>2546.7</v>
      </c>
      <c r="R60" s="506" t="n">
        <v>-575.4</v>
      </c>
      <c r="S60" s="506" t="n">
        <v>0</v>
      </c>
      <c r="T60" s="506" t="n">
        <v>0</v>
      </c>
      <c r="U60" s="506" t="n">
        <v>0</v>
      </c>
      <c r="V60" s="592" t="n">
        <v>0</v>
      </c>
      <c r="W60" s="506" t="n">
        <v>0</v>
      </c>
      <c r="X60" s="506" t="n">
        <v>0</v>
      </c>
      <c r="Y60" s="506" t="n">
        <v>0</v>
      </c>
      <c r="Z60" s="506" t="n">
        <v>0</v>
      </c>
      <c r="AA60" s="592" t="n">
        <v>0</v>
      </c>
      <c r="AB60" s="506" t="n">
        <v>0</v>
      </c>
      <c r="AC60" s="506" t="n">
        <v>0</v>
      </c>
      <c r="AD60" s="506" t="n">
        <v>0</v>
      </c>
      <c r="AE60" s="506" t="n">
        <v>0</v>
      </c>
      <c r="AF60" s="592" t="n">
        <v>0</v>
      </c>
      <c r="AG60" s="506" t="n">
        <v>0</v>
      </c>
      <c r="AH60" s="506" t="n">
        <v>0</v>
      </c>
      <c r="AI60" s="506" t="n">
        <v>0</v>
      </c>
      <c r="AJ60" s="506" t="n">
        <v>0</v>
      </c>
      <c r="AK60" s="592" t="n">
        <v>0</v>
      </c>
      <c r="AL60" s="506" t="n">
        <v>0</v>
      </c>
      <c r="AM60" s="506" t="n">
        <v>0</v>
      </c>
      <c r="AN60" s="506" t="n">
        <v>0</v>
      </c>
      <c r="AO60" s="506" t="n">
        <v>0</v>
      </c>
      <c r="AP60" s="592" t="n">
        <v>0</v>
      </c>
    </row>
    <row r="61" ht="15" customHeight="1" s="462">
      <c r="A61" s="461" t="inlineStr">
        <is>
          <t>Exceptional Item</t>
        </is>
      </c>
      <c r="B61" s="507" t="n">
        <v>-309.8</v>
      </c>
      <c r="C61" s="506" t="n">
        <v>0</v>
      </c>
      <c r="D61" s="506" t="n">
        <v>0</v>
      </c>
      <c r="E61" s="506" t="n">
        <v>0</v>
      </c>
      <c r="F61" s="506" t="n">
        <v>0</v>
      </c>
      <c r="G61" s="507" t="n">
        <v>0</v>
      </c>
      <c r="H61" s="506" t="n">
        <v>0</v>
      </c>
      <c r="I61" s="506" t="n">
        <v>0</v>
      </c>
      <c r="J61" s="506" t="n">
        <v>0</v>
      </c>
      <c r="K61" s="506" t="n">
        <v>0</v>
      </c>
      <c r="L61" s="507" t="n">
        <v>0</v>
      </c>
      <c r="M61" s="506" t="n">
        <v>0</v>
      </c>
      <c r="N61" s="506" t="n">
        <v>0</v>
      </c>
      <c r="O61" s="506" t="n">
        <v>0</v>
      </c>
      <c r="P61" s="506" t="n">
        <v>0</v>
      </c>
      <c r="Q61" s="507" t="n">
        <v>0</v>
      </c>
      <c r="R61" s="506" t="n">
        <v>0</v>
      </c>
      <c r="S61" s="506" t="n">
        <v>0</v>
      </c>
      <c r="T61" s="506" t="n">
        <v>0</v>
      </c>
      <c r="U61" s="506" t="n">
        <v>0</v>
      </c>
      <c r="V61" s="592" t="n">
        <v>0</v>
      </c>
      <c r="W61" s="506" t="n">
        <v>0</v>
      </c>
      <c r="X61" s="506" t="n">
        <v>0</v>
      </c>
      <c r="Y61" s="506" t="n">
        <v>0</v>
      </c>
      <c r="Z61" s="506" t="n">
        <v>0</v>
      </c>
      <c r="AA61" s="592" t="n">
        <v>0</v>
      </c>
      <c r="AB61" s="506" t="n">
        <v>0</v>
      </c>
      <c r="AC61" s="506" t="n">
        <v>0</v>
      </c>
      <c r="AD61" s="506" t="n">
        <v>0</v>
      </c>
      <c r="AE61" s="506" t="n">
        <v>0</v>
      </c>
      <c r="AF61" s="592" t="n">
        <v>0</v>
      </c>
      <c r="AG61" s="506" t="n">
        <v>0</v>
      </c>
      <c r="AH61" s="506" t="n">
        <v>0</v>
      </c>
      <c r="AI61" s="506" t="n">
        <v>0</v>
      </c>
      <c r="AJ61" s="506" t="n">
        <v>0</v>
      </c>
      <c r="AK61" s="592" t="n">
        <v>0</v>
      </c>
      <c r="AL61" s="506" t="n">
        <v>0</v>
      </c>
      <c r="AM61" s="506" t="n">
        <v>0</v>
      </c>
      <c r="AN61" s="506" t="n">
        <v>0</v>
      </c>
      <c r="AO61" s="506" t="n">
        <v>0</v>
      </c>
      <c r="AP61" s="592" t="n">
        <v>0</v>
      </c>
    </row>
    <row r="62" ht="15" customHeight="1" s="462">
      <c r="A62" s="461" t="inlineStr">
        <is>
          <t>Total Adjustments before Tax</t>
        </is>
      </c>
      <c r="B62" s="507" t="n">
        <v>-309.8</v>
      </c>
      <c r="C62" s="506" t="n">
        <v>-171.1</v>
      </c>
      <c r="D62" s="506" t="n">
        <v>-267</v>
      </c>
      <c r="E62" s="506" t="n">
        <v>-263.3</v>
      </c>
      <c r="F62" s="506" t="n">
        <v>-294</v>
      </c>
      <c r="G62" s="507" t="n">
        <v>-995.4</v>
      </c>
      <c r="H62" s="506" t="n">
        <v>-335.3</v>
      </c>
      <c r="I62" s="506" t="n">
        <v>-225.7</v>
      </c>
      <c r="J62" s="506" t="n">
        <v>-175.2</v>
      </c>
      <c r="K62" s="506" t="n">
        <v>-405.8</v>
      </c>
      <c r="L62" s="507" t="n">
        <v>-1142</v>
      </c>
      <c r="M62" s="506" t="n">
        <v>537.1</v>
      </c>
      <c r="N62" s="506" t="n">
        <v>1051</v>
      </c>
      <c r="O62" s="506" t="n">
        <v>570.5</v>
      </c>
      <c r="P62" s="506" t="n">
        <v>388.1</v>
      </c>
      <c r="Q62" s="507" t="n">
        <v>2546.7</v>
      </c>
      <c r="R62" s="506" t="n">
        <v>-575.4</v>
      </c>
      <c r="S62" s="506" t="n">
        <v>0</v>
      </c>
      <c r="T62" s="506" t="n">
        <v>0</v>
      </c>
      <c r="U62" s="506" t="n">
        <v>0</v>
      </c>
      <c r="V62" s="592" t="n">
        <v>0</v>
      </c>
      <c r="W62" s="506" t="n">
        <v>0</v>
      </c>
      <c r="X62" s="506" t="n">
        <v>0</v>
      </c>
      <c r="Y62" s="506" t="n">
        <v>0</v>
      </c>
      <c r="Z62" s="506" t="n">
        <v>0</v>
      </c>
      <c r="AA62" s="592" t="n">
        <v>0</v>
      </c>
      <c r="AB62" s="506" t="n">
        <v>0</v>
      </c>
      <c r="AC62" s="506" t="n">
        <v>0</v>
      </c>
      <c r="AD62" s="506" t="n">
        <v>0</v>
      </c>
      <c r="AE62" s="506" t="n">
        <v>0</v>
      </c>
      <c r="AF62" s="592" t="n">
        <v>0</v>
      </c>
      <c r="AG62" s="506" t="n">
        <v>0</v>
      </c>
      <c r="AH62" s="506" t="n">
        <v>0</v>
      </c>
      <c r="AI62" s="506" t="n">
        <v>0</v>
      </c>
      <c r="AJ62" s="506" t="n">
        <v>0</v>
      </c>
      <c r="AK62" s="592" t="n">
        <v>0</v>
      </c>
      <c r="AL62" s="506" t="n">
        <v>0</v>
      </c>
      <c r="AM62" s="506" t="n">
        <v>0</v>
      </c>
      <c r="AN62" s="506" t="n">
        <v>0</v>
      </c>
      <c r="AO62" s="506" t="n">
        <v>0</v>
      </c>
      <c r="AP62" s="592" t="n">
        <v>0</v>
      </c>
    </row>
    <row r="63" ht="15" customHeight="1" s="462">
      <c r="A63" s="461" t="inlineStr">
        <is>
          <t>Less: Income Tax Effect</t>
        </is>
      </c>
      <c r="B63" s="507" t="n">
        <v>-86.1464162436548</v>
      </c>
      <c r="C63" s="506" t="n">
        <v>-48.7070525483998</v>
      </c>
      <c r="D63" s="506" t="n">
        <v>-26.1003963011889</v>
      </c>
      <c r="E63" s="506" t="n">
        <v>-33.352353282975</v>
      </c>
      <c r="F63" s="506" t="n">
        <v>-29.8260869565217</v>
      </c>
      <c r="G63" s="507" t="n">
        <v>-21.0730452475535</v>
      </c>
      <c r="H63" s="506" t="n">
        <v>-34.0448001158749</v>
      </c>
      <c r="I63" s="506" t="n">
        <v>-57.8925077547125</v>
      </c>
      <c r="J63" s="506" t="n">
        <v>-46.7411978221416</v>
      </c>
      <c r="K63" s="506" t="n">
        <v>-46.2349725379998</v>
      </c>
      <c r="L63" s="507" t="n">
        <v>-209.799835481218</v>
      </c>
      <c r="M63" s="506" t="n">
        <v>135.06880400182</v>
      </c>
      <c r="N63" s="506" t="n">
        <v>-872.017522861109</v>
      </c>
      <c r="O63" s="506" t="n">
        <v>90.5884848484847</v>
      </c>
      <c r="P63" s="506" t="n">
        <v>2.74530900967981</v>
      </c>
      <c r="Q63" s="507" t="n">
        <v>607.443365375086</v>
      </c>
      <c r="R63" s="506" t="n">
        <v>-95.3953390467599</v>
      </c>
      <c r="S63" s="506" t="n">
        <v>0</v>
      </c>
      <c r="T63" s="506" t="n">
        <v>0</v>
      </c>
      <c r="U63" s="506" t="n">
        <v>0</v>
      </c>
      <c r="V63" s="592" t="n">
        <v>0</v>
      </c>
      <c r="W63" s="506" t="n">
        <v>0</v>
      </c>
      <c r="X63" s="506" t="n">
        <v>0</v>
      </c>
      <c r="Y63" s="506" t="n">
        <v>0</v>
      </c>
      <c r="Z63" s="506" t="n">
        <v>0</v>
      </c>
      <c r="AA63" s="592" t="n">
        <v>0</v>
      </c>
      <c r="AB63" s="506" t="n">
        <v>0</v>
      </c>
      <c r="AC63" s="506" t="n">
        <v>0</v>
      </c>
      <c r="AD63" s="506" t="n">
        <v>0</v>
      </c>
      <c r="AE63" s="506" t="n">
        <v>0</v>
      </c>
      <c r="AF63" s="592" t="n">
        <v>0</v>
      </c>
      <c r="AG63" s="506" t="n">
        <v>0</v>
      </c>
      <c r="AH63" s="506" t="n">
        <v>0</v>
      </c>
      <c r="AI63" s="506" t="n">
        <v>0</v>
      </c>
      <c r="AJ63" s="506" t="n">
        <v>0</v>
      </c>
      <c r="AK63" s="592" t="n">
        <v>0</v>
      </c>
      <c r="AL63" s="506" t="n">
        <v>0</v>
      </c>
      <c r="AM63" s="506" t="n">
        <v>0</v>
      </c>
      <c r="AN63" s="506" t="n">
        <v>0</v>
      </c>
      <c r="AO63" s="506" t="n">
        <v>0</v>
      </c>
      <c r="AP63" s="592" t="n">
        <v>0</v>
      </c>
    </row>
    <row r="64" ht="15" customHeight="1" s="462">
      <c r="A64" s="522" t="inlineStr">
        <is>
          <t xml:space="preserve">Adjusted  Net Profit for the Period (PAT) </t>
        </is>
      </c>
      <c r="B64" s="507" t="n">
        <v>761.346416243655</v>
      </c>
      <c r="C64" s="506" t="n">
        <v>239.7070525484</v>
      </c>
      <c r="D64" s="506" t="n">
        <v>305.500396301189</v>
      </c>
      <c r="E64" s="506" t="n">
        <v>371.252353282975</v>
      </c>
      <c r="F64" s="506" t="n">
        <v>352.826086956522</v>
      </c>
      <c r="G64" s="507" t="n">
        <v>1035.17304524755</v>
      </c>
      <c r="H64" s="506" t="n">
        <v>316.144800115875</v>
      </c>
      <c r="I64" s="506" t="n">
        <v>452.792507754713</v>
      </c>
      <c r="J64" s="506" t="n">
        <v>317.241197822141</v>
      </c>
      <c r="K64" s="506" t="n">
        <v>341.734972537999</v>
      </c>
      <c r="L64" s="507" t="n">
        <v>1452.79983548122</v>
      </c>
      <c r="M64" s="506" t="n">
        <v>566.2311959981801</v>
      </c>
      <c r="N64" s="506" t="n">
        <v>1538.84752286111</v>
      </c>
      <c r="O64" s="506" t="n">
        <v>898.311515151516</v>
      </c>
      <c r="P64" s="506" t="n">
        <v>1185.85469099032</v>
      </c>
      <c r="Q64" s="507" t="n">
        <v>2938.18663462492</v>
      </c>
      <c r="R64" s="506" t="n">
        <v>1184.49533904676</v>
      </c>
      <c r="S64" s="506" t="n">
        <v>907.0741385581759</v>
      </c>
      <c r="T64" s="506" t="n">
        <v>994.489323276671</v>
      </c>
      <c r="U64" s="506" t="n">
        <v>1124.47278685037</v>
      </c>
      <c r="V64" s="592" t="n">
        <v>4690.53624868521</v>
      </c>
      <c r="W64" s="506" t="n">
        <v>1448.4455653528</v>
      </c>
      <c r="X64" s="506" t="n">
        <v>965.741620644418</v>
      </c>
      <c r="Y64" s="506" t="n">
        <v>1024.28070212327</v>
      </c>
      <c r="Z64" s="506" t="n">
        <v>1427.82778542577</v>
      </c>
      <c r="AA64" s="592" t="n">
        <v>5102.50418119426</v>
      </c>
      <c r="AB64" s="506" t="n">
        <v>1738.6981384002</v>
      </c>
      <c r="AC64" s="506" t="n">
        <v>1209.2789269618</v>
      </c>
      <c r="AD64" s="506" t="n">
        <v>1113.13610799557</v>
      </c>
      <c r="AE64" s="506" t="n">
        <v>1674.12825129068</v>
      </c>
      <c r="AF64" s="592" t="n">
        <v>5735.24142464825</v>
      </c>
      <c r="AG64" s="506" t="n">
        <v>2383.62611539348</v>
      </c>
      <c r="AH64" s="506" t="n">
        <v>1801.10721743864</v>
      </c>
      <c r="AI64" s="506" t="n">
        <v>1529.14263829984</v>
      </c>
      <c r="AJ64" s="506" t="n">
        <v>2269.09733311986</v>
      </c>
      <c r="AK64" s="592" t="n">
        <v>7982.97330425182</v>
      </c>
      <c r="AL64" s="506" t="n">
        <v>2888.04607950025</v>
      </c>
      <c r="AM64" s="506" t="n">
        <v>2246.63480195444</v>
      </c>
      <c r="AN64" s="506" t="n">
        <v>1779.66790698788</v>
      </c>
      <c r="AO64" s="506" t="n">
        <v>2718.10834077191</v>
      </c>
      <c r="AP64" s="592" t="n">
        <v>9632.45712921449</v>
      </c>
    </row>
    <row r="65" ht="15" customFormat="1" customHeight="1" s="546">
      <c r="A65" s="546" t="inlineStr">
        <is>
          <t>Adjusted Net  Profit Margin (%)</t>
        </is>
      </c>
      <c r="B65" s="548" t="n">
        <v>0.0449039466967653</v>
      </c>
      <c r="C65" s="549" t="n">
        <v>0.0546577555062934</v>
      </c>
      <c r="D65" s="549" t="n">
        <v>0.063645915896081</v>
      </c>
      <c r="E65" s="549" t="n">
        <v>0.07025971863795891</v>
      </c>
      <c r="F65" s="549" t="n">
        <v>0.0628811418564466</v>
      </c>
      <c r="G65" s="548" t="n">
        <v>0.0460031928099277</v>
      </c>
      <c r="H65" s="549" t="n">
        <v>0.0558125838775289</v>
      </c>
      <c r="I65" s="549" t="n">
        <v>0.06788900500100641</v>
      </c>
      <c r="J65" s="549" t="n">
        <v>0.0519905599603634</v>
      </c>
      <c r="K65" s="549" t="n">
        <v>0.0482199763705375</v>
      </c>
      <c r="L65" s="548" t="n">
        <v>0.0569214248961214</v>
      </c>
      <c r="M65" s="549" t="n">
        <v>0.08011307403870729</v>
      </c>
      <c r="N65" s="549" t="n">
        <v>0.212555927204621</v>
      </c>
      <c r="O65" s="549" t="n">
        <v>0.118701804375316</v>
      </c>
      <c r="P65" s="549" t="n">
        <v>0.136488690651833</v>
      </c>
      <c r="Q65" s="548" t="n">
        <v>0.09613311708436489</v>
      </c>
      <c r="R65" s="549" t="n">
        <v>0.14327821594595</v>
      </c>
      <c r="S65" s="549" t="n">
        <v>0.0875037223238726</v>
      </c>
      <c r="T65" s="549" t="n">
        <v>0.0959364994534861</v>
      </c>
      <c r="U65" s="549" t="n">
        <v>0.108475757734323</v>
      </c>
      <c r="V65" s="588" t="n">
        <v>0.119153593891923</v>
      </c>
      <c r="W65" s="549" t="n">
        <v>0.128315403182993</v>
      </c>
      <c r="X65" s="549" t="n">
        <v>0.0835209715785773</v>
      </c>
      <c r="Y65" s="549" t="n">
        <v>0.0847444025794865</v>
      </c>
      <c r="Z65" s="549" t="n">
        <v>0.102903269135687</v>
      </c>
      <c r="AA65" s="588" t="n">
        <v>0.104531295674259</v>
      </c>
      <c r="AB65" s="549" t="n">
        <v>0.124216451459209</v>
      </c>
      <c r="AC65" s="549" t="n">
        <v>0.08434112483816709</v>
      </c>
      <c r="AD65" s="549" t="n">
        <v>0.07427088815736529</v>
      </c>
      <c r="AE65" s="549" t="n">
        <v>0.0973016899362469</v>
      </c>
      <c r="AF65" s="588" t="n">
        <v>0.0947530030913188</v>
      </c>
      <c r="AG65" s="549" t="n">
        <v>0.139583226715629</v>
      </c>
      <c r="AH65" s="549" t="n">
        <v>0.102965715045461</v>
      </c>
      <c r="AI65" s="549" t="n">
        <v>0.0836293101440065</v>
      </c>
      <c r="AJ65" s="549" t="n">
        <v>0.108099815468276</v>
      </c>
      <c r="AK65" s="588" t="n">
        <v>0.108105085699301</v>
      </c>
      <c r="AL65" s="549" t="n">
        <v>0.140934711501347</v>
      </c>
      <c r="AM65" s="549" t="n">
        <v>0.107029700300234</v>
      </c>
      <c r="AN65" s="549" t="n">
        <v>0.0811088490695578</v>
      </c>
      <c r="AO65" s="549" t="n">
        <v>0.107908919614388</v>
      </c>
      <c r="AP65" s="588" t="n">
        <v>0.108701938045852</v>
      </c>
    </row>
    <row r="66" ht="15" customHeight="1" s="462">
      <c r="B66" s="515" t="n"/>
      <c r="G66" s="515" t="n"/>
      <c r="I66" s="529" t="n"/>
      <c r="L66" s="515" t="n"/>
      <c r="M66" s="529" t="n"/>
      <c r="N66" s="529" t="n"/>
      <c r="O66" s="529" t="n"/>
      <c r="P66" s="529" t="n"/>
      <c r="Q66" s="515" t="n"/>
      <c r="R66" s="529" t="n"/>
      <c r="V66" s="558" t="n"/>
      <c r="AA66" s="558" t="n"/>
      <c r="AF66" s="558" t="n"/>
      <c r="AK66" s="558" t="n"/>
      <c r="AP66" s="558" t="n"/>
    </row>
    <row r="67" ht="15" customFormat="1" customHeight="1" s="521">
      <c r="A67" s="583" t="inlineStr">
        <is>
          <t xml:space="preserve">No of Shares - Diluted </t>
        </is>
      </c>
      <c r="B67" s="575" t="n">
        <v>55.6709265175719</v>
      </c>
      <c r="C67" s="576" t="n">
        <v>63.1937172774869</v>
      </c>
      <c r="D67" s="576" t="n">
        <v>68.38548185231539</v>
      </c>
      <c r="E67" s="576" t="n">
        <v>68.39590443686011</v>
      </c>
      <c r="F67" s="576" t="n">
        <v>67.57940854326399</v>
      </c>
      <c r="G67" s="575" t="n">
        <v>66.38916418896601</v>
      </c>
      <c r="H67" s="576" t="n">
        <v>67.6232201533406</v>
      </c>
      <c r="I67" s="576" t="n">
        <v>67.5299238302503</v>
      </c>
      <c r="J67" s="576" t="n">
        <v>67.6327769347496</v>
      </c>
      <c r="K67" s="576" t="n">
        <v>67.62777242044351</v>
      </c>
      <c r="L67" s="575" t="n">
        <v>67.5063685253326</v>
      </c>
      <c r="M67" s="576" t="n">
        <v>67.5720164609053</v>
      </c>
      <c r="N67" s="576" t="n">
        <v>53.7300699300701</v>
      </c>
      <c r="O67" s="576" t="n">
        <v>67.59289176090471</v>
      </c>
      <c r="P67" s="576" t="n">
        <v>64.7130153597416</v>
      </c>
      <c r="Q67" s="575" t="n">
        <v>64.7394685677254</v>
      </c>
      <c r="R67" s="613" t="n">
        <v>64.66226708074529</v>
      </c>
      <c r="S67" s="587" t="n">
        <v>64.6156832298137</v>
      </c>
      <c r="T67" s="587" t="n">
        <v>64.6156832298137</v>
      </c>
      <c r="U67" s="587" t="n">
        <v>64.6156832298137</v>
      </c>
      <c r="V67" s="596" t="n">
        <v>64.6156832298137</v>
      </c>
      <c r="W67" s="587" t="n">
        <v>64.6156832298137</v>
      </c>
      <c r="X67" s="587" t="n">
        <v>64.6156832298137</v>
      </c>
      <c r="Y67" s="587" t="n">
        <v>64.6156832298137</v>
      </c>
      <c r="Z67" s="587" t="n">
        <v>64.6156832298137</v>
      </c>
      <c r="AA67" s="596" t="n">
        <v>64.6156832298137</v>
      </c>
      <c r="AB67" s="587" t="n">
        <v>58.1834437495158</v>
      </c>
      <c r="AC67" s="587" t="n">
        <v>58.1834437495158</v>
      </c>
      <c r="AD67" s="587" t="n">
        <v>58.1834437495158</v>
      </c>
      <c r="AE67" s="587" t="n">
        <v>58.1834437495158</v>
      </c>
      <c r="AF67" s="596" t="n">
        <v>58.1834437495158</v>
      </c>
      <c r="AG67" s="587" t="n">
        <v>58.1834437495158</v>
      </c>
      <c r="AH67" s="587" t="n">
        <v>58.1834437495158</v>
      </c>
      <c r="AI67" s="587" t="n">
        <v>58.1834437495158</v>
      </c>
      <c r="AJ67" s="587" t="n">
        <v>58.1834437495158</v>
      </c>
      <c r="AK67" s="596" t="n">
        <v>58.1834437495158</v>
      </c>
      <c r="AL67" s="587" t="n">
        <v>58.1834437495158</v>
      </c>
      <c r="AM67" s="587" t="n">
        <v>58.1834437495158</v>
      </c>
      <c r="AN67" s="587" t="n">
        <v>58.1834437495158</v>
      </c>
      <c r="AO67" s="587" t="n">
        <v>58.1834437495158</v>
      </c>
      <c r="AP67" s="596" t="n">
        <v>58.1834437495158</v>
      </c>
    </row>
    <row r="68" ht="15" customFormat="1" customHeight="1" s="521">
      <c r="A68" s="583" t="inlineStr">
        <is>
          <t>Diluted EPS - Adjusted</t>
        </is>
      </c>
      <c r="B68" s="563" t="n">
        <v>13.6758351956536</v>
      </c>
      <c r="C68" s="521" t="n">
        <v>3.79321019359937</v>
      </c>
      <c r="D68" s="521" t="n">
        <v>4.46732826948481</v>
      </c>
      <c r="E68" s="521" t="n">
        <v>5.42799099360837</v>
      </c>
      <c r="F68" s="521" t="n">
        <v>5.22091114086393</v>
      </c>
      <c r="G68" s="563" t="n">
        <v>15.5925000396315</v>
      </c>
      <c r="H68" s="521" t="n">
        <v>4.67509236322957</v>
      </c>
      <c r="I68" s="521" t="n">
        <v>6.70506468943894</v>
      </c>
      <c r="J68" s="521" t="n">
        <v>4.69064279481246</v>
      </c>
      <c r="K68" s="521" t="n">
        <v>5.05317505378448</v>
      </c>
      <c r="L68" s="563" t="n">
        <v>21.5209300576735</v>
      </c>
      <c r="M68" s="521" t="n">
        <v>8.379669952957229</v>
      </c>
      <c r="N68" s="521" t="n">
        <v>28.6403409648252</v>
      </c>
      <c r="O68" s="521" t="n">
        <v>13.2900293470074</v>
      </c>
      <c r="P68" s="521" t="n">
        <v>18.324825143723</v>
      </c>
      <c r="Q68" s="563" t="n">
        <v>45.384781488455</v>
      </c>
      <c r="R68" s="614" t="n">
        <v>18.318184507321</v>
      </c>
      <c r="S68" s="614" t="n">
        <v>14.0379872690049</v>
      </c>
      <c r="T68" s="614" t="n">
        <v>15.3908350661502</v>
      </c>
      <c r="U68" s="614" t="n">
        <v>17.4024746105531</v>
      </c>
      <c r="V68" s="577" t="n">
        <v>72.591296945708</v>
      </c>
      <c r="W68" s="614" t="n">
        <v>22.4163158687223</v>
      </c>
      <c r="X68" s="614" t="n">
        <v>14.9459322005408</v>
      </c>
      <c r="Y68" s="614" t="n">
        <v>15.8518899890029</v>
      </c>
      <c r="Z68" s="614" t="n">
        <v>22.0972326539909</v>
      </c>
      <c r="AA68" s="577" t="n">
        <v>78.96696167471561</v>
      </c>
      <c r="AB68" s="614" t="n">
        <v>29.8830393382253</v>
      </c>
      <c r="AC68" s="614" t="n">
        <v>20.7839008665049</v>
      </c>
      <c r="AD68" s="614" t="n">
        <v>19.1314923328999</v>
      </c>
      <c r="AE68" s="614" t="n">
        <v>28.7732754097184</v>
      </c>
      <c r="AF68" s="577" t="n">
        <v>98.5717079473484</v>
      </c>
      <c r="AG68" s="614" t="n">
        <v>40.9674292510972</v>
      </c>
      <c r="AH68" s="614" t="n">
        <v>30.9556654156213</v>
      </c>
      <c r="AI68" s="614" t="n">
        <v>26.2814048079195</v>
      </c>
      <c r="AJ68" s="614" t="n">
        <v>38.9990208020086</v>
      </c>
      <c r="AK68" s="577" t="n">
        <v>137.203520276647</v>
      </c>
      <c r="AL68" s="614" t="n">
        <v>49.6369051638386</v>
      </c>
      <c r="AM68" s="614" t="n">
        <v>38.6129568340158</v>
      </c>
      <c r="AN68" s="614" t="n">
        <v>30.5871875623156</v>
      </c>
      <c r="AO68" s="614" t="n">
        <v>46.7161818828321</v>
      </c>
      <c r="AP68" s="577" t="n">
        <v>165.553231443002</v>
      </c>
    </row>
    <row r="69" ht="15.75" customHeight="1" s="462">
      <c r="A69" s="489" t="n"/>
      <c r="B69" s="538" t="n"/>
      <c r="C69" s="489" t="n"/>
      <c r="D69" s="489" t="n"/>
      <c r="E69" s="489" t="n"/>
      <c r="F69" s="489" t="n"/>
      <c r="G69" s="538" t="n"/>
      <c r="H69" s="489" t="n"/>
      <c r="I69" s="489" t="n"/>
      <c r="J69" s="489" t="n"/>
      <c r="K69" s="489" t="n"/>
      <c r="L69" s="538" t="n"/>
      <c r="M69" s="489" t="n"/>
      <c r="N69" s="489" t="n"/>
      <c r="O69" s="489" t="n"/>
      <c r="P69" s="489" t="n"/>
      <c r="Q69" s="538" t="n"/>
      <c r="R69" s="489" t="n"/>
      <c r="S69" s="489" t="n"/>
      <c r="T69" s="489" t="n"/>
      <c r="U69" s="489" t="n"/>
      <c r="V69" s="538" t="n"/>
      <c r="W69" s="489" t="n"/>
      <c r="X69" s="489" t="n"/>
      <c r="Y69" s="489" t="n"/>
      <c r="Z69" s="489" t="n"/>
      <c r="AA69" s="538" t="n"/>
      <c r="AB69" s="489" t="n"/>
      <c r="AC69" s="489" t="n"/>
      <c r="AD69" s="489" t="n"/>
      <c r="AE69" s="489" t="n"/>
      <c r="AF69" s="538" t="n"/>
      <c r="AG69" s="489" t="n"/>
      <c r="AH69" s="489" t="n"/>
      <c r="AI69" s="489" t="n"/>
      <c r="AJ69" s="489" t="n"/>
      <c r="AK69" s="538" t="n"/>
      <c r="AL69" s="489" t="n"/>
      <c r="AM69" s="489" t="n"/>
      <c r="AN69" s="489" t="n"/>
      <c r="AO69" s="489" t="n"/>
      <c r="AP69" s="538" t="n"/>
    </row>
    <row r="70" ht="15" customHeight="1" s="462">
      <c r="B70" s="552" t="n"/>
      <c r="C70" s="552" t="n"/>
      <c r="D70" s="552" t="n"/>
      <c r="E70" s="552" t="n"/>
      <c r="F70" s="552" t="n"/>
      <c r="G70" s="552" t="n"/>
      <c r="H70" s="552" t="n"/>
      <c r="I70" s="552" t="n"/>
      <c r="J70" s="552" t="n"/>
      <c r="K70" s="552" t="n"/>
      <c r="L70" s="552" t="n"/>
      <c r="M70" s="552" t="n"/>
      <c r="N70" s="552" t="n"/>
      <c r="O70" s="552" t="n"/>
      <c r="P70" s="552" t="n"/>
      <c r="Q70" s="552" t="n"/>
      <c r="R70" s="552" t="n"/>
      <c r="V70" s="552" t="n"/>
      <c r="W70" s="552" t="n"/>
      <c r="AA70" s="552" t="n"/>
      <c r="AF70" s="552" t="n"/>
      <c r="AK70" s="552" t="n"/>
      <c r="AP70" s="552" t="n"/>
    </row>
    <row r="71" ht="15" customHeight="1" s="462">
      <c r="V71" s="529" t="n"/>
    </row>
    <row r="76" ht="15" customHeight="1" s="462">
      <c r="V76" s="490" t="n"/>
    </row>
    <row r="77" ht="15" customHeight="1" s="462">
      <c r="V77" s="461" t="n"/>
    </row>
  </sheetData>
  <mergeCells count="1">
    <mergeCell ref="C7:E10"/>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L7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E68" activeCellId="0" sqref="E68"/>
    </sheetView>
  </sheetViews>
  <sheetFormatPr baseColWidth="8" defaultColWidth="8.96875" defaultRowHeight="15" zeroHeight="0" outlineLevelRow="0"/>
  <cols>
    <col width="42.7" customWidth="1" style="461" min="1" max="1"/>
    <col width="15.85" customWidth="1" style="461" min="2" max="2"/>
    <col width="10.56" customWidth="1" style="461" min="3" max="5"/>
    <col width="12.42" customWidth="1" style="461" min="6" max="6"/>
    <col width="11.28" customWidth="1" style="461" min="7" max="10"/>
  </cols>
  <sheetData>
    <row r="1" ht="18.75" customHeight="1" s="462">
      <c r="A1" s="487" t="inlineStr">
        <is>
          <t>Aurobindo Pharma</t>
        </is>
      </c>
      <c r="B1" s="487" t="n"/>
    </row>
    <row r="2" ht="15.75" customHeight="1" s="462">
      <c r="A2" s="488" t="inlineStr">
        <is>
          <t>Balance Sheet</t>
        </is>
      </c>
      <c r="B2" s="468" t="n"/>
      <c r="C2" s="569" t="n"/>
      <c r="D2" s="468" t="n"/>
      <c r="E2" s="615" t="n"/>
      <c r="F2" s="468" t="n"/>
      <c r="G2" s="616" t="n"/>
    </row>
    <row r="3" ht="15.75" customHeight="1" s="462">
      <c r="A3" s="489" t="inlineStr">
        <is>
          <t>(In Rs Millions, Except per share items)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6" ht="15" customFormat="1" customHeight="1" s="461">
      <c r="A6" s="573" t="n"/>
      <c r="B6" s="573" t="n"/>
    </row>
    <row r="7" ht="15" customHeight="1" s="462">
      <c r="A7" s="491" t="inlineStr">
        <is>
          <t>Balance Sheet</t>
        </is>
      </c>
      <c r="B7" s="573" t="n"/>
    </row>
    <row r="8" ht="15" customFormat="1" customHeight="1" s="461">
      <c r="A8" s="573" t="n"/>
      <c r="B8" s="573" t="n"/>
      <c r="D8" s="521" t="n"/>
      <c r="E8" s="521" t="n"/>
    </row>
    <row r="9" ht="15" customHeight="1" s="462">
      <c r="A9" s="618" t="inlineStr">
        <is>
          <t>I. SOURCES OF FUNDS</t>
        </is>
      </c>
      <c r="B9" s="618" t="n"/>
      <c r="C9" s="521" t="n"/>
      <c r="D9" s="521" t="n"/>
      <c r="E9" s="521" t="n"/>
      <c r="F9" s="521" t="n"/>
      <c r="G9" s="521" t="n"/>
      <c r="H9" s="521" t="n"/>
      <c r="I9" s="521" t="n"/>
      <c r="J9" s="521" t="n"/>
    </row>
    <row r="10" ht="15" customHeight="1" s="462">
      <c r="C10" s="521" t="n"/>
      <c r="D10" s="521" t="n"/>
      <c r="E10" s="521" t="n"/>
      <c r="F10" s="521" t="n"/>
      <c r="G10" s="521" t="n"/>
      <c r="H10" s="521" t="n"/>
      <c r="I10" s="521" t="n"/>
      <c r="J10" s="521" t="n"/>
    </row>
    <row r="11" ht="15" customHeight="1" s="462">
      <c r="A11" s="461" t="inlineStr">
        <is>
          <t>Share holder's Fund</t>
        </is>
      </c>
      <c r="B11" s="521" t="n"/>
      <c r="C11" s="521" t="n"/>
      <c r="D11" s="521" t="n"/>
      <c r="E11" s="521" t="n"/>
      <c r="F11" s="521" t="n"/>
      <c r="G11" s="521" t="n"/>
      <c r="H11" s="521" t="n"/>
      <c r="I11" s="521" t="n"/>
      <c r="J11" s="521" t="n"/>
      <c r="K11" s="521" t="n"/>
    </row>
    <row r="12" ht="15" customHeight="1" s="462">
      <c r="A12" s="619" t="inlineStr">
        <is>
          <t>Share Capital</t>
        </is>
      </c>
      <c r="B12" s="620" t="n">
        <v>266.3</v>
      </c>
      <c r="C12" s="576" t="n">
        <v>266.7</v>
      </c>
      <c r="D12" s="576" t="n">
        <v>268.8</v>
      </c>
      <c r="E12" s="521" t="n">
        <v>268.8</v>
      </c>
      <c r="F12" s="521" t="n">
        <v>268.8</v>
      </c>
      <c r="G12" s="521" t="n">
        <v>291.07616</v>
      </c>
      <c r="H12" s="521" t="n">
        <v>291.07616</v>
      </c>
      <c r="I12" s="521" t="n">
        <v>291.07616</v>
      </c>
      <c r="J12" s="521" t="n">
        <v>291.07616</v>
      </c>
      <c r="K12" s="521" t="n"/>
    </row>
    <row r="13" ht="15" customHeight="1" s="462">
      <c r="A13" s="619" t="inlineStr">
        <is>
          <t>Share Application Money</t>
        </is>
      </c>
      <c r="B13" s="620" t="n">
        <v>0.4</v>
      </c>
      <c r="C13" s="576" t="n">
        <v>0.2</v>
      </c>
      <c r="D13" s="576" t="n">
        <v>0</v>
      </c>
      <c r="E13" s="521" t="n">
        <v>0</v>
      </c>
      <c r="F13" s="521" t="n">
        <v>0</v>
      </c>
      <c r="G13" s="521" t="n">
        <v>0</v>
      </c>
      <c r="H13" s="521" t="n">
        <v>0</v>
      </c>
      <c r="I13" s="521" t="n">
        <v>0</v>
      </c>
      <c r="J13" s="521" t="n">
        <v>0</v>
      </c>
      <c r="K13" s="521" t="n"/>
    </row>
    <row r="14" ht="17.25" customHeight="1" s="462">
      <c r="A14" s="619" t="inlineStr">
        <is>
          <t>Reserves &amp; Surplus</t>
        </is>
      </c>
      <c r="B14" s="621" t="n">
        <v>7882</v>
      </c>
      <c r="C14" s="622" t="n">
        <v>8593.200000000001</v>
      </c>
      <c r="D14" s="622" t="n">
        <v>10971.4</v>
      </c>
      <c r="E14" s="623" t="n">
        <v>11970.33</v>
      </c>
      <c r="F14" s="623" t="n">
        <v>16660.8662486852</v>
      </c>
      <c r="G14" s="623" t="n">
        <v>24066.8857622315</v>
      </c>
      <c r="H14" s="623" t="n">
        <v>29802.1271868797</v>
      </c>
      <c r="I14" s="623" t="n">
        <v>37785.1004911315</v>
      </c>
      <c r="J14" s="623" t="n">
        <v>47417.557620346</v>
      </c>
      <c r="K14" s="521" t="n"/>
    </row>
    <row r="15" ht="15" customHeight="1" s="462">
      <c r="B15" s="583" t="n">
        <v>8148.7</v>
      </c>
      <c r="C15" s="583" t="n">
        <v>8860.1</v>
      </c>
      <c r="D15" s="583" t="n">
        <v>11240.2</v>
      </c>
      <c r="E15" s="583" t="n">
        <v>12239.13</v>
      </c>
      <c r="F15" s="583" t="n">
        <v>16929.6662486852</v>
      </c>
      <c r="G15" s="583" t="n">
        <v>24357.9619222315</v>
      </c>
      <c r="H15" s="583" t="n">
        <v>30093.2033468797</v>
      </c>
      <c r="I15" s="583" t="n">
        <v>38076.1766511315</v>
      </c>
      <c r="J15" s="583" t="n">
        <v>47708.633780346</v>
      </c>
      <c r="K15" s="521" t="n"/>
    </row>
    <row r="16" ht="15" customHeight="1" s="462">
      <c r="A16" s="461" t="inlineStr">
        <is>
          <t>Minority Interest</t>
        </is>
      </c>
      <c r="B16" s="521" t="n">
        <v>24.3</v>
      </c>
      <c r="C16" s="521" t="n">
        <v>35.4</v>
      </c>
      <c r="D16" s="521" t="n">
        <v>32</v>
      </c>
      <c r="E16" s="587" t="n">
        <v>32</v>
      </c>
      <c r="F16" s="587" t="n">
        <v>32</v>
      </c>
      <c r="G16" s="587" t="n">
        <v>32</v>
      </c>
      <c r="H16" s="587" t="n">
        <v>32</v>
      </c>
      <c r="I16" s="587" t="n">
        <v>32</v>
      </c>
      <c r="J16" s="587" t="n">
        <v>32</v>
      </c>
      <c r="K16" s="521" t="n"/>
    </row>
    <row r="17" ht="15" customHeight="1" s="462">
      <c r="B17" s="521" t="n"/>
      <c r="C17" s="521" t="n"/>
      <c r="D17" s="521" t="n"/>
      <c r="E17" s="521" t="n"/>
      <c r="F17" s="521" t="n"/>
      <c r="G17" s="521" t="n"/>
      <c r="H17" s="521" t="n"/>
      <c r="I17" s="521" t="n"/>
      <c r="J17" s="521" t="n"/>
      <c r="K17" s="521" t="n"/>
    </row>
    <row r="18" ht="15" customHeight="1" s="462">
      <c r="A18" s="461" t="inlineStr">
        <is>
          <t>Loan Funds</t>
        </is>
      </c>
      <c r="B18" s="521" t="n"/>
      <c r="C18" s="521" t="n"/>
      <c r="D18" s="521" t="n"/>
      <c r="E18" s="521" t="n"/>
      <c r="F18" s="521" t="n"/>
      <c r="G18" s="521" t="n"/>
      <c r="H18" s="521" t="n"/>
      <c r="I18" s="521" t="n"/>
      <c r="J18" s="521" t="n"/>
      <c r="K18" s="521" t="n"/>
    </row>
    <row r="19" ht="15" customHeight="1" s="462">
      <c r="A19" s="619" t="inlineStr">
        <is>
          <t>Secured Funds</t>
        </is>
      </c>
      <c r="B19" s="620" t="n">
        <v>7502.5</v>
      </c>
      <c r="C19" s="576" t="n">
        <v>7390.7</v>
      </c>
      <c r="D19" s="576" t="n">
        <v>6334.3</v>
      </c>
      <c r="E19" s="521" t="n">
        <v>6334.3</v>
      </c>
      <c r="F19" s="521" t="n">
        <v>6334.3</v>
      </c>
      <c r="G19" s="521" t="n">
        <v>8334.299999999999</v>
      </c>
      <c r="H19" s="521" t="n">
        <v>13334.3</v>
      </c>
      <c r="I19" s="521" t="n">
        <v>13334.3</v>
      </c>
      <c r="J19" s="521" t="n">
        <v>13334.3</v>
      </c>
      <c r="K19" s="521" t="n"/>
    </row>
    <row r="20" ht="17.25" customHeight="1" s="462">
      <c r="A20" s="619" t="inlineStr">
        <is>
          <t>Unsecured Funds</t>
        </is>
      </c>
      <c r="B20" s="621" t="n">
        <v>6228.2</v>
      </c>
      <c r="C20" s="622" t="n">
        <v>13390.7</v>
      </c>
      <c r="D20" s="622" t="n">
        <v>12135.9</v>
      </c>
      <c r="E20" s="623" t="n">
        <v>12135.9</v>
      </c>
      <c r="F20" s="623" t="n">
        <v>11200.6304</v>
      </c>
      <c r="G20" s="623" t="n">
        <v>8638.6304</v>
      </c>
      <c r="H20" s="623" t="n">
        <v>2235.4304</v>
      </c>
      <c r="I20" s="623" t="n">
        <v>2235.4304</v>
      </c>
      <c r="J20" s="623" t="n">
        <v>2235.4304</v>
      </c>
      <c r="K20" s="521" t="n"/>
    </row>
    <row r="21" ht="15" customHeight="1" s="462">
      <c r="B21" s="583" t="n">
        <v>13730.7</v>
      </c>
      <c r="C21" s="583" t="n">
        <v>20781.4</v>
      </c>
      <c r="D21" s="583" t="n">
        <v>18470.2</v>
      </c>
      <c r="E21" s="583" t="n">
        <v>18470.2</v>
      </c>
      <c r="F21" s="583" t="n">
        <v>17534.9304</v>
      </c>
      <c r="G21" s="583" t="n">
        <v>16972.9304</v>
      </c>
      <c r="H21" s="583" t="n">
        <v>15569.7304</v>
      </c>
      <c r="I21" s="583" t="n">
        <v>15569.7304</v>
      </c>
      <c r="J21" s="583" t="n">
        <v>15569.7304</v>
      </c>
      <c r="K21" s="521" t="n"/>
    </row>
    <row r="22" ht="17.25" customHeight="1" s="462">
      <c r="A22" s="461" t="inlineStr">
        <is>
          <t>Deferred Tax Liability (Net)</t>
        </is>
      </c>
      <c r="B22" s="576" t="n">
        <v>725.6</v>
      </c>
      <c r="C22" s="576" t="n">
        <v>681.9</v>
      </c>
      <c r="D22" s="576" t="n">
        <v>733.4</v>
      </c>
      <c r="E22" s="624" t="n">
        <v>733.4</v>
      </c>
      <c r="F22" s="624" t="n">
        <v>733.4</v>
      </c>
      <c r="G22" s="624" t="n">
        <v>733.4</v>
      </c>
      <c r="H22" s="624" t="n">
        <v>733.4</v>
      </c>
      <c r="I22" s="624" t="n">
        <v>733.4</v>
      </c>
      <c r="J22" s="624" t="n">
        <v>733.4</v>
      </c>
      <c r="K22" s="521" t="n"/>
    </row>
    <row r="23" ht="15.75" customHeight="1" s="462">
      <c r="A23" s="625" t="inlineStr">
        <is>
          <t>Total</t>
        </is>
      </c>
      <c r="B23" s="626" t="n">
        <v>22629.3</v>
      </c>
      <c r="C23" s="626" t="n">
        <v>30358.8</v>
      </c>
      <c r="D23" s="626" t="n">
        <v>30475.8</v>
      </c>
      <c r="E23" s="626" t="n">
        <v>31474.73</v>
      </c>
      <c r="F23" s="626" t="n">
        <v>35229.9966486852</v>
      </c>
      <c r="G23" s="626" t="n">
        <v>42096.2923222315</v>
      </c>
      <c r="H23" s="626" t="n">
        <v>46428.3337468797</v>
      </c>
      <c r="I23" s="626" t="n">
        <v>54411.3070511315</v>
      </c>
      <c r="J23" s="626" t="n">
        <v>64043.764180346</v>
      </c>
      <c r="K23" s="521" t="n"/>
    </row>
    <row r="24" ht="15.75" customHeight="1" s="462">
      <c r="B24" s="521" t="n"/>
      <c r="C24" s="521" t="n"/>
      <c r="D24" s="521" t="n"/>
      <c r="E24" s="521" t="n"/>
      <c r="F24" s="521" t="n"/>
      <c r="G24" s="521" t="n"/>
      <c r="H24" s="521" t="n"/>
      <c r="I24" s="521" t="n"/>
      <c r="J24" s="521" t="n"/>
      <c r="K24" s="521" t="n"/>
    </row>
    <row r="25" ht="15" customHeight="1" s="462">
      <c r="A25" s="618" t="inlineStr">
        <is>
          <t>II. APPLICATION OF FUNDS</t>
        </is>
      </c>
      <c r="B25" s="627" t="n"/>
      <c r="C25" s="521" t="n"/>
      <c r="D25" s="521" t="n"/>
      <c r="E25" s="521" t="n"/>
      <c r="F25" s="521" t="n"/>
      <c r="G25" s="521" t="n"/>
      <c r="H25" s="521" t="n"/>
      <c r="I25" s="521" t="n"/>
      <c r="J25" s="521" t="n"/>
      <c r="K25" s="521" t="n"/>
    </row>
    <row r="26" ht="15" customHeight="1" s="462">
      <c r="B26" s="521" t="n"/>
      <c r="C26" s="521" t="n"/>
      <c r="D26" s="521" t="n"/>
      <c r="E26" s="521" t="n"/>
      <c r="F26" s="521" t="n"/>
      <c r="G26" s="521" t="n"/>
      <c r="H26" s="521" t="n"/>
      <c r="I26" s="521" t="n"/>
      <c r="J26" s="521" t="n"/>
      <c r="K26" s="521" t="n"/>
    </row>
    <row r="27" ht="15" customHeight="1" s="462">
      <c r="A27" s="461" t="inlineStr">
        <is>
          <t>Fixed Assets</t>
        </is>
      </c>
      <c r="B27" s="521" t="n"/>
      <c r="C27" s="521" t="n"/>
      <c r="D27" s="521" t="n"/>
      <c r="E27" s="521" t="n"/>
      <c r="F27" s="521" t="n"/>
      <c r="G27" s="521" t="n"/>
      <c r="H27" s="521" t="n"/>
      <c r="I27" s="521" t="n"/>
      <c r="J27" s="521" t="n"/>
      <c r="K27" s="521" t="n"/>
    </row>
    <row r="28" ht="15" customHeight="1" s="462">
      <c r="A28" s="619" t="inlineStr">
        <is>
          <t>Gross Block</t>
        </is>
      </c>
      <c r="B28" s="620" t="n">
        <v>13561.6</v>
      </c>
      <c r="C28" s="576" t="n">
        <v>14681.4</v>
      </c>
      <c r="D28" s="576" t="n">
        <v>17179.9</v>
      </c>
      <c r="E28" s="521" t="n">
        <v>19472.17975</v>
      </c>
      <c r="F28" s="521" t="n">
        <v>22227.762076</v>
      </c>
      <c r="G28" s="521" t="n">
        <v>25644.68416024</v>
      </c>
      <c r="H28" s="521" t="n">
        <v>29276.3842040608</v>
      </c>
      <c r="I28" s="521" t="n">
        <v>33707.0582575222</v>
      </c>
      <c r="J28" s="521" t="n">
        <v>39023.8671216758</v>
      </c>
      <c r="K28" s="521" t="n"/>
    </row>
    <row r="29" ht="32.25" customHeight="1" s="462">
      <c r="A29" s="628" t="inlineStr">
        <is>
          <t>Less: Accumulated Depreciation/Amortization</t>
        </is>
      </c>
      <c r="B29" s="629" t="n">
        <v>2724.1</v>
      </c>
      <c r="C29" s="622" t="n">
        <v>3155.3</v>
      </c>
      <c r="D29" s="622" t="n">
        <v>4176.9</v>
      </c>
      <c r="E29" s="623" t="n">
        <v>5398.1</v>
      </c>
      <c r="F29" s="623" t="n">
        <v>6607.90753660391</v>
      </c>
      <c r="G29" s="623" t="n">
        <v>7964.63170969623</v>
      </c>
      <c r="H29" s="623" t="n">
        <v>9491.067561825061</v>
      </c>
      <c r="I29" s="623" t="n">
        <v>11213.613444378</v>
      </c>
      <c r="J29" s="623" t="n">
        <v>13182.882858271</v>
      </c>
      <c r="K29" s="521" t="n"/>
    </row>
    <row r="30" ht="15" customHeight="1" s="462">
      <c r="A30" s="619" t="inlineStr">
        <is>
          <t>Net Block</t>
        </is>
      </c>
      <c r="B30" s="521" t="n">
        <v>10837.5</v>
      </c>
      <c r="C30" s="521" t="n">
        <v>11526.1</v>
      </c>
      <c r="D30" s="521" t="n">
        <v>13003</v>
      </c>
      <c r="E30" s="521" t="n">
        <v>14074.07975</v>
      </c>
      <c r="F30" s="521" t="n">
        <v>15619.8545393961</v>
      </c>
      <c r="G30" s="521" t="n">
        <v>17680.0524505438</v>
      </c>
      <c r="H30" s="521" t="n">
        <v>19785.3166422357</v>
      </c>
      <c r="I30" s="521" t="n">
        <v>22493.4448131442</v>
      </c>
      <c r="J30" s="521" t="n">
        <v>25840.9842634048</v>
      </c>
      <c r="K30" s="521" t="n"/>
    </row>
    <row r="31" ht="32.25" customHeight="1" s="462">
      <c r="A31" s="628" t="inlineStr">
        <is>
          <t>Capital Work-in-progress (including capital advances)</t>
        </is>
      </c>
      <c r="B31" s="629" t="n">
        <v>1497.4</v>
      </c>
      <c r="C31" s="622" t="n">
        <v>2187.1</v>
      </c>
      <c r="D31" s="622" t="n">
        <v>2145.5</v>
      </c>
      <c r="E31" s="624" t="n">
        <v>2145.5</v>
      </c>
      <c r="F31" s="624" t="n">
        <v>2145.5</v>
      </c>
      <c r="G31" s="624" t="n">
        <v>2145.5</v>
      </c>
      <c r="H31" s="624" t="n">
        <v>2145.5</v>
      </c>
      <c r="I31" s="624" t="n">
        <v>2145.5</v>
      </c>
      <c r="J31" s="624" t="n">
        <v>2145.5</v>
      </c>
      <c r="K31" s="521" t="n"/>
    </row>
    <row r="32" ht="15" customHeight="1" s="462">
      <c r="B32" s="583" t="n">
        <v>12334.9</v>
      </c>
      <c r="C32" s="583" t="n">
        <v>13713.2</v>
      </c>
      <c r="D32" s="583" t="n">
        <v>15148.5</v>
      </c>
      <c r="E32" s="583" t="n">
        <v>16219.57975</v>
      </c>
      <c r="F32" s="583" t="n">
        <v>17765.3545393961</v>
      </c>
      <c r="G32" s="583" t="n">
        <v>19825.5524505438</v>
      </c>
      <c r="H32" s="583" t="n">
        <v>21930.8166422357</v>
      </c>
      <c r="I32" s="583" t="n">
        <v>24638.9448131442</v>
      </c>
      <c r="J32" s="583" t="n">
        <v>27986.4842634048</v>
      </c>
      <c r="K32" s="521" t="n"/>
    </row>
    <row r="33" ht="15" customHeight="1" s="462">
      <c r="B33" s="521" t="n"/>
      <c r="C33" s="521" t="n"/>
      <c r="D33" s="583" t="n"/>
      <c r="E33" s="521" t="n"/>
      <c r="F33" s="521" t="n"/>
      <c r="G33" s="521" t="n"/>
      <c r="H33" s="521" t="n"/>
      <c r="I33" s="521" t="n"/>
      <c r="J33" s="521" t="n"/>
      <c r="K33" s="521" t="n"/>
    </row>
    <row r="34" ht="15" customHeight="1" s="462">
      <c r="A34" s="461" t="inlineStr">
        <is>
          <t>Investments</t>
        </is>
      </c>
      <c r="B34" s="576" t="n">
        <v>2.8</v>
      </c>
      <c r="C34" s="576" t="n">
        <v>2.7</v>
      </c>
      <c r="D34" s="576" t="n">
        <v>604.3</v>
      </c>
      <c r="E34" s="587" t="n">
        <v>604.3</v>
      </c>
      <c r="F34" s="587" t="n">
        <v>604.3</v>
      </c>
      <c r="G34" s="587" t="n">
        <v>604.3</v>
      </c>
      <c r="H34" s="587" t="n">
        <v>604.3</v>
      </c>
      <c r="I34" s="587" t="n">
        <v>604.3</v>
      </c>
      <c r="J34" s="587" t="n">
        <v>604.3</v>
      </c>
      <c r="K34" s="521" t="n"/>
    </row>
    <row r="35" ht="15" customHeight="1" s="462">
      <c r="B35" s="579" t="n"/>
      <c r="C35" s="576" t="n"/>
      <c r="D35" s="576" t="n"/>
      <c r="E35" s="521" t="n"/>
      <c r="F35" s="521" t="n"/>
      <c r="G35" s="521" t="n"/>
      <c r="H35" s="521" t="n"/>
      <c r="I35" s="521" t="n"/>
      <c r="J35" s="521" t="n"/>
      <c r="K35" s="521" t="n"/>
    </row>
    <row r="36" ht="15" customHeight="1" s="462">
      <c r="A36" s="461" t="inlineStr">
        <is>
          <t>Deferred Tax Asset</t>
        </is>
      </c>
      <c r="B36" s="576" t="n">
        <v>0.1</v>
      </c>
      <c r="C36" s="576" t="n">
        <v>0</v>
      </c>
      <c r="D36" s="576" t="n">
        <v>1.2</v>
      </c>
      <c r="E36" s="587" t="n">
        <v>1.2</v>
      </c>
      <c r="F36" s="587" t="n">
        <v>1.2</v>
      </c>
      <c r="G36" s="587" t="n">
        <v>1.2</v>
      </c>
      <c r="H36" s="587" t="n">
        <v>1.2</v>
      </c>
      <c r="I36" s="587" t="n">
        <v>1.2</v>
      </c>
      <c r="J36" s="587" t="n">
        <v>1.2</v>
      </c>
      <c r="K36" s="521" t="n"/>
    </row>
    <row r="37" ht="15" customHeight="1" s="462">
      <c r="B37" s="521" t="n"/>
      <c r="C37" s="521" t="n"/>
      <c r="D37" s="521" t="n"/>
      <c r="E37" s="521" t="n"/>
      <c r="F37" s="521" t="n"/>
      <c r="G37" s="521" t="n"/>
      <c r="H37" s="521" t="n"/>
      <c r="I37" s="521" t="n"/>
      <c r="J37" s="521" t="n"/>
      <c r="K37" s="521" t="n"/>
    </row>
    <row r="38" ht="15" customHeight="1" s="462">
      <c r="A38" s="461" t="inlineStr">
        <is>
          <t xml:space="preserve">Current Assets, Loans and Advances </t>
        </is>
      </c>
      <c r="B38" s="521" t="n"/>
      <c r="C38" s="521" t="n"/>
      <c r="D38" s="521" t="n"/>
      <c r="E38" s="521" t="n"/>
      <c r="F38" s="521" t="n"/>
      <c r="G38" s="521" t="n"/>
      <c r="H38" s="521" t="n"/>
      <c r="I38" s="521" t="n"/>
      <c r="J38" s="521" t="n"/>
      <c r="K38" s="521" t="n"/>
    </row>
    <row r="39" ht="15" customHeight="1" s="462">
      <c r="A39" s="619" t="inlineStr">
        <is>
          <t>Interest Accrued on Investments</t>
        </is>
      </c>
      <c r="B39" s="620" t="n">
        <v>0.5</v>
      </c>
      <c r="C39" s="576" t="n">
        <v>0.5</v>
      </c>
      <c r="D39" s="576" t="n">
        <v>0.6</v>
      </c>
      <c r="E39" s="587" t="n">
        <v>0.6</v>
      </c>
      <c r="F39" s="587" t="n">
        <v>0.6</v>
      </c>
      <c r="G39" s="587" t="n">
        <v>0.6</v>
      </c>
      <c r="H39" s="587" t="n">
        <v>0.6</v>
      </c>
      <c r="I39" s="587" t="n">
        <v>0.6</v>
      </c>
      <c r="J39" s="587" t="n">
        <v>0.6</v>
      </c>
      <c r="K39" s="521" t="n"/>
    </row>
    <row r="40" ht="15" customHeight="1" s="462">
      <c r="A40" s="619" t="inlineStr">
        <is>
          <t>Inventories</t>
        </is>
      </c>
      <c r="B40" s="620" t="n">
        <v>4718.1</v>
      </c>
      <c r="C40" s="576" t="n">
        <v>6544</v>
      </c>
      <c r="D40" s="576" t="n">
        <v>7950.3</v>
      </c>
      <c r="E40" s="521" t="n">
        <v>8678.478380963759</v>
      </c>
      <c r="F40" s="521" t="n">
        <v>11177.7034147323</v>
      </c>
      <c r="G40" s="521" t="n">
        <v>13860.352234268</v>
      </c>
      <c r="H40" s="521" t="n">
        <v>17186.8367704923</v>
      </c>
      <c r="I40" s="521" t="n">
        <v>20967.9408600006</v>
      </c>
      <c r="J40" s="521" t="n">
        <v>25161.5290320008</v>
      </c>
      <c r="K40" s="521" t="n"/>
    </row>
    <row r="41" ht="15" customHeight="1" s="462">
      <c r="A41" s="619" t="inlineStr">
        <is>
          <t>Sundry Debtors</t>
        </is>
      </c>
      <c r="B41" s="620" t="n">
        <v>5822.3</v>
      </c>
      <c r="C41" s="576" t="n">
        <v>6261.1</v>
      </c>
      <c r="D41" s="576" t="n">
        <v>6650.1</v>
      </c>
      <c r="E41" s="521" t="n">
        <v>7963.50966673066</v>
      </c>
      <c r="F41" s="521" t="n">
        <v>10256.8382713634</v>
      </c>
      <c r="G41" s="521" t="n">
        <v>12718.4794564906</v>
      </c>
      <c r="H41" s="521" t="n">
        <v>15770.9145260483</v>
      </c>
      <c r="I41" s="521" t="n">
        <v>19240.5157217789</v>
      </c>
      <c r="J41" s="521" t="n">
        <v>23088.6188661347</v>
      </c>
      <c r="K41" s="521" t="n"/>
    </row>
    <row r="42" ht="15" customHeight="1" s="462">
      <c r="A42" s="619" t="inlineStr">
        <is>
          <t>Cash &amp; Bank Balances</t>
        </is>
      </c>
      <c r="B42" s="620" t="n">
        <v>2019.3</v>
      </c>
      <c r="C42" s="576" t="n">
        <v>5824.6</v>
      </c>
      <c r="D42" s="576" t="n">
        <v>2825.7</v>
      </c>
      <c r="E42" s="521" t="n">
        <v>1594.63478286004</v>
      </c>
      <c r="F42" s="521" t="n">
        <v>869.2938203561311</v>
      </c>
      <c r="G42" s="521" t="n">
        <v>2450.1651719119</v>
      </c>
      <c r="H42" s="521" t="n">
        <v>747.332476921988</v>
      </c>
      <c r="I42" s="521" t="n">
        <v>1555.52099216655</v>
      </c>
      <c r="J42" s="521" t="n">
        <v>2886.51042195621</v>
      </c>
      <c r="K42" s="521" t="n"/>
    </row>
    <row r="43" ht="17.25" customHeight="1" s="462">
      <c r="A43" s="619" t="inlineStr">
        <is>
          <t>Loan and Advances</t>
        </is>
      </c>
      <c r="B43" s="621" t="n">
        <v>1996.6</v>
      </c>
      <c r="C43" s="622" t="n">
        <v>2718.9</v>
      </c>
      <c r="D43" s="622" t="n">
        <v>3164.1</v>
      </c>
      <c r="E43" s="624" t="n">
        <v>3164.1</v>
      </c>
      <c r="F43" s="624" t="n">
        <v>3164.1</v>
      </c>
      <c r="G43" s="624" t="n">
        <v>3164.1</v>
      </c>
      <c r="H43" s="624" t="n">
        <v>3164.1</v>
      </c>
      <c r="I43" s="624" t="n">
        <v>3164.1</v>
      </c>
      <c r="J43" s="624" t="n">
        <v>3164.1</v>
      </c>
      <c r="K43" s="521" t="n"/>
    </row>
    <row r="44" ht="15" customHeight="1" s="462">
      <c r="A44" s="630" t="inlineStr">
        <is>
          <t>(A)</t>
        </is>
      </c>
      <c r="B44" s="583" t="n">
        <v>14556.8</v>
      </c>
      <c r="C44" s="583" t="n">
        <v>21349.1</v>
      </c>
      <c r="D44" s="583" t="n">
        <v>20590.8</v>
      </c>
      <c r="E44" s="583" t="n">
        <v>21401.3228305545</v>
      </c>
      <c r="F44" s="583" t="n">
        <v>25468.5355064518</v>
      </c>
      <c r="G44" s="583" t="n">
        <v>32193.6968626705</v>
      </c>
      <c r="H44" s="583" t="n">
        <v>36869.7837734626</v>
      </c>
      <c r="I44" s="583" t="n">
        <v>44928.6775739461</v>
      </c>
      <c r="J44" s="583" t="n">
        <v>54301.3583200917</v>
      </c>
      <c r="K44" s="521" t="n"/>
    </row>
    <row r="45" ht="15" customHeight="1" s="462">
      <c r="A45" s="461" t="inlineStr">
        <is>
          <t>Less: Current Liabilities and Provisions</t>
        </is>
      </c>
      <c r="B45" s="521" t="n"/>
      <c r="C45" s="521" t="n"/>
      <c r="D45" s="521" t="n"/>
      <c r="E45" s="521" t="n"/>
      <c r="F45" s="521" t="n"/>
      <c r="G45" s="521" t="n"/>
      <c r="H45" s="521" t="n"/>
      <c r="I45" s="521" t="n"/>
      <c r="J45" s="521" t="n"/>
      <c r="K45" s="521" t="n"/>
    </row>
    <row r="46" ht="15" customHeight="1" s="462">
      <c r="A46" s="619" t="inlineStr">
        <is>
          <t xml:space="preserve">Liabilities </t>
        </is>
      </c>
      <c r="B46" s="620" t="n">
        <v>4090.2</v>
      </c>
      <c r="C46" s="576" t="n">
        <v>4442.4</v>
      </c>
      <c r="D46" s="576" t="n">
        <v>5546</v>
      </c>
      <c r="E46" s="521" t="n">
        <v>6428.67258055446</v>
      </c>
      <c r="F46" s="521" t="n">
        <v>8286.39339716263</v>
      </c>
      <c r="G46" s="521" t="n">
        <v>10205.4569909828</v>
      </c>
      <c r="H46" s="521" t="n">
        <v>12654.7666688186</v>
      </c>
      <c r="I46" s="521" t="n">
        <v>15438.8153359587</v>
      </c>
      <c r="J46" s="521" t="n">
        <v>18526.5784031505</v>
      </c>
      <c r="K46" s="521" t="n"/>
    </row>
    <row r="47" ht="15" customHeight="1" s="462">
      <c r="A47" s="619" t="inlineStr">
        <is>
          <t>Provisions</t>
        </is>
      </c>
      <c r="B47" s="620" t="n">
        <v>175.1</v>
      </c>
      <c r="C47" s="576" t="n">
        <v>263.8</v>
      </c>
      <c r="D47" s="576" t="n">
        <v>323</v>
      </c>
      <c r="E47" s="587" t="n">
        <v>323</v>
      </c>
      <c r="F47" s="587" t="n">
        <v>323</v>
      </c>
      <c r="G47" s="587" t="n">
        <v>323</v>
      </c>
      <c r="H47" s="587" t="n">
        <v>323</v>
      </c>
      <c r="I47" s="587" t="n">
        <v>323</v>
      </c>
      <c r="J47" s="587" t="n">
        <v>323</v>
      </c>
      <c r="K47" s="521" t="n"/>
    </row>
    <row r="48" ht="17.25" customHeight="1" s="462">
      <c r="A48" s="630" t="inlineStr">
        <is>
          <t>(B)</t>
        </is>
      </c>
      <c r="B48" s="623" t="n">
        <v>4265.3</v>
      </c>
      <c r="C48" s="623" t="n">
        <v>4706.2</v>
      </c>
      <c r="D48" s="623" t="n">
        <v>5869</v>
      </c>
      <c r="E48" s="623" t="n">
        <v>6751.67258055446</v>
      </c>
      <c r="F48" s="623" t="n">
        <v>8609.39339716263</v>
      </c>
      <c r="G48" s="623" t="n">
        <v>10528.4569909828</v>
      </c>
      <c r="H48" s="623" t="n">
        <v>12977.7666688186</v>
      </c>
      <c r="I48" s="623" t="n">
        <v>15761.8153359587</v>
      </c>
      <c r="J48" s="623" t="n">
        <v>18849.5784031505</v>
      </c>
      <c r="K48" s="521" t="n"/>
    </row>
    <row r="49" ht="15" customHeight="1" s="462">
      <c r="A49" s="461" t="inlineStr">
        <is>
          <t>Net Current Assets    (A-B)</t>
        </is>
      </c>
      <c r="B49" s="583" t="n">
        <v>10291.5</v>
      </c>
      <c r="C49" s="583" t="n">
        <v>16642.9</v>
      </c>
      <c r="D49" s="583" t="n">
        <v>14721.8</v>
      </c>
      <c r="E49" s="583" t="n">
        <v>14649.65025</v>
      </c>
      <c r="F49" s="583" t="n">
        <v>16859.1421092891</v>
      </c>
      <c r="G49" s="583" t="n">
        <v>21665.2398716877</v>
      </c>
      <c r="H49" s="583" t="n">
        <v>23892.017104644</v>
      </c>
      <c r="I49" s="583" t="n">
        <v>29166.8622379874</v>
      </c>
      <c r="J49" s="583" t="n">
        <v>35451.7799169412</v>
      </c>
      <c r="K49" s="521" t="n"/>
    </row>
    <row r="50" ht="15.75" customHeight="1" s="462">
      <c r="A50" s="625" t="inlineStr">
        <is>
          <t>Total</t>
        </is>
      </c>
      <c r="B50" s="626" t="n">
        <v>22629.3</v>
      </c>
      <c r="C50" s="626" t="n">
        <v>30358.8</v>
      </c>
      <c r="D50" s="626" t="n">
        <v>30475.8</v>
      </c>
      <c r="E50" s="626" t="n">
        <v>31474.73</v>
      </c>
      <c r="F50" s="626" t="n">
        <v>35229.9966486852</v>
      </c>
      <c r="G50" s="626" t="n">
        <v>42096.2923222315</v>
      </c>
      <c r="H50" s="626" t="n">
        <v>46428.3337468797</v>
      </c>
      <c r="I50" s="626" t="n">
        <v>54411.3070511315</v>
      </c>
      <c r="J50" s="626" t="n">
        <v>64043.764180346</v>
      </c>
      <c r="K50" s="521" t="n"/>
    </row>
    <row r="51" ht="15.75" customHeight="1" s="462">
      <c r="B51" s="521" t="n"/>
      <c r="C51" s="521" t="n"/>
      <c r="D51" s="521" t="n"/>
      <c r="E51" s="521" t="n"/>
      <c r="F51" s="521" t="n"/>
      <c r="G51" s="521" t="n"/>
      <c r="H51" s="521" t="n"/>
      <c r="I51" s="521" t="n"/>
      <c r="J51" s="521" t="n"/>
      <c r="K51" s="521" t="n"/>
    </row>
    <row r="52" ht="15" customHeight="1" s="462">
      <c r="A52" s="631" t="inlineStr">
        <is>
          <t>Check Sum</t>
        </is>
      </c>
      <c r="B52" s="521" t="n">
        <v>0</v>
      </c>
      <c r="C52" s="521" t="n">
        <v>0</v>
      </c>
      <c r="D52" s="632" t="n">
        <v>0</v>
      </c>
      <c r="E52" s="632" t="n">
        <v>0</v>
      </c>
      <c r="F52" s="521" t="n">
        <v>0</v>
      </c>
      <c r="G52" s="521" t="n">
        <v>0</v>
      </c>
      <c r="H52" s="521" t="n">
        <v>0</v>
      </c>
      <c r="I52" s="521" t="n">
        <v>0</v>
      </c>
      <c r="J52" s="521" t="n">
        <v>0</v>
      </c>
      <c r="K52" s="521" t="n"/>
    </row>
    <row r="53" ht="15.75" customHeight="1" s="462">
      <c r="A53" s="489" t="n"/>
      <c r="B53" s="489" t="n"/>
      <c r="C53" s="489" t="n"/>
      <c r="D53" s="489" t="n"/>
      <c r="E53" s="489" t="n"/>
      <c r="F53" s="489" t="n"/>
      <c r="G53" s="489" t="n"/>
      <c r="H53" s="489" t="n"/>
      <c r="I53" s="489" t="n"/>
      <c r="J53" s="489" t="n"/>
      <c r="K53" s="521" t="n"/>
    </row>
    <row r="54" ht="15" customHeight="1" s="462">
      <c r="B54" s="521" t="n"/>
      <c r="C54" s="521" t="n"/>
      <c r="D54" s="521" t="n"/>
      <c r="E54" s="521" t="n"/>
      <c r="F54" s="521" t="n"/>
      <c r="G54" s="521" t="n"/>
      <c r="H54" s="521" t="n"/>
      <c r="I54" s="521" t="n"/>
      <c r="J54" s="521" t="n"/>
      <c r="K54" s="521" t="n"/>
    </row>
    <row r="55" ht="15" customHeight="1" s="462">
      <c r="A55" s="491" t="inlineStr">
        <is>
          <t>Balance Sheet Metrics</t>
        </is>
      </c>
      <c r="B55" s="521" t="n"/>
      <c r="C55" s="521" t="n"/>
      <c r="D55" s="521" t="n"/>
      <c r="E55" s="521" t="n"/>
      <c r="F55" s="521" t="n"/>
      <c r="G55" s="521" t="n"/>
      <c r="H55" s="521" t="n"/>
      <c r="I55" s="521" t="n"/>
      <c r="J55" s="521" t="n"/>
      <c r="K55" s="521" t="n"/>
    </row>
    <row r="56" ht="15" customHeight="1" s="462">
      <c r="A56" s="461" t="n"/>
      <c r="B56" s="521" t="n"/>
      <c r="C56" s="521" t="n"/>
      <c r="D56" s="521" t="n"/>
      <c r="E56" s="521" t="n"/>
      <c r="F56" s="521" t="n"/>
      <c r="G56" s="521" t="n"/>
      <c r="H56" s="521" t="n"/>
      <c r="I56" s="521" t="n"/>
      <c r="J56" s="521" t="n"/>
      <c r="K56" s="521" t="n"/>
    </row>
    <row r="57" ht="15" customHeight="1" s="462">
      <c r="A57" s="633" t="inlineStr">
        <is>
          <t>Current Ratio</t>
        </is>
      </c>
      <c r="B57" s="521" t="n">
        <v>3.41284317632992</v>
      </c>
      <c r="C57" s="521" t="n">
        <v>4.53637754451575</v>
      </c>
      <c r="D57" s="521" t="n">
        <v>3.50840006815471</v>
      </c>
      <c r="E57" s="521" t="n">
        <v>3.16978090617021</v>
      </c>
      <c r="F57" s="521" t="n">
        <v>2.95822647793576</v>
      </c>
      <c r="G57" s="521" t="n">
        <v>3.05777920641583</v>
      </c>
      <c r="H57" s="521" t="n">
        <v>2.84099604456973</v>
      </c>
      <c r="I57" s="521" t="n">
        <v>2.85047607882111</v>
      </c>
      <c r="J57" s="521" t="n">
        <v>2.88077309522296</v>
      </c>
      <c r="K57" s="521" t="n"/>
    </row>
    <row r="58" ht="15" customHeight="1" s="462">
      <c r="A58" s="633" t="inlineStr">
        <is>
          <t>Quick Ratio</t>
        </is>
      </c>
      <c r="B58" s="521" t="n">
        <v>2.30668417227393</v>
      </c>
      <c r="C58" s="521" t="n">
        <v>3.14587140368025</v>
      </c>
      <c r="D58" s="521" t="n">
        <v>2.15377406713239</v>
      </c>
      <c r="E58" s="521" t="n">
        <v>1.8843989097211</v>
      </c>
      <c r="F58" s="521" t="n">
        <v>1.65991161426417</v>
      </c>
      <c r="G58" s="521" t="n">
        <v>1.74131353189782</v>
      </c>
      <c r="H58" s="521" t="n">
        <v>1.51666673513726</v>
      </c>
      <c r="I58" s="521" t="n">
        <v>1.52017621087603</v>
      </c>
      <c r="J58" s="521" t="n">
        <v>1.54591411356026</v>
      </c>
      <c r="K58" s="521" t="n"/>
    </row>
    <row r="59" ht="15" customHeight="1" s="462">
      <c r="A59" s="633" t="inlineStr">
        <is>
          <t>Days Sales Outstanding (DSO)</t>
        </is>
      </c>
      <c r="B59" s="521" t="n">
        <v>125.33998820407</v>
      </c>
      <c r="C59" s="521" t="n">
        <v>101.559025339745</v>
      </c>
      <c r="D59" s="521" t="n">
        <v>95.1023002871931</v>
      </c>
      <c r="E59" s="587" t="n">
        <v>95.1023002871931</v>
      </c>
      <c r="F59" s="587" t="n">
        <v>95.1023002871931</v>
      </c>
      <c r="G59" s="587" t="n">
        <v>95.1023002871931</v>
      </c>
      <c r="H59" s="587" t="n">
        <v>95.1023002871931</v>
      </c>
      <c r="I59" s="587" t="n">
        <v>95.1023002871931</v>
      </c>
      <c r="J59" s="587" t="n">
        <v>95.1023002871931</v>
      </c>
      <c r="K59" s="521" t="n"/>
    </row>
    <row r="60" ht="15" customHeight="1" s="462">
      <c r="A60" s="633" t="inlineStr">
        <is>
          <t>Inventory Days</t>
        </is>
      </c>
      <c r="B60" s="521" t="n"/>
      <c r="C60" s="521" t="n">
        <v>91.3392134991245</v>
      </c>
      <c r="D60" s="521" t="n">
        <v>103.640642325128</v>
      </c>
      <c r="E60" s="587" t="n">
        <v>103.640642325128</v>
      </c>
      <c r="F60" s="587" t="n">
        <v>103.640642325128</v>
      </c>
      <c r="G60" s="587" t="n">
        <v>103.640642325128</v>
      </c>
      <c r="H60" s="587" t="n">
        <v>103.640642325128</v>
      </c>
      <c r="I60" s="587" t="n">
        <v>103.640642325128</v>
      </c>
      <c r="J60" s="587" t="n">
        <v>103.640642325128</v>
      </c>
      <c r="K60" s="521" t="n"/>
    </row>
    <row r="61" ht="15" customHeight="1" s="462">
      <c r="A61" s="633" t="inlineStr">
        <is>
          <t>Payable Days</t>
        </is>
      </c>
      <c r="B61" s="521" t="n">
        <v>148.478637068863</v>
      </c>
      <c r="C61" s="521" t="n">
        <v>123.712576677755</v>
      </c>
      <c r="D61" s="521" t="n">
        <v>142.291092616544</v>
      </c>
      <c r="E61" s="587" t="n">
        <v>142.291092616544</v>
      </c>
      <c r="F61" s="587" t="n">
        <v>142.291092616544</v>
      </c>
      <c r="G61" s="587" t="n">
        <v>142.291092616544</v>
      </c>
      <c r="H61" s="587" t="n">
        <v>142.291092616544</v>
      </c>
      <c r="I61" s="587" t="n">
        <v>142.291092616544</v>
      </c>
      <c r="J61" s="587" t="n">
        <v>142.291092616544</v>
      </c>
      <c r="K61" s="521" t="n"/>
    </row>
    <row r="62" ht="15" customHeight="1" s="462">
      <c r="A62" s="633" t="inlineStr">
        <is>
          <t>Total Debt</t>
        </is>
      </c>
      <c r="B62" s="521" t="n">
        <v>13730.7</v>
      </c>
      <c r="C62" s="521" t="n">
        <v>20781.4</v>
      </c>
      <c r="D62" s="521" t="n">
        <v>18470.2</v>
      </c>
      <c r="E62" s="521" t="n">
        <v>18470.2</v>
      </c>
      <c r="F62" s="521" t="n">
        <v>17534.9304</v>
      </c>
      <c r="G62" s="521" t="n">
        <v>16972.9304</v>
      </c>
      <c r="H62" s="521" t="n">
        <v>15569.7304</v>
      </c>
      <c r="I62" s="521" t="n">
        <v>15569.7304</v>
      </c>
      <c r="J62" s="521" t="n">
        <v>15569.7304</v>
      </c>
      <c r="K62" s="521" t="n"/>
    </row>
    <row r="63" ht="15" customHeight="1" s="462">
      <c r="A63" s="633" t="inlineStr">
        <is>
          <t>Net Debt</t>
        </is>
      </c>
      <c r="B63" s="521" t="n">
        <v>11711.4</v>
      </c>
      <c r="C63" s="521" t="n">
        <v>14956.8</v>
      </c>
      <c r="D63" s="521" t="n">
        <v>15644.5</v>
      </c>
      <c r="E63" s="521" t="n">
        <v>16875.56521714</v>
      </c>
      <c r="F63" s="521" t="n">
        <v>16665.6365796439</v>
      </c>
      <c r="G63" s="521" t="n">
        <v>14522.7652280881</v>
      </c>
      <c r="H63" s="521" t="n">
        <v>14822.397923078</v>
      </c>
      <c r="I63" s="521" t="n">
        <v>14014.2094078335</v>
      </c>
      <c r="J63" s="521" t="n">
        <v>12683.2199780438</v>
      </c>
      <c r="K63" s="521" t="n"/>
    </row>
    <row r="64" ht="15" customHeight="1" s="462">
      <c r="A64" s="633" t="inlineStr">
        <is>
          <t>Book Value Per Share</t>
        </is>
      </c>
      <c r="B64" s="521" t="n">
        <v>146.372631276901</v>
      </c>
      <c r="C64" s="521" t="n">
        <v>133.463661109729</v>
      </c>
      <c r="D64" s="521" t="n">
        <v>166.505771907757</v>
      </c>
      <c r="E64" s="521" t="n">
        <v>189.052061605918</v>
      </c>
      <c r="F64" s="521" t="n">
        <v>262.005528727024</v>
      </c>
      <c r="G64" s="521" t="n">
        <v>376.966716201071</v>
      </c>
      <c r="H64" s="521" t="n">
        <v>517.212481894906</v>
      </c>
      <c r="I64" s="521" t="n">
        <v>654.416002171553</v>
      </c>
      <c r="J64" s="521" t="n">
        <v>819.969233614555</v>
      </c>
      <c r="K64" s="521" t="n"/>
    </row>
    <row r="65" ht="15.75" customHeight="1" s="462">
      <c r="A65" s="489" t="n"/>
      <c r="B65" s="489" t="n"/>
      <c r="C65" s="489" t="n"/>
      <c r="D65" s="489" t="n"/>
      <c r="E65" s="489" t="n"/>
      <c r="F65" s="489" t="n"/>
      <c r="G65" s="489" t="n"/>
      <c r="H65" s="489" t="n"/>
      <c r="I65" s="489" t="n"/>
      <c r="J65" s="489" t="n"/>
      <c r="K65" s="521" t="n"/>
    </row>
    <row r="66" ht="15" customHeight="1" s="462">
      <c r="A66" s="633" t="n"/>
      <c r="B66" s="521" t="n"/>
      <c r="C66" s="521" t="n"/>
      <c r="D66" s="521" t="n"/>
      <c r="E66" s="521" t="n"/>
      <c r="F66" s="521" t="n"/>
      <c r="G66" s="521" t="n"/>
      <c r="H66" s="521" t="n"/>
      <c r="I66" s="521" t="n"/>
      <c r="J66" s="521" t="n"/>
      <c r="K66" s="521" t="n"/>
    </row>
    <row r="67" ht="15" customHeight="1" s="462">
      <c r="A67" s="633" t="n"/>
      <c r="B67" s="521" t="n"/>
      <c r="C67" s="521" t="n"/>
      <c r="D67" s="521" t="n"/>
      <c r="E67" s="521" t="n"/>
      <c r="F67" s="521" t="n"/>
      <c r="G67" s="521" t="n"/>
      <c r="H67" s="521" t="n"/>
      <c r="I67" s="521" t="n"/>
      <c r="J67" s="521" t="n"/>
      <c r="K67" s="521" t="n"/>
    </row>
    <row r="68" ht="15" customHeight="1" s="462">
      <c r="B68" s="521" t="n"/>
      <c r="C68" s="521" t="n"/>
      <c r="D68" s="521" t="n"/>
      <c r="E68" s="521" t="n"/>
      <c r="F68" s="521" t="n"/>
      <c r="G68" s="521" t="n"/>
      <c r="H68" s="521" t="n"/>
      <c r="I68" s="521" t="n"/>
      <c r="J68" s="521" t="n"/>
      <c r="K68" s="521" t="n"/>
    </row>
    <row r="69" ht="15" customHeight="1" s="462">
      <c r="B69" s="521" t="n"/>
      <c r="C69" s="521" t="n"/>
      <c r="D69" s="521" t="n"/>
      <c r="E69" s="521" t="n"/>
      <c r="F69" s="521" t="n"/>
      <c r="G69" s="521" t="n"/>
      <c r="H69" s="521" t="n"/>
      <c r="I69" s="521" t="n"/>
      <c r="J69" s="521" t="n"/>
      <c r="K69" s="521" t="n"/>
    </row>
    <row r="70" ht="15" customHeight="1" s="462">
      <c r="B70" s="521" t="n"/>
      <c r="C70" s="521" t="n"/>
      <c r="D70" s="521" t="n"/>
      <c r="E70" s="521" t="n"/>
      <c r="F70" s="521" t="n"/>
      <c r="G70" s="521" t="n"/>
      <c r="H70" s="521" t="n"/>
      <c r="I70" s="521" t="n"/>
      <c r="J70" s="521" t="n"/>
      <c r="K70"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A1:L98"/>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36" activeCellId="0" sqref="A36"/>
    </sheetView>
  </sheetViews>
  <sheetFormatPr baseColWidth="8" defaultColWidth="8.96875" defaultRowHeight="15" zeroHeight="0" outlineLevelRow="0"/>
  <cols>
    <col width="60.99" customWidth="1" style="461" min="1" max="1"/>
    <col width="10.28" customWidth="1" style="461" min="2" max="5"/>
    <col width="12.42" customWidth="1" style="461" min="6" max="6"/>
    <col width="10.28" customWidth="1" style="461" min="7" max="8"/>
    <col width="10.56" customWidth="1" style="461" min="9" max="10"/>
  </cols>
  <sheetData>
    <row r="1" ht="18.75" customHeight="1" s="462">
      <c r="A1" s="487" t="inlineStr">
        <is>
          <t>Aurobindo Pharma</t>
        </is>
      </c>
      <c r="B1" s="487" t="n"/>
    </row>
    <row r="2" ht="15.75" customHeight="1" s="462">
      <c r="A2" s="488" t="inlineStr">
        <is>
          <t>Cash Flow Statement</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90" t="n"/>
      <c r="L3" s="490" t="n"/>
    </row>
    <row r="4" ht="15" customHeight="1" s="462">
      <c r="A4" s="532" t="inlineStr">
        <is>
          <t>For the Fiscal Period Ending</t>
        </is>
      </c>
      <c r="B4" s="617" t="inlineStr">
        <is>
          <t>FY 2006 A</t>
        </is>
      </c>
      <c r="C4" s="533" t="inlineStr">
        <is>
          <t>FY2007 A</t>
        </is>
      </c>
      <c r="D4" s="533" t="inlineStr">
        <is>
          <t>FY2008 A</t>
        </is>
      </c>
      <c r="E4" s="536" t="inlineStr">
        <is>
          <t>FY2009 E</t>
        </is>
      </c>
      <c r="F4" s="536" t="inlineStr">
        <is>
          <t>FY2010 E</t>
        </is>
      </c>
      <c r="G4" s="536" t="inlineStr">
        <is>
          <t>FY2011 E</t>
        </is>
      </c>
      <c r="H4" s="536" t="inlineStr">
        <is>
          <t>FY2012 E</t>
        </is>
      </c>
      <c r="I4" s="536" t="inlineStr">
        <is>
          <t>FY2013 E</t>
        </is>
      </c>
      <c r="J4" s="536" t="inlineStr">
        <is>
          <t>FY2014 E</t>
        </is>
      </c>
    </row>
    <row r="7" ht="15" customHeight="1" s="462">
      <c r="A7" s="491" t="inlineStr">
        <is>
          <t>Cash Flow Statement</t>
        </is>
      </c>
    </row>
    <row r="9" ht="15" customHeight="1" s="462">
      <c r="A9" s="618" t="inlineStr">
        <is>
          <t>A.   Cash Flow from Operating Activities</t>
        </is>
      </c>
      <c r="B9" s="521" t="n"/>
      <c r="C9" s="521" t="n"/>
      <c r="D9" s="521" t="n"/>
      <c r="E9" s="521" t="n"/>
      <c r="F9" s="521" t="n"/>
      <c r="G9" s="521" t="n"/>
      <c r="H9" s="521" t="n"/>
      <c r="I9" s="521" t="n"/>
      <c r="J9" s="521" t="n"/>
      <c r="K9" s="521" t="n"/>
      <c r="L9" s="521" t="n"/>
    </row>
    <row r="10" ht="15" customHeight="1" s="462">
      <c r="B10" s="521" t="n"/>
      <c r="C10" s="521" t="n"/>
      <c r="D10" s="521" t="n"/>
      <c r="E10" s="521" t="n"/>
      <c r="F10" s="521" t="n"/>
      <c r="G10" s="521" t="n"/>
      <c r="H10" s="521" t="n"/>
      <c r="I10" s="521" t="n"/>
      <c r="J10" s="521" t="n"/>
      <c r="K10" s="521" t="n"/>
      <c r="L10" s="521" t="n"/>
    </row>
    <row r="11" ht="30" customHeight="1" s="462">
      <c r="A11" s="628" t="inlineStr">
        <is>
          <t>Net Profit before Tax, Minority Interest and prior period items</t>
        </is>
      </c>
      <c r="B11" s="576" t="n">
        <v>985</v>
      </c>
      <c r="C11" s="576" t="n">
        <v>2064.2</v>
      </c>
      <c r="D11" s="576" t="n">
        <v>2917.4</v>
      </c>
      <c r="E11" s="521" t="n">
        <v>1311.83</v>
      </c>
      <c r="F11" s="521" t="n">
        <v>5473.50258469565</v>
      </c>
      <c r="G11" s="521" t="n">
        <v>5829.65181057474</v>
      </c>
      <c r="H11" s="521" t="n">
        <v>6592.23152258419</v>
      </c>
      <c r="I11" s="521" t="n">
        <v>9175.83138419749</v>
      </c>
      <c r="J11" s="521" t="n">
        <v>11071.7898036948</v>
      </c>
      <c r="K11" s="521" t="n"/>
      <c r="L11" s="521" t="n"/>
    </row>
    <row r="12" ht="15" customHeight="1" s="462">
      <c r="A12" s="619" t="inlineStr">
        <is>
          <t>Adjustments for:-</t>
        </is>
      </c>
      <c r="B12" s="576" t="n"/>
      <c r="C12" s="576" t="n"/>
      <c r="D12" s="576" t="n"/>
      <c r="E12" s="521" t="n"/>
      <c r="F12" s="521" t="n"/>
      <c r="G12" s="521" t="n"/>
      <c r="H12" s="521" t="n"/>
      <c r="I12" s="521" t="n"/>
      <c r="J12" s="521" t="n"/>
      <c r="K12" s="521" t="n"/>
      <c r="L12" s="521" t="n"/>
    </row>
    <row r="13" ht="15" customHeight="1" s="462">
      <c r="A13" s="634" t="inlineStr">
        <is>
          <t>Depreciation and Amortization</t>
        </is>
      </c>
      <c r="B13" s="576" t="n">
        <v>721.3</v>
      </c>
      <c r="C13" s="576" t="n">
        <v>997.2</v>
      </c>
      <c r="D13" s="576" t="n">
        <v>1003.8</v>
      </c>
      <c r="E13" s="521" t="n">
        <v>1221.2</v>
      </c>
      <c r="F13" s="521" t="n">
        <v>1209.80753660391</v>
      </c>
      <c r="G13" s="521" t="n">
        <v>1356.72417309232</v>
      </c>
      <c r="H13" s="521" t="n">
        <v>1526.43585212883</v>
      </c>
      <c r="I13" s="521" t="n">
        <v>1722.54588255296</v>
      </c>
      <c r="J13" s="521" t="n">
        <v>1969.26941389299</v>
      </c>
      <c r="K13" s="521" t="n"/>
      <c r="L13" s="521" t="n"/>
    </row>
    <row r="14" ht="15" customHeight="1" s="462">
      <c r="A14" s="634" t="inlineStr">
        <is>
          <t>Miscellaneous Expenditure written off</t>
        </is>
      </c>
      <c r="B14" s="576" t="n">
        <v>0</v>
      </c>
      <c r="C14" s="576" t="n">
        <v>0.1</v>
      </c>
      <c r="D14" s="576" t="n">
        <v>0</v>
      </c>
      <c r="E14" s="521" t="n">
        <v>0</v>
      </c>
      <c r="F14" s="521" t="n">
        <v>0</v>
      </c>
      <c r="G14" s="521" t="n">
        <v>0</v>
      </c>
      <c r="H14" s="521" t="n">
        <v>0</v>
      </c>
      <c r="I14" s="521" t="n">
        <v>0</v>
      </c>
      <c r="J14" s="521" t="n">
        <v>0</v>
      </c>
      <c r="K14" s="521" t="n"/>
      <c r="L14" s="521" t="n"/>
    </row>
    <row r="15" ht="15" customHeight="1" s="462">
      <c r="A15" s="634" t="inlineStr">
        <is>
          <t>Provision for Doubtfull debts</t>
        </is>
      </c>
      <c r="B15" s="576" t="n">
        <v>136.1</v>
      </c>
      <c r="C15" s="576" t="n">
        <v>82.5</v>
      </c>
      <c r="D15" s="576" t="n">
        <v>4.3</v>
      </c>
      <c r="E15" s="521" t="n">
        <v>0</v>
      </c>
      <c r="F15" s="521" t="n">
        <v>0</v>
      </c>
      <c r="G15" s="521" t="n">
        <v>0</v>
      </c>
      <c r="H15" s="521" t="n">
        <v>0</v>
      </c>
      <c r="I15" s="521" t="n">
        <v>0</v>
      </c>
      <c r="J15" s="521" t="n">
        <v>0</v>
      </c>
      <c r="K15" s="521" t="n"/>
      <c r="L15" s="521" t="n"/>
    </row>
    <row r="16" ht="15" customHeight="1" s="462">
      <c r="A16" s="634" t="inlineStr">
        <is>
          <t>Loss / Gain on sale of fixed assets</t>
        </is>
      </c>
      <c r="B16" s="576" t="n">
        <v>-28.7</v>
      </c>
      <c r="C16" s="576" t="n">
        <v>-41.2</v>
      </c>
      <c r="D16" s="576" t="n">
        <v>3.5</v>
      </c>
      <c r="E16" s="521" t="n">
        <v>0</v>
      </c>
      <c r="F16" s="521" t="n">
        <v>0</v>
      </c>
      <c r="G16" s="521" t="n">
        <v>0</v>
      </c>
      <c r="H16" s="521" t="n">
        <v>0</v>
      </c>
      <c r="I16" s="521" t="n">
        <v>0</v>
      </c>
      <c r="J16" s="521" t="n">
        <v>0</v>
      </c>
      <c r="K16" s="521" t="n"/>
      <c r="L16" s="521" t="n"/>
    </row>
    <row r="17" ht="15" customHeight="1" s="462">
      <c r="A17" s="634" t="inlineStr">
        <is>
          <t>Export incentives accrued</t>
        </is>
      </c>
      <c r="B17" s="576" t="n">
        <v>-88.2</v>
      </c>
      <c r="C17" s="576" t="n">
        <v>-45.1</v>
      </c>
      <c r="D17" s="576" t="n">
        <v>-124.1</v>
      </c>
      <c r="E17" s="521" t="n">
        <v>0</v>
      </c>
      <c r="F17" s="521" t="n">
        <v>0</v>
      </c>
      <c r="G17" s="521" t="n">
        <v>0</v>
      </c>
      <c r="H17" s="521" t="n">
        <v>0</v>
      </c>
      <c r="I17" s="521" t="n">
        <v>0</v>
      </c>
      <c r="J17" s="521" t="n">
        <v>0</v>
      </c>
      <c r="K17" s="521" t="n"/>
      <c r="L17" s="521" t="n"/>
    </row>
    <row r="18" ht="15" customHeight="1" s="462">
      <c r="A18" s="634" t="inlineStr">
        <is>
          <t>Claims / bad debts written off</t>
        </is>
      </c>
      <c r="B18" s="576" t="n">
        <v>16.1</v>
      </c>
      <c r="C18" s="576" t="n">
        <v>39.2</v>
      </c>
      <c r="D18" s="576" t="n">
        <v>45.1</v>
      </c>
      <c r="E18" s="521" t="n">
        <v>0</v>
      </c>
      <c r="F18" s="521" t="n">
        <v>0</v>
      </c>
      <c r="G18" s="521" t="n">
        <v>0</v>
      </c>
      <c r="H18" s="521" t="n">
        <v>0</v>
      </c>
      <c r="I18" s="521" t="n">
        <v>0</v>
      </c>
      <c r="J18" s="521" t="n">
        <v>0</v>
      </c>
      <c r="K18" s="521" t="n"/>
      <c r="L18" s="521" t="n"/>
    </row>
    <row r="19" ht="15" customHeight="1" s="462">
      <c r="A19" s="634" t="inlineStr">
        <is>
          <t>Balances no longer required written back</t>
        </is>
      </c>
      <c r="B19" s="576" t="n">
        <v>-39.5</v>
      </c>
      <c r="C19" s="576" t="n">
        <v>-52.9</v>
      </c>
      <c r="D19" s="576" t="n">
        <v>-64.40000000000001</v>
      </c>
      <c r="E19" s="521" t="n">
        <v>0</v>
      </c>
      <c r="F19" s="521" t="n">
        <v>0</v>
      </c>
      <c r="G19" s="521" t="n">
        <v>0</v>
      </c>
      <c r="H19" s="521" t="n">
        <v>0</v>
      </c>
      <c r="I19" s="521" t="n">
        <v>0</v>
      </c>
      <c r="J19" s="521" t="n">
        <v>0</v>
      </c>
      <c r="K19" s="521" t="n"/>
      <c r="L19" s="521" t="n"/>
    </row>
    <row r="20" ht="15" customHeight="1" s="462">
      <c r="A20" s="634" t="inlineStr">
        <is>
          <t>Provision for Retirement benefits</t>
        </is>
      </c>
      <c r="B20" s="576" t="n">
        <v>-39.9</v>
      </c>
      <c r="C20" s="576" t="n">
        <v>2.3</v>
      </c>
      <c r="D20" s="576" t="n">
        <v>32.3</v>
      </c>
      <c r="E20" s="521" t="n">
        <v>0</v>
      </c>
      <c r="F20" s="521" t="n">
        <v>0</v>
      </c>
      <c r="G20" s="521" t="n">
        <v>0</v>
      </c>
      <c r="H20" s="521" t="n">
        <v>0</v>
      </c>
      <c r="I20" s="521" t="n">
        <v>0</v>
      </c>
      <c r="J20" s="521" t="n">
        <v>0</v>
      </c>
      <c r="K20" s="521" t="n"/>
      <c r="L20" s="521" t="n"/>
    </row>
    <row r="21" ht="15" customHeight="1" s="462">
      <c r="A21" s="634" t="inlineStr">
        <is>
          <t>Investments written off / Diminution</t>
        </is>
      </c>
      <c r="B21" s="576" t="n">
        <v>0.1</v>
      </c>
      <c r="C21" s="576" t="n">
        <v>0.1</v>
      </c>
      <c r="D21" s="576" t="n">
        <v>0.1</v>
      </c>
      <c r="E21" s="521" t="n">
        <v>0</v>
      </c>
      <c r="F21" s="521" t="n">
        <v>0</v>
      </c>
      <c r="G21" s="521" t="n">
        <v>0</v>
      </c>
      <c r="H21" s="521" t="n">
        <v>0</v>
      </c>
      <c r="I21" s="521" t="n">
        <v>0</v>
      </c>
      <c r="J21" s="521" t="n">
        <v>0</v>
      </c>
      <c r="K21" s="521" t="n"/>
      <c r="L21" s="521" t="n"/>
    </row>
    <row r="22" ht="15" customHeight="1" s="462">
      <c r="A22" s="634" t="inlineStr">
        <is>
          <t>Write off / other adjustments of Fixed Assets</t>
        </is>
      </c>
      <c r="B22" s="576" t="n">
        <v>13.7</v>
      </c>
      <c r="C22" s="576" t="n">
        <v>1</v>
      </c>
      <c r="D22" s="576" t="n">
        <v>0</v>
      </c>
      <c r="E22" s="521" t="n">
        <v>0</v>
      </c>
      <c r="F22" s="521" t="n">
        <v>0</v>
      </c>
      <c r="G22" s="521" t="n">
        <v>0</v>
      </c>
      <c r="H22" s="521" t="n">
        <v>0</v>
      </c>
      <c r="I22" s="521" t="n">
        <v>0</v>
      </c>
      <c r="J22" s="521" t="n">
        <v>0</v>
      </c>
      <c r="K22" s="521" t="n"/>
      <c r="L22" s="521" t="n"/>
    </row>
    <row r="23" ht="15" customHeight="1" s="462">
      <c r="A23" s="634" t="inlineStr">
        <is>
          <t>Foreign Exchange loss (Net)</t>
        </is>
      </c>
      <c r="B23" s="576" t="n">
        <v>8.6</v>
      </c>
      <c r="C23" s="576" t="n">
        <v>-327</v>
      </c>
      <c r="D23" s="576" t="n">
        <v>-878.9</v>
      </c>
      <c r="E23" s="521" t="n">
        <v>0</v>
      </c>
      <c r="F23" s="521" t="n">
        <v>-843.6928</v>
      </c>
      <c r="G23" s="521" t="n">
        <v>-69.59999999999999</v>
      </c>
      <c r="H23" s="521" t="n">
        <v>0</v>
      </c>
      <c r="I23" s="521" t="n">
        <v>0</v>
      </c>
      <c r="J23" s="521" t="n">
        <v>0</v>
      </c>
      <c r="K23" s="521" t="n"/>
      <c r="L23" s="521" t="n"/>
    </row>
    <row r="24" ht="15" customHeight="1" s="462">
      <c r="A24" s="634" t="inlineStr">
        <is>
          <t>Interest Income</t>
        </is>
      </c>
      <c r="B24" s="576" t="n">
        <v>-86.90000000000001</v>
      </c>
      <c r="C24" s="576" t="n">
        <v>-410.9</v>
      </c>
      <c r="D24" s="576" t="n">
        <v>-261.8</v>
      </c>
      <c r="E24" s="521" t="n">
        <v>0</v>
      </c>
      <c r="F24" s="521" t="n">
        <v>0</v>
      </c>
      <c r="G24" s="521" t="n">
        <v>0</v>
      </c>
      <c r="H24" s="521" t="n">
        <v>0</v>
      </c>
      <c r="I24" s="521" t="n">
        <v>0</v>
      </c>
      <c r="J24" s="521" t="n">
        <v>0</v>
      </c>
      <c r="K24" s="521" t="n"/>
      <c r="L24" s="521" t="n"/>
    </row>
    <row r="25" ht="15" customHeight="1" s="462">
      <c r="A25" s="634" t="inlineStr">
        <is>
          <t>Sales tax deferment loan availed</t>
        </is>
      </c>
      <c r="B25" s="576" t="n">
        <v>64.3</v>
      </c>
      <c r="C25" s="576" t="n">
        <v>-28.5</v>
      </c>
      <c r="D25" s="576" t="n">
        <v>19.1</v>
      </c>
      <c r="E25" s="521" t="n">
        <v>0</v>
      </c>
      <c r="F25" s="521" t="n">
        <v>0</v>
      </c>
      <c r="G25" s="521" t="n">
        <v>0</v>
      </c>
      <c r="H25" s="521" t="n">
        <v>0</v>
      </c>
      <c r="I25" s="521" t="n">
        <v>0</v>
      </c>
      <c r="J25" s="521" t="n">
        <v>0</v>
      </c>
      <c r="K25" s="521" t="n"/>
      <c r="L25" s="521" t="n"/>
    </row>
    <row r="26" ht="15" customHeight="1" s="462">
      <c r="A26" s="634" t="inlineStr">
        <is>
          <t>Profit on sale of Investments in subsidiary</t>
        </is>
      </c>
      <c r="B26" s="576" t="n">
        <v>0</v>
      </c>
      <c r="C26" s="576" t="n">
        <v>-58.5</v>
      </c>
      <c r="D26" s="576" t="n">
        <v>0</v>
      </c>
      <c r="E26" s="521" t="n">
        <v>0</v>
      </c>
      <c r="F26" s="521" t="n">
        <v>0</v>
      </c>
      <c r="G26" s="521" t="n">
        <v>0</v>
      </c>
      <c r="H26" s="521" t="n">
        <v>0</v>
      </c>
      <c r="I26" s="521" t="n">
        <v>0</v>
      </c>
      <c r="J26" s="521" t="n">
        <v>0</v>
      </c>
      <c r="K26" s="521" t="n"/>
      <c r="L26" s="521" t="n"/>
    </row>
    <row r="27" ht="15" customHeight="1" s="462">
      <c r="A27" s="634" t="inlineStr">
        <is>
          <t>Exceptional Item</t>
        </is>
      </c>
      <c r="B27" s="576" t="n">
        <v>-309.8</v>
      </c>
      <c r="C27" s="576" t="n">
        <v>0</v>
      </c>
      <c r="D27" s="576" t="n">
        <v>0</v>
      </c>
      <c r="E27" s="521" t="n">
        <v>0</v>
      </c>
      <c r="F27" s="521" t="n">
        <v>0</v>
      </c>
      <c r="G27" s="521" t="n">
        <v>-166.608507648</v>
      </c>
      <c r="H27" s="521" t="n">
        <v>0</v>
      </c>
      <c r="I27" s="521" t="n">
        <v>0</v>
      </c>
      <c r="J27" s="521" t="n">
        <v>0</v>
      </c>
      <c r="K27" s="521" t="n"/>
      <c r="L27" s="521" t="n"/>
    </row>
    <row r="28" ht="17.25" customHeight="1" s="462">
      <c r="A28" s="634" t="inlineStr">
        <is>
          <t>Interest expense</t>
        </is>
      </c>
      <c r="B28" s="622" t="n">
        <v>691</v>
      </c>
      <c r="C28" s="622" t="n">
        <v>864.5</v>
      </c>
      <c r="D28" s="622" t="n">
        <v>621.1</v>
      </c>
      <c r="E28" s="623" t="n">
        <v>0</v>
      </c>
      <c r="F28" s="623" t="n">
        <v>0</v>
      </c>
      <c r="G28" s="623" t="n">
        <v>0</v>
      </c>
      <c r="H28" s="623" t="n">
        <v>0</v>
      </c>
      <c r="I28" s="623" t="n">
        <v>0</v>
      </c>
      <c r="J28" s="623" t="n">
        <v>0</v>
      </c>
      <c r="K28" s="521" t="n"/>
      <c r="L28" s="521" t="n"/>
    </row>
    <row r="29" ht="15" customHeight="1" s="462">
      <c r="A29" s="635" t="inlineStr">
        <is>
          <t>Operating Profit before working capital changes</t>
        </is>
      </c>
      <c r="B29" s="521" t="n">
        <v>2043.2</v>
      </c>
      <c r="C29" s="521" t="n">
        <v>3087</v>
      </c>
      <c r="D29" s="521" t="n">
        <v>3317.5</v>
      </c>
      <c r="E29" s="521" t="n">
        <v>2533.03</v>
      </c>
      <c r="F29" s="521" t="n">
        <v>5839.61732129956</v>
      </c>
      <c r="G29" s="521" t="n">
        <v>6950.16747601905</v>
      </c>
      <c r="H29" s="521" t="n">
        <v>8118.66737471302</v>
      </c>
      <c r="I29" s="521" t="n">
        <v>10898.3772667505</v>
      </c>
      <c r="J29" s="521" t="n">
        <v>13041.0592175878</v>
      </c>
      <c r="K29" s="521" t="n"/>
      <c r="L29" s="521" t="n"/>
    </row>
    <row r="30" ht="15" customHeight="1" s="462">
      <c r="A30" s="619" t="inlineStr">
        <is>
          <t>Movement in working capital:</t>
        </is>
      </c>
      <c r="B30" s="521" t="n"/>
      <c r="C30" s="521" t="n"/>
      <c r="D30" s="521" t="n"/>
      <c r="E30" s="521" t="n"/>
      <c r="F30" s="521" t="n"/>
      <c r="G30" s="521" t="n"/>
      <c r="H30" s="521" t="n"/>
      <c r="I30" s="521" t="n"/>
      <c r="J30" s="521" t="n"/>
      <c r="K30" s="521" t="n"/>
      <c r="L30" s="521" t="n"/>
    </row>
    <row r="31" ht="15" customHeight="1" s="462">
      <c r="A31" s="634" t="inlineStr">
        <is>
          <t>Increase in Sundry Debtors</t>
        </is>
      </c>
      <c r="B31" s="576" t="n">
        <v>-1411.6</v>
      </c>
      <c r="C31" s="576" t="n">
        <v>-796.4</v>
      </c>
      <c r="D31" s="576" t="n">
        <v>-297.2</v>
      </c>
      <c r="E31" s="521" t="n">
        <v>-1313.40966673066</v>
      </c>
      <c r="F31" s="521" t="n">
        <v>-2293.3286046327</v>
      </c>
      <c r="G31" s="521" t="n">
        <v>-2461.64118512721</v>
      </c>
      <c r="H31" s="521" t="n">
        <v>-3052.43506955774</v>
      </c>
      <c r="I31" s="521" t="n">
        <v>-3469.60119573063</v>
      </c>
      <c r="J31" s="521" t="n">
        <v>-3848.10314435579</v>
      </c>
      <c r="K31" s="521" t="n"/>
      <c r="L31" s="521" t="n"/>
    </row>
    <row r="32" ht="15" customHeight="1" s="462">
      <c r="A32" s="634" t="inlineStr">
        <is>
          <t>Increase in Inventories</t>
        </is>
      </c>
      <c r="B32" s="576" t="n">
        <v>-926.4</v>
      </c>
      <c r="C32" s="576" t="n">
        <v>-1832.2</v>
      </c>
      <c r="D32" s="576" t="n">
        <v>-1406.3</v>
      </c>
      <c r="E32" s="521" t="n">
        <v>-728.178380963759</v>
      </c>
      <c r="F32" s="521" t="n">
        <v>-2499.2250337685</v>
      </c>
      <c r="G32" s="521" t="n">
        <v>-2682.64881953574</v>
      </c>
      <c r="H32" s="521" t="n">
        <v>-3326.48453622432</v>
      </c>
      <c r="I32" s="521" t="n">
        <v>-3781.10408950831</v>
      </c>
      <c r="J32" s="521" t="n">
        <v>-4193.58817200012</v>
      </c>
      <c r="K32" s="521" t="n"/>
      <c r="L32" s="521" t="n"/>
    </row>
    <row r="33" ht="15" customHeight="1" s="462">
      <c r="A33" s="634" t="inlineStr">
        <is>
          <t>Increase in Loans and Advances</t>
        </is>
      </c>
      <c r="B33" s="576" t="n">
        <v>-426.2</v>
      </c>
      <c r="C33" s="576" t="n">
        <v>-684.5</v>
      </c>
      <c r="D33" s="576" t="n">
        <v>-692.4</v>
      </c>
      <c r="E33" s="521" t="n">
        <v>0</v>
      </c>
      <c r="F33" s="521" t="n">
        <v>0</v>
      </c>
      <c r="G33" s="521" t="n">
        <v>0</v>
      </c>
      <c r="H33" s="521" t="n">
        <v>0</v>
      </c>
      <c r="I33" s="521" t="n">
        <v>0</v>
      </c>
      <c r="J33" s="521" t="n">
        <v>0</v>
      </c>
      <c r="K33" s="521" t="n"/>
      <c r="L33" s="521" t="n"/>
    </row>
    <row r="34" ht="17.25" customHeight="1" s="462">
      <c r="A34" s="634" t="inlineStr">
        <is>
          <t>Increase in Current Liabilities</t>
        </is>
      </c>
      <c r="B34" s="622" t="n">
        <v>1202.2</v>
      </c>
      <c r="C34" s="622" t="n">
        <v>645.7</v>
      </c>
      <c r="D34" s="622" t="n">
        <v>1124.2</v>
      </c>
      <c r="E34" s="623" t="n">
        <v>882.672580554461</v>
      </c>
      <c r="F34" s="623" t="n">
        <v>1857.72081660817</v>
      </c>
      <c r="G34" s="623" t="n">
        <v>1919.06359382014</v>
      </c>
      <c r="H34" s="623" t="n">
        <v>2449.30967783587</v>
      </c>
      <c r="I34" s="623" t="n">
        <v>2784.0486671401</v>
      </c>
      <c r="J34" s="623" t="n">
        <v>3087.76306719175</v>
      </c>
      <c r="K34" s="521" t="n"/>
      <c r="L34" s="521" t="n"/>
    </row>
    <row r="35" ht="15" customHeight="1" s="462">
      <c r="A35" s="634" t="inlineStr">
        <is>
          <t>Cash Generated from operations</t>
        </is>
      </c>
      <c r="B35" s="521" t="n">
        <v>481.2</v>
      </c>
      <c r="C35" s="521" t="n">
        <v>419.6</v>
      </c>
      <c r="D35" s="521" t="n">
        <v>2045.8</v>
      </c>
      <c r="E35" s="521" t="n">
        <v>1374.11453286004</v>
      </c>
      <c r="F35" s="521" t="n">
        <v>2904.78449950652</v>
      </c>
      <c r="G35" s="521" t="n">
        <v>3724.94106517624</v>
      </c>
      <c r="H35" s="521" t="n">
        <v>4189.05744676683</v>
      </c>
      <c r="I35" s="521" t="n">
        <v>6431.72064865162</v>
      </c>
      <c r="J35" s="521" t="n">
        <v>8087.13096842364</v>
      </c>
      <c r="K35" s="521" t="n"/>
      <c r="L35" s="521" t="n"/>
    </row>
    <row r="36" ht="17.25" customHeight="1" s="462">
      <c r="A36" s="634" t="inlineStr">
        <is>
          <t>Direct Taxes paid (Net of refund)</t>
        </is>
      </c>
      <c r="B36" s="622" t="n">
        <v>-320.7</v>
      </c>
      <c r="C36" s="622" t="n">
        <v>-233.1</v>
      </c>
      <c r="D36" s="622" t="n">
        <v>-458.6</v>
      </c>
      <c r="E36" s="623" t="n">
        <v>-312.9</v>
      </c>
      <c r="F36" s="623" t="n">
        <v>-782.966336010435</v>
      </c>
      <c r="G36" s="623" t="n">
        <v>-727.147629380475</v>
      </c>
      <c r="H36" s="623" t="n">
        <v>-856.990097935946</v>
      </c>
      <c r="I36" s="623" t="n">
        <v>-1192.85807994567</v>
      </c>
      <c r="J36" s="623" t="n">
        <v>-1439.33267448033</v>
      </c>
      <c r="K36" s="521" t="n"/>
      <c r="L36" s="521" t="n"/>
    </row>
    <row r="37" ht="17.25" customHeight="1" s="462">
      <c r="A37" s="522" t="inlineStr">
        <is>
          <t xml:space="preserve">    Net Cash (Used In) / From Operating Activities (A)</t>
        </is>
      </c>
      <c r="B37" s="627" t="n">
        <v>160.5</v>
      </c>
      <c r="C37" s="627" t="n">
        <v>186.5</v>
      </c>
      <c r="D37" s="627" t="n">
        <v>1587.2</v>
      </c>
      <c r="E37" s="627" t="n">
        <v>1061.21453286004</v>
      </c>
      <c r="F37" s="627" t="n">
        <v>2121.81816349609</v>
      </c>
      <c r="G37" s="627" t="n">
        <v>2997.79343579577</v>
      </c>
      <c r="H37" s="627" t="n">
        <v>3332.06734883089</v>
      </c>
      <c r="I37" s="627" t="n">
        <v>5238.86256870594</v>
      </c>
      <c r="J37" s="627" t="n">
        <v>6647.79829394331</v>
      </c>
      <c r="K37" s="521" t="n"/>
      <c r="L37" s="521" t="n"/>
    </row>
    <row r="38" ht="15" customHeight="1" s="462">
      <c r="B38" s="521" t="n"/>
      <c r="C38" s="521" t="n"/>
      <c r="D38" s="521" t="n"/>
      <c r="E38" s="521" t="n"/>
      <c r="F38" s="521" t="n"/>
      <c r="G38" s="521" t="n"/>
      <c r="H38" s="521" t="n"/>
      <c r="I38" s="521" t="n"/>
      <c r="J38" s="521" t="n"/>
      <c r="K38" s="521" t="n"/>
      <c r="L38" s="521" t="n"/>
    </row>
    <row r="39" ht="15" customHeight="1" s="462">
      <c r="A39" s="618" t="inlineStr">
        <is>
          <t>B.    Cash Flow From Investing Activities</t>
        </is>
      </c>
      <c r="B39" s="521" t="n"/>
      <c r="C39" s="521" t="n"/>
      <c r="D39" s="521" t="n"/>
      <c r="E39" s="521" t="n"/>
      <c r="F39" s="521" t="n"/>
      <c r="G39" s="521" t="n"/>
      <c r="H39" s="521" t="n"/>
      <c r="I39" s="521" t="n"/>
      <c r="J39" s="521" t="n"/>
      <c r="K39" s="521" t="n"/>
      <c r="L39" s="521" t="n"/>
    </row>
    <row r="40" ht="15" customHeight="1" s="462">
      <c r="A40" s="618" t="n"/>
      <c r="B40" s="521" t="n"/>
      <c r="C40" s="521" t="n"/>
      <c r="D40" s="521" t="n"/>
      <c r="E40" s="521" t="n"/>
      <c r="F40" s="521" t="n"/>
      <c r="G40" s="521" t="n"/>
      <c r="H40" s="521" t="n"/>
      <c r="I40" s="521" t="n"/>
      <c r="J40" s="521" t="n"/>
      <c r="K40" s="521" t="n"/>
      <c r="L40" s="521" t="n"/>
    </row>
    <row r="41" ht="15" customHeight="1" s="462">
      <c r="A41" s="634" t="inlineStr">
        <is>
          <t>Purchase of Fixed Assets and Intangibles</t>
        </is>
      </c>
      <c r="B41" s="576" t="n">
        <v>-2224</v>
      </c>
      <c r="C41" s="576" t="n">
        <v>-3318.7</v>
      </c>
      <c r="D41" s="576" t="n">
        <v>-2462.9</v>
      </c>
      <c r="E41" s="521" t="n">
        <v>-2292.27975</v>
      </c>
      <c r="F41" s="521" t="n">
        <v>-2755.582326</v>
      </c>
      <c r="G41" s="521" t="n">
        <v>-3416.92208424</v>
      </c>
      <c r="H41" s="521" t="n">
        <v>-3631.7000438208</v>
      </c>
      <c r="I41" s="521" t="n">
        <v>-4430.67405346138</v>
      </c>
      <c r="J41" s="521" t="n">
        <v>-5316.80886415365</v>
      </c>
      <c r="K41" s="521" t="n"/>
      <c r="L41" s="521" t="n"/>
    </row>
    <row r="42" ht="15" customHeight="1" s="462">
      <c r="A42" s="634" t="inlineStr">
        <is>
          <t>Proceeds from sale of Fixed Assets</t>
        </is>
      </c>
      <c r="B42" s="576" t="n">
        <v>56.5</v>
      </c>
      <c r="C42" s="576" t="n">
        <v>155.3</v>
      </c>
      <c r="D42" s="576" t="n">
        <v>19.4</v>
      </c>
      <c r="E42" s="521" t="n">
        <v>0</v>
      </c>
      <c r="F42" s="521" t="n">
        <v>0</v>
      </c>
      <c r="G42" s="521" t="n">
        <v>0</v>
      </c>
      <c r="H42" s="521" t="n">
        <v>0</v>
      </c>
      <c r="I42" s="521" t="n">
        <v>0</v>
      </c>
      <c r="J42" s="521" t="n">
        <v>0</v>
      </c>
      <c r="K42" s="521" t="n"/>
      <c r="L42" s="521" t="n"/>
    </row>
    <row r="43" ht="30" customHeight="1" s="462">
      <c r="A43" s="636" t="inlineStr">
        <is>
          <t>Payment for Net Assets acquired of Subsidiary, Net of cash</t>
        </is>
      </c>
      <c r="B43" s="576" t="n">
        <v>-358.4</v>
      </c>
      <c r="C43" s="576" t="n">
        <v>-284.7</v>
      </c>
      <c r="D43" s="576" t="n">
        <v>0</v>
      </c>
      <c r="E43" s="521" t="n">
        <v>0</v>
      </c>
      <c r="F43" s="521" t="n">
        <v>0</v>
      </c>
      <c r="G43" s="521" t="n">
        <v>0</v>
      </c>
      <c r="H43" s="521" t="n">
        <v>0</v>
      </c>
      <c r="I43" s="521" t="n">
        <v>0</v>
      </c>
      <c r="J43" s="521" t="n">
        <v>0</v>
      </c>
      <c r="K43" s="521" t="n"/>
      <c r="L43" s="521" t="n"/>
    </row>
    <row r="44" ht="15" customHeight="1" s="462">
      <c r="A44" s="636" t="inlineStr">
        <is>
          <t>Payment for Purchase of Sundry Debtors</t>
        </is>
      </c>
      <c r="B44" s="576" t="n">
        <v>-19.9</v>
      </c>
      <c r="C44" s="576" t="n">
        <v>0</v>
      </c>
      <c r="D44" s="576" t="n">
        <v>0</v>
      </c>
      <c r="E44" s="521" t="n">
        <v>0</v>
      </c>
      <c r="F44" s="521" t="n">
        <v>0</v>
      </c>
      <c r="G44" s="521" t="n">
        <v>0</v>
      </c>
      <c r="H44" s="521" t="n">
        <v>0</v>
      </c>
      <c r="I44" s="521" t="n">
        <v>0</v>
      </c>
      <c r="J44" s="521" t="n">
        <v>0</v>
      </c>
      <c r="K44" s="521" t="n"/>
      <c r="L44" s="521" t="n"/>
    </row>
    <row r="45" ht="15" customHeight="1" s="462">
      <c r="A45" s="636" t="inlineStr">
        <is>
          <t>On disposal of Joint Venture entity</t>
        </is>
      </c>
      <c r="B45" s="576" t="n">
        <v>-18.8</v>
      </c>
      <c r="C45" s="576" t="n">
        <v>0</v>
      </c>
      <c r="D45" s="576" t="n">
        <v>0</v>
      </c>
      <c r="E45" s="521" t="n">
        <v>0</v>
      </c>
      <c r="F45" s="521" t="n">
        <v>0</v>
      </c>
      <c r="G45" s="521" t="n">
        <v>0</v>
      </c>
      <c r="H45" s="521" t="n">
        <v>0</v>
      </c>
      <c r="I45" s="521" t="n">
        <v>0</v>
      </c>
      <c r="J45" s="521" t="n">
        <v>0</v>
      </c>
      <c r="K45" s="521" t="n"/>
      <c r="L45" s="521" t="n"/>
    </row>
    <row r="46" ht="30" customHeight="1" s="462">
      <c r="A46" s="636" t="inlineStr">
        <is>
          <t>Proceeds from sale of investment in  Subsidiary,net of cash</t>
        </is>
      </c>
      <c r="B46" s="576" t="n">
        <v>0</v>
      </c>
      <c r="C46" s="576" t="n">
        <v>-24.5</v>
      </c>
      <c r="D46" s="576" t="n">
        <v>168.2</v>
      </c>
      <c r="E46" s="521" t="n">
        <v>0</v>
      </c>
      <c r="F46" s="521" t="n">
        <v>0</v>
      </c>
      <c r="G46" s="521" t="n">
        <v>0</v>
      </c>
      <c r="H46" s="521" t="n">
        <v>0</v>
      </c>
      <c r="I46" s="521" t="n">
        <v>0</v>
      </c>
      <c r="J46" s="521" t="n">
        <v>0</v>
      </c>
      <c r="K46" s="521" t="n"/>
      <c r="L46" s="521" t="n"/>
    </row>
    <row r="47" ht="15" customHeight="1" s="462">
      <c r="A47" s="636" t="inlineStr">
        <is>
          <t>Proceeds from sale/(purchase) of Investments (Net)</t>
        </is>
      </c>
      <c r="B47" s="576" t="n">
        <v>13</v>
      </c>
      <c r="C47" s="576" t="n">
        <v>-2026.6</v>
      </c>
      <c r="D47" s="576" t="n">
        <v>1108.2</v>
      </c>
      <c r="E47" s="521" t="n">
        <v>0</v>
      </c>
      <c r="F47" s="521" t="n">
        <v>0</v>
      </c>
      <c r="G47" s="521" t="n">
        <v>0</v>
      </c>
      <c r="H47" s="521" t="n">
        <v>0</v>
      </c>
      <c r="I47" s="521" t="n">
        <v>0</v>
      </c>
      <c r="J47" s="521" t="n">
        <v>0</v>
      </c>
      <c r="K47" s="521" t="n"/>
      <c r="L47" s="521" t="n"/>
    </row>
    <row r="48" ht="15" customHeight="1" s="462">
      <c r="A48" s="636" t="inlineStr">
        <is>
          <t>Loans to Joint Ventures</t>
        </is>
      </c>
      <c r="B48" s="576" t="n">
        <v>-20.4</v>
      </c>
      <c r="C48" s="576" t="n">
        <v>0</v>
      </c>
      <c r="D48" s="576" t="n">
        <v>-36</v>
      </c>
      <c r="E48" s="521" t="n">
        <v>0</v>
      </c>
      <c r="F48" s="521" t="n">
        <v>0</v>
      </c>
      <c r="G48" s="521" t="n">
        <v>0</v>
      </c>
      <c r="H48" s="521" t="n">
        <v>0</v>
      </c>
      <c r="I48" s="521" t="n">
        <v>0</v>
      </c>
      <c r="J48" s="521" t="n">
        <v>0</v>
      </c>
      <c r="K48" s="521" t="n"/>
      <c r="L48" s="521" t="n"/>
    </row>
    <row r="49" ht="17.25" customHeight="1" s="462">
      <c r="A49" s="636" t="inlineStr">
        <is>
          <t>Interest Received</t>
        </is>
      </c>
      <c r="B49" s="622" t="n">
        <v>86.7</v>
      </c>
      <c r="C49" s="622" t="n">
        <v>366</v>
      </c>
      <c r="D49" s="622" t="n">
        <v>453</v>
      </c>
      <c r="E49" s="623" t="n">
        <v>0</v>
      </c>
      <c r="F49" s="623" t="n">
        <v>0</v>
      </c>
      <c r="G49" s="623" t="n">
        <v>0</v>
      </c>
      <c r="H49" s="623" t="n">
        <v>0</v>
      </c>
      <c r="I49" s="623" t="n">
        <v>0</v>
      </c>
      <c r="J49" s="623" t="n">
        <v>0</v>
      </c>
      <c r="K49" s="521" t="n"/>
      <c r="L49" s="521" t="n"/>
    </row>
    <row r="50" ht="17.25" customHeight="1" s="462">
      <c r="A50" s="522" t="inlineStr">
        <is>
          <t xml:space="preserve">    Net Cash Used in Investing Activities (B)</t>
        </is>
      </c>
      <c r="B50" s="627" t="n">
        <v>-2485.3</v>
      </c>
      <c r="C50" s="627" t="n">
        <v>-5133.2</v>
      </c>
      <c r="D50" s="627" t="n">
        <v>-750.1</v>
      </c>
      <c r="E50" s="627" t="n">
        <v>-2292.27975</v>
      </c>
      <c r="F50" s="627" t="n">
        <v>-2755.582326</v>
      </c>
      <c r="G50" s="627" t="n">
        <v>-3416.92208424</v>
      </c>
      <c r="H50" s="627" t="n">
        <v>-3631.7000438208</v>
      </c>
      <c r="I50" s="627" t="n">
        <v>-4430.67405346138</v>
      </c>
      <c r="J50" s="627" t="n">
        <v>-5316.80886415365</v>
      </c>
      <c r="K50" s="521" t="n"/>
      <c r="L50" s="521" t="n"/>
    </row>
    <row r="51" ht="15" customHeight="1" s="462">
      <c r="B51" s="521" t="n"/>
      <c r="C51" s="521" t="n"/>
      <c r="D51" s="521" t="n"/>
      <c r="E51" s="521" t="n"/>
      <c r="F51" s="521" t="n"/>
      <c r="G51" s="521" t="n"/>
      <c r="H51" s="521" t="n"/>
      <c r="I51" s="521" t="n"/>
      <c r="J51" s="521" t="n"/>
      <c r="K51" s="521" t="n"/>
      <c r="L51" s="521" t="n"/>
    </row>
    <row r="52" ht="15" customHeight="1" s="462">
      <c r="A52" s="618" t="inlineStr">
        <is>
          <t>C.    Cash Flow From Financing Activities</t>
        </is>
      </c>
      <c r="B52" s="521" t="n"/>
      <c r="C52" s="521" t="n"/>
      <c r="D52" s="521" t="n"/>
      <c r="E52" s="521" t="n"/>
      <c r="F52" s="521" t="n"/>
      <c r="G52" s="521" t="n"/>
      <c r="H52" s="521" t="n"/>
      <c r="I52" s="521" t="n"/>
      <c r="J52" s="521" t="n"/>
      <c r="K52" s="521" t="n"/>
      <c r="L52" s="521" t="n"/>
    </row>
    <row r="53" ht="15" customHeight="1" s="462">
      <c r="B53" s="521" t="n"/>
      <c r="C53" s="521" t="n"/>
      <c r="D53" s="521" t="n"/>
      <c r="E53" s="521" t="n"/>
      <c r="F53" s="521" t="n"/>
      <c r="G53" s="521" t="n"/>
      <c r="H53" s="521" t="n"/>
      <c r="I53" s="521" t="n"/>
      <c r="J53" s="521" t="n"/>
      <c r="K53" s="521" t="n"/>
      <c r="L53" s="521" t="n"/>
    </row>
    <row r="54" ht="15" customHeight="1" s="462">
      <c r="A54" s="634" t="inlineStr">
        <is>
          <t>Proceeds from Issuance of Share capital</t>
        </is>
      </c>
      <c r="B54" s="576" t="n">
        <v>587.5</v>
      </c>
      <c r="C54" s="576" t="n">
        <v>28.4</v>
      </c>
      <c r="D54" s="576" t="n">
        <v>15.3</v>
      </c>
      <c r="E54" s="521" t="n">
        <v>0</v>
      </c>
      <c r="F54" s="521" t="n">
        <v>0</v>
      </c>
      <c r="G54" s="521" t="n">
        <v>0</v>
      </c>
      <c r="H54" s="521" t="n">
        <v>0</v>
      </c>
      <c r="I54" s="521" t="n">
        <v>0</v>
      </c>
      <c r="J54" s="521" t="n">
        <v>0</v>
      </c>
      <c r="K54" s="521" t="n"/>
      <c r="L54" s="521" t="n"/>
    </row>
    <row r="55" ht="15" customHeight="1" s="462">
      <c r="A55" s="634" t="inlineStr">
        <is>
          <t>Proceeds from Long-Term borrowings</t>
        </is>
      </c>
      <c r="B55" s="576" t="n">
        <v>0.4</v>
      </c>
      <c r="C55" s="576" t="n">
        <v>382.8</v>
      </c>
      <c r="D55" s="576" t="n">
        <v>29.8</v>
      </c>
      <c r="E55" s="521" t="n">
        <v>0</v>
      </c>
      <c r="F55" s="521" t="n">
        <v>0</v>
      </c>
      <c r="G55" s="637" t="n">
        <v>2000</v>
      </c>
      <c r="H55" s="637" t="n">
        <v>5000</v>
      </c>
      <c r="I55" s="521" t="n">
        <v>0</v>
      </c>
      <c r="J55" s="521" t="n">
        <v>0</v>
      </c>
      <c r="K55" s="521" t="n"/>
      <c r="L55" s="521" t="n"/>
    </row>
    <row r="56" ht="15" customHeight="1" s="462">
      <c r="A56" s="634" t="inlineStr">
        <is>
          <t>Proceeds from FCCB's</t>
        </is>
      </c>
      <c r="B56" s="576" t="n">
        <v>70.3</v>
      </c>
      <c r="C56" s="576" t="n">
        <v>9102</v>
      </c>
      <c r="D56" s="576" t="n">
        <v>0</v>
      </c>
      <c r="E56" s="521" t="n">
        <v>0</v>
      </c>
      <c r="F56" s="521" t="n">
        <v>0</v>
      </c>
      <c r="G56" s="521" t="n">
        <v>0</v>
      </c>
      <c r="H56" s="521" t="n">
        <v>0</v>
      </c>
      <c r="I56" s="521" t="n">
        <v>0</v>
      </c>
      <c r="J56" s="521" t="n">
        <v>0</v>
      </c>
      <c r="K56" s="521" t="n"/>
      <c r="L56" s="521" t="n"/>
    </row>
    <row r="57" ht="15" customHeight="1" s="462">
      <c r="A57" s="634" t="inlineStr">
        <is>
          <t>Repayment of Long-Term Borrowings</t>
        </is>
      </c>
      <c r="B57" s="576" t="n">
        <v>-680.5</v>
      </c>
      <c r="C57" s="576" t="n">
        <v>-2327.6</v>
      </c>
      <c r="D57" s="576" t="n">
        <v>-1179.8</v>
      </c>
      <c r="E57" s="521" t="n">
        <v>0</v>
      </c>
      <c r="F57" s="521" t="n">
        <v>-91.5767999999991</v>
      </c>
      <c r="G57" s="521" t="n">
        <v>0</v>
      </c>
      <c r="H57" s="521" t="n">
        <v>0</v>
      </c>
      <c r="I57" s="521" t="n">
        <v>0</v>
      </c>
      <c r="J57" s="521" t="n">
        <v>0</v>
      </c>
      <c r="K57" s="521" t="n"/>
      <c r="L57" s="521" t="n"/>
    </row>
    <row r="58" ht="15" customHeight="1" s="462">
      <c r="A58" s="634" t="inlineStr">
        <is>
          <t>Repayment of FCCB's (Redemption)</t>
        </is>
      </c>
      <c r="B58" s="576" t="n">
        <v>0</v>
      </c>
      <c r="C58" s="576" t="n">
        <v>0</v>
      </c>
      <c r="D58" s="576" t="n">
        <v>0</v>
      </c>
      <c r="E58" s="521" t="n">
        <v>0</v>
      </c>
      <c r="F58" s="521" t="n">
        <v>0</v>
      </c>
      <c r="G58" s="521" t="n">
        <v>0</v>
      </c>
      <c r="H58" s="521" t="n">
        <v>-6403.2</v>
      </c>
      <c r="I58" s="521" t="n"/>
      <c r="J58" s="521" t="n"/>
      <c r="K58" s="521" t="n"/>
      <c r="L58" s="521" t="n"/>
    </row>
    <row r="59" ht="15" customHeight="1" s="462">
      <c r="A59" s="634" t="inlineStr">
        <is>
          <t>Proceeds from Short term borrowings (Net)</t>
        </is>
      </c>
      <c r="B59" s="576" t="n">
        <v>4477.6</v>
      </c>
      <c r="C59" s="576" t="n">
        <v>757</v>
      </c>
      <c r="D59" s="576" t="n">
        <v>-258.8</v>
      </c>
      <c r="E59" s="521" t="n">
        <v>0</v>
      </c>
      <c r="F59" s="521" t="n">
        <v>0</v>
      </c>
      <c r="G59" s="521" t="n">
        <v>0</v>
      </c>
      <c r="H59" s="521" t="n">
        <v>0</v>
      </c>
      <c r="I59" s="521" t="n">
        <v>0</v>
      </c>
      <c r="J59" s="521" t="n">
        <v>0</v>
      </c>
      <c r="K59" s="521" t="n"/>
      <c r="L59" s="521" t="n"/>
    </row>
    <row r="60" ht="15" customHeight="1" s="462">
      <c r="A60" s="634" t="inlineStr">
        <is>
          <t>Interest Paid</t>
        </is>
      </c>
      <c r="B60" s="576" t="n">
        <v>-690.8</v>
      </c>
      <c r="C60" s="576" t="n">
        <v>-875.9</v>
      </c>
      <c r="D60" s="576" t="n">
        <v>-624.9</v>
      </c>
      <c r="E60" s="521" t="n">
        <v>0</v>
      </c>
      <c r="F60" s="521" t="n">
        <v>0</v>
      </c>
      <c r="G60" s="521" t="n">
        <v>0</v>
      </c>
      <c r="H60" s="521" t="n">
        <v>0</v>
      </c>
      <c r="I60" s="521" t="n">
        <v>0</v>
      </c>
      <c r="J60" s="521" t="n">
        <v>0</v>
      </c>
      <c r="K60" s="521" t="n"/>
      <c r="L60" s="521" t="n"/>
    </row>
    <row r="61" ht="15" customHeight="1" s="462">
      <c r="A61" s="634" t="inlineStr">
        <is>
          <t>FCCB Issue Expenses</t>
        </is>
      </c>
      <c r="B61" s="576" t="n">
        <v>-70.2</v>
      </c>
      <c r="C61" s="576" t="n">
        <v>-135.6</v>
      </c>
      <c r="D61" s="576" t="n">
        <v>0</v>
      </c>
      <c r="E61" s="521" t="n">
        <v>0</v>
      </c>
      <c r="F61" s="521" t="n">
        <v>0</v>
      </c>
      <c r="G61" s="521" t="n">
        <v>0</v>
      </c>
      <c r="H61" s="521" t="n">
        <v>0</v>
      </c>
      <c r="I61" s="521" t="n">
        <v>0</v>
      </c>
      <c r="J61" s="521" t="n">
        <v>0</v>
      </c>
      <c r="K61" s="521" t="n"/>
      <c r="L61" s="521" t="n"/>
    </row>
    <row r="62" ht="17.25" customHeight="1" s="462">
      <c r="A62" s="634" t="inlineStr">
        <is>
          <t>Dividends and dividend tax paid</t>
        </is>
      </c>
      <c r="B62" s="622" t="n">
        <v>-30.3</v>
      </c>
      <c r="C62" s="622" t="n">
        <v>-92.3</v>
      </c>
      <c r="D62" s="622" t="n">
        <v>-157.1</v>
      </c>
      <c r="E62" s="623" t="n">
        <v>0</v>
      </c>
      <c r="F62" s="623" t="n">
        <v>0</v>
      </c>
      <c r="G62" s="623" t="n">
        <v>0</v>
      </c>
      <c r="H62" s="623" t="n">
        <v>0</v>
      </c>
      <c r="I62" s="623" t="n">
        <v>0</v>
      </c>
      <c r="J62" s="623" t="n">
        <v>0</v>
      </c>
      <c r="K62" s="521" t="n"/>
      <c r="L62" s="521" t="n"/>
    </row>
    <row r="63" ht="17.25" customHeight="1" s="462">
      <c r="A63" s="522" t="inlineStr">
        <is>
          <t xml:space="preserve">    Net Cash Flow From Financing Activities  (C)</t>
        </is>
      </c>
      <c r="B63" s="627" t="n">
        <v>3664</v>
      </c>
      <c r="C63" s="627" t="n">
        <v>6838.8</v>
      </c>
      <c r="D63" s="627" t="n">
        <v>-2175.5</v>
      </c>
      <c r="E63" s="627" t="n">
        <v>0</v>
      </c>
      <c r="F63" s="627" t="n">
        <v>-91.5767999999991</v>
      </c>
      <c r="G63" s="627" t="n">
        <v>2000</v>
      </c>
      <c r="H63" s="627" t="n">
        <v>-1403.2</v>
      </c>
      <c r="I63" s="627" t="n">
        <v>0</v>
      </c>
      <c r="J63" s="627" t="n">
        <v>0</v>
      </c>
      <c r="K63" s="521" t="n"/>
      <c r="L63" s="521" t="n"/>
    </row>
    <row r="64" ht="15" customHeight="1" s="462">
      <c r="A64" s="522" t="n"/>
      <c r="B64" s="521" t="n"/>
      <c r="C64" s="521" t="n"/>
      <c r="D64" s="521" t="n"/>
      <c r="E64" s="521" t="n"/>
      <c r="F64" s="521" t="n"/>
      <c r="G64" s="521" t="n"/>
      <c r="H64" s="521" t="n"/>
      <c r="I64" s="521" t="n"/>
      <c r="J64" s="521" t="n"/>
      <c r="K64" s="521" t="n"/>
      <c r="L64" s="521" t="n"/>
    </row>
    <row r="65" ht="30" customHeight="1" s="462">
      <c r="A65" s="638" t="inlineStr">
        <is>
          <t>D.    Effect of Exchange rate changes on Cash &amp; Cash equivalents (D)</t>
        </is>
      </c>
      <c r="B65" s="576" t="n">
        <v>43.4</v>
      </c>
      <c r="C65" s="576" t="n">
        <v>7.6</v>
      </c>
      <c r="D65" s="576" t="n">
        <v>-9.699999999999999</v>
      </c>
      <c r="E65" s="521" t="n">
        <v>0</v>
      </c>
      <c r="F65" s="521" t="n">
        <v>0</v>
      </c>
      <c r="G65" s="521" t="n">
        <v>0</v>
      </c>
      <c r="H65" s="521" t="n">
        <v>0</v>
      </c>
      <c r="I65" s="521" t="n">
        <v>0</v>
      </c>
      <c r="J65" s="521" t="n">
        <v>0</v>
      </c>
      <c r="K65" s="521" t="n"/>
      <c r="L65" s="521" t="n"/>
    </row>
    <row r="66" ht="15" customHeight="1" s="462">
      <c r="B66" s="576" t="n"/>
      <c r="C66" s="639" t="n"/>
      <c r="D66" s="576" t="n"/>
      <c r="E66" s="521" t="n"/>
      <c r="F66" s="521" t="n"/>
      <c r="G66" s="521" t="n"/>
      <c r="H66" s="521" t="n"/>
      <c r="I66" s="521" t="n"/>
      <c r="J66" s="521" t="n"/>
      <c r="K66" s="521" t="n"/>
      <c r="L66" s="521" t="n"/>
    </row>
    <row r="67" ht="15" customHeight="1" s="462">
      <c r="A67" s="586" t="inlineStr">
        <is>
          <t>Net Increase / (Decrease) in Cash and Cash Equivalents (A+B+C+D)</t>
        </is>
      </c>
      <c r="B67" s="583" t="n">
        <v>1382.6</v>
      </c>
      <c r="C67" s="583" t="n">
        <v>1899.7</v>
      </c>
      <c r="D67" s="583" t="n">
        <v>-1348.1</v>
      </c>
      <c r="E67" s="583" t="n">
        <v>-1231.06521713996</v>
      </c>
      <c r="F67" s="583" t="n">
        <v>-725.340962503911</v>
      </c>
      <c r="G67" s="583" t="n">
        <v>1580.87135155577</v>
      </c>
      <c r="H67" s="583" t="n">
        <v>-1702.83269498991</v>
      </c>
      <c r="I67" s="583" t="n">
        <v>808.188515244565</v>
      </c>
      <c r="J67" s="583" t="n">
        <v>1330.98942978966</v>
      </c>
      <c r="K67" s="521" t="n"/>
      <c r="L67" s="521" t="n"/>
    </row>
    <row r="68" ht="15" customHeight="1" s="462">
      <c r="A68" s="640" t="inlineStr">
        <is>
          <t>Cash and Cash Equivalents at the beginning of the year</t>
        </is>
      </c>
      <c r="B68" s="576" t="n">
        <v>593.8</v>
      </c>
      <c r="C68" s="576" t="n">
        <v>1961.7</v>
      </c>
      <c r="D68" s="576" t="n">
        <v>3747.5</v>
      </c>
      <c r="E68" s="521" t="n">
        <v>2825.7</v>
      </c>
      <c r="F68" s="521" t="n">
        <v>1594.63478286004</v>
      </c>
      <c r="G68" s="521" t="n">
        <v>869.2938203561311</v>
      </c>
      <c r="H68" s="521" t="n">
        <v>2450.1651719119</v>
      </c>
      <c r="I68" s="521" t="n">
        <v>747.332476921988</v>
      </c>
      <c r="J68" s="521" t="n">
        <v>1555.52099216655</v>
      </c>
      <c r="K68" s="521" t="n"/>
      <c r="L68" s="521" t="n"/>
    </row>
    <row r="69" ht="17.25" customHeight="1" s="462">
      <c r="A69" s="634" t="inlineStr">
        <is>
          <t>Add: On Amalgamation</t>
        </is>
      </c>
      <c r="B69" s="622" t="n">
        <v>0</v>
      </c>
      <c r="C69" s="622" t="n">
        <v>0.1</v>
      </c>
      <c r="D69" s="622" t="n">
        <v>0</v>
      </c>
      <c r="E69" s="623" t="n">
        <v>0</v>
      </c>
      <c r="F69" s="623" t="n">
        <v>0</v>
      </c>
      <c r="G69" s="623" t="n">
        <v>0</v>
      </c>
      <c r="H69" s="623" t="n">
        <v>0</v>
      </c>
      <c r="I69" s="623" t="n">
        <v>0</v>
      </c>
      <c r="J69" s="623" t="n">
        <v>0</v>
      </c>
      <c r="K69" s="521" t="n"/>
      <c r="L69" s="521" t="n"/>
    </row>
    <row r="70" ht="17.25" customHeight="1" s="462">
      <c r="A70" s="640" t="inlineStr">
        <is>
          <t>Cash and Cash Equivalents at the end of the year</t>
        </is>
      </c>
      <c r="B70" s="627" t="n">
        <v>1976.4</v>
      </c>
      <c r="C70" s="627" t="n">
        <v>3861.5</v>
      </c>
      <c r="D70" s="627" t="n">
        <v>2399.4</v>
      </c>
      <c r="E70" s="627" t="n">
        <v>1594.63478286004</v>
      </c>
      <c r="F70" s="627" t="n">
        <v>869.2938203561311</v>
      </c>
      <c r="G70" s="627" t="n">
        <v>2450.1651719119</v>
      </c>
      <c r="H70" s="627" t="n">
        <v>747.332476921988</v>
      </c>
      <c r="I70" s="627" t="n">
        <v>1555.52099216655</v>
      </c>
      <c r="J70" s="627" t="n">
        <v>2886.51042195621</v>
      </c>
      <c r="K70" s="521" t="n"/>
      <c r="L70" s="521" t="n"/>
    </row>
    <row r="71" ht="15.75" customHeight="1" s="462">
      <c r="A71" s="489" t="n"/>
      <c r="B71" s="489" t="n"/>
      <c r="C71" s="489" t="n"/>
      <c r="D71" s="489" t="n"/>
      <c r="E71" s="489" t="n"/>
      <c r="F71" s="489" t="n"/>
      <c r="G71" s="489" t="n"/>
      <c r="H71" s="489" t="n"/>
      <c r="I71" s="489" t="n"/>
      <c r="J71" s="489" t="n"/>
      <c r="K71" s="490" t="n"/>
      <c r="L71" s="490" t="n"/>
    </row>
    <row r="72" ht="15" customHeight="1" s="462">
      <c r="A72" s="461" t="inlineStr">
        <is>
          <t>Cash and Cheques on Hand</t>
        </is>
      </c>
      <c r="B72" s="576" t="n">
        <v>50.5</v>
      </c>
      <c r="C72" s="576" t="n">
        <v>9.300000000000001</v>
      </c>
      <c r="D72" s="576" t="n">
        <v>5</v>
      </c>
      <c r="E72" s="521" t="n"/>
      <c r="F72" s="521" t="n"/>
      <c r="G72" s="521" t="n"/>
      <c r="H72" s="521" t="n"/>
      <c r="I72" s="521" t="n"/>
      <c r="J72" s="521" t="n"/>
      <c r="K72" s="521" t="n"/>
      <c r="L72" s="521" t="n"/>
    </row>
    <row r="73" ht="15" customHeight="1" s="462">
      <c r="A73" s="461" t="inlineStr">
        <is>
          <t>With Banks        - on  Current Accounts</t>
        </is>
      </c>
      <c r="B73" s="576" t="n">
        <v>796.3</v>
      </c>
      <c r="C73" s="576" t="n">
        <v>765.9</v>
      </c>
      <c r="D73" s="576" t="n">
        <v>249.1</v>
      </c>
      <c r="E73" s="521" t="n"/>
      <c r="F73" s="521" t="n"/>
      <c r="G73" s="521" t="n"/>
      <c r="H73" s="521" t="n"/>
      <c r="I73" s="521" t="n"/>
      <c r="J73" s="521" t="n"/>
      <c r="K73" s="521" t="n"/>
      <c r="L73" s="521" t="n"/>
    </row>
    <row r="74" ht="15" customHeight="1" s="462">
      <c r="A74" s="641" t="inlineStr">
        <is>
          <t xml:space="preserve">                                 on Deposit Accounts</t>
        </is>
      </c>
      <c r="B74" s="576" t="n">
        <v>138.7</v>
      </c>
      <c r="C74" s="576" t="n">
        <v>5046.6</v>
      </c>
      <c r="D74" s="576" t="n">
        <v>2568.6</v>
      </c>
      <c r="E74" s="521" t="n"/>
      <c r="F74" s="521" t="n"/>
      <c r="G74" s="521" t="n"/>
      <c r="H74" s="521" t="n"/>
      <c r="I74" s="521" t="n"/>
      <c r="J74" s="521" t="n"/>
      <c r="K74" s="521" t="n"/>
      <c r="L74" s="521" t="n"/>
    </row>
    <row r="75" ht="15" customHeight="1" s="462">
      <c r="A75" s="461" t="inlineStr">
        <is>
          <t xml:space="preserve">                                 on Unpaid Dividend Accounts</t>
        </is>
      </c>
      <c r="B75" s="576" t="n">
        <v>2.6</v>
      </c>
      <c r="C75" s="576" t="n">
        <v>2.8</v>
      </c>
      <c r="D75" s="576" t="n">
        <v>3</v>
      </c>
      <c r="E75" s="521" t="n"/>
      <c r="F75" s="521" t="n"/>
      <c r="G75" s="521" t="n"/>
      <c r="H75" s="521" t="n"/>
      <c r="I75" s="521" t="n"/>
      <c r="J75" s="521" t="n"/>
      <c r="K75" s="521" t="n"/>
      <c r="L75" s="521" t="n"/>
    </row>
    <row r="76" ht="17.25" customHeight="1" s="462">
      <c r="A76" s="642" t="inlineStr">
        <is>
          <t>on Fixed Deposits Accounts</t>
        </is>
      </c>
      <c r="B76" s="622" t="n">
        <v>1031.2</v>
      </c>
      <c r="C76" s="622" t="n">
        <v>0</v>
      </c>
      <c r="D76" s="622" t="n">
        <v>0</v>
      </c>
      <c r="E76" s="521" t="n"/>
      <c r="F76" s="521" t="n"/>
      <c r="G76" s="521" t="n"/>
      <c r="H76" s="521" t="n"/>
      <c r="I76" s="521" t="n"/>
      <c r="J76" s="521" t="n"/>
      <c r="K76" s="521" t="n"/>
      <c r="L76" s="521" t="n"/>
    </row>
    <row r="77" ht="17.25" customHeight="1" s="462">
      <c r="A77" s="643" t="inlineStr">
        <is>
          <t>Cash and Cash Equivalents as per Balance Sheet</t>
        </is>
      </c>
      <c r="B77" s="627" t="n">
        <v>2019.3</v>
      </c>
      <c r="C77" s="627" t="n">
        <v>5824.6</v>
      </c>
      <c r="D77" s="627" t="n">
        <v>2825.7</v>
      </c>
      <c r="E77" s="521" t="n"/>
      <c r="F77" s="521" t="n"/>
      <c r="G77" s="521" t="n"/>
      <c r="H77" s="521" t="n"/>
      <c r="I77" s="521" t="n"/>
      <c r="J77" s="521" t="n"/>
      <c r="K77" s="521" t="n"/>
      <c r="L77" s="521" t="n"/>
    </row>
    <row r="78" ht="15" customHeight="1" s="462">
      <c r="A78" s="644" t="inlineStr">
        <is>
          <t>Less: Overdraft</t>
        </is>
      </c>
      <c r="B78" s="576" t="n">
        <v>-57.6</v>
      </c>
      <c r="C78" s="576" t="n">
        <v>-66.3</v>
      </c>
      <c r="D78" s="576" t="n">
        <v>-103.6</v>
      </c>
      <c r="E78" s="521" t="n"/>
      <c r="F78" s="521" t="n"/>
      <c r="G78" s="521" t="n"/>
      <c r="H78" s="521" t="n"/>
      <c r="I78" s="521" t="n"/>
      <c r="J78" s="521" t="n"/>
      <c r="K78" s="521" t="n"/>
      <c r="L78" s="521" t="n"/>
    </row>
    <row r="79" ht="15" customHeight="1" s="462">
      <c r="A79" s="644" t="inlineStr">
        <is>
          <t>Less: Fixed Deposits considered as Investments</t>
        </is>
      </c>
      <c r="B79" s="576" t="n">
        <v>13.4</v>
      </c>
      <c r="C79" s="576" t="n">
        <v>-2010.8</v>
      </c>
      <c r="D79" s="576" t="n">
        <v>-301</v>
      </c>
      <c r="E79" s="521" t="n"/>
      <c r="F79" s="521" t="n"/>
      <c r="G79" s="521" t="n"/>
      <c r="H79" s="521" t="n"/>
      <c r="I79" s="521" t="n"/>
      <c r="J79" s="521" t="n"/>
      <c r="K79" s="521" t="n"/>
      <c r="L79" s="521" t="n"/>
    </row>
    <row r="80" ht="15" customHeight="1" s="462">
      <c r="A80" s="644" t="inlineStr">
        <is>
          <t>Effect of Unrealized exchange loss as on Balance sheet date</t>
        </is>
      </c>
      <c r="B80" s="576" t="n">
        <v>1.3</v>
      </c>
      <c r="C80" s="576" t="n">
        <v>114</v>
      </c>
      <c r="D80" s="576" t="n">
        <v>-21.7</v>
      </c>
      <c r="E80" s="521" t="n"/>
      <c r="F80" s="521" t="n"/>
      <c r="G80" s="521" t="n"/>
      <c r="H80" s="521" t="n"/>
      <c r="I80" s="521" t="n"/>
      <c r="J80" s="521" t="n"/>
      <c r="K80" s="521" t="n"/>
      <c r="L80" s="521" t="n"/>
    </row>
    <row r="81" ht="15" customFormat="1" customHeight="1" s="461">
      <c r="A81" s="643" t="inlineStr">
        <is>
          <t>Cash and Cash Equivalents considered for cash flows</t>
        </is>
      </c>
      <c r="B81" s="645" t="n">
        <v>1976.4</v>
      </c>
      <c r="C81" s="645" t="n">
        <v>3861.5</v>
      </c>
      <c r="D81" s="645" t="n">
        <v>2399.4</v>
      </c>
      <c r="E81" s="490" t="n"/>
      <c r="F81" s="490" t="n"/>
      <c r="G81" s="490" t="n"/>
      <c r="H81" s="490" t="n"/>
      <c r="I81" s="490" t="n"/>
      <c r="J81" s="490" t="n"/>
      <c r="K81" s="490" t="n"/>
      <c r="L81" s="490" t="n"/>
    </row>
    <row r="82" ht="15.75" customHeight="1" s="462">
      <c r="A82" s="646" t="n"/>
      <c r="B82" s="647" t="n"/>
      <c r="C82" s="647" t="n"/>
      <c r="D82" s="647" t="n"/>
      <c r="E82" s="489" t="n"/>
      <c r="F82" s="489" t="n"/>
      <c r="G82" s="489" t="n"/>
      <c r="H82" s="489" t="n"/>
      <c r="I82" s="489" t="n"/>
      <c r="J82" s="489" t="n"/>
      <c r="K82" s="490" t="n"/>
      <c r="L82" s="490" t="n"/>
    </row>
    <row r="83" ht="15" customHeight="1" s="462">
      <c r="A83" s="644" t="n"/>
      <c r="B83" s="521" t="n"/>
      <c r="C83" s="521" t="n"/>
      <c r="D83" s="521" t="n"/>
      <c r="E83" s="521" t="n"/>
      <c r="F83" s="521" t="n"/>
      <c r="G83" s="521" t="n"/>
      <c r="H83" s="521" t="n"/>
      <c r="I83" s="521" t="n"/>
      <c r="J83" s="521" t="n"/>
      <c r="K83" s="521" t="n"/>
      <c r="L83" s="521" t="n"/>
    </row>
    <row r="84" ht="15" customHeight="1" s="462">
      <c r="A84" s="644" t="n"/>
      <c r="B84" s="521" t="n"/>
      <c r="C84" s="521" t="n"/>
      <c r="D84" s="521" t="n"/>
      <c r="E84" s="521" t="n"/>
      <c r="F84" s="521" t="n"/>
      <c r="G84" s="521" t="n"/>
      <c r="H84" s="521" t="n"/>
      <c r="I84" s="521" t="n"/>
      <c r="J84" s="521" t="n"/>
      <c r="K84" s="521" t="n"/>
      <c r="L84" s="521" t="n"/>
    </row>
    <row r="85" ht="15" customHeight="1" s="462">
      <c r="A85" s="461" t="n"/>
      <c r="B85" s="521" t="n"/>
      <c r="C85" s="521" t="n"/>
      <c r="D85" s="521" t="n"/>
      <c r="E85" s="521" t="n"/>
      <c r="F85" s="521" t="n"/>
      <c r="G85" s="521" t="n"/>
      <c r="H85" s="521" t="n"/>
      <c r="I85" s="521" t="n"/>
      <c r="J85" s="521" t="n"/>
      <c r="K85" s="521" t="n"/>
      <c r="L85" s="521" t="n"/>
    </row>
    <row r="86" ht="15" customHeight="1" s="462">
      <c r="B86" s="521" t="n"/>
      <c r="C86" s="521" t="n"/>
      <c r="D86" s="521" t="n"/>
      <c r="E86" s="521" t="n"/>
      <c r="F86" s="521" t="n"/>
      <c r="G86" s="521" t="n"/>
      <c r="H86" s="521" t="n"/>
      <c r="I86" s="521" t="n"/>
      <c r="J86" s="521" t="n"/>
      <c r="K86" s="521" t="n"/>
      <c r="L86" s="521" t="n"/>
    </row>
    <row r="87" ht="15" customHeight="1" s="462">
      <c r="B87" s="521" t="n"/>
      <c r="C87" s="521" t="n"/>
      <c r="D87" s="521" t="n"/>
      <c r="E87" s="521" t="n"/>
      <c r="F87" s="521" t="n"/>
      <c r="G87" s="521" t="n"/>
      <c r="H87" s="521" t="n"/>
      <c r="I87" s="521" t="n"/>
      <c r="J87" s="521" t="n"/>
      <c r="K87" s="521" t="n"/>
      <c r="L87" s="521" t="n"/>
    </row>
    <row r="88" ht="15" customHeight="1" s="462">
      <c r="B88" s="521" t="n"/>
      <c r="C88" s="521" t="n"/>
      <c r="D88" s="521" t="n"/>
      <c r="E88" s="521" t="n"/>
      <c r="F88" s="521" t="n"/>
      <c r="G88" s="521" t="n"/>
      <c r="H88" s="521" t="n"/>
      <c r="I88" s="521" t="n"/>
      <c r="J88" s="521" t="n"/>
      <c r="K88" s="521" t="n"/>
      <c r="L88" s="521" t="n"/>
    </row>
    <row r="89" ht="15" customHeight="1" s="462">
      <c r="B89" s="521" t="n"/>
      <c r="C89" s="521" t="n"/>
      <c r="D89" s="521" t="n"/>
      <c r="E89" s="521" t="n"/>
      <c r="F89" s="521" t="n"/>
      <c r="G89" s="521" t="n"/>
      <c r="H89" s="521" t="n"/>
      <c r="I89" s="521" t="n"/>
      <c r="J89" s="521" t="n"/>
      <c r="K89" s="521" t="n"/>
      <c r="L89" s="521" t="n"/>
    </row>
    <row r="90" ht="15" customHeight="1" s="462">
      <c r="B90" s="521" t="n"/>
      <c r="C90" s="521" t="n"/>
      <c r="D90" s="521" t="n"/>
      <c r="E90" s="521" t="n"/>
      <c r="F90" s="521" t="n"/>
      <c r="G90" s="521" t="n"/>
      <c r="H90" s="521" t="n"/>
      <c r="I90" s="521" t="n"/>
      <c r="J90" s="521" t="n"/>
      <c r="K90" s="521" t="n"/>
      <c r="L90" s="521" t="n"/>
    </row>
    <row r="91" ht="15" customHeight="1" s="462">
      <c r="B91" s="521" t="n"/>
      <c r="C91" s="521" t="n"/>
      <c r="D91" s="521" t="n"/>
      <c r="E91" s="521" t="n"/>
      <c r="F91" s="521" t="n"/>
      <c r="G91" s="521" t="n"/>
      <c r="H91" s="521" t="n"/>
      <c r="I91" s="521" t="n"/>
      <c r="J91" s="521" t="n"/>
      <c r="K91" s="521" t="n"/>
      <c r="L91" s="521" t="n"/>
    </row>
    <row r="92" ht="15" customHeight="1" s="462">
      <c r="B92" s="521" t="n"/>
      <c r="C92" s="521" t="n"/>
      <c r="D92" s="521" t="n"/>
      <c r="E92" s="521" t="n"/>
      <c r="F92" s="521" t="n"/>
      <c r="G92" s="521" t="n"/>
      <c r="H92" s="521" t="n"/>
      <c r="I92" s="521" t="n"/>
      <c r="J92" s="521" t="n"/>
      <c r="K92" s="521" t="n"/>
      <c r="L92" s="521" t="n"/>
    </row>
    <row r="93" ht="15" customHeight="1" s="462">
      <c r="B93" s="521" t="n"/>
      <c r="C93" s="521" t="n"/>
      <c r="D93" s="521" t="n"/>
      <c r="E93" s="521" t="n"/>
      <c r="F93" s="521" t="n"/>
      <c r="G93" s="521" t="n"/>
      <c r="H93" s="521" t="n"/>
      <c r="I93" s="521" t="n"/>
      <c r="J93" s="521" t="n"/>
      <c r="K93" s="521" t="n"/>
      <c r="L93" s="521" t="n"/>
    </row>
    <row r="94" ht="15" customHeight="1" s="462">
      <c r="B94" s="521" t="n"/>
      <c r="C94" s="521" t="n"/>
      <c r="D94" s="521" t="n"/>
      <c r="E94" s="521" t="n"/>
      <c r="F94" s="521" t="n"/>
      <c r="G94" s="521" t="n"/>
      <c r="H94" s="521" t="n"/>
      <c r="I94" s="521" t="n"/>
      <c r="J94" s="521" t="n"/>
      <c r="K94" s="521" t="n"/>
      <c r="L94" s="521" t="n"/>
    </row>
    <row r="95" ht="15" customHeight="1" s="462">
      <c r="B95" s="521" t="n"/>
      <c r="C95" s="521" t="n"/>
      <c r="D95" s="521" t="n"/>
      <c r="E95" s="521" t="n"/>
      <c r="F95" s="521" t="n"/>
      <c r="G95" s="521" t="n"/>
      <c r="H95" s="521" t="n"/>
      <c r="I95" s="521" t="n"/>
      <c r="J95" s="521" t="n"/>
      <c r="K95" s="521" t="n"/>
      <c r="L95" s="521" t="n"/>
    </row>
    <row r="96" ht="15" customHeight="1" s="462">
      <c r="B96" s="521" t="n"/>
      <c r="C96" s="521" t="n"/>
      <c r="D96" s="521" t="n"/>
      <c r="E96" s="521" t="n"/>
      <c r="F96" s="521" t="n"/>
      <c r="G96" s="521" t="n"/>
      <c r="H96" s="521" t="n"/>
      <c r="I96" s="521" t="n"/>
      <c r="J96" s="521" t="n"/>
      <c r="K96" s="521" t="n"/>
      <c r="L96" s="521" t="n"/>
    </row>
    <row r="97" ht="15" customHeight="1" s="462">
      <c r="B97" s="521" t="n"/>
      <c r="C97" s="521" t="n"/>
      <c r="D97" s="521" t="n"/>
      <c r="E97" s="521" t="n"/>
      <c r="F97" s="521" t="n"/>
      <c r="G97" s="521" t="n"/>
      <c r="H97" s="521" t="n"/>
      <c r="I97" s="521" t="n"/>
      <c r="J97" s="521" t="n"/>
      <c r="K97" s="521" t="n"/>
      <c r="L97" s="521" t="n"/>
    </row>
    <row r="98" ht="15" customHeight="1" s="462">
      <c r="B98" s="521" t="n"/>
      <c r="C98" s="521" t="n"/>
      <c r="D98" s="521" t="n"/>
      <c r="E98" s="521" t="n"/>
      <c r="F98" s="521" t="n"/>
      <c r="G98" s="521" t="n"/>
      <c r="H98" s="521" t="n"/>
      <c r="I98" s="521" t="n"/>
      <c r="J98" s="521" t="n"/>
      <c r="K98" s="521" t="n"/>
      <c r="L98"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AL106"/>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F11" activeCellId="0" sqref="F11"/>
    </sheetView>
  </sheetViews>
  <sheetFormatPr baseColWidth="8" defaultColWidth="8.96875" defaultRowHeight="15" zeroHeight="0" outlineLevelRow="0"/>
  <cols>
    <col width="40.13" customWidth="1" style="461" min="1" max="1"/>
    <col width="10.99" customWidth="1" style="461" min="2" max="2"/>
    <col width="10.56" customWidth="1" style="461" min="3" max="6"/>
    <col width="12.42" customWidth="1" style="461" min="7" max="7"/>
    <col width="14.85" customWidth="1" style="461" min="8" max="8"/>
    <col width="10.56" customWidth="1" style="461" min="9" max="11"/>
    <col width="9.56" customWidth="1" style="461" min="14" max="14"/>
    <col width="10.56" customWidth="1" style="461" min="18" max="18"/>
    <col width="9.56" customWidth="1" style="461" min="19" max="19"/>
  </cols>
  <sheetData>
    <row r="1" ht="18.75" customHeight="1" s="462">
      <c r="A1" s="487" t="inlineStr">
        <is>
          <t>Aurobindo Pharma</t>
        </is>
      </c>
      <c r="B1" s="487" t="n"/>
      <c r="D1" s="568" t="n"/>
      <c r="F1" s="568" t="n"/>
    </row>
    <row r="2" ht="15.75" customHeight="1" s="462">
      <c r="A2" s="488" t="inlineStr">
        <is>
          <t xml:space="preserve">Geographic Revenue Model </t>
        </is>
      </c>
      <c r="B2" s="522" t="n"/>
      <c r="C2" s="468" t="n"/>
      <c r="D2" s="569" t="n"/>
      <c r="E2" s="468" t="n"/>
      <c r="F2" s="615" t="n"/>
      <c r="G2" s="468" t="n"/>
      <c r="H2" s="616" t="n"/>
    </row>
    <row r="3" ht="15.75" customHeight="1" s="462">
      <c r="A3" s="489" t="inlineStr">
        <is>
          <t>(In Rs Millions)</t>
        </is>
      </c>
      <c r="B3" s="489" t="n"/>
      <c r="C3" s="489" t="n"/>
      <c r="D3" s="489" t="n"/>
      <c r="E3" s="489" t="n"/>
      <c r="F3" s="489" t="n"/>
      <c r="G3" s="489" t="n"/>
      <c r="H3" s="489" t="n"/>
      <c r="I3" s="489" t="n"/>
      <c r="J3" s="489" t="n"/>
      <c r="K3" s="489" t="n"/>
      <c r="L3" s="489" t="n"/>
      <c r="M3" s="490" t="n"/>
      <c r="N3" s="490" t="n"/>
      <c r="O3" s="490" t="n"/>
      <c r="P3" s="490" t="n"/>
      <c r="Q3" s="490" t="n"/>
      <c r="R3" s="490" t="n"/>
      <c r="S3" s="490" t="n"/>
      <c r="T3" s="490" t="n"/>
      <c r="U3" s="490" t="n"/>
      <c r="V3" s="490" t="n"/>
      <c r="W3" s="490" t="n"/>
      <c r="X3" s="490" t="n"/>
      <c r="Y3" s="490" t="n"/>
      <c r="Z3" s="490" t="n"/>
      <c r="AA3" s="490" t="n"/>
      <c r="AB3" s="490" t="n"/>
      <c r="AC3" s="490" t="n"/>
      <c r="AD3" s="490" t="n"/>
      <c r="AE3" s="490" t="n"/>
      <c r="AF3" s="490" t="n"/>
      <c r="AG3" s="490" t="n"/>
      <c r="AH3" s="461" t="n"/>
      <c r="AI3" s="461" t="n"/>
      <c r="AJ3" s="461" t="n"/>
      <c r="AK3" s="461" t="n"/>
    </row>
    <row r="4" ht="15" customHeight="1" s="462">
      <c r="A4" s="532" t="n"/>
      <c r="B4" s="532" t="n"/>
      <c r="C4" s="648" t="n"/>
      <c r="D4" s="534" t="n"/>
      <c r="E4" s="534" t="n"/>
      <c r="F4" s="534" t="n"/>
      <c r="G4" s="534" t="n"/>
      <c r="H4" s="648" t="n"/>
      <c r="I4" s="534" t="n"/>
      <c r="J4" s="534" t="n"/>
      <c r="K4" s="534" t="n"/>
      <c r="L4" s="534" t="n"/>
      <c r="M4" s="648" t="n"/>
      <c r="N4" s="534" t="n"/>
      <c r="O4" s="534" t="n"/>
      <c r="P4" s="534" t="n"/>
      <c r="Q4" s="534" t="n"/>
      <c r="R4" s="648" t="n"/>
      <c r="S4" s="534" t="n"/>
      <c r="T4" s="534" t="n"/>
      <c r="U4" s="534" t="n"/>
      <c r="V4" s="534" t="n"/>
      <c r="W4" s="648" t="n"/>
      <c r="X4" s="534" t="n"/>
      <c r="Y4" s="534" t="n"/>
      <c r="Z4" s="534" t="n"/>
      <c r="AA4" s="534" t="n"/>
      <c r="AB4" s="648" t="n"/>
      <c r="AC4" s="534" t="n"/>
      <c r="AD4" s="534" t="n"/>
      <c r="AE4" s="534" t="n"/>
      <c r="AF4" s="534" t="n"/>
      <c r="AG4" s="648" t="n"/>
      <c r="AH4" s="534" t="n"/>
      <c r="AI4" s="534" t="n"/>
      <c r="AJ4" s="534" t="n"/>
      <c r="AK4" s="534" t="n"/>
      <c r="AL4" s="648" t="n"/>
    </row>
    <row r="5" ht="15" customHeight="1" s="462">
      <c r="A5" s="461" t="n"/>
      <c r="B5" s="649" t="inlineStr">
        <is>
          <t>FY2005 A</t>
        </is>
      </c>
      <c r="C5" s="649" t="inlineStr">
        <is>
          <t>FY2006 A</t>
        </is>
      </c>
      <c r="D5" s="649" t="inlineStr">
        <is>
          <t>FY2007 A</t>
        </is>
      </c>
      <c r="E5" s="649" t="inlineStr">
        <is>
          <t>FY2008 A</t>
        </is>
      </c>
      <c r="F5" s="649" t="inlineStr">
        <is>
          <t>FY2009 A</t>
        </is>
      </c>
      <c r="G5" s="650" t="inlineStr">
        <is>
          <t>FY2010 E</t>
        </is>
      </c>
      <c r="H5" s="536" t="inlineStr">
        <is>
          <t>FY2011 E</t>
        </is>
      </c>
      <c r="I5" s="536" t="inlineStr">
        <is>
          <t>FY2012 E</t>
        </is>
      </c>
      <c r="J5" s="536" t="inlineStr">
        <is>
          <t>FY2013 E</t>
        </is>
      </c>
      <c r="K5" s="536" t="inlineStr">
        <is>
          <t>FY2014 E</t>
        </is>
      </c>
      <c r="L5" s="461" t="n"/>
      <c r="M5" s="648" t="n"/>
      <c r="N5" s="461" t="n"/>
      <c r="O5" s="461" t="n"/>
      <c r="P5" s="461" t="n"/>
      <c r="Q5" s="461" t="n"/>
      <c r="R5" s="648" t="n"/>
      <c r="S5" s="461" t="n"/>
      <c r="T5" s="461" t="n"/>
      <c r="U5" s="461" t="n"/>
      <c r="V5" s="461" t="n"/>
      <c r="W5" s="648" t="n"/>
      <c r="X5" s="461" t="n"/>
      <c r="Y5" s="461" t="n"/>
      <c r="Z5" s="461" t="n"/>
      <c r="AA5" s="461" t="n"/>
      <c r="AB5" s="648" t="n"/>
      <c r="AC5" s="461" t="n"/>
      <c r="AD5" s="461" t="n"/>
      <c r="AE5" s="461" t="n"/>
      <c r="AF5" s="461" t="n"/>
      <c r="AG5" s="648" t="n"/>
      <c r="AH5" s="461" t="n"/>
      <c r="AI5" s="461" t="n"/>
      <c r="AJ5" s="461" t="n"/>
      <c r="AK5" s="461" t="n"/>
      <c r="AL5" s="648" t="n"/>
    </row>
    <row r="6" ht="15" customFormat="1" customHeight="1" s="461">
      <c r="A6" s="573" t="n"/>
      <c r="B6" s="573" t="n"/>
      <c r="C6" s="648" t="n"/>
      <c r="H6" s="648" t="n"/>
      <c r="M6" s="648" t="n"/>
      <c r="R6" s="648" t="n"/>
      <c r="W6" s="648" t="n"/>
      <c r="AB6" s="648" t="n"/>
      <c r="AG6" s="648" t="n"/>
      <c r="AL6" s="648" t="n"/>
    </row>
    <row r="7" ht="15" customFormat="1" customHeight="1" s="461">
      <c r="A7" s="491" t="inlineStr">
        <is>
          <t>Geographic Revenue</t>
        </is>
      </c>
      <c r="B7" s="573" t="n"/>
      <c r="C7" s="524" t="n"/>
      <c r="D7" s="521" t="n"/>
      <c r="E7" s="521" t="n"/>
      <c r="F7" s="521" t="n"/>
      <c r="G7" s="521" t="n"/>
      <c r="H7" s="524" t="n"/>
      <c r="M7" s="648" t="n"/>
      <c r="R7" s="648" t="n"/>
      <c r="W7" s="648" t="n"/>
      <c r="AB7" s="648" t="n"/>
      <c r="AG7" s="648" t="n"/>
      <c r="AL7" s="648" t="n"/>
    </row>
    <row r="8" ht="15" customHeight="1" s="462">
      <c r="A8" s="461" t="inlineStr">
        <is>
          <t xml:space="preserve">India </t>
        </is>
      </c>
      <c r="B8" s="576" t="n">
        <v>10664.4</v>
      </c>
      <c r="C8" s="651" t="n">
        <v>12507.4</v>
      </c>
      <c r="D8" s="576" t="n">
        <v>16023.4</v>
      </c>
      <c r="E8" s="576" t="n">
        <v>19058.3</v>
      </c>
      <c r="F8" s="521" t="n">
        <v>24443.8443149965</v>
      </c>
      <c r="G8" s="521" t="n">
        <v>31492.36944</v>
      </c>
      <c r="H8" s="521" t="n">
        <v>39538.66983192</v>
      </c>
      <c r="I8" s="521" t="n">
        <v>47817.3839103072</v>
      </c>
      <c r="J8" s="521" t="n">
        <v>57598.7626949979</v>
      </c>
      <c r="K8" s="521" t="n">
        <v>70890.78485538199</v>
      </c>
      <c r="L8" s="461" t="n"/>
      <c r="M8" s="648" t="n"/>
      <c r="N8" s="461" t="n"/>
      <c r="O8" s="461" t="n"/>
      <c r="P8" s="461" t="n"/>
      <c r="Q8" s="461" t="n"/>
      <c r="R8" s="652" t="n"/>
      <c r="S8" s="461" t="n"/>
      <c r="T8" s="461" t="n"/>
      <c r="U8" s="461" t="n"/>
      <c r="V8" s="461" t="n"/>
      <c r="W8" s="648" t="n"/>
      <c r="X8" s="461" t="n"/>
      <c r="Y8" s="461" t="n"/>
      <c r="Z8" s="461" t="n"/>
      <c r="AA8" s="461" t="n"/>
      <c r="AB8" s="648" t="n"/>
      <c r="AC8" s="461" t="n"/>
      <c r="AD8" s="461" t="n"/>
      <c r="AE8" s="461" t="n"/>
      <c r="AF8" s="461" t="n"/>
      <c r="AG8" s="648" t="n"/>
      <c r="AH8" s="461" t="n"/>
      <c r="AI8" s="461" t="n"/>
      <c r="AJ8" s="461" t="n"/>
      <c r="AK8" s="461" t="n"/>
      <c r="AL8" s="648" t="n"/>
    </row>
    <row r="9" ht="15" customHeight="1" s="462">
      <c r="A9" s="461" t="inlineStr">
        <is>
          <t>China</t>
        </is>
      </c>
      <c r="B9" s="576" t="n">
        <v>1232.5</v>
      </c>
      <c r="C9" s="651" t="n">
        <v>1306.6</v>
      </c>
      <c r="D9" s="576" t="n">
        <v>976</v>
      </c>
      <c r="E9" s="576" t="n">
        <v>285.8</v>
      </c>
      <c r="F9" s="521" t="n">
        <v>366.562112319882</v>
      </c>
      <c r="G9" s="521" t="n">
        <v>461.868261523051</v>
      </c>
      <c r="H9" s="521" t="n">
        <v>572.716644288583</v>
      </c>
      <c r="I9" s="521" t="n">
        <v>710.1686389178431</v>
      </c>
      <c r="J9" s="521" t="n">
        <v>866.405739479769</v>
      </c>
      <c r="K9" s="521" t="n">
        <v>1039.68688737572</v>
      </c>
      <c r="L9" s="461" t="n"/>
      <c r="M9" s="648" t="n"/>
      <c r="N9" s="653" t="n"/>
      <c r="O9" s="653" t="n"/>
      <c r="P9" s="653" t="n"/>
      <c r="Q9" s="653" t="n"/>
      <c r="R9" s="651" t="n"/>
      <c r="S9" s="576" t="n"/>
      <c r="T9" s="461" t="n"/>
      <c r="U9" s="461" t="n"/>
      <c r="V9" s="461" t="n"/>
      <c r="W9" s="648" t="n"/>
      <c r="X9" s="461" t="n"/>
      <c r="Y9" s="461" t="n"/>
      <c r="Z9" s="461" t="n"/>
      <c r="AA9" s="461" t="n"/>
      <c r="AB9" s="648" t="n"/>
      <c r="AC9" s="461" t="n"/>
      <c r="AD9" s="461" t="n"/>
      <c r="AE9" s="461" t="n"/>
      <c r="AF9" s="461" t="n"/>
      <c r="AG9" s="648" t="n"/>
      <c r="AH9" s="461" t="n"/>
      <c r="AI9" s="461" t="n"/>
      <c r="AJ9" s="461" t="n"/>
      <c r="AK9" s="461" t="n"/>
      <c r="AL9" s="648" t="n"/>
    </row>
    <row r="10" ht="15" customHeight="1" s="462">
      <c r="A10" s="461" t="inlineStr">
        <is>
          <t>Rest of the World</t>
        </is>
      </c>
      <c r="B10" s="576" t="n">
        <v>1319.1</v>
      </c>
      <c r="C10" s="651" t="n">
        <v>2122.1</v>
      </c>
      <c r="D10" s="576" t="n">
        <v>4229.8</v>
      </c>
      <c r="E10" s="576" t="n">
        <v>5014.9</v>
      </c>
      <c r="F10" s="521" t="n">
        <v>6432.02357268361</v>
      </c>
      <c r="G10" s="521" t="n">
        <v>7479.437742</v>
      </c>
      <c r="H10" s="521" t="n">
        <v>8786.371073759999</v>
      </c>
      <c r="I10" s="521" t="n">
        <v>12105.666812736</v>
      </c>
      <c r="J10" s="521" t="n">
        <v>15507.3591871148</v>
      </c>
      <c r="K10" s="521" t="n">
        <v>16836.5614031532</v>
      </c>
      <c r="L10" s="461" t="n"/>
      <c r="M10" s="648" t="n"/>
      <c r="N10" s="653" t="n"/>
      <c r="O10" s="653" t="n"/>
      <c r="P10" s="653" t="n"/>
      <c r="Q10" s="653" t="n"/>
      <c r="R10" s="651" t="n"/>
      <c r="S10" s="576" t="n"/>
      <c r="T10" s="461" t="n"/>
      <c r="U10" s="461" t="n"/>
      <c r="V10" s="461" t="n"/>
      <c r="W10" s="648" t="n"/>
      <c r="X10" s="461" t="n"/>
      <c r="Y10" s="461" t="n"/>
      <c r="Z10" s="461" t="n"/>
      <c r="AA10" s="461" t="n"/>
      <c r="AB10" s="648" t="n"/>
      <c r="AC10" s="461" t="n"/>
      <c r="AD10" s="461" t="n"/>
      <c r="AE10" s="461" t="n"/>
      <c r="AF10" s="461" t="n"/>
      <c r="AG10" s="648" t="n"/>
      <c r="AH10" s="461" t="n"/>
      <c r="AI10" s="461" t="n"/>
      <c r="AJ10" s="461" t="n"/>
      <c r="AK10" s="461" t="n"/>
      <c r="AL10" s="648" t="n"/>
    </row>
    <row r="11" ht="15" customHeight="1" s="462">
      <c r="A11" s="522" t="inlineStr">
        <is>
          <t>Consolidated</t>
        </is>
      </c>
      <c r="B11" s="524" t="n">
        <v>13216</v>
      </c>
      <c r="C11" s="524" t="n">
        <v>15936.1</v>
      </c>
      <c r="D11" s="524" t="n">
        <v>21229.2</v>
      </c>
      <c r="E11" s="524" t="n">
        <v>24359</v>
      </c>
      <c r="F11" s="637" t="n">
        <v>31242.43</v>
      </c>
      <c r="G11" s="521" t="n">
        <v>39365.4618</v>
      </c>
      <c r="H11" s="524" t="n">
        <v>48813.172632</v>
      </c>
      <c r="I11" s="524" t="n">
        <v>60528.33406368</v>
      </c>
      <c r="J11" s="524" t="n">
        <v>73844.5675576896</v>
      </c>
      <c r="K11" s="524" t="n">
        <v>88613.48106922751</v>
      </c>
      <c r="L11" s="461" t="n"/>
      <c r="M11" s="648" t="n"/>
      <c r="N11" s="597" t="n"/>
      <c r="O11" s="597" t="n"/>
      <c r="P11" s="597" t="n"/>
      <c r="Q11" s="597" t="n"/>
      <c r="R11" s="652" t="n"/>
      <c r="S11" s="461" t="n"/>
      <c r="T11" s="461" t="n"/>
      <c r="U11" s="461" t="n"/>
      <c r="V11" s="461" t="n"/>
      <c r="W11" s="648" t="n"/>
      <c r="X11" s="461" t="n"/>
      <c r="Y11" s="461" t="n"/>
      <c r="Z11" s="461" t="n"/>
      <c r="AA11" s="461" t="n"/>
      <c r="AB11" s="648" t="n"/>
      <c r="AC11" s="461" t="n"/>
      <c r="AD11" s="461" t="n"/>
      <c r="AE11" s="461" t="n"/>
      <c r="AF11" s="461" t="n"/>
      <c r="AG11" s="648" t="n"/>
      <c r="AH11" s="461" t="n"/>
      <c r="AI11" s="461" t="n"/>
      <c r="AJ11" s="461" t="n"/>
      <c r="AK11" s="461" t="n"/>
      <c r="AL11" s="648" t="n"/>
    </row>
    <row r="12" ht="15" customHeight="1" s="462">
      <c r="A12" s="522" t="n"/>
      <c r="B12" s="583" t="n"/>
      <c r="C12" s="524" t="n"/>
      <c r="D12" s="521" t="n"/>
      <c r="E12" s="521" t="n"/>
      <c r="F12" s="521" t="n"/>
      <c r="G12" s="521" t="n"/>
      <c r="H12" s="654" t="n"/>
      <c r="I12" s="461" t="n"/>
      <c r="J12" s="461" t="n"/>
      <c r="K12" s="461" t="n"/>
      <c r="L12" s="461" t="n"/>
      <c r="M12" s="648" t="n"/>
      <c r="N12" s="461" t="n"/>
      <c r="O12" s="461" t="n"/>
      <c r="P12" s="461" t="n"/>
      <c r="Q12" s="461" t="n"/>
      <c r="R12" s="652" t="n"/>
      <c r="S12" s="461" t="n"/>
      <c r="T12" s="461" t="n"/>
      <c r="U12" s="461" t="n"/>
      <c r="V12" s="461" t="n"/>
      <c r="W12" s="648" t="n"/>
      <c r="X12" s="461" t="n"/>
      <c r="Y12" s="461" t="n"/>
      <c r="Z12" s="461" t="n"/>
      <c r="AA12" s="461" t="n"/>
      <c r="AB12" s="648" t="n"/>
      <c r="AC12" s="461" t="n"/>
      <c r="AD12" s="461" t="n"/>
      <c r="AE12" s="461" t="n"/>
      <c r="AF12" s="461" t="n"/>
      <c r="AG12" s="648" t="n"/>
      <c r="AH12" s="461" t="n"/>
      <c r="AI12" s="461" t="n"/>
      <c r="AJ12" s="461" t="n"/>
      <c r="AK12" s="461" t="n"/>
      <c r="AL12" s="648" t="n"/>
    </row>
    <row r="13" ht="15" customHeight="1" s="462">
      <c r="A13" s="491" t="inlineStr">
        <is>
          <t>Segment Results (EBIT)</t>
        </is>
      </c>
      <c r="B13" s="655" t="n"/>
      <c r="C13" s="524" t="n"/>
      <c r="D13" s="521" t="n"/>
      <c r="E13" s="521" t="n"/>
      <c r="F13" s="521" t="n"/>
      <c r="G13" s="521" t="n"/>
      <c r="H13" s="524" t="n"/>
      <c r="I13" s="461" t="n"/>
      <c r="J13" s="461" t="n"/>
      <c r="K13" s="461" t="n"/>
      <c r="L13" s="461" t="n"/>
      <c r="M13" s="648" t="n"/>
      <c r="N13" s="529" t="n"/>
      <c r="O13" s="529" t="n"/>
      <c r="P13" s="529" t="n"/>
      <c r="Q13" s="529" t="n"/>
      <c r="R13" s="529" t="n"/>
      <c r="S13" s="529" t="n"/>
      <c r="T13" s="461" t="n"/>
      <c r="U13" s="461" t="n"/>
      <c r="V13" s="461" t="n"/>
      <c r="W13" s="648" t="n"/>
      <c r="X13" s="461" t="n"/>
      <c r="Y13" s="461" t="n"/>
      <c r="Z13" s="461" t="n"/>
      <c r="AA13" s="461" t="n"/>
      <c r="AB13" s="648" t="n"/>
      <c r="AC13" s="461" t="n"/>
      <c r="AD13" s="461" t="n"/>
      <c r="AE13" s="461" t="n"/>
      <c r="AF13" s="461" t="n"/>
      <c r="AG13" s="648" t="n"/>
      <c r="AH13" s="461" t="n"/>
      <c r="AI13" s="461" t="n"/>
      <c r="AJ13" s="461" t="n"/>
      <c r="AK13" s="461" t="n"/>
      <c r="AL13" s="648" t="n"/>
    </row>
    <row r="14" ht="15" customHeight="1" s="462">
      <c r="A14" s="461" t="inlineStr">
        <is>
          <t xml:space="preserve">India </t>
        </is>
      </c>
      <c r="B14" s="576" t="n">
        <v>572.8</v>
      </c>
      <c r="C14" s="576" t="n">
        <v>1357.5</v>
      </c>
      <c r="D14" s="576" t="n">
        <v>2450.4</v>
      </c>
      <c r="E14" s="651" t="n">
        <v>3545.1</v>
      </c>
      <c r="F14" s="521" t="n"/>
      <c r="G14" s="521" t="n"/>
      <c r="H14" s="524" t="n"/>
      <c r="I14" s="461" t="n"/>
      <c r="J14" s="461" t="n"/>
      <c r="K14" s="461" t="n"/>
      <c r="L14" s="461" t="n"/>
      <c r="M14" s="648" t="n"/>
      <c r="N14" s="529" t="n"/>
      <c r="O14" s="529" t="n"/>
      <c r="P14" s="529" t="n"/>
      <c r="Q14" s="529" t="n"/>
      <c r="R14" s="529" t="n"/>
      <c r="S14" s="529" t="n"/>
      <c r="T14" s="461" t="n"/>
      <c r="U14" s="461" t="n"/>
      <c r="V14" s="461" t="n"/>
      <c r="W14" s="648" t="n"/>
      <c r="X14" s="461" t="n"/>
      <c r="Y14" s="461" t="n"/>
      <c r="Z14" s="461" t="n"/>
      <c r="AA14" s="461" t="n"/>
      <c r="AB14" s="648" t="n"/>
      <c r="AC14" s="461" t="n"/>
      <c r="AD14" s="461" t="n"/>
      <c r="AE14" s="461" t="n"/>
      <c r="AF14" s="461" t="n"/>
      <c r="AG14" s="648" t="n"/>
      <c r="AH14" s="461" t="n"/>
      <c r="AI14" s="461" t="n"/>
      <c r="AJ14" s="461" t="n"/>
      <c r="AK14" s="461" t="n"/>
      <c r="AL14" s="648" t="n"/>
    </row>
    <row r="15" ht="15" customHeight="1" s="462">
      <c r="A15" s="461" t="inlineStr">
        <is>
          <t>China</t>
        </is>
      </c>
      <c r="B15" s="576" t="n">
        <v>-32.8</v>
      </c>
      <c r="C15" s="576" t="n">
        <v>-101.7</v>
      </c>
      <c r="D15" s="576" t="n">
        <v>-129</v>
      </c>
      <c r="E15" s="651" t="n">
        <v>525.9</v>
      </c>
      <c r="F15" s="521" t="n"/>
      <c r="G15" s="521" t="n"/>
      <c r="H15" s="524" t="n"/>
      <c r="I15" s="461" t="n"/>
      <c r="J15" s="461" t="n"/>
      <c r="K15" s="461" t="n"/>
      <c r="L15" s="461" t="n"/>
      <c r="M15" s="648" t="n"/>
      <c r="N15" s="529" t="n"/>
      <c r="O15" s="529" t="n"/>
      <c r="P15" s="529" t="n"/>
      <c r="Q15" s="529" t="n"/>
      <c r="R15" s="529" t="n"/>
      <c r="S15" s="529" t="n"/>
      <c r="T15" s="461" t="n"/>
      <c r="U15" s="461" t="n"/>
      <c r="V15" s="461" t="n"/>
      <c r="W15" s="648" t="n"/>
      <c r="X15" s="461" t="n"/>
      <c r="Y15" s="461" t="n"/>
      <c r="Z15" s="461" t="n"/>
      <c r="AA15" s="461" t="n"/>
      <c r="AB15" s="648" t="n"/>
      <c r="AC15" s="461" t="n"/>
      <c r="AD15" s="461" t="n"/>
      <c r="AE15" s="461" t="n"/>
      <c r="AF15" s="461" t="n"/>
      <c r="AG15" s="648" t="n"/>
      <c r="AH15" s="461" t="n"/>
      <c r="AI15" s="461" t="n"/>
      <c r="AJ15" s="461" t="n"/>
      <c r="AK15" s="461" t="n"/>
      <c r="AL15" s="648" t="n"/>
    </row>
    <row r="16" ht="15" customHeight="1" s="462">
      <c r="A16" s="461" t="inlineStr">
        <is>
          <t>Rest of the World</t>
        </is>
      </c>
      <c r="B16" s="576" t="n">
        <v>-104.1</v>
      </c>
      <c r="C16" s="576" t="n">
        <v>82</v>
      </c>
      <c r="D16" s="576" t="n">
        <v>-18.1</v>
      </c>
      <c r="E16" s="576" t="n">
        <v>-332.4</v>
      </c>
      <c r="F16" s="521" t="n"/>
      <c r="G16" s="521" t="n"/>
      <c r="H16" s="521" t="n"/>
      <c r="I16" s="461" t="n"/>
      <c r="J16" s="461" t="n"/>
      <c r="K16" s="461" t="n"/>
      <c r="L16" s="461" t="n"/>
      <c r="M16" s="461" t="n"/>
      <c r="N16" s="461" t="n"/>
      <c r="O16" s="461" t="n"/>
      <c r="P16" s="461" t="n"/>
      <c r="Q16" s="461" t="n"/>
      <c r="R16" s="461" t="n"/>
      <c r="S16" s="461" t="n"/>
      <c r="T16" s="461" t="n"/>
      <c r="U16" s="461" t="n"/>
      <c r="V16" s="461" t="n"/>
      <c r="W16" s="461" t="n"/>
      <c r="X16" s="461" t="n"/>
      <c r="Y16" s="461" t="n"/>
      <c r="Z16" s="461" t="n"/>
      <c r="AA16" s="461" t="n"/>
      <c r="AB16" s="461" t="n"/>
      <c r="AC16" s="461" t="n"/>
      <c r="AD16" s="461" t="n"/>
      <c r="AE16" s="461" t="n"/>
      <c r="AF16" s="461" t="n"/>
      <c r="AG16" s="461" t="n"/>
      <c r="AH16" s="461" t="n"/>
      <c r="AI16" s="461" t="n"/>
      <c r="AJ16" s="461" t="n"/>
      <c r="AK16" s="461" t="n"/>
      <c r="AL16" s="461" t="n"/>
    </row>
    <row r="17" ht="15" customHeight="1" s="462">
      <c r="A17" s="461" t="inlineStr">
        <is>
          <t>Add: Eliminations (for inter-segment sales)</t>
        </is>
      </c>
      <c r="B17" s="576" t="n">
        <v>47.1</v>
      </c>
      <c r="C17" s="576" t="n">
        <v>208.7</v>
      </c>
      <c r="D17" s="576" t="n">
        <v>139.1</v>
      </c>
      <c r="E17" s="576" t="n">
        <v>-453.6</v>
      </c>
      <c r="F17" s="521" t="n"/>
      <c r="G17" s="521" t="n"/>
      <c r="H17" s="521" t="n"/>
      <c r="I17" s="461" t="n"/>
      <c r="J17" s="461" t="n"/>
      <c r="K17" s="461" t="n"/>
      <c r="L17" s="461" t="n"/>
      <c r="M17" s="461" t="n"/>
      <c r="N17" s="461" t="n"/>
      <c r="O17" s="461" t="n"/>
      <c r="P17" s="461" t="n"/>
      <c r="Q17" s="461" t="n"/>
      <c r="R17" s="461" t="n"/>
      <c r="S17" s="461" t="n"/>
      <c r="T17" s="461" t="n"/>
      <c r="U17" s="461" t="n"/>
      <c r="V17" s="461" t="n"/>
      <c r="W17" s="461" t="n"/>
      <c r="X17" s="461" t="n"/>
      <c r="Y17" s="461" t="n"/>
      <c r="Z17" s="461" t="n"/>
      <c r="AA17" s="461" t="n"/>
      <c r="AB17" s="461" t="n"/>
      <c r="AC17" s="461" t="n"/>
      <c r="AD17" s="461" t="n"/>
      <c r="AE17" s="461" t="n"/>
      <c r="AF17" s="461" t="n"/>
      <c r="AG17" s="461" t="n"/>
      <c r="AH17" s="461" t="n"/>
      <c r="AI17" s="461" t="n"/>
      <c r="AJ17" s="461" t="n"/>
      <c r="AK17" s="461" t="n"/>
      <c r="AL17" s="461" t="n"/>
    </row>
    <row r="18" ht="15" customHeight="1" s="462">
      <c r="A18" s="522" t="inlineStr">
        <is>
          <t>Consolidated</t>
        </is>
      </c>
      <c r="B18" s="527" t="n">
        <v>483</v>
      </c>
      <c r="C18" s="527" t="n">
        <v>1546.5</v>
      </c>
      <c r="D18" s="524" t="n">
        <v>2442.4</v>
      </c>
      <c r="E18" s="524" t="n">
        <v>3285</v>
      </c>
      <c r="F18" s="521" t="n"/>
      <c r="G18" s="521" t="n"/>
      <c r="H18" s="521" t="n"/>
      <c r="I18" s="461" t="n"/>
      <c r="J18" s="461" t="n"/>
      <c r="K18" s="461" t="n"/>
      <c r="L18" s="461" t="n"/>
      <c r="M18" s="461" t="n"/>
      <c r="N18" s="461" t="n"/>
      <c r="O18" s="461" t="n"/>
      <c r="P18" s="461" t="n"/>
      <c r="Q18" s="461" t="n"/>
      <c r="R18" s="461" t="n"/>
      <c r="S18" s="461" t="n"/>
      <c r="T18" s="461" t="n"/>
      <c r="U18" s="461" t="n"/>
      <c r="V18" s="461" t="n"/>
      <c r="W18" s="461" t="n"/>
      <c r="X18" s="461" t="n"/>
      <c r="Y18" s="461" t="n"/>
      <c r="Z18" s="461" t="n"/>
      <c r="AA18" s="461" t="n"/>
      <c r="AB18" s="461" t="n"/>
      <c r="AC18" s="461" t="n"/>
      <c r="AD18" s="461" t="n"/>
      <c r="AE18" s="461" t="n"/>
      <c r="AF18" s="461" t="n"/>
      <c r="AG18" s="461" t="n"/>
      <c r="AH18" s="461" t="n"/>
      <c r="AI18" s="461" t="n"/>
      <c r="AJ18" s="461" t="n"/>
      <c r="AK18" s="461" t="n"/>
      <c r="AL18" s="461" t="n"/>
    </row>
    <row r="19" ht="15" customHeight="1" s="462">
      <c r="B19" s="521" t="n"/>
      <c r="C19" s="521" t="n"/>
      <c r="D19" s="521" t="n"/>
      <c r="E19" s="521" t="n"/>
      <c r="F19" s="521" t="n"/>
      <c r="G19" s="521" t="n"/>
      <c r="H19" s="521" t="n"/>
    </row>
    <row r="20" ht="15" customHeight="1" s="462">
      <c r="A20" s="491" t="inlineStr">
        <is>
          <t>Capital Expenditure</t>
        </is>
      </c>
      <c r="B20" s="655" t="n"/>
      <c r="C20" s="521" t="n"/>
      <c r="D20" s="521" t="n"/>
      <c r="E20" s="521" t="n"/>
      <c r="F20" s="521" t="n"/>
      <c r="G20" s="521" t="n"/>
      <c r="H20" s="521" t="n"/>
    </row>
    <row r="21" ht="15" customHeight="1" s="462">
      <c r="A21" s="461" t="inlineStr">
        <is>
          <t xml:space="preserve">India </t>
        </is>
      </c>
      <c r="B21" s="576" t="n">
        <v>2275.2</v>
      </c>
      <c r="C21" s="576" t="n">
        <v>1549</v>
      </c>
      <c r="D21" s="576" t="n">
        <v>1801.3</v>
      </c>
      <c r="E21" s="576" t="n">
        <v>1322.2</v>
      </c>
      <c r="F21" s="521" t="n"/>
      <c r="G21" s="521" t="n"/>
      <c r="H21" s="521" t="n"/>
    </row>
    <row r="22" ht="15" customHeight="1" s="462">
      <c r="A22" s="461" t="inlineStr">
        <is>
          <t>China</t>
        </is>
      </c>
      <c r="B22" s="576" t="n">
        <v>459.2</v>
      </c>
      <c r="C22" s="576" t="n">
        <v>262.8</v>
      </c>
      <c r="D22" s="576" t="n">
        <v>191.4</v>
      </c>
      <c r="E22" s="576" t="n">
        <v>494.2</v>
      </c>
      <c r="F22" s="521" t="n"/>
      <c r="G22" s="521" t="n"/>
      <c r="H22" s="521" t="n"/>
    </row>
    <row r="23" ht="15" customHeight="1" s="462">
      <c r="A23" s="461" t="inlineStr">
        <is>
          <t>Rest of the World</t>
        </is>
      </c>
      <c r="B23" s="576" t="n">
        <v>568.1</v>
      </c>
      <c r="C23" s="576" t="n">
        <v>257.7</v>
      </c>
      <c r="D23" s="576" t="n">
        <v>1494.8</v>
      </c>
      <c r="E23" s="576" t="n">
        <v>707.8</v>
      </c>
      <c r="F23" s="521" t="n"/>
      <c r="G23" s="521" t="n"/>
      <c r="H23" s="521" t="n"/>
    </row>
    <row r="24" ht="15" customHeight="1" s="462">
      <c r="A24" s="461" t="inlineStr">
        <is>
          <t>Less: Eliminations (for inter-segment sales)</t>
        </is>
      </c>
      <c r="B24" s="576" t="n">
        <v>0</v>
      </c>
      <c r="C24" s="576" t="n">
        <v>0</v>
      </c>
      <c r="D24" s="576" t="n">
        <v>0</v>
      </c>
      <c r="E24" s="576" t="n">
        <v>0</v>
      </c>
      <c r="F24" s="521" t="n"/>
      <c r="G24" s="521" t="n"/>
      <c r="H24" s="521" t="n"/>
    </row>
    <row r="25" ht="15" customHeight="1" s="462">
      <c r="A25" s="522" t="inlineStr">
        <is>
          <t>Consolidated</t>
        </is>
      </c>
      <c r="B25" s="524" t="n">
        <v>3302.5</v>
      </c>
      <c r="C25" s="524" t="n">
        <v>2069.5</v>
      </c>
      <c r="D25" s="524" t="n">
        <v>3487.5</v>
      </c>
      <c r="E25" s="524" t="n">
        <v>2524.2</v>
      </c>
      <c r="F25" s="521" t="n"/>
      <c r="G25" s="521" t="n"/>
      <c r="H25" s="521" t="n"/>
    </row>
    <row r="26" ht="15" customHeight="1" s="462">
      <c r="A26" s="522" t="n"/>
      <c r="B26" s="583" t="n"/>
      <c r="C26" s="521" t="n"/>
      <c r="D26" s="521" t="n"/>
      <c r="E26" s="521" t="n"/>
      <c r="F26" s="521" t="n"/>
      <c r="G26" s="521" t="n"/>
      <c r="H26" s="521" t="n"/>
    </row>
    <row r="27" ht="15" customHeight="1" s="462">
      <c r="A27" s="491" t="inlineStr">
        <is>
          <t>Depreciation / Amortization</t>
        </is>
      </c>
      <c r="B27" s="655" t="n"/>
      <c r="C27" s="521" t="n"/>
      <c r="D27" s="656" t="n"/>
      <c r="E27" s="521" t="n"/>
      <c r="F27" s="521" t="n"/>
      <c r="G27" s="521" t="n"/>
      <c r="H27" s="521" t="n"/>
    </row>
    <row r="28" ht="15" customHeight="1" s="462">
      <c r="A28" s="461" t="inlineStr">
        <is>
          <t xml:space="preserve">India </t>
        </is>
      </c>
      <c r="B28" s="576" t="n">
        <v>445.1</v>
      </c>
      <c r="C28" s="576" t="n">
        <v>511.3</v>
      </c>
      <c r="D28" s="576" t="n">
        <v>718.4</v>
      </c>
      <c r="E28" s="576" t="n">
        <v>746</v>
      </c>
      <c r="F28" s="521" t="n"/>
      <c r="G28" s="521" t="n"/>
      <c r="H28" s="521" t="n"/>
    </row>
    <row r="29" ht="15" customHeight="1" s="462">
      <c r="A29" s="461" t="inlineStr">
        <is>
          <t>China</t>
        </is>
      </c>
      <c r="B29" s="576" t="n">
        <v>177.2</v>
      </c>
      <c r="C29" s="576" t="n">
        <v>200.8</v>
      </c>
      <c r="D29" s="576" t="n">
        <v>258.9</v>
      </c>
      <c r="E29" s="576" t="n">
        <v>225.4</v>
      </c>
      <c r="F29" s="521" t="n"/>
      <c r="G29" s="521" t="n"/>
      <c r="H29" s="521" t="n"/>
    </row>
    <row r="30" ht="15" customHeight="1" s="462">
      <c r="A30" s="461" t="inlineStr">
        <is>
          <t>Rest of the World</t>
        </is>
      </c>
      <c r="B30" s="576" t="n">
        <v>24.4</v>
      </c>
      <c r="C30" s="576" t="n">
        <v>9.199999999999999</v>
      </c>
      <c r="D30" s="576" t="n">
        <v>19.9</v>
      </c>
      <c r="E30" s="576" t="n">
        <v>77.59999999999999</v>
      </c>
      <c r="F30" s="521" t="n"/>
      <c r="G30" s="521" t="n"/>
      <c r="H30" s="521" t="n"/>
    </row>
    <row r="31" ht="15" customHeight="1" s="462">
      <c r="A31" s="461" t="inlineStr">
        <is>
          <t>Less: Eliminations (for inter-segment sales)</t>
        </is>
      </c>
      <c r="B31" s="576" t="n">
        <v>0</v>
      </c>
      <c r="C31" s="576" t="n">
        <v>0</v>
      </c>
      <c r="D31" s="576" t="n">
        <v>0</v>
      </c>
      <c r="E31" s="576" t="n">
        <v>-45.2</v>
      </c>
      <c r="F31" s="521" t="n"/>
      <c r="G31" s="521" t="n"/>
      <c r="H31" s="521" t="n"/>
    </row>
    <row r="32" ht="15" customHeight="1" s="462">
      <c r="A32" s="522" t="inlineStr">
        <is>
          <t>Consolidated</t>
        </is>
      </c>
      <c r="B32" s="524" t="n">
        <v>646.7</v>
      </c>
      <c r="C32" s="524" t="n">
        <v>721.3</v>
      </c>
      <c r="D32" s="524" t="n">
        <v>997.2</v>
      </c>
      <c r="E32" s="524" t="n">
        <v>1003.8</v>
      </c>
      <c r="F32" s="521" t="n"/>
      <c r="G32" s="521" t="n"/>
      <c r="H32" s="521" t="n"/>
    </row>
    <row r="33" ht="15.75" customHeight="1" s="462">
      <c r="A33" s="489" t="n"/>
      <c r="B33" s="531" t="n"/>
      <c r="C33" s="489" t="n"/>
      <c r="D33" s="489" t="n"/>
      <c r="E33" s="489" t="n"/>
      <c r="F33" s="489" t="n"/>
      <c r="G33" s="489" t="n"/>
      <c r="H33" s="489" t="n"/>
      <c r="I33" s="489" t="n"/>
      <c r="J33" s="489" t="n"/>
      <c r="K33" s="489" t="n"/>
      <c r="L33" s="489" t="n"/>
    </row>
    <row r="34" ht="15" customHeight="1" s="462">
      <c r="B34" s="521" t="n"/>
      <c r="C34" s="521" t="n"/>
      <c r="D34" s="521" t="n"/>
      <c r="E34" s="521" t="n"/>
      <c r="F34" s="521" t="n"/>
      <c r="G34" s="521" t="n"/>
      <c r="H34" s="521" t="n"/>
    </row>
    <row r="35" ht="15" customHeight="1" s="462">
      <c r="A35" s="491" t="inlineStr">
        <is>
          <t>Geographic Revenues as a % of Total</t>
        </is>
      </c>
      <c r="B35" s="655" t="n"/>
      <c r="C35" s="521" t="n"/>
      <c r="D35" s="521" t="n"/>
      <c r="E35" s="521" t="n"/>
      <c r="F35" s="521" t="n"/>
      <c r="G35" s="521" t="n"/>
      <c r="H35" s="521" t="n"/>
    </row>
    <row r="36" ht="15" customHeight="1" s="462">
      <c r="A36" s="461" t="inlineStr">
        <is>
          <t xml:space="preserve">India </t>
        </is>
      </c>
      <c r="B36" s="529" t="n">
        <v>0.806930992736078</v>
      </c>
      <c r="C36" s="529" t="n">
        <v>0.784846982636906</v>
      </c>
      <c r="D36" s="529" t="n">
        <v>0.7547811504908331</v>
      </c>
      <c r="E36" s="529" t="n">
        <v>0.782392544849953</v>
      </c>
      <c r="F36" s="657" t="n">
        <v>0.782392544849953</v>
      </c>
      <c r="G36" s="657" t="n">
        <v>0.8</v>
      </c>
      <c r="H36" s="657" t="n">
        <v>0.8100000000000001</v>
      </c>
      <c r="I36" s="657" t="n">
        <v>0.79</v>
      </c>
      <c r="J36" s="657" t="n">
        <v>0.78</v>
      </c>
      <c r="K36" s="657" t="n">
        <v>0.8</v>
      </c>
    </row>
    <row r="37" ht="15" customHeight="1" s="462">
      <c r="A37" s="461" t="inlineStr">
        <is>
          <t>China</t>
        </is>
      </c>
      <c r="B37" s="529" t="n">
        <v>0.09325817191283289</v>
      </c>
      <c r="C37" s="529" t="n">
        <v>0.081989947352238</v>
      </c>
      <c r="D37" s="529" t="n">
        <v>0.0459744126015111</v>
      </c>
      <c r="E37" s="529" t="n">
        <v>0.011732829754916</v>
      </c>
      <c r="F37" s="657" t="n">
        <v>0.011732829754916</v>
      </c>
      <c r="G37" s="657" t="n">
        <v>0.011732829754916</v>
      </c>
      <c r="H37" s="657" t="n">
        <v>0.011732829754916</v>
      </c>
      <c r="I37" s="657" t="n">
        <v>0.011732829754916</v>
      </c>
      <c r="J37" s="657" t="n">
        <v>0.011732829754916</v>
      </c>
      <c r="K37" s="657" t="n">
        <v>0.011732829754916</v>
      </c>
    </row>
    <row r="38" ht="15" customHeight="1" s="462">
      <c r="A38" s="461" t="inlineStr">
        <is>
          <t>Rest of the World</t>
        </is>
      </c>
      <c r="B38" s="529" t="n">
        <v>0.0998108353510896</v>
      </c>
      <c r="C38" s="529" t="n">
        <v>0.133163070010856</v>
      </c>
      <c r="D38" s="529" t="n">
        <v>0.199244436907656</v>
      </c>
      <c r="E38" s="529" t="n">
        <v>0.205874625395131</v>
      </c>
      <c r="F38" s="657" t="n">
        <v>0.205874625395131</v>
      </c>
      <c r="G38" s="657" t="n">
        <v>0.19</v>
      </c>
      <c r="H38" s="657" t="n">
        <v>0.18</v>
      </c>
      <c r="I38" s="657" t="n">
        <v>0.2</v>
      </c>
      <c r="J38" s="657" t="n">
        <v>0.21</v>
      </c>
      <c r="K38" s="657" t="n">
        <v>0.19</v>
      </c>
    </row>
    <row r="39" ht="15" customHeight="1" s="462">
      <c r="A39" s="522" t="inlineStr">
        <is>
          <t>Consolidated</t>
        </is>
      </c>
      <c r="B39" s="529" t="n">
        <v>1</v>
      </c>
      <c r="C39" s="529" t="n">
        <v>1</v>
      </c>
      <c r="D39" s="529" t="n">
        <v>1</v>
      </c>
      <c r="E39" s="529" t="n">
        <v>1</v>
      </c>
      <c r="F39" s="529" t="n">
        <v>1</v>
      </c>
      <c r="G39" s="529" t="n">
        <v>1</v>
      </c>
      <c r="H39" s="529" t="n">
        <v>1</v>
      </c>
      <c r="I39" s="529" t="n">
        <v>1</v>
      </c>
      <c r="J39" s="529" t="n">
        <v>1</v>
      </c>
      <c r="K39" s="529" t="n">
        <v>1</v>
      </c>
    </row>
    <row r="40" ht="15" customHeight="1" s="462">
      <c r="B40" s="521" t="n"/>
      <c r="C40" s="521" t="n"/>
      <c r="D40" s="521" t="n"/>
      <c r="E40" s="521" t="n"/>
      <c r="F40" s="521" t="n"/>
      <c r="G40" s="521" t="n"/>
      <c r="H40" s="521" t="n"/>
    </row>
    <row r="41" ht="15" customHeight="1" s="462">
      <c r="B41" s="521" t="n"/>
      <c r="C41" s="521" t="n"/>
      <c r="D41" s="521" t="n"/>
      <c r="E41" s="521" t="n"/>
      <c r="F41" s="521" t="n"/>
      <c r="G41" s="521" t="n"/>
      <c r="H41" s="521" t="n"/>
    </row>
    <row r="42" ht="15" customHeight="1" s="462">
      <c r="A42" s="491" t="inlineStr">
        <is>
          <t>Y/Y (%) Growth in Geographic Revenues</t>
        </is>
      </c>
      <c r="B42" s="655" t="n"/>
      <c r="C42" s="521" t="n"/>
      <c r="D42" s="521" t="n"/>
      <c r="E42" s="521" t="n"/>
      <c r="F42" s="521" t="n"/>
      <c r="G42" s="521" t="n"/>
      <c r="H42" s="521" t="n"/>
    </row>
    <row r="43" ht="15" customHeight="1" s="462">
      <c r="A43" s="461" t="inlineStr">
        <is>
          <t xml:space="preserve">India </t>
        </is>
      </c>
      <c r="B43" s="521" t="n"/>
      <c r="C43" s="529" t="n">
        <v>0.172817973819437</v>
      </c>
      <c r="D43" s="529" t="n">
        <v>0.28111358076019</v>
      </c>
      <c r="E43" s="529" t="n">
        <v>0.189404246289801</v>
      </c>
      <c r="F43" s="529" t="n">
        <v>0.282582618334086</v>
      </c>
      <c r="G43" s="529" t="n">
        <v>0.288355834465823</v>
      </c>
      <c r="H43" s="529" t="n">
        <v>0.2555</v>
      </c>
      <c r="I43" s="529" t="n">
        <v>0.209382716049383</v>
      </c>
      <c r="J43" s="529" t="n">
        <v>0.204556962025316</v>
      </c>
      <c r="K43" s="529" t="n">
        <v>0.230769230769231</v>
      </c>
    </row>
    <row r="44" ht="15" customHeight="1" s="462">
      <c r="A44" s="461" t="inlineStr">
        <is>
          <t>China</t>
        </is>
      </c>
      <c r="B44" s="521" t="n"/>
      <c r="C44" s="529" t="n">
        <v>0.0601217038539552</v>
      </c>
      <c r="D44" s="529" t="n">
        <v>-0.253023113424154</v>
      </c>
      <c r="E44" s="529" t="n">
        <v>-0.707172131147541</v>
      </c>
      <c r="F44" s="529" t="n">
        <v>0.282582618334086</v>
      </c>
      <c r="G44" s="529" t="n">
        <v>0.26</v>
      </c>
      <c r="H44" s="529" t="n">
        <v>0.24</v>
      </c>
      <c r="I44" s="529" t="n">
        <v>0.24</v>
      </c>
      <c r="J44" s="529" t="n">
        <v>0.22</v>
      </c>
      <c r="K44" s="529" t="n">
        <v>0.2</v>
      </c>
    </row>
    <row r="45" ht="15" customHeight="1" s="462">
      <c r="A45" s="461" t="inlineStr">
        <is>
          <t>Rest of the World</t>
        </is>
      </c>
      <c r="B45" s="521" t="n"/>
      <c r="C45" s="529" t="n">
        <v>0.608748389053142</v>
      </c>
      <c r="D45" s="529" t="n">
        <v>0.993214268884596</v>
      </c>
      <c r="E45" s="529" t="n">
        <v>0.185611612842215</v>
      </c>
      <c r="F45" s="529" t="n">
        <v>0.282582618334086</v>
      </c>
      <c r="G45" s="529" t="n">
        <v>0.162843645935113</v>
      </c>
      <c r="H45" s="529" t="n">
        <v>0.174736842105263</v>
      </c>
      <c r="I45" s="529" t="n">
        <v>0.377777777777778</v>
      </c>
      <c r="J45" s="529" t="n">
        <v>0.281</v>
      </c>
      <c r="K45" s="529" t="n">
        <v>0.0857142857142859</v>
      </c>
    </row>
    <row r="46" ht="15" customHeight="1" s="462">
      <c r="A46" s="522" t="inlineStr">
        <is>
          <t>Consolidated</t>
        </is>
      </c>
      <c r="B46" s="583" t="n"/>
      <c r="C46" s="529" t="n">
        <v>0.205818704600484</v>
      </c>
      <c r="D46" s="529" t="n">
        <v>0.332145255112606</v>
      </c>
      <c r="E46" s="529" t="n">
        <v>0.147429012869067</v>
      </c>
      <c r="F46" s="529" t="n">
        <v>0.282582618334086</v>
      </c>
      <c r="G46" s="657" t="n">
        <v>0.26</v>
      </c>
      <c r="H46" s="657" t="n">
        <v>0.24</v>
      </c>
      <c r="I46" s="657" t="n">
        <v>0.24</v>
      </c>
      <c r="J46" s="657" t="n">
        <v>0.22</v>
      </c>
      <c r="K46" s="657" t="n">
        <v>0.2</v>
      </c>
    </row>
    <row r="47" ht="15.75" customHeight="1" s="462">
      <c r="A47" s="489" t="n"/>
      <c r="B47" s="531" t="n"/>
      <c r="C47" s="489" t="n"/>
      <c r="D47" s="489" t="n"/>
      <c r="E47" s="489" t="n"/>
      <c r="F47" s="489" t="n"/>
      <c r="G47" s="489" t="n"/>
      <c r="H47" s="489" t="n"/>
      <c r="I47" s="489" t="n"/>
      <c r="J47" s="489" t="n"/>
      <c r="K47" s="489" t="n"/>
      <c r="L47" s="489" t="n"/>
    </row>
    <row r="48" ht="15" customHeight="1" s="462">
      <c r="B48" s="521" t="n"/>
      <c r="C48" s="521" t="n"/>
      <c r="D48" s="521" t="n"/>
      <c r="E48" s="521" t="n"/>
      <c r="F48" s="521" t="n"/>
      <c r="G48" s="658" t="n"/>
      <c r="H48" s="658" t="n"/>
      <c r="I48" s="658" t="n"/>
      <c r="J48" s="658" t="n"/>
      <c r="K48" s="658" t="n"/>
    </row>
    <row r="49" ht="15" customHeight="1" s="462">
      <c r="B49" s="521" t="n"/>
      <c r="C49" s="521" t="n"/>
      <c r="D49" s="521" t="n"/>
      <c r="E49" s="521" t="n"/>
      <c r="F49" s="521" t="n"/>
      <c r="G49" s="658" t="n"/>
      <c r="H49" s="658" t="n"/>
      <c r="I49" s="658" t="n"/>
      <c r="J49" s="658" t="n"/>
      <c r="K49" s="658" t="n"/>
    </row>
    <row r="50" ht="15" customHeight="1" s="462">
      <c r="B50" s="521" t="n"/>
      <c r="C50" s="521" t="n"/>
      <c r="D50" s="521" t="n"/>
      <c r="E50" s="521" t="n"/>
      <c r="F50" s="521" t="n"/>
      <c r="G50" s="521" t="n"/>
      <c r="H50" s="521" t="n"/>
    </row>
    <row r="51" ht="15" customHeight="1" s="462">
      <c r="B51" s="521" t="n"/>
      <c r="C51" s="521" t="n"/>
      <c r="D51" s="521" t="n"/>
      <c r="E51" s="521" t="n"/>
      <c r="F51" s="521" t="n"/>
      <c r="G51" s="521" t="n"/>
      <c r="H51" s="521" t="n"/>
    </row>
    <row r="52" ht="15" customHeight="1" s="462">
      <c r="B52" s="521" t="n"/>
      <c r="C52" s="521" t="n"/>
      <c r="D52" s="521" t="n"/>
      <c r="E52" s="521" t="n"/>
      <c r="F52" s="521" t="n"/>
      <c r="G52" s="521" t="n"/>
      <c r="H52" s="521" t="n"/>
    </row>
    <row r="53" ht="15" customHeight="1" s="462">
      <c r="B53" s="521" t="n"/>
      <c r="C53" s="521" t="n"/>
      <c r="D53" s="521" t="n"/>
      <c r="E53" s="521" t="n"/>
      <c r="F53" s="521" t="n"/>
      <c r="G53" s="521" t="n"/>
      <c r="H53" s="521" t="n"/>
    </row>
    <row r="54" ht="15" customHeight="1" s="462">
      <c r="B54" s="521" t="n"/>
      <c r="C54" s="521" t="n"/>
      <c r="D54" s="521" t="n"/>
      <c r="E54" s="521" t="n"/>
      <c r="F54" s="521" t="n"/>
      <c r="G54" s="521" t="n"/>
      <c r="H54" s="521" t="n"/>
    </row>
    <row r="55" ht="15" customHeight="1" s="462">
      <c r="B55" s="521" t="n"/>
      <c r="C55" s="521" t="n"/>
      <c r="D55" s="521" t="n"/>
      <c r="E55" s="521" t="n"/>
      <c r="F55" s="521" t="n"/>
      <c r="G55" s="521" t="n"/>
      <c r="H55" s="521" t="n"/>
    </row>
    <row r="56" ht="15" customHeight="1" s="462">
      <c r="B56" s="521" t="n"/>
      <c r="C56" s="521" t="n"/>
      <c r="D56" s="521" t="n"/>
      <c r="E56" s="521" t="n"/>
      <c r="F56" s="521" t="n"/>
      <c r="G56" s="521" t="n"/>
      <c r="H56" s="521" t="n"/>
    </row>
    <row r="57" ht="15" customHeight="1" s="462">
      <c r="B57" s="521" t="n"/>
      <c r="C57" s="521" t="n"/>
      <c r="D57" s="521" t="n"/>
      <c r="E57" s="521" t="n"/>
      <c r="F57" s="521" t="n"/>
      <c r="G57" s="521" t="n"/>
      <c r="H57" s="521" t="n"/>
    </row>
    <row r="58" ht="15" customHeight="1" s="462">
      <c r="B58" s="521" t="n"/>
      <c r="C58" s="521" t="n"/>
      <c r="D58" s="521" t="n"/>
      <c r="E58" s="521" t="n"/>
      <c r="F58" s="521" t="n"/>
      <c r="G58" s="521" t="n"/>
      <c r="H58" s="521" t="n"/>
    </row>
    <row r="59" ht="15" customHeight="1" s="462">
      <c r="B59" s="521" t="n"/>
      <c r="C59" s="521" t="n"/>
      <c r="D59" s="521" t="n"/>
      <c r="E59" s="521" t="n"/>
      <c r="F59" s="521" t="n"/>
      <c r="G59" s="521" t="n"/>
      <c r="H59" s="521" t="n"/>
    </row>
    <row r="60" ht="15" customHeight="1" s="462">
      <c r="B60" s="521" t="n"/>
      <c r="C60" s="521" t="n"/>
      <c r="D60" s="521" t="n"/>
      <c r="E60" s="521" t="n"/>
      <c r="F60" s="521" t="n"/>
      <c r="G60" s="521" t="n"/>
      <c r="H60" s="521" t="n"/>
    </row>
    <row r="61" ht="15" customHeight="1" s="462">
      <c r="B61" s="521" t="n"/>
      <c r="C61" s="521" t="n"/>
      <c r="D61" s="521" t="n"/>
      <c r="E61" s="521" t="n"/>
      <c r="F61" s="521" t="n"/>
      <c r="G61" s="521" t="n"/>
      <c r="H61" s="521" t="n"/>
    </row>
    <row r="62" ht="15" customHeight="1" s="462">
      <c r="B62" s="521" t="n"/>
      <c r="C62" s="521" t="n"/>
      <c r="D62" s="521" t="n"/>
      <c r="E62" s="521" t="n"/>
      <c r="F62" s="521" t="n"/>
      <c r="G62" s="521" t="n"/>
      <c r="H62" s="521" t="n"/>
    </row>
    <row r="63" ht="15" customHeight="1" s="462">
      <c r="B63" s="521" t="n"/>
      <c r="C63" s="521" t="n"/>
      <c r="D63" s="521" t="n"/>
      <c r="E63" s="521" t="n"/>
      <c r="F63" s="521" t="n"/>
      <c r="G63" s="521" t="n"/>
      <c r="H63" s="521" t="n"/>
    </row>
    <row r="64" ht="15" customHeight="1" s="462">
      <c r="B64" s="521" t="n"/>
      <c r="C64" s="521" t="n"/>
      <c r="D64" s="521" t="n"/>
      <c r="E64" s="521" t="n"/>
      <c r="F64" s="521" t="n"/>
      <c r="G64" s="521" t="n"/>
      <c r="H64" s="521" t="n"/>
    </row>
    <row r="65" ht="15" customHeight="1" s="462">
      <c r="B65" s="521" t="n"/>
      <c r="C65" s="521" t="n"/>
      <c r="D65" s="521" t="n"/>
      <c r="E65" s="521" t="n"/>
      <c r="F65" s="521" t="n"/>
      <c r="G65" s="521" t="n"/>
      <c r="H65" s="521" t="n"/>
    </row>
    <row r="66" ht="15" customHeight="1" s="462">
      <c r="B66" s="521" t="n"/>
      <c r="C66" s="521" t="n"/>
      <c r="D66" s="521" t="n"/>
      <c r="E66" s="521" t="n"/>
      <c r="F66" s="521" t="n"/>
      <c r="G66" s="521" t="n"/>
      <c r="H66" s="521" t="n"/>
    </row>
    <row r="67" ht="15" customHeight="1" s="462">
      <c r="B67" s="521" t="n"/>
      <c r="C67" s="521" t="n"/>
      <c r="D67" s="521" t="n"/>
      <c r="E67" s="521" t="n"/>
      <c r="F67" s="521" t="n"/>
      <c r="G67" s="521" t="n"/>
      <c r="H67" s="521" t="n"/>
    </row>
    <row r="68" ht="15" customHeight="1" s="462">
      <c r="B68" s="521" t="n"/>
      <c r="C68" s="521" t="n"/>
      <c r="D68" s="521" t="n"/>
      <c r="E68" s="521" t="n"/>
      <c r="F68" s="521" t="n"/>
      <c r="G68" s="521" t="n"/>
      <c r="H68" s="521" t="n"/>
    </row>
    <row r="69" ht="15" customHeight="1" s="462">
      <c r="B69" s="521" t="n"/>
      <c r="C69" s="521" t="n"/>
      <c r="D69" s="521" t="n"/>
      <c r="E69" s="521" t="n"/>
      <c r="F69" s="521" t="n"/>
      <c r="G69" s="521" t="n"/>
      <c r="H69" s="521" t="n"/>
    </row>
    <row r="70" ht="15" customHeight="1" s="462">
      <c r="B70" s="521" t="n"/>
      <c r="C70" s="521" t="n"/>
      <c r="D70" s="521" t="n"/>
      <c r="E70" s="521" t="n"/>
      <c r="F70" s="521" t="n"/>
      <c r="G70" s="521" t="n"/>
      <c r="H70" s="521" t="n"/>
    </row>
    <row r="71" ht="15" customHeight="1" s="462">
      <c r="B71" s="521" t="n"/>
      <c r="C71" s="521" t="n"/>
      <c r="D71" s="521" t="n"/>
      <c r="E71" s="521" t="n"/>
      <c r="F71" s="521" t="n"/>
      <c r="G71" s="521" t="n"/>
      <c r="H71" s="521" t="n"/>
    </row>
    <row r="72" ht="15" customHeight="1" s="462">
      <c r="B72" s="521" t="n"/>
      <c r="C72" s="521" t="n"/>
      <c r="D72" s="521" t="n"/>
      <c r="E72" s="521" t="n"/>
      <c r="F72" s="521" t="n"/>
      <c r="G72" s="521" t="n"/>
      <c r="H72" s="521" t="n"/>
    </row>
    <row r="73" ht="15" customHeight="1" s="462">
      <c r="B73" s="521" t="n"/>
      <c r="C73" s="521" t="n"/>
      <c r="D73" s="521" t="n"/>
      <c r="E73" s="521" t="n"/>
      <c r="F73" s="521" t="n"/>
      <c r="G73" s="521" t="n"/>
      <c r="H73" s="521" t="n"/>
    </row>
    <row r="74" ht="15" customHeight="1" s="462">
      <c r="B74" s="521" t="n"/>
      <c r="C74" s="521" t="n"/>
      <c r="D74" s="521" t="n"/>
      <c r="E74" s="521" t="n"/>
      <c r="F74" s="521" t="n"/>
      <c r="G74" s="521" t="n"/>
      <c r="H74" s="521" t="n"/>
    </row>
    <row r="75" ht="15" customHeight="1" s="462">
      <c r="B75" s="521" t="n"/>
      <c r="C75" s="521" t="n"/>
      <c r="D75" s="521" t="n"/>
      <c r="E75" s="521" t="n"/>
      <c r="F75" s="521" t="n"/>
      <c r="G75" s="521" t="n"/>
      <c r="H75" s="521" t="n"/>
    </row>
    <row r="76" ht="15" customHeight="1" s="462">
      <c r="B76" s="521" t="n"/>
      <c r="C76" s="521" t="n"/>
      <c r="D76" s="521" t="n"/>
      <c r="E76" s="521" t="n"/>
      <c r="F76" s="521" t="n"/>
      <c r="G76" s="521" t="n"/>
      <c r="H76" s="521" t="n"/>
    </row>
    <row r="77" ht="15" customHeight="1" s="462">
      <c r="B77" s="521" t="n"/>
      <c r="C77" s="521" t="n"/>
      <c r="D77" s="521" t="n"/>
      <c r="E77" s="521" t="n"/>
      <c r="F77" s="521" t="n"/>
      <c r="G77" s="521" t="n"/>
      <c r="H77" s="521" t="n"/>
    </row>
    <row r="78" ht="15" customHeight="1" s="462">
      <c r="B78" s="521" t="n"/>
      <c r="C78" s="521" t="n"/>
      <c r="D78" s="521" t="n"/>
      <c r="E78" s="521" t="n"/>
      <c r="F78" s="521" t="n"/>
      <c r="G78" s="521" t="n"/>
      <c r="H78" s="521" t="n"/>
    </row>
    <row r="79" ht="15" customHeight="1" s="462">
      <c r="B79" s="521" t="n"/>
      <c r="C79" s="521" t="n"/>
      <c r="D79" s="521" t="n"/>
      <c r="E79" s="521" t="n"/>
      <c r="F79" s="521" t="n"/>
      <c r="G79" s="521" t="n"/>
      <c r="H79" s="521" t="n"/>
    </row>
    <row r="80" ht="15" customHeight="1" s="462">
      <c r="B80" s="521" t="n"/>
      <c r="C80" s="521" t="n"/>
      <c r="D80" s="521" t="n"/>
      <c r="E80" s="521" t="n"/>
      <c r="F80" s="521" t="n"/>
      <c r="G80" s="521" t="n"/>
      <c r="H80" s="521" t="n"/>
    </row>
    <row r="81" ht="15" customHeight="1" s="462">
      <c r="B81" s="521" t="n"/>
      <c r="C81" s="521" t="n"/>
      <c r="D81" s="521" t="n"/>
      <c r="E81" s="521" t="n"/>
      <c r="F81" s="521" t="n"/>
      <c r="G81" s="521" t="n"/>
      <c r="H81" s="521" t="n"/>
    </row>
    <row r="82" ht="15" customHeight="1" s="462">
      <c r="B82" s="521" t="n"/>
      <c r="C82" s="521" t="n"/>
      <c r="D82" s="521" t="n"/>
      <c r="E82" s="521" t="n"/>
      <c r="F82" s="521" t="n"/>
      <c r="G82" s="521" t="n"/>
      <c r="H82" s="521" t="n"/>
    </row>
    <row r="83" ht="15" customHeight="1" s="462">
      <c r="B83" s="521" t="n"/>
      <c r="C83" s="521" t="n"/>
      <c r="D83" s="521" t="n"/>
      <c r="E83" s="521" t="n"/>
      <c r="F83" s="521" t="n"/>
      <c r="G83" s="521" t="n"/>
      <c r="H83" s="521" t="n"/>
    </row>
    <row r="84" ht="15" customHeight="1" s="462">
      <c r="B84" s="521" t="n"/>
      <c r="C84" s="521" t="n"/>
      <c r="D84" s="521" t="n"/>
      <c r="E84" s="521" t="n"/>
      <c r="F84" s="521" t="n"/>
      <c r="G84" s="521" t="n"/>
      <c r="H84" s="521" t="n"/>
    </row>
    <row r="85" ht="15" customHeight="1" s="462">
      <c r="B85" s="521" t="n"/>
      <c r="C85" s="521" t="n"/>
      <c r="D85" s="521" t="n"/>
      <c r="E85" s="521" t="n"/>
      <c r="F85" s="521" t="n"/>
      <c r="G85" s="521" t="n"/>
      <c r="H85" s="521" t="n"/>
    </row>
    <row r="86" ht="15" customHeight="1" s="462">
      <c r="B86" s="521" t="n"/>
      <c r="C86" s="521" t="n"/>
      <c r="D86" s="521" t="n"/>
      <c r="E86" s="521" t="n"/>
      <c r="F86" s="521" t="n"/>
      <c r="G86" s="521" t="n"/>
      <c r="H86" s="521" t="n"/>
    </row>
    <row r="87" ht="15" customHeight="1" s="462">
      <c r="B87" s="521" t="n"/>
      <c r="C87" s="521" t="n"/>
      <c r="D87" s="521" t="n"/>
      <c r="E87" s="521" t="n"/>
      <c r="F87" s="521" t="n"/>
      <c r="G87" s="521" t="n"/>
      <c r="H87" s="521" t="n"/>
    </row>
    <row r="88" ht="15" customHeight="1" s="462">
      <c r="B88" s="521" t="n"/>
      <c r="C88" s="521" t="n"/>
      <c r="D88" s="521" t="n"/>
      <c r="E88" s="521" t="n"/>
      <c r="F88" s="521" t="n"/>
      <c r="G88" s="521" t="n"/>
      <c r="H88" s="521" t="n"/>
    </row>
    <row r="89" ht="15" customHeight="1" s="462">
      <c r="B89" s="521" t="n"/>
      <c r="C89" s="521" t="n"/>
      <c r="D89" s="521" t="n"/>
      <c r="E89" s="521" t="n"/>
      <c r="F89" s="521" t="n"/>
      <c r="G89" s="521" t="n"/>
      <c r="H89" s="521" t="n"/>
    </row>
    <row r="90" ht="15" customHeight="1" s="462">
      <c r="C90" s="521" t="n"/>
      <c r="D90" s="521" t="n"/>
      <c r="E90" s="521" t="n"/>
      <c r="F90" s="521" t="n"/>
      <c r="G90" s="521" t="n"/>
      <c r="H90" s="521" t="n"/>
    </row>
    <row r="91" ht="15" customHeight="1" s="462">
      <c r="C91" s="521" t="n"/>
      <c r="D91" s="521" t="n"/>
      <c r="E91" s="521" t="n"/>
      <c r="F91" s="521" t="n"/>
      <c r="G91" s="521" t="n"/>
      <c r="H91" s="521" t="n"/>
    </row>
    <row r="92" ht="15" customHeight="1" s="462">
      <c r="C92" s="521" t="n"/>
      <c r="D92" s="521" t="n"/>
      <c r="E92" s="521" t="n"/>
      <c r="F92" s="521" t="n"/>
      <c r="G92" s="521" t="n"/>
      <c r="H92" s="521" t="n"/>
    </row>
    <row r="93" ht="15" customHeight="1" s="462">
      <c r="C93" s="521" t="n"/>
      <c r="D93" s="521" t="n"/>
      <c r="E93" s="521" t="n"/>
      <c r="F93" s="521" t="n"/>
      <c r="G93" s="521" t="n"/>
      <c r="H93" s="521" t="n"/>
    </row>
    <row r="94" ht="15" customHeight="1" s="462">
      <c r="C94" s="521" t="n"/>
      <c r="D94" s="521" t="n"/>
      <c r="E94" s="521" t="n"/>
      <c r="F94" s="521" t="n"/>
      <c r="G94" s="521" t="n"/>
      <c r="H94" s="521" t="n"/>
    </row>
    <row r="95" ht="15" customHeight="1" s="462">
      <c r="C95" s="521" t="n"/>
      <c r="D95" s="521" t="n"/>
      <c r="E95" s="521" t="n"/>
      <c r="F95" s="521" t="n"/>
      <c r="G95" s="521" t="n"/>
      <c r="H95" s="521" t="n"/>
    </row>
    <row r="96" ht="15" customHeight="1" s="462">
      <c r="C96" s="521" t="n"/>
      <c r="D96" s="521" t="n"/>
      <c r="E96" s="521" t="n"/>
      <c r="F96" s="521" t="n"/>
      <c r="G96" s="521" t="n"/>
      <c r="H96" s="521" t="n"/>
    </row>
    <row r="97" ht="15" customHeight="1" s="462">
      <c r="C97" s="521" t="n"/>
      <c r="D97" s="521" t="n"/>
      <c r="E97" s="521" t="n"/>
      <c r="F97" s="521" t="n"/>
      <c r="G97" s="521" t="n"/>
      <c r="H97" s="521" t="n"/>
    </row>
    <row r="98" ht="15" customHeight="1" s="462">
      <c r="C98" s="521" t="n"/>
      <c r="D98" s="521" t="n"/>
      <c r="E98" s="521" t="n"/>
      <c r="F98" s="521" t="n"/>
      <c r="G98" s="521" t="n"/>
      <c r="H98" s="521" t="n"/>
    </row>
    <row r="99" ht="15" customHeight="1" s="462">
      <c r="C99" s="521" t="n"/>
      <c r="D99" s="521" t="n"/>
      <c r="E99" s="521" t="n"/>
      <c r="F99" s="521" t="n"/>
      <c r="G99" s="521" t="n"/>
      <c r="H99" s="521" t="n"/>
    </row>
    <row r="100" ht="15" customHeight="1" s="462">
      <c r="C100" s="521" t="n"/>
      <c r="D100" s="521" t="n"/>
      <c r="E100" s="521" t="n"/>
      <c r="F100" s="521" t="n"/>
      <c r="G100" s="521" t="n"/>
      <c r="H100" s="521" t="n"/>
    </row>
    <row r="101" ht="15" customHeight="1" s="462">
      <c r="C101" s="521" t="n"/>
      <c r="D101" s="521" t="n"/>
      <c r="E101" s="521" t="n"/>
      <c r="F101" s="521" t="n"/>
      <c r="G101" s="521" t="n"/>
      <c r="H101" s="521" t="n"/>
    </row>
    <row r="102" ht="15" customHeight="1" s="462">
      <c r="C102" s="521" t="n"/>
      <c r="D102" s="521" t="n"/>
      <c r="E102" s="521" t="n"/>
      <c r="F102" s="521" t="n"/>
      <c r="G102" s="521" t="n"/>
      <c r="H102" s="521" t="n"/>
    </row>
    <row r="103" ht="15" customHeight="1" s="462">
      <c r="C103" s="521" t="n"/>
      <c r="D103" s="521" t="n"/>
      <c r="E103" s="521" t="n"/>
      <c r="F103" s="521" t="n"/>
      <c r="G103" s="521" t="n"/>
      <c r="H103" s="521" t="n"/>
    </row>
    <row r="104" ht="15" customHeight="1" s="462">
      <c r="C104" s="521" t="n"/>
      <c r="D104" s="521" t="n"/>
      <c r="E104" s="521" t="n"/>
      <c r="F104" s="521" t="n"/>
      <c r="G104" s="521" t="n"/>
      <c r="H104" s="521" t="n"/>
    </row>
    <row r="105" ht="15" customHeight="1" s="462">
      <c r="C105" s="521" t="n"/>
      <c r="D105" s="521" t="n"/>
      <c r="E105" s="521" t="n"/>
      <c r="F105" s="521" t="n"/>
      <c r="G105" s="521" t="n"/>
      <c r="H105" s="521" t="n"/>
    </row>
    <row r="106" ht="15" customHeight="1" s="462">
      <c r="C106" s="521" t="n"/>
      <c r="D106" s="521" t="n"/>
      <c r="E106" s="521" t="n"/>
      <c r="F106" s="521" t="n"/>
      <c r="G106" s="521" t="n"/>
      <c r="H106" s="521"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AK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G76" activePane="bottomRight" state="frozen"/>
      <selection pane="topLeft" activeCell="A1" activeCellId="0" sqref="A1"/>
      <selection pane="topRight" activeCell="G1" activeCellId="0" sqref="G1"/>
      <selection pane="bottomLeft" activeCell="A76" activeCellId="0" sqref="A76"/>
      <selection pane="bottomRight" activeCell="AA84" activeCellId="0" sqref="AA84"/>
    </sheetView>
  </sheetViews>
  <sheetFormatPr baseColWidth="8" defaultColWidth="8.96875" defaultRowHeight="15" zeroHeight="0" outlineLevelRow="0"/>
  <cols>
    <col width="35.99" customWidth="1" style="461" min="1" max="1"/>
    <col width="10.56" customWidth="1" style="461" min="2" max="2"/>
    <col hidden="1" outlineLevel="1" width="9.56" customWidth="1" style="461" min="3" max="5"/>
    <col hidden="1" outlineLevel="1" width="12.42" customWidth="1" style="461" min="6" max="6"/>
    <col width="12.42" customWidth="1" style="461" min="7" max="7"/>
    <col hidden="1" outlineLevel="1" width="9.56" customWidth="1" style="461" min="8" max="8"/>
    <col hidden="1" outlineLevel="1" width="11.71" customWidth="1" style="461" min="9" max="9"/>
    <col hidden="1" outlineLevel="1" width="9.56" customWidth="1" style="461" min="10" max="11"/>
    <col width="10.56" customWidth="1" style="461" min="12" max="12"/>
    <col hidden="1" outlineLevel="1" width="9.56" customWidth="1" style="461" min="13" max="13"/>
    <col hidden="1" outlineLevel="1" width="10.56" customWidth="1" style="461" min="14" max="16"/>
    <col width="10.56" customWidth="1" style="461" min="17" max="17"/>
    <col hidden="1" outlineLevel="1" width="11.99" customWidth="1" style="461" min="18" max="18"/>
    <col hidden="1" outlineLevel="1" width="10.56" customWidth="1" style="461" min="19" max="21"/>
    <col width="10.56" customWidth="1" style="461" min="22" max="22"/>
    <col hidden="1" outlineLevel="1" width="10.56" customWidth="1" style="461" min="23" max="26"/>
    <col width="10.56" customWidth="1" style="461" min="27" max="27"/>
    <col hidden="1" outlineLevel="2" width="10.56" customWidth="1" style="461" min="28" max="31"/>
    <col collapsed="1" width="10.56" customWidth="1" style="461" min="32" max="32"/>
    <col hidden="1" outlineLevel="1" width="10.56" customWidth="1" style="461" min="33" max="36"/>
    <col width="10.56" customWidth="1" style="461" min="37" max="37"/>
  </cols>
  <sheetData>
    <row r="1" ht="18.75" customHeight="1" s="462">
      <c r="A1" s="487" t="inlineStr">
        <is>
          <t>Aurobindo Pharma</t>
        </is>
      </c>
      <c r="C1" s="461" t="n"/>
      <c r="D1" s="461" t="n"/>
      <c r="E1" s="461" t="n"/>
      <c r="F1" s="461" t="n"/>
    </row>
    <row r="2" ht="15.75" customHeight="1" s="462">
      <c r="A2" s="488" t="inlineStr">
        <is>
          <t>Segment Revenue Model</t>
        </is>
      </c>
      <c r="B2" s="468" t="n"/>
      <c r="C2" s="569" t="n"/>
      <c r="D2" s="468" t="n"/>
      <c r="E2" s="615" t="n"/>
      <c r="F2" s="468" t="n"/>
      <c r="G2" s="616" t="n"/>
    </row>
    <row r="3" ht="15.75" customHeight="1" s="462">
      <c r="A3" s="489" t="inlineStr">
        <is>
          <t>(In Rs Millions)</t>
        </is>
      </c>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row>
    <row r="4" ht="45" customFormat="1" customHeight="1" s="522">
      <c r="A4" s="532" t="inlineStr">
        <is>
          <t>For the Fiscal Period Ending</t>
        </is>
      </c>
      <c r="B4" s="533" t="inlineStr">
        <is>
          <t>FY2007 A</t>
        </is>
      </c>
      <c r="C4" s="534" t="inlineStr">
        <is>
          <t>3 months 
Jun-30-2007</t>
        </is>
      </c>
      <c r="D4" s="534" t="inlineStr">
        <is>
          <t>3 months 
Sep-30-2007</t>
        </is>
      </c>
      <c r="E4" s="534" t="inlineStr">
        <is>
          <t>3 months 
Dec-31-2007</t>
        </is>
      </c>
      <c r="F4" s="534" t="inlineStr">
        <is>
          <t>3 months 
Mar-31-2008</t>
        </is>
      </c>
      <c r="G4" s="533" t="inlineStr">
        <is>
          <t>FY2008 A</t>
        </is>
      </c>
      <c r="H4" s="534" t="inlineStr">
        <is>
          <t>3 months 
Jun-30-2008</t>
        </is>
      </c>
      <c r="I4" s="534" t="inlineStr">
        <is>
          <t>3 months 
Sep-30-2008</t>
        </is>
      </c>
      <c r="J4" s="534" t="inlineStr">
        <is>
          <t>3 months 
Dec-31-2008</t>
        </is>
      </c>
      <c r="K4" s="534" t="inlineStr">
        <is>
          <t>3 months 
Mar-31-2009</t>
        </is>
      </c>
      <c r="L4" s="533" t="inlineStr">
        <is>
          <t>FY2009 A</t>
        </is>
      </c>
      <c r="M4" s="534" t="inlineStr">
        <is>
          <t>3 months 
Jun-30-2009</t>
        </is>
      </c>
      <c r="N4" s="535" t="inlineStr">
        <is>
          <t>3 months 
Sep-30-2009</t>
        </is>
      </c>
      <c r="O4" s="535" t="inlineStr">
        <is>
          <t>3 months 
Dec-31-2009</t>
        </is>
      </c>
      <c r="P4" s="535" t="inlineStr">
        <is>
          <t>3 months 
Mar-31-2010</t>
        </is>
      </c>
      <c r="Q4" s="536" t="inlineStr">
        <is>
          <t>FY2010 E</t>
        </is>
      </c>
      <c r="R4" s="535" t="inlineStr">
        <is>
          <t>3 months 
Jun-30-2010</t>
        </is>
      </c>
      <c r="S4" s="535" t="inlineStr">
        <is>
          <t>3 months 
Sep-30-2010</t>
        </is>
      </c>
      <c r="T4" s="535" t="inlineStr">
        <is>
          <t>3 months 
Dec-31-2010</t>
        </is>
      </c>
      <c r="U4" s="535" t="inlineStr">
        <is>
          <t>3 months 
Mar-31-2011</t>
        </is>
      </c>
      <c r="V4" s="536" t="inlineStr">
        <is>
          <t>FY2011 E</t>
        </is>
      </c>
      <c r="W4" s="535" t="inlineStr">
        <is>
          <t>3 months 
Jun-30-2011</t>
        </is>
      </c>
      <c r="X4" s="535" t="inlineStr">
        <is>
          <t>3 months 
Sep-30-2011</t>
        </is>
      </c>
      <c r="Y4" s="535" t="inlineStr">
        <is>
          <t>3 months 
Dec-31-2011</t>
        </is>
      </c>
      <c r="Z4" s="535" t="inlineStr">
        <is>
          <t>3 months 
Mar-31-2012</t>
        </is>
      </c>
      <c r="AA4" s="536" t="inlineStr">
        <is>
          <t>FY2012 E</t>
        </is>
      </c>
      <c r="AB4" s="535" t="inlineStr">
        <is>
          <t>3 months 
Jun-30-2012</t>
        </is>
      </c>
      <c r="AC4" s="535" t="inlineStr">
        <is>
          <t>3 months 
Sep-30-2012</t>
        </is>
      </c>
      <c r="AD4" s="535" t="inlineStr">
        <is>
          <t>3 months 
Dec-31-2012</t>
        </is>
      </c>
      <c r="AE4" s="535" t="inlineStr">
        <is>
          <t>3 months 
Mar-31-2013</t>
        </is>
      </c>
      <c r="AF4" s="536" t="inlineStr">
        <is>
          <t>FY2013 E</t>
        </is>
      </c>
      <c r="AG4" s="535" t="inlineStr">
        <is>
          <t>3 months 
Jun-30-2013</t>
        </is>
      </c>
      <c r="AH4" s="535" t="inlineStr">
        <is>
          <t>3 months 
Sep-30-2013</t>
        </is>
      </c>
      <c r="AI4" s="535" t="inlineStr">
        <is>
          <t>3 months 
Dec-31-2013</t>
        </is>
      </c>
      <c r="AJ4" s="535" t="inlineStr">
        <is>
          <t>3 months 
Mar-31-2014</t>
        </is>
      </c>
      <c r="AK4" s="536" t="inlineStr">
        <is>
          <t>FY2014 E</t>
        </is>
      </c>
    </row>
    <row r="5" ht="15" customHeight="1" s="462">
      <c r="B5" s="659" t="n"/>
      <c r="G5" s="533" t="n"/>
      <c r="L5" s="533" t="n"/>
      <c r="Q5" s="533" t="n"/>
      <c r="V5" s="533" t="n"/>
      <c r="AA5" s="533" t="n"/>
      <c r="AF5" s="533" t="n"/>
      <c r="AK5" s="533" t="n"/>
    </row>
    <row r="6" ht="15" customFormat="1" customHeight="1" s="461">
      <c r="A6" s="573" t="n"/>
      <c r="B6" s="659" t="n"/>
      <c r="G6" s="533" t="n"/>
      <c r="L6" s="533" t="n"/>
      <c r="Q6" s="533" t="n"/>
      <c r="V6" s="533" t="n"/>
      <c r="AA6" s="533" t="n"/>
      <c r="AF6" s="533" t="n"/>
      <c r="AK6" s="533" t="n"/>
    </row>
    <row r="7" ht="15" customFormat="1" customHeight="1" s="461">
      <c r="A7" s="491" t="inlineStr">
        <is>
          <t>Segment Revenues</t>
        </is>
      </c>
      <c r="B7" s="659" t="n"/>
      <c r="G7" s="659" t="n"/>
      <c r="L7" s="659" t="n"/>
      <c r="Q7" s="659" t="n"/>
      <c r="R7" s="529" t="n"/>
      <c r="V7" s="659" t="n"/>
      <c r="AA7" s="659" t="n"/>
      <c r="AF7" s="659" t="n"/>
      <c r="AK7" s="659" t="n"/>
    </row>
    <row r="8" ht="15" customFormat="1" customHeight="1" s="461">
      <c r="B8" s="659" t="n"/>
      <c r="G8" s="659" t="n"/>
      <c r="L8" s="659" t="n"/>
      <c r="Q8" s="659" t="n"/>
      <c r="V8" s="660" t="n"/>
      <c r="AA8" s="659" t="n"/>
      <c r="AF8" s="659" t="n"/>
      <c r="AK8" s="659" t="n"/>
    </row>
    <row r="9" ht="15" customHeight="1" s="462">
      <c r="A9" s="522" t="inlineStr">
        <is>
          <t>Formulations</t>
        </is>
      </c>
      <c r="B9" s="659" t="n"/>
      <c r="C9" s="521" t="n"/>
      <c r="D9" s="521" t="n"/>
      <c r="E9" s="521" t="n"/>
      <c r="F9" s="521" t="n"/>
      <c r="G9" s="659" t="n"/>
      <c r="H9" s="461" t="n"/>
      <c r="I9" s="461" t="n"/>
      <c r="J9" s="461" t="n"/>
      <c r="K9" s="461" t="n"/>
      <c r="L9" s="659" t="n"/>
      <c r="M9" s="461" t="n"/>
      <c r="N9" s="461" t="n"/>
      <c r="O9" s="461" t="n"/>
      <c r="P9" s="461" t="n"/>
      <c r="Q9" s="659" t="n"/>
      <c r="R9" s="461" t="n"/>
      <c r="S9" s="461" t="n"/>
      <c r="T9" s="461" t="n"/>
      <c r="U9" s="461" t="n"/>
      <c r="V9" s="659" t="n"/>
      <c r="W9" s="461" t="n"/>
      <c r="X9" s="461" t="n"/>
      <c r="Y9" s="461" t="n"/>
      <c r="Z9" s="461" t="n"/>
      <c r="AA9" s="659" t="n"/>
      <c r="AB9" s="461" t="n"/>
      <c r="AC9" s="461" t="n"/>
      <c r="AD9" s="461" t="n"/>
      <c r="AE9" s="461" t="n"/>
      <c r="AF9" s="659" t="n"/>
      <c r="AG9" s="461" t="n"/>
      <c r="AH9" s="461" t="n"/>
      <c r="AI9" s="461" t="n"/>
      <c r="AJ9" s="461" t="n"/>
      <c r="AK9" s="659" t="n"/>
    </row>
    <row r="10" ht="15" customHeight="1" s="462">
      <c r="A10" s="461" t="inlineStr">
        <is>
          <t>USA</t>
        </is>
      </c>
      <c r="B10" s="661" t="n">
        <v>1563</v>
      </c>
      <c r="C10" s="576" t="n">
        <v>546</v>
      </c>
      <c r="D10" s="576" t="n">
        <v>518</v>
      </c>
      <c r="E10" s="576" t="n">
        <v>497</v>
      </c>
      <c r="F10" s="576" t="n">
        <v>798</v>
      </c>
      <c r="G10" s="662" t="n">
        <v>2359</v>
      </c>
      <c r="H10" s="576" t="n">
        <v>817</v>
      </c>
      <c r="I10" s="576" t="n">
        <v>1051</v>
      </c>
      <c r="J10" s="576" t="n">
        <v>1427</v>
      </c>
      <c r="K10" s="576" t="n">
        <v>2289</v>
      </c>
      <c r="L10" s="662" t="n">
        <v>5584</v>
      </c>
      <c r="M10" s="576" t="n">
        <v>2310</v>
      </c>
      <c r="N10" s="506" t="n">
        <v>1777.77256246889</v>
      </c>
      <c r="O10" s="506" t="n">
        <v>2247.85716632468</v>
      </c>
      <c r="P10" s="506" t="n">
        <v>2943.1287035422</v>
      </c>
      <c r="Q10" s="662" t="n">
        <v>9278.75843233577</v>
      </c>
      <c r="R10" s="506" t="n">
        <v>3265.36697756981</v>
      </c>
      <c r="S10" s="506" t="n">
        <v>2135.2521973175</v>
      </c>
      <c r="T10" s="506" t="n">
        <v>2767.4999404159</v>
      </c>
      <c r="U10" s="506" t="n">
        <v>4152.31378505458</v>
      </c>
      <c r="V10" s="662" t="n">
        <v>12320.4329003578</v>
      </c>
      <c r="W10" s="506" t="n">
        <v>4049.05505218656</v>
      </c>
      <c r="X10" s="506" t="n">
        <v>2647.7127246737</v>
      </c>
      <c r="Y10" s="506" t="n">
        <v>3431.69992611572</v>
      </c>
      <c r="Z10" s="506" t="n">
        <v>5148.86909346768</v>
      </c>
      <c r="AA10" s="662" t="n">
        <v>15277.3367964437</v>
      </c>
      <c r="AB10" s="506" t="n">
        <v>4939.84716366761</v>
      </c>
      <c r="AC10" s="506" t="n">
        <v>3230.20952410192</v>
      </c>
      <c r="AD10" s="506" t="n">
        <v>4186.67390986118</v>
      </c>
      <c r="AE10" s="506" t="n">
        <v>6281.62029403057</v>
      </c>
      <c r="AF10" s="662" t="n">
        <v>18638.3508916613</v>
      </c>
      <c r="AG10" s="506" t="n">
        <v>5927.81659640113</v>
      </c>
      <c r="AH10" s="506" t="n">
        <v>3876.2514289223</v>
      </c>
      <c r="AI10" s="506" t="n">
        <v>5024.00869183341</v>
      </c>
      <c r="AJ10" s="506" t="n">
        <v>7537.94435283669</v>
      </c>
      <c r="AK10" s="662" t="n">
        <v>22366.0210699935</v>
      </c>
    </row>
    <row r="11" ht="15" customHeight="1" s="462">
      <c r="A11" s="461" t="inlineStr">
        <is>
          <t>Europe</t>
        </is>
      </c>
      <c r="B11" s="661" t="n">
        <v>1280</v>
      </c>
      <c r="C11" s="576" t="n">
        <v>362</v>
      </c>
      <c r="D11" s="576" t="n">
        <v>562</v>
      </c>
      <c r="E11" s="576" t="n">
        <v>641</v>
      </c>
      <c r="F11" s="576" t="n">
        <v>446</v>
      </c>
      <c r="G11" s="662" t="n">
        <v>2011</v>
      </c>
      <c r="H11" s="576" t="n">
        <v>447</v>
      </c>
      <c r="I11" s="576" t="n">
        <v>557</v>
      </c>
      <c r="J11" s="576" t="n">
        <v>467</v>
      </c>
      <c r="K11" s="576" t="n">
        <v>452</v>
      </c>
      <c r="L11" s="662" t="n">
        <v>1923</v>
      </c>
      <c r="M11" s="576" t="n">
        <v>464</v>
      </c>
      <c r="N11" s="506" t="n">
        <v>942.168712935463</v>
      </c>
      <c r="O11" s="506" t="n">
        <v>735.633704746758</v>
      </c>
      <c r="P11" s="506" t="n">
        <v>581.1682717348521</v>
      </c>
      <c r="Q11" s="662" t="n">
        <v>2722.97068941707</v>
      </c>
      <c r="R11" s="506" t="n">
        <v>655.9005530703</v>
      </c>
      <c r="S11" s="506" t="n">
        <v>1131.62271541946</v>
      </c>
      <c r="T11" s="506" t="n">
        <v>905.691991712842</v>
      </c>
      <c r="U11" s="506" t="n">
        <v>819.9413852532419</v>
      </c>
      <c r="V11" s="662" t="n">
        <v>3513.15664545584</v>
      </c>
      <c r="W11" s="506" t="n">
        <v>813.316685807171</v>
      </c>
      <c r="X11" s="506" t="n">
        <v>1403.21216712013</v>
      </c>
      <c r="Y11" s="506" t="n">
        <v>1123.05806972392</v>
      </c>
      <c r="Z11" s="506" t="n">
        <v>1016.72731771402</v>
      </c>
      <c r="AA11" s="662" t="n">
        <v>4356.31424036524</v>
      </c>
      <c r="AB11" s="506" t="n">
        <v>992.246356684749</v>
      </c>
      <c r="AC11" s="506" t="n">
        <v>1711.91884388655</v>
      </c>
      <c r="AD11" s="506" t="n">
        <v>1370.13084506319</v>
      </c>
      <c r="AE11" s="506" t="n">
        <v>1240.4073276111</v>
      </c>
      <c r="AF11" s="662" t="n">
        <v>5314.7033732456</v>
      </c>
      <c r="AG11" s="506" t="n">
        <v>1190.6956280217</v>
      </c>
      <c r="AH11" s="506" t="n">
        <v>2054.30261266386</v>
      </c>
      <c r="AI11" s="506" t="n">
        <v>1644.15701407583</v>
      </c>
      <c r="AJ11" s="506" t="n">
        <v>1488.48879313333</v>
      </c>
      <c r="AK11" s="662" t="n">
        <v>6377.64404789471</v>
      </c>
    </row>
    <row r="12" ht="15" customHeight="1" s="462">
      <c r="A12" s="461" t="inlineStr">
        <is>
          <t>ARV's</t>
        </is>
      </c>
      <c r="B12" s="661" t="n">
        <v>2875</v>
      </c>
      <c r="C12" s="576" t="n">
        <v>642</v>
      </c>
      <c r="D12" s="576" t="n">
        <v>1072</v>
      </c>
      <c r="E12" s="576" t="n">
        <v>939</v>
      </c>
      <c r="F12" s="576" t="n">
        <v>1391</v>
      </c>
      <c r="G12" s="662" t="n">
        <v>4044</v>
      </c>
      <c r="H12" s="576" t="n">
        <v>1249</v>
      </c>
      <c r="I12" s="576" t="n">
        <v>858</v>
      </c>
      <c r="J12" s="576" t="n">
        <v>1215</v>
      </c>
      <c r="K12" s="576" t="n">
        <v>1318</v>
      </c>
      <c r="L12" s="662" t="n">
        <v>4640</v>
      </c>
      <c r="M12" s="576" t="n">
        <v>1375.1</v>
      </c>
      <c r="N12" s="506" t="n">
        <v>1451.31194918964</v>
      </c>
      <c r="O12" s="506" t="n">
        <v>1913.90781855955</v>
      </c>
      <c r="P12" s="506" t="n">
        <v>1694.64553572242</v>
      </c>
      <c r="Q12" s="662" t="n">
        <v>6434.96530347161</v>
      </c>
      <c r="R12" s="506" t="n">
        <v>1943.81217785985</v>
      </c>
      <c r="S12" s="506" t="n">
        <v>1743.14594224397</v>
      </c>
      <c r="T12" s="506" t="n">
        <v>2356.35068507731</v>
      </c>
      <c r="U12" s="506" t="n">
        <v>2390.89103045083</v>
      </c>
      <c r="V12" s="662" t="n">
        <v>8434.19983563196</v>
      </c>
      <c r="W12" s="506" t="n">
        <v>2410.32710054621</v>
      </c>
      <c r="X12" s="506" t="n">
        <v>2161.50096838253</v>
      </c>
      <c r="Y12" s="506" t="n">
        <v>2921.87484949586</v>
      </c>
      <c r="Z12" s="506" t="n">
        <v>2964.70487775902</v>
      </c>
      <c r="AA12" s="662" t="n">
        <v>10458.4077961836</v>
      </c>
      <c r="AB12" s="506" t="n">
        <v>2940.59906266638</v>
      </c>
      <c r="AC12" s="506" t="n">
        <v>2637.03118142668</v>
      </c>
      <c r="AD12" s="506" t="n">
        <v>3564.68731638495</v>
      </c>
      <c r="AE12" s="506" t="n">
        <v>3616.93995086601</v>
      </c>
      <c r="AF12" s="662" t="n">
        <v>12759.257511344</v>
      </c>
      <c r="AG12" s="506" t="n">
        <v>3528.71887519965</v>
      </c>
      <c r="AH12" s="506" t="n">
        <v>3164.43741771202</v>
      </c>
      <c r="AI12" s="506" t="n">
        <v>4277.62477966194</v>
      </c>
      <c r="AJ12" s="506" t="n">
        <v>4340.32794103921</v>
      </c>
      <c r="AK12" s="662" t="n">
        <v>15311.1090136128</v>
      </c>
    </row>
    <row r="13" ht="15" customHeight="1" s="462">
      <c r="A13" s="461" t="inlineStr">
        <is>
          <t>Rest of the World</t>
        </is>
      </c>
      <c r="B13" s="661" t="n">
        <v>1478.2</v>
      </c>
      <c r="C13" s="576" t="n">
        <v>246</v>
      </c>
      <c r="D13" s="576" t="n">
        <v>245</v>
      </c>
      <c r="E13" s="576" t="n">
        <v>389</v>
      </c>
      <c r="F13" s="576" t="n">
        <v>754</v>
      </c>
      <c r="G13" s="662" t="n">
        <v>1634</v>
      </c>
      <c r="H13" s="576" t="n">
        <v>384</v>
      </c>
      <c r="I13" s="576" t="n">
        <v>727</v>
      </c>
      <c r="J13" s="576" t="n">
        <v>422</v>
      </c>
      <c r="K13" s="576" t="n">
        <v>418</v>
      </c>
      <c r="L13" s="662" t="n">
        <v>1951</v>
      </c>
      <c r="M13" s="576" t="n">
        <v>540</v>
      </c>
      <c r="N13" s="506" t="n">
        <v>1229.72469354413</v>
      </c>
      <c r="O13" s="506" t="n">
        <v>664.7482299852931</v>
      </c>
      <c r="P13" s="506" t="n">
        <v>537.452074303469</v>
      </c>
      <c r="Q13" s="662" t="n">
        <v>2971.92499783289</v>
      </c>
      <c r="R13" s="506" t="n">
        <v>763.332540211124</v>
      </c>
      <c r="S13" s="506" t="n">
        <v>1477.00128206453</v>
      </c>
      <c r="T13" s="506" t="n">
        <v>818.419744117386</v>
      </c>
      <c r="U13" s="506" t="n">
        <v>758.26437839791</v>
      </c>
      <c r="V13" s="662" t="n">
        <v>3817.01794479095</v>
      </c>
      <c r="W13" s="506" t="n">
        <v>946.532349861794</v>
      </c>
      <c r="X13" s="506" t="n">
        <v>1831.48158976002</v>
      </c>
      <c r="Y13" s="506" t="n">
        <v>1014.84048270556</v>
      </c>
      <c r="Z13" s="506" t="n">
        <v>940.247829213408</v>
      </c>
      <c r="AA13" s="662" t="n">
        <v>4733.10225154078</v>
      </c>
      <c r="AB13" s="506" t="n">
        <v>1154.76946683139</v>
      </c>
      <c r="AC13" s="506" t="n">
        <v>2234.40753950722</v>
      </c>
      <c r="AD13" s="506" t="n">
        <v>1238.10538890078</v>
      </c>
      <c r="AE13" s="506" t="n">
        <v>1147.10235164036</v>
      </c>
      <c r="AF13" s="662" t="n">
        <v>5774.38474687975</v>
      </c>
      <c r="AG13" s="506" t="n">
        <v>1385.72336019767</v>
      </c>
      <c r="AH13" s="506" t="n">
        <v>2681.28904740867</v>
      </c>
      <c r="AI13" s="506" t="n">
        <v>1485.72646668094</v>
      </c>
      <c r="AJ13" s="506" t="n">
        <v>1376.52282196843</v>
      </c>
      <c r="AK13" s="662" t="n">
        <v>6929.26169625571</v>
      </c>
    </row>
    <row r="14" ht="15" customHeight="1" s="462">
      <c r="A14" s="522" t="inlineStr">
        <is>
          <t>Total</t>
        </is>
      </c>
      <c r="B14" s="662" t="n">
        <v>7196.2</v>
      </c>
      <c r="C14" s="521" t="n">
        <v>1796</v>
      </c>
      <c r="D14" s="521" t="n">
        <v>2397</v>
      </c>
      <c r="E14" s="521" t="n">
        <v>2466</v>
      </c>
      <c r="F14" s="521" t="n">
        <v>3389</v>
      </c>
      <c r="G14" s="662" t="n">
        <v>10048</v>
      </c>
      <c r="H14" s="521" t="n">
        <v>2897</v>
      </c>
      <c r="I14" s="521" t="n">
        <v>3193</v>
      </c>
      <c r="J14" s="521" t="n">
        <v>3531</v>
      </c>
      <c r="K14" s="521" t="n">
        <v>4477</v>
      </c>
      <c r="L14" s="662" t="n">
        <v>14098</v>
      </c>
      <c r="M14" s="506" t="n">
        <v>4689.1</v>
      </c>
      <c r="N14" s="506" t="n">
        <v>5400.97791813812</v>
      </c>
      <c r="O14" s="506" t="n">
        <v>5562.14691961628</v>
      </c>
      <c r="P14" s="506" t="n">
        <v>5756.39458530295</v>
      </c>
      <c r="Q14" s="662" t="n">
        <v>21408.6194230573</v>
      </c>
      <c r="R14" s="506" t="n">
        <v>6628.41224871108</v>
      </c>
      <c r="S14" s="506" t="n">
        <v>6487.02213704547</v>
      </c>
      <c r="T14" s="506" t="n">
        <v>6847.96236132344</v>
      </c>
      <c r="U14" s="506" t="n">
        <v>8121.41057915656</v>
      </c>
      <c r="V14" s="662" t="n">
        <v>28084.8073262365</v>
      </c>
      <c r="W14" s="506" t="n">
        <v>8219.23118840174</v>
      </c>
      <c r="X14" s="506" t="n">
        <v>8043.90744993638</v>
      </c>
      <c r="Y14" s="506" t="n">
        <v>8491.47332804106</v>
      </c>
      <c r="Z14" s="506" t="n">
        <v>10070.5491181541</v>
      </c>
      <c r="AA14" s="662" t="n">
        <v>34825.1610845333</v>
      </c>
      <c r="AB14" s="506" t="n">
        <v>10027.4620498501</v>
      </c>
      <c r="AC14" s="506" t="n">
        <v>9813.56708892238</v>
      </c>
      <c r="AD14" s="506" t="n">
        <v>10359.5974602101</v>
      </c>
      <c r="AE14" s="506" t="n">
        <v>12286.069924148</v>
      </c>
      <c r="AF14" s="662" t="n">
        <v>42486.6965231306</v>
      </c>
      <c r="AG14" s="506" t="n">
        <v>12032.9544598201</v>
      </c>
      <c r="AH14" s="506" t="n">
        <v>11776.2805067069</v>
      </c>
      <c r="AI14" s="506" t="n">
        <v>12431.5169522521</v>
      </c>
      <c r="AJ14" s="506" t="n">
        <v>14743.2839089777</v>
      </c>
      <c r="AK14" s="662" t="n">
        <v>50984.0358277568</v>
      </c>
    </row>
    <row r="15" ht="15" customHeight="1" s="462">
      <c r="B15" s="662" t="n"/>
      <c r="C15" s="521" t="n"/>
      <c r="D15" s="521" t="n"/>
      <c r="E15" s="521" t="n"/>
      <c r="F15" s="521" t="n"/>
      <c r="G15" s="662" t="n"/>
      <c r="H15" s="461" t="n"/>
      <c r="I15" s="461" t="n"/>
      <c r="J15" s="461" t="n"/>
      <c r="K15" s="461" t="n"/>
      <c r="L15" s="662" t="n"/>
      <c r="M15" s="461" t="n"/>
      <c r="N15" s="461" t="n"/>
      <c r="O15" s="461" t="n"/>
      <c r="P15" s="461" t="n"/>
      <c r="Q15" s="662" t="n"/>
      <c r="R15" s="461" t="n"/>
      <c r="S15" s="461" t="n"/>
      <c r="T15" s="461" t="n"/>
      <c r="U15" s="461" t="n"/>
      <c r="V15" s="662" t="n"/>
      <c r="W15" s="461" t="n"/>
      <c r="X15" s="461" t="n"/>
      <c r="Y15" s="461" t="n"/>
      <c r="Z15" s="461" t="n"/>
      <c r="AA15" s="662" t="n"/>
      <c r="AB15" s="461" t="n"/>
      <c r="AC15" s="461" t="n"/>
      <c r="AD15" s="461" t="n"/>
      <c r="AE15" s="461" t="n"/>
      <c r="AF15" s="662" t="n"/>
      <c r="AG15" s="461" t="n"/>
      <c r="AH15" s="461" t="n"/>
      <c r="AI15" s="461" t="n"/>
      <c r="AJ15" s="461" t="n"/>
      <c r="AK15" s="662" t="n"/>
    </row>
    <row r="16" ht="15" customHeight="1" s="462">
      <c r="A16" s="522" t="inlineStr">
        <is>
          <t>Active Ingredients</t>
        </is>
      </c>
      <c r="B16" s="662" t="n"/>
      <c r="C16" s="521" t="n"/>
      <c r="D16" s="521" t="n"/>
      <c r="E16" s="521" t="n"/>
      <c r="F16" s="521" t="n"/>
      <c r="G16" s="662" t="n"/>
      <c r="H16" s="461" t="n"/>
      <c r="I16" s="461" t="n"/>
      <c r="J16" s="461" t="n"/>
      <c r="K16" s="461" t="n"/>
      <c r="L16" s="662" t="n"/>
      <c r="M16" s="461" t="n"/>
      <c r="N16" s="461" t="n"/>
      <c r="O16" s="461" t="n"/>
      <c r="P16" s="461" t="n"/>
      <c r="Q16" s="662" t="n"/>
      <c r="R16" s="461" t="n"/>
      <c r="S16" s="461" t="n"/>
      <c r="T16" s="461" t="n"/>
      <c r="U16" s="461" t="n"/>
      <c r="V16" s="662" t="n"/>
      <c r="W16" s="461" t="n"/>
      <c r="X16" s="461" t="n"/>
      <c r="Y16" s="461" t="n"/>
      <c r="Z16" s="461" t="n"/>
      <c r="AA16" s="662" t="n"/>
      <c r="AB16" s="461" t="n"/>
      <c r="AC16" s="461" t="n"/>
      <c r="AD16" s="461" t="n"/>
      <c r="AE16" s="461" t="n"/>
      <c r="AF16" s="662" t="n"/>
      <c r="AG16" s="461" t="n"/>
      <c r="AH16" s="461" t="n"/>
      <c r="AI16" s="461" t="n"/>
      <c r="AJ16" s="461" t="n"/>
      <c r="AK16" s="662" t="n"/>
    </row>
    <row r="17" ht="15" customHeight="1" s="462">
      <c r="A17" s="461" t="inlineStr">
        <is>
          <t>SSPs</t>
        </is>
      </c>
      <c r="B17" s="661" t="n">
        <v>5913</v>
      </c>
      <c r="C17" s="576" t="n">
        <v>2123</v>
      </c>
      <c r="D17" s="576" t="n">
        <v>2278</v>
      </c>
      <c r="E17" s="576" t="n">
        <v>1748</v>
      </c>
      <c r="F17" s="576" t="n">
        <v>1892</v>
      </c>
      <c r="G17" s="662" t="n">
        <v>8041</v>
      </c>
      <c r="H17" s="576" t="n">
        <v>2140</v>
      </c>
      <c r="I17" s="576" t="n">
        <v>1856</v>
      </c>
      <c r="J17" s="576" t="n">
        <v>1744</v>
      </c>
      <c r="K17" s="576" t="n">
        <v>1639</v>
      </c>
      <c r="L17" s="662" t="n">
        <v>7379</v>
      </c>
      <c r="M17" s="576" t="n">
        <v>1517</v>
      </c>
      <c r="N17" s="506" t="n">
        <v>2277.0706245455</v>
      </c>
      <c r="O17" s="506" t="n">
        <v>2075.33566970255</v>
      </c>
      <c r="P17" s="506" t="n">
        <v>1794.19162623806</v>
      </c>
      <c r="Q17" s="662" t="n">
        <v>7663.59792048612</v>
      </c>
      <c r="R17" s="506" t="n">
        <v>1975.64180217705</v>
      </c>
      <c r="S17" s="506" t="n">
        <v>2327.83844014826</v>
      </c>
      <c r="T17" s="506" t="n">
        <v>2263.15813207039</v>
      </c>
      <c r="U17" s="506" t="n">
        <v>2239.57459650359</v>
      </c>
      <c r="V17" s="662" t="n">
        <v>8806.212970899291</v>
      </c>
      <c r="W17" s="506" t="n">
        <v>2449.79583469954</v>
      </c>
      <c r="X17" s="506" t="n">
        <v>2886.51966578384</v>
      </c>
      <c r="Y17" s="506" t="n">
        <v>2806.31608376729</v>
      </c>
      <c r="Z17" s="506" t="n">
        <v>2777.07249966446</v>
      </c>
      <c r="AA17" s="662" t="n">
        <v>10919.7040839151</v>
      </c>
      <c r="AB17" s="506" t="n">
        <v>2988.75091833344</v>
      </c>
      <c r="AC17" s="506" t="n">
        <v>3521.55399225628</v>
      </c>
      <c r="AD17" s="506" t="n">
        <v>3423.70562219609</v>
      </c>
      <c r="AE17" s="506" t="n">
        <v>3388.02844959064</v>
      </c>
      <c r="AF17" s="662" t="n">
        <v>13322.0389823764</v>
      </c>
      <c r="AG17" s="506" t="n">
        <v>3586.50110200012</v>
      </c>
      <c r="AH17" s="506" t="n">
        <v>4225.86479070754</v>
      </c>
      <c r="AI17" s="506" t="n">
        <v>4108.44674663531</v>
      </c>
      <c r="AJ17" s="506" t="n">
        <v>4065.63413950876</v>
      </c>
      <c r="AK17" s="662" t="n">
        <v>15986.4467788517</v>
      </c>
    </row>
    <row r="18" ht="15" customHeight="1" s="462">
      <c r="A18" s="461" t="inlineStr">
        <is>
          <t>Cephs</t>
        </is>
      </c>
      <c r="B18" s="661" t="n">
        <v>6429</v>
      </c>
      <c r="C18" s="576" t="n">
        <v>1309</v>
      </c>
      <c r="D18" s="576" t="n">
        <v>1577</v>
      </c>
      <c r="E18" s="576" t="n">
        <v>1620</v>
      </c>
      <c r="F18" s="576" t="n">
        <v>1412</v>
      </c>
      <c r="G18" s="662" t="n">
        <v>5918</v>
      </c>
      <c r="H18" s="576" t="n">
        <v>1564</v>
      </c>
      <c r="I18" s="576" t="n">
        <v>1560</v>
      </c>
      <c r="J18" s="576" t="n">
        <v>1543</v>
      </c>
      <c r="K18" s="576" t="n">
        <v>1677</v>
      </c>
      <c r="L18" s="662" t="n">
        <v>6344</v>
      </c>
      <c r="M18" s="576" t="n">
        <v>1390</v>
      </c>
      <c r="N18" s="506" t="n">
        <v>1913.91711976885</v>
      </c>
      <c r="O18" s="506" t="n">
        <v>1836.14847382514</v>
      </c>
      <c r="P18" s="506" t="n">
        <v>1835.78972373473</v>
      </c>
      <c r="Q18" s="662" t="n">
        <v>6975.85531732872</v>
      </c>
      <c r="R18" s="506" t="n">
        <v>1810.24529006334</v>
      </c>
      <c r="S18" s="506" t="n">
        <v>1956.58834409013</v>
      </c>
      <c r="T18" s="506" t="n">
        <v>2002.32396661962</v>
      </c>
      <c r="U18" s="506" t="n">
        <v>2291.49883974163</v>
      </c>
      <c r="V18" s="662" t="n">
        <v>8060.65644051472</v>
      </c>
      <c r="W18" s="506" t="n">
        <v>2244.70415967855</v>
      </c>
      <c r="X18" s="506" t="n">
        <v>2426.16954667176</v>
      </c>
      <c r="Y18" s="506" t="n">
        <v>2482.88171860833</v>
      </c>
      <c r="Z18" s="506" t="n">
        <v>2841.45856127962</v>
      </c>
      <c r="AA18" s="662" t="n">
        <v>9995.21398623825</v>
      </c>
      <c r="AB18" s="506" t="n">
        <v>2738.53907480783</v>
      </c>
      <c r="AC18" s="506" t="n">
        <v>2959.92684693955</v>
      </c>
      <c r="AD18" s="506" t="n">
        <v>3029.11569670216</v>
      </c>
      <c r="AE18" s="506" t="n">
        <v>3466.57944476113</v>
      </c>
      <c r="AF18" s="662" t="n">
        <v>12194.1610632107</v>
      </c>
      <c r="AG18" s="506" t="n">
        <v>3286.24688976939</v>
      </c>
      <c r="AH18" s="506" t="n">
        <v>3551.91221632746</v>
      </c>
      <c r="AI18" s="506" t="n">
        <v>3634.93883604259</v>
      </c>
      <c r="AJ18" s="506" t="n">
        <v>4159.89533371336</v>
      </c>
      <c r="AK18" s="662" t="n">
        <v>14632.9932758528</v>
      </c>
    </row>
    <row r="19" ht="15" customHeight="1" s="462">
      <c r="A19" s="461" t="inlineStr">
        <is>
          <t>ARVs &amp; Others</t>
        </is>
      </c>
      <c r="B19" s="661" t="n">
        <v>2964</v>
      </c>
      <c r="C19" s="576" t="n">
        <v>436</v>
      </c>
      <c r="D19" s="576" t="n">
        <v>418</v>
      </c>
      <c r="E19" s="576" t="n">
        <v>268</v>
      </c>
      <c r="F19" s="576" t="n">
        <v>395</v>
      </c>
      <c r="G19" s="662" t="n">
        <v>1517</v>
      </c>
      <c r="H19" s="576" t="n">
        <v>467</v>
      </c>
      <c r="I19" s="576" t="n">
        <v>631</v>
      </c>
      <c r="J19" s="576" t="n">
        <v>750</v>
      </c>
      <c r="K19" s="576" t="n">
        <v>895</v>
      </c>
      <c r="L19" s="662" t="n">
        <v>2743</v>
      </c>
      <c r="M19" s="576" t="n">
        <v>671</v>
      </c>
      <c r="N19" s="506" t="n">
        <v>774.154937547528</v>
      </c>
      <c r="O19" s="506" t="n">
        <v>892.489536856029</v>
      </c>
      <c r="P19" s="506" t="n">
        <v>979.744664724261</v>
      </c>
      <c r="Q19" s="662" t="n">
        <v>3317.38913912782</v>
      </c>
      <c r="R19" s="506" t="n">
        <v>873.866611246406</v>
      </c>
      <c r="S19" s="506" t="n">
        <v>791.4149007185071</v>
      </c>
      <c r="T19" s="506" t="n">
        <v>973.261811383484</v>
      </c>
      <c r="U19" s="506" t="n">
        <v>1222.95257100105</v>
      </c>
      <c r="V19" s="662" t="n">
        <v>3861.49589434944</v>
      </c>
      <c r="W19" s="506" t="n">
        <v>1083.59459794554</v>
      </c>
      <c r="X19" s="506" t="n">
        <v>981.3544768909489</v>
      </c>
      <c r="Y19" s="506" t="n">
        <v>1206.84464611552</v>
      </c>
      <c r="Z19" s="506" t="n">
        <v>1516.4611880413</v>
      </c>
      <c r="AA19" s="662" t="n">
        <v>4788.25490899331</v>
      </c>
      <c r="AB19" s="506" t="n">
        <v>1321.98540949356</v>
      </c>
      <c r="AC19" s="506" t="n">
        <v>1197.25246180696</v>
      </c>
      <c r="AD19" s="506" t="n">
        <v>1472.35046826093</v>
      </c>
      <c r="AE19" s="506" t="n">
        <v>1850.08264941038</v>
      </c>
      <c r="AF19" s="662" t="n">
        <v>5841.67098897184</v>
      </c>
      <c r="AG19" s="506" t="n">
        <v>1586.38249139228</v>
      </c>
      <c r="AH19" s="506" t="n">
        <v>1436.70295416835</v>
      </c>
      <c r="AI19" s="506" t="n">
        <v>1766.82056191312</v>
      </c>
      <c r="AJ19" s="506" t="n">
        <v>2220.09917929246</v>
      </c>
      <c r="AK19" s="662" t="n">
        <v>7010.0051867662</v>
      </c>
    </row>
    <row r="20" ht="15" customHeight="1" s="462">
      <c r="A20" s="522" t="inlineStr">
        <is>
          <t>Total</t>
        </is>
      </c>
      <c r="B20" s="662" t="n">
        <v>15306</v>
      </c>
      <c r="C20" s="580" t="n">
        <v>3868</v>
      </c>
      <c r="D20" s="580" t="n">
        <v>4273</v>
      </c>
      <c r="E20" s="580" t="n">
        <v>3636</v>
      </c>
      <c r="F20" s="580" t="n">
        <v>3699</v>
      </c>
      <c r="G20" s="662" t="n">
        <v>15476</v>
      </c>
      <c r="H20" s="521" t="n">
        <v>4171</v>
      </c>
      <c r="I20" s="521" t="n">
        <v>4047</v>
      </c>
      <c r="J20" s="521" t="n">
        <v>4037</v>
      </c>
      <c r="K20" s="521" t="n">
        <v>4211</v>
      </c>
      <c r="L20" s="662" t="n">
        <v>16466</v>
      </c>
      <c r="M20" s="521" t="n">
        <v>3578</v>
      </c>
      <c r="N20" s="506" t="n">
        <v>4965.14268186188</v>
      </c>
      <c r="O20" s="506" t="n">
        <v>4803.97368038372</v>
      </c>
      <c r="P20" s="506" t="n">
        <v>4609.72601469705</v>
      </c>
      <c r="Q20" s="662" t="n">
        <v>17956.8423769427</v>
      </c>
      <c r="R20" s="506" t="n">
        <v>4659.7537034868</v>
      </c>
      <c r="S20" s="506" t="n">
        <v>5075.84168495689</v>
      </c>
      <c r="T20" s="506" t="n">
        <v>5238.7439100735</v>
      </c>
      <c r="U20" s="506" t="n">
        <v>5754.02600724627</v>
      </c>
      <c r="V20" s="662" t="n">
        <v>20728.3653057635</v>
      </c>
      <c r="W20" s="506" t="n">
        <v>5778.09459232363</v>
      </c>
      <c r="X20" s="506" t="n">
        <v>6294.04368934654</v>
      </c>
      <c r="Y20" s="506" t="n">
        <v>6496.04244849114</v>
      </c>
      <c r="Z20" s="506" t="n">
        <v>7134.99224898537</v>
      </c>
      <c r="AA20" s="662" t="n">
        <v>25703.1729791467</v>
      </c>
      <c r="AB20" s="506" t="n">
        <v>7049.27540263483</v>
      </c>
      <c r="AC20" s="506" t="n">
        <v>7678.73330100278</v>
      </c>
      <c r="AD20" s="506" t="n">
        <v>7925.17178715919</v>
      </c>
      <c r="AE20" s="506" t="n">
        <v>8704.69054376215</v>
      </c>
      <c r="AF20" s="662" t="n">
        <v>31357.8710345589</v>
      </c>
      <c r="AG20" s="506" t="n">
        <v>8459.130483161791</v>
      </c>
      <c r="AH20" s="506" t="n">
        <v>9214.47996120334</v>
      </c>
      <c r="AI20" s="506" t="n">
        <v>9510.20614459102</v>
      </c>
      <c r="AJ20" s="506" t="n">
        <v>10445.6286525146</v>
      </c>
      <c r="AK20" s="662" t="n">
        <v>37629.4452414707</v>
      </c>
    </row>
    <row r="21" ht="15" customHeight="1" s="462">
      <c r="B21" s="662" t="n"/>
      <c r="C21" s="521" t="n"/>
      <c r="D21" s="521" t="n"/>
      <c r="E21" s="521" t="n"/>
      <c r="F21" s="521" t="n"/>
      <c r="G21" s="662" t="n"/>
      <c r="H21" s="461" t="n"/>
      <c r="I21" s="461" t="n"/>
      <c r="J21" s="461" t="n"/>
      <c r="K21" s="461" t="n"/>
      <c r="L21" s="662" t="n"/>
      <c r="M21" s="461" t="n"/>
      <c r="N21" s="461" t="n"/>
      <c r="O21" s="461" t="n"/>
      <c r="P21" s="461" t="n"/>
      <c r="Q21" s="662" t="n"/>
      <c r="R21" s="461" t="n"/>
      <c r="S21" s="461" t="n"/>
      <c r="T21" s="461" t="n"/>
      <c r="U21" s="461" t="n"/>
      <c r="V21" s="662" t="n"/>
      <c r="W21" s="461" t="n"/>
      <c r="X21" s="461" t="n"/>
      <c r="Y21" s="461" t="n"/>
      <c r="Z21" s="461" t="n"/>
      <c r="AA21" s="662" t="n"/>
      <c r="AB21" s="461" t="n"/>
      <c r="AC21" s="461" t="n"/>
      <c r="AD21" s="461" t="n"/>
      <c r="AE21" s="461" t="n"/>
      <c r="AF21" s="662" t="n"/>
      <c r="AG21" s="461" t="n"/>
      <c r="AH21" s="461" t="n"/>
      <c r="AI21" s="461" t="n"/>
      <c r="AJ21" s="461" t="n"/>
      <c r="AK21" s="662" t="n"/>
    </row>
    <row r="22" ht="15" customHeight="1" s="462">
      <c r="B22" s="662" t="n"/>
      <c r="C22" s="521" t="n"/>
      <c r="D22" s="521" t="n"/>
      <c r="E22" s="521" t="n"/>
      <c r="F22" s="521" t="n"/>
      <c r="G22" s="662" t="n"/>
      <c r="H22" s="461" t="n"/>
      <c r="I22" s="461" t="n"/>
      <c r="J22" s="461" t="n"/>
      <c r="K22" s="461" t="n"/>
      <c r="L22" s="662" t="n"/>
      <c r="M22" s="461" t="n"/>
      <c r="N22" s="461" t="n"/>
      <c r="O22" s="461" t="n"/>
      <c r="P22" s="461" t="n"/>
      <c r="Q22" s="662" t="n"/>
      <c r="R22" s="461" t="n"/>
      <c r="S22" s="461" t="n"/>
      <c r="T22" s="461" t="n"/>
      <c r="U22" s="529" t="n"/>
      <c r="V22" s="662" t="n"/>
      <c r="W22" s="461" t="n"/>
      <c r="X22" s="461" t="n"/>
      <c r="Y22" s="461" t="n"/>
      <c r="Z22" s="461" t="n"/>
      <c r="AA22" s="662" t="n"/>
      <c r="AB22" s="461" t="n"/>
      <c r="AC22" s="461" t="n"/>
      <c r="AD22" s="461" t="n"/>
      <c r="AE22" s="461" t="n"/>
      <c r="AF22" s="662" t="n"/>
      <c r="AG22" s="461" t="n"/>
      <c r="AH22" s="461" t="n"/>
      <c r="AI22" s="461" t="n"/>
      <c r="AJ22" s="461" t="n"/>
      <c r="AK22" s="662" t="n"/>
    </row>
    <row r="23" ht="15" customHeight="1" s="462">
      <c r="A23" s="461" t="inlineStr">
        <is>
          <t>Formulations</t>
        </is>
      </c>
      <c r="B23" s="662" t="n">
        <v>7196.2</v>
      </c>
      <c r="C23" s="521" t="n">
        <v>1796</v>
      </c>
      <c r="D23" s="521" t="n">
        <v>2397</v>
      </c>
      <c r="E23" s="521" t="n">
        <v>2466</v>
      </c>
      <c r="F23" s="521" t="n">
        <v>3389</v>
      </c>
      <c r="G23" s="662" t="n">
        <v>10048</v>
      </c>
      <c r="H23" s="506" t="n">
        <v>2897</v>
      </c>
      <c r="I23" s="506" t="n">
        <v>3193</v>
      </c>
      <c r="J23" s="506" t="n">
        <v>3531</v>
      </c>
      <c r="K23" s="506" t="n">
        <v>4477</v>
      </c>
      <c r="L23" s="662" t="n">
        <v>14098</v>
      </c>
      <c r="M23" s="506" t="n">
        <v>4689.1</v>
      </c>
      <c r="N23" s="506" t="n">
        <v>5400.97791813812</v>
      </c>
      <c r="O23" s="506" t="n">
        <v>5562.14691961628</v>
      </c>
      <c r="P23" s="506" t="n">
        <v>5756.39458530295</v>
      </c>
      <c r="Q23" s="662" t="n">
        <v>21408.6194230573</v>
      </c>
      <c r="R23" s="506" t="n">
        <v>6628.41224871108</v>
      </c>
      <c r="S23" s="506" t="n">
        <v>6487.02213704547</v>
      </c>
      <c r="T23" s="506" t="n">
        <v>6847.96236132344</v>
      </c>
      <c r="U23" s="506" t="n">
        <v>8121.41057915656</v>
      </c>
      <c r="V23" s="662" t="n">
        <v>28084.8073262365</v>
      </c>
      <c r="W23" s="506" t="n">
        <v>8219.23118840174</v>
      </c>
      <c r="X23" s="506" t="n">
        <v>8043.90744993638</v>
      </c>
      <c r="Y23" s="506" t="n">
        <v>8491.47332804106</v>
      </c>
      <c r="Z23" s="506" t="n">
        <v>10070.5491181541</v>
      </c>
      <c r="AA23" s="662" t="n">
        <v>34825.1610845333</v>
      </c>
      <c r="AB23" s="506" t="n">
        <v>10027.4620498501</v>
      </c>
      <c r="AC23" s="506" t="n">
        <v>9813.56708892238</v>
      </c>
      <c r="AD23" s="506" t="n">
        <v>10359.5974602101</v>
      </c>
      <c r="AE23" s="506" t="n">
        <v>12286.069924148</v>
      </c>
      <c r="AF23" s="662" t="n">
        <v>42486.6965231306</v>
      </c>
      <c r="AG23" s="506" t="n">
        <v>12032.9544598201</v>
      </c>
      <c r="AH23" s="506" t="n">
        <v>11776.2805067069</v>
      </c>
      <c r="AI23" s="506" t="n">
        <v>12431.5169522521</v>
      </c>
      <c r="AJ23" s="506" t="n">
        <v>14743.2839089777</v>
      </c>
      <c r="AK23" s="662" t="n">
        <v>50984.0358277568</v>
      </c>
    </row>
    <row r="24" ht="15" customHeight="1" s="462">
      <c r="A24" s="461" t="inlineStr">
        <is>
          <t>Active Ingredients</t>
        </is>
      </c>
      <c r="B24" s="662" t="n">
        <v>15306</v>
      </c>
      <c r="C24" s="521" t="n">
        <v>3868</v>
      </c>
      <c r="D24" s="521" t="n">
        <v>4273</v>
      </c>
      <c r="E24" s="521" t="n">
        <v>3636</v>
      </c>
      <c r="F24" s="521" t="n">
        <v>3699</v>
      </c>
      <c r="G24" s="662" t="n">
        <v>15476</v>
      </c>
      <c r="H24" s="506" t="n">
        <v>4171</v>
      </c>
      <c r="I24" s="506" t="n">
        <v>4047</v>
      </c>
      <c r="J24" s="506" t="n">
        <v>4037</v>
      </c>
      <c r="K24" s="506" t="n">
        <v>4211</v>
      </c>
      <c r="L24" s="662" t="n">
        <v>16466</v>
      </c>
      <c r="M24" s="506" t="n">
        <v>3578</v>
      </c>
      <c r="N24" s="506" t="n">
        <v>4965.14268186188</v>
      </c>
      <c r="O24" s="506" t="n">
        <v>4803.97368038372</v>
      </c>
      <c r="P24" s="506" t="n">
        <v>4609.72601469705</v>
      </c>
      <c r="Q24" s="662" t="n">
        <v>17956.8423769427</v>
      </c>
      <c r="R24" s="506" t="n">
        <v>4659.7537034868</v>
      </c>
      <c r="S24" s="506" t="n">
        <v>5075.84168495689</v>
      </c>
      <c r="T24" s="506" t="n">
        <v>5238.7439100735</v>
      </c>
      <c r="U24" s="506" t="n">
        <v>5754.02600724627</v>
      </c>
      <c r="V24" s="662" t="n">
        <v>20728.3653057635</v>
      </c>
      <c r="W24" s="506" t="n">
        <v>5778.09459232363</v>
      </c>
      <c r="X24" s="506" t="n">
        <v>6294.04368934654</v>
      </c>
      <c r="Y24" s="506" t="n">
        <v>6496.04244849114</v>
      </c>
      <c r="Z24" s="506" t="n">
        <v>7134.99224898537</v>
      </c>
      <c r="AA24" s="662" t="n">
        <v>25703.1729791467</v>
      </c>
      <c r="AB24" s="506" t="n">
        <v>7049.27540263483</v>
      </c>
      <c r="AC24" s="506" t="n">
        <v>7678.73330100278</v>
      </c>
      <c r="AD24" s="506" t="n">
        <v>7925.17178715919</v>
      </c>
      <c r="AE24" s="506" t="n">
        <v>8704.69054376215</v>
      </c>
      <c r="AF24" s="662" t="n">
        <v>31357.8710345589</v>
      </c>
      <c r="AG24" s="506" t="n">
        <v>8459.130483161791</v>
      </c>
      <c r="AH24" s="506" t="n">
        <v>9214.47996120334</v>
      </c>
      <c r="AI24" s="506" t="n">
        <v>9510.20614459102</v>
      </c>
      <c r="AJ24" s="506" t="n">
        <v>10445.6286525146</v>
      </c>
      <c r="AK24" s="662" t="n">
        <v>37629.4452414707</v>
      </c>
    </row>
    <row r="25" ht="15" customHeight="1" s="462">
      <c r="A25" s="522" t="inlineStr">
        <is>
          <t>Total</t>
        </is>
      </c>
      <c r="B25" s="662" t="n">
        <v>22502.2</v>
      </c>
      <c r="C25" s="521" t="n">
        <v>5664</v>
      </c>
      <c r="D25" s="521" t="n">
        <v>6670</v>
      </c>
      <c r="E25" s="521" t="n">
        <v>6102</v>
      </c>
      <c r="F25" s="521" t="n">
        <v>7088</v>
      </c>
      <c r="G25" s="662" t="n">
        <v>25524</v>
      </c>
      <c r="H25" s="506" t="n">
        <v>7068</v>
      </c>
      <c r="I25" s="506" t="n">
        <v>7240</v>
      </c>
      <c r="J25" s="506" t="n">
        <v>7568</v>
      </c>
      <c r="K25" s="506" t="n">
        <v>8688</v>
      </c>
      <c r="L25" s="662" t="n">
        <v>30564</v>
      </c>
      <c r="M25" s="506" t="n">
        <v>8267.1</v>
      </c>
      <c r="N25" s="506" t="n">
        <v>10366.1206</v>
      </c>
      <c r="O25" s="506" t="n">
        <v>10366.1206</v>
      </c>
      <c r="P25" s="506" t="n">
        <v>10366.1206</v>
      </c>
      <c r="Q25" s="662" t="n">
        <v>39365.4618</v>
      </c>
      <c r="R25" s="521" t="n">
        <v>11288.1659521979</v>
      </c>
      <c r="S25" s="521" t="n">
        <v>11562.8638220024</v>
      </c>
      <c r="T25" s="521" t="n">
        <v>12086.7062713969</v>
      </c>
      <c r="U25" s="521" t="n">
        <v>13875.4365864028</v>
      </c>
      <c r="V25" s="662" t="n">
        <v>48813.172632</v>
      </c>
      <c r="W25" s="521" t="n">
        <v>13997.3257807254</v>
      </c>
      <c r="X25" s="521" t="n">
        <v>14337.9511392829</v>
      </c>
      <c r="Y25" s="521" t="n">
        <v>14987.5157765322</v>
      </c>
      <c r="Z25" s="521" t="n">
        <v>17205.5413671395</v>
      </c>
      <c r="AA25" s="662" t="n">
        <v>60528.33406368</v>
      </c>
      <c r="AB25" s="521" t="n">
        <v>17076.7374524849</v>
      </c>
      <c r="AC25" s="521" t="n">
        <v>17492.3003899252</v>
      </c>
      <c r="AD25" s="521" t="n">
        <v>18284.7692473693</v>
      </c>
      <c r="AE25" s="521" t="n">
        <v>20990.7604679102</v>
      </c>
      <c r="AF25" s="662" t="n">
        <v>73844.5675576896</v>
      </c>
      <c r="AG25" s="521" t="n">
        <v>20492.0849429819</v>
      </c>
      <c r="AH25" s="521" t="n">
        <v>20990.7604679102</v>
      </c>
      <c r="AI25" s="521" t="n">
        <v>21941.7230968431</v>
      </c>
      <c r="AJ25" s="521" t="n">
        <v>25188.9125614922</v>
      </c>
      <c r="AK25" s="662" t="n">
        <v>88613.48106922751</v>
      </c>
    </row>
    <row r="26" ht="15.75" customHeight="1" s="462">
      <c r="A26" s="489" t="n"/>
      <c r="B26" s="538" t="n"/>
      <c r="C26" s="489" t="n"/>
      <c r="D26" s="489" t="n"/>
      <c r="E26" s="489" t="n"/>
      <c r="F26" s="489" t="n"/>
      <c r="G26" s="538" t="n"/>
      <c r="H26" s="489" t="n"/>
      <c r="I26" s="489" t="n"/>
      <c r="J26" s="489" t="n"/>
      <c r="K26" s="489" t="n"/>
      <c r="L26" s="538" t="n"/>
      <c r="M26" s="489" t="n"/>
      <c r="N26" s="489" t="n"/>
      <c r="O26" s="489" t="n"/>
      <c r="P26" s="489" t="n"/>
      <c r="Q26" s="538" t="n"/>
      <c r="R26" s="489" t="n"/>
      <c r="S26" s="489" t="n"/>
      <c r="T26" s="489" t="n"/>
      <c r="U26" s="489" t="n"/>
      <c r="V26" s="538" t="n"/>
      <c r="W26" s="489" t="n"/>
      <c r="X26" s="489" t="n"/>
      <c r="Y26" s="489" t="n"/>
      <c r="Z26" s="489" t="n"/>
      <c r="AA26" s="538" t="n"/>
      <c r="AB26" s="489" t="n"/>
      <c r="AC26" s="489" t="n"/>
      <c r="AD26" s="489" t="n"/>
      <c r="AE26" s="489" t="n"/>
      <c r="AF26" s="538" t="n"/>
      <c r="AG26" s="489" t="n"/>
      <c r="AH26" s="489" t="n"/>
      <c r="AI26" s="489" t="n"/>
      <c r="AJ26" s="489" t="n"/>
      <c r="AK26" s="538" t="n"/>
    </row>
    <row r="27" ht="15" customHeight="1" s="462">
      <c r="B27" s="662" t="n"/>
      <c r="C27" s="529" t="n"/>
      <c r="D27" s="529" t="n"/>
      <c r="E27" s="529" t="n"/>
      <c r="F27" s="529" t="n"/>
      <c r="G27" s="662" t="n"/>
      <c r="H27" s="461" t="n"/>
      <c r="I27" s="461" t="n"/>
      <c r="J27" s="461" t="n"/>
      <c r="K27" s="461" t="n"/>
      <c r="L27" s="662" t="n"/>
      <c r="M27" s="461" t="n"/>
      <c r="N27" s="461" t="n"/>
      <c r="O27" s="529" t="n"/>
      <c r="P27" s="529" t="n"/>
      <c r="Q27" s="662" t="n"/>
      <c r="R27" s="461" t="n"/>
      <c r="S27" s="461" t="n"/>
      <c r="T27" s="461" t="n"/>
      <c r="U27" s="461" t="n"/>
      <c r="V27" s="662" t="n"/>
      <c r="W27" s="461" t="n"/>
      <c r="X27" s="461" t="n"/>
      <c r="Y27" s="461" t="n"/>
      <c r="Z27" s="461" t="n"/>
      <c r="AA27" s="662" t="n"/>
      <c r="AB27" s="461" t="n"/>
      <c r="AC27" s="461" t="n"/>
      <c r="AD27" s="461" t="n"/>
      <c r="AE27" s="461" t="n"/>
      <c r="AF27" s="662" t="n"/>
      <c r="AG27" s="461" t="n"/>
      <c r="AH27" s="461" t="n"/>
      <c r="AI27" s="461" t="n"/>
      <c r="AJ27" s="461" t="n"/>
      <c r="AK27" s="662" t="n"/>
    </row>
    <row r="28" ht="15" customHeight="1" s="462">
      <c r="A28" s="491" t="inlineStr">
        <is>
          <t>Y/Y (%) Growth</t>
        </is>
      </c>
      <c r="B28" s="662" t="n"/>
      <c r="C28" s="521" t="n"/>
      <c r="D28" s="521" t="n"/>
      <c r="E28" s="521" t="n"/>
      <c r="F28" s="521" t="n"/>
      <c r="G28" s="662" t="n"/>
      <c r="H28" s="461" t="n"/>
      <c r="I28" s="461" t="n"/>
      <c r="J28" s="461" t="n"/>
      <c r="K28" s="461" t="n"/>
      <c r="L28" s="662" t="n"/>
      <c r="M28" s="461" t="n"/>
      <c r="N28" s="461" t="n"/>
      <c r="O28" s="461" t="n"/>
      <c r="P28" s="529" t="n"/>
      <c r="Q28" s="662" t="n"/>
      <c r="R28" s="461" t="n"/>
      <c r="S28" s="461" t="n"/>
      <c r="T28" s="461" t="n"/>
      <c r="U28" s="461" t="n"/>
      <c r="V28" s="662" t="n"/>
      <c r="W28" s="461" t="n"/>
      <c r="X28" s="461" t="n"/>
      <c r="Y28" s="461" t="n"/>
      <c r="Z28" s="461" t="n"/>
      <c r="AA28" s="662" t="n"/>
      <c r="AB28" s="461" t="n"/>
      <c r="AC28" s="461" t="n"/>
      <c r="AD28" s="461" t="n"/>
      <c r="AE28" s="461" t="n"/>
      <c r="AF28" s="662" t="n"/>
      <c r="AG28" s="461" t="n"/>
      <c r="AH28" s="461" t="n"/>
      <c r="AI28" s="663" t="n"/>
      <c r="AJ28" s="461" t="n"/>
      <c r="AK28" s="662" t="n"/>
    </row>
    <row r="29" ht="15" customHeight="1" s="462">
      <c r="B29" s="662" t="n"/>
      <c r="C29" s="521" t="n"/>
      <c r="D29" s="521" t="n"/>
      <c r="E29" s="521" t="n"/>
      <c r="F29" s="521" t="n"/>
      <c r="G29" s="662" t="n"/>
      <c r="H29" s="461" t="n"/>
      <c r="I29" s="461" t="n"/>
      <c r="J29" s="461" t="n"/>
      <c r="K29" s="461" t="n"/>
      <c r="L29" s="662" t="n"/>
      <c r="M29" s="461" t="n"/>
      <c r="N29" s="461" t="n"/>
      <c r="O29" s="461" t="n"/>
      <c r="P29" s="461" t="n"/>
      <c r="Q29" s="662" t="n"/>
      <c r="R29" s="461" t="n"/>
      <c r="S29" s="461" t="n"/>
      <c r="T29" s="461" t="n"/>
      <c r="U29" s="461" t="n"/>
      <c r="V29" s="662" t="n"/>
      <c r="W29" s="461" t="n"/>
      <c r="X29" s="461" t="n"/>
      <c r="Y29" s="461" t="n"/>
      <c r="Z29" s="461" t="n"/>
      <c r="AA29" s="662" t="n"/>
      <c r="AB29" s="461" t="n"/>
      <c r="AC29" s="461" t="n"/>
      <c r="AD29" s="461" t="n"/>
      <c r="AE29" s="461" t="n"/>
      <c r="AF29" s="662" t="n"/>
      <c r="AG29" s="461" t="n"/>
      <c r="AH29" s="461" t="n"/>
      <c r="AI29" s="461" t="n"/>
      <c r="AJ29" s="461" t="n"/>
      <c r="AK29" s="662" t="n"/>
    </row>
    <row r="30" ht="15" customHeight="1" s="462">
      <c r="A30" s="522" t="inlineStr">
        <is>
          <t>Formulations</t>
        </is>
      </c>
      <c r="B30" s="662" t="n"/>
      <c r="C30" s="521" t="n"/>
      <c r="D30" s="521" t="n"/>
      <c r="E30" s="521" t="n"/>
      <c r="F30" s="521" t="n"/>
      <c r="G30" s="662" t="n"/>
      <c r="H30" s="461" t="n"/>
      <c r="I30" s="461" t="n"/>
      <c r="J30" s="461" t="n"/>
      <c r="K30" s="461" t="n"/>
      <c r="L30" s="662" t="n"/>
      <c r="M30" s="461" t="n"/>
      <c r="N30" s="461" t="n"/>
      <c r="O30" s="461" t="n"/>
      <c r="P30" s="461" t="n"/>
      <c r="Q30" s="662" t="n"/>
      <c r="R30" s="461" t="n"/>
      <c r="S30" s="461" t="n"/>
      <c r="T30" s="461" t="n"/>
      <c r="U30" s="461" t="n"/>
      <c r="V30" s="662" t="n"/>
      <c r="W30" s="461" t="n"/>
      <c r="X30" s="461" t="n"/>
      <c r="Y30" s="461" t="n"/>
      <c r="Z30" s="461" t="n"/>
      <c r="AA30" s="662" t="n"/>
      <c r="AB30" s="461" t="n"/>
      <c r="AC30" s="461" t="n"/>
      <c r="AD30" s="461" t="n"/>
      <c r="AE30" s="461" t="n"/>
      <c r="AF30" s="662" t="n"/>
      <c r="AG30" s="461" t="n"/>
      <c r="AH30" s="461" t="n"/>
      <c r="AI30" s="461" t="n"/>
      <c r="AJ30" s="461" t="n"/>
      <c r="AK30" s="662" t="n"/>
    </row>
    <row r="31" ht="15" customHeight="1" s="462">
      <c r="A31" s="461" t="inlineStr">
        <is>
          <t>USA</t>
        </is>
      </c>
      <c r="B31" s="662" t="n"/>
      <c r="C31" s="521" t="n"/>
      <c r="D31" s="521" t="n"/>
      <c r="E31" s="521" t="n"/>
      <c r="F31" s="521" t="n"/>
      <c r="G31" s="660" t="n">
        <v>0.509277031349968</v>
      </c>
      <c r="H31" s="529" t="n">
        <v>0.496336996336996</v>
      </c>
      <c r="I31" s="529" t="n">
        <v>1.02895752895753</v>
      </c>
      <c r="J31" s="529" t="n">
        <v>1.87122736418511</v>
      </c>
      <c r="K31" s="529" t="n">
        <v>1.86842105263158</v>
      </c>
      <c r="L31" s="664" t="n">
        <v>1.36710470538364</v>
      </c>
      <c r="M31" s="529" t="n">
        <v>1.82741738066095</v>
      </c>
      <c r="N31" s="529" t="n">
        <v>0.691505768286289</v>
      </c>
      <c r="O31" s="529" t="n">
        <v>0.575232772476998</v>
      </c>
      <c r="P31" s="529" t="n">
        <v>0.285770512687726</v>
      </c>
      <c r="Q31" s="664" t="n">
        <v>0.661668773699099</v>
      </c>
      <c r="R31" s="529" t="n">
        <v>0.413578778168749</v>
      </c>
      <c r="S31" s="529" t="n">
        <v>0.201082884501356</v>
      </c>
      <c r="T31" s="529" t="n">
        <v>0.231172505920765</v>
      </c>
      <c r="U31" s="529" t="n">
        <v>0.410850222097683</v>
      </c>
      <c r="V31" s="664" t="n">
        <v>0.327810502903279</v>
      </c>
      <c r="W31" s="529" t="n">
        <v>0.24</v>
      </c>
      <c r="X31" s="529" t="n">
        <v>0.24</v>
      </c>
      <c r="Y31" s="529" t="n">
        <v>0.24</v>
      </c>
      <c r="Z31" s="529" t="n">
        <v>0.24</v>
      </c>
      <c r="AA31" s="664" t="n">
        <v>0.24</v>
      </c>
      <c r="AB31" s="529" t="n">
        <v>0.22</v>
      </c>
      <c r="AC31" s="529" t="n">
        <v>0.22</v>
      </c>
      <c r="AD31" s="529" t="n">
        <v>0.22</v>
      </c>
      <c r="AE31" s="529" t="n">
        <v>0.22</v>
      </c>
      <c r="AF31" s="664" t="n">
        <v>0.22</v>
      </c>
      <c r="AG31" s="529" t="n">
        <v>0.2</v>
      </c>
      <c r="AH31" s="529" t="n">
        <v>0.2</v>
      </c>
      <c r="AI31" s="529" t="n">
        <v>0.2</v>
      </c>
      <c r="AJ31" s="529" t="n">
        <v>0.2</v>
      </c>
      <c r="AK31" s="664" t="n">
        <v>0.2</v>
      </c>
    </row>
    <row r="32" ht="15" customHeight="1" s="462">
      <c r="A32" s="461" t="inlineStr">
        <is>
          <t>Europe</t>
        </is>
      </c>
      <c r="B32" s="662" t="n"/>
      <c r="C32" s="521" t="n"/>
      <c r="D32" s="521" t="n"/>
      <c r="E32" s="521" t="n"/>
      <c r="F32" s="521" t="n"/>
      <c r="G32" s="660" t="n">
        <v>0.57109375</v>
      </c>
      <c r="H32" s="529" t="n">
        <v>0.234806629834254</v>
      </c>
      <c r="I32" s="529" t="n">
        <v>-0.00889679715302494</v>
      </c>
      <c r="J32" s="529" t="n">
        <v>-0.271450858034321</v>
      </c>
      <c r="K32" s="529" t="n">
        <v>0.0134529147982063</v>
      </c>
      <c r="L32" s="664" t="n">
        <v>-0.0437593237195425</v>
      </c>
      <c r="M32" s="529" t="n">
        <v>0.0380313199105145</v>
      </c>
      <c r="N32" s="529" t="n">
        <v>0.691505768286289</v>
      </c>
      <c r="O32" s="529" t="n">
        <v>0.575232772476998</v>
      </c>
      <c r="P32" s="529" t="n">
        <v>0.285770512687725</v>
      </c>
      <c r="Q32" s="664" t="n">
        <v>0.41600139855282</v>
      </c>
      <c r="R32" s="529" t="n">
        <v>0.413578778168749</v>
      </c>
      <c r="S32" s="529" t="n">
        <v>0.201082884501356</v>
      </c>
      <c r="T32" s="529" t="n">
        <v>0.231172505920765</v>
      </c>
      <c r="U32" s="529" t="n">
        <v>0.410850222097683</v>
      </c>
      <c r="V32" s="664" t="n">
        <v>0.290192604389704</v>
      </c>
      <c r="W32" s="529" t="n">
        <v>0.24</v>
      </c>
      <c r="X32" s="529" t="n">
        <v>0.24</v>
      </c>
      <c r="Y32" s="529" t="n">
        <v>0.24</v>
      </c>
      <c r="Z32" s="529" t="n">
        <v>0.24</v>
      </c>
      <c r="AA32" s="664" t="n">
        <v>0.24</v>
      </c>
      <c r="AB32" s="529" t="n">
        <v>0.22</v>
      </c>
      <c r="AC32" s="529" t="n">
        <v>0.22</v>
      </c>
      <c r="AD32" s="529" t="n">
        <v>0.22</v>
      </c>
      <c r="AE32" s="529" t="n">
        <v>0.22</v>
      </c>
      <c r="AF32" s="664" t="n">
        <v>0.22</v>
      </c>
      <c r="AG32" s="529" t="n">
        <v>0.2</v>
      </c>
      <c r="AH32" s="529" t="n">
        <v>0.2</v>
      </c>
      <c r="AI32" s="529" t="n">
        <v>0.2</v>
      </c>
      <c r="AJ32" s="529" t="n">
        <v>0.2</v>
      </c>
      <c r="AK32" s="664" t="n">
        <v>0.2</v>
      </c>
    </row>
    <row r="33" ht="15" customHeight="1" s="462">
      <c r="A33" s="461" t="inlineStr">
        <is>
          <t>ARV's</t>
        </is>
      </c>
      <c r="B33" s="662" t="n"/>
      <c r="C33" s="521" t="n"/>
      <c r="D33" s="521" t="n"/>
      <c r="E33" s="521" t="n"/>
      <c r="F33" s="521" t="n"/>
      <c r="G33" s="660" t="n">
        <v>0.406608695652174</v>
      </c>
      <c r="H33" s="529" t="n">
        <v>0.945482866043614</v>
      </c>
      <c r="I33" s="529" t="n">
        <v>-0.199626865671642</v>
      </c>
      <c r="J33" s="529" t="n">
        <v>0.293929712460064</v>
      </c>
      <c r="K33" s="529" t="n">
        <v>-0.0524802300503235</v>
      </c>
      <c r="L33" s="664" t="n">
        <v>0.147378832838774</v>
      </c>
      <c r="M33" s="529" t="n">
        <v>0.100960768614892</v>
      </c>
      <c r="N33" s="529" t="n">
        <v>0.691505768286289</v>
      </c>
      <c r="O33" s="529" t="n">
        <v>0.575232772476997</v>
      </c>
      <c r="P33" s="529" t="n">
        <v>0.285770512687726</v>
      </c>
      <c r="Q33" s="664" t="n">
        <v>0.386845970575778</v>
      </c>
      <c r="R33" s="529" t="n">
        <v>0.413578778168749</v>
      </c>
      <c r="S33" s="529" t="n">
        <v>0.201082884501356</v>
      </c>
      <c r="T33" s="529" t="n">
        <v>0.231172505920765</v>
      </c>
      <c r="U33" s="529" t="n">
        <v>0.410850222097683</v>
      </c>
      <c r="V33" s="664" t="n">
        <v>0.310683032134109</v>
      </c>
      <c r="W33" s="529" t="n">
        <v>0.24</v>
      </c>
      <c r="X33" s="529" t="n">
        <v>0.24</v>
      </c>
      <c r="Y33" s="529" t="n">
        <v>0.24</v>
      </c>
      <c r="Z33" s="529" t="n">
        <v>0.24</v>
      </c>
      <c r="AA33" s="664" t="n">
        <v>0.24</v>
      </c>
      <c r="AB33" s="529" t="n">
        <v>0.22</v>
      </c>
      <c r="AC33" s="529" t="n">
        <v>0.22</v>
      </c>
      <c r="AD33" s="529" t="n">
        <v>0.22</v>
      </c>
      <c r="AE33" s="529" t="n">
        <v>0.22</v>
      </c>
      <c r="AF33" s="664" t="n">
        <v>0.22</v>
      </c>
      <c r="AG33" s="529" t="n">
        <v>0.2</v>
      </c>
      <c r="AH33" s="529" t="n">
        <v>0.2</v>
      </c>
      <c r="AI33" s="529" t="n">
        <v>0.2</v>
      </c>
      <c r="AJ33" s="529" t="n">
        <v>0.2</v>
      </c>
      <c r="AK33" s="664" t="n">
        <v>0.2</v>
      </c>
    </row>
    <row r="34" ht="15" customHeight="1" s="462">
      <c r="A34" s="461" t="inlineStr">
        <is>
          <t>Rest of the World</t>
        </is>
      </c>
      <c r="B34" s="662" t="n"/>
      <c r="C34" s="521" t="n"/>
      <c r="D34" s="521" t="n"/>
      <c r="E34" s="521" t="n"/>
      <c r="F34" s="521" t="n"/>
      <c r="G34" s="660" t="n">
        <v>0.105398457583548</v>
      </c>
      <c r="H34" s="529" t="n">
        <v>0.5609756097560979</v>
      </c>
      <c r="I34" s="529" t="n">
        <v>1.96734693877551</v>
      </c>
      <c r="J34" s="529" t="n">
        <v>0.0848329048843188</v>
      </c>
      <c r="K34" s="529" t="n">
        <v>-0.445623342175066</v>
      </c>
      <c r="L34" s="664" t="n">
        <v>0.194002447980416</v>
      </c>
      <c r="M34" s="529" t="n">
        <v>0.40625</v>
      </c>
      <c r="N34" s="529" t="n">
        <v>0.691505768286289</v>
      </c>
      <c r="O34" s="529" t="n">
        <v>0.575232772476998</v>
      </c>
      <c r="P34" s="529" t="n">
        <v>0.285770512687725</v>
      </c>
      <c r="Q34" s="664" t="n">
        <v>0.523282930719064</v>
      </c>
      <c r="R34" s="529" t="n">
        <v>0.413578778168749</v>
      </c>
      <c r="S34" s="529" t="n">
        <v>0.201082884501356</v>
      </c>
      <c r="T34" s="529" t="n">
        <v>0.231172505920765</v>
      </c>
      <c r="U34" s="529" t="n">
        <v>0.410850222097683</v>
      </c>
      <c r="V34" s="664" t="n">
        <v>0.28435877337897</v>
      </c>
      <c r="W34" s="529" t="n">
        <v>0.24</v>
      </c>
      <c r="X34" s="529" t="n">
        <v>0.24</v>
      </c>
      <c r="Y34" s="529" t="n">
        <v>0.24</v>
      </c>
      <c r="Z34" s="529" t="n">
        <v>0.24</v>
      </c>
      <c r="AA34" s="664" t="n">
        <v>0.24</v>
      </c>
      <c r="AB34" s="529" t="n">
        <v>0.22</v>
      </c>
      <c r="AC34" s="529" t="n">
        <v>0.22</v>
      </c>
      <c r="AD34" s="529" t="n">
        <v>0.22</v>
      </c>
      <c r="AE34" s="529" t="n">
        <v>0.22</v>
      </c>
      <c r="AF34" s="664" t="n">
        <v>0.22</v>
      </c>
      <c r="AG34" s="529" t="n">
        <v>0.2</v>
      </c>
      <c r="AH34" s="529" t="n">
        <v>0.2</v>
      </c>
      <c r="AI34" s="529" t="n">
        <v>0.2</v>
      </c>
      <c r="AJ34" s="529" t="n">
        <v>0.2</v>
      </c>
      <c r="AK34" s="664" t="n">
        <v>0.2</v>
      </c>
    </row>
    <row r="35" ht="15" customHeight="1" s="462">
      <c r="A35" s="522" t="inlineStr">
        <is>
          <t>Total</t>
        </is>
      </c>
      <c r="B35" s="662" t="n"/>
      <c r="C35" s="521" t="n"/>
      <c r="D35" s="521" t="n"/>
      <c r="E35" s="521" t="n"/>
      <c r="F35" s="521" t="n"/>
      <c r="G35" s="660" t="n">
        <v>0.396292487701843</v>
      </c>
      <c r="H35" s="529" t="n">
        <v>0.613028953229399</v>
      </c>
      <c r="I35" s="529" t="n">
        <v>0.332081768877764</v>
      </c>
      <c r="J35" s="529" t="n">
        <v>0.431873479318735</v>
      </c>
      <c r="K35" s="529" t="n">
        <v>0.321038654470345</v>
      </c>
      <c r="L35" s="664" t="n">
        <v>0.403065286624204</v>
      </c>
      <c r="M35" s="529" t="n">
        <v>0.618605453917846</v>
      </c>
      <c r="N35" s="529" t="n">
        <v>0.691505768286289</v>
      </c>
      <c r="O35" s="529" t="n">
        <v>0.575232772476998</v>
      </c>
      <c r="P35" s="529" t="n">
        <v>0.285770512687725</v>
      </c>
      <c r="Q35" s="664" t="n">
        <v>0.518557201238285</v>
      </c>
      <c r="R35" s="529" t="n">
        <v>0.413578778168749</v>
      </c>
      <c r="S35" s="529" t="n">
        <v>0.201082884501356</v>
      </c>
      <c r="T35" s="529" t="n">
        <v>0.231172505920765</v>
      </c>
      <c r="U35" s="529" t="n">
        <v>0.410850222097683</v>
      </c>
      <c r="V35" s="664" t="n">
        <v>0.311845793100926</v>
      </c>
      <c r="W35" s="529" t="n">
        <v>0.24</v>
      </c>
      <c r="X35" s="529" t="n">
        <v>0.24</v>
      </c>
      <c r="Y35" s="529" t="n">
        <v>0.24</v>
      </c>
      <c r="Z35" s="529" t="n">
        <v>0.24</v>
      </c>
      <c r="AA35" s="664" t="n">
        <v>0.24</v>
      </c>
      <c r="AB35" s="529" t="n">
        <v>0.22</v>
      </c>
      <c r="AC35" s="529" t="n">
        <v>0.22</v>
      </c>
      <c r="AD35" s="529" t="n">
        <v>0.22</v>
      </c>
      <c r="AE35" s="529" t="n">
        <v>0.22</v>
      </c>
      <c r="AF35" s="664" t="n">
        <v>0.22</v>
      </c>
      <c r="AG35" s="529" t="n">
        <v>0.2</v>
      </c>
      <c r="AH35" s="529" t="n">
        <v>0.2</v>
      </c>
      <c r="AI35" s="529" t="n">
        <v>0.2</v>
      </c>
      <c r="AJ35" s="529" t="n">
        <v>0.2</v>
      </c>
      <c r="AK35" s="664" t="n">
        <v>0.2</v>
      </c>
    </row>
    <row r="36" ht="15" customHeight="1" s="462">
      <c r="B36" s="662" t="n"/>
      <c r="C36" s="521" t="n"/>
      <c r="D36" s="521" t="n"/>
      <c r="E36" s="521" t="n"/>
      <c r="F36" s="521" t="n"/>
      <c r="G36" s="662" t="n"/>
      <c r="H36" s="461" t="n"/>
      <c r="I36" s="461" t="n"/>
      <c r="J36" s="461" t="n"/>
      <c r="K36" s="461" t="n"/>
      <c r="L36" s="665" t="n"/>
      <c r="M36" s="461" t="n"/>
      <c r="N36" s="461" t="n"/>
      <c r="O36" s="461" t="n"/>
      <c r="P36" s="461" t="n"/>
      <c r="Q36" s="665" t="n"/>
      <c r="R36" s="461" t="n"/>
      <c r="S36" s="461" t="n"/>
      <c r="T36" s="461" t="n"/>
      <c r="U36" s="461" t="n"/>
      <c r="V36" s="662" t="n"/>
      <c r="W36" s="461" t="n"/>
      <c r="X36" s="461" t="n"/>
      <c r="Y36" s="461" t="n"/>
      <c r="Z36" s="461" t="n"/>
      <c r="AA36" s="662" t="n"/>
      <c r="AB36" s="461" t="n"/>
      <c r="AC36" s="461" t="n"/>
      <c r="AD36" s="461" t="n"/>
      <c r="AE36" s="461" t="n"/>
      <c r="AF36" s="662" t="n"/>
      <c r="AG36" s="461" t="n"/>
      <c r="AH36" s="461" t="n"/>
      <c r="AI36" s="461" t="n"/>
      <c r="AJ36" s="461" t="n"/>
      <c r="AK36" s="662" t="n"/>
    </row>
    <row r="37" ht="15" customHeight="1" s="462">
      <c r="A37" s="522" t="inlineStr">
        <is>
          <t>Active Ingredients</t>
        </is>
      </c>
      <c r="B37" s="662" t="n"/>
      <c r="C37" s="521" t="n"/>
      <c r="D37" s="521" t="n"/>
      <c r="E37" s="521" t="n"/>
      <c r="F37" s="521" t="n"/>
      <c r="G37" s="662" t="n"/>
      <c r="H37" s="461" t="n"/>
      <c r="I37" s="461" t="n"/>
      <c r="J37" s="461" t="n"/>
      <c r="K37" s="461" t="n"/>
      <c r="L37" s="665" t="n"/>
      <c r="M37" s="461" t="n"/>
      <c r="N37" s="461" t="n"/>
      <c r="O37" s="461" t="n"/>
      <c r="P37" s="461" t="n"/>
      <c r="Q37" s="665" t="n"/>
      <c r="R37" s="461" t="n"/>
      <c r="S37" s="461" t="n"/>
      <c r="T37" s="461" t="n"/>
      <c r="U37" s="461" t="n"/>
      <c r="V37" s="662" t="n"/>
      <c r="W37" s="461" t="n"/>
      <c r="X37" s="461" t="n"/>
      <c r="Y37" s="461" t="n"/>
      <c r="Z37" s="461" t="n"/>
      <c r="AA37" s="662" t="n"/>
      <c r="AB37" s="461" t="n"/>
      <c r="AC37" s="461" t="n"/>
      <c r="AD37" s="461" t="n"/>
      <c r="AE37" s="461" t="n"/>
      <c r="AF37" s="662" t="n"/>
      <c r="AG37" s="461" t="n"/>
      <c r="AH37" s="461" t="n"/>
      <c r="AI37" s="461" t="n"/>
      <c r="AJ37" s="461" t="n"/>
      <c r="AK37" s="662" t="n"/>
    </row>
    <row r="38" ht="15" customHeight="1" s="462">
      <c r="A38" s="461" t="inlineStr">
        <is>
          <t>SSPs</t>
        </is>
      </c>
      <c r="B38" s="662" t="n"/>
      <c r="C38" s="521" t="n"/>
      <c r="D38" s="521" t="n"/>
      <c r="E38" s="521" t="n"/>
      <c r="F38" s="521" t="n"/>
      <c r="G38" s="660" t="n">
        <v>0.359884999154406</v>
      </c>
      <c r="H38" s="529" t="n">
        <v>0.0080075365049459</v>
      </c>
      <c r="I38" s="529" t="n">
        <v>-0.185250219490781</v>
      </c>
      <c r="J38" s="529" t="n">
        <v>-0.00228832951945079</v>
      </c>
      <c r="K38" s="529" t="n">
        <v>-0.133720930232558</v>
      </c>
      <c r="L38" s="665" t="n">
        <v>-0.0823280686481781</v>
      </c>
      <c r="M38" s="529" t="n">
        <v>-0.291121495327103</v>
      </c>
      <c r="N38" s="529" t="n">
        <v>0.226869948569775</v>
      </c>
      <c r="O38" s="529" t="n">
        <v>0.189986049141373</v>
      </c>
      <c r="P38" s="529" t="n">
        <v>0.09468677622822461</v>
      </c>
      <c r="Q38" s="665" t="n">
        <v>0.0385686299615282</v>
      </c>
      <c r="R38" s="529" t="n">
        <v>0.302334741052766</v>
      </c>
      <c r="S38" s="529" t="n">
        <v>0.0222952310110656</v>
      </c>
      <c r="T38" s="529" t="n">
        <v>0.09050220892447711</v>
      </c>
      <c r="U38" s="529" t="n">
        <v>0.248236009884508</v>
      </c>
      <c r="V38" s="664" t="n">
        <v>0.149096424717007</v>
      </c>
      <c r="W38" s="529" t="n">
        <v>0.24</v>
      </c>
      <c r="X38" s="529" t="n">
        <v>0.24</v>
      </c>
      <c r="Y38" s="529" t="n">
        <v>0.24</v>
      </c>
      <c r="Z38" s="529" t="n">
        <v>0.24</v>
      </c>
      <c r="AA38" s="664" t="n">
        <v>0.24</v>
      </c>
      <c r="AB38" s="529" t="n">
        <v>0.22</v>
      </c>
      <c r="AC38" s="529" t="n">
        <v>0.22</v>
      </c>
      <c r="AD38" s="529" t="n">
        <v>0.22</v>
      </c>
      <c r="AE38" s="529" t="n">
        <v>0.22</v>
      </c>
      <c r="AF38" s="664" t="n">
        <v>0.22</v>
      </c>
      <c r="AG38" s="529" t="n">
        <v>0.2</v>
      </c>
      <c r="AH38" s="529" t="n">
        <v>0.2</v>
      </c>
      <c r="AI38" s="529" t="n">
        <v>0.2</v>
      </c>
      <c r="AJ38" s="529" t="n">
        <v>0.2</v>
      </c>
      <c r="AK38" s="664" t="n">
        <v>0.2</v>
      </c>
    </row>
    <row r="39" ht="15" customHeight="1" s="462">
      <c r="A39" s="461" t="inlineStr">
        <is>
          <t>Cephs</t>
        </is>
      </c>
      <c r="B39" s="662" t="n"/>
      <c r="C39" s="521" t="n"/>
      <c r="D39" s="521" t="n"/>
      <c r="E39" s="521" t="n"/>
      <c r="F39" s="521" t="n"/>
      <c r="G39" s="660" t="n">
        <v>-0.0794835899828901</v>
      </c>
      <c r="H39" s="529" t="n">
        <v>0.194805194805195</v>
      </c>
      <c r="I39" s="529" t="n">
        <v>-0.0107799619530755</v>
      </c>
      <c r="J39" s="529" t="n">
        <v>-0.0475308641975308</v>
      </c>
      <c r="K39" s="529" t="n">
        <v>0.187677053824363</v>
      </c>
      <c r="L39" s="665" t="n">
        <v>0.07198377830348091</v>
      </c>
      <c r="M39" s="529" t="n">
        <v>-0.111253196930946</v>
      </c>
      <c r="N39" s="529" t="n">
        <v>0.226869948569775</v>
      </c>
      <c r="O39" s="529" t="n">
        <v>0.189986049141373</v>
      </c>
      <c r="P39" s="529" t="n">
        <v>0.09468677622822461</v>
      </c>
      <c r="Q39" s="665" t="n">
        <v>0.0995988835637958</v>
      </c>
      <c r="R39" s="529" t="n">
        <v>0.302334741052766</v>
      </c>
      <c r="S39" s="529" t="n">
        <v>0.0222952310110656</v>
      </c>
      <c r="T39" s="529" t="n">
        <v>0.09050220892447711</v>
      </c>
      <c r="U39" s="529" t="n">
        <v>0.248236009884508</v>
      </c>
      <c r="V39" s="664" t="n">
        <v>0.155507973408113</v>
      </c>
      <c r="W39" s="529" t="n">
        <v>0.24</v>
      </c>
      <c r="X39" s="529" t="n">
        <v>0.24</v>
      </c>
      <c r="Y39" s="529" t="n">
        <v>0.24</v>
      </c>
      <c r="Z39" s="529" t="n">
        <v>0.24</v>
      </c>
      <c r="AA39" s="664" t="n">
        <v>0.24</v>
      </c>
      <c r="AB39" s="529" t="n">
        <v>0.22</v>
      </c>
      <c r="AC39" s="529" t="n">
        <v>0.22</v>
      </c>
      <c r="AD39" s="529" t="n">
        <v>0.22</v>
      </c>
      <c r="AE39" s="529" t="n">
        <v>0.22</v>
      </c>
      <c r="AF39" s="664" t="n">
        <v>0.22</v>
      </c>
      <c r="AG39" s="529" t="n">
        <v>0.2</v>
      </c>
      <c r="AH39" s="529" t="n">
        <v>0.2</v>
      </c>
      <c r="AI39" s="529" t="n">
        <v>0.2</v>
      </c>
      <c r="AJ39" s="529" t="n">
        <v>0.2</v>
      </c>
      <c r="AK39" s="664" t="n">
        <v>0.2</v>
      </c>
    </row>
    <row r="40" ht="15" customHeight="1" s="462">
      <c r="A40" s="461" t="inlineStr">
        <is>
          <t>ARVs &amp; Others</t>
        </is>
      </c>
      <c r="B40" s="662" t="n"/>
      <c r="C40" s="521" t="n"/>
      <c r="D40" s="521" t="n"/>
      <c r="E40" s="521" t="n"/>
      <c r="F40" s="521" t="n"/>
      <c r="G40" s="660" t="n">
        <v>-0.488191632928475</v>
      </c>
      <c r="H40" s="529" t="n">
        <v>0.07110091743119271</v>
      </c>
      <c r="I40" s="529" t="n">
        <v>0.509569377990431</v>
      </c>
      <c r="J40" s="529" t="n">
        <v>1.79850746268657</v>
      </c>
      <c r="K40" s="529" t="n">
        <v>1.26582278481013</v>
      </c>
      <c r="L40" s="664" t="n">
        <v>0.808174027686223</v>
      </c>
      <c r="M40" s="529" t="n">
        <v>0.436830835117773</v>
      </c>
      <c r="N40" s="529" t="n">
        <v>0.226869948569775</v>
      </c>
      <c r="O40" s="529" t="n">
        <v>0.189986049141373</v>
      </c>
      <c r="P40" s="529" t="n">
        <v>0.09468677622822461</v>
      </c>
      <c r="Q40" s="664" t="n">
        <v>0.209401800629901</v>
      </c>
      <c r="R40" s="529" t="n">
        <v>0.302334741052766</v>
      </c>
      <c r="S40" s="529" t="n">
        <v>0.0222952310110656</v>
      </c>
      <c r="T40" s="529" t="n">
        <v>0.09050220892447711</v>
      </c>
      <c r="U40" s="529" t="n">
        <v>0.248236009884508</v>
      </c>
      <c r="V40" s="664" t="n">
        <v>0.164016560132791</v>
      </c>
      <c r="W40" s="529" t="n">
        <v>0.24</v>
      </c>
      <c r="X40" s="529" t="n">
        <v>0.24</v>
      </c>
      <c r="Y40" s="529" t="n">
        <v>0.24</v>
      </c>
      <c r="Z40" s="529" t="n">
        <v>0.24</v>
      </c>
      <c r="AA40" s="664" t="n">
        <v>0.24</v>
      </c>
      <c r="AB40" s="529" t="n">
        <v>0.22</v>
      </c>
      <c r="AC40" s="529" t="n">
        <v>0.22</v>
      </c>
      <c r="AD40" s="529" t="n">
        <v>0.22</v>
      </c>
      <c r="AE40" s="529" t="n">
        <v>0.22</v>
      </c>
      <c r="AF40" s="664" t="n">
        <v>0.22</v>
      </c>
      <c r="AG40" s="529" t="n">
        <v>0.2</v>
      </c>
      <c r="AH40" s="529" t="n">
        <v>0.2</v>
      </c>
      <c r="AI40" s="529" t="n">
        <v>0.2</v>
      </c>
      <c r="AJ40" s="529" t="n">
        <v>0.2</v>
      </c>
      <c r="AK40" s="664" t="n">
        <v>0.2</v>
      </c>
    </row>
    <row r="41" ht="15" customHeight="1" s="462">
      <c r="A41" s="522" t="inlineStr">
        <is>
          <t>Total</t>
        </is>
      </c>
      <c r="B41" s="662" t="n"/>
      <c r="C41" s="521" t="n"/>
      <c r="D41" s="521" t="n"/>
      <c r="E41" s="521" t="n"/>
      <c r="F41" s="521" t="n"/>
      <c r="G41" s="660" t="n">
        <v>0.0111067555207109</v>
      </c>
      <c r="H41" s="529" t="n">
        <v>0.07833505687693899</v>
      </c>
      <c r="I41" s="529" t="n">
        <v>-0.0528902410484438</v>
      </c>
      <c r="J41" s="529" t="n">
        <v>0.11028602860286</v>
      </c>
      <c r="K41" s="529" t="n">
        <v>0.138415788050825</v>
      </c>
      <c r="L41" s="664" t="n">
        <v>0.0639700180925305</v>
      </c>
      <c r="M41" s="529" t="n">
        <v>-0.142172140973388</v>
      </c>
      <c r="N41" s="529" t="n">
        <v>0.226869948569775</v>
      </c>
      <c r="O41" s="529" t="n">
        <v>0.189986049141373</v>
      </c>
      <c r="P41" s="529" t="n">
        <v>0.09468677622822461</v>
      </c>
      <c r="Q41" s="664" t="n">
        <v>0.0905406520674512</v>
      </c>
      <c r="R41" s="529" t="n">
        <v>0.302334741052766</v>
      </c>
      <c r="S41" s="529" t="n">
        <v>0.0222952310110656</v>
      </c>
      <c r="T41" s="529" t="n">
        <v>0.09050220892447711</v>
      </c>
      <c r="U41" s="529" t="n">
        <v>0.248236009884508</v>
      </c>
      <c r="V41" s="664" t="n">
        <v>0.154343557215803</v>
      </c>
      <c r="W41" s="529" t="n">
        <v>0.24</v>
      </c>
      <c r="X41" s="529" t="n">
        <v>0.24</v>
      </c>
      <c r="Y41" s="529" t="n">
        <v>0.24</v>
      </c>
      <c r="Z41" s="529" t="n">
        <v>0.24</v>
      </c>
      <c r="AA41" s="664" t="n">
        <v>0.24</v>
      </c>
      <c r="AB41" s="529" t="n">
        <v>0.22</v>
      </c>
      <c r="AC41" s="529" t="n">
        <v>0.22</v>
      </c>
      <c r="AD41" s="529" t="n">
        <v>0.22</v>
      </c>
      <c r="AE41" s="529" t="n">
        <v>0.22</v>
      </c>
      <c r="AF41" s="664" t="n">
        <v>0.22</v>
      </c>
      <c r="AG41" s="529" t="n">
        <v>0.2</v>
      </c>
      <c r="AH41" s="529" t="n">
        <v>0.2</v>
      </c>
      <c r="AI41" s="529" t="n">
        <v>0.2</v>
      </c>
      <c r="AJ41" s="529" t="n">
        <v>0.2</v>
      </c>
      <c r="AK41" s="664" t="n">
        <v>0.2</v>
      </c>
    </row>
    <row r="42" ht="15" customHeight="1" s="462">
      <c r="B42" s="662" t="n"/>
      <c r="C42" s="521" t="n"/>
      <c r="D42" s="521" t="n"/>
      <c r="E42" s="521" t="n"/>
      <c r="F42" s="521" t="n"/>
      <c r="G42" s="662" t="n"/>
      <c r="H42" s="461" t="n"/>
      <c r="I42" s="461" t="n"/>
      <c r="J42" s="461" t="n"/>
      <c r="K42" s="461" t="n"/>
      <c r="L42" s="664" t="n"/>
      <c r="M42" s="461" t="n"/>
      <c r="N42" s="461" t="n"/>
      <c r="O42" s="461" t="n"/>
      <c r="P42" s="461" t="n"/>
      <c r="Q42" s="664" t="n"/>
      <c r="R42" s="461" t="n"/>
      <c r="S42" s="461" t="n"/>
      <c r="T42" s="461" t="n"/>
      <c r="U42" s="461" t="n"/>
      <c r="V42" s="664" t="n"/>
      <c r="W42" s="461" t="n"/>
      <c r="X42" s="461" t="n"/>
      <c r="Y42" s="461" t="n"/>
      <c r="Z42" s="461" t="n"/>
      <c r="AA42" s="664" t="n"/>
      <c r="AB42" s="461" t="n"/>
      <c r="AC42" s="461" t="n"/>
      <c r="AD42" s="461" t="n"/>
      <c r="AE42" s="461" t="n"/>
      <c r="AF42" s="664" t="n"/>
      <c r="AG42" s="461" t="n"/>
      <c r="AH42" s="461" t="n"/>
      <c r="AI42" s="461" t="n"/>
      <c r="AJ42" s="461" t="n"/>
      <c r="AK42" s="664" t="n"/>
    </row>
    <row r="43" ht="15" customHeight="1" s="462">
      <c r="B43" s="563" t="n"/>
      <c r="C43" s="521" t="n"/>
      <c r="D43" s="521" t="n"/>
      <c r="E43" s="521" t="n"/>
      <c r="F43" s="521" t="n"/>
      <c r="G43" s="563" t="n"/>
      <c r="H43" s="461" t="n"/>
      <c r="I43" s="461" t="n"/>
      <c r="J43" s="461" t="n"/>
      <c r="K43" s="461" t="n"/>
      <c r="L43" s="665" t="n"/>
      <c r="M43" s="461" t="n"/>
      <c r="N43" s="461" t="n"/>
      <c r="O43" s="461" t="n"/>
      <c r="P43" s="461" t="n"/>
      <c r="Q43" s="665" t="n"/>
      <c r="R43" s="461" t="n"/>
      <c r="S43" s="461" t="n"/>
      <c r="T43" s="461" t="n"/>
      <c r="U43" s="461" t="n"/>
      <c r="V43" s="665" t="n"/>
      <c r="W43" s="461" t="n"/>
      <c r="X43" s="461" t="n"/>
      <c r="Y43" s="461" t="n"/>
      <c r="Z43" s="461" t="n"/>
      <c r="AA43" s="665" t="n"/>
      <c r="AB43" s="461" t="n"/>
      <c r="AC43" s="461" t="n"/>
      <c r="AD43" s="461" t="n"/>
      <c r="AE43" s="461" t="n"/>
      <c r="AF43" s="665" t="n"/>
      <c r="AG43" s="461" t="n"/>
      <c r="AH43" s="461" t="n"/>
      <c r="AI43" s="461" t="n"/>
      <c r="AJ43" s="461" t="n"/>
      <c r="AK43" s="665" t="n"/>
    </row>
    <row r="44" ht="15" customHeight="1" s="462">
      <c r="A44" s="461" t="inlineStr">
        <is>
          <t>Formulations</t>
        </is>
      </c>
      <c r="B44" s="563" t="n"/>
      <c r="C44" s="521" t="n"/>
      <c r="D44" s="521" t="n"/>
      <c r="E44" s="521" t="n"/>
      <c r="F44" s="521" t="n"/>
      <c r="G44" s="665" t="n">
        <v>0.396292487701843</v>
      </c>
      <c r="H44" s="529" t="n">
        <v>0.613028953229399</v>
      </c>
      <c r="I44" s="529" t="n">
        <v>0.332081768877764</v>
      </c>
      <c r="J44" s="529" t="n">
        <v>0.431873479318735</v>
      </c>
      <c r="K44" s="529" t="n">
        <v>0.321038654470345</v>
      </c>
      <c r="L44" s="665" t="n">
        <v>0.403065286624204</v>
      </c>
      <c r="M44" s="529" t="n">
        <v>0.618605453917846</v>
      </c>
      <c r="N44" s="529" t="n">
        <v>0.691505768286289</v>
      </c>
      <c r="O44" s="529" t="n">
        <v>0.575232772476998</v>
      </c>
      <c r="P44" s="529" t="n">
        <v>0.285770512687725</v>
      </c>
      <c r="Q44" s="665" t="n">
        <v>0.518557201238285</v>
      </c>
      <c r="R44" s="529" t="n">
        <v>0.413578778168749</v>
      </c>
      <c r="S44" s="529" t="n">
        <v>0.201082884501356</v>
      </c>
      <c r="T44" s="529" t="n">
        <v>0.231172505920765</v>
      </c>
      <c r="U44" s="529" t="n">
        <v>0.410850222097683</v>
      </c>
      <c r="V44" s="665" t="n">
        <v>0.311845793100926</v>
      </c>
      <c r="W44" s="529" t="n">
        <v>0.24</v>
      </c>
      <c r="X44" s="529" t="n">
        <v>0.24</v>
      </c>
      <c r="Y44" s="529" t="n">
        <v>0.24</v>
      </c>
      <c r="Z44" s="529" t="n">
        <v>0.24</v>
      </c>
      <c r="AA44" s="665" t="n">
        <v>0.24</v>
      </c>
      <c r="AB44" s="529" t="n">
        <v>0.22</v>
      </c>
      <c r="AC44" s="529" t="n">
        <v>0.22</v>
      </c>
      <c r="AD44" s="529" t="n">
        <v>0.22</v>
      </c>
      <c r="AE44" s="529" t="n">
        <v>0.22</v>
      </c>
      <c r="AF44" s="665" t="n">
        <v>0.22</v>
      </c>
      <c r="AG44" s="529" t="n">
        <v>0.2</v>
      </c>
      <c r="AH44" s="529" t="n">
        <v>0.2</v>
      </c>
      <c r="AI44" s="529" t="n">
        <v>0.2</v>
      </c>
      <c r="AJ44" s="529" t="n">
        <v>0.2</v>
      </c>
      <c r="AK44" s="665" t="n">
        <v>0.2</v>
      </c>
    </row>
    <row r="45" ht="15" customHeight="1" s="462">
      <c r="A45" s="461" t="inlineStr">
        <is>
          <t>Active Ingredients</t>
        </is>
      </c>
      <c r="B45" s="563" t="n"/>
      <c r="C45" s="521" t="n"/>
      <c r="D45" s="521" t="n"/>
      <c r="E45" s="521" t="n"/>
      <c r="F45" s="521" t="n"/>
      <c r="G45" s="665" t="n">
        <v>0.0111067555207109</v>
      </c>
      <c r="H45" s="529" t="n">
        <v>0.07833505687693899</v>
      </c>
      <c r="I45" s="529" t="n">
        <v>-0.0528902410484438</v>
      </c>
      <c r="J45" s="529" t="n">
        <v>0.11028602860286</v>
      </c>
      <c r="K45" s="529" t="n">
        <v>0.138415788050825</v>
      </c>
      <c r="L45" s="665" t="n">
        <v>0.0639700180925305</v>
      </c>
      <c r="M45" s="529" t="n">
        <v>-0.142172140973388</v>
      </c>
      <c r="N45" s="529" t="n">
        <v>0.226869948569775</v>
      </c>
      <c r="O45" s="529" t="n">
        <v>0.189986049141373</v>
      </c>
      <c r="P45" s="529" t="n">
        <v>0.09468677622822461</v>
      </c>
      <c r="Q45" s="665" t="n">
        <v>0.0905406520674512</v>
      </c>
      <c r="R45" s="529" t="n">
        <v>0.302334741052766</v>
      </c>
      <c r="S45" s="529" t="n">
        <v>0.0222952310110656</v>
      </c>
      <c r="T45" s="529" t="n">
        <v>0.09050220892447711</v>
      </c>
      <c r="U45" s="529" t="n">
        <v>0.248236009884508</v>
      </c>
      <c r="V45" s="665" t="n">
        <v>0.154343557215803</v>
      </c>
      <c r="W45" s="529" t="n">
        <v>0.24</v>
      </c>
      <c r="X45" s="529" t="n">
        <v>0.24</v>
      </c>
      <c r="Y45" s="529" t="n">
        <v>0.24</v>
      </c>
      <c r="Z45" s="529" t="n">
        <v>0.24</v>
      </c>
      <c r="AA45" s="665" t="n">
        <v>0.24</v>
      </c>
      <c r="AB45" s="529" t="n">
        <v>0.22</v>
      </c>
      <c r="AC45" s="529" t="n">
        <v>0.22</v>
      </c>
      <c r="AD45" s="529" t="n">
        <v>0.22</v>
      </c>
      <c r="AE45" s="529" t="n">
        <v>0.22</v>
      </c>
      <c r="AF45" s="665" t="n">
        <v>0.22</v>
      </c>
      <c r="AG45" s="529" t="n">
        <v>0.2</v>
      </c>
      <c r="AH45" s="529" t="n">
        <v>0.2</v>
      </c>
      <c r="AI45" s="529" t="n">
        <v>0.2</v>
      </c>
      <c r="AJ45" s="529" t="n">
        <v>0.2</v>
      </c>
      <c r="AK45" s="665" t="n">
        <v>0.2</v>
      </c>
    </row>
    <row r="46" ht="15" customHeight="1" s="462">
      <c r="A46" s="522" t="inlineStr">
        <is>
          <t>Total</t>
        </is>
      </c>
      <c r="B46" s="563" t="n"/>
      <c r="C46" s="521" t="n"/>
      <c r="D46" s="521" t="n"/>
      <c r="E46" s="521" t="n"/>
      <c r="F46" s="521" t="n"/>
      <c r="G46" s="665" t="n">
        <v>0.134289091733253</v>
      </c>
      <c r="H46" s="529" t="n">
        <v>0.247881355932203</v>
      </c>
      <c r="I46" s="529" t="n">
        <v>0.0854572713643178</v>
      </c>
      <c r="J46" s="529" t="n">
        <v>0.240249098656178</v>
      </c>
      <c r="K46" s="529" t="n">
        <v>0.225733634311512</v>
      </c>
      <c r="L46" s="665" t="n">
        <v>0.197461212976022</v>
      </c>
      <c r="M46" s="529" t="n">
        <v>0.1696519524618</v>
      </c>
      <c r="N46" s="529" t="n">
        <v>0.431784613259669</v>
      </c>
      <c r="O46" s="529" t="n">
        <v>0.369730523255814</v>
      </c>
      <c r="P46" s="529" t="n">
        <v>0.193153844383057</v>
      </c>
      <c r="Q46" s="665" t="n">
        <v>0.287968256772674</v>
      </c>
      <c r="R46" s="529" t="n">
        <v>0.365432370746438</v>
      </c>
      <c r="S46" s="529" t="n">
        <v>0.115447549587871</v>
      </c>
      <c r="T46" s="529" t="n">
        <v>0.165981637469753</v>
      </c>
      <c r="U46" s="529" t="n">
        <v>0.338537059505446</v>
      </c>
      <c r="V46" s="665" t="n">
        <v>0.24</v>
      </c>
      <c r="W46" s="529" t="n">
        <v>0.24</v>
      </c>
      <c r="X46" s="529" t="n">
        <v>0.24</v>
      </c>
      <c r="Y46" s="529" t="n">
        <v>0.24</v>
      </c>
      <c r="Z46" s="529" t="n">
        <v>0.24</v>
      </c>
      <c r="AA46" s="665" t="n">
        <v>0.24</v>
      </c>
      <c r="AB46" s="529" t="n">
        <v>0.22</v>
      </c>
      <c r="AC46" s="529" t="n">
        <v>0.22</v>
      </c>
      <c r="AD46" s="529" t="n">
        <v>0.22</v>
      </c>
      <c r="AE46" s="529" t="n">
        <v>0.22</v>
      </c>
      <c r="AF46" s="665" t="n">
        <v>0.22</v>
      </c>
      <c r="AG46" s="529" t="n">
        <v>0.2</v>
      </c>
      <c r="AH46" s="529" t="n">
        <v>0.2</v>
      </c>
      <c r="AI46" s="529" t="n">
        <v>0.2</v>
      </c>
      <c r="AJ46" s="529" t="n">
        <v>0.2</v>
      </c>
      <c r="AK46" s="665" t="n">
        <v>0.2</v>
      </c>
    </row>
    <row r="47" ht="15" customHeight="1" s="462">
      <c r="A47" s="522" t="n"/>
      <c r="B47" s="563" t="n"/>
      <c r="C47" s="521" t="n"/>
      <c r="D47" s="521" t="n"/>
      <c r="E47" s="521" t="n"/>
      <c r="F47" s="521" t="n"/>
      <c r="G47" s="563" t="n"/>
      <c r="H47" s="529" t="n"/>
      <c r="I47" s="529" t="n"/>
      <c r="J47" s="529" t="n"/>
      <c r="K47" s="529" t="n"/>
      <c r="L47" s="563" t="n"/>
      <c r="M47" s="529" t="n"/>
      <c r="N47" s="461" t="n"/>
      <c r="O47" s="461" t="n"/>
      <c r="P47" s="461" t="n"/>
      <c r="Q47" s="563" t="n"/>
      <c r="R47" s="461" t="n"/>
      <c r="S47" s="461" t="n"/>
      <c r="T47" s="461" t="n"/>
      <c r="U47" s="461" t="n"/>
      <c r="V47" s="563" t="n"/>
      <c r="W47" s="461" t="n"/>
      <c r="X47" s="461" t="n"/>
      <c r="Y47" s="461" t="n"/>
      <c r="Z47" s="461" t="n"/>
      <c r="AA47" s="563" t="n"/>
      <c r="AB47" s="461" t="n"/>
      <c r="AC47" s="461" t="n"/>
      <c r="AD47" s="461" t="n"/>
      <c r="AE47" s="461" t="n"/>
      <c r="AF47" s="563" t="n"/>
      <c r="AG47" s="461" t="n"/>
      <c r="AH47" s="461" t="n"/>
      <c r="AI47" s="461" t="n"/>
      <c r="AJ47" s="461" t="n"/>
      <c r="AK47" s="563" t="n"/>
    </row>
    <row r="48" ht="15" customHeight="1" s="462">
      <c r="A48" s="522" t="n"/>
      <c r="B48" s="563" t="n"/>
      <c r="C48" s="521" t="n"/>
      <c r="D48" s="521" t="n"/>
      <c r="E48" s="521" t="n"/>
      <c r="F48" s="521" t="n"/>
      <c r="G48" s="563" t="n"/>
      <c r="H48" s="529" t="n"/>
      <c r="I48" s="529" t="n"/>
      <c r="J48" s="529" t="n"/>
      <c r="K48" s="529" t="n"/>
      <c r="L48" s="563" t="n"/>
      <c r="M48" s="529" t="n"/>
      <c r="Q48" s="563" t="n"/>
      <c r="V48" s="563" t="n"/>
      <c r="AA48" s="563" t="n"/>
      <c r="AF48" s="563" t="n"/>
      <c r="AK48" s="563" t="n"/>
    </row>
    <row r="49" ht="15" customHeight="1" s="462">
      <c r="B49" s="563" t="n"/>
      <c r="C49" s="521" t="n"/>
      <c r="D49" s="521" t="n"/>
      <c r="E49" s="521" t="n"/>
      <c r="F49" s="521" t="n"/>
      <c r="G49" s="563" t="n"/>
      <c r="L49" s="563" t="n"/>
      <c r="Q49" s="563" t="n"/>
      <c r="V49" s="563" t="n"/>
      <c r="AA49" s="563" t="n"/>
      <c r="AF49" s="563" t="n"/>
      <c r="AK49" s="563" t="n"/>
    </row>
    <row r="50" ht="15" customHeight="1" s="462">
      <c r="A50" s="491" t="inlineStr">
        <is>
          <t>Sequential - Q/Q (%) Growth</t>
        </is>
      </c>
      <c r="B50" s="563" t="n"/>
      <c r="C50" s="521" t="n"/>
      <c r="D50" s="521" t="n"/>
      <c r="E50" s="521" t="n"/>
      <c r="F50" s="521" t="n"/>
      <c r="G50" s="563" t="n"/>
      <c r="L50" s="563" t="n"/>
      <c r="Q50" s="563" t="n"/>
      <c r="V50" s="563" t="n"/>
      <c r="AA50" s="563" t="n"/>
      <c r="AF50" s="563" t="n"/>
      <c r="AK50" s="563" t="n"/>
    </row>
    <row r="51" ht="15" customFormat="1" customHeight="1" s="461">
      <c r="A51" s="573" t="n"/>
      <c r="B51" s="563" t="n"/>
      <c r="C51" s="521" t="n"/>
      <c r="D51" s="521" t="n"/>
      <c r="E51" s="521" t="n"/>
      <c r="F51" s="521" t="n"/>
      <c r="G51" s="563" t="n"/>
      <c r="L51" s="563" t="n"/>
      <c r="Q51" s="563" t="n"/>
      <c r="V51" s="563" t="n"/>
      <c r="AA51" s="563" t="n"/>
      <c r="AF51" s="563" t="n"/>
      <c r="AK51" s="563" t="n"/>
    </row>
    <row r="52" ht="15" customHeight="1" s="462">
      <c r="A52" s="522" t="inlineStr">
        <is>
          <t>Formulations</t>
        </is>
      </c>
      <c r="B52" s="563" t="n"/>
      <c r="C52" s="521" t="n"/>
      <c r="D52" s="521" t="n"/>
      <c r="E52" s="521" t="n"/>
      <c r="F52" s="521" t="n"/>
      <c r="G52" s="563" t="n"/>
      <c r="L52" s="563" t="n"/>
      <c r="Q52" s="563" t="n"/>
      <c r="V52" s="563" t="n"/>
      <c r="AA52" s="563" t="n"/>
      <c r="AF52" s="563" t="n"/>
      <c r="AK52" s="563" t="n"/>
    </row>
    <row r="53" ht="15" customHeight="1" s="462">
      <c r="A53" s="461" t="inlineStr">
        <is>
          <t>USA</t>
        </is>
      </c>
      <c r="B53" s="563" t="n"/>
      <c r="C53" s="521" t="n"/>
      <c r="D53" s="529" t="n">
        <v>-0.0512820512820513</v>
      </c>
      <c r="E53" s="529" t="n">
        <v>-0.0405405405405406</v>
      </c>
      <c r="F53" s="529" t="n">
        <v>0.605633802816902</v>
      </c>
      <c r="G53" s="666" t="n">
        <v>0.509277031349968</v>
      </c>
      <c r="H53" s="529" t="n">
        <v>0.0238095238095237</v>
      </c>
      <c r="I53" s="529" t="n">
        <v>0.28641370869033</v>
      </c>
      <c r="J53" s="529" t="n">
        <v>0.357754519505233</v>
      </c>
      <c r="K53" s="529" t="n">
        <v>0.60406447091801</v>
      </c>
      <c r="L53" s="665" t="n">
        <v>1.36710470538364</v>
      </c>
      <c r="M53" s="529" t="n">
        <v>0.00917431192660545</v>
      </c>
      <c r="Q53" s="563" t="n"/>
      <c r="V53" s="563" t="n"/>
      <c r="AA53" s="563" t="n"/>
      <c r="AF53" s="563" t="n"/>
      <c r="AK53" s="563" t="n"/>
    </row>
    <row r="54" ht="15" customHeight="1" s="462">
      <c r="A54" s="461" t="inlineStr">
        <is>
          <t>Europe</t>
        </is>
      </c>
      <c r="B54" s="563" t="n"/>
      <c r="C54" s="521" t="n"/>
      <c r="D54" s="529" t="n">
        <v>0.552486187845304</v>
      </c>
      <c r="E54" s="529" t="n">
        <v>0.140569395017794</v>
      </c>
      <c r="F54" s="529" t="n">
        <v>-0.30421216848674</v>
      </c>
      <c r="G54" s="666" t="n">
        <v>0.57109375</v>
      </c>
      <c r="H54" s="529" t="n">
        <v>0.00224215246636761</v>
      </c>
      <c r="I54" s="529" t="n">
        <v>0.246085011185682</v>
      </c>
      <c r="J54" s="529" t="n">
        <v>-0.161579892280072</v>
      </c>
      <c r="K54" s="529" t="n">
        <v>-0.0321199143468951</v>
      </c>
      <c r="L54" s="665" t="n">
        <v>-0.0437593237195425</v>
      </c>
      <c r="M54" s="529" t="n">
        <v>0.0265486725663717</v>
      </c>
      <c r="Q54" s="563" t="n"/>
      <c r="V54" s="563" t="n"/>
      <c r="AA54" s="563" t="n"/>
      <c r="AF54" s="563" t="n"/>
      <c r="AK54" s="563" t="n"/>
    </row>
    <row r="55" ht="15" customHeight="1" s="462">
      <c r="A55" s="461" t="inlineStr">
        <is>
          <t>ARV's</t>
        </is>
      </c>
      <c r="B55" s="563" t="n"/>
      <c r="C55" s="521" t="n"/>
      <c r="D55" s="529" t="n">
        <v>0.669781931464174</v>
      </c>
      <c r="E55" s="529" t="n">
        <v>-0.124067164179104</v>
      </c>
      <c r="F55" s="529" t="n">
        <v>0.48136315228967</v>
      </c>
      <c r="G55" s="666" t="n">
        <v>0.406608695652174</v>
      </c>
      <c r="H55" s="529" t="n">
        <v>-0.102084831056794</v>
      </c>
      <c r="I55" s="529" t="n">
        <v>-0.313050440352282</v>
      </c>
      <c r="J55" s="529" t="n">
        <v>0.416083916083916</v>
      </c>
      <c r="K55" s="529" t="n">
        <v>0.08477366255144041</v>
      </c>
      <c r="L55" s="665" t="n">
        <v>0.147378832838774</v>
      </c>
      <c r="M55" s="529" t="n">
        <v>0.0433232169954476</v>
      </c>
      <c r="Q55" s="563" t="n"/>
      <c r="V55" s="563" t="n"/>
      <c r="AA55" s="563" t="n"/>
      <c r="AF55" s="563" t="n"/>
      <c r="AK55" s="563" t="n"/>
    </row>
    <row r="56" ht="15" customHeight="1" s="462">
      <c r="A56" s="461" t="inlineStr">
        <is>
          <t>Rest of the World</t>
        </is>
      </c>
      <c r="B56" s="563" t="n"/>
      <c r="C56" s="521" t="n"/>
      <c r="D56" s="529" t="n">
        <v>-0.00406504065040647</v>
      </c>
      <c r="E56" s="529" t="n">
        <v>0.587755102040816</v>
      </c>
      <c r="F56" s="529" t="n">
        <v>0.938303341902314</v>
      </c>
      <c r="G56" s="666" t="n">
        <v>0.105398457583548</v>
      </c>
      <c r="H56" s="529" t="n">
        <v>-0.490716180371353</v>
      </c>
      <c r="I56" s="529" t="n">
        <v>0.893229166666667</v>
      </c>
      <c r="J56" s="529" t="n">
        <v>-0.419532324621733</v>
      </c>
      <c r="K56" s="529" t="n">
        <v>-0.009478672985781981</v>
      </c>
      <c r="L56" s="665" t="n">
        <v>0.194002447980416</v>
      </c>
      <c r="M56" s="529" t="n">
        <v>0.291866028708134</v>
      </c>
      <c r="Q56" s="563" t="n"/>
      <c r="V56" s="563" t="n"/>
      <c r="AA56" s="563" t="n"/>
      <c r="AF56" s="563" t="n"/>
      <c r="AK56" s="563" t="n"/>
    </row>
    <row r="57" ht="15" customHeight="1" s="462">
      <c r="A57" s="522" t="inlineStr">
        <is>
          <t>Total</t>
        </is>
      </c>
      <c r="B57" s="563" t="n"/>
      <c r="C57" s="521" t="n"/>
      <c r="D57" s="529" t="n">
        <v>0.334632516703786</v>
      </c>
      <c r="E57" s="529" t="n">
        <v>0.0287859824780976</v>
      </c>
      <c r="F57" s="529" t="n">
        <v>0.374290348742903</v>
      </c>
      <c r="G57" s="666" t="n">
        <v>0.396292487701843</v>
      </c>
      <c r="H57" s="529" t="n">
        <v>-0.145175568014163</v>
      </c>
      <c r="I57" s="529" t="n">
        <v>0.102174663444943</v>
      </c>
      <c r="J57" s="529" t="n">
        <v>0.105856561227686</v>
      </c>
      <c r="K57" s="529" t="n">
        <v>0.26791277258567</v>
      </c>
      <c r="L57" s="665" t="n">
        <v>0.403065286624204</v>
      </c>
      <c r="M57" s="529" t="n">
        <v>0.047375474648202</v>
      </c>
      <c r="Q57" s="563" t="n"/>
      <c r="V57" s="563" t="n"/>
      <c r="AA57" s="563" t="n"/>
      <c r="AF57" s="563" t="n"/>
      <c r="AK57" s="563" t="n"/>
    </row>
    <row r="58" ht="15" customHeight="1" s="462">
      <c r="B58" s="563" t="n"/>
      <c r="C58" s="521" t="n"/>
      <c r="D58" s="529" t="n"/>
      <c r="E58" s="529" t="n"/>
      <c r="F58" s="529" t="n"/>
      <c r="G58" s="666" t="n"/>
      <c r="L58" s="665" t="n"/>
      <c r="Q58" s="563" t="n"/>
      <c r="V58" s="563" t="n"/>
      <c r="AA58" s="563" t="n"/>
      <c r="AF58" s="563" t="n"/>
      <c r="AK58" s="563" t="n"/>
    </row>
    <row r="59" ht="15" customHeight="1" s="462">
      <c r="A59" s="522" t="inlineStr">
        <is>
          <t>Active Ingredients</t>
        </is>
      </c>
      <c r="B59" s="563" t="n"/>
      <c r="C59" s="521" t="n"/>
      <c r="D59" s="521" t="n"/>
      <c r="E59" s="521" t="n"/>
      <c r="F59" s="521" t="n"/>
      <c r="G59" s="666" t="n"/>
      <c r="L59" s="665" t="n"/>
      <c r="M59" s="529" t="n"/>
      <c r="Q59" s="563" t="n"/>
      <c r="V59" s="563" t="n"/>
      <c r="AA59" s="563" t="n"/>
      <c r="AF59" s="563" t="n"/>
      <c r="AK59" s="563" t="n"/>
    </row>
    <row r="60" ht="15" customHeight="1" s="462">
      <c r="A60" s="461" t="inlineStr">
        <is>
          <t>SSPs</t>
        </is>
      </c>
      <c r="B60" s="563" t="n"/>
      <c r="C60" s="521" t="n"/>
      <c r="D60" s="529" t="n">
        <v>0.0730098916627413</v>
      </c>
      <c r="E60" s="529" t="n">
        <v>-0.232660228270413</v>
      </c>
      <c r="F60" s="529" t="n">
        <v>0.0823798627002288</v>
      </c>
      <c r="G60" s="666" t="n">
        <v>0.359884999154406</v>
      </c>
      <c r="H60" s="529" t="n">
        <v>0.13107822410148</v>
      </c>
      <c r="I60" s="529" t="n">
        <v>-0.132710280373832</v>
      </c>
      <c r="J60" s="529" t="n">
        <v>-0.0603448275862069</v>
      </c>
      <c r="K60" s="529" t="n">
        <v>-0.0602064220183486</v>
      </c>
      <c r="L60" s="665" t="n">
        <v>-0.0823280686481781</v>
      </c>
      <c r="M60" s="529" t="n">
        <v>-0.0744356314826113</v>
      </c>
      <c r="Q60" s="563" t="n"/>
      <c r="V60" s="563" t="n"/>
      <c r="AA60" s="563" t="n"/>
      <c r="AF60" s="563" t="n"/>
      <c r="AK60" s="563" t="n"/>
    </row>
    <row r="61" ht="15" customHeight="1" s="462">
      <c r="A61" s="461" t="inlineStr">
        <is>
          <t>Cephs</t>
        </is>
      </c>
      <c r="B61" s="563" t="n"/>
      <c r="C61" s="521" t="n"/>
      <c r="D61" s="529" t="n">
        <v>0.204736440030558</v>
      </c>
      <c r="E61" s="529" t="n">
        <v>0.0272669625871909</v>
      </c>
      <c r="F61" s="529" t="n">
        <v>-0.128395061728395</v>
      </c>
      <c r="G61" s="666" t="n">
        <v>-0.0794835899828901</v>
      </c>
      <c r="H61" s="529" t="n">
        <v>0.107648725212464</v>
      </c>
      <c r="I61" s="529" t="n">
        <v>-0.00255754475703329</v>
      </c>
      <c r="J61" s="529" t="n">
        <v>-0.0108974358974359</v>
      </c>
      <c r="K61" s="529" t="n">
        <v>0.0868438107582632</v>
      </c>
      <c r="L61" s="665" t="n">
        <v>0.07198377830348091</v>
      </c>
      <c r="M61" s="529" t="n">
        <v>-0.171138938580799</v>
      </c>
      <c r="Q61" s="563" t="n"/>
      <c r="V61" s="563" t="n"/>
      <c r="AA61" s="563" t="n"/>
      <c r="AF61" s="563" t="n"/>
      <c r="AK61" s="563" t="n"/>
    </row>
    <row r="62" ht="15" customHeight="1" s="462">
      <c r="A62" s="461" t="inlineStr">
        <is>
          <t>ARVs &amp; Others</t>
        </is>
      </c>
      <c r="B62" s="563" t="n"/>
      <c r="C62" s="521" t="n"/>
      <c r="D62" s="529" t="n">
        <v>-0.0412844036697247</v>
      </c>
      <c r="E62" s="529" t="n">
        <v>-0.358851674641148</v>
      </c>
      <c r="F62" s="529" t="n">
        <v>0.473880597014925</v>
      </c>
      <c r="G62" s="666" t="n">
        <v>-0.488191632928475</v>
      </c>
      <c r="H62" s="529" t="n">
        <v>0.182278481012658</v>
      </c>
      <c r="I62" s="529" t="n">
        <v>0.35117773019272</v>
      </c>
      <c r="J62" s="529" t="n">
        <v>0.188589540412044</v>
      </c>
      <c r="K62" s="529" t="n">
        <v>0.193333333333333</v>
      </c>
      <c r="L62" s="665" t="n">
        <v>0.808174027686223</v>
      </c>
      <c r="M62" s="529" t="n">
        <v>-0.250279329608939</v>
      </c>
      <c r="Q62" s="563" t="n"/>
      <c r="V62" s="563" t="n"/>
      <c r="AA62" s="563" t="n"/>
      <c r="AF62" s="563" t="n"/>
      <c r="AK62" s="563" t="n"/>
    </row>
    <row r="63" ht="15" customHeight="1" s="462">
      <c r="A63" s="522" t="inlineStr">
        <is>
          <t>Total</t>
        </is>
      </c>
      <c r="B63" s="515" t="n"/>
      <c r="C63" s="521" t="n"/>
      <c r="D63" s="529" t="n">
        <v>0.104705274043433</v>
      </c>
      <c r="E63" s="529" t="n">
        <v>-0.149075590919729</v>
      </c>
      <c r="F63" s="529" t="n">
        <v>0.0173267326732673</v>
      </c>
      <c r="G63" s="666" t="n">
        <v>0.0111067555207109</v>
      </c>
      <c r="H63" s="529" t="n">
        <v>0.127602054609354</v>
      </c>
      <c r="I63" s="529" t="n">
        <v>-0.0297290817549748</v>
      </c>
      <c r="J63" s="529" t="n">
        <v>-0.00247096614776376</v>
      </c>
      <c r="K63" s="529" t="n">
        <v>0.0431013128560813</v>
      </c>
      <c r="L63" s="665" t="n">
        <v>0.0639700180925305</v>
      </c>
      <c r="M63" s="529" t="n">
        <v>-0.150320588933745</v>
      </c>
      <c r="Q63" s="515" t="n"/>
      <c r="V63" s="515" t="n"/>
      <c r="AA63" s="515" t="n"/>
      <c r="AF63" s="515" t="n"/>
      <c r="AK63" s="515" t="n"/>
    </row>
    <row r="64" ht="15" customHeight="1" s="462">
      <c r="B64" s="515" t="n"/>
      <c r="C64" s="521" t="n"/>
      <c r="D64" s="521" t="n"/>
      <c r="E64" s="521" t="n"/>
      <c r="F64" s="521" t="n"/>
      <c r="G64" s="515" t="n"/>
      <c r="L64" s="515" t="n"/>
      <c r="Q64" s="515" t="n"/>
      <c r="V64" s="515" t="n"/>
      <c r="AA64" s="515" t="n"/>
      <c r="AF64" s="515" t="n"/>
      <c r="AK64" s="515" t="n"/>
    </row>
    <row r="65" ht="15" customHeight="1" s="462">
      <c r="B65" s="515" t="n"/>
      <c r="C65" s="521" t="n"/>
      <c r="D65" s="521" t="n"/>
      <c r="E65" s="521" t="n"/>
      <c r="F65" s="521" t="n"/>
      <c r="G65" s="515" t="n"/>
      <c r="L65" s="515" t="n"/>
      <c r="M65" s="573" t="n"/>
      <c r="N65" s="573" t="n"/>
      <c r="O65" s="573" t="n"/>
      <c r="P65" s="573" t="n"/>
      <c r="Q65" s="515" t="n"/>
      <c r="R65" s="573" t="n"/>
      <c r="S65" s="461" t="n"/>
      <c r="T65" s="461" t="n"/>
      <c r="U65" s="461" t="n"/>
      <c r="V65" s="515" t="n"/>
      <c r="AA65" s="515" t="n"/>
      <c r="AF65" s="515" t="n"/>
      <c r="AK65" s="515" t="n"/>
    </row>
    <row r="66" ht="15" customHeight="1" s="462">
      <c r="A66" s="491" t="inlineStr">
        <is>
          <t>Segment Revenues as (%) of Total</t>
        </is>
      </c>
      <c r="B66" s="667" t="n"/>
      <c r="C66" s="573" t="n"/>
      <c r="D66" s="573" t="n"/>
      <c r="E66" s="573" t="n"/>
      <c r="F66" s="573" t="n"/>
      <c r="G66" s="668" t="n"/>
      <c r="L66" s="668" t="n"/>
      <c r="M66" s="573" t="n"/>
      <c r="N66" s="573" t="n"/>
      <c r="O66" s="573" t="n"/>
      <c r="P66" s="573" t="n"/>
      <c r="Q66" s="668" t="n"/>
      <c r="R66" s="573" t="n"/>
      <c r="S66" s="461" t="n"/>
      <c r="T66" s="461" t="n"/>
      <c r="U66" s="461" t="n"/>
      <c r="V66" s="668" t="n"/>
      <c r="AA66" s="668" t="n"/>
      <c r="AF66" s="668" t="n"/>
      <c r="AK66" s="668" t="n"/>
    </row>
    <row r="67" ht="15" customHeight="1" s="462">
      <c r="A67" s="573" t="n"/>
      <c r="B67" s="667" t="n"/>
      <c r="C67" s="573" t="n"/>
      <c r="D67" s="573" t="n"/>
      <c r="E67" s="573" t="n"/>
      <c r="F67" s="573" t="n"/>
      <c r="G67" s="668" t="n"/>
      <c r="L67" s="668" t="n"/>
      <c r="M67" s="461" t="n"/>
      <c r="N67" s="461" t="n"/>
      <c r="O67" s="461" t="n"/>
      <c r="P67" s="461" t="n"/>
      <c r="Q67" s="668" t="n"/>
      <c r="R67" s="461" t="n"/>
      <c r="S67" s="461" t="n"/>
      <c r="T67" s="461" t="n"/>
      <c r="U67" s="461" t="n"/>
      <c r="V67" s="668" t="n"/>
      <c r="AA67" s="668" t="n"/>
      <c r="AF67" s="668" t="n"/>
      <c r="AK67" s="668" t="n"/>
    </row>
    <row r="68" ht="15" customHeight="1" s="462">
      <c r="A68" s="522" t="inlineStr">
        <is>
          <t>Formulations</t>
        </is>
      </c>
      <c r="B68" s="515" t="n"/>
      <c r="C68" s="521" t="n"/>
      <c r="D68" s="521" t="n"/>
      <c r="E68" s="521" t="n"/>
      <c r="F68" s="521" t="n"/>
      <c r="G68" s="515" t="n"/>
      <c r="L68" s="515" t="n"/>
      <c r="Q68" s="515" t="n"/>
      <c r="V68" s="515" t="n"/>
      <c r="AA68" s="515" t="n"/>
      <c r="AF68" s="515" t="n"/>
      <c r="AK68" s="515" t="n"/>
    </row>
    <row r="69" ht="15" customHeight="1" s="462">
      <c r="A69" s="461" t="inlineStr">
        <is>
          <t>USA</t>
        </is>
      </c>
      <c r="B69" s="555" t="n">
        <v>0.217197965592952</v>
      </c>
      <c r="C69" s="529" t="n">
        <v>0.304008908685969</v>
      </c>
      <c r="D69" s="529" t="n">
        <v>0.21610346266166</v>
      </c>
      <c r="E69" s="529" t="n">
        <v>0.20154095701541</v>
      </c>
      <c r="F69" s="529" t="n">
        <v>0.235467689583948</v>
      </c>
      <c r="G69" s="555" t="n">
        <v>0.234773089171975</v>
      </c>
      <c r="H69" s="529" t="n">
        <v>0.282015878494995</v>
      </c>
      <c r="I69" s="529" t="n">
        <v>0.329157532101472</v>
      </c>
      <c r="J69" s="529" t="n">
        <v>0.404134806003965</v>
      </c>
      <c r="K69" s="529" t="n">
        <v>0.5112798749162391</v>
      </c>
      <c r="L69" s="555" t="n">
        <v>0.396084551000142</v>
      </c>
      <c r="M69" s="529" t="n">
        <v>0.492631848329104</v>
      </c>
      <c r="N69" s="657" t="n">
        <v>0.329157532101472</v>
      </c>
      <c r="O69" s="657" t="n">
        <v>0.404134806003965</v>
      </c>
      <c r="P69" s="657" t="n">
        <v>0.5112798749162391</v>
      </c>
      <c r="Q69" s="555" t="n">
        <v>0.433412274232986</v>
      </c>
      <c r="R69" s="657" t="n">
        <v>0.492631848329104</v>
      </c>
      <c r="S69" s="657" t="n">
        <v>0.329157532101472</v>
      </c>
      <c r="T69" s="657" t="n">
        <v>0.404134806003965</v>
      </c>
      <c r="U69" s="657" t="n">
        <v>0.5112798749162391</v>
      </c>
      <c r="V69" s="555" t="n">
        <v>0.438686751781565</v>
      </c>
      <c r="W69" s="657" t="n">
        <v>0.492631848329104</v>
      </c>
      <c r="X69" s="657" t="n">
        <v>0.329157532101472</v>
      </c>
      <c r="Y69" s="657" t="n">
        <v>0.404134806003965</v>
      </c>
      <c r="Z69" s="657" t="n">
        <v>0.5112798749162391</v>
      </c>
      <c r="AA69" s="555" t="n">
        <v>0.438686751781565</v>
      </c>
      <c r="AB69" s="657" t="n">
        <v>0.492631848329104</v>
      </c>
      <c r="AC69" s="657" t="n">
        <v>0.329157532101472</v>
      </c>
      <c r="AD69" s="657" t="n">
        <v>0.404134806003965</v>
      </c>
      <c r="AE69" s="657" t="n">
        <v>0.5112798749162391</v>
      </c>
      <c r="AF69" s="555" t="n">
        <v>0.438686751781565</v>
      </c>
      <c r="AG69" s="657" t="n">
        <v>0.492631848329104</v>
      </c>
      <c r="AH69" s="657" t="n">
        <v>0.329157532101472</v>
      </c>
      <c r="AI69" s="657" t="n">
        <v>0.404134806003965</v>
      </c>
      <c r="AJ69" s="657" t="n">
        <v>0.5112798749162391</v>
      </c>
      <c r="AK69" s="555" t="n">
        <v>0.438686751781565</v>
      </c>
    </row>
    <row r="70" ht="15" customHeight="1" s="462">
      <c r="A70" s="461" t="inlineStr">
        <is>
          <t>Europe</t>
        </is>
      </c>
      <c r="B70" s="555" t="n">
        <v>0.177871654484311</v>
      </c>
      <c r="C70" s="529" t="n">
        <v>0.201559020044543</v>
      </c>
      <c r="D70" s="529" t="n">
        <v>0.234459741343346</v>
      </c>
      <c r="E70" s="529" t="n">
        <v>0.259935117599351</v>
      </c>
      <c r="F70" s="529" t="n">
        <v>0.131602242549425</v>
      </c>
      <c r="G70" s="555" t="n">
        <v>0.200139331210191</v>
      </c>
      <c r="H70" s="529" t="n">
        <v>0.154297549188816</v>
      </c>
      <c r="I70" s="529" t="n">
        <v>0.174444096461008</v>
      </c>
      <c r="J70" s="529" t="n">
        <v>0.13225715094874</v>
      </c>
      <c r="K70" s="529" t="n">
        <v>0.100960464596828</v>
      </c>
      <c r="L70" s="555" t="n">
        <v>0.136402326571145</v>
      </c>
      <c r="M70" s="529" t="n">
        <v>0.0989528907466251</v>
      </c>
      <c r="N70" s="657" t="n">
        <v>0.174444096461008</v>
      </c>
      <c r="O70" s="657" t="n">
        <v>0.13225715094874</v>
      </c>
      <c r="P70" s="657" t="n">
        <v>0.100960464596828</v>
      </c>
      <c r="Q70" s="555" t="n">
        <v>0.127190391664602</v>
      </c>
      <c r="R70" s="657" t="n">
        <v>0.0989528907466251</v>
      </c>
      <c r="S70" s="657" t="n">
        <v>0.174444096461008</v>
      </c>
      <c r="T70" s="657" t="n">
        <v>0.13225715094874</v>
      </c>
      <c r="U70" s="657" t="n">
        <v>0.100960464596828</v>
      </c>
      <c r="V70" s="555" t="n">
        <v>0.12509100043474</v>
      </c>
      <c r="W70" s="657" t="n">
        <v>0.0989528907466251</v>
      </c>
      <c r="X70" s="657" t="n">
        <v>0.174444096461008</v>
      </c>
      <c r="Y70" s="657" t="n">
        <v>0.13225715094874</v>
      </c>
      <c r="Z70" s="657" t="n">
        <v>0.100960464596828</v>
      </c>
      <c r="AA70" s="555" t="n">
        <v>0.12509100043474</v>
      </c>
      <c r="AB70" s="657" t="n">
        <v>0.0989528907466251</v>
      </c>
      <c r="AC70" s="657" t="n">
        <v>0.174444096461008</v>
      </c>
      <c r="AD70" s="657" t="n">
        <v>0.13225715094874</v>
      </c>
      <c r="AE70" s="657" t="n">
        <v>0.100960464596828</v>
      </c>
      <c r="AF70" s="555" t="n">
        <v>0.12509100043474</v>
      </c>
      <c r="AG70" s="657" t="n">
        <v>0.0989528907466251</v>
      </c>
      <c r="AH70" s="657" t="n">
        <v>0.174444096461008</v>
      </c>
      <c r="AI70" s="657" t="n">
        <v>0.13225715094874</v>
      </c>
      <c r="AJ70" s="657" t="n">
        <v>0.100960464596828</v>
      </c>
      <c r="AK70" s="555" t="n">
        <v>0.12509100043474</v>
      </c>
    </row>
    <row r="71" ht="15" customHeight="1" s="462">
      <c r="A71" s="461" t="inlineStr">
        <is>
          <t>ARV's</t>
        </is>
      </c>
      <c r="B71" s="555" t="n">
        <v>0.399516411439371</v>
      </c>
      <c r="C71" s="529" t="n">
        <v>0.357461024498886</v>
      </c>
      <c r="D71" s="529" t="n">
        <v>0.447225698790154</v>
      </c>
      <c r="E71" s="529" t="n">
        <v>0.380778588807786</v>
      </c>
      <c r="F71" s="529" t="n">
        <v>0.410445559161995</v>
      </c>
      <c r="G71" s="555" t="n">
        <v>0.402468152866242</v>
      </c>
      <c r="H71" s="529" t="n">
        <v>0.431135657576804</v>
      </c>
      <c r="I71" s="529" t="n">
        <v>0.268712809270279</v>
      </c>
      <c r="J71" s="529" t="n">
        <v>0.344095157179269</v>
      </c>
      <c r="K71" s="529" t="n">
        <v>0.29439356712084</v>
      </c>
      <c r="L71" s="555" t="n">
        <v>0.3291246985388</v>
      </c>
      <c r="M71" s="529" t="n">
        <v>0.293254569107078</v>
      </c>
      <c r="N71" s="657" t="n">
        <v>0.268712809270279</v>
      </c>
      <c r="O71" s="657" t="n">
        <v>0.344095157179269</v>
      </c>
      <c r="P71" s="657" t="n">
        <v>0.29439356712084</v>
      </c>
      <c r="Q71" s="555" t="n">
        <v>0.300578247308235</v>
      </c>
      <c r="R71" s="657" t="n">
        <v>0.293254569107078</v>
      </c>
      <c r="S71" s="657" t="n">
        <v>0.268712809270279</v>
      </c>
      <c r="T71" s="657" t="n">
        <v>0.344095157179269</v>
      </c>
      <c r="U71" s="657" t="n">
        <v>0.29439356712084</v>
      </c>
      <c r="V71" s="555" t="n">
        <v>0.300311828301304</v>
      </c>
      <c r="W71" s="657" t="n">
        <v>0.293254569107078</v>
      </c>
      <c r="X71" s="657" t="n">
        <v>0.268712809270279</v>
      </c>
      <c r="Y71" s="657" t="n">
        <v>0.344095157179269</v>
      </c>
      <c r="Z71" s="657" t="n">
        <v>0.29439356712084</v>
      </c>
      <c r="AA71" s="555" t="n">
        <v>0.300311828301304</v>
      </c>
      <c r="AB71" s="657" t="n">
        <v>0.293254569107078</v>
      </c>
      <c r="AC71" s="657" t="n">
        <v>0.268712809270279</v>
      </c>
      <c r="AD71" s="657" t="n">
        <v>0.344095157179269</v>
      </c>
      <c r="AE71" s="657" t="n">
        <v>0.29439356712084</v>
      </c>
      <c r="AF71" s="555" t="n">
        <v>0.300311828301304</v>
      </c>
      <c r="AG71" s="657" t="n">
        <v>0.293254569107078</v>
      </c>
      <c r="AH71" s="657" t="n">
        <v>0.268712809270279</v>
      </c>
      <c r="AI71" s="657" t="n">
        <v>0.344095157179269</v>
      </c>
      <c r="AJ71" s="657" t="n">
        <v>0.29439356712084</v>
      </c>
      <c r="AK71" s="555" t="n">
        <v>0.300311828301304</v>
      </c>
    </row>
    <row r="72" ht="15" customHeight="1" s="462">
      <c r="A72" s="461" t="inlineStr">
        <is>
          <t>Rest of the World</t>
        </is>
      </c>
      <c r="B72" s="555" t="n">
        <v>0.205413968483366</v>
      </c>
      <c r="C72" s="529" t="n">
        <v>0.136971046770601</v>
      </c>
      <c r="D72" s="529" t="n">
        <v>0.102211097204839</v>
      </c>
      <c r="E72" s="529" t="n">
        <v>0.157745336577453</v>
      </c>
      <c r="F72" s="529" t="n">
        <v>0.222484508704633</v>
      </c>
      <c r="G72" s="555" t="n">
        <v>0.162619426751592</v>
      </c>
      <c r="H72" s="529" t="n">
        <v>0.132550914739386</v>
      </c>
      <c r="I72" s="529" t="n">
        <v>0.227685562167241</v>
      </c>
      <c r="J72" s="529" t="n">
        <v>0.119512885868026</v>
      </c>
      <c r="K72" s="529" t="n">
        <v>0.0933660933660934</v>
      </c>
      <c r="L72" s="555" t="n">
        <v>0.138388423889913</v>
      </c>
      <c r="M72" s="529" t="n">
        <v>0.115160691817193</v>
      </c>
      <c r="N72" s="657" t="n">
        <v>0.227685562167241</v>
      </c>
      <c r="O72" s="657" t="n">
        <v>0.119512885868026</v>
      </c>
      <c r="P72" s="657" t="n">
        <v>0.0933660933660934</v>
      </c>
      <c r="Q72" s="555" t="n">
        <v>0.138819086794177</v>
      </c>
      <c r="R72" s="657" t="n">
        <v>0.115160691817193</v>
      </c>
      <c r="S72" s="657" t="n">
        <v>0.227685562167241</v>
      </c>
      <c r="T72" s="657" t="n">
        <v>0.119512885868026</v>
      </c>
      <c r="U72" s="657" t="n">
        <v>0.0933660933660934</v>
      </c>
      <c r="V72" s="555" t="n">
        <v>0.135910419482392</v>
      </c>
      <c r="W72" s="657" t="n">
        <v>0.115160691817193</v>
      </c>
      <c r="X72" s="657" t="n">
        <v>0.227685562167241</v>
      </c>
      <c r="Y72" s="657" t="n">
        <v>0.119512885868026</v>
      </c>
      <c r="Z72" s="657" t="n">
        <v>0.0933660933660934</v>
      </c>
      <c r="AA72" s="555" t="n">
        <v>0.135910419482392</v>
      </c>
      <c r="AB72" s="657" t="n">
        <v>0.115160691817193</v>
      </c>
      <c r="AC72" s="657" t="n">
        <v>0.227685562167241</v>
      </c>
      <c r="AD72" s="657" t="n">
        <v>0.119512885868026</v>
      </c>
      <c r="AE72" s="657" t="n">
        <v>0.0933660933660934</v>
      </c>
      <c r="AF72" s="555" t="n">
        <v>0.135910419482392</v>
      </c>
      <c r="AG72" s="657" t="n">
        <v>0.115160691817193</v>
      </c>
      <c r="AH72" s="657" t="n">
        <v>0.227685562167241</v>
      </c>
      <c r="AI72" s="657" t="n">
        <v>0.119512885868026</v>
      </c>
      <c r="AJ72" s="657" t="n">
        <v>0.0933660933660934</v>
      </c>
      <c r="AK72" s="555" t="n">
        <v>0.135910419482392</v>
      </c>
    </row>
    <row r="73" ht="15" customHeight="1" s="462">
      <c r="A73" s="522" t="inlineStr">
        <is>
          <t>Total</t>
        </is>
      </c>
      <c r="B73" s="555" t="n">
        <v>1</v>
      </c>
      <c r="C73" s="529" t="n">
        <v>1</v>
      </c>
      <c r="D73" s="529" t="n">
        <v>1</v>
      </c>
      <c r="E73" s="529" t="n">
        <v>1</v>
      </c>
      <c r="F73" s="529" t="n">
        <v>1</v>
      </c>
      <c r="G73" s="555" t="n">
        <v>1</v>
      </c>
      <c r="H73" s="529" t="n">
        <v>1</v>
      </c>
      <c r="I73" s="529" t="n">
        <v>1</v>
      </c>
      <c r="J73" s="529" t="n">
        <v>1</v>
      </c>
      <c r="K73" s="529" t="n">
        <v>1</v>
      </c>
      <c r="L73" s="555" t="n">
        <v>1</v>
      </c>
      <c r="M73" s="529" t="n">
        <v>1</v>
      </c>
      <c r="N73" s="657" t="n">
        <v>1</v>
      </c>
      <c r="O73" s="657" t="n">
        <v>1</v>
      </c>
      <c r="P73" s="657" t="n">
        <v>1</v>
      </c>
      <c r="Q73" s="555" t="n">
        <v>1</v>
      </c>
      <c r="R73" s="657" t="n">
        <v>1</v>
      </c>
      <c r="S73" s="657" t="n">
        <v>1</v>
      </c>
      <c r="T73" s="657" t="n">
        <v>1</v>
      </c>
      <c r="U73" s="657" t="n">
        <v>1</v>
      </c>
      <c r="V73" s="555" t="n">
        <v>1</v>
      </c>
      <c r="W73" s="657" t="n">
        <v>1</v>
      </c>
      <c r="X73" s="657" t="n">
        <v>1</v>
      </c>
      <c r="Y73" s="657" t="n">
        <v>1</v>
      </c>
      <c r="Z73" s="657" t="n">
        <v>1</v>
      </c>
      <c r="AA73" s="555" t="n">
        <v>1</v>
      </c>
      <c r="AB73" s="657" t="n">
        <v>1</v>
      </c>
      <c r="AC73" s="657" t="n">
        <v>1</v>
      </c>
      <c r="AD73" s="657" t="n">
        <v>1</v>
      </c>
      <c r="AE73" s="657" t="n">
        <v>1</v>
      </c>
      <c r="AF73" s="555" t="n">
        <v>1</v>
      </c>
      <c r="AG73" s="657" t="n">
        <v>1</v>
      </c>
      <c r="AH73" s="657" t="n">
        <v>1</v>
      </c>
      <c r="AI73" s="657" t="n">
        <v>1</v>
      </c>
      <c r="AJ73" s="657" t="n">
        <v>1</v>
      </c>
      <c r="AK73" s="555" t="n">
        <v>1</v>
      </c>
    </row>
    <row r="74" ht="15" customHeight="1" s="462">
      <c r="B74" s="515" t="n"/>
      <c r="G74" s="515" t="n"/>
      <c r="L74" s="515" t="n"/>
      <c r="N74" s="657" t="n"/>
      <c r="O74" s="657" t="n"/>
      <c r="P74" s="657" t="n"/>
      <c r="Q74" s="515" t="n"/>
      <c r="R74" s="657" t="n"/>
      <c r="S74" s="657" t="n"/>
      <c r="T74" s="657" t="n"/>
      <c r="U74" s="657" t="n"/>
      <c r="V74" s="515" t="n"/>
      <c r="W74" s="657" t="n"/>
      <c r="X74" s="657" t="n"/>
      <c r="Y74" s="657" t="n"/>
      <c r="Z74" s="657" t="n"/>
      <c r="AA74" s="515" t="n"/>
      <c r="AB74" s="657" t="n"/>
      <c r="AC74" s="657" t="n"/>
      <c r="AD74" s="657" t="n"/>
      <c r="AE74" s="657" t="n"/>
      <c r="AF74" s="515" t="n"/>
      <c r="AG74" s="657" t="n"/>
      <c r="AH74" s="657" t="n"/>
      <c r="AI74" s="657" t="n"/>
      <c r="AJ74" s="657" t="n"/>
      <c r="AK74" s="515" t="n"/>
    </row>
    <row r="75" ht="15" customHeight="1" s="462">
      <c r="A75" s="522" t="inlineStr">
        <is>
          <t>Active Ingredients</t>
        </is>
      </c>
      <c r="B75" s="515" t="n"/>
      <c r="G75" s="515" t="n"/>
      <c r="L75" s="515" t="n"/>
      <c r="N75" s="657" t="n"/>
      <c r="O75" s="657" t="n"/>
      <c r="P75" s="657" t="n"/>
      <c r="Q75" s="515" t="n"/>
      <c r="R75" s="657" t="n"/>
      <c r="S75" s="657" t="n"/>
      <c r="T75" s="657" t="n"/>
      <c r="U75" s="657" t="n"/>
      <c r="V75" s="515" t="n"/>
      <c r="W75" s="657" t="n"/>
      <c r="X75" s="657" t="n"/>
      <c r="Y75" s="657" t="n"/>
      <c r="Z75" s="657" t="n"/>
      <c r="AA75" s="515" t="n"/>
      <c r="AB75" s="657" t="n"/>
      <c r="AC75" s="657" t="n"/>
      <c r="AD75" s="657" t="n"/>
      <c r="AE75" s="657" t="n"/>
      <c r="AF75" s="515" t="n"/>
      <c r="AG75" s="657" t="n"/>
      <c r="AH75" s="657" t="n"/>
      <c r="AI75" s="657" t="n"/>
      <c r="AJ75" s="657" t="n"/>
      <c r="AK75" s="515" t="n"/>
    </row>
    <row r="76" ht="15" customHeight="1" s="462">
      <c r="A76" s="461" t="inlineStr">
        <is>
          <t>SSPs</t>
        </is>
      </c>
      <c r="B76" s="555" t="n">
        <v>0.386319090552724</v>
      </c>
      <c r="C76" s="529" t="n">
        <v>0.548862461220269</v>
      </c>
      <c r="D76" s="529" t="n">
        <v>0.533114907559092</v>
      </c>
      <c r="E76" s="529" t="n">
        <v>0.480748074807481</v>
      </c>
      <c r="F76" s="529" t="n">
        <v>0.5114895917815629</v>
      </c>
      <c r="G76" s="555" t="n">
        <v>0.519578702507108</v>
      </c>
      <c r="H76" s="529" t="n">
        <v>0.5130664109326299</v>
      </c>
      <c r="I76" s="529" t="n">
        <v>0.458611317024957</v>
      </c>
      <c r="J76" s="529" t="n">
        <v>0.432003963339113</v>
      </c>
      <c r="K76" s="529" t="n">
        <v>0.389218712894799</v>
      </c>
      <c r="L76" s="555" t="n">
        <v>0.448135552046642</v>
      </c>
      <c r="M76" s="529" t="n">
        <v>0.423979877026272</v>
      </c>
      <c r="N76" s="657" t="n">
        <v>0.458611317024957</v>
      </c>
      <c r="O76" s="657" t="n">
        <v>0.432003963339113</v>
      </c>
      <c r="P76" s="657" t="n">
        <v>0.389218712894799</v>
      </c>
      <c r="Q76" s="555" t="n">
        <v>0.426778704162738</v>
      </c>
      <c r="R76" s="657" t="n">
        <v>0.423979877026272</v>
      </c>
      <c r="S76" s="657" t="n">
        <v>0.458611317024957</v>
      </c>
      <c r="T76" s="657" t="n">
        <v>0.432003963339113</v>
      </c>
      <c r="U76" s="657" t="n">
        <v>0.389218712894799</v>
      </c>
      <c r="V76" s="555" t="n">
        <v>0.42483875795313</v>
      </c>
      <c r="W76" s="657" t="n">
        <v>0.423979877026272</v>
      </c>
      <c r="X76" s="657" t="n">
        <v>0.458611317024957</v>
      </c>
      <c r="Y76" s="657" t="n">
        <v>0.432003963339113</v>
      </c>
      <c r="Z76" s="657" t="n">
        <v>0.389218712894799</v>
      </c>
      <c r="AA76" s="555" t="n">
        <v>0.42483875795313</v>
      </c>
      <c r="AB76" s="657" t="n">
        <v>0.423979877026272</v>
      </c>
      <c r="AC76" s="657" t="n">
        <v>0.458611317024957</v>
      </c>
      <c r="AD76" s="657" t="n">
        <v>0.432003963339113</v>
      </c>
      <c r="AE76" s="657" t="n">
        <v>0.389218712894799</v>
      </c>
      <c r="AF76" s="555" t="n">
        <v>0.42483875795313</v>
      </c>
      <c r="AG76" s="657" t="n">
        <v>0.423979877026272</v>
      </c>
      <c r="AH76" s="657" t="n">
        <v>0.458611317024957</v>
      </c>
      <c r="AI76" s="657" t="n">
        <v>0.432003963339113</v>
      </c>
      <c r="AJ76" s="657" t="n">
        <v>0.389218712894799</v>
      </c>
      <c r="AK76" s="555" t="n">
        <v>0.42483875795313</v>
      </c>
    </row>
    <row r="77" ht="15" customHeight="1" s="462">
      <c r="A77" s="461" t="inlineStr">
        <is>
          <t>Cephs</t>
        </is>
      </c>
      <c r="B77" s="555" t="n">
        <v>0.420031360250882</v>
      </c>
      <c r="C77" s="529" t="n">
        <v>0.33841778697001</v>
      </c>
      <c r="D77" s="529" t="n">
        <v>0.369061549262813</v>
      </c>
      <c r="E77" s="529" t="n">
        <v>0.445544554455446</v>
      </c>
      <c r="F77" s="529" t="n">
        <v>0.381724790483915</v>
      </c>
      <c r="G77" s="555" t="n">
        <v>0.38239855259757</v>
      </c>
      <c r="H77" s="529" t="n">
        <v>0.374970031167586</v>
      </c>
      <c r="I77" s="529" t="n">
        <v>0.385470719051149</v>
      </c>
      <c r="J77" s="529" t="n">
        <v>0.382214515729502</v>
      </c>
      <c r="K77" s="529" t="n">
        <v>0.398242697696509</v>
      </c>
      <c r="L77" s="555" t="n">
        <v>0.385278756224948</v>
      </c>
      <c r="M77" s="529" t="n">
        <v>0.38848518725545</v>
      </c>
      <c r="N77" s="657" t="n">
        <v>0.385470719051149</v>
      </c>
      <c r="O77" s="657" t="n">
        <v>0.382214515729502</v>
      </c>
      <c r="P77" s="657" t="n">
        <v>0.398242697696509</v>
      </c>
      <c r="Q77" s="555" t="n">
        <v>0.388478952529316</v>
      </c>
      <c r="R77" s="657" t="n">
        <v>0.38848518725545</v>
      </c>
      <c r="S77" s="657" t="n">
        <v>0.385470719051149</v>
      </c>
      <c r="T77" s="657" t="n">
        <v>0.382214515729502</v>
      </c>
      <c r="U77" s="657" t="n">
        <v>0.398242697696509</v>
      </c>
      <c r="V77" s="555" t="n">
        <v>0.388870821293056</v>
      </c>
      <c r="W77" s="657" t="n">
        <v>0.38848518725545</v>
      </c>
      <c r="X77" s="657" t="n">
        <v>0.385470719051149</v>
      </c>
      <c r="Y77" s="657" t="n">
        <v>0.382214515729502</v>
      </c>
      <c r="Z77" s="657" t="n">
        <v>0.398242697696509</v>
      </c>
      <c r="AA77" s="555" t="n">
        <v>0.388870821293056</v>
      </c>
      <c r="AB77" s="657" t="n">
        <v>0.38848518725545</v>
      </c>
      <c r="AC77" s="657" t="n">
        <v>0.385470719051149</v>
      </c>
      <c r="AD77" s="657" t="n">
        <v>0.382214515729502</v>
      </c>
      <c r="AE77" s="657" t="n">
        <v>0.398242697696509</v>
      </c>
      <c r="AF77" s="555" t="n">
        <v>0.388870821293056</v>
      </c>
      <c r="AG77" s="657" t="n">
        <v>0.38848518725545</v>
      </c>
      <c r="AH77" s="657" t="n">
        <v>0.385470719051149</v>
      </c>
      <c r="AI77" s="657" t="n">
        <v>0.382214515729502</v>
      </c>
      <c r="AJ77" s="657" t="n">
        <v>0.398242697696509</v>
      </c>
      <c r="AK77" s="555" t="n">
        <v>0.388870821293056</v>
      </c>
    </row>
    <row r="78" ht="15" customHeight="1" s="462">
      <c r="A78" s="461" t="inlineStr">
        <is>
          <t>ARVs &amp; Others</t>
        </is>
      </c>
      <c r="B78" s="555" t="n">
        <v>0.193649549196394</v>
      </c>
      <c r="C78" s="529" t="n">
        <v>0.112719751809721</v>
      </c>
      <c r="D78" s="529" t="n">
        <v>0.097823543178095</v>
      </c>
      <c r="E78" s="529" t="n">
        <v>0.0737073707370737</v>
      </c>
      <c r="F78" s="529" t="n">
        <v>0.106785617734523</v>
      </c>
      <c r="G78" s="555" t="n">
        <v>0.0980227448953218</v>
      </c>
      <c r="H78" s="529" t="n">
        <v>0.111963557899784</v>
      </c>
      <c r="I78" s="529" t="n">
        <v>0.155917963923894</v>
      </c>
      <c r="J78" s="529" t="n">
        <v>0.185781520931385</v>
      </c>
      <c r="K78" s="529" t="n">
        <v>0.212538589408692</v>
      </c>
      <c r="L78" s="555" t="n">
        <v>0.16658569172841</v>
      </c>
      <c r="M78" s="529" t="n">
        <v>0.187534935718278</v>
      </c>
      <c r="N78" s="657" t="n">
        <v>0.155917963923894</v>
      </c>
      <c r="O78" s="657" t="n">
        <v>0.185781520931385</v>
      </c>
      <c r="P78" s="657" t="n">
        <v>0.212538589408692</v>
      </c>
      <c r="Q78" s="555" t="n">
        <v>0.184742343307946</v>
      </c>
      <c r="R78" s="657" t="n">
        <v>0.187534935718278</v>
      </c>
      <c r="S78" s="657" t="n">
        <v>0.155917963923894</v>
      </c>
      <c r="T78" s="657" t="n">
        <v>0.185781520931385</v>
      </c>
      <c r="U78" s="657" t="n">
        <v>0.212538589408692</v>
      </c>
      <c r="V78" s="555" t="n">
        <v>0.186290420753814</v>
      </c>
      <c r="W78" s="657" t="n">
        <v>0.187534935718278</v>
      </c>
      <c r="X78" s="657" t="n">
        <v>0.155917963923894</v>
      </c>
      <c r="Y78" s="657" t="n">
        <v>0.185781520931385</v>
      </c>
      <c r="Z78" s="657" t="n">
        <v>0.212538589408692</v>
      </c>
      <c r="AA78" s="555" t="n">
        <v>0.186290420753814</v>
      </c>
      <c r="AB78" s="657" t="n">
        <v>0.187534935718278</v>
      </c>
      <c r="AC78" s="657" t="n">
        <v>0.155917963923894</v>
      </c>
      <c r="AD78" s="657" t="n">
        <v>0.185781520931385</v>
      </c>
      <c r="AE78" s="657" t="n">
        <v>0.212538589408692</v>
      </c>
      <c r="AF78" s="555" t="n">
        <v>0.186290420753814</v>
      </c>
      <c r="AG78" s="657" t="n">
        <v>0.187534935718278</v>
      </c>
      <c r="AH78" s="657" t="n">
        <v>0.155917963923894</v>
      </c>
      <c r="AI78" s="657" t="n">
        <v>0.185781520931385</v>
      </c>
      <c r="AJ78" s="657" t="n">
        <v>0.212538589408692</v>
      </c>
      <c r="AK78" s="555" t="n">
        <v>0.186290420753814</v>
      </c>
    </row>
    <row r="79" ht="15" customHeight="1" s="462">
      <c r="A79" s="522" t="inlineStr">
        <is>
          <t>Total</t>
        </is>
      </c>
      <c r="B79" s="555" t="n">
        <v>1</v>
      </c>
      <c r="C79" s="529" t="n">
        <v>1</v>
      </c>
      <c r="D79" s="529" t="n">
        <v>1</v>
      </c>
      <c r="E79" s="529" t="n">
        <v>1</v>
      </c>
      <c r="F79" s="529" t="n">
        <v>1</v>
      </c>
      <c r="G79" s="555" t="n">
        <v>1</v>
      </c>
      <c r="H79" s="529" t="n">
        <v>1</v>
      </c>
      <c r="I79" s="529" t="n">
        <v>1</v>
      </c>
      <c r="J79" s="529" t="n">
        <v>1</v>
      </c>
      <c r="K79" s="529" t="n">
        <v>1</v>
      </c>
      <c r="L79" s="555" t="n">
        <v>1</v>
      </c>
      <c r="M79" s="529" t="n">
        <v>1</v>
      </c>
      <c r="N79" s="657" t="n">
        <v>1</v>
      </c>
      <c r="O79" s="657" t="n">
        <v>1</v>
      </c>
      <c r="P79" s="657" t="n">
        <v>1</v>
      </c>
      <c r="Q79" s="555" t="n">
        <v>1</v>
      </c>
      <c r="R79" s="657" t="n">
        <v>1</v>
      </c>
      <c r="S79" s="657" t="n">
        <v>1</v>
      </c>
      <c r="T79" s="657" t="n">
        <v>1</v>
      </c>
      <c r="U79" s="657" t="n">
        <v>1</v>
      </c>
      <c r="V79" s="555" t="n">
        <v>1</v>
      </c>
      <c r="W79" s="657" t="n">
        <v>1</v>
      </c>
      <c r="X79" s="657" t="n">
        <v>1</v>
      </c>
      <c r="Y79" s="657" t="n">
        <v>1</v>
      </c>
      <c r="Z79" s="657" t="n">
        <v>1</v>
      </c>
      <c r="AA79" s="555" t="n">
        <v>1</v>
      </c>
      <c r="AB79" s="657" t="n">
        <v>1</v>
      </c>
      <c r="AC79" s="657" t="n">
        <v>1</v>
      </c>
      <c r="AD79" s="657" t="n">
        <v>1</v>
      </c>
      <c r="AE79" s="657" t="n">
        <v>1</v>
      </c>
      <c r="AF79" s="555" t="n">
        <v>1</v>
      </c>
      <c r="AG79" s="657" t="n">
        <v>1</v>
      </c>
      <c r="AH79" s="657" t="n">
        <v>1</v>
      </c>
      <c r="AI79" s="657" t="n">
        <v>1</v>
      </c>
      <c r="AJ79" s="657" t="n">
        <v>1</v>
      </c>
      <c r="AK79" s="555" t="n">
        <v>1</v>
      </c>
    </row>
    <row r="80" ht="15" customHeight="1" s="462">
      <c r="B80" s="515" t="n"/>
      <c r="G80" s="515" t="n"/>
      <c r="L80" s="515" t="n"/>
      <c r="Q80" s="515" t="n"/>
      <c r="R80" s="461" t="n"/>
      <c r="V80" s="515" t="n"/>
      <c r="AA80" s="515" t="n"/>
      <c r="AF80" s="515" t="n"/>
      <c r="AK80" s="515" t="n"/>
    </row>
    <row r="81" ht="15" customHeight="1" s="462">
      <c r="B81" s="515" t="n"/>
      <c r="G81" s="515" t="n"/>
      <c r="L81" s="515" t="n"/>
      <c r="Q81" s="515" t="n"/>
      <c r="V81" s="515" t="n"/>
      <c r="AA81" s="515" t="n"/>
      <c r="AF81" s="515" t="n"/>
      <c r="AK81" s="515" t="n"/>
    </row>
    <row r="82" ht="15" customHeight="1" s="462">
      <c r="A82" s="461" t="inlineStr">
        <is>
          <t>Formulations</t>
        </is>
      </c>
      <c r="B82" s="555" t="n">
        <v>0.319799841793247</v>
      </c>
      <c r="C82" s="529" t="n">
        <v>0.317090395480226</v>
      </c>
      <c r="D82" s="529" t="n">
        <v>0.359370314842579</v>
      </c>
      <c r="E82" s="529" t="n">
        <v>0.404129793510324</v>
      </c>
      <c r="F82" s="529" t="n">
        <v>0.478132054176072</v>
      </c>
      <c r="G82" s="555" t="n">
        <v>0.393668703964896</v>
      </c>
      <c r="H82" s="529" t="n">
        <v>0.409875495189587</v>
      </c>
      <c r="I82" s="529" t="n">
        <v>0.441022099447514</v>
      </c>
      <c r="J82" s="529" t="n">
        <v>0.46656976744186</v>
      </c>
      <c r="K82" s="529" t="n">
        <v>0.51530847145488</v>
      </c>
      <c r="L82" s="555" t="n">
        <v>0.461261614971862</v>
      </c>
      <c r="M82" s="529" t="n">
        <v>0.567200106446033</v>
      </c>
      <c r="N82" s="657" t="n">
        <v>0.521022099447514</v>
      </c>
      <c r="O82" s="657" t="n">
        <v>0.536569767441861</v>
      </c>
      <c r="P82" s="657" t="n">
        <v>0.55530847145488</v>
      </c>
      <c r="Q82" s="555" t="n">
        <v>0.543842709932526</v>
      </c>
      <c r="R82" s="657" t="n">
        <v>0.587200106446033</v>
      </c>
      <c r="S82" s="657" t="n">
        <v>0.561022099447514</v>
      </c>
      <c r="T82" s="657" t="n">
        <v>0.566569767441861</v>
      </c>
      <c r="U82" s="657" t="n">
        <v>0.58530847145488</v>
      </c>
      <c r="V82" s="555" t="n">
        <v>0.575353041236767</v>
      </c>
      <c r="W82" s="657" t="n">
        <v>0.587200106446033</v>
      </c>
      <c r="X82" s="657" t="n">
        <v>0.561022099447514</v>
      </c>
      <c r="Y82" s="657" t="n">
        <v>0.566569767441861</v>
      </c>
      <c r="Z82" s="657" t="n">
        <v>0.58530847145488</v>
      </c>
      <c r="AA82" s="555" t="n">
        <v>0.575353041236768</v>
      </c>
      <c r="AB82" s="657" t="n">
        <v>0.587200106446033</v>
      </c>
      <c r="AC82" s="657" t="n">
        <v>0.561022099447514</v>
      </c>
      <c r="AD82" s="657" t="n">
        <v>0.566569767441861</v>
      </c>
      <c r="AE82" s="657" t="n">
        <v>0.58530847145488</v>
      </c>
      <c r="AF82" s="555" t="n">
        <v>0.575353041236768</v>
      </c>
      <c r="AG82" s="657" t="n">
        <v>0.587200106446033</v>
      </c>
      <c r="AH82" s="657" t="n">
        <v>0.561022099447514</v>
      </c>
      <c r="AI82" s="657" t="n">
        <v>0.566569767441861</v>
      </c>
      <c r="AJ82" s="657" t="n">
        <v>0.58530847145488</v>
      </c>
      <c r="AK82" s="555" t="n">
        <v>0.575353041236768</v>
      </c>
    </row>
    <row r="83" ht="15" customHeight="1" s="462">
      <c r="A83" s="461" t="inlineStr">
        <is>
          <t>Active Ingredients</t>
        </is>
      </c>
      <c r="B83" s="555" t="n">
        <v>0.6802001582067529</v>
      </c>
      <c r="C83" s="529" t="n">
        <v>0.682909604519774</v>
      </c>
      <c r="D83" s="529" t="n">
        <v>0.640629685157421</v>
      </c>
      <c r="E83" s="529" t="n">
        <v>0.595870206489676</v>
      </c>
      <c r="F83" s="529" t="n">
        <v>0.521867945823928</v>
      </c>
      <c r="G83" s="555" t="n">
        <v>0.6063312960351041</v>
      </c>
      <c r="H83" s="529" t="n">
        <v>0.590124504810413</v>
      </c>
      <c r="I83" s="529" t="n">
        <v>0.558977900552486</v>
      </c>
      <c r="J83" s="529" t="n">
        <v>0.53343023255814</v>
      </c>
      <c r="K83" s="529" t="n">
        <v>0.48469152854512</v>
      </c>
      <c r="L83" s="555" t="n">
        <v>0.538738385028138</v>
      </c>
      <c r="M83" s="529" t="n">
        <v>0.432799893553967</v>
      </c>
      <c r="N83" s="657" t="n">
        <v>0.478977900552486</v>
      </c>
      <c r="O83" s="657" t="n">
        <v>0.46343023255814</v>
      </c>
      <c r="P83" s="657" t="n">
        <v>0.44469152854512</v>
      </c>
      <c r="Q83" s="555" t="n">
        <v>0.456157290067474</v>
      </c>
      <c r="R83" s="657" t="n">
        <v>0.412799893553967</v>
      </c>
      <c r="S83" s="657" t="n">
        <v>0.438977900552486</v>
      </c>
      <c r="T83" s="657" t="n">
        <v>0.43343023255814</v>
      </c>
      <c r="U83" s="657" t="n">
        <v>0.41469152854512</v>
      </c>
      <c r="V83" s="555" t="n">
        <v>0.424646958763233</v>
      </c>
      <c r="W83" s="657" t="n">
        <v>0.412799893553967</v>
      </c>
      <c r="X83" s="657" t="n">
        <v>0.438977900552486</v>
      </c>
      <c r="Y83" s="657" t="n">
        <v>0.43343023255814</v>
      </c>
      <c r="Z83" s="657" t="n">
        <v>0.41469152854512</v>
      </c>
      <c r="AA83" s="555" t="n">
        <v>0.424646958763233</v>
      </c>
      <c r="AB83" s="657" t="n">
        <v>0.412799893553967</v>
      </c>
      <c r="AC83" s="657" t="n">
        <v>0.438977900552486</v>
      </c>
      <c r="AD83" s="657" t="n">
        <v>0.43343023255814</v>
      </c>
      <c r="AE83" s="657" t="n">
        <v>0.41469152854512</v>
      </c>
      <c r="AF83" s="555" t="n">
        <v>0.424646958763233</v>
      </c>
      <c r="AG83" s="657" t="n">
        <v>0.412799893553967</v>
      </c>
      <c r="AH83" s="657" t="n">
        <v>0.438977900552486</v>
      </c>
      <c r="AI83" s="657" t="n">
        <v>0.43343023255814</v>
      </c>
      <c r="AJ83" s="657" t="n">
        <v>0.41469152854512</v>
      </c>
      <c r="AK83" s="555" t="n">
        <v>0.424646958763233</v>
      </c>
    </row>
    <row r="84" ht="15" customHeight="1" s="462">
      <c r="A84" s="522" t="inlineStr">
        <is>
          <t>Total</t>
        </is>
      </c>
      <c r="B84" s="555" t="n">
        <v>1</v>
      </c>
      <c r="C84" s="529" t="n">
        <v>1</v>
      </c>
      <c r="D84" s="529" t="n">
        <v>1</v>
      </c>
      <c r="E84" s="529" t="n">
        <v>1</v>
      </c>
      <c r="F84" s="529" t="n">
        <v>1</v>
      </c>
      <c r="G84" s="555" t="n">
        <v>1</v>
      </c>
      <c r="H84" s="529" t="n">
        <v>1</v>
      </c>
      <c r="I84" s="529" t="n">
        <v>1</v>
      </c>
      <c r="J84" s="529" t="n">
        <v>1</v>
      </c>
      <c r="K84" s="529" t="n">
        <v>1</v>
      </c>
      <c r="L84" s="555" t="n">
        <v>1</v>
      </c>
      <c r="M84" s="529" t="n">
        <v>1</v>
      </c>
      <c r="N84" s="657" t="n">
        <v>1</v>
      </c>
      <c r="O84" s="657" t="n">
        <v>1</v>
      </c>
      <c r="P84" s="657" t="n">
        <v>1</v>
      </c>
      <c r="Q84" s="669" t="n">
        <v>1</v>
      </c>
      <c r="R84" s="657" t="n">
        <v>1</v>
      </c>
      <c r="S84" s="657" t="n">
        <v>1</v>
      </c>
      <c r="T84" s="657" t="n">
        <v>1</v>
      </c>
      <c r="U84" s="657" t="n">
        <v>1</v>
      </c>
      <c r="V84" s="555" t="n">
        <v>1</v>
      </c>
      <c r="W84" s="657" t="n">
        <v>1</v>
      </c>
      <c r="X84" s="657" t="n">
        <v>1</v>
      </c>
      <c r="Y84" s="657" t="n">
        <v>1</v>
      </c>
      <c r="Z84" s="657" t="n">
        <v>1</v>
      </c>
      <c r="AA84" s="669" t="n">
        <v>1</v>
      </c>
      <c r="AB84" s="657" t="n">
        <v>1</v>
      </c>
      <c r="AC84" s="657" t="n">
        <v>1</v>
      </c>
      <c r="AD84" s="657" t="n">
        <v>1</v>
      </c>
      <c r="AE84" s="657" t="n">
        <v>1</v>
      </c>
      <c r="AF84" s="555" t="n">
        <v>1</v>
      </c>
      <c r="AG84" s="657" t="n">
        <v>1</v>
      </c>
      <c r="AH84" s="657" t="n">
        <v>1</v>
      </c>
      <c r="AI84" s="657" t="n">
        <v>1</v>
      </c>
      <c r="AJ84" s="657" t="n">
        <v>1</v>
      </c>
      <c r="AK84" s="555" t="n">
        <v>1</v>
      </c>
    </row>
    <row r="85" ht="15" customHeight="1" s="462">
      <c r="B85" s="515" t="n"/>
      <c r="G85" s="515" t="n"/>
      <c r="L85" s="515" t="n"/>
      <c r="Q85" s="515" t="n"/>
      <c r="V85" s="515" t="n"/>
      <c r="AA85" s="515" t="n"/>
      <c r="AF85" s="515" t="n"/>
      <c r="AK85" s="515" t="n"/>
    </row>
    <row r="86" ht="15" customHeight="1" s="462">
      <c r="B86" s="515" t="n"/>
      <c r="G86" s="515" t="n"/>
      <c r="L86" s="515" t="n"/>
      <c r="Q86" s="515" t="n"/>
      <c r="V86" s="515" t="n"/>
      <c r="AA86" s="515" t="n"/>
      <c r="AF86" s="515" t="n"/>
      <c r="AK86" s="515" t="n"/>
    </row>
    <row r="87" ht="15" customHeight="1" s="462">
      <c r="B87" s="515" t="n"/>
      <c r="G87" s="515" t="n"/>
      <c r="L87" s="515" t="n"/>
      <c r="Q87" s="515" t="n"/>
      <c r="V87" s="515" t="n"/>
      <c r="AA87" s="515" t="n"/>
      <c r="AF87" s="515" t="n"/>
      <c r="AK87" s="515" t="n"/>
    </row>
    <row r="88" ht="15" customHeight="1" s="462">
      <c r="B88" s="515" t="n"/>
      <c r="G88" s="515" t="n"/>
      <c r="L88" s="515" t="n"/>
      <c r="Q88" s="515" t="n"/>
      <c r="V88" s="515" t="n"/>
      <c r="AA88" s="515" t="n"/>
      <c r="AF88" s="515" t="n"/>
      <c r="AK88" s="515" t="n"/>
    </row>
    <row r="89" ht="15" customHeight="1" s="462">
      <c r="A89" s="522" t="inlineStr">
        <is>
          <t>Share of Each Quarter in the Total sales</t>
        </is>
      </c>
      <c r="B89" s="515" t="n"/>
      <c r="C89" s="529" t="n"/>
      <c r="G89" s="515" t="n"/>
      <c r="H89" s="529" t="n">
        <v>0.231252453867295</v>
      </c>
      <c r="I89" s="529" t="n">
        <v>0.236879989530166</v>
      </c>
      <c r="J89" s="529" t="n">
        <v>0.247611569166339</v>
      </c>
      <c r="K89" s="529" t="n">
        <v>0.284255987436199</v>
      </c>
      <c r="L89" s="515" t="n"/>
      <c r="Q89" s="515" t="n"/>
      <c r="R89" s="657" t="n">
        <v>0.231252453867295</v>
      </c>
      <c r="S89" s="657" t="n">
        <v>0.236879989530166</v>
      </c>
      <c r="T89" s="657" t="n">
        <v>0.247611569166339</v>
      </c>
      <c r="U89" s="657" t="n">
        <v>0.284255987436199</v>
      </c>
      <c r="V89" s="515" t="n"/>
      <c r="W89" s="657" t="n">
        <v>0.231252453867295</v>
      </c>
      <c r="X89" s="657" t="n">
        <v>0.236879989530166</v>
      </c>
      <c r="Y89" s="657" t="n">
        <v>0.247611569166339</v>
      </c>
      <c r="Z89" s="657" t="n">
        <v>0.284255987436199</v>
      </c>
      <c r="AA89" s="515" t="n"/>
      <c r="AB89" s="657" t="n">
        <v>0.231252453867295</v>
      </c>
      <c r="AC89" s="657" t="n">
        <v>0.236879989530166</v>
      </c>
      <c r="AD89" s="657" t="n">
        <v>0.247611569166339</v>
      </c>
      <c r="AE89" s="657" t="n">
        <v>0.284255987436199</v>
      </c>
      <c r="AF89" s="515" t="n"/>
      <c r="AG89" s="657" t="n">
        <v>0.231252453867295</v>
      </c>
      <c r="AH89" s="657" t="n">
        <v>0.236879989530166</v>
      </c>
      <c r="AI89" s="657" t="n">
        <v>0.247611569166339</v>
      </c>
      <c r="AJ89" s="657" t="n">
        <v>0.284255987436199</v>
      </c>
      <c r="AK89" s="515" t="n"/>
    </row>
    <row r="90" ht="15.75" customHeight="1" s="462">
      <c r="A90" s="489" t="n"/>
      <c r="B90" s="538" t="n"/>
      <c r="C90" s="489" t="n"/>
      <c r="D90" s="489" t="n"/>
      <c r="E90" s="489" t="n"/>
      <c r="F90" s="489" t="n"/>
      <c r="G90" s="538" t="n"/>
      <c r="H90" s="489" t="n"/>
      <c r="I90" s="489" t="n"/>
      <c r="J90" s="489" t="n"/>
      <c r="K90" s="489" t="n"/>
      <c r="L90" s="538" t="n"/>
      <c r="M90" s="489" t="n"/>
      <c r="N90" s="489" t="n"/>
      <c r="O90" s="489" t="n"/>
      <c r="P90" s="489" t="n"/>
      <c r="Q90" s="538" t="n"/>
      <c r="R90" s="489" t="n"/>
      <c r="S90" s="489" t="n"/>
      <c r="T90" s="489" t="n"/>
      <c r="U90" s="489" t="n"/>
      <c r="V90" s="538" t="n"/>
      <c r="W90" s="489" t="n"/>
      <c r="X90" s="489" t="n"/>
      <c r="Y90" s="489" t="n"/>
      <c r="Z90" s="489" t="n"/>
      <c r="AA90" s="538" t="n"/>
      <c r="AB90" s="489" t="n"/>
      <c r="AC90" s="489" t="n"/>
      <c r="AD90" s="489" t="n"/>
      <c r="AE90" s="489" t="n"/>
      <c r="AF90" s="538" t="n"/>
      <c r="AG90" s="489" t="n"/>
      <c r="AH90" s="489" t="n"/>
      <c r="AI90" s="489" t="n"/>
      <c r="AJ90" s="489" t="n"/>
      <c r="AK90"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R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2" activeCellId="0" sqref="A2"/>
    </sheetView>
  </sheetViews>
  <sheetFormatPr baseColWidth="8" defaultColWidth="8.96875" defaultRowHeight="15" zeroHeight="0" outlineLevelRow="0"/>
  <cols>
    <col width="35.71" customWidth="1" style="461" min="1" max="1"/>
    <col hidden="1" outlineLevel="1" width="8.970000000000001" customWidth="1" style="461" min="3" max="6"/>
    <col width="9.130000000000001" customWidth="1" style="461" min="7" max="7"/>
    <col hidden="1" outlineLevel="1" width="9.130000000000001" customWidth="1" style="461" min="8" max="11"/>
    <col width="9.130000000000001" customWidth="1" style="461" min="12" max="12"/>
    <col hidden="1" outlineLevel="1" width="9.130000000000001" customWidth="1" style="461" min="13" max="16"/>
    <col width="9.130000000000001" customWidth="1" style="461" min="17" max="17"/>
    <col hidden="1" outlineLevel="1" width="9.130000000000001" customWidth="1" style="461" min="18" max="21"/>
    <col width="9.130000000000001" customWidth="1" style="461" min="22" max="22"/>
    <col hidden="1" outlineLevel="1" width="8.970000000000001" customWidth="1" style="461" min="23" max="26"/>
    <col width="9.130000000000001" customWidth="1" style="461" min="27" max="27"/>
    <col hidden="1" outlineLevel="1" width="8.970000000000001" customWidth="1" style="461" min="28" max="31"/>
    <col width="9.130000000000001" customWidth="1" style="461" min="32" max="32"/>
    <col hidden="1" outlineLevel="1" width="8.970000000000001" customWidth="1" style="461" min="33" max="36"/>
    <col width="9.130000000000001" customWidth="1" style="461" min="37" max="37"/>
    <col hidden="1" outlineLevel="1" width="8.970000000000001" customWidth="1" style="461" min="38" max="41"/>
    <col width="9.130000000000001" customWidth="1" style="461" min="42" max="42"/>
  </cols>
  <sheetData>
    <row r="1" ht="18.75" customHeight="1" s="462">
      <c r="A1" s="487" t="inlineStr">
        <is>
          <t>Aurobindo Pharma</t>
        </is>
      </c>
      <c r="C1" s="568" t="n"/>
      <c r="E1" s="568" t="n"/>
      <c r="R1" s="468" t="n"/>
    </row>
    <row r="2" ht="15.75" customHeight="1" s="462">
      <c r="A2" s="488" t="inlineStr">
        <is>
          <t>Cost Model</t>
        </is>
      </c>
      <c r="B2" s="468" t="n"/>
      <c r="C2" s="569" t="n"/>
      <c r="D2" s="468" t="n"/>
      <c r="E2" s="615" t="n"/>
      <c r="F2" s="468" t="n"/>
      <c r="G2" s="616" t="n"/>
      <c r="J2" s="506" t="n"/>
      <c r="R2" s="468" t="n"/>
    </row>
    <row r="3" ht="15.75" customHeight="1" s="462">
      <c r="A3" s="489" t="n"/>
      <c r="B3" s="489" t="n"/>
      <c r="C3" s="489" t="n"/>
      <c r="D3" s="489" t="n"/>
      <c r="E3" s="489" t="n"/>
      <c r="F3" s="489" t="n"/>
      <c r="G3" s="489" t="n"/>
      <c r="H3" s="489" t="n"/>
      <c r="I3" s="489" t="n"/>
      <c r="J3" s="489" t="n"/>
      <c r="K3" s="489" t="n"/>
      <c r="L3" s="489" t="n"/>
      <c r="M3" s="489" t="n"/>
      <c r="N3" s="489" t="n"/>
      <c r="O3" s="489" t="n"/>
      <c r="P3" s="489" t="n"/>
      <c r="Q3" s="489" t="n"/>
      <c r="R3" s="489" t="n"/>
      <c r="S3" s="489" t="n"/>
      <c r="T3" s="489" t="n"/>
      <c r="U3" s="489" t="n"/>
      <c r="V3" s="489" t="n"/>
      <c r="W3" s="489" t="n"/>
      <c r="X3" s="489" t="n"/>
      <c r="Y3" s="489" t="n"/>
      <c r="Z3" s="489" t="n"/>
      <c r="AA3" s="489" t="n"/>
      <c r="AB3" s="489" t="n"/>
      <c r="AC3" s="489" t="n"/>
      <c r="AD3" s="489" t="n"/>
      <c r="AE3" s="489" t="n"/>
      <c r="AF3" s="489" t="n"/>
      <c r="AG3" s="489" t="n"/>
      <c r="AH3" s="489" t="n"/>
      <c r="AI3" s="489" t="n"/>
      <c r="AJ3" s="489" t="n"/>
      <c r="AK3" s="489" t="n"/>
      <c r="AL3" s="489" t="n"/>
      <c r="AM3" s="489" t="n"/>
      <c r="AN3" s="489" t="n"/>
      <c r="AO3" s="489" t="n"/>
      <c r="AP3" s="489" t="n"/>
    </row>
    <row r="4" ht="45" customHeight="1" s="462">
      <c r="A4" s="532" t="inlineStr">
        <is>
          <t>For the Fiscal Period Ending</t>
        </is>
      </c>
      <c r="B4" s="533" t="inlineStr">
        <is>
          <t>FY2006 A</t>
        </is>
      </c>
      <c r="C4" s="670" t="inlineStr">
        <is>
          <t>3 months 
Jun 30 2006</t>
        </is>
      </c>
      <c r="D4" s="534" t="inlineStr">
        <is>
          <t>3 months 
Sep-30-2006</t>
        </is>
      </c>
      <c r="E4" s="534" t="inlineStr">
        <is>
          <t>3 months 
Dec-31-2006</t>
        </is>
      </c>
      <c r="F4" s="534" t="inlineStr">
        <is>
          <t>3 months 
Mar-31-2007</t>
        </is>
      </c>
      <c r="G4" s="533" t="inlineStr">
        <is>
          <t>FY2007 A</t>
        </is>
      </c>
      <c r="H4" s="534" t="inlineStr">
        <is>
          <t>3 months 
Jun-30-2007</t>
        </is>
      </c>
      <c r="I4" s="534" t="inlineStr">
        <is>
          <t>3 months 
Sep-30-2007</t>
        </is>
      </c>
      <c r="J4" s="534" t="inlineStr">
        <is>
          <t>3 months 
Dec-31-2007</t>
        </is>
      </c>
      <c r="K4" s="534" t="inlineStr">
        <is>
          <t>3 months 
Mar-31-2008</t>
        </is>
      </c>
      <c r="L4" s="533" t="inlineStr">
        <is>
          <t>FY2008 A</t>
        </is>
      </c>
      <c r="M4" s="534" t="inlineStr">
        <is>
          <t>3 months 
Jun-30-2008</t>
        </is>
      </c>
      <c r="N4" s="534" t="inlineStr">
        <is>
          <t>3 months 
Sep-30-2008</t>
        </is>
      </c>
      <c r="O4" s="534" t="inlineStr">
        <is>
          <t>3 months 
Dec-31-2008</t>
        </is>
      </c>
      <c r="P4" s="534" t="inlineStr">
        <is>
          <t>3 months 
Mar-31-2009</t>
        </is>
      </c>
      <c r="Q4" s="533" t="inlineStr">
        <is>
          <t>FY2009 A</t>
        </is>
      </c>
      <c r="R4" s="534" t="inlineStr">
        <is>
          <t>3 months 
Jun-30-2009</t>
        </is>
      </c>
      <c r="S4" s="535" t="inlineStr">
        <is>
          <t>3 months 
Sep-30-2009</t>
        </is>
      </c>
      <c r="T4" s="535" t="inlineStr">
        <is>
          <t>3 months 
Dec-31-2009</t>
        </is>
      </c>
      <c r="U4" s="535" t="inlineStr">
        <is>
          <t>3 months 
Mar-31-2010</t>
        </is>
      </c>
      <c r="V4" s="536" t="inlineStr">
        <is>
          <t>FY2010 E</t>
        </is>
      </c>
      <c r="W4" s="535" t="inlineStr">
        <is>
          <t>3 months 
Jun-30-2010</t>
        </is>
      </c>
      <c r="X4" s="535" t="inlineStr">
        <is>
          <t>3 months 
Sep-30-2010</t>
        </is>
      </c>
      <c r="Y4" s="535" t="inlineStr">
        <is>
          <t>3 months 
Dec-31-2010</t>
        </is>
      </c>
      <c r="Z4" s="535" t="inlineStr">
        <is>
          <t>3 months 
Mar-31-2011</t>
        </is>
      </c>
      <c r="AA4" s="536" t="inlineStr">
        <is>
          <t>FY2011 E</t>
        </is>
      </c>
      <c r="AB4" s="535" t="inlineStr">
        <is>
          <t>3 months 
Jun-30-2011</t>
        </is>
      </c>
      <c r="AC4" s="535" t="inlineStr">
        <is>
          <t>3 months 
Sep-30-2011</t>
        </is>
      </c>
      <c r="AD4" s="535" t="inlineStr">
        <is>
          <t>3 months 
Dec-31-2011</t>
        </is>
      </c>
      <c r="AE4" s="535" t="inlineStr">
        <is>
          <t>3 months 
Mar-31-2012</t>
        </is>
      </c>
      <c r="AF4" s="536" t="inlineStr">
        <is>
          <t>FY2012 E</t>
        </is>
      </c>
      <c r="AG4" s="535" t="inlineStr">
        <is>
          <t>3 months 
Jun-30-2012</t>
        </is>
      </c>
      <c r="AH4" s="535" t="inlineStr">
        <is>
          <t>3 months 
Sep-30-2012</t>
        </is>
      </c>
      <c r="AI4" s="535" t="inlineStr">
        <is>
          <t>3 months 
Dec-31-2012</t>
        </is>
      </c>
      <c r="AJ4" s="535" t="inlineStr">
        <is>
          <t>3 months 
Mar-31-2013</t>
        </is>
      </c>
      <c r="AK4" s="536" t="inlineStr">
        <is>
          <t>FY2013 E</t>
        </is>
      </c>
      <c r="AL4" s="535" t="inlineStr">
        <is>
          <t>3 months 
Jun-30-2013</t>
        </is>
      </c>
      <c r="AM4" s="535" t="inlineStr">
        <is>
          <t>3 months 
Sep-30-2013</t>
        </is>
      </c>
      <c r="AN4" s="535" t="inlineStr">
        <is>
          <t>3 months 
Dec-31-2013</t>
        </is>
      </c>
      <c r="AO4" s="535" t="inlineStr">
        <is>
          <t>3 months 
Mar-31-2014</t>
        </is>
      </c>
      <c r="AP4" s="536" t="inlineStr">
        <is>
          <t>FY2014 E</t>
        </is>
      </c>
    </row>
    <row r="5" ht="15" customHeight="1" s="462">
      <c r="B5" s="533" t="n"/>
      <c r="G5" s="533" t="n"/>
      <c r="L5" s="515" t="n"/>
      <c r="Q5" s="515" t="n"/>
      <c r="R5" s="468" t="n"/>
      <c r="V5" s="515" t="n"/>
      <c r="AA5" s="515" t="n"/>
      <c r="AF5" s="515" t="n"/>
      <c r="AK5" s="515" t="n"/>
      <c r="AP5" s="515" t="n"/>
    </row>
    <row r="6" ht="15" customFormat="1" customHeight="1" s="461">
      <c r="A6" s="491" t="inlineStr">
        <is>
          <t>Cost Model</t>
        </is>
      </c>
      <c r="B6" s="515" t="n"/>
      <c r="G6" s="515" t="n"/>
      <c r="L6" s="515" t="n"/>
      <c r="Q6" s="515" t="n"/>
      <c r="R6" s="468" t="n"/>
      <c r="V6" s="515" t="n"/>
      <c r="AA6" s="515" t="n"/>
      <c r="AF6" s="515" t="n"/>
      <c r="AK6" s="515" t="n"/>
      <c r="AP6" s="515" t="n"/>
    </row>
    <row r="7" ht="15" customHeight="1" s="462">
      <c r="B7" s="515" t="n"/>
      <c r="C7" s="461" t="n"/>
      <c r="D7" s="461" t="n"/>
      <c r="E7" s="461" t="n"/>
      <c r="F7" s="461" t="n"/>
      <c r="G7" s="515" t="n"/>
      <c r="H7" s="461" t="n"/>
      <c r="I7" s="461" t="n"/>
      <c r="J7" s="461" t="n"/>
      <c r="K7" s="506" t="n"/>
      <c r="L7" s="515" t="n"/>
      <c r="M7" s="461" t="n"/>
      <c r="N7" s="461" t="n"/>
      <c r="O7" s="461" t="n"/>
      <c r="P7" s="461" t="n"/>
      <c r="Q7" s="515" t="n"/>
      <c r="R7" s="521" t="n"/>
      <c r="S7" s="461" t="n"/>
      <c r="T7" s="461" t="n"/>
      <c r="U7" s="461" t="n"/>
      <c r="V7" s="515" t="n"/>
      <c r="W7" s="461" t="n"/>
      <c r="X7" s="461" t="n"/>
      <c r="Y7" s="461" t="n"/>
      <c r="Z7" s="461" t="n"/>
      <c r="AA7" s="515" t="n"/>
      <c r="AB7" s="461" t="n"/>
      <c r="AC7" s="461" t="n"/>
      <c r="AD7" s="461" t="n"/>
      <c r="AE7" s="461" t="n"/>
      <c r="AF7" s="515" t="n"/>
      <c r="AG7" s="461" t="n"/>
      <c r="AH7" s="461" t="n"/>
      <c r="AI7" s="461" t="n"/>
      <c r="AJ7" s="461" t="n"/>
      <c r="AK7" s="515" t="n"/>
      <c r="AL7" s="461" t="n"/>
      <c r="AM7" s="461" t="n"/>
      <c r="AN7" s="461" t="n"/>
      <c r="AO7" s="461" t="n"/>
      <c r="AP7" s="515" t="n"/>
      <c r="AQ7" s="461" t="n"/>
    </row>
    <row r="8" ht="15" customHeight="1" s="462">
      <c r="A8" s="491" t="inlineStr">
        <is>
          <t>As % of Revenues</t>
        </is>
      </c>
      <c r="B8" s="515" t="n"/>
      <c r="G8" s="515" t="n"/>
      <c r="L8" s="515" t="n"/>
      <c r="Q8" s="515" t="n"/>
      <c r="V8" s="515" t="n"/>
      <c r="AA8" s="515" t="n"/>
      <c r="AF8" s="515" t="n"/>
      <c r="AK8" s="515" t="n"/>
      <c r="AP8" s="515" t="n"/>
    </row>
    <row r="9" ht="15" customHeight="1" s="462">
      <c r="B9" s="515" t="n"/>
      <c r="G9" s="515" t="n"/>
      <c r="L9" s="515" t="n"/>
      <c r="Q9" s="515" t="n"/>
      <c r="V9" s="515" t="n"/>
      <c r="AA9" s="515" t="n"/>
      <c r="AF9" s="515" t="n"/>
      <c r="AK9" s="515" t="n"/>
      <c r="AP9" s="515" t="n"/>
    </row>
    <row r="10" ht="15" customHeight="1" s="462">
      <c r="A10" s="461" t="inlineStr">
        <is>
          <t>Excise Duty</t>
        </is>
      </c>
      <c r="B10" s="671" t="n">
        <v>0.0600943674432321</v>
      </c>
      <c r="C10" s="521" t="n">
        <v>0</v>
      </c>
      <c r="D10" s="521" t="n">
        <v>0</v>
      </c>
      <c r="E10" s="521" t="n">
        <v>0</v>
      </c>
      <c r="F10" s="672" t="n">
        <v>0.0513277490643379</v>
      </c>
      <c r="G10" s="671" t="n">
        <v>0.0565722462692537</v>
      </c>
      <c r="H10" s="672" t="n">
        <v>0.0602005508085587</v>
      </c>
      <c r="I10" s="672" t="n">
        <v>0.0578445483987046</v>
      </c>
      <c r="J10" s="672" t="n">
        <v>0.0665858175322441</v>
      </c>
      <c r="K10" s="672" t="n">
        <v>0.00434598560745029</v>
      </c>
      <c r="L10" s="671" t="n">
        <v>0.0456021847047162</v>
      </c>
      <c r="M10" s="672" t="n">
        <v>0.0383848101982201</v>
      </c>
      <c r="N10" s="672" t="n">
        <v>0.0317415152222528</v>
      </c>
      <c r="O10" s="672" t="n">
        <v>0.0286344776553292</v>
      </c>
      <c r="P10" s="672" t="n">
        <v>0.0216152757156176</v>
      </c>
      <c r="Q10" s="671" t="n">
        <v>0.0296298913777867</v>
      </c>
      <c r="R10" s="672" t="n">
        <v>0.0206360150475983</v>
      </c>
      <c r="S10" s="673" t="n">
        <v>0.0317415152222528</v>
      </c>
      <c r="T10" s="673" t="n">
        <v>0.0286344776553292</v>
      </c>
      <c r="U10" s="673" t="n">
        <v>0.0216152757156176</v>
      </c>
      <c r="V10" s="671" t="n">
        <v>0.0259245371886911</v>
      </c>
      <c r="W10" s="673" t="n">
        <v>0.0206360150475983</v>
      </c>
      <c r="X10" s="673" t="n">
        <v>0.0317415152222528</v>
      </c>
      <c r="Y10" s="673" t="n">
        <v>0.0286344776553292</v>
      </c>
      <c r="Z10" s="673" t="n">
        <v>0.0216152757156176</v>
      </c>
      <c r="AA10" s="671" t="n">
        <v>0.0255255583980615</v>
      </c>
      <c r="AB10" s="673" t="n">
        <v>0.0206360150475983</v>
      </c>
      <c r="AC10" s="673" t="n">
        <v>0.0317415152222528</v>
      </c>
      <c r="AD10" s="673" t="n">
        <v>0.0286344776553292</v>
      </c>
      <c r="AE10" s="673" t="n">
        <v>0.0216152757156176</v>
      </c>
      <c r="AF10" s="671" t="n">
        <v>0.0255255583980615</v>
      </c>
      <c r="AG10" s="673" t="n">
        <v>0.0206360150475983</v>
      </c>
      <c r="AH10" s="673" t="n">
        <v>0.0317415152222528</v>
      </c>
      <c r="AI10" s="673" t="n">
        <v>0.0286344776553292</v>
      </c>
      <c r="AJ10" s="673" t="n">
        <v>0.0216152757156176</v>
      </c>
      <c r="AK10" s="671" t="n">
        <v>0.0255255583980615</v>
      </c>
      <c r="AL10" s="673" t="n">
        <v>0.0206360150475983</v>
      </c>
      <c r="AM10" s="673" t="n">
        <v>0.0317415152222528</v>
      </c>
      <c r="AN10" s="673" t="n">
        <v>0.0286344776553292</v>
      </c>
      <c r="AO10" s="673" t="n">
        <v>0.0216152757156176</v>
      </c>
      <c r="AP10" s="671" t="n">
        <v>0.0255255583980615</v>
      </c>
    </row>
    <row r="11" ht="15" customHeight="1" s="462">
      <c r="A11" s="461" t="inlineStr">
        <is>
          <t>Other Operating Income</t>
        </is>
      </c>
      <c r="B11" s="671" t="n"/>
      <c r="C11" s="672" t="n"/>
      <c r="D11" s="672" t="n"/>
      <c r="E11" s="672" t="n"/>
      <c r="F11" s="529" t="n">
        <v>0.0061613144137416</v>
      </c>
      <c r="G11" s="563" t="n">
        <v>0</v>
      </c>
      <c r="H11" s="521" t="n">
        <v>0</v>
      </c>
      <c r="I11" s="529" t="n">
        <v>0.00288797207235798</v>
      </c>
      <c r="J11" s="521" t="n">
        <v>0</v>
      </c>
      <c r="K11" s="521" t="n">
        <v>0</v>
      </c>
      <c r="L11" s="563" t="n">
        <v>0</v>
      </c>
      <c r="M11" s="529" t="n">
        <v>0.00523974006205726</v>
      </c>
      <c r="N11" s="529" t="n">
        <v>0.0119246799999436</v>
      </c>
      <c r="O11" s="529" t="n">
        <v>0.106596825551153</v>
      </c>
      <c r="P11" s="529" t="n">
        <v>0.0645736357333862</v>
      </c>
      <c r="Q11" s="555" t="n">
        <v>0.050709883962291</v>
      </c>
      <c r="R11" s="529" t="n">
        <v>0.0505423629434184</v>
      </c>
      <c r="S11" s="674" t="n">
        <v>0.0505423629434184</v>
      </c>
      <c r="T11" s="674" t="n">
        <v>0.0505423629434184</v>
      </c>
      <c r="U11" s="674" t="n">
        <v>0.0505423629434184</v>
      </c>
      <c r="V11" s="555" t="n">
        <v>0.049089348052859</v>
      </c>
      <c r="W11" s="674" t="n">
        <v>0.0505423629434184</v>
      </c>
      <c r="X11" s="674" t="n">
        <v>0.0505423629434184</v>
      </c>
      <c r="Y11" s="674" t="n">
        <v>0.0505423629434184</v>
      </c>
      <c r="Z11" s="674" t="n">
        <v>0.0505423629434184</v>
      </c>
      <c r="AA11" s="555" t="n">
        <v>0.0399522154602775</v>
      </c>
      <c r="AB11" s="674" t="n">
        <v>0.0505423629434184</v>
      </c>
      <c r="AC11" s="674" t="n">
        <v>0.0505423629434184</v>
      </c>
      <c r="AD11" s="674" t="n">
        <v>0.0505423629434184</v>
      </c>
      <c r="AE11" s="674" t="n">
        <v>0.0505423629434184</v>
      </c>
      <c r="AF11" s="555" t="n">
        <v>0.0324706136848817</v>
      </c>
      <c r="AG11" s="674" t="n">
        <v>0.0505423629434184</v>
      </c>
      <c r="AH11" s="674" t="n">
        <v>0.0505423629434184</v>
      </c>
      <c r="AI11" s="674" t="n">
        <v>0.0505423629434184</v>
      </c>
      <c r="AJ11" s="674" t="n">
        <v>0.0505423629434184</v>
      </c>
      <c r="AK11" s="555" t="n">
        <v>0.02677201682325</v>
      </c>
      <c r="AL11" s="674" t="n">
        <v>0.0505423629434184</v>
      </c>
      <c r="AM11" s="674" t="n">
        <v>0.0505423629434184</v>
      </c>
      <c r="AN11" s="674" t="n">
        <v>0.0505423629434184</v>
      </c>
      <c r="AO11" s="674" t="n">
        <v>0.0505423629434184</v>
      </c>
      <c r="AP11" s="555" t="n">
        <v>0.0224100075358347</v>
      </c>
    </row>
    <row r="12" ht="15" customHeight="1" s="462">
      <c r="A12" s="543" t="inlineStr">
        <is>
          <t>(Increase) / Decrease in Stocks</t>
        </is>
      </c>
      <c r="B12" s="671" t="n">
        <v>-0.0305691536419935</v>
      </c>
      <c r="C12" s="529" t="n">
        <v>-0.101491244071507</v>
      </c>
      <c r="D12" s="529" t="n">
        <v>0.0175833333333333</v>
      </c>
      <c r="E12" s="529" t="n">
        <v>-0.0421839515518547</v>
      </c>
      <c r="F12" s="672" t="n">
        <v>-0.07841739440384959</v>
      </c>
      <c r="G12" s="671" t="n">
        <v>-0.0395739083289634</v>
      </c>
      <c r="H12" s="672" t="n">
        <v>-0.07760751359367279</v>
      </c>
      <c r="I12" s="672" t="n">
        <v>-0.0490884011035145</v>
      </c>
      <c r="J12" s="672" t="n">
        <v>-0.0710434454841935</v>
      </c>
      <c r="K12" s="672" t="n">
        <v>0.0688725836037816</v>
      </c>
      <c r="L12" s="671" t="n">
        <v>-0.0279121886619467</v>
      </c>
      <c r="M12" s="672" t="n">
        <v>-0.0141060286648085</v>
      </c>
      <c r="N12" s="672" t="n">
        <v>-0.0802101735838215</v>
      </c>
      <c r="O12" s="672" t="n">
        <v>-0.022582520679722</v>
      </c>
      <c r="P12" s="672" t="n">
        <v>0.0741341804495701</v>
      </c>
      <c r="Q12" s="671" t="n">
        <v>-0.00677927726753246</v>
      </c>
      <c r="R12" s="672" t="n">
        <v>-0.0123138706438775</v>
      </c>
      <c r="S12" s="673" t="n">
        <v>-0.0802101735838215</v>
      </c>
      <c r="T12" s="673" t="n">
        <v>-0.022582520679722</v>
      </c>
      <c r="U12" s="673" t="n">
        <v>0.0741341804495701</v>
      </c>
      <c r="V12" s="671" t="n">
        <v>-0.0101326795666452</v>
      </c>
      <c r="W12" s="673" t="n">
        <v>-0.0123138706438775</v>
      </c>
      <c r="X12" s="673" t="n">
        <v>-0.0802101735838215</v>
      </c>
      <c r="Y12" s="673" t="n">
        <v>-0.022582520679722</v>
      </c>
      <c r="Z12" s="673" t="n">
        <v>0.0741341804495701</v>
      </c>
      <c r="AA12" s="671" t="n">
        <v>-0.0063664065965209</v>
      </c>
      <c r="AB12" s="673" t="n">
        <v>-0.0123138706438775</v>
      </c>
      <c r="AC12" s="673" t="n">
        <v>-0.0802101735838215</v>
      </c>
      <c r="AD12" s="673" t="n">
        <v>-0.022582520679722</v>
      </c>
      <c r="AE12" s="673" t="n">
        <v>0.0741341804495701</v>
      </c>
      <c r="AF12" s="671" t="n">
        <v>-0.0063664065965209</v>
      </c>
      <c r="AG12" s="673" t="n">
        <v>-0.0123138706438775</v>
      </c>
      <c r="AH12" s="673" t="n">
        <v>-0.0802101735838215</v>
      </c>
      <c r="AI12" s="673" t="n">
        <v>-0.022582520679722</v>
      </c>
      <c r="AJ12" s="673" t="n">
        <v>0.0741341804495701</v>
      </c>
      <c r="AK12" s="671" t="n">
        <v>-0.00636640659652089</v>
      </c>
      <c r="AL12" s="673" t="n">
        <v>-0.0123138706438775</v>
      </c>
      <c r="AM12" s="673" t="n">
        <v>-0.0802101735838215</v>
      </c>
      <c r="AN12" s="673" t="n">
        <v>-0.022582520679722</v>
      </c>
      <c r="AO12" s="673" t="n">
        <v>0.0741341804495701</v>
      </c>
      <c r="AP12" s="671" t="n">
        <v>-0.0063664065965209</v>
      </c>
    </row>
    <row r="13" ht="15" customHeight="1" s="462">
      <c r="A13" s="543" t="inlineStr">
        <is>
          <t>Material Consumed</t>
        </is>
      </c>
      <c r="B13" s="671" t="n">
        <v>0.539445591271011</v>
      </c>
      <c r="C13" s="672" t="n">
        <v>0.6660890186063479</v>
      </c>
      <c r="D13" s="672" t="n">
        <v>0.529520833333333</v>
      </c>
      <c r="E13" s="672" t="n">
        <v>0.6216124148372451</v>
      </c>
      <c r="F13" s="672" t="n">
        <v>0.54125824273748</v>
      </c>
      <c r="G13" s="671" t="n">
        <v>0.522424474051426</v>
      </c>
      <c r="H13" s="672" t="n">
        <v>0.536137984605607</v>
      </c>
      <c r="I13" s="672" t="n">
        <v>0.496176682259806</v>
      </c>
      <c r="J13" s="672" t="n">
        <v>0.487503892230289</v>
      </c>
      <c r="K13" s="672" t="n">
        <v>0.464343163538874</v>
      </c>
      <c r="L13" s="671" t="n">
        <v>0.494132720027897</v>
      </c>
      <c r="M13" s="672" t="n">
        <v>0.505440088286478</v>
      </c>
      <c r="N13" s="672" t="n">
        <v>0.551816158889903</v>
      </c>
      <c r="O13" s="672" t="n">
        <v>0.565739052300536</v>
      </c>
      <c r="P13" s="672" t="n">
        <v>0.420128218408665</v>
      </c>
      <c r="Q13" s="671" t="n">
        <v>0.507104335760066</v>
      </c>
      <c r="R13" s="672" t="n">
        <v>0.485430199223428</v>
      </c>
      <c r="S13" s="673" t="n">
        <v>0.551816158889903</v>
      </c>
      <c r="T13" s="673" t="n">
        <v>0.565739052300536</v>
      </c>
      <c r="U13" s="673" t="n">
        <v>0.420128218408665</v>
      </c>
      <c r="V13" s="671" t="n">
        <v>0.506863401659521</v>
      </c>
      <c r="W13" s="673" t="n">
        <v>0.485430199223428</v>
      </c>
      <c r="X13" s="673" t="n">
        <v>0.551816158889903</v>
      </c>
      <c r="Y13" s="673" t="n">
        <v>0.565739052300536</v>
      </c>
      <c r="Z13" s="673" t="n">
        <v>0.420128218408665</v>
      </c>
      <c r="AA13" s="671" t="n">
        <v>0.5024786267445041</v>
      </c>
      <c r="AB13" s="673" t="n">
        <v>0.485430199223428</v>
      </c>
      <c r="AC13" s="673" t="n">
        <v>0.551816158889903</v>
      </c>
      <c r="AD13" s="673" t="n">
        <v>0.565739052300536</v>
      </c>
      <c r="AE13" s="673" t="n">
        <v>0.420128218408665</v>
      </c>
      <c r="AF13" s="671" t="n">
        <v>0.5024786267445041</v>
      </c>
      <c r="AG13" s="673" t="n">
        <v>0.485430199223428</v>
      </c>
      <c r="AH13" s="673" t="n">
        <v>0.551816158889903</v>
      </c>
      <c r="AI13" s="673" t="n">
        <v>0.565739052300536</v>
      </c>
      <c r="AJ13" s="673" t="n">
        <v>0.420128218408665</v>
      </c>
      <c r="AK13" s="671" t="n">
        <v>0.5024786267445041</v>
      </c>
      <c r="AL13" s="673" t="n">
        <v>0.485430199223428</v>
      </c>
      <c r="AM13" s="673" t="n">
        <v>0.551816158889903</v>
      </c>
      <c r="AN13" s="673" t="n">
        <v>0.565739052300536</v>
      </c>
      <c r="AO13" s="673" t="n">
        <v>0.420128218408665</v>
      </c>
      <c r="AP13" s="671" t="n">
        <v>0.5024786267445041</v>
      </c>
    </row>
    <row r="14" ht="15" customHeight="1" s="462">
      <c r="A14" s="543" t="inlineStr">
        <is>
          <t>Purchase of traded goods</t>
        </is>
      </c>
      <c r="B14" s="671" t="n">
        <v>0.0535830138602182</v>
      </c>
      <c r="C14" s="675" t="n">
        <v>0</v>
      </c>
      <c r="D14" s="521" t="n">
        <v>0</v>
      </c>
      <c r="E14" s="521" t="n">
        <v>0</v>
      </c>
      <c r="F14" s="672" t="n">
        <v>0.0588130458028872</v>
      </c>
      <c r="G14" s="671" t="n">
        <v>0.0600430180160162</v>
      </c>
      <c r="H14" s="672" t="n">
        <v>0.0582939057976132</v>
      </c>
      <c r="I14" s="672" t="n">
        <v>0.06786014153772341</v>
      </c>
      <c r="J14" s="672" t="n">
        <v>0.0799750897261509</v>
      </c>
      <c r="K14" s="672" t="n">
        <v>0.0485254691689008</v>
      </c>
      <c r="L14" s="671" t="n">
        <v>0.06326475439703171</v>
      </c>
      <c r="M14" s="672" t="n">
        <v>0.0306172979244189</v>
      </c>
      <c r="N14" s="672" t="n">
        <v>0.027680590298257</v>
      </c>
      <c r="O14" s="672" t="n">
        <v>0.0207986468987024</v>
      </c>
      <c r="P14" s="672" t="n">
        <v>0.0480416191890243</v>
      </c>
      <c r="Q14" s="671" t="n">
        <v>0.0324436840660482</v>
      </c>
      <c r="R14" s="672" t="n">
        <v>0.0365908238681037</v>
      </c>
      <c r="S14" s="673" t="n">
        <v>0.027680590298257</v>
      </c>
      <c r="T14" s="673" t="n">
        <v>0.0207986468987024</v>
      </c>
      <c r="U14" s="673" t="n">
        <v>0.0480416191890243</v>
      </c>
      <c r="V14" s="671" t="n">
        <v>0.0331012714732687</v>
      </c>
      <c r="W14" s="673" t="n">
        <v>0.0365908238681037</v>
      </c>
      <c r="X14" s="673" t="n">
        <v>0.027680590298257</v>
      </c>
      <c r="Y14" s="673" t="n">
        <v>0.0207986468987024</v>
      </c>
      <c r="Z14" s="673" t="n">
        <v>0.0480416191890243</v>
      </c>
      <c r="AA14" s="671" t="n">
        <v>0.0338247992442992</v>
      </c>
      <c r="AB14" s="673" t="n">
        <v>0.0365908238681037</v>
      </c>
      <c r="AC14" s="673" t="n">
        <v>0.027680590298257</v>
      </c>
      <c r="AD14" s="673" t="n">
        <v>0.0207986468987024</v>
      </c>
      <c r="AE14" s="673" t="n">
        <v>0.0480416191890243</v>
      </c>
      <c r="AF14" s="671" t="n">
        <v>0.0338247992442992</v>
      </c>
      <c r="AG14" s="673" t="n">
        <v>0.0365908238681037</v>
      </c>
      <c r="AH14" s="673" t="n">
        <v>0.027680590298257</v>
      </c>
      <c r="AI14" s="673" t="n">
        <v>0.0207986468987024</v>
      </c>
      <c r="AJ14" s="673" t="n">
        <v>0.0480416191890243</v>
      </c>
      <c r="AK14" s="671" t="n">
        <v>0.0338247992442992</v>
      </c>
      <c r="AL14" s="673" t="n">
        <v>0.0365908238681037</v>
      </c>
      <c r="AM14" s="673" t="n">
        <v>0.027680590298257</v>
      </c>
      <c r="AN14" s="673" t="n">
        <v>0.0207986468987024</v>
      </c>
      <c r="AO14" s="673" t="n">
        <v>0.0480416191890243</v>
      </c>
      <c r="AP14" s="671" t="n">
        <v>0.0338247992442992</v>
      </c>
    </row>
    <row r="15" ht="15" customHeight="1" s="462">
      <c r="A15" s="543" t="inlineStr">
        <is>
          <t>Staff Cost</t>
        </is>
      </c>
      <c r="B15" s="671" t="n">
        <v>0.0604069595989384</v>
      </c>
      <c r="C15" s="672" t="n">
        <v>0.0588288945640277</v>
      </c>
      <c r="D15" s="672" t="n">
        <v>0.0600208333333333</v>
      </c>
      <c r="E15" s="672" t="n">
        <v>0.0497161241483724</v>
      </c>
      <c r="F15" s="672" t="n">
        <v>0.07877383710568529</v>
      </c>
      <c r="G15" s="671" t="n">
        <v>0.0668467972020514</v>
      </c>
      <c r="H15" s="672" t="n">
        <v>0.0780841748464092</v>
      </c>
      <c r="I15" s="672" t="n">
        <v>0.0739024829075207</v>
      </c>
      <c r="J15" s="672" t="n">
        <v>0.081597535193956</v>
      </c>
      <c r="K15" s="672" t="n">
        <v>0.0701142937773388</v>
      </c>
      <c r="L15" s="671" t="n">
        <v>0.07561836625148401</v>
      </c>
      <c r="M15" s="672" t="n">
        <v>0.0811697958375189</v>
      </c>
      <c r="N15" s="672" t="n">
        <v>0.08143950119686789</v>
      </c>
      <c r="O15" s="672" t="n">
        <v>0.0863659187610666</v>
      </c>
      <c r="P15" s="672" t="n">
        <v>0.07110712107086541</v>
      </c>
      <c r="Q15" s="671" t="n">
        <v>0.0796597797454696</v>
      </c>
      <c r="R15" s="672" t="n">
        <v>0.08353594368037159</v>
      </c>
      <c r="S15" s="673" t="n">
        <v>0.08143950119686789</v>
      </c>
      <c r="T15" s="673" t="n">
        <v>0.0863659187610666</v>
      </c>
      <c r="U15" s="673" t="n">
        <v>0.07110712107086541</v>
      </c>
      <c r="V15" s="671" t="n">
        <v>0.08045621893751</v>
      </c>
      <c r="W15" s="673" t="n">
        <v>0.08353594368037159</v>
      </c>
      <c r="X15" s="673" t="n">
        <v>0.08143950119686789</v>
      </c>
      <c r="Y15" s="673" t="n">
        <v>0.0863659187610666</v>
      </c>
      <c r="Z15" s="673" t="n">
        <v>0.07110712107086541</v>
      </c>
      <c r="AA15" s="671" t="n">
        <v>0.08020710573372659</v>
      </c>
      <c r="AB15" s="673" t="n">
        <v>0.08353594368037159</v>
      </c>
      <c r="AC15" s="673" t="n">
        <v>0.08143950119686789</v>
      </c>
      <c r="AD15" s="673" t="n">
        <v>0.0863659187610666</v>
      </c>
      <c r="AE15" s="673" t="n">
        <v>0.07110712107086541</v>
      </c>
      <c r="AF15" s="671" t="n">
        <v>0.08020710573372659</v>
      </c>
      <c r="AG15" s="673" t="n">
        <v>0.08353594368037159</v>
      </c>
      <c r="AH15" s="673" t="n">
        <v>0.08143950119686789</v>
      </c>
      <c r="AI15" s="673" t="n">
        <v>0.0863659187610666</v>
      </c>
      <c r="AJ15" s="673" t="n">
        <v>0.07110712107086541</v>
      </c>
      <c r="AK15" s="671" t="n">
        <v>0.08020710573372659</v>
      </c>
      <c r="AL15" s="673" t="n">
        <v>0.08353594368037159</v>
      </c>
      <c r="AM15" s="673" t="n">
        <v>0.08143950119686789</v>
      </c>
      <c r="AN15" s="673" t="n">
        <v>0.0863659187610666</v>
      </c>
      <c r="AO15" s="673" t="n">
        <v>0.07110712107086541</v>
      </c>
      <c r="AP15" s="671" t="n">
        <v>0.08020710573372659</v>
      </c>
    </row>
    <row r="16" ht="15" customHeight="1" s="462">
      <c r="A16" s="543" t="inlineStr">
        <is>
          <t>Depreciation / Amortization</t>
        </is>
      </c>
      <c r="B16" s="671" t="n">
        <v>0.0425420230020643</v>
      </c>
      <c r="C16" s="672" t="n">
        <v>0.0325611090842758</v>
      </c>
      <c r="D16" s="672" t="n">
        <v>0.0312291666666667</v>
      </c>
      <c r="E16" s="672" t="n">
        <v>0.0308289174867525</v>
      </c>
      <c r="F16" s="672" t="n">
        <v>0.0417037961147746</v>
      </c>
      <c r="G16" s="671" t="n">
        <v>0.0443156669125686</v>
      </c>
      <c r="H16" s="672" t="n">
        <v>0.0412223713014618</v>
      </c>
      <c r="I16" s="672" t="n">
        <v>0.0374085402422934</v>
      </c>
      <c r="J16" s="672" t="n">
        <v>0.0419541454301119</v>
      </c>
      <c r="K16" s="672" t="n">
        <v>0.0373641879497672</v>
      </c>
      <c r="L16" s="671" t="n">
        <v>0.0393293865509013</v>
      </c>
      <c r="M16" s="672" t="n">
        <v>0.0382574739314365</v>
      </c>
      <c r="N16" s="672" t="n">
        <v>0.0398219270608158</v>
      </c>
      <c r="O16" s="672" t="n">
        <v>0.0410687386030286</v>
      </c>
      <c r="P16" s="672" t="n">
        <v>0.0404797256080016</v>
      </c>
      <c r="Q16" s="671" t="n">
        <v>0.0399558561733139</v>
      </c>
      <c r="R16" s="672" t="n">
        <v>0.0402317620447315</v>
      </c>
      <c r="S16" s="673" t="n"/>
      <c r="T16" s="673" t="n"/>
      <c r="U16" s="673" t="n"/>
      <c r="V16" s="671" t="n">
        <v>0.0307327154638869</v>
      </c>
      <c r="W16" s="673" t="n"/>
      <c r="X16" s="673" t="n"/>
      <c r="Y16" s="673" t="n"/>
      <c r="Z16" s="673" t="n"/>
      <c r="AA16" s="671" t="n">
        <v>0.0277942223366752</v>
      </c>
      <c r="AB16" s="673" t="n"/>
      <c r="AC16" s="673" t="n"/>
      <c r="AD16" s="673" t="n"/>
      <c r="AE16" s="673" t="n"/>
      <c r="AF16" s="671" t="n">
        <v>0.0252185340261127</v>
      </c>
      <c r="AG16" s="673" t="n"/>
      <c r="AH16" s="673" t="n"/>
      <c r="AI16" s="673" t="n"/>
      <c r="AJ16" s="673" t="n"/>
      <c r="AK16" s="671" t="n">
        <v>0.0233266432389527</v>
      </c>
      <c r="AL16" s="673" t="n"/>
      <c r="AM16" s="673" t="n"/>
      <c r="AN16" s="673" t="n"/>
      <c r="AO16" s="673" t="n"/>
      <c r="AP16" s="671" t="n">
        <v>0.0222231356914479</v>
      </c>
    </row>
    <row r="17" ht="15" customHeight="1" s="462">
      <c r="A17" s="543" t="inlineStr">
        <is>
          <t>Other Expenditure</t>
        </is>
      </c>
      <c r="B17" s="671" t="n">
        <v>0.212356237098201</v>
      </c>
      <c r="C17" s="672" t="n">
        <v>0.2263544326888</v>
      </c>
      <c r="D17" s="672" t="n">
        <v>0.2489375</v>
      </c>
      <c r="E17" s="672" t="n">
        <v>0.222350492051476</v>
      </c>
      <c r="F17" s="672" t="n">
        <v>0.224380680805561</v>
      </c>
      <c r="G17" s="671" t="n">
        <v>0.199393837047044</v>
      </c>
      <c r="H17" s="672" t="n">
        <v>0.222212414377516</v>
      </c>
      <c r="I17" s="672" t="n">
        <v>0.213296149694135</v>
      </c>
      <c r="J17" s="672" t="n">
        <v>0.226257395237549</v>
      </c>
      <c r="K17" s="672" t="n">
        <v>0.203428813320164</v>
      </c>
      <c r="L17" s="671" t="n">
        <v>0.215633803368739</v>
      </c>
      <c r="M17" s="672" t="n">
        <v>0.201573310318482</v>
      </c>
      <c r="N17" s="672" t="n">
        <v>0.22667972424386</v>
      </c>
      <c r="O17" s="672" t="n">
        <v>0.228454768889241</v>
      </c>
      <c r="P17" s="672" t="n">
        <v>0.229975944661211</v>
      </c>
      <c r="Q17" s="671" t="n">
        <v>0.222250360149105</v>
      </c>
      <c r="R17" s="672" t="n">
        <v>0.20153379056743</v>
      </c>
      <c r="S17" s="673" t="n">
        <v>0.22667972424386</v>
      </c>
      <c r="T17" s="673" t="n">
        <v>0.228454768889241</v>
      </c>
      <c r="U17" s="673" t="n">
        <v>0.229975944661211</v>
      </c>
      <c r="V17" s="671" t="n">
        <v>0.222734270641648</v>
      </c>
      <c r="W17" s="673" t="n">
        <v>0.20153379056743</v>
      </c>
      <c r="X17" s="673" t="n">
        <v>0.22667972424386</v>
      </c>
      <c r="Y17" s="673" t="n">
        <v>0.228454768889241</v>
      </c>
      <c r="Z17" s="673" t="n">
        <v>0.229975944661211</v>
      </c>
      <c r="AA17" s="671" t="n">
        <v>0.222241157355926</v>
      </c>
      <c r="AB17" s="673" t="n">
        <v>0.20153379056743</v>
      </c>
      <c r="AC17" s="673" t="n">
        <v>0.22667972424386</v>
      </c>
      <c r="AD17" s="673" t="n">
        <v>0.228454768889241</v>
      </c>
      <c r="AE17" s="673" t="n">
        <v>0.229975944661211</v>
      </c>
      <c r="AF17" s="671" t="n">
        <v>0.222241157355926</v>
      </c>
      <c r="AG17" s="673" t="n">
        <v>0.20153379056743</v>
      </c>
      <c r="AH17" s="673" t="n">
        <v>0.22667972424386</v>
      </c>
      <c r="AI17" s="673" t="n">
        <v>0.228454768889241</v>
      </c>
      <c r="AJ17" s="673" t="n">
        <v>0.229975944661211</v>
      </c>
      <c r="AK17" s="671" t="n">
        <v>0.222241157355926</v>
      </c>
      <c r="AL17" s="673" t="n">
        <v>0.20153379056743</v>
      </c>
      <c r="AM17" s="673" t="n">
        <v>0.22667972424386</v>
      </c>
      <c r="AN17" s="673" t="n">
        <v>0.228454768889241</v>
      </c>
      <c r="AO17" s="673" t="n">
        <v>0.229975944661211</v>
      </c>
      <c r="AP17" s="671" t="n">
        <v>0.222241157355926</v>
      </c>
    </row>
    <row r="18" ht="15" customHeight="1" s="462">
      <c r="B18" s="671" t="n"/>
      <c r="C18" s="672" t="n"/>
      <c r="D18" s="672" t="n"/>
      <c r="E18" s="672" t="n"/>
      <c r="F18" s="672" t="n"/>
      <c r="G18" s="671" t="n"/>
      <c r="H18" s="672" t="n"/>
      <c r="I18" s="672" t="n"/>
      <c r="J18" s="672" t="n"/>
      <c r="K18" s="672" t="n"/>
      <c r="L18" s="671" t="n"/>
      <c r="M18" s="672" t="n"/>
      <c r="N18" s="672" t="n"/>
      <c r="O18" s="672" t="n"/>
      <c r="P18" s="672" t="n"/>
      <c r="Q18" s="671" t="n"/>
      <c r="R18" s="672" t="n"/>
      <c r="S18" s="673" t="n"/>
      <c r="T18" s="673" t="n"/>
      <c r="U18" s="673" t="n"/>
      <c r="V18" s="671" t="n"/>
      <c r="W18" s="673" t="n"/>
      <c r="X18" s="673" t="n"/>
      <c r="Y18" s="673" t="n"/>
      <c r="Z18" s="673" t="n"/>
      <c r="AA18" s="671" t="n"/>
      <c r="AB18" s="673" t="n"/>
      <c r="AC18" s="673" t="n"/>
      <c r="AD18" s="673" t="n"/>
      <c r="AE18" s="673" t="n"/>
      <c r="AF18" s="671" t="n"/>
      <c r="AG18" s="673" t="n"/>
      <c r="AH18" s="673" t="n"/>
      <c r="AI18" s="673" t="n"/>
      <c r="AJ18" s="673" t="n"/>
      <c r="AK18" s="671" t="n"/>
      <c r="AL18" s="673" t="n"/>
      <c r="AM18" s="673" t="n"/>
      <c r="AN18" s="673" t="n"/>
      <c r="AO18" s="673" t="n"/>
      <c r="AP18" s="671" t="n"/>
    </row>
    <row r="19" ht="15" customHeight="1" s="462">
      <c r="A19" s="543" t="n"/>
      <c r="B19" s="555" t="n"/>
      <c r="C19" s="529" t="n"/>
      <c r="D19" s="529" t="n"/>
      <c r="E19" s="529" t="n"/>
      <c r="F19" s="529" t="n"/>
      <c r="G19" s="555" t="n"/>
      <c r="H19" s="529" t="n"/>
      <c r="I19" s="529" t="n"/>
      <c r="J19" s="529" t="n"/>
      <c r="K19" s="529" t="n"/>
      <c r="L19" s="555" t="n"/>
      <c r="M19" s="529" t="n"/>
      <c r="N19" s="529" t="n"/>
      <c r="O19" s="529" t="n"/>
      <c r="P19" s="529" t="n"/>
      <c r="Q19" s="555" t="n"/>
      <c r="R19" s="529" t="n"/>
      <c r="S19" s="674" t="n"/>
      <c r="T19" s="631" t="n"/>
      <c r="U19" s="631" t="n"/>
      <c r="V19" s="515" t="n"/>
      <c r="W19" s="631" t="n"/>
      <c r="X19" s="631" t="n"/>
      <c r="Y19" s="631" t="n"/>
      <c r="Z19" s="631" t="n"/>
      <c r="AA19" s="515" t="n"/>
      <c r="AB19" s="631" t="n"/>
      <c r="AC19" s="631" t="n"/>
      <c r="AD19" s="631" t="n"/>
      <c r="AE19" s="631" t="n"/>
      <c r="AF19" s="515" t="n"/>
      <c r="AG19" s="631" t="n"/>
      <c r="AH19" s="631" t="n"/>
      <c r="AI19" s="631" t="n"/>
      <c r="AJ19" s="631" t="n"/>
      <c r="AK19" s="515" t="n"/>
      <c r="AL19" s="631" t="n"/>
      <c r="AM19" s="631" t="n"/>
      <c r="AN19" s="631" t="n"/>
      <c r="AO19" s="631" t="n"/>
      <c r="AP19" s="515" t="n"/>
    </row>
    <row r="20" ht="15" customHeight="1" s="462">
      <c r="A20" s="461" t="inlineStr">
        <is>
          <t>Total Tax / Profit Before Tax</t>
        </is>
      </c>
      <c r="B20" s="555" t="n">
        <v>0.278071065989848</v>
      </c>
      <c r="C20" s="529" t="n">
        <v>0.284670090873172</v>
      </c>
      <c r="D20" s="529" t="n">
        <v>0.09775429326287979</v>
      </c>
      <c r="E20" s="529" t="n">
        <v>0.126670540383498</v>
      </c>
      <c r="F20" s="529" t="n">
        <v>0.101449275362319</v>
      </c>
      <c r="G20" s="555" t="n">
        <v>0.0211704292219746</v>
      </c>
      <c r="H20" s="529" t="n">
        <v>0.101535341830823</v>
      </c>
      <c r="I20" s="529" t="n">
        <v>0.256502028155571</v>
      </c>
      <c r="J20" s="529" t="n">
        <v>0.266787658802178</v>
      </c>
      <c r="K20" s="529" t="n">
        <v>0.113935368501724</v>
      </c>
      <c r="L20" s="555" t="n">
        <v>0.18371264052646</v>
      </c>
      <c r="M20" s="529" t="n">
        <v>0.251477944520238</v>
      </c>
      <c r="N20" s="529" t="n">
        <v>-0.82970268588117</v>
      </c>
      <c r="O20" s="529" t="n">
        <v>0.158787878787878</v>
      </c>
      <c r="P20" s="529" t="n">
        <v>0.0070737155621742</v>
      </c>
      <c r="Q20" s="555" t="n">
        <v>0.238521759679226</v>
      </c>
      <c r="R20" s="529" t="n">
        <v>0.165789605573097</v>
      </c>
      <c r="S20" s="674" t="n">
        <v>0.13</v>
      </c>
      <c r="T20" s="674" t="n">
        <v>0.13</v>
      </c>
      <c r="U20" s="674" t="n">
        <v>0.13</v>
      </c>
      <c r="V20" s="555" t="n">
        <v>0.14304667329466</v>
      </c>
      <c r="W20" s="676" t="n">
        <v>0.13</v>
      </c>
      <c r="X20" s="676" t="n">
        <v>0.13</v>
      </c>
      <c r="Y20" s="676" t="n">
        <v>0.13</v>
      </c>
      <c r="Z20" s="676" t="n">
        <v>0.13</v>
      </c>
      <c r="AA20" s="555" t="n">
        <v>0.124732600334974</v>
      </c>
      <c r="AB20" s="676" t="n">
        <v>0.13</v>
      </c>
      <c r="AC20" s="676" t="n">
        <v>0.13</v>
      </c>
      <c r="AD20" s="676" t="n">
        <v>0.13</v>
      </c>
      <c r="AE20" s="676" t="n">
        <v>0.13</v>
      </c>
      <c r="AF20" s="555" t="n">
        <v>0.13</v>
      </c>
      <c r="AG20" s="676" t="n">
        <v>0.13</v>
      </c>
      <c r="AH20" s="676" t="n">
        <v>0.13</v>
      </c>
      <c r="AI20" s="676" t="n">
        <v>0.13</v>
      </c>
      <c r="AJ20" s="676" t="n">
        <v>0.13</v>
      </c>
      <c r="AK20" s="555" t="n">
        <v>0.13</v>
      </c>
      <c r="AL20" s="676" t="n">
        <v>0.13</v>
      </c>
      <c r="AM20" s="676" t="n">
        <v>0.13</v>
      </c>
      <c r="AN20" s="676" t="n">
        <v>0.13</v>
      </c>
      <c r="AO20" s="676" t="n">
        <v>0.13</v>
      </c>
      <c r="AP20" s="555" t="n">
        <v>0.13</v>
      </c>
      <c r="AQ20" s="461" t="n"/>
      <c r="AR20" s="461" t="n"/>
    </row>
    <row r="21" ht="15.75" customHeight="1" s="462">
      <c r="A21" s="489" t="n"/>
      <c r="B21" s="538" t="n"/>
      <c r="C21" s="489" t="n"/>
      <c r="D21" s="489" t="n"/>
      <c r="E21" s="489" t="n"/>
      <c r="F21" s="489" t="n"/>
      <c r="G21" s="538" t="n"/>
      <c r="H21" s="489" t="n"/>
      <c r="I21" s="489" t="n"/>
      <c r="J21" s="489" t="n"/>
      <c r="K21" s="489" t="n"/>
      <c r="L21" s="538" t="n"/>
      <c r="M21" s="489" t="n"/>
      <c r="N21" s="489" t="n"/>
      <c r="O21" s="489" t="n"/>
      <c r="P21" s="489" t="n"/>
      <c r="Q21" s="538" t="n"/>
      <c r="R21" s="489" t="n"/>
      <c r="S21" s="489" t="n"/>
      <c r="T21" s="489" t="n"/>
      <c r="U21" s="489" t="n"/>
      <c r="V21" s="538" t="n"/>
      <c r="W21" s="489" t="n"/>
      <c r="X21" s="489" t="n"/>
      <c r="Y21" s="489" t="n"/>
      <c r="Z21" s="489" t="n"/>
      <c r="AA21" s="538" t="n"/>
      <c r="AB21" s="489" t="n"/>
      <c r="AC21" s="489" t="n"/>
      <c r="AD21" s="489" t="n"/>
      <c r="AE21" s="489" t="n"/>
      <c r="AF21" s="538" t="n"/>
      <c r="AG21" s="489" t="n"/>
      <c r="AH21" s="489" t="n"/>
      <c r="AI21" s="489" t="n"/>
      <c r="AJ21" s="489" t="n"/>
      <c r="AK21" s="538" t="n"/>
      <c r="AL21" s="489" t="n"/>
      <c r="AM21" s="489" t="n"/>
      <c r="AN21" s="489" t="n"/>
      <c r="AO21" s="489" t="n"/>
      <c r="AP21" s="538"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N221"/>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D220" activeCellId="0" sqref="D220"/>
    </sheetView>
  </sheetViews>
  <sheetFormatPr baseColWidth="8" defaultColWidth="8.96875" defaultRowHeight="15" zeroHeight="0" outlineLevelRow="0"/>
  <cols>
    <col width="44.99" customWidth="1" style="461" min="1" max="1"/>
    <col width="15.14" customWidth="1" style="461" min="2" max="2"/>
    <col width="15.99" customWidth="1" style="677" min="3" max="3"/>
    <col width="14.7" customWidth="1" style="461" min="4" max="4"/>
    <col width="15.28" customWidth="1" style="461" min="5" max="5"/>
    <col width="18.56" customWidth="1" style="461" min="6" max="6"/>
    <col width="11.71" customWidth="1" style="461" min="7" max="7"/>
    <col width="10.7" customWidth="1" style="461" min="8" max="8"/>
    <col width="10.56" customWidth="1" style="461" min="9" max="9"/>
    <col width="10.7" customWidth="1" style="461" min="10" max="11"/>
    <col width="10.28" customWidth="1" style="461" min="12" max="12"/>
  </cols>
  <sheetData>
    <row r="1" ht="18.75" customHeight="1" s="462">
      <c r="A1" s="487" t="inlineStr">
        <is>
          <t>Aurobindo Pharma</t>
        </is>
      </c>
      <c r="B1" s="487" t="n"/>
      <c r="C1" s="678" t="n"/>
      <c r="D1" s="679" t="n"/>
      <c r="E1" s="679" t="n"/>
      <c r="F1" s="679" t="n"/>
      <c r="G1" s="679" t="n"/>
      <c r="H1" s="679" t="n"/>
      <c r="I1" s="679" t="n"/>
      <c r="J1" s="679" t="n"/>
    </row>
    <row r="2" ht="15.75" customHeight="1" s="462">
      <c r="A2" s="488" t="inlineStr">
        <is>
          <t>Debt Schedule</t>
        </is>
      </c>
      <c r="B2" s="522" t="n"/>
      <c r="C2" s="678" t="n"/>
      <c r="D2" s="679" t="n"/>
      <c r="E2" s="679" t="n"/>
      <c r="F2" s="679" t="n"/>
      <c r="G2" s="679" t="n"/>
      <c r="H2" s="679" t="n"/>
      <c r="I2" s="679" t="n"/>
      <c r="J2" s="679" t="n"/>
    </row>
    <row r="3" ht="15.75" customHeight="1" s="462">
      <c r="A3" s="489" t="inlineStr">
        <is>
          <t>(In Rs Millions)</t>
        </is>
      </c>
      <c r="B3" s="489" t="n"/>
      <c r="C3" s="680" t="n"/>
      <c r="D3" s="489" t="n"/>
      <c r="E3" s="489" t="n"/>
      <c r="F3" s="489" t="n"/>
      <c r="G3" s="489" t="n"/>
      <c r="H3" s="489" t="n"/>
      <c r="I3" s="489" t="n"/>
      <c r="J3" s="489" t="n"/>
      <c r="K3" s="489" t="n"/>
    </row>
    <row r="4" ht="36" customHeight="1" s="462">
      <c r="A4" s="681" t="inlineStr">
        <is>
          <t>For the Fiscal Period Ending</t>
        </is>
      </c>
      <c r="B4" s="617" t="inlineStr">
        <is>
          <t>FY2005 A</t>
        </is>
      </c>
      <c r="C4" s="682" t="inlineStr">
        <is>
          <t>FY2006 A</t>
        </is>
      </c>
      <c r="D4" s="617" t="inlineStr">
        <is>
          <t>FY2007 A</t>
        </is>
      </c>
      <c r="E4" s="617" t="inlineStr">
        <is>
          <t>FY2008 A</t>
        </is>
      </c>
      <c r="F4" s="683" t="inlineStr">
        <is>
          <t>FY2009 E</t>
        </is>
      </c>
      <c r="G4" s="683" t="inlineStr">
        <is>
          <t>FY2010 E</t>
        </is>
      </c>
      <c r="H4" s="683" t="inlineStr">
        <is>
          <t>FY2011 E</t>
        </is>
      </c>
      <c r="I4" s="683" t="inlineStr">
        <is>
          <t>FY2012 E</t>
        </is>
      </c>
      <c r="J4" s="683" t="inlineStr">
        <is>
          <t>FY2013 E</t>
        </is>
      </c>
      <c r="K4" s="683" t="inlineStr">
        <is>
          <t>FY2014 E</t>
        </is>
      </c>
    </row>
    <row r="5" ht="15" customHeight="1" s="462">
      <c r="A5" s="491" t="inlineStr">
        <is>
          <t>Debt Schedule</t>
        </is>
      </c>
      <c r="B5" s="573" t="n"/>
      <c r="C5" s="684" t="n"/>
      <c r="D5" s="568" t="n"/>
      <c r="E5" s="568" t="n"/>
      <c r="F5" s="685" t="n"/>
      <c r="G5" s="679" t="n"/>
      <c r="H5" s="679" t="n"/>
      <c r="I5" s="679" t="n"/>
      <c r="J5" s="679" t="n"/>
    </row>
    <row r="6" ht="15" customHeight="1" s="462">
      <c r="B6" s="461" t="n"/>
      <c r="C6" s="686" t="n"/>
      <c r="D6" s="521" t="n"/>
      <c r="E6" s="521" t="n"/>
      <c r="F6" s="521" t="n"/>
      <c r="G6" s="521" t="n"/>
      <c r="H6" s="521" t="n"/>
      <c r="I6" s="521" t="n"/>
      <c r="J6" s="521" t="n"/>
      <c r="K6" s="521" t="n"/>
    </row>
    <row r="7" ht="15" customHeight="1" s="462">
      <c r="A7" s="643" t="inlineStr">
        <is>
          <t>(I) Secured Loans</t>
        </is>
      </c>
      <c r="B7" s="580" t="n"/>
      <c r="C7" s="687" t="n"/>
      <c r="D7" s="580" t="n"/>
      <c r="E7" s="580" t="n"/>
      <c r="F7" s="580" t="n"/>
      <c r="G7" s="580" t="n"/>
      <c r="H7" s="580" t="n"/>
      <c r="I7" s="580" t="n"/>
      <c r="J7" s="580" t="n"/>
      <c r="K7" s="580" t="n"/>
      <c r="L7" s="580" t="n"/>
    </row>
    <row r="8" ht="15" customHeight="1" s="462">
      <c r="A8" s="688" t="inlineStr">
        <is>
          <t>Non Convertible Debentures</t>
        </is>
      </c>
      <c r="B8" s="576" t="n">
        <v>750.7</v>
      </c>
      <c r="C8" s="689" t="n">
        <v>0</v>
      </c>
      <c r="D8" s="576" t="n">
        <v>0</v>
      </c>
      <c r="E8" s="576" t="n">
        <v>0</v>
      </c>
      <c r="F8" s="587" t="n">
        <v>0</v>
      </c>
      <c r="G8" s="587" t="n">
        <v>0</v>
      </c>
      <c r="H8" s="587" t="n">
        <v>0</v>
      </c>
      <c r="I8" s="587" t="n">
        <v>0</v>
      </c>
      <c r="J8" s="587" t="n">
        <v>0</v>
      </c>
      <c r="K8" s="587" t="n">
        <v>0</v>
      </c>
      <c r="L8" s="580" t="n"/>
    </row>
    <row r="9" ht="15" customHeight="1" s="462">
      <c r="A9" s="688" t="inlineStr">
        <is>
          <t>Term Loans -From Banks</t>
        </is>
      </c>
      <c r="B9" s="576" t="n">
        <v>4072.6</v>
      </c>
      <c r="C9" s="689" t="n">
        <v>4183.1</v>
      </c>
      <c r="D9" s="576" t="n">
        <v>2028.5</v>
      </c>
      <c r="E9" s="576" t="n">
        <v>996.8</v>
      </c>
      <c r="F9" s="580" t="n">
        <v>996.8</v>
      </c>
      <c r="G9" s="580" t="n">
        <v>996.8</v>
      </c>
      <c r="H9" s="580" t="n">
        <v>2996.8</v>
      </c>
      <c r="I9" s="580" t="n">
        <v>7996.8</v>
      </c>
      <c r="J9" s="580" t="n">
        <v>7996.8</v>
      </c>
      <c r="K9" s="580" t="n">
        <v>7996.8</v>
      </c>
    </row>
    <row r="10" ht="15" customHeight="1" s="462">
      <c r="A10" s="688" t="inlineStr">
        <is>
          <t>Other Loans:-</t>
        </is>
      </c>
      <c r="B10" s="576" t="n"/>
      <c r="C10" s="689" t="n"/>
      <c r="D10" s="576" t="n"/>
      <c r="E10" s="576" t="n"/>
      <c r="F10" s="580" t="n"/>
      <c r="G10" s="580" t="n"/>
      <c r="H10" s="580" t="n"/>
      <c r="I10" s="580" t="n"/>
      <c r="J10" s="580" t="n"/>
      <c r="K10" s="580" t="n"/>
    </row>
    <row r="11" ht="15" customHeight="1" s="462">
      <c r="A11" s="690" t="inlineStr">
        <is>
          <t>From Banks - Working Capital Loans</t>
        </is>
      </c>
      <c r="B11" s="576" t="n">
        <v>2726</v>
      </c>
      <c r="C11" s="689" t="n">
        <v>3316.5</v>
      </c>
      <c r="D11" s="576" t="n">
        <v>5360.2</v>
      </c>
      <c r="E11" s="576" t="n">
        <v>5336.3</v>
      </c>
      <c r="F11" s="587" t="n">
        <v>5336.3</v>
      </c>
      <c r="G11" s="587" t="n">
        <v>5336.3</v>
      </c>
      <c r="H11" s="587" t="n">
        <v>5336.3</v>
      </c>
      <c r="I11" s="587" t="n">
        <v>5336.3</v>
      </c>
      <c r="J11" s="587" t="n">
        <v>5336.3</v>
      </c>
      <c r="K11" s="587" t="n">
        <v>5336.3</v>
      </c>
    </row>
    <row r="12" ht="15" customHeight="1" s="462">
      <c r="A12" s="690" t="inlineStr">
        <is>
          <t xml:space="preserve">Interest Accrued </t>
        </is>
      </c>
      <c r="B12" s="576" t="n">
        <v>1.6</v>
      </c>
      <c r="C12" s="689" t="n">
        <v>2.4</v>
      </c>
      <c r="D12" s="576" t="n">
        <v>0.8</v>
      </c>
      <c r="E12" s="576" t="n">
        <v>0</v>
      </c>
      <c r="F12" s="587" t="n">
        <v>0</v>
      </c>
      <c r="G12" s="587" t="n">
        <v>0</v>
      </c>
      <c r="H12" s="587" t="n">
        <v>0</v>
      </c>
      <c r="I12" s="587" t="n">
        <v>0</v>
      </c>
      <c r="J12" s="587" t="n">
        <v>0</v>
      </c>
      <c r="K12" s="587" t="n">
        <v>0</v>
      </c>
    </row>
    <row r="13" ht="15" customHeight="1" s="462">
      <c r="A13" s="690" t="inlineStr">
        <is>
          <t>Hire Purchase Loans From Banks</t>
        </is>
      </c>
      <c r="B13" s="576" t="n">
        <v>0.7</v>
      </c>
      <c r="C13" s="689" t="n">
        <v>0.5</v>
      </c>
      <c r="D13" s="576" t="n">
        <v>1.2</v>
      </c>
      <c r="E13" s="576" t="n">
        <v>1.2</v>
      </c>
      <c r="F13" s="587" t="n">
        <v>1.2</v>
      </c>
      <c r="G13" s="587" t="n">
        <v>1.2</v>
      </c>
      <c r="H13" s="587" t="n">
        <v>1.2</v>
      </c>
      <c r="I13" s="587" t="n">
        <v>1.2</v>
      </c>
      <c r="J13" s="587" t="n">
        <v>1.2</v>
      </c>
      <c r="K13" s="587" t="n">
        <v>1.2</v>
      </c>
    </row>
    <row r="14" ht="15" customHeight="1" s="462">
      <c r="A14" s="691" t="inlineStr">
        <is>
          <t>Total</t>
        </is>
      </c>
      <c r="B14" s="692" t="n">
        <v>7551.6</v>
      </c>
      <c r="C14" s="693" t="n">
        <v>7502.5</v>
      </c>
      <c r="D14" s="692" t="n">
        <v>7390.7</v>
      </c>
      <c r="E14" s="692" t="n">
        <v>6334.3</v>
      </c>
      <c r="F14" s="580" t="n">
        <v>6334.3</v>
      </c>
      <c r="G14" s="580" t="n">
        <v>6334.3</v>
      </c>
      <c r="H14" s="580" t="n">
        <v>8334.299999999999</v>
      </c>
      <c r="I14" s="580" t="n">
        <v>13334.3</v>
      </c>
      <c r="J14" s="580" t="n">
        <v>13334.3</v>
      </c>
      <c r="K14" s="580" t="n">
        <v>13334.3</v>
      </c>
    </row>
    <row r="15" ht="15" customHeight="1" s="462">
      <c r="A15" s="694" t="n"/>
      <c r="B15" s="695" t="n"/>
      <c r="C15" s="696" t="n"/>
      <c r="D15" s="697" t="n"/>
      <c r="E15" s="695" t="n"/>
      <c r="F15" s="698" t="n"/>
      <c r="G15" s="698" t="n"/>
      <c r="H15" s="699" t="n"/>
      <c r="I15" s="699" t="n"/>
      <c r="J15" s="699" t="n"/>
      <c r="K15" s="699" t="n"/>
    </row>
    <row r="16" ht="15" customHeight="1" s="462">
      <c r="A16" s="643" t="inlineStr">
        <is>
          <t>(II) Unsecured Loans</t>
        </is>
      </c>
      <c r="B16" s="580" t="n"/>
      <c r="C16" s="687" t="n"/>
      <c r="D16" s="580" t="n"/>
      <c r="E16" s="580" t="n"/>
      <c r="F16" s="580" t="n"/>
      <c r="G16" s="580" t="n"/>
      <c r="H16" s="580" t="n"/>
      <c r="I16" s="580" t="n"/>
      <c r="J16" s="580" t="n"/>
      <c r="K16" s="580" t="n"/>
    </row>
    <row r="17" ht="15" customHeight="1" s="462">
      <c r="A17" s="688" t="inlineStr">
        <is>
          <t>Short Term Loans - From Banks</t>
        </is>
      </c>
      <c r="B17" s="576" t="n">
        <v>1350.8</v>
      </c>
      <c r="C17" s="689" t="n">
        <v>2175</v>
      </c>
      <c r="D17" s="576" t="n">
        <v>900</v>
      </c>
      <c r="E17" s="576" t="n">
        <v>771.8</v>
      </c>
      <c r="F17" s="587" t="n">
        <v>771.8</v>
      </c>
      <c r="G17" s="587" t="n">
        <v>771.8</v>
      </c>
      <c r="H17" s="587" t="n">
        <v>771.8</v>
      </c>
      <c r="I17" s="587" t="n">
        <v>771.8</v>
      </c>
      <c r="J17" s="587" t="n">
        <v>771.8</v>
      </c>
      <c r="K17" s="587" t="n">
        <v>771.8</v>
      </c>
    </row>
    <row r="18" ht="15" customHeight="1" s="462">
      <c r="A18" s="688" t="inlineStr">
        <is>
          <t>Other Loans:-</t>
        </is>
      </c>
      <c r="B18" s="576" t="n"/>
      <c r="C18" s="689" t="n"/>
      <c r="D18" s="576" t="n"/>
      <c r="E18" s="576" t="n"/>
      <c r="F18" s="587" t="n"/>
      <c r="G18" s="587" t="n"/>
      <c r="H18" s="587" t="n"/>
      <c r="I18" s="587" t="n"/>
      <c r="J18" s="587" t="n"/>
      <c r="K18" s="587" t="n"/>
    </row>
    <row r="19" ht="15" customHeight="1" s="462">
      <c r="A19" s="690" t="inlineStr">
        <is>
          <t>From Banks</t>
        </is>
      </c>
      <c r="B19" s="576" t="n">
        <v>330</v>
      </c>
      <c r="C19" s="689" t="n">
        <v>329.7</v>
      </c>
      <c r="D19" s="576" t="n">
        <v>158.9</v>
      </c>
      <c r="E19" s="576" t="n">
        <v>23.5</v>
      </c>
      <c r="F19" s="580" t="n">
        <v>368.630400000002</v>
      </c>
      <c r="G19" s="587" t="n">
        <v>368.630400000002</v>
      </c>
      <c r="H19" s="587" t="n">
        <v>368.630400000002</v>
      </c>
      <c r="I19" s="587" t="n">
        <v>368.630400000002</v>
      </c>
      <c r="J19" s="587" t="n">
        <v>368.630400000002</v>
      </c>
      <c r="K19" s="587" t="n">
        <v>368.630400000002</v>
      </c>
    </row>
    <row r="20" ht="15" customHeight="1" s="462">
      <c r="A20" s="690" t="inlineStr">
        <is>
          <t>Interest Accrued and Due</t>
        </is>
      </c>
      <c r="B20" s="576" t="n">
        <v>5.7</v>
      </c>
      <c r="C20" s="689" t="n">
        <v>11.2</v>
      </c>
      <c r="D20" s="576" t="n">
        <v>18</v>
      </c>
      <c r="E20" s="576" t="n">
        <v>25.5</v>
      </c>
      <c r="F20" s="587" t="n">
        <v>25.5</v>
      </c>
      <c r="G20" s="587" t="n">
        <v>25.5</v>
      </c>
      <c r="H20" s="587" t="n">
        <v>25.5</v>
      </c>
      <c r="I20" s="587" t="n">
        <v>25.5</v>
      </c>
      <c r="J20" s="587" t="n">
        <v>25.5</v>
      </c>
      <c r="K20" s="587" t="n">
        <v>25.5</v>
      </c>
    </row>
    <row r="21" ht="15" customHeight="1" s="462">
      <c r="A21" s="700" t="inlineStr">
        <is>
          <t>Zero Coupon FCCBS</t>
        </is>
      </c>
      <c r="B21" s="701" t="n">
        <v>0</v>
      </c>
      <c r="C21" s="689" t="n">
        <v>2677.2</v>
      </c>
      <c r="D21" s="576" t="n">
        <v>11299.6</v>
      </c>
      <c r="E21" s="576" t="n">
        <v>10245.6</v>
      </c>
      <c r="F21" s="580" t="n">
        <v>9900.4696</v>
      </c>
      <c r="G21" s="580" t="n">
        <v>8965.200000000001</v>
      </c>
      <c r="H21" s="580" t="n">
        <v>6403.2</v>
      </c>
      <c r="I21" s="702" t="n">
        <v>0</v>
      </c>
      <c r="J21" s="580" t="n">
        <v>0</v>
      </c>
      <c r="K21" s="580" t="n">
        <v>0</v>
      </c>
    </row>
    <row r="22" ht="15" customHeight="1" s="462">
      <c r="A22" s="690" t="inlineStr">
        <is>
          <t>From Others</t>
        </is>
      </c>
      <c r="B22" s="576" t="n">
        <v>297.2</v>
      </c>
      <c r="C22" s="689" t="n">
        <v>87.3</v>
      </c>
      <c r="D22" s="576" t="n">
        <v>99.59999999999999</v>
      </c>
      <c r="E22" s="576" t="n">
        <v>121</v>
      </c>
      <c r="F22" s="587" t="n">
        <v>121</v>
      </c>
      <c r="G22" s="587" t="n">
        <v>121</v>
      </c>
      <c r="H22" s="587" t="n">
        <v>121</v>
      </c>
      <c r="I22" s="587" t="n">
        <v>121</v>
      </c>
      <c r="J22" s="587" t="n">
        <v>121</v>
      </c>
      <c r="K22" s="587" t="n">
        <v>121</v>
      </c>
    </row>
    <row r="23" ht="15" customHeight="1" s="462">
      <c r="A23" s="690" t="inlineStr">
        <is>
          <t>Sales Tax Deferment Loan</t>
        </is>
      </c>
      <c r="B23" s="576" t="n">
        <v>805</v>
      </c>
      <c r="C23" s="689" t="n">
        <v>947.8</v>
      </c>
      <c r="D23" s="576" t="n">
        <v>914.6</v>
      </c>
      <c r="E23" s="576" t="n">
        <v>948.5</v>
      </c>
      <c r="F23" s="587" t="n">
        <v>948.5</v>
      </c>
      <c r="G23" s="587" t="n">
        <v>948.5</v>
      </c>
      <c r="H23" s="587" t="n">
        <v>948.5</v>
      </c>
      <c r="I23" s="587" t="n">
        <v>948.5</v>
      </c>
      <c r="J23" s="587" t="n">
        <v>948.5</v>
      </c>
      <c r="K23" s="587" t="n">
        <v>948.5</v>
      </c>
    </row>
    <row r="24" ht="15" customHeight="1" s="462">
      <c r="A24" s="691" t="inlineStr">
        <is>
          <t>Total</t>
        </is>
      </c>
      <c r="B24" s="692" t="n">
        <v>2788.7</v>
      </c>
      <c r="C24" s="693" t="n">
        <v>6228.2</v>
      </c>
      <c r="D24" s="692" t="n">
        <v>13390.7</v>
      </c>
      <c r="E24" s="692" t="n">
        <v>12135.9</v>
      </c>
      <c r="F24" s="692" t="n">
        <v>12135.9</v>
      </c>
      <c r="G24" s="692" t="n">
        <v>11200.6304</v>
      </c>
      <c r="H24" s="692" t="n">
        <v>8638.6304</v>
      </c>
      <c r="I24" s="692" t="n">
        <v>2235.4304</v>
      </c>
      <c r="J24" s="692" t="n">
        <v>2235.4304</v>
      </c>
      <c r="K24" s="692" t="n">
        <v>2235.4304</v>
      </c>
    </row>
    <row r="25" ht="15" customHeight="1" s="462">
      <c r="A25" s="691" t="n"/>
      <c r="B25" s="692" t="n"/>
      <c r="C25" s="693" t="n"/>
      <c r="D25" s="692" t="n"/>
      <c r="E25" s="692" t="n"/>
      <c r="F25" s="698" t="n"/>
      <c r="G25" s="698" t="n"/>
      <c r="H25" s="699" t="n"/>
      <c r="I25" s="699" t="n"/>
      <c r="J25" s="699" t="n"/>
      <c r="K25" s="699" t="n"/>
    </row>
    <row r="26" ht="15" customHeight="1" s="462">
      <c r="A26" s="691" t="inlineStr">
        <is>
          <t>Total Loans</t>
        </is>
      </c>
      <c r="B26" s="692" t="n">
        <v>10340.3</v>
      </c>
      <c r="C26" s="693" t="n">
        <v>13730.7</v>
      </c>
      <c r="D26" s="692" t="n">
        <v>20781.4</v>
      </c>
      <c r="E26" s="692" t="n">
        <v>18470.2</v>
      </c>
      <c r="F26" s="692" t="n">
        <v>18470.2</v>
      </c>
      <c r="G26" s="692" t="n">
        <v>17534.9304</v>
      </c>
      <c r="H26" s="692" t="n">
        <v>16972.9304</v>
      </c>
      <c r="I26" s="692" t="n">
        <v>15569.7304</v>
      </c>
      <c r="J26" s="692" t="n">
        <v>15569.7304</v>
      </c>
      <c r="K26" s="692" t="n">
        <v>15569.7304</v>
      </c>
    </row>
    <row r="27" ht="15" customHeight="1" s="462">
      <c r="A27" s="700" t="inlineStr">
        <is>
          <t>Total Loans: Less FCCB</t>
        </is>
      </c>
      <c r="B27" s="695" t="n">
        <v>10340.3</v>
      </c>
      <c r="C27" s="703" t="n">
        <v>11053.5</v>
      </c>
      <c r="D27" s="695" t="n">
        <v>9481.799999999999</v>
      </c>
      <c r="E27" s="695" t="n">
        <v>8224.6</v>
      </c>
      <c r="F27" s="580" t="n">
        <v>8569.7304</v>
      </c>
      <c r="G27" s="580" t="n">
        <v>8569.7304</v>
      </c>
      <c r="H27" s="580" t="n">
        <v>10569.7304</v>
      </c>
      <c r="I27" s="580" t="n">
        <v>15569.7304</v>
      </c>
      <c r="J27" s="580" t="n">
        <v>15569.7304</v>
      </c>
      <c r="K27" s="580" t="n">
        <v>15569.7304</v>
      </c>
    </row>
    <row r="28" ht="15" customFormat="1" customHeight="1" s="461">
      <c r="A28" s="690" t="n"/>
      <c r="B28" s="580" t="n"/>
      <c r="C28" s="687" t="n"/>
      <c r="D28" s="580" t="n"/>
      <c r="E28" s="580" t="n"/>
      <c r="F28" s="580" t="n"/>
      <c r="G28" s="580" t="n"/>
      <c r="H28" s="580" t="n"/>
      <c r="I28" s="580" t="n"/>
      <c r="J28" s="580" t="n"/>
      <c r="K28" s="580" t="n"/>
    </row>
    <row r="29" ht="15" customHeight="1" s="462">
      <c r="A29" s="491" t="inlineStr">
        <is>
          <t>Interest Income, Net</t>
        </is>
      </c>
      <c r="G29" s="506" t="n"/>
    </row>
    <row r="30" ht="15" customHeight="1" s="462">
      <c r="A30" s="704" t="n"/>
    </row>
    <row r="31" ht="15" customHeight="1" s="462">
      <c r="A31" s="495" t="inlineStr">
        <is>
          <t>Interest Income</t>
        </is>
      </c>
      <c r="B31" s="576" t="n">
        <v>17.2</v>
      </c>
      <c r="C31" s="689" t="n">
        <v>86.90000000000001</v>
      </c>
      <c r="D31" s="576" t="n">
        <v>410.9</v>
      </c>
      <c r="E31" s="576" t="n">
        <v>261.8</v>
      </c>
      <c r="F31" s="506" t="n">
        <v>187.50020169181</v>
      </c>
      <c r="G31" s="506" t="n">
        <v>120.204290173001</v>
      </c>
      <c r="H31" s="506" t="n">
        <v>80.55368470220969</v>
      </c>
      <c r="I31" s="506" t="n">
        <v>166.971672243175</v>
      </c>
      <c r="J31" s="506" t="n">
        <v>73.88669447115851</v>
      </c>
      <c r="K31" s="506" t="n">
        <v>118.066143338027</v>
      </c>
    </row>
    <row r="32" ht="15" customHeight="1" s="462">
      <c r="A32" s="705" t="inlineStr">
        <is>
          <t>Interest Expense</t>
        </is>
      </c>
      <c r="B32" s="576" t="n">
        <v>499.2</v>
      </c>
      <c r="C32" s="689" t="n">
        <v>691</v>
      </c>
      <c r="D32" s="576" t="n">
        <v>864.5</v>
      </c>
      <c r="E32" s="576" t="n">
        <v>694.2</v>
      </c>
      <c r="F32" s="521" t="n">
        <v>998.40020169181</v>
      </c>
      <c r="G32" s="506" t="n">
        <v>998.40020169181</v>
      </c>
      <c r="H32" s="506" t="n">
        <v>1231.40641194361</v>
      </c>
      <c r="I32" s="506" t="n">
        <v>1813.9219375731</v>
      </c>
      <c r="J32" s="506" t="n">
        <v>1813.9219375731</v>
      </c>
      <c r="K32" s="506" t="n">
        <v>1813.9219375731</v>
      </c>
    </row>
    <row r="33" ht="15" customHeight="1" s="462">
      <c r="A33" s="508" t="inlineStr">
        <is>
          <t>Interest Expense, Net</t>
        </is>
      </c>
      <c r="B33" s="521" t="n">
        <v>482</v>
      </c>
      <c r="C33" s="521" t="n">
        <v>604.1</v>
      </c>
      <c r="D33" s="521" t="n">
        <v>453.6</v>
      </c>
      <c r="E33" s="521" t="n">
        <v>432.4</v>
      </c>
      <c r="F33" s="579" t="n">
        <v>810.9</v>
      </c>
      <c r="G33" s="521" t="n">
        <v>878.195911518809</v>
      </c>
      <c r="H33" s="521" t="n">
        <v>1150.8527272414</v>
      </c>
      <c r="I33" s="521" t="n">
        <v>1646.95026532993</v>
      </c>
      <c r="J33" s="521" t="n">
        <v>1740.03524310194</v>
      </c>
      <c r="K33" s="521" t="n">
        <v>1695.85579423507</v>
      </c>
    </row>
    <row r="34" ht="15" customHeight="1" s="462">
      <c r="A34" s="461" t="n"/>
      <c r="B34" s="521" t="n"/>
      <c r="C34" s="686" t="n"/>
      <c r="D34" s="521" t="n"/>
      <c r="E34" s="521" t="n"/>
    </row>
    <row r="35" ht="15" customHeight="1" s="462">
      <c r="A35" s="461" t="inlineStr">
        <is>
          <t>Interest Expense Rate (Total Loans)</t>
        </is>
      </c>
      <c r="B35" s="672" t="n">
        <v>0.0482771292902527</v>
      </c>
      <c r="C35" s="672" t="n">
        <v>0.0503251837124109</v>
      </c>
      <c r="D35" s="672" t="n">
        <v>0.0415996997314907</v>
      </c>
      <c r="E35" s="672" t="n">
        <v>0.0375848664334983</v>
      </c>
      <c r="F35" s="672" t="n"/>
      <c r="G35" s="672" t="n"/>
      <c r="H35" s="672" t="n"/>
      <c r="I35" s="672" t="n"/>
      <c r="J35" s="672" t="n"/>
      <c r="K35" s="672" t="n"/>
    </row>
    <row r="36" ht="15" customHeight="1" s="462">
      <c r="A36" s="461" t="inlineStr">
        <is>
          <t>Interest Expense Rate (Total Loans: Less FCCB)</t>
        </is>
      </c>
      <c r="B36" s="672" t="n">
        <v>0.0482771292902527</v>
      </c>
      <c r="C36" s="672" t="n">
        <v>0.0625141357940924</v>
      </c>
      <c r="D36" s="672" t="n">
        <v>0.0911746714758801</v>
      </c>
      <c r="E36" s="672" t="n">
        <v>0.0844053206234954</v>
      </c>
      <c r="F36" s="672" t="n">
        <v>0.116503105125899</v>
      </c>
      <c r="G36" s="706" t="n">
        <v>0.116503105125899</v>
      </c>
      <c r="H36" s="706" t="n">
        <v>0.116503105125899</v>
      </c>
      <c r="I36" s="706" t="n">
        <v>0.116503105125899</v>
      </c>
      <c r="J36" s="706" t="n">
        <v>0.116503105125899</v>
      </c>
      <c r="K36" s="706" t="n">
        <v>0.116503105125899</v>
      </c>
    </row>
    <row r="37" ht="15" customHeight="1" s="462">
      <c r="A37" s="573" t="n"/>
      <c r="B37" s="672" t="n"/>
      <c r="C37" s="707" t="n"/>
      <c r="D37" s="672" t="n"/>
      <c r="E37" s="672" t="n"/>
    </row>
    <row r="38" ht="15" customHeight="1" s="462">
      <c r="A38" s="491" t="inlineStr">
        <is>
          <t>Additional Borrowing / (Repayment)</t>
        </is>
      </c>
      <c r="J38" s="643" t="n"/>
    </row>
    <row r="39" ht="15" customHeight="1" s="462">
      <c r="F39" s="506" t="n"/>
      <c r="G39" s="506" t="n"/>
      <c r="J39" s="461" t="n"/>
      <c r="L39" s="506" t="n"/>
    </row>
    <row r="40" ht="15" customHeight="1" s="462">
      <c r="A40" s="490" t="inlineStr">
        <is>
          <t>FCCB's  Due in Aug 2010</t>
        </is>
      </c>
      <c r="B40" s="521" t="n">
        <v>0</v>
      </c>
      <c r="C40" s="521" t="n">
        <v>0</v>
      </c>
      <c r="D40" s="521" t="n">
        <v>0</v>
      </c>
      <c r="E40" s="521" t="n">
        <v>0</v>
      </c>
      <c r="F40" s="521" t="n">
        <v>0</v>
      </c>
      <c r="G40" s="521" t="n">
        <v>0</v>
      </c>
      <c r="H40" s="521" t="n">
        <v>-2492.4</v>
      </c>
      <c r="J40" s="521" t="n">
        <v>0</v>
      </c>
      <c r="K40" s="521" t="n">
        <v>0</v>
      </c>
      <c r="L40" s="506" t="n"/>
    </row>
    <row r="41" ht="15" customHeight="1" s="462">
      <c r="A41" s="490" t="inlineStr">
        <is>
          <t>FCCB's  Due in May 2011 -Tranche A Bonds</t>
        </is>
      </c>
      <c r="B41" s="521" t="n">
        <v>0</v>
      </c>
      <c r="C41" s="521" t="n">
        <v>0</v>
      </c>
      <c r="D41" s="521" t="n">
        <v>0</v>
      </c>
      <c r="E41" s="521" t="n">
        <v>0</v>
      </c>
      <c r="F41" s="521" t="n">
        <v>0</v>
      </c>
      <c r="G41" s="521" t="n">
        <v>-91.5767999999991</v>
      </c>
      <c r="H41" s="521" t="n">
        <v>0</v>
      </c>
      <c r="I41" s="506" t="n">
        <v>-4885.2</v>
      </c>
      <c r="J41" s="521" t="n">
        <v>0</v>
      </c>
      <c r="K41" s="521" t="n">
        <v>0</v>
      </c>
      <c r="L41" s="506" t="n"/>
    </row>
    <row r="42" ht="15" customHeight="1" s="462">
      <c r="A42" s="490" t="inlineStr">
        <is>
          <t>FCCB's  Due in May 2011 -Tranche B Bonds</t>
        </is>
      </c>
      <c r="B42" s="521" t="n">
        <v>0</v>
      </c>
      <c r="C42" s="521" t="n">
        <v>0</v>
      </c>
      <c r="D42" s="521" t="n">
        <v>0</v>
      </c>
      <c r="E42" s="521" t="n">
        <v>0</v>
      </c>
      <c r="F42" s="521" t="n">
        <v>0</v>
      </c>
      <c r="G42" s="521" t="n">
        <v>0</v>
      </c>
      <c r="H42" s="521" t="n">
        <v>0</v>
      </c>
      <c r="I42" s="506" t="n">
        <v>-1518</v>
      </c>
      <c r="J42" s="521" t="n">
        <v>0</v>
      </c>
      <c r="K42" s="521" t="n">
        <v>0</v>
      </c>
    </row>
    <row r="43" ht="15" customHeight="1" s="462">
      <c r="A43" s="490" t="inlineStr">
        <is>
          <t>Term Loans -From Banks</t>
        </is>
      </c>
      <c r="B43" s="521" t="n">
        <v>0</v>
      </c>
      <c r="C43" s="521" t="n">
        <v>0</v>
      </c>
      <c r="D43" s="521" t="n">
        <v>0</v>
      </c>
      <c r="E43" s="521" t="n">
        <v>0</v>
      </c>
      <c r="F43" s="521" t="n">
        <v>0</v>
      </c>
      <c r="G43" s="521" t="n">
        <v>0</v>
      </c>
      <c r="H43" s="637" t="n">
        <v>2000</v>
      </c>
      <c r="I43" s="708" t="n">
        <v>5000</v>
      </c>
      <c r="J43" s="521" t="n">
        <v>0</v>
      </c>
      <c r="K43" s="521" t="n">
        <v>0</v>
      </c>
    </row>
    <row r="44" ht="15" customHeight="1" s="462">
      <c r="A44" s="490" t="n"/>
      <c r="F44" s="506" t="n"/>
      <c r="G44" s="506" t="n"/>
      <c r="H44" s="506" t="n"/>
      <c r="I44" s="521" t="n"/>
    </row>
    <row r="45" ht="15" customHeight="1" s="462">
      <c r="A45" s="490" t="inlineStr">
        <is>
          <t xml:space="preserve">Outstanding FCCB's at Year End (in Rs  Million ) </t>
        </is>
      </c>
      <c r="B45" s="521" t="n">
        <v>0</v>
      </c>
      <c r="C45" s="521" t="n">
        <v>0</v>
      </c>
      <c r="D45" s="521" t="n">
        <v>0</v>
      </c>
      <c r="E45" s="576" t="n">
        <v>10245.6</v>
      </c>
      <c r="F45" s="521" t="n">
        <v>9900.4696</v>
      </c>
      <c r="G45" s="521" t="n">
        <v>8965.200000000001</v>
      </c>
      <c r="H45" s="521" t="n">
        <v>6403.2</v>
      </c>
      <c r="I45" s="521" t="n">
        <v>0</v>
      </c>
      <c r="J45" s="521" t="n">
        <v>0</v>
      </c>
      <c r="K45" s="521" t="n">
        <v>0</v>
      </c>
    </row>
    <row r="46" ht="15" customHeight="1" s="462">
      <c r="A46" s="490" t="inlineStr">
        <is>
          <t xml:space="preserve">Outstanding FCCB's at Year End (in Million USD) </t>
        </is>
      </c>
      <c r="B46" s="521" t="n">
        <v>0</v>
      </c>
      <c r="C46" s="521" t="n">
        <v>0</v>
      </c>
      <c r="D46" s="521" t="n">
        <v>0</v>
      </c>
      <c r="E46" s="613" t="n">
        <v>255.5</v>
      </c>
      <c r="F46" s="613" t="n">
        <v>194.6</v>
      </c>
      <c r="G46" s="580" t="n">
        <v>192.8</v>
      </c>
      <c r="H46" s="521" t="n">
        <v>139.2</v>
      </c>
      <c r="I46" s="587" t="n">
        <v>0</v>
      </c>
      <c r="J46" s="521" t="n">
        <v>0</v>
      </c>
      <c r="K46" s="521" t="n">
        <v>0</v>
      </c>
    </row>
    <row r="47" ht="15" customHeight="1" s="462">
      <c r="A47" s="490" t="inlineStr">
        <is>
          <t>USD/INR (At Balance sheet date i.e 31 March )</t>
        </is>
      </c>
      <c r="B47" s="521" t="n">
        <v>0</v>
      </c>
      <c r="C47" s="521" t="n">
        <v>0</v>
      </c>
      <c r="D47" s="521" t="n">
        <v>0</v>
      </c>
      <c r="E47" s="709" t="n">
        <v>40.1002</v>
      </c>
      <c r="F47" s="709" t="n">
        <v>50.876</v>
      </c>
      <c r="G47" s="709" t="n">
        <v>46.5</v>
      </c>
      <c r="H47" s="709" t="n">
        <v>46</v>
      </c>
      <c r="I47" s="709" t="n">
        <v>45.5</v>
      </c>
      <c r="J47" s="521" t="n">
        <v>0</v>
      </c>
      <c r="K47" s="521" t="n">
        <v>0</v>
      </c>
    </row>
    <row r="48" ht="15" customHeight="1" s="462">
      <c r="A48" s="490" t="inlineStr">
        <is>
          <t>Forex (Gain)  / Loss on restating of FCCB's</t>
        </is>
      </c>
      <c r="F48" s="506" t="n"/>
      <c r="G48" s="506" t="n">
        <v>-843.6928</v>
      </c>
      <c r="H48" s="506" t="n">
        <v>-69.59999999999999</v>
      </c>
      <c r="I48" s="506" t="n"/>
      <c r="J48" s="461" t="n"/>
      <c r="K48" s="461" t="n"/>
    </row>
    <row r="50" ht="15" customHeight="1" s="462">
      <c r="A50" s="491" t="inlineStr">
        <is>
          <t>Interest Income Calculation</t>
        </is>
      </c>
    </row>
    <row r="51" ht="15" customHeight="1" s="462">
      <c r="A51" s="461" t="n"/>
      <c r="B51" s="710" t="n"/>
      <c r="C51" s="710" t="n"/>
      <c r="D51" s="711" t="n"/>
      <c r="E51" s="711" t="n"/>
      <c r="F51" s="526" t="n"/>
      <c r="G51" s="526" t="n"/>
      <c r="H51" s="526" t="n"/>
      <c r="I51" s="526" t="n"/>
      <c r="J51" s="526" t="n"/>
      <c r="K51" s="526" t="n"/>
      <c r="L51" s="461" t="n"/>
    </row>
    <row r="52" ht="15" customHeight="1" s="462">
      <c r="A52" s="461" t="inlineStr">
        <is>
          <t>Cash and Cash Equivalent</t>
        </is>
      </c>
      <c r="B52" s="521" t="n">
        <v>593.9</v>
      </c>
      <c r="C52" s="677" t="n">
        <v>2019.3</v>
      </c>
      <c r="D52" s="506" t="n">
        <v>5824.6</v>
      </c>
      <c r="E52" s="506" t="n">
        <v>2825.7</v>
      </c>
      <c r="F52" s="506" t="n">
        <v>1594.63478286004</v>
      </c>
      <c r="G52" s="506" t="n">
        <v>869.2938203561311</v>
      </c>
      <c r="H52" s="506" t="n">
        <v>2450.1651719119</v>
      </c>
      <c r="I52" s="506" t="n">
        <v>747.332476921988</v>
      </c>
      <c r="J52" s="506" t="n">
        <v>1555.52099216655</v>
      </c>
      <c r="K52" s="506" t="n">
        <v>2886.51042195621</v>
      </c>
    </row>
    <row r="53" ht="15" customHeight="1" s="462">
      <c r="A53" s="461" t="inlineStr">
        <is>
          <t>Investments</t>
        </is>
      </c>
      <c r="B53" s="521" t="n">
        <v>2.4</v>
      </c>
      <c r="C53" s="677" t="n">
        <v>2.8</v>
      </c>
      <c r="D53" s="506" t="n">
        <v>2.7</v>
      </c>
      <c r="E53" s="506" t="n">
        <v>604.3</v>
      </c>
      <c r="F53" s="712" t="n">
        <v>604.3</v>
      </c>
      <c r="G53" s="712" t="n">
        <v>604.3</v>
      </c>
      <c r="H53" s="712" t="n">
        <v>604.3</v>
      </c>
      <c r="I53" s="712" t="n">
        <v>604.3</v>
      </c>
      <c r="J53" s="712" t="n">
        <v>604.3</v>
      </c>
      <c r="K53" s="712" t="n">
        <v>604.3</v>
      </c>
    </row>
    <row r="54" ht="15" customHeight="1" s="462">
      <c r="A54" s="461" t="inlineStr">
        <is>
          <t>Total</t>
        </is>
      </c>
      <c r="B54" s="506" t="n">
        <v>596.3</v>
      </c>
      <c r="C54" s="677" t="n">
        <v>2022.1</v>
      </c>
      <c r="D54" s="506" t="n">
        <v>5827.3</v>
      </c>
      <c r="E54" s="506" t="n">
        <v>3430</v>
      </c>
      <c r="F54" s="506" t="n">
        <v>2198.93478286004</v>
      </c>
      <c r="G54" s="506" t="n">
        <v>1473.59382035613</v>
      </c>
      <c r="H54" s="506" t="n">
        <v>3054.4651719119</v>
      </c>
      <c r="I54" s="506" t="n">
        <v>1351.63247692199</v>
      </c>
      <c r="J54" s="506" t="n">
        <v>2159.82099216655</v>
      </c>
      <c r="K54" s="506" t="n">
        <v>3490.81042195621</v>
      </c>
    </row>
    <row r="55" ht="15" customHeight="1" s="462">
      <c r="A55" s="461" t="inlineStr">
        <is>
          <t>Interest Income Rate</t>
        </is>
      </c>
      <c r="B55" s="672" t="n">
        <v>0.0288445413382526</v>
      </c>
      <c r="C55" s="707" t="n">
        <v>0.0429751248701845</v>
      </c>
      <c r="D55" s="672" t="n">
        <v>0.0705129305167059</v>
      </c>
      <c r="E55" s="672" t="n">
        <v>0.0763265306122449</v>
      </c>
      <c r="F55" s="706" t="n">
        <v>0.0546647818343469</v>
      </c>
      <c r="G55" s="706" t="n">
        <v>0.0546647818343469</v>
      </c>
      <c r="H55" s="706" t="n">
        <v>0.0546647818343469</v>
      </c>
      <c r="I55" s="706" t="n">
        <v>0.0546647818343469</v>
      </c>
      <c r="J55" s="706" t="n">
        <v>0.0546647818343469</v>
      </c>
      <c r="K55" s="706" t="n">
        <v>0.0546647818343469</v>
      </c>
    </row>
    <row r="56" ht="15.75" customHeight="1" s="462">
      <c r="A56" s="489" t="n"/>
      <c r="B56" s="489" t="n"/>
      <c r="C56" s="489" t="n"/>
      <c r="D56" s="489" t="n"/>
      <c r="E56" s="489" t="n"/>
      <c r="F56" s="489" t="n"/>
      <c r="G56" s="489" t="n"/>
      <c r="H56" s="489" t="n"/>
      <c r="I56" s="489" t="n"/>
      <c r="J56" s="489" t="n"/>
      <c r="K56" s="489" t="n"/>
    </row>
    <row r="59" ht="15" customHeight="1" s="462">
      <c r="B59" s="461" t="n"/>
      <c r="C59" s="713" t="n"/>
      <c r="D59" s="714" t="n"/>
      <c r="E59" s="490" t="n"/>
      <c r="F59" s="490" t="n"/>
      <c r="G59" s="461" t="n"/>
    </row>
    <row r="60" ht="15" customHeight="1" s="462">
      <c r="A60" s="715" t="inlineStr">
        <is>
          <t>FCCB Scenario</t>
        </is>
      </c>
      <c r="B60" s="490" t="n"/>
      <c r="C60" s="713" t="n"/>
      <c r="D60" s="714" t="n"/>
      <c r="E60" s="490" t="n"/>
      <c r="F60" s="490" t="n"/>
      <c r="G60" s="461" t="n"/>
    </row>
    <row r="61" ht="30" customHeight="1" s="462">
      <c r="A61" s="716" t="inlineStr">
        <is>
          <t>(In Actuals)</t>
        </is>
      </c>
      <c r="B61" s="717" t="inlineStr">
        <is>
          <t>No of FCCBs Outstanding</t>
        </is>
      </c>
      <c r="C61" s="718" t="inlineStr">
        <is>
          <t>Price per Bond (USD)</t>
        </is>
      </c>
      <c r="D61" s="717" t="inlineStr">
        <is>
          <t>Premium Payable on due</t>
        </is>
      </c>
      <c r="E61" s="717" t="inlineStr">
        <is>
          <t>Outstanding Amount in USD</t>
        </is>
      </c>
      <c r="F61" s="719" t="inlineStr">
        <is>
          <t>Dilution Effect on Outstanding Shares</t>
        </is>
      </c>
      <c r="G61" s="461" t="n"/>
    </row>
    <row r="62" ht="15" customHeight="1" s="462">
      <c r="A62" s="490" t="inlineStr">
        <is>
          <t>Due in Aug 2010</t>
        </is>
      </c>
      <c r="B62" s="720" t="n">
        <v>53600</v>
      </c>
      <c r="C62" s="721" t="n">
        <v>1000</v>
      </c>
      <c r="D62" s="722" t="n">
        <v>1.39954</v>
      </c>
      <c r="E62" s="723" t="n">
        <v>75015344</v>
      </c>
      <c r="F62" s="724" t="n">
        <v>4500000</v>
      </c>
      <c r="G62" s="461" t="n"/>
    </row>
    <row r="63" ht="15" customHeight="1" s="462">
      <c r="A63" s="490" t="inlineStr">
        <is>
          <t>Due in May 2011 -Tranche A Bonds</t>
        </is>
      </c>
      <c r="B63" s="720" t="n">
        <v>106200</v>
      </c>
      <c r="C63" s="721" t="n">
        <v>1000</v>
      </c>
      <c r="D63" s="722" t="n">
        <v>1.46285</v>
      </c>
      <c r="E63" s="723" t="n">
        <v>155354670</v>
      </c>
      <c r="F63" s="725" t="n">
        <v>4700000</v>
      </c>
      <c r="G63" s="461" t="n"/>
    </row>
    <row r="64" ht="15" customHeight="1" s="462">
      <c r="A64" s="490" t="inlineStr">
        <is>
          <t>Due in May 2011 -Tranche B Bonds</t>
        </is>
      </c>
      <c r="B64" s="720" t="n">
        <v>33000</v>
      </c>
      <c r="C64" s="721" t="n">
        <v>1000</v>
      </c>
      <c r="D64" s="722" t="n">
        <v>1.46991</v>
      </c>
      <c r="E64" s="723" t="n">
        <v>48507030</v>
      </c>
      <c r="F64" s="724" t="n">
        <v>1700000</v>
      </c>
      <c r="G64" s="461" t="n"/>
    </row>
    <row r="65" ht="15" customHeight="1" s="462">
      <c r="A65" s="490" t="n"/>
      <c r="B65" s="714" t="n"/>
      <c r="C65" s="721" t="n"/>
      <c r="D65" s="714" t="n"/>
      <c r="E65" s="726" t="n"/>
      <c r="F65" s="490" t="n"/>
      <c r="G65" s="461" t="n"/>
    </row>
    <row r="66" ht="15" customHeight="1" s="462">
      <c r="A66" s="643" t="inlineStr">
        <is>
          <t xml:space="preserve">Total </t>
        </is>
      </c>
      <c r="B66" s="727" t="n">
        <v>192800</v>
      </c>
      <c r="C66" s="713" t="n"/>
      <c r="D66" s="714" t="n"/>
      <c r="E66" s="728" t="n">
        <v>278877044</v>
      </c>
      <c r="F66" s="727" t="n">
        <v>10900000</v>
      </c>
      <c r="G66" s="461" t="n"/>
    </row>
    <row r="67" ht="15" customHeight="1" s="462">
      <c r="A67" s="643" t="n"/>
      <c r="B67" s="727" t="n"/>
      <c r="C67" s="713" t="n"/>
      <c r="D67" s="714" t="n"/>
      <c r="E67" s="728" t="n"/>
      <c r="F67" s="490" t="n"/>
      <c r="G67" s="461" t="n"/>
    </row>
    <row r="68" ht="15" customHeight="1" s="462">
      <c r="A68" s="729" t="inlineStr">
        <is>
          <t>Terms of FCCB Issue</t>
        </is>
      </c>
      <c r="B68" s="727" t="n"/>
      <c r="C68" s="713" t="n"/>
      <c r="D68" s="714" t="n"/>
      <c r="E68" s="728" t="n"/>
      <c r="F68" s="490" t="n"/>
      <c r="G68" s="461" t="n"/>
    </row>
    <row r="69" ht="15" customHeight="1" s="462">
      <c r="A69" s="643" t="n"/>
      <c r="B69" s="727" t="n"/>
      <c r="C69" s="713" t="n"/>
      <c r="D69" s="714" t="n"/>
      <c r="E69" s="728" t="n"/>
      <c r="F69" s="490" t="n"/>
      <c r="G69" s="461" t="n"/>
    </row>
    <row r="70" ht="15" customHeight="1" s="462">
      <c r="A70" s="490" t="inlineStr">
        <is>
          <t>Due in Aug 2010 (Issued in 2005-2006)</t>
        </is>
      </c>
      <c r="B70" s="730" t="inlineStr">
        <is>
          <t>Convertible on or before August 2010. Each $1000 bond to be converted into 83.12 fully paid equity shares at a fixed price of Rs 522.036 at a fixed exchange conversion of Rs 43.3925 = US  $1. OR REDEEMABLE on Maturity @ 139.954% of its principal amount.</t>
        </is>
      </c>
    </row>
    <row r="71" ht="15" customHeight="1" s="462">
      <c r="A71" s="490" t="n"/>
    </row>
    <row r="72" ht="30" customHeight="1" s="462">
      <c r="A72" s="508" t="inlineStr">
        <is>
          <t>Due in May 2011 -Tranche A Bonds (Issued in 2006-07)</t>
        </is>
      </c>
      <c r="B72" s="730" t="inlineStr">
        <is>
          <t>Convertible on or before May 2011. Each $1000 bond to be converted into 44.52 fully paid equity shares at a fixed price of Rs 1014.06 at a fixed exchange conversion of Rs 45.145 = US  $1. OR REDEEMABLE on Maturity @ 146.285% of its principal amount.</t>
        </is>
      </c>
    </row>
    <row r="73" ht="15" customHeight="1" s="462">
      <c r="A73" s="508" t="n"/>
    </row>
    <row r="74" ht="30" customHeight="1" s="462">
      <c r="A74" s="508" t="inlineStr">
        <is>
          <t>Due in May 2011 -Tranche B Bonds (Issued in 2006-07)</t>
        </is>
      </c>
      <c r="B74" s="730" t="inlineStr">
        <is>
          <t>Convertible on or before May 2011. Each $1000 bond to be converted into 51.51 fully paid equity shares at a fixed price of Rs 879  at a fixed exchange conversion of Rs 45.145 = US  $1. OR REDEEMABLE on Maturity @ 146.991% of its principal amount.</t>
        </is>
      </c>
    </row>
    <row r="75" ht="15" customHeight="1" s="462">
      <c r="A75" s="490" t="n"/>
    </row>
    <row r="76" ht="15" customHeight="1" s="462">
      <c r="A76" s="490" t="n"/>
      <c r="B76" s="490" t="n"/>
      <c r="C76" s="713" t="n"/>
      <c r="D76" s="714" t="n"/>
      <c r="E76" s="490" t="n"/>
      <c r="F76" s="490" t="n"/>
      <c r="G76" s="461" t="n"/>
    </row>
    <row r="77" ht="15" customHeight="1" s="462">
      <c r="A77" s="731" t="n"/>
      <c r="B77" s="732" t="inlineStr">
        <is>
          <t>Conversion @ Rs</t>
        </is>
      </c>
      <c r="C77" s="733" t="n">
        <v>46</v>
      </c>
      <c r="D77" s="734" t="n"/>
      <c r="E77" s="490" t="n"/>
      <c r="F77" s="712" t="n"/>
      <c r="G77" s="506" t="n"/>
    </row>
    <row r="78" ht="15" customHeight="1" s="462">
      <c r="A78" s="490" t="n"/>
      <c r="B78" s="490" t="n"/>
      <c r="C78" s="713" t="n"/>
      <c r="D78" s="714" t="n"/>
      <c r="E78" s="490" t="n"/>
      <c r="F78" s="490" t="n"/>
      <c r="G78" s="461" t="n"/>
    </row>
    <row r="79" ht="45" customHeight="1" s="462">
      <c r="A79" s="735" t="inlineStr">
        <is>
          <t>(In USD)</t>
        </is>
      </c>
      <c r="B79" s="736" t="inlineStr">
        <is>
          <t>Due in August 2010</t>
        </is>
      </c>
      <c r="C79" s="737" t="inlineStr">
        <is>
          <t>Due  in May 2011 (Tranche -A)</t>
        </is>
      </c>
      <c r="D79" s="737" t="inlineStr">
        <is>
          <t>Due  in May 2011(Tranche-B)</t>
        </is>
      </c>
      <c r="E79" s="490" t="n"/>
      <c r="F79" s="490" t="n"/>
      <c r="G79" s="506" t="n"/>
    </row>
    <row r="80" ht="15" customHeight="1" s="462">
      <c r="A80" s="558" t="inlineStr">
        <is>
          <t>Face Value of FCCB</t>
        </is>
      </c>
      <c r="B80" s="738" t="n">
        <v>1000</v>
      </c>
      <c r="C80" s="739" t="n">
        <v>1000</v>
      </c>
      <c r="D80" s="738" t="n">
        <v>1000</v>
      </c>
      <c r="E80" s="490" t="n"/>
      <c r="F80" s="490" t="n"/>
      <c r="G80" s="461" t="n"/>
    </row>
    <row r="81" ht="15" customHeight="1" s="462">
      <c r="A81" s="558" t="inlineStr">
        <is>
          <t>Premium (%)</t>
        </is>
      </c>
      <c r="B81" s="740" t="n">
        <v>1.39954</v>
      </c>
      <c r="C81" s="741" t="n">
        <v>1.46285</v>
      </c>
      <c r="D81" s="741" t="n">
        <v>1.46991</v>
      </c>
      <c r="E81" s="490" t="n"/>
      <c r="F81" s="490" t="n"/>
    </row>
    <row r="82" ht="15" customHeight="1" s="462">
      <c r="A82" s="558" t="inlineStr">
        <is>
          <t>Redemption value</t>
        </is>
      </c>
      <c r="B82" s="742" t="n">
        <v>1399.54</v>
      </c>
      <c r="C82" s="742" t="n">
        <v>1462.85</v>
      </c>
      <c r="D82" s="742" t="n">
        <v>1469.91</v>
      </c>
      <c r="E82" s="490" t="n"/>
      <c r="F82" s="490" t="n"/>
      <c r="G82" s="461" t="n"/>
    </row>
    <row r="83" ht="15" customHeight="1" s="462">
      <c r="A83" s="558" t="inlineStr">
        <is>
          <t>Premium Component</t>
        </is>
      </c>
      <c r="B83" s="742" t="n">
        <v>399.54</v>
      </c>
      <c r="C83" s="742" t="n">
        <v>462.85</v>
      </c>
      <c r="D83" s="742" t="n">
        <v>469.91</v>
      </c>
      <c r="E83" s="490" t="n"/>
      <c r="F83" s="490" t="n"/>
      <c r="G83" s="461" t="n"/>
    </row>
    <row r="84" ht="15" customHeight="1" s="462">
      <c r="A84" s="558" t="n"/>
      <c r="B84" s="742" t="n"/>
      <c r="C84" s="743" t="n"/>
      <c r="D84" s="744" t="n"/>
      <c r="E84" s="490" t="n"/>
      <c r="F84" s="490" t="n"/>
      <c r="G84" s="461" t="n"/>
    </row>
    <row r="85" ht="15" customHeight="1" s="462">
      <c r="A85" s="558" t="inlineStr">
        <is>
          <t>(In Millions)</t>
        </is>
      </c>
      <c r="B85" s="745" t="n"/>
      <c r="C85" s="746" t="n"/>
      <c r="D85" s="747" t="n"/>
      <c r="E85" s="490" t="n"/>
      <c r="F85" s="490" t="n"/>
      <c r="G85" s="461" t="n"/>
    </row>
    <row r="86" ht="15" customHeight="1" s="462">
      <c r="A86" s="558" t="inlineStr">
        <is>
          <t>Interest Component (USD)</t>
        </is>
      </c>
      <c r="B86" s="748" t="n">
        <v>21.415344</v>
      </c>
      <c r="C86" s="749" t="n">
        <v>49.15467</v>
      </c>
      <c r="D86" s="749" t="n">
        <v>15.50703</v>
      </c>
      <c r="E86" s="490" t="n"/>
      <c r="F86" s="490" t="n"/>
      <c r="G86" s="461" t="n"/>
    </row>
    <row r="87" ht="15" customHeight="1" s="462">
      <c r="A87" s="558" t="inlineStr">
        <is>
          <t>Interest Component (In INR)</t>
        </is>
      </c>
      <c r="B87" s="748" t="n">
        <v>985.105824</v>
      </c>
      <c r="C87" s="749" t="n">
        <v>2261.11482</v>
      </c>
      <c r="D87" s="749" t="n">
        <v>713.32338</v>
      </c>
      <c r="E87" s="490" t="n"/>
      <c r="F87" s="490" t="n"/>
      <c r="G87" s="461" t="n"/>
    </row>
    <row r="88" ht="15" customHeight="1" s="462">
      <c r="A88" s="558" t="n"/>
      <c r="B88" s="748" t="n"/>
      <c r="C88" s="749" t="n"/>
      <c r="D88" s="749" t="n"/>
      <c r="E88" s="490" t="n"/>
      <c r="F88" s="490" t="n"/>
      <c r="G88" s="461" t="n"/>
    </row>
    <row r="89" ht="15" customHeight="1" s="462">
      <c r="A89" s="558" t="inlineStr">
        <is>
          <t>Principal Component (In INR)</t>
        </is>
      </c>
      <c r="B89" s="748" t="n">
        <v>2465.6</v>
      </c>
      <c r="C89" s="749" t="n">
        <v>4885.2</v>
      </c>
      <c r="D89" s="749" t="n">
        <v>1518</v>
      </c>
      <c r="E89" s="490" t="n"/>
      <c r="F89" s="490" t="n"/>
      <c r="G89" s="461" t="n"/>
    </row>
    <row r="90" ht="15" customHeight="1" s="462">
      <c r="A90" s="558" t="n"/>
      <c r="B90" s="748" t="n"/>
      <c r="C90" s="749" t="n"/>
      <c r="D90" s="749" t="n"/>
      <c r="E90" s="490" t="n"/>
      <c r="F90" s="490" t="n"/>
      <c r="G90" s="461" t="n"/>
    </row>
    <row r="91" ht="15" customHeight="1" s="462">
      <c r="A91" s="490" t="n"/>
      <c r="B91" s="490" t="n"/>
      <c r="C91" s="713" t="n"/>
      <c r="D91" s="490" t="n"/>
      <c r="E91" s="490" t="n"/>
      <c r="F91" s="490" t="n"/>
      <c r="G91" s="461" t="n"/>
    </row>
    <row r="92" ht="15.75" customHeight="1" s="462">
      <c r="A92" s="750" t="inlineStr">
        <is>
          <t>Scenario Analysis</t>
        </is>
      </c>
    </row>
    <row r="93" ht="15" customHeight="1" s="462">
      <c r="A93" s="751" t="inlineStr">
        <is>
          <t xml:space="preserve"> FCCB - Due in August 2010</t>
        </is>
      </c>
    </row>
    <row r="94" ht="15" customHeight="1" s="462">
      <c r="B94" s="752" t="inlineStr">
        <is>
          <t>Each Bond (in $)</t>
        </is>
      </c>
      <c r="C94" s="752" t="inlineStr">
        <is>
          <t>Premium</t>
        </is>
      </c>
      <c r="D94" s="753" t="inlineStr">
        <is>
          <t>Payable on Redemption (in $)</t>
        </is>
      </c>
    </row>
    <row r="95" ht="15" customHeight="1" s="462">
      <c r="B95" s="754" t="n">
        <v>1000</v>
      </c>
      <c r="C95" s="755" t="n">
        <v>1.39954</v>
      </c>
      <c r="D95" s="521" t="n">
        <v>1399.54</v>
      </c>
    </row>
    <row r="96" ht="15" customHeight="1" s="462">
      <c r="B96" s="753" t="n"/>
      <c r="C96" s="753" t="n"/>
      <c r="D96" s="753" t="n"/>
      <c r="H96" s="756" t="n"/>
    </row>
    <row r="97" ht="45" customHeight="1" s="462">
      <c r="A97" s="757" t="inlineStr">
        <is>
          <t>Proceeds to Investor per Bond in USD  if Converted to Equity shares</t>
        </is>
      </c>
      <c r="B97" s="753" t="n"/>
      <c r="C97" s="758" t="inlineStr">
        <is>
          <t>Each $ 1000 Bond is convertible into</t>
        </is>
      </c>
      <c r="D97" s="759" t="n">
        <v>83.12</v>
      </c>
      <c r="E97" s="760" t="inlineStr">
        <is>
          <t xml:space="preserve">If Share Price is </t>
        </is>
      </c>
      <c r="F97" s="761" t="n">
        <v>850</v>
      </c>
      <c r="G97" s="761" t="inlineStr">
        <is>
          <t>USD/INR</t>
        </is>
      </c>
      <c r="H97" s="762" t="n">
        <v>46</v>
      </c>
    </row>
    <row r="98" ht="15" customHeight="1" s="462">
      <c r="B98" s="763" t="inlineStr">
        <is>
          <t>USD /INR</t>
        </is>
      </c>
    </row>
    <row r="99" ht="15" customHeight="1" s="462">
      <c r="B99" s="764" t="n">
        <v>1535.91304347826</v>
      </c>
      <c r="C99" s="765" t="n">
        <v>44</v>
      </c>
      <c r="D99" s="765" t="n">
        <v>45</v>
      </c>
      <c r="E99" s="765" t="n">
        <v>46</v>
      </c>
      <c r="F99" s="765" t="n">
        <v>47</v>
      </c>
      <c r="G99" s="765" t="n">
        <v>48</v>
      </c>
    </row>
    <row r="100" ht="15" customHeight="1" s="462">
      <c r="B100" s="761" t="n">
        <v>500</v>
      </c>
      <c r="C100" s="521" t="n">
        <v>944.545454545455</v>
      </c>
      <c r="D100" s="521" t="n">
        <v>923.555555555556</v>
      </c>
      <c r="E100" s="521" t="n">
        <v>903.478260869565</v>
      </c>
      <c r="F100" s="521" t="n">
        <v>884.255319148936</v>
      </c>
      <c r="G100" s="521" t="n">
        <v>865.833333333333</v>
      </c>
    </row>
    <row r="101" ht="15" customHeight="1" s="462">
      <c r="B101" s="761" t="n">
        <v>550</v>
      </c>
      <c r="C101" s="521" t="n">
        <v>1039</v>
      </c>
      <c r="D101" s="521" t="n">
        <v>1015.91111111111</v>
      </c>
      <c r="E101" s="521" t="n">
        <v>993.826086956522</v>
      </c>
      <c r="F101" s="521" t="n">
        <v>972.68085106383</v>
      </c>
      <c r="G101" s="521" t="n">
        <v>952.416666666667</v>
      </c>
    </row>
    <row r="102" ht="15" customHeight="1" s="462">
      <c r="B102" s="761" t="n">
        <v>600</v>
      </c>
      <c r="C102" s="521" t="n">
        <v>1133.45454545455</v>
      </c>
      <c r="D102" s="521" t="n">
        <v>1108.26666666667</v>
      </c>
      <c r="E102" s="521" t="n">
        <v>1084.17391304348</v>
      </c>
      <c r="F102" s="521" t="n">
        <v>1061.10638297872</v>
      </c>
      <c r="G102" s="521" t="n">
        <v>1039</v>
      </c>
    </row>
    <row r="103" ht="15" customHeight="1" s="462">
      <c r="B103" s="761" t="n">
        <v>650</v>
      </c>
      <c r="C103" s="521" t="n">
        <v>1227.90909090909</v>
      </c>
      <c r="D103" s="521" t="n">
        <v>1200.62222222222</v>
      </c>
      <c r="E103" s="521" t="n">
        <v>1174.52173913043</v>
      </c>
      <c r="F103" s="521" t="n">
        <v>1149.53191489362</v>
      </c>
      <c r="G103" s="521" t="n">
        <v>1125.58333333333</v>
      </c>
    </row>
    <row r="104" ht="15" customHeight="1" s="462">
      <c r="A104" s="766" t="inlineStr">
        <is>
          <t>Share Price in INR</t>
        </is>
      </c>
      <c r="B104" s="761" t="n">
        <v>700</v>
      </c>
      <c r="C104" s="521" t="n">
        <v>1322.36363636364</v>
      </c>
      <c r="D104" s="521" t="n">
        <v>1292.97777777778</v>
      </c>
      <c r="E104" s="521" t="n">
        <v>1264.86956521739</v>
      </c>
      <c r="F104" s="521" t="n">
        <v>1237.95744680851</v>
      </c>
      <c r="G104" s="521" t="n">
        <v>1212.16666666667</v>
      </c>
    </row>
    <row r="105" ht="15" customHeight="1" s="462">
      <c r="B105" s="761" t="n">
        <v>750</v>
      </c>
      <c r="C105" s="521" t="n">
        <v>1416.81818181818</v>
      </c>
      <c r="D105" s="521" t="n">
        <v>1385.33333333333</v>
      </c>
      <c r="E105" s="521" t="n">
        <v>1355.21739130435</v>
      </c>
      <c r="F105" s="521" t="n">
        <v>1326.3829787234</v>
      </c>
      <c r="G105" s="521" t="n">
        <v>1298.75</v>
      </c>
    </row>
    <row r="106" ht="15" customHeight="1" s="462">
      <c r="B106" s="761" t="n">
        <v>800</v>
      </c>
      <c r="C106" s="521" t="n">
        <v>1511.27272727273</v>
      </c>
      <c r="D106" s="521" t="n">
        <v>1477.68888888889</v>
      </c>
      <c r="E106" s="521" t="n">
        <v>1445.5652173913</v>
      </c>
      <c r="F106" s="521" t="n">
        <v>1414.8085106383</v>
      </c>
      <c r="G106" s="521" t="n">
        <v>1385.33333333333</v>
      </c>
    </row>
    <row r="107" ht="15" customHeight="1" s="462">
      <c r="B107" s="767" t="n">
        <v>850</v>
      </c>
      <c r="C107" s="521" t="n">
        <v>1605.72727272727</v>
      </c>
      <c r="D107" s="521" t="n">
        <v>1570.04444444444</v>
      </c>
      <c r="E107" s="521" t="n">
        <v>1535.91304347826</v>
      </c>
      <c r="F107" s="521" t="n">
        <v>1503.23404255319</v>
      </c>
      <c r="G107" s="521" t="n">
        <v>1471.91666666667</v>
      </c>
    </row>
    <row r="108" ht="15" customHeight="1" s="462">
      <c r="B108" s="761" t="n">
        <v>900</v>
      </c>
      <c r="C108" s="521" t="n">
        <v>1700.18181818182</v>
      </c>
      <c r="D108" s="521" t="n">
        <v>1662.4</v>
      </c>
      <c r="E108" s="521" t="n">
        <v>1626.26086956522</v>
      </c>
      <c r="F108" s="521" t="n">
        <v>1591.65957446809</v>
      </c>
      <c r="G108" s="521" t="n">
        <v>1558.5</v>
      </c>
    </row>
    <row r="109" ht="15" customHeight="1" s="462">
      <c r="B109" s="761" t="n">
        <v>950</v>
      </c>
      <c r="C109" s="521" t="n">
        <v>1794.63636363636</v>
      </c>
      <c r="D109" s="521" t="n">
        <v>1754.75555555556</v>
      </c>
      <c r="E109" s="521" t="n">
        <v>1716.60869565217</v>
      </c>
      <c r="F109" s="521" t="n">
        <v>1680.08510638298</v>
      </c>
      <c r="G109" s="521" t="n">
        <v>1645.08333333333</v>
      </c>
    </row>
    <row r="110" ht="15" customHeight="1" s="462">
      <c r="B110" s="761" t="n">
        <v>1000</v>
      </c>
      <c r="C110" s="521" t="n">
        <v>1889.09090909091</v>
      </c>
      <c r="D110" s="521" t="n">
        <v>1847.11111111111</v>
      </c>
      <c r="E110" s="521" t="n">
        <v>1806.95652173913</v>
      </c>
      <c r="F110" s="521" t="n">
        <v>1768.51063829787</v>
      </c>
      <c r="G110" s="521" t="n">
        <v>1731.66666666667</v>
      </c>
    </row>
    <row r="111" ht="15" customHeight="1" s="462">
      <c r="B111" s="761" t="n">
        <v>1050</v>
      </c>
      <c r="C111" s="521" t="n">
        <v>1983.54545454545</v>
      </c>
      <c r="D111" s="521" t="n">
        <v>1939.46666666667</v>
      </c>
      <c r="E111" s="521" t="n">
        <v>1897.30434782609</v>
      </c>
      <c r="F111" s="521" t="n">
        <v>1856.93617021277</v>
      </c>
      <c r="G111" s="521" t="n">
        <v>1818.25</v>
      </c>
    </row>
    <row r="112" ht="15" customHeight="1" s="462">
      <c r="A112" s="461" t="n"/>
      <c r="B112" s="761" t="n">
        <v>1100</v>
      </c>
      <c r="C112" s="521" t="n">
        <v>2078</v>
      </c>
      <c r="D112" s="521" t="n">
        <v>2031.82222222222</v>
      </c>
      <c r="E112" s="521" t="n">
        <v>1987.65217391304</v>
      </c>
      <c r="F112" s="521" t="n">
        <v>1945.36170212766</v>
      </c>
      <c r="G112" s="521" t="n">
        <v>1904.83333333333</v>
      </c>
    </row>
    <row r="113" ht="15" customHeight="1" s="462">
      <c r="A113" s="461" t="n"/>
      <c r="B113" s="761" t="n">
        <v>1150</v>
      </c>
      <c r="C113" s="521" t="n">
        <v>2172.45454545455</v>
      </c>
      <c r="D113" s="521" t="n">
        <v>2124.17777777778</v>
      </c>
      <c r="E113" s="521" t="n">
        <v>2078</v>
      </c>
      <c r="F113" s="521" t="n">
        <v>2033.78723404255</v>
      </c>
      <c r="G113" s="521" t="n">
        <v>1991.41666666667</v>
      </c>
    </row>
    <row r="114" ht="15" customHeight="1" s="462">
      <c r="A114" s="461" t="n"/>
      <c r="B114" s="761" t="n">
        <v>1200</v>
      </c>
      <c r="C114" s="521" t="n">
        <v>2266.90909090909</v>
      </c>
      <c r="D114" s="521" t="n">
        <v>2216.53333333333</v>
      </c>
      <c r="E114" s="521" t="n">
        <v>2168.34782608696</v>
      </c>
      <c r="F114" s="521" t="n">
        <v>2122.21276595745</v>
      </c>
      <c r="G114" s="521" t="n">
        <v>2078</v>
      </c>
    </row>
    <row r="115" ht="15" customHeight="1" s="462">
      <c r="A115" s="461" t="n"/>
      <c r="B115" s="761" t="n">
        <v>1250</v>
      </c>
      <c r="C115" s="521" t="n">
        <v>2361.36363636364</v>
      </c>
      <c r="D115" s="521" t="n">
        <v>2308.88888888889</v>
      </c>
      <c r="E115" s="521" t="n">
        <v>2258.69565217391</v>
      </c>
      <c r="F115" s="521" t="n">
        <v>2210.63829787234</v>
      </c>
      <c r="G115" s="521" t="n">
        <v>2164.58333333333</v>
      </c>
    </row>
    <row r="116" ht="15" customHeight="1" s="462">
      <c r="B116" s="761" t="n">
        <v>1300</v>
      </c>
      <c r="C116" s="521" t="n">
        <v>2455.81818181818</v>
      </c>
      <c r="D116" s="521" t="n">
        <v>2401.24444444444</v>
      </c>
      <c r="E116" s="521" t="n">
        <v>2349.04347826087</v>
      </c>
      <c r="F116" s="521" t="n">
        <v>2299.06382978723</v>
      </c>
      <c r="G116" s="521" t="n">
        <v>2251.16666666667</v>
      </c>
    </row>
    <row r="117" ht="15" customHeight="1" s="462">
      <c r="B117" s="761" t="n">
        <v>1350</v>
      </c>
      <c r="C117" s="521" t="n">
        <v>2550.27272727273</v>
      </c>
      <c r="D117" s="521" t="n">
        <v>2493.6</v>
      </c>
      <c r="E117" s="521" t="n">
        <v>2439.39130434783</v>
      </c>
      <c r="F117" s="521" t="n">
        <v>2387.48936170213</v>
      </c>
      <c r="G117" s="521" t="n">
        <v>2337.75</v>
      </c>
    </row>
    <row r="118" ht="15" customHeight="1" s="462">
      <c r="B118" s="761" t="n">
        <v>1400</v>
      </c>
      <c r="C118" s="521" t="n">
        <v>2644.72727272727</v>
      </c>
      <c r="D118" s="521" t="n">
        <v>2585.95555555556</v>
      </c>
      <c r="E118" s="521" t="n">
        <v>2529.73913043478</v>
      </c>
      <c r="F118" s="521" t="n">
        <v>2475.91489361702</v>
      </c>
      <c r="G118" s="521" t="n">
        <v>2424.33333333333</v>
      </c>
    </row>
    <row r="119" ht="15" customHeight="1" s="462">
      <c r="B119" s="761" t="n">
        <v>1450</v>
      </c>
      <c r="C119" s="521" t="n">
        <v>2739.18181818182</v>
      </c>
      <c r="D119" s="521" t="n">
        <v>2678.31111111111</v>
      </c>
      <c r="E119" s="521" t="n">
        <v>2620.08695652174</v>
      </c>
      <c r="F119" s="521" t="n">
        <v>2564.34042553192</v>
      </c>
      <c r="G119" s="521" t="n">
        <v>2510.91666666667</v>
      </c>
    </row>
    <row r="120" ht="15" customHeight="1" s="462">
      <c r="B120" s="761" t="n">
        <v>1500</v>
      </c>
      <c r="C120" s="521" t="n">
        <v>2833.63636363636</v>
      </c>
      <c r="D120" s="521" t="n">
        <v>2770.66666666667</v>
      </c>
      <c r="E120" s="521" t="n">
        <v>2710.4347826087</v>
      </c>
      <c r="F120" s="521" t="n">
        <v>2652.76595744681</v>
      </c>
      <c r="G120" s="521" t="n">
        <v>2597.5</v>
      </c>
    </row>
    <row r="121" ht="15" customHeight="1" s="462">
      <c r="B121" s="761" t="n">
        <v>1550</v>
      </c>
      <c r="C121" s="521" t="n">
        <v>2928.09090909091</v>
      </c>
      <c r="D121" s="521" t="n">
        <v>2863.02222222222</v>
      </c>
      <c r="E121" s="521" t="n">
        <v>2800.78260869565</v>
      </c>
      <c r="F121" s="521" t="n">
        <v>2741.1914893617</v>
      </c>
      <c r="G121" s="521" t="n">
        <v>2684.08333333333</v>
      </c>
    </row>
    <row r="122" ht="15" customHeight="1" s="462">
      <c r="B122" s="761" t="n">
        <v>1600</v>
      </c>
      <c r="C122" s="521" t="n">
        <v>3022.54545454545</v>
      </c>
      <c r="D122" s="521" t="n">
        <v>2955.37777777778</v>
      </c>
      <c r="E122" s="521" t="n">
        <v>2891.13043478261</v>
      </c>
      <c r="F122" s="521" t="n">
        <v>2829.6170212766</v>
      </c>
      <c r="G122" s="521" t="n">
        <v>2770.66666666667</v>
      </c>
    </row>
    <row r="123" ht="15" customHeight="1" s="462">
      <c r="B123" s="761" t="n">
        <v>1650</v>
      </c>
      <c r="C123" s="521" t="n">
        <v>3117</v>
      </c>
      <c r="D123" s="521" t="n">
        <v>3047.73333333333</v>
      </c>
      <c r="E123" s="521" t="n">
        <v>2981.47826086957</v>
      </c>
      <c r="F123" s="521" t="n">
        <v>2918.04255319149</v>
      </c>
      <c r="G123" s="521" t="n">
        <v>2857.25</v>
      </c>
    </row>
    <row r="124" ht="15" customHeight="1" s="462">
      <c r="B124" s="761" t="n">
        <v>1700</v>
      </c>
      <c r="C124" s="521" t="n">
        <v>3211.45454545455</v>
      </c>
      <c r="D124" s="521" t="n">
        <v>3140.08888888889</v>
      </c>
      <c r="E124" s="521" t="n">
        <v>3071.82608695652</v>
      </c>
      <c r="F124" s="521" t="n">
        <v>3006.46808510638</v>
      </c>
      <c r="G124" s="521" t="n">
        <v>2943.83333333333</v>
      </c>
    </row>
    <row r="125" ht="15" customHeight="1" s="462">
      <c r="B125" s="761" t="n">
        <v>1750</v>
      </c>
      <c r="C125" s="521" t="n">
        <v>3305.90909090909</v>
      </c>
      <c r="D125" s="521" t="n">
        <v>3232.44444444444</v>
      </c>
      <c r="E125" s="521" t="n">
        <v>3162.17391304348</v>
      </c>
      <c r="F125" s="521" t="n">
        <v>3094.89361702128</v>
      </c>
      <c r="G125" s="521" t="n">
        <v>3030.41666666667</v>
      </c>
    </row>
    <row r="126" ht="15" customHeight="1" s="462">
      <c r="B126" s="761" t="n">
        <v>1800</v>
      </c>
      <c r="C126" s="521" t="n">
        <v>3400.36363636364</v>
      </c>
      <c r="D126" s="521" t="n">
        <v>3324.8</v>
      </c>
      <c r="E126" s="521" t="n">
        <v>3252.52173913044</v>
      </c>
      <c r="F126" s="521" t="n">
        <v>3183.31914893617</v>
      </c>
      <c r="G126" s="521" t="n">
        <v>3117</v>
      </c>
    </row>
    <row r="127" ht="15" customHeight="1" s="462">
      <c r="F127" s="751" t="n"/>
      <c r="G127" s="461" t="n"/>
      <c r="H127" s="677" t="n"/>
      <c r="I127" s="461" t="n"/>
      <c r="J127" s="461" t="n"/>
      <c r="K127" s="461" t="n"/>
      <c r="L127" s="461" t="n"/>
      <c r="M127" s="461" t="n"/>
      <c r="N127" s="461" t="n"/>
    </row>
    <row r="128" ht="15" customHeight="1" s="462">
      <c r="F128" s="461" t="n"/>
      <c r="G128" s="752" t="n"/>
      <c r="H128" s="752" t="n"/>
      <c r="I128" s="753" t="n"/>
      <c r="J128" s="461" t="n"/>
      <c r="K128" s="461" t="n"/>
      <c r="L128" s="461" t="n"/>
      <c r="M128" s="461" t="n"/>
      <c r="N128" s="461" t="n"/>
    </row>
    <row r="129" ht="15" customHeight="1" s="462">
      <c r="A129" s="751" t="inlineStr">
        <is>
          <t xml:space="preserve"> FCCB - Due in May 2011 - Tranche A</t>
        </is>
      </c>
      <c r="I129" s="521" t="n"/>
      <c r="J129" s="461" t="n"/>
      <c r="K129" s="461" t="n"/>
      <c r="L129" s="461" t="n"/>
      <c r="M129" s="461" t="n"/>
      <c r="N129" s="461" t="n"/>
    </row>
    <row r="130" ht="15" customHeight="1" s="462">
      <c r="B130" s="752" t="inlineStr">
        <is>
          <t>Each Bond (in $)</t>
        </is>
      </c>
      <c r="C130" s="752" t="inlineStr">
        <is>
          <t>Premium</t>
        </is>
      </c>
      <c r="D130" s="753" t="inlineStr">
        <is>
          <t>Payable on Redemption (in $)</t>
        </is>
      </c>
      <c r="I130" s="753" t="n"/>
      <c r="J130" s="461" t="n"/>
      <c r="K130" s="461" t="n"/>
      <c r="L130" s="461" t="n"/>
      <c r="M130" s="461" t="n"/>
      <c r="N130" s="461" t="n"/>
    </row>
    <row r="131" ht="15" customHeight="1" s="462">
      <c r="B131" s="768" t="n">
        <v>1000</v>
      </c>
      <c r="C131" s="769" t="n">
        <v>1.46285</v>
      </c>
      <c r="D131" s="521" t="n">
        <v>1462.85</v>
      </c>
      <c r="I131" s="770" t="n"/>
      <c r="J131" s="760" t="n"/>
      <c r="K131" s="761" t="n"/>
      <c r="L131" s="761" t="n"/>
      <c r="M131" s="761" t="n"/>
      <c r="N131" s="461" t="n"/>
    </row>
    <row r="132" ht="15" customHeight="1" s="462">
      <c r="B132" s="753" t="n"/>
      <c r="C132" s="753" t="n"/>
      <c r="D132" s="753" t="n"/>
      <c r="I132" s="771" t="n"/>
      <c r="J132" s="771" t="n"/>
      <c r="K132" s="771" t="n"/>
      <c r="L132" s="461" t="n"/>
      <c r="M132" s="461" t="n"/>
      <c r="N132" s="461" t="n"/>
    </row>
    <row r="133" ht="45" customHeight="1" s="462">
      <c r="A133" s="757" t="inlineStr">
        <is>
          <t>Proceeds to Investor per Bond in USD  if Converted to Equity shares</t>
        </is>
      </c>
      <c r="B133" s="753" t="n"/>
      <c r="C133" s="758" t="inlineStr">
        <is>
          <t>Each $ 1000 Bond is convertible into</t>
        </is>
      </c>
      <c r="D133" s="772" t="n">
        <v>44.52</v>
      </c>
      <c r="E133" s="760" t="inlineStr">
        <is>
          <t xml:space="preserve">If Share Price is </t>
        </is>
      </c>
      <c r="F133" s="761" t="n">
        <v>850</v>
      </c>
      <c r="G133" s="761" t="inlineStr">
        <is>
          <t>USD/INR</t>
        </is>
      </c>
      <c r="H133" s="762" t="n">
        <v>46</v>
      </c>
      <c r="I133" s="765" t="n"/>
      <c r="J133" s="765" t="n"/>
      <c r="K133" s="765" t="n"/>
      <c r="L133" s="765" t="n"/>
      <c r="M133" s="461" t="n"/>
      <c r="N133" s="461" t="n"/>
    </row>
    <row r="134" ht="15" customHeight="1" s="462">
      <c r="B134" s="763" t="inlineStr">
        <is>
          <t>USD /INR</t>
        </is>
      </c>
      <c r="I134" s="461" t="n"/>
      <c r="J134" s="461" t="n"/>
      <c r="K134" s="461" t="n"/>
      <c r="L134" s="461" t="n"/>
      <c r="M134" s="461" t="n"/>
      <c r="N134" s="461" t="n"/>
    </row>
    <row r="135" ht="15" customHeight="1" s="462">
      <c r="B135" s="583" t="n">
        <v>822.652173913044</v>
      </c>
      <c r="C135" s="765" t="n">
        <v>44</v>
      </c>
      <c r="D135" s="765" t="n">
        <v>45</v>
      </c>
      <c r="E135" s="765" t="n">
        <v>46</v>
      </c>
      <c r="F135" s="765" t="n">
        <v>47</v>
      </c>
      <c r="G135" s="765" t="n">
        <v>48</v>
      </c>
      <c r="H135" s="461" t="n"/>
      <c r="I135" s="461" t="n"/>
      <c r="J135" s="461" t="n"/>
      <c r="K135" s="461" t="n"/>
      <c r="L135" s="461" t="n"/>
      <c r="M135" s="461" t="n"/>
      <c r="N135" s="461" t="n"/>
    </row>
    <row r="136" ht="15" customHeight="1" s="462">
      <c r="B136" s="761" t="n">
        <v>500</v>
      </c>
      <c r="C136" s="521" t="n">
        <v>505.909090909091</v>
      </c>
      <c r="D136" s="521" t="n">
        <v>494.666666666667</v>
      </c>
      <c r="E136" s="521" t="n">
        <v>483.913043478261</v>
      </c>
      <c r="F136" s="521" t="n">
        <v>473.617021276596</v>
      </c>
      <c r="G136" s="521" t="n">
        <v>463.75</v>
      </c>
      <c r="H136" s="461" t="n"/>
      <c r="I136" s="461" t="n"/>
      <c r="J136" s="461" t="n"/>
      <c r="K136" s="461" t="n"/>
      <c r="L136" s="461" t="n"/>
      <c r="M136" s="461" t="n"/>
      <c r="N136" s="461" t="n"/>
    </row>
    <row r="137" ht="15" customHeight="1" s="462">
      <c r="B137" s="761" t="n">
        <v>550</v>
      </c>
      <c r="C137" s="521" t="n">
        <v>556.5</v>
      </c>
      <c r="D137" s="521" t="n">
        <v>544.133333333333</v>
      </c>
      <c r="E137" s="521" t="n">
        <v>532.304347826087</v>
      </c>
      <c r="F137" s="521" t="n">
        <v>520.978723404255</v>
      </c>
      <c r="G137" s="521" t="n">
        <v>510.125</v>
      </c>
      <c r="H137" s="461" t="n"/>
      <c r="I137" s="461" t="n"/>
      <c r="J137" s="461" t="n"/>
      <c r="K137" s="461" t="n"/>
      <c r="L137" s="461" t="n"/>
      <c r="M137" s="461" t="n"/>
      <c r="N137" s="461" t="n"/>
    </row>
    <row r="138" ht="15" customHeight="1" s="462">
      <c r="B138" s="761" t="n">
        <v>600</v>
      </c>
      <c r="C138" s="521" t="n">
        <v>607.090909090909</v>
      </c>
      <c r="D138" s="521" t="n">
        <v>593.6</v>
      </c>
      <c r="E138" s="521" t="n">
        <v>580.695652173913</v>
      </c>
      <c r="F138" s="521" t="n">
        <v>568.340425531915</v>
      </c>
      <c r="G138" s="521" t="n">
        <v>556.5</v>
      </c>
    </row>
    <row r="139" ht="15" customHeight="1" s="462">
      <c r="B139" s="761" t="n">
        <v>650</v>
      </c>
      <c r="C139" s="521" t="n">
        <v>657.681818181818</v>
      </c>
      <c r="D139" s="521" t="n">
        <v>643.0666666666669</v>
      </c>
      <c r="E139" s="521" t="n">
        <v>629.086956521739</v>
      </c>
      <c r="F139" s="521" t="n">
        <v>615.702127659575</v>
      </c>
      <c r="G139" s="521" t="n">
        <v>602.875</v>
      </c>
    </row>
    <row r="140" ht="15" customHeight="1" s="462">
      <c r="A140" s="766" t="inlineStr">
        <is>
          <t>Share Price in INR</t>
        </is>
      </c>
      <c r="B140" s="761" t="n">
        <v>700</v>
      </c>
      <c r="C140" s="521" t="n">
        <v>708.272727272727</v>
      </c>
      <c r="D140" s="521" t="n">
        <v>692.533333333333</v>
      </c>
      <c r="E140" s="521" t="n">
        <v>677.478260869565</v>
      </c>
      <c r="F140" s="521" t="n">
        <v>663.063829787234</v>
      </c>
      <c r="G140" s="521" t="n">
        <v>649.25</v>
      </c>
    </row>
    <row r="141" ht="15" customHeight="1" s="462">
      <c r="B141" s="761" t="n">
        <v>750</v>
      </c>
      <c r="C141" s="521" t="n">
        <v>758.863636363636</v>
      </c>
      <c r="D141" s="521" t="n">
        <v>742</v>
      </c>
      <c r="E141" s="521" t="n">
        <v>725.869565217391</v>
      </c>
      <c r="F141" s="521" t="n">
        <v>710.425531914894</v>
      </c>
      <c r="G141" s="521" t="n">
        <v>695.625</v>
      </c>
    </row>
    <row r="142" ht="15" customHeight="1" s="462">
      <c r="B142" s="761" t="n">
        <v>800</v>
      </c>
      <c r="C142" s="521" t="n">
        <v>809.454545454546</v>
      </c>
      <c r="D142" s="521" t="n">
        <v>791.466666666667</v>
      </c>
      <c r="E142" s="521" t="n">
        <v>774.260869565217</v>
      </c>
      <c r="F142" s="521" t="n">
        <v>757.787234042553</v>
      </c>
      <c r="G142" s="521" t="n">
        <v>742</v>
      </c>
    </row>
    <row r="143" ht="15" customHeight="1" s="462">
      <c r="B143" s="767" t="n">
        <v>850</v>
      </c>
      <c r="C143" s="521" t="n">
        <v>860.045454545455</v>
      </c>
      <c r="D143" s="521" t="n">
        <v>840.9333333333331</v>
      </c>
      <c r="E143" s="521" t="n">
        <v>822.652173913044</v>
      </c>
      <c r="F143" s="521" t="n">
        <v>805.148936170213</v>
      </c>
      <c r="G143" s="521" t="n">
        <v>788.375</v>
      </c>
    </row>
    <row r="144" ht="15" customHeight="1" s="462">
      <c r="B144" s="761" t="n">
        <v>900</v>
      </c>
      <c r="C144" s="521" t="n">
        <v>910.636363636364</v>
      </c>
      <c r="D144" s="521" t="n">
        <v>890.4</v>
      </c>
      <c r="E144" s="521" t="n">
        <v>871.04347826087</v>
      </c>
      <c r="F144" s="521" t="n">
        <v>852.510638297872</v>
      </c>
      <c r="G144" s="521" t="n">
        <v>834.75</v>
      </c>
    </row>
    <row r="145" ht="15" customHeight="1" s="462">
      <c r="B145" s="761" t="n">
        <v>950</v>
      </c>
      <c r="C145" s="521" t="n">
        <v>961.227272727273</v>
      </c>
      <c r="D145" s="521" t="n">
        <v>939.866666666667</v>
      </c>
      <c r="E145" s="521" t="n">
        <v>919.434782608696</v>
      </c>
      <c r="F145" s="521" t="n">
        <v>899.872340425532</v>
      </c>
      <c r="G145" s="521" t="n">
        <v>881.125</v>
      </c>
    </row>
    <row r="146" ht="15" customHeight="1" s="462">
      <c r="B146" s="761" t="n">
        <v>1000</v>
      </c>
      <c r="C146" s="521" t="n">
        <v>1011.81818181818</v>
      </c>
      <c r="D146" s="521" t="n">
        <v>989.333333333333</v>
      </c>
      <c r="E146" s="521" t="n">
        <v>967.826086956522</v>
      </c>
      <c r="F146" s="521" t="n">
        <v>947.234042553191</v>
      </c>
      <c r="G146" s="521" t="n">
        <v>927.5</v>
      </c>
    </row>
    <row r="147" ht="15" customHeight="1" s="462">
      <c r="B147" s="761" t="n">
        <v>1050</v>
      </c>
      <c r="C147" s="521" t="n">
        <v>1062.40909090909</v>
      </c>
      <c r="D147" s="521" t="n">
        <v>1038.8</v>
      </c>
      <c r="E147" s="521" t="n">
        <v>1016.21739130435</v>
      </c>
      <c r="F147" s="521" t="n">
        <v>994.595744680851</v>
      </c>
      <c r="G147" s="521" t="n">
        <v>973.875</v>
      </c>
    </row>
    <row r="148" ht="15" customHeight="1" s="462">
      <c r="A148" s="773" t="n"/>
      <c r="B148" s="761" t="n">
        <v>1100</v>
      </c>
      <c r="C148" s="521" t="n">
        <v>1113</v>
      </c>
      <c r="D148" s="521" t="n">
        <v>1088.26666666667</v>
      </c>
      <c r="E148" s="521" t="n">
        <v>1064.60869565217</v>
      </c>
      <c r="F148" s="521" t="n">
        <v>1041.95744680851</v>
      </c>
      <c r="G148" s="521" t="n">
        <v>1020.25</v>
      </c>
    </row>
    <row r="149" ht="15" customHeight="1" s="462">
      <c r="A149" s="773" t="n"/>
      <c r="B149" s="761" t="n">
        <v>1150</v>
      </c>
      <c r="C149" s="521" t="n">
        <v>1163.59090909091</v>
      </c>
      <c r="D149" s="521" t="n">
        <v>1137.73333333333</v>
      </c>
      <c r="E149" s="521" t="n">
        <v>1113</v>
      </c>
      <c r="F149" s="521" t="n">
        <v>1089.31914893617</v>
      </c>
      <c r="G149" s="521" t="n">
        <v>1066.625</v>
      </c>
    </row>
    <row r="150" ht="15" customHeight="1" s="462">
      <c r="A150" s="773" t="n"/>
      <c r="B150" s="761" t="n">
        <v>1200</v>
      </c>
      <c r="C150" s="521" t="n">
        <v>1214.18181818182</v>
      </c>
      <c r="D150" s="521" t="n">
        <v>1187.2</v>
      </c>
      <c r="E150" s="521" t="n">
        <v>1161.39130434783</v>
      </c>
      <c r="F150" s="521" t="n">
        <v>1136.68085106383</v>
      </c>
      <c r="G150" s="521" t="n">
        <v>1113</v>
      </c>
    </row>
    <row r="151" ht="15" customHeight="1" s="462">
      <c r="A151" s="773" t="n"/>
      <c r="B151" s="761" t="n">
        <v>1250</v>
      </c>
      <c r="C151" s="521" t="n">
        <v>1264.77272727273</v>
      </c>
      <c r="D151" s="521" t="n">
        <v>1236.66666666667</v>
      </c>
      <c r="E151" s="521" t="n">
        <v>1209.78260869565</v>
      </c>
      <c r="F151" s="521" t="n">
        <v>1184.04255319149</v>
      </c>
      <c r="G151" s="521" t="n">
        <v>1159.375</v>
      </c>
    </row>
    <row r="152" ht="15" customHeight="1" s="462">
      <c r="A152" s="773" t="n"/>
      <c r="B152" s="761" t="n">
        <v>1300</v>
      </c>
      <c r="C152" s="521" t="n">
        <v>1315.36363636364</v>
      </c>
      <c r="D152" s="521" t="n">
        <v>1286.13333333333</v>
      </c>
      <c r="E152" s="521" t="n">
        <v>1258.17391304348</v>
      </c>
      <c r="F152" s="521" t="n">
        <v>1231.40425531915</v>
      </c>
      <c r="G152" s="521" t="n">
        <v>1205.75</v>
      </c>
    </row>
    <row r="153" ht="15" customHeight="1" s="462">
      <c r="B153" s="761" t="n">
        <v>1350</v>
      </c>
      <c r="C153" s="521" t="n">
        <v>1365.95454545455</v>
      </c>
      <c r="D153" s="521" t="n">
        <v>1335.6</v>
      </c>
      <c r="E153" s="521" t="n">
        <v>1306.5652173913</v>
      </c>
      <c r="F153" s="521" t="n">
        <v>1278.76595744681</v>
      </c>
      <c r="G153" s="521" t="n">
        <v>1252.125</v>
      </c>
    </row>
    <row r="154" ht="15" customHeight="1" s="462">
      <c r="B154" s="761" t="n">
        <v>1400</v>
      </c>
      <c r="C154" s="521" t="n">
        <v>1416.54545454545</v>
      </c>
      <c r="D154" s="521" t="n">
        <v>1385.06666666667</v>
      </c>
      <c r="E154" s="521" t="n">
        <v>1354.95652173913</v>
      </c>
      <c r="F154" s="521" t="n">
        <v>1326.12765957447</v>
      </c>
      <c r="G154" s="521" t="n">
        <v>1298.5</v>
      </c>
    </row>
    <row r="155" ht="15" customHeight="1" s="462">
      <c r="B155" s="761" t="n">
        <v>1450</v>
      </c>
      <c r="C155" s="521" t="n">
        <v>1467.13636363636</v>
      </c>
      <c r="D155" s="521" t="n">
        <v>1434.53333333333</v>
      </c>
      <c r="E155" s="521" t="n">
        <v>1403.34782608696</v>
      </c>
      <c r="F155" s="521" t="n">
        <v>1373.48936170213</v>
      </c>
      <c r="G155" s="521" t="n">
        <v>1344.875</v>
      </c>
    </row>
    <row r="156" ht="15" customHeight="1" s="462">
      <c r="B156" s="761" t="n">
        <v>1500</v>
      </c>
      <c r="C156" s="521" t="n">
        <v>1517.72727272727</v>
      </c>
      <c r="D156" s="521" t="n">
        <v>1484</v>
      </c>
      <c r="E156" s="521" t="n">
        <v>1451.73913043478</v>
      </c>
      <c r="F156" s="521" t="n">
        <v>1420.85106382979</v>
      </c>
      <c r="G156" s="521" t="n">
        <v>1391.25</v>
      </c>
    </row>
    <row r="157" ht="15" customHeight="1" s="462">
      <c r="B157" s="761" t="n">
        <v>1550</v>
      </c>
      <c r="C157" s="521" t="n">
        <v>1568.31818181818</v>
      </c>
      <c r="D157" s="521" t="n">
        <v>1533.46666666667</v>
      </c>
      <c r="E157" s="521" t="n">
        <v>1500.13043478261</v>
      </c>
      <c r="F157" s="521" t="n">
        <v>1468.21276595745</v>
      </c>
      <c r="G157" s="521" t="n">
        <v>1437.625</v>
      </c>
    </row>
    <row r="158" ht="15" customHeight="1" s="462">
      <c r="B158" s="761" t="n">
        <v>1600</v>
      </c>
      <c r="C158" s="521" t="n">
        <v>1618.90909090909</v>
      </c>
      <c r="D158" s="521" t="n">
        <v>1582.93333333333</v>
      </c>
      <c r="E158" s="521" t="n">
        <v>1548.52173913043</v>
      </c>
      <c r="F158" s="521" t="n">
        <v>1515.57446808511</v>
      </c>
      <c r="G158" s="521" t="n">
        <v>1484</v>
      </c>
    </row>
    <row r="159" ht="15" customHeight="1" s="462">
      <c r="B159" s="761" t="n">
        <v>1650</v>
      </c>
      <c r="C159" s="521" t="n">
        <v>1669.5</v>
      </c>
      <c r="D159" s="521" t="n">
        <v>1632.4</v>
      </c>
      <c r="E159" s="521" t="n">
        <v>1596.91304347826</v>
      </c>
      <c r="F159" s="521" t="n">
        <v>1562.93617021277</v>
      </c>
      <c r="G159" s="521" t="n">
        <v>1530.375</v>
      </c>
    </row>
    <row r="160" ht="15" customHeight="1" s="462">
      <c r="B160" s="761" t="n">
        <v>1700</v>
      </c>
      <c r="C160" s="521" t="n">
        <v>1720.09090909091</v>
      </c>
      <c r="D160" s="521" t="n">
        <v>1681.86666666667</v>
      </c>
      <c r="E160" s="521" t="n">
        <v>1645.30434782609</v>
      </c>
      <c r="F160" s="521" t="n">
        <v>1610.29787234043</v>
      </c>
      <c r="G160" s="521" t="n">
        <v>1576.75</v>
      </c>
    </row>
    <row r="161" ht="15" customHeight="1" s="462">
      <c r="B161" s="761" t="n">
        <v>1750</v>
      </c>
      <c r="C161" s="521" t="n">
        <v>1770.68181818182</v>
      </c>
      <c r="D161" s="521" t="n">
        <v>1731.33333333333</v>
      </c>
      <c r="E161" s="521" t="n">
        <v>1693.69565217391</v>
      </c>
      <c r="F161" s="521" t="n">
        <v>1657.65957446809</v>
      </c>
      <c r="G161" s="521" t="n">
        <v>1623.125</v>
      </c>
    </row>
    <row r="162" ht="15" customHeight="1" s="462">
      <c r="B162" s="761" t="n">
        <v>1800</v>
      </c>
      <c r="C162" s="521" t="n">
        <v>1821.27272727273</v>
      </c>
      <c r="D162" s="521" t="n">
        <v>1780.8</v>
      </c>
      <c r="E162" s="521" t="n">
        <v>1742.08695652174</v>
      </c>
      <c r="F162" s="521" t="n">
        <v>1705.02127659574</v>
      </c>
      <c r="G162" s="521" t="n">
        <v>1669.5</v>
      </c>
    </row>
    <row r="163" ht="15" customHeight="1" s="462">
      <c r="C163" s="521" t="n"/>
      <c r="D163" s="521" t="n"/>
      <c r="E163" s="521" t="n"/>
      <c r="F163" s="521" t="n"/>
      <c r="G163" s="521" t="n"/>
    </row>
    <row r="165" ht="15" customHeight="1" s="462">
      <c r="A165" s="751" t="inlineStr">
        <is>
          <t xml:space="preserve"> FCCB - Due in May 2011 - Tranche B</t>
        </is>
      </c>
    </row>
    <row r="166" ht="15" customHeight="1" s="462">
      <c r="B166" s="752" t="inlineStr">
        <is>
          <t>Each Bond (in $)</t>
        </is>
      </c>
      <c r="C166" s="752" t="inlineStr">
        <is>
          <t>Premium</t>
        </is>
      </c>
      <c r="D166" s="753" t="inlineStr">
        <is>
          <t>Payable on Redemption (in $)</t>
        </is>
      </c>
    </row>
    <row r="167" ht="15" customHeight="1" s="462">
      <c r="B167" s="768" t="n">
        <v>1000</v>
      </c>
      <c r="C167" s="769" t="n">
        <v>1.46991</v>
      </c>
      <c r="D167" s="521" t="n">
        <v>1469.91</v>
      </c>
    </row>
    <row r="168" ht="15" customHeight="1" s="462">
      <c r="B168" s="753" t="n"/>
      <c r="C168" s="753" t="n"/>
      <c r="D168" s="753" t="n"/>
    </row>
    <row r="169" ht="45" customHeight="1" s="462">
      <c r="A169" s="757" t="inlineStr">
        <is>
          <t>Proceeds to Investor per Bond in USD  if Converted to Equity shares</t>
        </is>
      </c>
      <c r="B169" s="753" t="n"/>
      <c r="C169" s="758" t="inlineStr">
        <is>
          <t>Each $ 1000 Bond is convertible into</t>
        </is>
      </c>
      <c r="D169" s="772" t="n">
        <v>51.51</v>
      </c>
      <c r="E169" s="760" t="inlineStr">
        <is>
          <t xml:space="preserve">If Share Price is </t>
        </is>
      </c>
      <c r="F169" s="761" t="n">
        <v>850</v>
      </c>
      <c r="G169" s="761" t="inlineStr">
        <is>
          <t>USD/INR</t>
        </is>
      </c>
      <c r="H169" s="762" t="n">
        <v>46</v>
      </c>
    </row>
    <row r="170" ht="15" customHeight="1" s="462">
      <c r="B170" s="763" t="inlineStr">
        <is>
          <t>USD /INR</t>
        </is>
      </c>
    </row>
    <row r="171" ht="15" customHeight="1" s="462">
      <c r="B171" s="583" t="n">
        <v>951.815217391304</v>
      </c>
      <c r="C171" s="765" t="n">
        <v>44</v>
      </c>
      <c r="D171" s="765" t="n">
        <v>45</v>
      </c>
      <c r="E171" s="765" t="n">
        <v>46</v>
      </c>
      <c r="F171" s="765" t="n">
        <v>47</v>
      </c>
      <c r="G171" s="765" t="n">
        <v>48</v>
      </c>
    </row>
    <row r="172" ht="15" customHeight="1" s="462">
      <c r="B172" s="761" t="n">
        <v>500</v>
      </c>
      <c r="C172" s="521" t="n">
        <v>585.340909090909</v>
      </c>
      <c r="D172" s="521" t="n">
        <v>572.333333333333</v>
      </c>
      <c r="E172" s="521" t="n">
        <v>559.891304347826</v>
      </c>
      <c r="F172" s="521" t="n">
        <v>547.978723404255</v>
      </c>
      <c r="G172" s="521" t="n">
        <v>536.5625</v>
      </c>
    </row>
    <row r="173" ht="15" customHeight="1" s="462">
      <c r="B173" s="761" t="n">
        <v>550</v>
      </c>
      <c r="C173" s="521" t="n">
        <v>643.875</v>
      </c>
      <c r="D173" s="521" t="n">
        <v>629.5666666666669</v>
      </c>
      <c r="E173" s="521" t="n">
        <v>615.880434782609</v>
      </c>
      <c r="F173" s="521" t="n">
        <v>602.776595744681</v>
      </c>
      <c r="G173" s="521" t="n">
        <v>590.21875</v>
      </c>
    </row>
    <row r="174" ht="15" customHeight="1" s="462">
      <c r="B174" s="761" t="n">
        <v>600</v>
      </c>
      <c r="C174" s="521" t="n">
        <v>702.409090909091</v>
      </c>
      <c r="D174" s="521" t="n">
        <v>686.8</v>
      </c>
      <c r="E174" s="521" t="n">
        <v>671.869565217391</v>
      </c>
      <c r="F174" s="521" t="n">
        <v>657.574468085106</v>
      </c>
      <c r="G174" s="521" t="n">
        <v>643.875</v>
      </c>
    </row>
    <row r="175" ht="15" customHeight="1" s="462">
      <c r="B175" s="761" t="n">
        <v>650</v>
      </c>
      <c r="C175" s="521" t="n">
        <v>760.943181818182</v>
      </c>
      <c r="D175" s="521" t="n">
        <v>744.033333333333</v>
      </c>
      <c r="E175" s="521" t="n">
        <v>727.858695652174</v>
      </c>
      <c r="F175" s="521" t="n">
        <v>712.372340425532</v>
      </c>
      <c r="G175" s="521" t="n">
        <v>697.53125</v>
      </c>
    </row>
    <row r="176" ht="15" customHeight="1" s="462">
      <c r="A176" s="766" t="inlineStr">
        <is>
          <t>Share Price in INR</t>
        </is>
      </c>
      <c r="B176" s="761" t="n">
        <v>700</v>
      </c>
      <c r="C176" s="521" t="n">
        <v>819.477272727273</v>
      </c>
      <c r="D176" s="521" t="n">
        <v>801.266666666667</v>
      </c>
      <c r="E176" s="521" t="n">
        <v>783.847826086957</v>
      </c>
      <c r="F176" s="521" t="n">
        <v>767.170212765957</v>
      </c>
      <c r="G176" s="521" t="n">
        <v>751.1875</v>
      </c>
    </row>
    <row r="177" ht="15" customHeight="1" s="462">
      <c r="B177" s="761" t="n">
        <v>750</v>
      </c>
      <c r="C177" s="521" t="n">
        <v>878.011363636364</v>
      </c>
      <c r="D177" s="521" t="n">
        <v>858.5</v>
      </c>
      <c r="E177" s="521" t="n">
        <v>839.836956521739</v>
      </c>
      <c r="F177" s="521" t="n">
        <v>821.968085106383</v>
      </c>
      <c r="G177" s="521" t="n">
        <v>804.84375</v>
      </c>
    </row>
    <row r="178" ht="15" customHeight="1" s="462">
      <c r="B178" s="761" t="n">
        <v>800</v>
      </c>
      <c r="C178" s="521" t="n">
        <v>936.545454545455</v>
      </c>
      <c r="D178" s="521" t="n">
        <v>915.733333333333</v>
      </c>
      <c r="E178" s="521" t="n">
        <v>895.826086956522</v>
      </c>
      <c r="F178" s="521" t="n">
        <v>876.765957446809</v>
      </c>
      <c r="G178" s="521" t="n">
        <v>858.5</v>
      </c>
    </row>
    <row r="179" ht="15" customHeight="1" s="462">
      <c r="B179" s="767" t="n">
        <v>850</v>
      </c>
      <c r="C179" s="521" t="n">
        <v>995.079545454546</v>
      </c>
      <c r="D179" s="521" t="n">
        <v>972.966666666667</v>
      </c>
      <c r="E179" s="521" t="n">
        <v>951.815217391304</v>
      </c>
      <c r="F179" s="521" t="n">
        <v>931.563829787234</v>
      </c>
      <c r="G179" s="521" t="n">
        <v>912.15625</v>
      </c>
    </row>
    <row r="180" ht="15" customHeight="1" s="462">
      <c r="B180" s="761" t="n">
        <v>900</v>
      </c>
      <c r="C180" s="521" t="n">
        <v>1053.61363636364</v>
      </c>
      <c r="D180" s="521" t="n">
        <v>1030.2</v>
      </c>
      <c r="E180" s="521" t="n">
        <v>1007.80434782609</v>
      </c>
      <c r="F180" s="521" t="n">
        <v>986.36170212766</v>
      </c>
      <c r="G180" s="521" t="n">
        <v>965.8125</v>
      </c>
    </row>
    <row r="181" ht="15" customHeight="1" s="462">
      <c r="B181" s="761" t="n">
        <v>950</v>
      </c>
      <c r="C181" s="521" t="n">
        <v>1112.14772727273</v>
      </c>
      <c r="D181" s="521" t="n">
        <v>1087.43333333333</v>
      </c>
      <c r="E181" s="521" t="n">
        <v>1063.79347826087</v>
      </c>
      <c r="F181" s="521" t="n">
        <v>1041.15957446809</v>
      </c>
      <c r="G181" s="521" t="n">
        <v>1019.46875</v>
      </c>
    </row>
    <row r="182" ht="15" customHeight="1" s="462">
      <c r="B182" s="761" t="n">
        <v>1000</v>
      </c>
      <c r="C182" s="521" t="n">
        <v>1170.68181818182</v>
      </c>
      <c r="D182" s="521" t="n">
        <v>1144.66666666667</v>
      </c>
      <c r="E182" s="521" t="n">
        <v>1119.78260869565</v>
      </c>
      <c r="F182" s="521" t="n">
        <v>1095.95744680851</v>
      </c>
      <c r="G182" s="521" t="n">
        <v>1073.125</v>
      </c>
    </row>
    <row r="183" ht="15" customHeight="1" s="462">
      <c r="B183" s="761" t="n">
        <v>1050</v>
      </c>
      <c r="C183" s="521" t="n">
        <v>1229.21590909091</v>
      </c>
      <c r="D183" s="521" t="n">
        <v>1201.9</v>
      </c>
      <c r="E183" s="521" t="n">
        <v>1175.77173913043</v>
      </c>
      <c r="F183" s="521" t="n">
        <v>1150.75531914894</v>
      </c>
      <c r="G183" s="521" t="n">
        <v>1126.78125</v>
      </c>
    </row>
    <row r="184" ht="15" customHeight="1" s="462">
      <c r="B184" s="761" t="n">
        <v>1100</v>
      </c>
      <c r="C184" s="521" t="n">
        <v>1287.75</v>
      </c>
      <c r="D184" s="521" t="n">
        <v>1259.13333333333</v>
      </c>
      <c r="E184" s="521" t="n">
        <v>1231.76086956522</v>
      </c>
      <c r="F184" s="521" t="n">
        <v>1205.55319148936</v>
      </c>
      <c r="G184" s="521" t="n">
        <v>1180.4375</v>
      </c>
    </row>
    <row r="185" ht="15" customHeight="1" s="462">
      <c r="B185" s="761" t="n">
        <v>1150</v>
      </c>
      <c r="C185" s="521" t="n">
        <v>1346.28409090909</v>
      </c>
      <c r="D185" s="521" t="n">
        <v>1316.36666666667</v>
      </c>
      <c r="E185" s="521" t="n">
        <v>1287.75</v>
      </c>
      <c r="F185" s="521" t="n">
        <v>1260.35106382979</v>
      </c>
      <c r="G185" s="521" t="n">
        <v>1234.09375</v>
      </c>
    </row>
    <row r="186" ht="15" customHeight="1" s="462">
      <c r="B186" s="761" t="n">
        <v>1200</v>
      </c>
      <c r="C186" s="521" t="n">
        <v>1404.81818181818</v>
      </c>
      <c r="D186" s="521" t="n">
        <v>1373.6</v>
      </c>
      <c r="E186" s="521" t="n">
        <v>1343.73913043478</v>
      </c>
      <c r="F186" s="521" t="n">
        <v>1315.14893617021</v>
      </c>
      <c r="G186" s="521" t="n">
        <v>1287.75</v>
      </c>
    </row>
    <row r="187" ht="15" customHeight="1" s="462">
      <c r="B187" s="761" t="n">
        <v>1250</v>
      </c>
      <c r="C187" s="521" t="n">
        <v>1463.35227272727</v>
      </c>
      <c r="D187" s="521" t="n">
        <v>1430.83333333333</v>
      </c>
      <c r="E187" s="521" t="n">
        <v>1399.72826086957</v>
      </c>
      <c r="F187" s="521" t="n">
        <v>1369.94680851064</v>
      </c>
      <c r="G187" s="521" t="n">
        <v>1341.40625</v>
      </c>
    </row>
    <row r="188" ht="15" customHeight="1" s="462">
      <c r="B188" s="761" t="n">
        <v>1300</v>
      </c>
      <c r="C188" s="521" t="n">
        <v>1521.88636363636</v>
      </c>
      <c r="D188" s="521" t="n">
        <v>1488.06666666667</v>
      </c>
      <c r="E188" s="521" t="n">
        <v>1455.71739130435</v>
      </c>
      <c r="F188" s="521" t="n">
        <v>1424.74468085106</v>
      </c>
      <c r="G188" s="521" t="n">
        <v>1395.0625</v>
      </c>
    </row>
    <row r="189" ht="15" customHeight="1" s="462">
      <c r="B189" s="761" t="n">
        <v>1350</v>
      </c>
      <c r="C189" s="521" t="n">
        <v>1580.42045454545</v>
      </c>
      <c r="D189" s="521" t="n">
        <v>1545.3</v>
      </c>
      <c r="E189" s="521" t="n">
        <v>1511.70652173913</v>
      </c>
      <c r="F189" s="521" t="n">
        <v>1479.54255319149</v>
      </c>
      <c r="G189" s="521" t="n">
        <v>1448.71875</v>
      </c>
    </row>
    <row r="190" ht="15" customHeight="1" s="462">
      <c r="B190" s="761" t="n">
        <v>1400</v>
      </c>
      <c r="C190" s="521" t="n">
        <v>1638.95454545455</v>
      </c>
      <c r="D190" s="521" t="n">
        <v>1602.53333333333</v>
      </c>
      <c r="E190" s="521" t="n">
        <v>1567.69565217391</v>
      </c>
      <c r="F190" s="521" t="n">
        <v>1534.34042553192</v>
      </c>
      <c r="G190" s="521" t="n">
        <v>1502.375</v>
      </c>
    </row>
    <row r="191" ht="15" customHeight="1" s="462">
      <c r="B191" s="761" t="n">
        <v>1450</v>
      </c>
      <c r="C191" s="521" t="n">
        <v>1697.48863636364</v>
      </c>
      <c r="D191" s="521" t="n">
        <v>1659.76666666667</v>
      </c>
      <c r="E191" s="521" t="n">
        <v>1623.6847826087</v>
      </c>
      <c r="F191" s="521" t="n">
        <v>1589.13829787234</v>
      </c>
      <c r="G191" s="521" t="n">
        <v>1556.03125</v>
      </c>
    </row>
    <row r="192" ht="15" customHeight="1" s="462">
      <c r="B192" s="761" t="n">
        <v>1500</v>
      </c>
      <c r="C192" s="521" t="n">
        <v>1756.02272727273</v>
      </c>
      <c r="D192" s="521" t="n">
        <v>1717</v>
      </c>
      <c r="E192" s="521" t="n">
        <v>1679.67391304348</v>
      </c>
      <c r="F192" s="521" t="n">
        <v>1643.93617021277</v>
      </c>
      <c r="G192" s="521" t="n">
        <v>1609.6875</v>
      </c>
    </row>
    <row r="193" ht="15" customHeight="1" s="462">
      <c r="B193" s="761" t="n">
        <v>1550</v>
      </c>
      <c r="C193" s="521" t="n">
        <v>1814.55681818182</v>
      </c>
      <c r="D193" s="521" t="n">
        <v>1774.23333333333</v>
      </c>
      <c r="E193" s="521" t="n">
        <v>1735.66304347826</v>
      </c>
      <c r="F193" s="521" t="n">
        <v>1698.73404255319</v>
      </c>
      <c r="G193" s="521" t="n">
        <v>1663.34375</v>
      </c>
    </row>
    <row r="194" ht="15" customHeight="1" s="462">
      <c r="B194" s="761" t="n">
        <v>1600</v>
      </c>
      <c r="C194" s="521" t="n">
        <v>1873.09090909091</v>
      </c>
      <c r="D194" s="521" t="n">
        <v>1831.46666666667</v>
      </c>
      <c r="E194" s="521" t="n">
        <v>1791.65217391304</v>
      </c>
      <c r="F194" s="521" t="n">
        <v>1753.53191489362</v>
      </c>
      <c r="G194" s="521" t="n">
        <v>1717</v>
      </c>
    </row>
    <row r="195" ht="15" customHeight="1" s="462">
      <c r="B195" s="761" t="n">
        <v>1650</v>
      </c>
      <c r="C195" s="521" t="n">
        <v>1931.625</v>
      </c>
      <c r="D195" s="521" t="n">
        <v>1888.7</v>
      </c>
      <c r="E195" s="521" t="n">
        <v>1847.64130434783</v>
      </c>
      <c r="F195" s="521" t="n">
        <v>1808.32978723404</v>
      </c>
      <c r="G195" s="521" t="n">
        <v>1770.65625</v>
      </c>
    </row>
    <row r="196" ht="15" customHeight="1" s="462">
      <c r="B196" s="761" t="n">
        <v>1700</v>
      </c>
      <c r="C196" s="521" t="n">
        <v>1990.15909090909</v>
      </c>
      <c r="D196" s="521" t="n">
        <v>1945.93333333333</v>
      </c>
      <c r="E196" s="521" t="n">
        <v>1903.63043478261</v>
      </c>
      <c r="F196" s="521" t="n">
        <v>1863.12765957447</v>
      </c>
      <c r="G196" s="521" t="n">
        <v>1824.3125</v>
      </c>
    </row>
    <row r="197" ht="15" customHeight="1" s="462">
      <c r="B197" s="761" t="n">
        <v>1750</v>
      </c>
      <c r="C197" s="521" t="n">
        <v>2048.69318181818</v>
      </c>
      <c r="D197" s="521" t="n">
        <v>2003.16666666667</v>
      </c>
      <c r="E197" s="521" t="n">
        <v>1959.61956521739</v>
      </c>
      <c r="F197" s="521" t="n">
        <v>1917.92553191489</v>
      </c>
      <c r="G197" s="521" t="n">
        <v>1877.96875</v>
      </c>
    </row>
    <row r="198" ht="15" customHeight="1" s="462">
      <c r="B198" s="761" t="n">
        <v>1800</v>
      </c>
      <c r="C198" s="521" t="n">
        <v>2107.22727272727</v>
      </c>
      <c r="D198" s="521" t="n">
        <v>2060.4</v>
      </c>
      <c r="E198" s="521" t="n">
        <v>2015.60869565217</v>
      </c>
      <c r="F198" s="521" t="n">
        <v>1972.72340425532</v>
      </c>
      <c r="G198" s="521" t="n">
        <v>1931.625</v>
      </c>
    </row>
    <row r="199" ht="15" customHeight="1" s="462">
      <c r="D199" s="521" t="n"/>
    </row>
    <row r="200" ht="15" customHeight="1" s="462">
      <c r="D200" s="521" t="n"/>
    </row>
    <row r="201" ht="30" customHeight="1" s="462">
      <c r="A201" s="774" t="inlineStr">
        <is>
          <t>Working Note -1    Assumption of FULL conversion of FCCB's Due in Aug 2010 (FY 2011E)</t>
        </is>
      </c>
      <c r="D201" s="521" t="n"/>
    </row>
    <row r="202" ht="15" customHeight="1" s="462">
      <c r="D202" s="583" t="n"/>
      <c r="E202" s="461" t="n"/>
      <c r="F202" s="461" t="n"/>
    </row>
    <row r="203" ht="15" customHeight="1" s="462">
      <c r="A203" s="775" t="inlineStr">
        <is>
          <t>FCCB's Outstanding -Due August 2010 (FY 2011E)</t>
        </is>
      </c>
      <c r="B203" s="753" t="n">
        <v>53600</v>
      </c>
      <c r="D203" s="776" t="n"/>
      <c r="E203" s="461" t="n"/>
      <c r="F203" s="461" t="n"/>
    </row>
    <row r="204" ht="15" customHeight="1" s="462">
      <c r="A204" s="775" t="inlineStr">
        <is>
          <t>No of Shares for conversion per $1000 Bond</t>
        </is>
      </c>
      <c r="B204" s="576" t="n">
        <v>83.12</v>
      </c>
      <c r="D204" s="461" t="n"/>
      <c r="E204" s="461" t="n"/>
      <c r="F204" s="461" t="n"/>
    </row>
    <row r="205" ht="15" customHeight="1" s="462">
      <c r="A205" s="775" t="inlineStr">
        <is>
          <t>Conversion @ fixed price of                                         Rs</t>
        </is>
      </c>
      <c r="B205" s="572" t="n">
        <v>522.0359999999999</v>
      </c>
      <c r="D205" s="512" t="n"/>
      <c r="E205" s="461" t="n"/>
      <c r="F205" s="461" t="n"/>
    </row>
    <row r="206" ht="15" customHeight="1" s="462">
      <c r="A206" s="775" t="inlineStr">
        <is>
          <t>Face Value per share                                                       Rs</t>
        </is>
      </c>
      <c r="B206" s="576" t="n">
        <v>5</v>
      </c>
      <c r="D206" s="461" t="n"/>
      <c r="E206" s="461" t="n"/>
      <c r="F206" s="461" t="n"/>
    </row>
    <row r="207" ht="15" customHeight="1" s="462">
      <c r="A207" s="775" t="inlineStr">
        <is>
          <t>Balance Share Premium value per share                Rs</t>
        </is>
      </c>
      <c r="B207" s="521" t="n">
        <v>517.0359999999999</v>
      </c>
    </row>
    <row r="208" ht="15" customHeight="1" s="462">
      <c r="A208" s="775" t="inlineStr">
        <is>
          <t>Transfer to Share Capital on Full Conversion        Rs</t>
        </is>
      </c>
      <c r="B208" s="521" t="n">
        <v>22.27616</v>
      </c>
    </row>
    <row r="209" ht="45" customHeight="1" s="462">
      <c r="A209" s="777" t="inlineStr">
        <is>
          <t>Transfer to Share Premium (Reserves &amp; Surplus) on Full Conversion                                                           Rs</t>
        </is>
      </c>
      <c r="B209" s="778" t="n">
        <v>2303.515332352</v>
      </c>
    </row>
    <row r="210" ht="30" customHeight="1" s="462">
      <c r="A210" s="777" t="inlineStr">
        <is>
          <t>Dilution Effect on Outstanding shares on Conversion in FY11E</t>
        </is>
      </c>
      <c r="B210" s="760" t="n">
        <v>4.455232</v>
      </c>
    </row>
    <row r="213" ht="45" customHeight="1" s="462">
      <c r="A213" s="774" t="inlineStr">
        <is>
          <t>Working Note-2    Amortization of Redeemption Premium for FCCB's (both Tranche-A&amp;B)due in May 2011 (FY 2012)</t>
        </is>
      </c>
      <c r="B213" s="779" t="inlineStr">
        <is>
          <t>Due in May 2011 (Tranche-A)</t>
        </is>
      </c>
      <c r="C213" s="779" t="inlineStr">
        <is>
          <t>Due in May 2011 (Tranche-B)</t>
        </is>
      </c>
      <c r="D213" s="761" t="inlineStr">
        <is>
          <t>Total</t>
        </is>
      </c>
      <c r="F213" s="780" t="inlineStr">
        <is>
          <t>USD/INR</t>
        </is>
      </c>
    </row>
    <row r="214" ht="15" customHeight="1" s="462">
      <c r="F214" s="781" t="n">
        <v>45.5</v>
      </c>
    </row>
    <row r="215" ht="15" customHeight="1" s="462">
      <c r="A215" s="461" t="inlineStr">
        <is>
          <t>No of Bonds (in actuals)</t>
        </is>
      </c>
      <c r="B215" s="753" t="n">
        <v>106200</v>
      </c>
      <c r="C215" s="753" t="n">
        <v>33000</v>
      </c>
      <c r="D215" s="753" t="n">
        <v>139200</v>
      </c>
    </row>
    <row r="216" ht="15" customHeight="1" s="462">
      <c r="A216" s="461" t="inlineStr">
        <is>
          <t>Face value ($)</t>
        </is>
      </c>
      <c r="B216" s="724" t="n">
        <v>1000</v>
      </c>
      <c r="C216" s="724" t="n">
        <v>1000</v>
      </c>
      <c r="D216" s="753" t="n"/>
    </row>
    <row r="217" ht="15" customHeight="1" s="462">
      <c r="A217" s="461" t="inlineStr">
        <is>
          <t>Premium (%)</t>
        </is>
      </c>
      <c r="B217" s="509" t="n">
        <v>1.46285</v>
      </c>
      <c r="C217" s="509" t="n">
        <v>1.46991</v>
      </c>
    </row>
    <row r="218" ht="15" customHeight="1" s="462">
      <c r="A218" s="461" t="inlineStr">
        <is>
          <t>Premium value /Bond($)</t>
        </is>
      </c>
      <c r="B218" s="506" t="n">
        <v>462.85</v>
      </c>
      <c r="C218" s="506" t="n">
        <v>469.91</v>
      </c>
    </row>
    <row r="219" ht="15" customHeight="1" s="462">
      <c r="A219" s="461" t="inlineStr">
        <is>
          <t>Total Premium value ($)</t>
        </is>
      </c>
      <c r="B219" s="753" t="n">
        <v>49154670</v>
      </c>
      <c r="C219" s="753" t="n">
        <v>15507030</v>
      </c>
    </row>
    <row r="220" ht="15" customHeight="1" s="462">
      <c r="A220" s="461" t="inlineStr">
        <is>
          <t>Total Premium value in Rs Millions</t>
        </is>
      </c>
      <c r="B220" s="521" t="n">
        <v>2236.537485</v>
      </c>
      <c r="C220" s="521" t="n">
        <v>705.569865</v>
      </c>
      <c r="D220" s="782" t="n">
        <v>2942.10735</v>
      </c>
    </row>
    <row r="221" ht="15.75" customHeight="1" s="462">
      <c r="A221" s="489" t="n"/>
      <c r="B221" s="489" t="n"/>
      <c r="C221" s="489" t="n"/>
      <c r="D221" s="489" t="n"/>
      <c r="E221" s="489" t="n"/>
      <c r="F221" s="489" t="n"/>
      <c r="G221" s="489" t="n"/>
      <c r="H221" s="489" t="n"/>
      <c r="I221" s="489" t="n"/>
      <c r="J221" s="489" t="n"/>
      <c r="K221" s="489" t="n"/>
    </row>
  </sheetData>
  <mergeCells count="9">
    <mergeCell ref="A140:A147"/>
    <mergeCell ref="A176:A183"/>
    <mergeCell ref="B134:F134"/>
    <mergeCell ref="B74:K75"/>
    <mergeCell ref="B98:F98"/>
    <mergeCell ref="B70:K71"/>
    <mergeCell ref="A104:A111"/>
    <mergeCell ref="B170:F170"/>
    <mergeCell ref="B72:K73"/>
  </mergeCells>
  <conditionalFormatting sqref="C100:G126">
    <cfRule type="cellIs" rank="0" priority="2" equalAverage="0" operator="lessThan" aboveAverage="0" dxfId="0" text="" percent="0" bottom="0">
      <formula>$D$95</formula>
    </cfRule>
    <cfRule type="cellIs" rank="0" priority="3" equalAverage="0" operator="greaterThan" aboveAverage="0" dxfId="1" text="" percent="0" bottom="0">
      <formula>$D$95</formula>
    </cfRule>
  </conditionalFormatting>
  <conditionalFormatting sqref="C136:G162">
    <cfRule type="cellIs" rank="0" priority="4" equalAverage="0" operator="lessThan" aboveAverage="0" dxfId="0" text="" percent="0" bottom="0">
      <formula>$D$131</formula>
    </cfRule>
    <cfRule type="cellIs" rank="0" priority="5" equalAverage="0" operator="greaterThan" aboveAverage="0" dxfId="1" text="" percent="0" bottom="0">
      <formula>$D$131</formula>
    </cfRule>
  </conditionalFormatting>
  <conditionalFormatting sqref="C172:G198">
    <cfRule type="cellIs" rank="0" priority="6" equalAverage="0" operator="lessThan" aboveAverage="0" dxfId="0" text="" percent="0" bottom="0">
      <formula>$D$167</formula>
    </cfRule>
    <cfRule type="cellIs" rank="0" priority="7" equalAverage="0" operator="greaterThan" aboveAverage="0" dxfId="1" text="" percent="0" bottom="0">
      <formula>$D$167</formula>
    </cfRule>
  </conditionalFormatting>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2.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H13" activeCellId="0" sqref="H13"/>
    </sheetView>
  </sheetViews>
  <sheetFormatPr baseColWidth="8" defaultColWidth="8.96875" defaultRowHeight="15" zeroHeight="0" outlineLevelRow="0"/>
  <cols>
    <col width="35.99" customWidth="1" style="461" min="1" max="1"/>
    <col width="10.56" customWidth="1" style="614" min="2" max="2"/>
    <col width="11.28" customWidth="1" style="461" min="3" max="3"/>
    <col width="10.56" customWidth="1" style="461" min="4" max="13"/>
  </cols>
  <sheetData>
    <row r="1" ht="18.75" customHeight="1" s="462">
      <c r="A1" s="487" t="inlineStr">
        <is>
          <t>Aurobindo Pharma</t>
        </is>
      </c>
      <c r="B1" s="783" t="n"/>
      <c r="C1" s="487" t="n"/>
      <c r="D1" s="679" t="n"/>
      <c r="E1" s="679" t="n"/>
      <c r="F1" s="679" t="n"/>
      <c r="G1" s="679" t="n"/>
      <c r="H1" s="679" t="n"/>
      <c r="I1" s="679" t="n"/>
      <c r="J1" s="679" t="n"/>
      <c r="K1" s="679" t="n"/>
    </row>
    <row r="2" ht="15.75" customHeight="1" s="462">
      <c r="A2" s="488" t="inlineStr">
        <is>
          <t>Fixed Asset</t>
        </is>
      </c>
      <c r="B2" s="764" t="n"/>
      <c r="C2" s="522" t="n"/>
      <c r="D2" s="679" t="n"/>
      <c r="E2" s="679" t="n"/>
      <c r="F2" s="679" t="n"/>
      <c r="G2" s="679" t="n"/>
      <c r="H2" s="679" t="n"/>
      <c r="I2" s="679" t="n"/>
      <c r="J2" s="679" t="n"/>
      <c r="K2" s="679" t="n"/>
    </row>
    <row r="3" ht="15.75" customHeight="1" s="462">
      <c r="A3" s="489" t="inlineStr">
        <is>
          <t>(In Rs Millions)</t>
        </is>
      </c>
      <c r="B3" s="784" t="n"/>
      <c r="C3" s="489" t="n"/>
      <c r="D3" s="489" t="n"/>
      <c r="E3" s="489" t="n"/>
      <c r="F3" s="489" t="n"/>
      <c r="G3" s="489" t="n"/>
      <c r="H3" s="489" t="n"/>
      <c r="I3" s="489" t="n"/>
      <c r="J3" s="489" t="n"/>
      <c r="K3" s="489" t="n"/>
      <c r="L3" s="489" t="n"/>
    </row>
    <row r="4" ht="30" customHeight="1" s="462">
      <c r="A4" s="681" t="inlineStr">
        <is>
          <t xml:space="preserve">For the Fiscal Period Ending
</t>
        </is>
      </c>
      <c r="B4" s="617" t="inlineStr">
        <is>
          <t>FY2004 A</t>
        </is>
      </c>
      <c r="C4" s="617" t="inlineStr">
        <is>
          <t>FY2005 A</t>
        </is>
      </c>
      <c r="D4" s="617" t="inlineStr">
        <is>
          <t>FY2006 A</t>
        </is>
      </c>
      <c r="E4" s="617" t="inlineStr">
        <is>
          <t>FY2007 A</t>
        </is>
      </c>
      <c r="F4" s="617" t="inlineStr">
        <is>
          <t>FY2008 A</t>
        </is>
      </c>
      <c r="G4" s="683" t="inlineStr">
        <is>
          <t>FY2009 E</t>
        </is>
      </c>
      <c r="H4" s="683" t="inlineStr">
        <is>
          <t>FY2010 E</t>
        </is>
      </c>
      <c r="I4" s="683" t="inlineStr">
        <is>
          <t>FY2011 E</t>
        </is>
      </c>
      <c r="J4" s="683" t="inlineStr">
        <is>
          <t>FY2012 E</t>
        </is>
      </c>
      <c r="K4" s="683" t="inlineStr">
        <is>
          <t>FY2013 E</t>
        </is>
      </c>
      <c r="L4" s="683" t="inlineStr">
        <is>
          <t>FY2014 E</t>
        </is>
      </c>
    </row>
    <row r="5" ht="15" customHeight="1" s="462">
      <c r="A5" s="491" t="inlineStr">
        <is>
          <t>Fixed Asset</t>
        </is>
      </c>
      <c r="B5" s="785" t="n"/>
      <c r="C5" s="573" t="n"/>
      <c r="D5" s="568" t="n"/>
      <c r="E5" s="568" t="n"/>
      <c r="F5" s="568" t="n"/>
      <c r="G5" s="685" t="n"/>
      <c r="H5" s="679" t="n"/>
      <c r="I5" s="679" t="n"/>
      <c r="J5" s="679" t="n"/>
      <c r="K5" s="679" t="n"/>
    </row>
    <row r="6" ht="15" customHeight="1" s="462">
      <c r="D6" s="521" t="n"/>
      <c r="E6" s="521" t="n"/>
      <c r="F6" s="521" t="n"/>
      <c r="G6" s="521" t="n"/>
      <c r="H6" s="521" t="n"/>
      <c r="I6" s="521" t="n"/>
      <c r="J6" s="521" t="n"/>
      <c r="K6" s="521" t="n"/>
      <c r="L6" s="521" t="n"/>
    </row>
    <row r="7" ht="15" customHeight="1" s="462">
      <c r="A7" s="643" t="inlineStr">
        <is>
          <t>Gross Block (C/B)</t>
        </is>
      </c>
      <c r="B7" s="527" t="n">
        <v>8900.4</v>
      </c>
      <c r="C7" s="580" t="n">
        <v>10726.9</v>
      </c>
      <c r="D7" s="580" t="n">
        <v>13561.6</v>
      </c>
      <c r="E7" s="580" t="n">
        <v>14681.4</v>
      </c>
      <c r="F7" s="580" t="n">
        <v>17179.9</v>
      </c>
      <c r="G7" s="580" t="n">
        <v>19472.17975</v>
      </c>
      <c r="H7" s="580" t="n">
        <v>22227.762076</v>
      </c>
      <c r="I7" s="580" t="n">
        <v>25644.68416024</v>
      </c>
      <c r="J7" s="580" t="n">
        <v>29276.3842040608</v>
      </c>
      <c r="K7" s="580" t="n">
        <v>33707.0582575222</v>
      </c>
      <c r="L7" s="580" t="n">
        <v>39023.8671216758</v>
      </c>
      <c r="M7" s="580" t="n"/>
    </row>
    <row r="8" ht="15" customHeight="1" s="462">
      <c r="A8" s="490" t="inlineStr">
        <is>
          <t>Capital Work-in-progress</t>
        </is>
      </c>
      <c r="B8" s="527" t="n">
        <v>1594.2</v>
      </c>
      <c r="C8" s="580" t="n">
        <v>2525.4</v>
      </c>
      <c r="D8" s="580" t="n">
        <v>1497.4</v>
      </c>
      <c r="E8" s="580" t="n">
        <v>2187.1</v>
      </c>
      <c r="F8" s="580" t="n">
        <v>2145.5</v>
      </c>
      <c r="G8" s="580" t="inlineStr">
        <is>
          <t>.</t>
        </is>
      </c>
      <c r="H8" s="580" t="n">
        <v>0</v>
      </c>
      <c r="I8" s="580" t="n">
        <v>0</v>
      </c>
      <c r="J8" s="580" t="n">
        <v>0</v>
      </c>
      <c r="K8" s="580" t="n">
        <v>0</v>
      </c>
      <c r="L8" s="580" t="n">
        <v>0</v>
      </c>
    </row>
    <row r="9" ht="15" customHeight="1" s="462">
      <c r="A9" s="490" t="inlineStr">
        <is>
          <t xml:space="preserve">Total </t>
        </is>
      </c>
      <c r="B9" s="527" t="n">
        <v>10494.6</v>
      </c>
      <c r="C9" s="580" t="n">
        <v>13252.3</v>
      </c>
      <c r="D9" s="580" t="n">
        <v>15059</v>
      </c>
      <c r="E9" s="580" t="n">
        <v>16868.5</v>
      </c>
      <c r="F9" s="580" t="n">
        <v>19325.4</v>
      </c>
      <c r="G9" s="580" t="n">
        <v>0</v>
      </c>
      <c r="H9" s="580" t="n">
        <v>0</v>
      </c>
      <c r="I9" s="580" t="n">
        <v>0</v>
      </c>
      <c r="J9" s="580" t="n">
        <v>0</v>
      </c>
      <c r="K9" s="580" t="n">
        <v>0</v>
      </c>
      <c r="L9" s="580" t="n">
        <v>0</v>
      </c>
    </row>
    <row r="10" ht="15" customHeight="1" s="462">
      <c r="A10" s="490" t="inlineStr">
        <is>
          <t>Additions (Capex)</t>
        </is>
      </c>
      <c r="B10" s="527" t="n"/>
      <c r="C10" s="580" t="n">
        <v>2757.7</v>
      </c>
      <c r="D10" s="580" t="n">
        <v>1806.7</v>
      </c>
      <c r="E10" s="580" t="n">
        <v>1809.5</v>
      </c>
      <c r="F10" s="580" t="n">
        <v>2456.9</v>
      </c>
      <c r="G10" s="580" t="n">
        <v>2292.27975</v>
      </c>
      <c r="H10" s="580" t="n">
        <v>2755.582326</v>
      </c>
      <c r="I10" s="580" t="n">
        <v>3416.92208424</v>
      </c>
      <c r="J10" s="580" t="n">
        <v>3631.7000438208</v>
      </c>
      <c r="K10" s="580" t="n">
        <v>4430.67405346138</v>
      </c>
      <c r="L10" s="580" t="n">
        <v>5316.80886415365</v>
      </c>
    </row>
    <row r="11" ht="15" customHeight="1" s="462">
      <c r="A11" s="490" t="n"/>
      <c r="B11" s="527" t="n"/>
      <c r="C11" s="580" t="n"/>
      <c r="D11" s="580" t="n"/>
      <c r="E11" s="580" t="n"/>
      <c r="F11" s="580" t="n"/>
      <c r="G11" s="580" t="n"/>
      <c r="H11" s="580" t="n"/>
      <c r="I11" s="580" t="n"/>
      <c r="J11" s="580" t="n"/>
      <c r="K11" s="580" t="n"/>
      <c r="L11" s="580" t="n"/>
    </row>
    <row r="12" ht="15" customHeight="1" s="462">
      <c r="A12" s="643" t="inlineStr">
        <is>
          <t>Depreciation (B/S)</t>
        </is>
      </c>
      <c r="B12" s="527" t="n">
        <v>1482.7</v>
      </c>
      <c r="C12" s="580" t="n">
        <v>2144.2</v>
      </c>
      <c r="D12" s="580" t="n">
        <v>2724.1</v>
      </c>
      <c r="E12" s="580" t="n">
        <v>3155.3</v>
      </c>
      <c r="F12" s="580" t="n">
        <v>4176.9</v>
      </c>
      <c r="G12" s="580" t="n">
        <v>5398.1</v>
      </c>
      <c r="H12" s="580" t="n">
        <v>6607.90753660391</v>
      </c>
      <c r="I12" s="580" t="n">
        <v>7964.63170969623</v>
      </c>
      <c r="J12" s="580" t="n">
        <v>9491.067561825061</v>
      </c>
      <c r="K12" s="580" t="n">
        <v>11213.613444378</v>
      </c>
      <c r="L12" s="580" t="n">
        <v>13182.882858271</v>
      </c>
    </row>
    <row r="13" ht="15" customHeight="1" s="462">
      <c r="A13" s="490" t="inlineStr">
        <is>
          <t>Depreciation (I/S)</t>
        </is>
      </c>
      <c r="B13" s="527" t="n">
        <v>589.8</v>
      </c>
      <c r="C13" s="580" t="n">
        <v>646.7</v>
      </c>
      <c r="D13" s="580" t="n">
        <v>721.3</v>
      </c>
      <c r="E13" s="580" t="n">
        <v>997.2</v>
      </c>
      <c r="F13" s="580" t="n">
        <v>1003.8</v>
      </c>
      <c r="G13" s="580" t="n">
        <v>1221.2</v>
      </c>
      <c r="H13" s="580" t="n">
        <v>1209.80753660391</v>
      </c>
      <c r="I13" s="580" t="n">
        <v>1356.72417309232</v>
      </c>
      <c r="J13" s="580" t="n">
        <v>1526.43585212883</v>
      </c>
      <c r="K13" s="580" t="n">
        <v>1722.54588255296</v>
      </c>
      <c r="L13" s="580" t="n">
        <v>1969.26941389299</v>
      </c>
    </row>
    <row r="14" ht="15" customHeight="1" s="462">
      <c r="A14" s="694" t="inlineStr">
        <is>
          <t>Depreciation Rate</t>
        </is>
      </c>
      <c r="B14" s="786" t="n"/>
      <c r="C14" s="697" t="n">
        <v>0.07351745854909029</v>
      </c>
      <c r="D14" s="697" t="n">
        <v>0.07603797154769371</v>
      </c>
      <c r="E14" s="697" t="n">
        <v>0.08492409887372521</v>
      </c>
      <c r="F14" s="697" t="n">
        <v>0.0787013261933977</v>
      </c>
      <c r="G14" s="699" t="n">
        <v>0.0782952137909767</v>
      </c>
      <c r="H14" s="699" t="n">
        <v>0.0782952137909767</v>
      </c>
      <c r="I14" s="699" t="n">
        <v>0.0782952137909767</v>
      </c>
      <c r="J14" s="699" t="n">
        <v>0.0782952137909767</v>
      </c>
      <c r="K14" s="699" t="n">
        <v>0.0782952137909767</v>
      </c>
      <c r="L14" s="699" t="n">
        <v>0.0782952137909767</v>
      </c>
      <c r="M14" s="699" t="n"/>
    </row>
    <row r="15" ht="15" customHeight="1" s="462">
      <c r="A15" s="490" t="n"/>
      <c r="B15" s="527" t="n"/>
      <c r="C15" s="580" t="n"/>
      <c r="D15" s="580" t="n"/>
      <c r="E15" s="580" t="n"/>
      <c r="F15" s="580" t="n"/>
      <c r="G15" s="787" t="n"/>
      <c r="H15" s="580" t="n"/>
      <c r="I15" s="580" t="n"/>
      <c r="J15" s="580" t="n"/>
      <c r="K15" s="580" t="n"/>
      <c r="L15" s="580" t="n"/>
    </row>
    <row r="16" ht="15" customHeight="1" s="462">
      <c r="A16" s="490" t="inlineStr">
        <is>
          <t>Net Block</t>
        </is>
      </c>
      <c r="B16" s="723" t="n">
        <v>7417.7</v>
      </c>
      <c r="C16" s="580" t="n">
        <v>8582.700000000001</v>
      </c>
      <c r="D16" s="580" t="n">
        <v>10837.5</v>
      </c>
      <c r="E16" s="580" t="n">
        <v>11526.1</v>
      </c>
      <c r="F16" s="580" t="n">
        <v>13003</v>
      </c>
      <c r="G16" s="580" t="n">
        <v>14074.07975</v>
      </c>
      <c r="H16" s="580" t="n">
        <v>15619.8545393961</v>
      </c>
      <c r="I16" s="580" t="n">
        <v>17680.0524505438</v>
      </c>
      <c r="J16" s="580" t="n">
        <v>19785.3166422357</v>
      </c>
      <c r="K16" s="580" t="n">
        <v>22493.4448131442</v>
      </c>
      <c r="L16" s="580" t="n">
        <v>25840.9842634048</v>
      </c>
    </row>
    <row r="17" ht="15" customHeight="1" s="462">
      <c r="A17" s="490" t="inlineStr">
        <is>
          <t>Capex</t>
        </is>
      </c>
      <c r="B17" s="527" t="n"/>
      <c r="C17" s="580" t="n">
        <v>2757.7</v>
      </c>
      <c r="D17" s="580" t="n">
        <v>1806.7</v>
      </c>
      <c r="E17" s="580" t="n">
        <v>1809.5</v>
      </c>
      <c r="F17" s="580" t="n">
        <v>2456.9</v>
      </c>
      <c r="G17" s="580" t="n">
        <v>2292.27975</v>
      </c>
      <c r="H17" s="580" t="n">
        <v>2755.582326</v>
      </c>
      <c r="I17" s="580" t="n">
        <v>3416.92208424</v>
      </c>
      <c r="J17" s="580" t="n">
        <v>3631.7000438208</v>
      </c>
      <c r="K17" s="580" t="n">
        <v>4430.67405346138</v>
      </c>
      <c r="L17" s="580" t="n">
        <v>5316.80886415365</v>
      </c>
    </row>
    <row r="18" ht="15" customHeight="1" s="462">
      <c r="A18" s="694" t="inlineStr">
        <is>
          <t>Capex as % of revenue</t>
        </is>
      </c>
      <c r="B18" s="786" t="n"/>
      <c r="C18" s="697" t="n">
        <v>0.19465247435997</v>
      </c>
      <c r="D18" s="697" t="n">
        <v>0.10655853730463</v>
      </c>
      <c r="E18" s="697" t="n">
        <v>0.0804143594848504</v>
      </c>
      <c r="F18" s="697" t="n">
        <v>0.0962625720431456</v>
      </c>
      <c r="G18" s="699" t="n">
        <v>0.075</v>
      </c>
      <c r="H18" s="699" t="n">
        <v>0.07000000000000001</v>
      </c>
      <c r="I18" s="699" t="n">
        <v>0.07000000000000001</v>
      </c>
      <c r="J18" s="699" t="n">
        <v>0.06</v>
      </c>
      <c r="K18" s="699" t="n">
        <v>0.06</v>
      </c>
      <c r="L18" s="699" t="n">
        <v>0.06</v>
      </c>
    </row>
    <row r="19" ht="15.75" customHeight="1" s="462">
      <c r="A19" s="489" t="n"/>
      <c r="B19" s="788" t="n"/>
      <c r="C19" s="531" t="n"/>
      <c r="D19" s="531" t="n"/>
      <c r="E19" s="531" t="n"/>
      <c r="F19" s="531" t="n"/>
      <c r="G19" s="531" t="n"/>
      <c r="H19" s="531" t="n"/>
      <c r="I19" s="531" t="n"/>
      <c r="J19" s="531" t="n"/>
      <c r="K19" s="531" t="n"/>
      <c r="L19" s="531" t="n"/>
    </row>
    <row r="20" ht="15" customHeight="1" s="462">
      <c r="C20" s="506" t="n"/>
      <c r="D20" s="506" t="n"/>
      <c r="E20" s="506" t="n"/>
      <c r="F20" s="506" t="n"/>
      <c r="G20" s="521" t="n"/>
      <c r="H20" s="521" t="n"/>
      <c r="I20" s="521" t="n"/>
      <c r="J20" s="521" t="n"/>
      <c r="K20" s="521" t="n"/>
      <c r="L20" s="521" t="n"/>
    </row>
    <row r="21" ht="15" customHeight="1" s="462">
      <c r="A21" s="490" t="n"/>
      <c r="B21" s="723" t="n"/>
      <c r="C21" s="512" t="n"/>
      <c r="D21" s="506" t="n"/>
      <c r="E21" s="506" t="n"/>
      <c r="F21" s="506" t="n"/>
    </row>
    <row r="22" ht="15" customHeight="1" s="462">
      <c r="A22" s="490" t="n"/>
      <c r="B22" s="723" t="n"/>
      <c r="C22" s="529" t="n"/>
      <c r="D22" s="529" t="n"/>
      <c r="E22" s="529" t="n"/>
      <c r="F22" s="529" t="n"/>
    </row>
    <row r="23" ht="15" customHeight="1" s="462">
      <c r="A23" s="490" t="n"/>
      <c r="B23" s="723"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3.xml><?xml version="1.0" encoding="utf-8"?>
<worksheet xmlns="http://schemas.openxmlformats.org/spreadsheetml/2006/main">
  <sheetPr filterMode="0">
    <outlinePr summaryBelow="1" summaryRight="1"/>
    <pageSetUpPr fitToPage="0"/>
  </sheetPr>
  <dimension ref="A1:N78"/>
  <sheetViews>
    <sheetView showFormulas="0" showGridLines="1" showRowColHeaders="1" showZeros="1" rightToLeft="0" tabSelected="0" showOutlineSymbols="1" defaultGridColor="1" view="normal" topLeftCell="B56" colorId="64" zoomScale="100" zoomScaleNormal="100" zoomScalePageLayoutView="100" workbookViewId="0">
      <selection pane="topLeft" activeCell="I65" activeCellId="0" sqref="I65"/>
    </sheetView>
  </sheetViews>
  <sheetFormatPr baseColWidth="8" defaultColWidth="8.96875" defaultRowHeight="15" zeroHeight="0" outlineLevelRow="0"/>
  <cols>
    <col width="39.42" customWidth="1" style="461" min="1" max="1"/>
    <col width="10.56" customWidth="1" style="461" min="2" max="3"/>
    <col width="22.28" customWidth="1" style="461" min="4" max="4"/>
    <col width="10.56" customWidth="1" style="461" min="5" max="6"/>
    <col width="17.71" customWidth="1" style="461" min="7" max="7"/>
    <col width="10.56" customWidth="1" style="461" min="8" max="8"/>
    <col width="19.42" customWidth="1" style="461" min="9" max="9"/>
    <col width="11.56" customWidth="1" style="461" min="10" max="13"/>
    <col width="22.99" customWidth="1" style="461" min="14" max="14"/>
  </cols>
  <sheetData>
    <row r="1" ht="18.75" customHeight="1" s="462">
      <c r="A1" s="487" t="inlineStr">
        <is>
          <t>Aurobindo Pharma</t>
        </is>
      </c>
    </row>
    <row r="2" ht="15.75" customHeight="1" s="462">
      <c r="A2" s="488" t="inlineStr">
        <is>
          <t>Valuation</t>
        </is>
      </c>
    </row>
    <row r="3" ht="15.75" customHeight="1" s="462">
      <c r="A3" s="489" t="inlineStr">
        <is>
          <t>(In Rs Millions, Except per share items)</t>
        </is>
      </c>
      <c r="B3" s="489" t="n"/>
      <c r="C3" s="489" t="n"/>
      <c r="D3" s="489" t="n"/>
      <c r="E3" s="489" t="n"/>
      <c r="F3" s="489" t="n"/>
      <c r="G3" s="489" t="n"/>
      <c r="H3" s="489" t="n"/>
      <c r="I3" s="489" t="n"/>
      <c r="J3" s="489" t="n"/>
      <c r="K3" s="489" t="n"/>
      <c r="L3" s="489" t="n"/>
      <c r="M3" s="789" t="n"/>
      <c r="N3" s="789" t="n"/>
    </row>
    <row r="5" ht="15.75" customHeight="1" s="462">
      <c r="A5" s="491" t="inlineStr">
        <is>
          <t>Growth Assumptions</t>
        </is>
      </c>
      <c r="D5" s="491" t="inlineStr">
        <is>
          <t>Enterprise Value (EV)</t>
        </is>
      </c>
      <c r="G5" s="491" t="inlineStr">
        <is>
          <t>Debt Equity Weightage</t>
        </is>
      </c>
    </row>
    <row r="6" ht="30" customHeight="1" s="462">
      <c r="A6" s="790" t="inlineStr">
        <is>
          <t>Long term World GDP growth rate</t>
        </is>
      </c>
      <c r="B6" s="706" t="n">
        <v>0.041</v>
      </c>
      <c r="D6" s="790" t="n"/>
      <c r="E6" s="791" t="n"/>
      <c r="G6" s="792" t="inlineStr">
        <is>
          <t>E/(D+E) @ Enterprise Value</t>
        </is>
      </c>
      <c r="H6" s="529" t="n">
        <v>0.756695593079815</v>
      </c>
    </row>
    <row r="7" ht="30" customHeight="1" s="462">
      <c r="A7" s="793" t="n"/>
      <c r="B7" s="793" t="n"/>
      <c r="C7" s="793" t="n"/>
      <c r="D7" s="793" t="inlineStr">
        <is>
          <t>Current Market Price</t>
        </is>
      </c>
      <c r="E7" s="794" t="n">
        <v>753</v>
      </c>
      <c r="F7" s="793" t="n"/>
      <c r="G7" s="795" t="inlineStr">
        <is>
          <t>D/(D+E) @ Enterprise Value</t>
        </is>
      </c>
      <c r="H7" s="529" t="n">
        <v>0.243304406920185</v>
      </c>
    </row>
    <row r="8" ht="15" customHeight="1" s="462">
      <c r="D8" s="793" t="inlineStr">
        <is>
          <t>Diluted Shares</t>
        </is>
      </c>
      <c r="E8" s="796" t="n">
        <v>64.6156832298137</v>
      </c>
      <c r="G8" s="791" t="n"/>
      <c r="H8" s="529" t="n"/>
    </row>
    <row r="9" ht="15" customHeight="1" s="462">
      <c r="A9" s="491" t="inlineStr">
        <is>
          <t>CAPM Assumptions</t>
        </is>
      </c>
      <c r="D9" s="793" t="inlineStr">
        <is>
          <t>Market Capitalisation</t>
        </is>
      </c>
      <c r="E9" s="797" t="n">
        <v>48655.6094720497</v>
      </c>
      <c r="G9" s="791" t="inlineStr">
        <is>
          <t>Interest Rate (%)</t>
        </is>
      </c>
      <c r="H9" s="529" t="n">
        <v>0.116503105125899</v>
      </c>
    </row>
    <row r="10" ht="15" customHeight="1" s="462">
      <c r="A10" s="791" t="inlineStr">
        <is>
          <t>Ke</t>
        </is>
      </c>
      <c r="B10" s="672" t="n">
        <v>0.118006</v>
      </c>
      <c r="D10" s="793" t="inlineStr">
        <is>
          <t>Long Term Liabilities</t>
        </is>
      </c>
      <c r="E10" s="796" t="n">
        <v>18470.2</v>
      </c>
      <c r="G10" s="791" t="inlineStr">
        <is>
          <t>Tax Rate (@)</t>
        </is>
      </c>
      <c r="H10" s="529" t="n">
        <v>0.13</v>
      </c>
    </row>
    <row r="11" ht="30" customHeight="1" s="462">
      <c r="A11" s="791" t="inlineStr">
        <is>
          <t>RFR</t>
        </is>
      </c>
      <c r="B11" s="798" t="n">
        <v>0.07000000000000001</v>
      </c>
      <c r="D11" s="799" t="inlineStr">
        <is>
          <t>Less: Cash &amp; Cash Equivalents</t>
        </is>
      </c>
      <c r="E11" s="796" t="n">
        <v>2825.7</v>
      </c>
      <c r="G11" s="461" t="n"/>
      <c r="H11" s="529" t="n"/>
    </row>
    <row r="12" ht="15" customHeight="1" s="462">
      <c r="A12" s="791" t="inlineStr">
        <is>
          <t>Beta</t>
        </is>
      </c>
      <c r="B12" s="800" t="n">
        <v>0.6858</v>
      </c>
      <c r="D12" s="793" t="inlineStr">
        <is>
          <t>Net Debt</t>
        </is>
      </c>
      <c r="E12" s="796" t="n">
        <v>15644.5</v>
      </c>
      <c r="G12" s="491" t="inlineStr">
        <is>
          <t>WACC Calculation</t>
        </is>
      </c>
      <c r="H12" s="529" t="n"/>
    </row>
    <row r="13" ht="15" customHeight="1" s="462">
      <c r="A13" s="791" t="inlineStr">
        <is>
          <t>Rp</t>
        </is>
      </c>
      <c r="B13" s="801" t="n">
        <v>0.07000000000000001</v>
      </c>
      <c r="D13" s="793" t="inlineStr">
        <is>
          <t>Enterprise Value (EV)</t>
        </is>
      </c>
      <c r="E13" s="802" t="n">
        <v>64300.1094720497</v>
      </c>
      <c r="G13" s="791" t="inlineStr">
        <is>
          <t>WACC</t>
        </is>
      </c>
      <c r="H13" s="803" t="n">
        <v>0.113955395597381</v>
      </c>
    </row>
    <row r="15" ht="15" customHeight="1" s="462">
      <c r="A15" s="491" t="inlineStr">
        <is>
          <t>Calculation of Free Cash Flow</t>
        </is>
      </c>
    </row>
    <row r="16" ht="15" customHeight="1" s="462">
      <c r="C16" s="804" t="inlineStr">
        <is>
          <t>Explicit Forecast Period (First Stage)</t>
        </is>
      </c>
      <c r="I16" s="805" t="inlineStr">
        <is>
          <t>Second Stage of Valuation</t>
        </is>
      </c>
      <c r="N16" s="806" t="inlineStr">
        <is>
          <t>Third  Stage of Valuation</t>
        </is>
      </c>
    </row>
    <row r="17" ht="15" customHeight="1" s="462">
      <c r="B17" s="807" t="inlineStr">
        <is>
          <t>FY2008 A</t>
        </is>
      </c>
      <c r="C17" s="807" t="inlineStr">
        <is>
          <t>FY2009 A</t>
        </is>
      </c>
      <c r="D17" s="808" t="inlineStr">
        <is>
          <t>FY2010 E</t>
        </is>
      </c>
      <c r="E17" s="808" t="inlineStr">
        <is>
          <t>FY2011 E</t>
        </is>
      </c>
      <c r="F17" s="808" t="inlineStr">
        <is>
          <t>FY2012 E</t>
        </is>
      </c>
      <c r="G17" s="808" t="inlineStr">
        <is>
          <t>FY2013 E</t>
        </is>
      </c>
      <c r="H17" s="808" t="inlineStr">
        <is>
          <t>FY2014 E</t>
        </is>
      </c>
      <c r="I17" s="808" t="inlineStr">
        <is>
          <t>FY2015 E</t>
        </is>
      </c>
      <c r="J17" s="808" t="inlineStr">
        <is>
          <t>FY2016 E</t>
        </is>
      </c>
      <c r="K17" s="808" t="inlineStr">
        <is>
          <t>FY2017 E</t>
        </is>
      </c>
      <c r="L17" s="808" t="inlineStr">
        <is>
          <t>FY2018 E</t>
        </is>
      </c>
      <c r="M17" s="808" t="inlineStr">
        <is>
          <t>FY2019 E</t>
        </is>
      </c>
      <c r="N17" s="536" t="inlineStr">
        <is>
          <t>Terminal Year</t>
        </is>
      </c>
    </row>
    <row r="19" ht="15" customHeight="1" s="462">
      <c r="A19" s="809" t="inlineStr">
        <is>
          <t>Revenues</t>
        </is>
      </c>
      <c r="B19" s="506" t="n">
        <v>24359</v>
      </c>
      <c r="C19" s="506" t="n">
        <v>31242.43</v>
      </c>
      <c r="D19" s="810" t="n">
        <v>40324.4304216159</v>
      </c>
      <c r="E19" s="506" t="n">
        <v>49546.6891433872</v>
      </c>
      <c r="F19" s="506" t="n">
        <v>60962.8145378002</v>
      </c>
      <c r="G19" s="506" t="n">
        <v>73939.1437361162</v>
      </c>
      <c r="H19" s="506" t="n">
        <v>88331.07248333941</v>
      </c>
      <c r="I19" s="521" t="n">
        <v>102968.986652141</v>
      </c>
      <c r="J19" s="521" t="n">
        <v>117053.84229029</v>
      </c>
      <c r="K19" s="521" t="n">
        <v>129679.06354742</v>
      </c>
      <c r="L19" s="521" t="n">
        <v>139914.517828377</v>
      </c>
      <c r="M19" s="521" t="n">
        <v>146910.243719796</v>
      </c>
      <c r="N19" s="521" t="n">
        <v>152933.563712307</v>
      </c>
    </row>
    <row r="20" ht="15" customHeight="1" s="462">
      <c r="A20" s="809" t="inlineStr">
        <is>
          <t>EBITDA</t>
        </is>
      </c>
      <c r="B20" s="506" t="n">
        <v>4353.8</v>
      </c>
      <c r="C20" s="506" t="n">
        <v>5890.63</v>
      </c>
      <c r="D20" s="506" t="n">
        <v>7698.51568281836</v>
      </c>
      <c r="E20" s="506" t="n">
        <v>9081.722653260451</v>
      </c>
      <c r="F20" s="506" t="n">
        <v>10746.320090043</v>
      </c>
      <c r="G20" s="506" t="n">
        <v>12638.4125098524</v>
      </c>
      <c r="H20" s="506" t="n">
        <v>14736.9150118229</v>
      </c>
      <c r="I20" s="506" t="n">
        <v>17179.0646539737</v>
      </c>
      <c r="J20" s="506" t="n">
        <v>19528.9435205791</v>
      </c>
      <c r="K20" s="506" t="n">
        <v>21635.300971485</v>
      </c>
      <c r="L20" s="506" t="n">
        <v>23342.9562235404</v>
      </c>
      <c r="M20" s="506" t="n">
        <v>24510.1040347174</v>
      </c>
      <c r="N20" s="506" t="n">
        <v>25515.0183001408</v>
      </c>
    </row>
    <row r="21" ht="15" customHeight="1" s="462">
      <c r="A21" s="811" t="inlineStr">
        <is>
          <t>EBIT</t>
        </is>
      </c>
      <c r="B21" s="506" t="n">
        <v>3350</v>
      </c>
      <c r="C21" s="506" t="n">
        <v>4669.43</v>
      </c>
      <c r="D21" s="506" t="n">
        <v>6488.70814621445</v>
      </c>
      <c r="E21" s="506" t="n">
        <v>7724.99848016813</v>
      </c>
      <c r="F21" s="506" t="n">
        <v>9219.884237914121</v>
      </c>
      <c r="G21" s="506" t="n">
        <v>10915.8666272994</v>
      </c>
      <c r="H21" s="506" t="n">
        <v>12767.6455979299</v>
      </c>
      <c r="I21" s="506" t="n">
        <v>14883.4548499394</v>
      </c>
      <c r="J21" s="506" t="n">
        <v>16919.3233164952</v>
      </c>
      <c r="K21" s="506" t="n">
        <v>18744.2117286323</v>
      </c>
      <c r="L21" s="506" t="n">
        <v>20223.6758528534</v>
      </c>
      <c r="M21" s="506" t="n">
        <v>21234.8596454961</v>
      </c>
      <c r="N21" s="506" t="n">
        <v>22105.4888909614</v>
      </c>
    </row>
    <row r="22" ht="15" customHeight="1" s="462">
      <c r="A22" s="812" t="inlineStr">
        <is>
          <t>Tax Expense</t>
        </is>
      </c>
      <c r="B22" s="506" t="n">
        <v>536</v>
      </c>
      <c r="C22" s="506" t="n">
        <v>312.9</v>
      </c>
      <c r="D22" s="506" t="n">
        <v>782.966336010435</v>
      </c>
      <c r="E22" s="506" t="n">
        <v>727.147629380475</v>
      </c>
      <c r="F22" s="506" t="n">
        <v>856.990097935946</v>
      </c>
      <c r="G22" s="506" t="n">
        <v>1192.85807994567</v>
      </c>
      <c r="H22" s="506" t="n">
        <v>1439.33267448033</v>
      </c>
      <c r="I22" s="494" t="n">
        <v>1677.85381496991</v>
      </c>
      <c r="J22" s="494" t="n">
        <v>1907.36300539834</v>
      </c>
      <c r="K22" s="494" t="n">
        <v>2113.08781963467</v>
      </c>
      <c r="L22" s="494" t="n">
        <v>2279.87198029919</v>
      </c>
      <c r="M22" s="494" t="n">
        <v>2393.86557931415</v>
      </c>
      <c r="N22" s="494" t="n">
        <v>2492.01406806603</v>
      </c>
    </row>
    <row r="23" ht="15" customHeight="1" s="462">
      <c r="A23" s="791" t="inlineStr">
        <is>
          <t>Net Operating Profit After Tax</t>
        </is>
      </c>
      <c r="B23" s="506" t="n">
        <v>2814</v>
      </c>
      <c r="C23" s="506" t="n">
        <v>4356.53</v>
      </c>
      <c r="D23" s="506" t="n">
        <v>5705.74181020402</v>
      </c>
      <c r="E23" s="506" t="n">
        <v>6997.85085078766</v>
      </c>
      <c r="F23" s="506" t="n">
        <v>8362.894139978171</v>
      </c>
      <c r="G23" s="506" t="n">
        <v>9723.00854735376</v>
      </c>
      <c r="H23" s="506" t="n">
        <v>11328.3129234496</v>
      </c>
      <c r="I23" s="506" t="n">
        <v>13205.6010349695</v>
      </c>
      <c r="J23" s="506" t="n">
        <v>15011.9603110969</v>
      </c>
      <c r="K23" s="506" t="n">
        <v>16631.1239089977</v>
      </c>
      <c r="L23" s="506" t="n">
        <v>17943.8038725542</v>
      </c>
      <c r="M23" s="506" t="n">
        <v>18840.9940661819</v>
      </c>
      <c r="N23" s="506" t="n">
        <v>19613.4748228954</v>
      </c>
    </row>
    <row r="24" ht="15" customHeight="1" s="462">
      <c r="A24" s="809" t="inlineStr">
        <is>
          <t>Depreciation &amp; Amortisation</t>
        </is>
      </c>
      <c r="B24" s="506" t="n">
        <v>1003.8</v>
      </c>
      <c r="C24" s="506" t="n">
        <v>1221.2</v>
      </c>
      <c r="D24" s="506" t="n">
        <v>1209.80753660391</v>
      </c>
      <c r="E24" s="506" t="n">
        <v>1356.72417309232</v>
      </c>
      <c r="F24" s="506" t="n">
        <v>1526.43585212883</v>
      </c>
      <c r="G24" s="506" t="n">
        <v>1722.54588255296</v>
      </c>
      <c r="H24" s="506" t="n">
        <v>1969.26941389299</v>
      </c>
      <c r="I24" s="506" t="n">
        <v>2295.60980403428</v>
      </c>
      <c r="J24" s="506" t="n">
        <v>2609.62020408389</v>
      </c>
      <c r="K24" s="506" t="n">
        <v>2891.08924285264</v>
      </c>
      <c r="L24" s="506" t="n">
        <v>3119.28037068697</v>
      </c>
      <c r="M24" s="506" t="n">
        <v>3275.24438922131</v>
      </c>
      <c r="N24" s="506" t="n">
        <v>3409.52940917939</v>
      </c>
    </row>
    <row r="25" ht="15" customHeight="1" s="462">
      <c r="A25" s="812" t="inlineStr">
        <is>
          <t>Working Capital Change</t>
        </is>
      </c>
      <c r="B25" s="506" t="n">
        <v>-1271.7</v>
      </c>
      <c r="C25" s="506" t="n">
        <v>-1158.91546713996</v>
      </c>
      <c r="D25" s="506" t="n">
        <v>-2934.83282179303</v>
      </c>
      <c r="E25" s="506" t="n">
        <v>-3225.22641084281</v>
      </c>
      <c r="F25" s="506" t="n">
        <v>-3929.60992794619</v>
      </c>
      <c r="G25" s="506" t="n">
        <v>-4466.65661809884</v>
      </c>
      <c r="H25" s="506" t="n">
        <v>-4953.92824916417</v>
      </c>
      <c r="I25" s="581" t="n">
        <v>-4953.92824916417</v>
      </c>
      <c r="J25" s="581" t="n">
        <v>-4953.92824916417</v>
      </c>
      <c r="K25" s="581" t="n">
        <v>-4953.92824916417</v>
      </c>
      <c r="L25" s="581" t="n">
        <v>-4953.92824916417</v>
      </c>
      <c r="M25" s="581" t="n">
        <v>-4953.92824916417</v>
      </c>
      <c r="N25" s="581" t="n">
        <v>-4953.92824916417</v>
      </c>
    </row>
    <row r="26" ht="15" customHeight="1" s="462">
      <c r="A26" s="791" t="inlineStr">
        <is>
          <t>Operating Cash Flow</t>
        </is>
      </c>
      <c r="B26" s="506" t="n">
        <v>2546.1</v>
      </c>
      <c r="C26" s="506" t="n">
        <v>4418.81453286004</v>
      </c>
      <c r="D26" s="506" t="n">
        <v>3980.7165250149</v>
      </c>
      <c r="E26" s="506" t="n">
        <v>5129.34861303716</v>
      </c>
      <c r="F26" s="506" t="n">
        <v>5959.72006416081</v>
      </c>
      <c r="G26" s="506" t="n">
        <v>6978.89781180789</v>
      </c>
      <c r="H26" s="506" t="n">
        <v>8343.65408817838</v>
      </c>
      <c r="I26" s="506" t="n">
        <v>10547.2825898396</v>
      </c>
      <c r="J26" s="506" t="n">
        <v>12667.6522660166</v>
      </c>
      <c r="K26" s="506" t="n">
        <v>14568.2849026861</v>
      </c>
      <c r="L26" s="506" t="n">
        <v>16109.155994077</v>
      </c>
      <c r="M26" s="506" t="n">
        <v>17162.3102062391</v>
      </c>
      <c r="N26" s="506" t="n">
        <v>18069.0759829106</v>
      </c>
    </row>
    <row r="27" ht="15" customHeight="1" s="462">
      <c r="A27" s="812" t="inlineStr">
        <is>
          <t>Capex</t>
        </is>
      </c>
      <c r="B27" s="506" t="n">
        <v>2456.9</v>
      </c>
      <c r="C27" s="506" t="n">
        <v>2292.27975</v>
      </c>
      <c r="D27" s="506" t="n">
        <v>2755.582326</v>
      </c>
      <c r="E27" s="506" t="n">
        <v>3416.92208424</v>
      </c>
      <c r="F27" s="506" t="n">
        <v>3631.7000438208</v>
      </c>
      <c r="G27" s="506" t="n">
        <v>4430.67405346138</v>
      </c>
      <c r="H27" s="506" t="n">
        <v>5316.80886415365</v>
      </c>
      <c r="I27" s="506" t="n">
        <v>6197.89169964263</v>
      </c>
      <c r="J27" s="506" t="n">
        <v>7045.68493029042</v>
      </c>
      <c r="K27" s="506" t="n">
        <v>7805.62009698356</v>
      </c>
      <c r="L27" s="506" t="n">
        <v>8421.71081704015</v>
      </c>
      <c r="M27" s="506" t="n">
        <v>8842.796357892161</v>
      </c>
      <c r="N27" s="506" t="n">
        <v>9205.35100856574</v>
      </c>
    </row>
    <row r="28" ht="15" customHeight="1" s="462">
      <c r="A28" s="813" t="inlineStr">
        <is>
          <t>FCF</t>
        </is>
      </c>
      <c r="B28" s="506" t="n">
        <v>89.1999999999971</v>
      </c>
      <c r="C28" s="506" t="n">
        <v>2126.53478286004</v>
      </c>
      <c r="D28" s="506" t="n">
        <v>1225.1341990149</v>
      </c>
      <c r="E28" s="506" t="n">
        <v>1712.42652879716</v>
      </c>
      <c r="F28" s="506" t="n">
        <v>2328.02002034001</v>
      </c>
      <c r="G28" s="506" t="n">
        <v>2548.22375834651</v>
      </c>
      <c r="H28" s="506" t="n">
        <v>3026.84522402473</v>
      </c>
      <c r="I28" s="506" t="n">
        <v>4349.39089019696</v>
      </c>
      <c r="J28" s="506" t="n">
        <v>5621.9673357262</v>
      </c>
      <c r="K28" s="506" t="n">
        <v>6762.66480570257</v>
      </c>
      <c r="L28" s="506" t="n">
        <v>7687.44517703687</v>
      </c>
      <c r="M28" s="506" t="n">
        <v>8319.51384834692</v>
      </c>
      <c r="N28" s="506" t="n">
        <v>8863.72497434487</v>
      </c>
    </row>
    <row r="29" ht="15" customHeight="1" s="462">
      <c r="A29" s="461" t="n"/>
    </row>
    <row r="30" ht="15" customHeight="1" s="462">
      <c r="A30" s="791" t="inlineStr">
        <is>
          <t>Diluted Shares</t>
        </is>
      </c>
      <c r="B30" s="521" t="n">
        <v>67.5063685253326</v>
      </c>
      <c r="C30" s="521" t="n">
        <v>64.7394685677254</v>
      </c>
      <c r="D30" s="521" t="n">
        <v>64.6156832298137</v>
      </c>
      <c r="E30" s="521" t="n">
        <v>64.6156832298137</v>
      </c>
      <c r="F30" s="521" t="n">
        <v>58.1834437495158</v>
      </c>
      <c r="G30" s="521" t="n">
        <v>58.1834437495158</v>
      </c>
      <c r="H30" s="521" t="n">
        <v>58.1834437495158</v>
      </c>
      <c r="I30" s="587" t="n">
        <v>58.1834437495158</v>
      </c>
      <c r="J30" s="587" t="n">
        <v>58.1834437495158</v>
      </c>
      <c r="K30" s="587" t="n">
        <v>58.1834437495158</v>
      </c>
      <c r="L30" s="587" t="n">
        <v>58.1834437495158</v>
      </c>
      <c r="M30" s="587" t="n">
        <v>58.1834437495158</v>
      </c>
    </row>
    <row r="31" ht="15" customHeight="1" s="462">
      <c r="A31" s="791" t="n"/>
    </row>
    <row r="32" ht="15" customHeight="1" s="462">
      <c r="A32" s="791" t="inlineStr">
        <is>
          <t>Projection Year</t>
        </is>
      </c>
      <c r="C32" s="468" t="n"/>
      <c r="D32" s="468" t="n">
        <v>1</v>
      </c>
      <c r="E32" s="468" t="n">
        <v>2</v>
      </c>
      <c r="F32" s="468" t="n">
        <v>3</v>
      </c>
      <c r="G32" s="468" t="n">
        <v>4</v>
      </c>
      <c r="H32" s="468" t="n">
        <v>5</v>
      </c>
      <c r="I32" s="468" t="n">
        <v>6</v>
      </c>
      <c r="J32" s="468" t="n">
        <v>7</v>
      </c>
      <c r="K32" s="468" t="n">
        <v>8</v>
      </c>
      <c r="L32" s="468" t="n">
        <v>9</v>
      </c>
      <c r="M32" s="468" t="n">
        <v>10</v>
      </c>
    </row>
    <row r="33" ht="15" customHeight="1" s="462">
      <c r="A33" s="814" t="inlineStr">
        <is>
          <t>Discount Factor</t>
        </is>
      </c>
      <c r="C33" s="815" t="n"/>
      <c r="D33" s="815" t="n">
        <v>0.897702012084361</v>
      </c>
      <c r="E33" s="815" t="n">
        <v>0.805868902500311</v>
      </c>
      <c r="F33" s="815" t="n">
        <v>0.723430135250745</v>
      </c>
      <c r="G33" s="815" t="n">
        <v>0.649424688017056</v>
      </c>
      <c r="H33" s="815" t="n">
        <v>0.58298984913017</v>
      </c>
      <c r="I33" s="815" t="n">
        <v>0.523351160588912</v>
      </c>
      <c r="J33" s="815" t="n">
        <v>0.469813389887352</v>
      </c>
      <c r="K33" s="815" t="n">
        <v>0.42175242540605</v>
      </c>
      <c r="L33" s="815" t="n">
        <v>0.378608000888471</v>
      </c>
      <c r="M33" s="815" t="n">
        <v>0.339877164188818</v>
      </c>
    </row>
    <row r="34" ht="15" customHeight="1" s="462">
      <c r="A34" s="813" t="inlineStr">
        <is>
          <t>Present Value of FCF</t>
        </is>
      </c>
      <c r="C34" s="506" t="n"/>
      <c r="D34" s="816" t="n">
        <v>1099.80543552903</v>
      </c>
      <c r="E34" s="506" t="n">
        <v>1379.99128737419</v>
      </c>
      <c r="F34" s="506" t="n">
        <v>1684.15983818102</v>
      </c>
      <c r="G34" s="506" t="n">
        <v>1654.87941926183</v>
      </c>
      <c r="H34" s="506" t="n">
        <v>1764.62004049455</v>
      </c>
      <c r="I34" s="506" t="n">
        <v>2276.25877023942</v>
      </c>
      <c r="J34" s="506" t="n">
        <v>2641.27553183349</v>
      </c>
      <c r="K34" s="506" t="n">
        <v>2852.17028401319</v>
      </c>
      <c r="L34" s="506" t="n">
        <v>2910.52825041764</v>
      </c>
      <c r="M34" s="506" t="n">
        <v>2827.61277420575</v>
      </c>
    </row>
    <row r="36" ht="15" customHeight="1" s="462">
      <c r="A36" s="618" t="inlineStr">
        <is>
          <t>Y/Y Growth Analysis</t>
        </is>
      </c>
    </row>
    <row r="37" ht="15" customHeight="1" s="462">
      <c r="A37" s="809" t="inlineStr">
        <is>
          <t>Revenues</t>
        </is>
      </c>
      <c r="C37" s="817" t="n">
        <v>0.282582618334086</v>
      </c>
      <c r="D37" s="817" t="n">
        <v>0.29069443131075</v>
      </c>
      <c r="E37" s="817" t="n">
        <v>0.228701524741878</v>
      </c>
      <c r="F37" s="817" t="n">
        <v>0.230411468289533</v>
      </c>
      <c r="G37" s="817" t="n">
        <v>0.212856464989326</v>
      </c>
      <c r="H37" s="817" t="n">
        <v>0.19464559663535</v>
      </c>
      <c r="I37" s="818" t="n">
        <v>0.16571647730828</v>
      </c>
      <c r="J37" s="818" t="n">
        <v>0.13678735798121</v>
      </c>
      <c r="K37" s="818" t="n">
        <v>0.10785823865414</v>
      </c>
      <c r="L37" s="818" t="n">
        <v>0.07892911932707</v>
      </c>
      <c r="M37" s="818" t="n">
        <v>0.05</v>
      </c>
      <c r="N37" s="818" t="n">
        <v>0.041</v>
      </c>
    </row>
    <row r="38" ht="15" customHeight="1" s="462">
      <c r="A38" s="809" t="inlineStr">
        <is>
          <t>EBITDA</t>
        </is>
      </c>
      <c r="C38" s="817" t="n">
        <v>0.352985897377005</v>
      </c>
      <c r="D38" s="817" t="n">
        <v>0.306908714826489</v>
      </c>
      <c r="E38" s="817" t="n">
        <v>0.17967190396574</v>
      </c>
      <c r="F38" s="817" t="n">
        <v>0.183290935028157</v>
      </c>
      <c r="G38" s="817" t="n">
        <v>0.176068868594615</v>
      </c>
      <c r="H38" s="817" t="n">
        <v>0.166041621155708</v>
      </c>
      <c r="I38" s="817" t="n">
        <v>0.16571647730828</v>
      </c>
      <c r="J38" s="817" t="n">
        <v>0.13678735798121</v>
      </c>
      <c r="K38" s="817" t="n">
        <v>0.10785823865414</v>
      </c>
      <c r="L38" s="817" t="n">
        <v>0.07892911932707</v>
      </c>
      <c r="M38" s="817" t="n">
        <v>0.0500000000000003</v>
      </c>
      <c r="N38" s="817" t="n">
        <v>0.0409999999999999</v>
      </c>
    </row>
    <row r="39" ht="15" customHeight="1" s="462">
      <c r="A39" s="809" t="inlineStr">
        <is>
          <t>EBIT</t>
        </is>
      </c>
      <c r="C39" s="817" t="n">
        <v>0.393859701492538</v>
      </c>
      <c r="D39" s="817" t="n">
        <v>0.389614609537877</v>
      </c>
      <c r="E39" s="817" t="n">
        <v>0.190529502343997</v>
      </c>
      <c r="F39" s="817" t="n">
        <v>0.193512757521404</v>
      </c>
      <c r="G39" s="817" t="n">
        <v>0.183948338788363</v>
      </c>
      <c r="H39" s="817" t="n">
        <v>0.16964104031826</v>
      </c>
      <c r="I39" s="817" t="n">
        <v>0.16571647730828</v>
      </c>
      <c r="J39" s="817" t="n">
        <v>0.13678735798121</v>
      </c>
      <c r="K39" s="817" t="n">
        <v>0.10785823865414</v>
      </c>
      <c r="L39" s="817" t="n">
        <v>0.07892911932707</v>
      </c>
      <c r="M39" s="817" t="n">
        <v>0.0500000000000003</v>
      </c>
      <c r="N39" s="817" t="n">
        <v>0.0409999999999999</v>
      </c>
    </row>
    <row r="40" ht="15" customHeight="1" s="462">
      <c r="A40" s="809" t="inlineStr">
        <is>
          <t>Depreciation &amp; Amortisation</t>
        </is>
      </c>
      <c r="C40" s="817" t="n">
        <v>0.216577007371987</v>
      </c>
      <c r="D40" s="817" t="n">
        <v>-0.00932890877504922</v>
      </c>
      <c r="E40" s="817" t="n">
        <v>0.121438023853629</v>
      </c>
      <c r="F40" s="817" t="n">
        <v>0.125089301423516</v>
      </c>
      <c r="G40" s="817" t="n">
        <v>0.128475775873993</v>
      </c>
      <c r="H40" s="817" t="n">
        <v>0.143231906818275</v>
      </c>
      <c r="I40" s="817" t="n">
        <v>0.16571647730828</v>
      </c>
      <c r="J40" s="817" t="n">
        <v>0.13678735798121</v>
      </c>
      <c r="K40" s="817" t="n">
        <v>0.10785823865414</v>
      </c>
      <c r="L40" s="817" t="n">
        <v>0.07892911932707029</v>
      </c>
      <c r="M40" s="817" t="n">
        <v>0.05</v>
      </c>
      <c r="N40" s="817" t="n">
        <v>0.0409999999999999</v>
      </c>
    </row>
    <row r="42" ht="15" customHeight="1" s="462">
      <c r="A42" s="618" t="inlineStr">
        <is>
          <t>Margin Analysis (As % of Revenues)</t>
        </is>
      </c>
    </row>
    <row r="43" ht="15" customHeight="1" s="462">
      <c r="A43" s="811" t="inlineStr">
        <is>
          <t>EBITDA Margin</t>
        </is>
      </c>
      <c r="B43" s="817" t="n">
        <v>0.178734759226569</v>
      </c>
      <c r="C43" s="817" t="n">
        <v>0.188545833342669</v>
      </c>
      <c r="D43" s="817" t="n">
        <v>0.190914430838224</v>
      </c>
      <c r="E43" s="817" t="n">
        <v>0.183296256728237</v>
      </c>
      <c r="F43" s="817" t="n">
        <v>0.176276639645298</v>
      </c>
      <c r="G43" s="817" t="n">
        <v>0.17092992792773</v>
      </c>
      <c r="H43" s="817" t="n">
        <v>0.166837270255068</v>
      </c>
    </row>
    <row r="44" ht="15" customHeight="1" s="462">
      <c r="A44" s="809" t="inlineStr">
        <is>
          <t>EBIT Margin</t>
        </is>
      </c>
      <c r="B44" s="817" t="n">
        <v>0.137526171025083</v>
      </c>
      <c r="C44" s="817" t="n">
        <v>0.149457964697368</v>
      </c>
      <c r="D44" s="817" t="n">
        <v>0.160912580249024</v>
      </c>
      <c r="E44" s="817" t="n">
        <v>0.155913515387721</v>
      </c>
      <c r="F44" s="817" t="n">
        <v>0.151237837488578</v>
      </c>
      <c r="G44" s="817" t="n">
        <v>0.147633121993642</v>
      </c>
      <c r="H44" s="817" t="n">
        <v>0.144543083639543</v>
      </c>
      <c r="I44" s="818" t="n">
        <v>0.144543083639543</v>
      </c>
      <c r="J44" s="818" t="n">
        <v>0.144543083639543</v>
      </c>
      <c r="K44" s="818" t="n">
        <v>0.144543083639543</v>
      </c>
      <c r="L44" s="818" t="n">
        <v>0.144543083639543</v>
      </c>
      <c r="M44" s="818" t="n">
        <v>0.144543083639543</v>
      </c>
      <c r="N44" s="818" t="n">
        <v>0.144543083639543</v>
      </c>
    </row>
    <row r="45" ht="15" customHeight="1" s="462">
      <c r="A45" s="809" t="inlineStr">
        <is>
          <t>Depreciation &amp; Amortisation</t>
        </is>
      </c>
      <c r="B45" s="817" t="n">
        <v>0.0412085882014861</v>
      </c>
      <c r="C45" s="817" t="n">
        <v>0.0390878686453006</v>
      </c>
      <c r="D45" s="817" t="n">
        <v>0.0300018505892</v>
      </c>
      <c r="E45" s="817" t="n">
        <v>0.0273827413405158</v>
      </c>
      <c r="F45" s="817" t="n">
        <v>0.0250388021567207</v>
      </c>
      <c r="G45" s="817" t="n">
        <v>0.0232968059340884</v>
      </c>
      <c r="H45" s="817" t="n">
        <v>0.0222941866155245</v>
      </c>
      <c r="I45" s="818" t="n">
        <v>0.0222941866155245</v>
      </c>
      <c r="J45" s="818" t="n">
        <v>0.0222941866155245</v>
      </c>
      <c r="K45" s="818" t="n">
        <v>0.0222941866155245</v>
      </c>
      <c r="L45" s="818" t="n">
        <v>0.0222941866155245</v>
      </c>
      <c r="M45" s="818" t="n">
        <v>0.0222941866155245</v>
      </c>
      <c r="N45" s="818" t="n">
        <v>0.0222941866155245</v>
      </c>
    </row>
    <row r="46" ht="15" customHeight="1" s="462">
      <c r="A46" s="811" t="inlineStr">
        <is>
          <t>Capex</t>
        </is>
      </c>
      <c r="B46" s="817" t="n">
        <v>0.10086210435568</v>
      </c>
      <c r="C46" s="817" t="n">
        <v>0.0733707253245026</v>
      </c>
      <c r="D46" s="817" t="n">
        <v>0.0683353068397681</v>
      </c>
      <c r="E46" s="817" t="n">
        <v>0.0689636813945628</v>
      </c>
      <c r="F46" s="817" t="n">
        <v>0.0595723814813201</v>
      </c>
      <c r="G46" s="817" t="n">
        <v>0.0599232534971483</v>
      </c>
      <c r="H46" s="817" t="n">
        <v>0.0601918296096369</v>
      </c>
      <c r="I46" s="818" t="n">
        <v>0.0601918296096369</v>
      </c>
      <c r="J46" s="818" t="n">
        <v>0.0601918296096369</v>
      </c>
      <c r="K46" s="818" t="n">
        <v>0.0601918296096369</v>
      </c>
      <c r="L46" s="818" t="n">
        <v>0.0601918296096369</v>
      </c>
      <c r="M46" s="818" t="n">
        <v>0.0601918296096369</v>
      </c>
      <c r="N46" s="818" t="n">
        <v>0.0601918296096369</v>
      </c>
    </row>
    <row r="47" ht="15" customHeight="1" s="462">
      <c r="A47" s="461" t="n"/>
      <c r="B47" s="817" t="n"/>
      <c r="C47" s="817" t="n"/>
      <c r="D47" s="817" t="n"/>
      <c r="E47" s="817" t="n"/>
      <c r="F47" s="817" t="n"/>
      <c r="G47" s="817" t="n"/>
      <c r="H47" s="817" t="n"/>
      <c r="I47" s="819" t="n"/>
      <c r="J47" s="819" t="n"/>
      <c r="K47" s="819" t="n"/>
      <c r="L47" s="819" t="n"/>
      <c r="M47" s="819" t="n"/>
      <c r="N47" s="819" t="n"/>
    </row>
    <row r="48" ht="15" customHeight="1" s="462">
      <c r="A48" s="820" t="inlineStr">
        <is>
          <t>Tax Rate (Tax Expense/EBIT)</t>
        </is>
      </c>
      <c r="B48" s="817" t="n">
        <v>0.16</v>
      </c>
      <c r="C48" s="817" t="n">
        <v>0.0670103203174691</v>
      </c>
      <c r="D48" s="817" t="n">
        <v>0.120665981327458</v>
      </c>
      <c r="E48" s="817" t="n">
        <v>0.0941291614810323</v>
      </c>
      <c r="F48" s="817" t="n">
        <v>0.0929502015233359</v>
      </c>
      <c r="G48" s="817" t="n">
        <v>0.109277450950386</v>
      </c>
      <c r="H48" s="817" t="n">
        <v>0.112732818548292</v>
      </c>
      <c r="I48" s="818" t="n">
        <v>0.112732818548292</v>
      </c>
      <c r="J48" s="818" t="n">
        <v>0.112732818548292</v>
      </c>
      <c r="K48" s="818" t="n">
        <v>0.112732818548292</v>
      </c>
      <c r="L48" s="818" t="n">
        <v>0.112732818548292</v>
      </c>
      <c r="M48" s="818" t="n">
        <v>0.112732818548292</v>
      </c>
      <c r="N48" s="818" t="n">
        <v>0.112732818548292</v>
      </c>
    </row>
    <row r="49" ht="15.75" customHeight="1" s="462">
      <c r="A49" s="789" t="n"/>
      <c r="B49" s="789" t="n"/>
      <c r="C49" s="789" t="n"/>
      <c r="D49" s="789" t="n"/>
      <c r="E49" s="789" t="n"/>
      <c r="F49" s="789" t="n"/>
      <c r="G49" s="789" t="n"/>
      <c r="H49" s="789" t="n"/>
      <c r="I49" s="789" t="n"/>
      <c r="J49" s="789" t="n"/>
      <c r="K49" s="789" t="n"/>
      <c r="L49" s="789" t="n"/>
      <c r="M49" s="789" t="n"/>
      <c r="N49" s="789" t="n"/>
    </row>
    <row r="51" ht="15" customHeight="1" s="462">
      <c r="A51" s="491" t="inlineStr">
        <is>
          <t>Terminal Value</t>
        </is>
      </c>
      <c r="D51" s="491" t="inlineStr">
        <is>
          <t>Calculated Equity Value</t>
        </is>
      </c>
      <c r="G51" s="491" t="inlineStr">
        <is>
          <t>Intrinsic Value</t>
        </is>
      </c>
    </row>
    <row r="52" ht="15" customHeight="1" s="462">
      <c r="A52" s="791" t="inlineStr">
        <is>
          <t>Sum of PV of FCF for explicit forecast</t>
        </is>
      </c>
      <c r="B52" s="821" t="n">
        <v>21091.3016315501</v>
      </c>
      <c r="D52" s="791" t="inlineStr">
        <is>
          <t>Enterprise Value</t>
        </is>
      </c>
      <c r="E52" s="821" t="n">
        <v>62384.7204905944</v>
      </c>
      <c r="G52" s="791" t="inlineStr">
        <is>
          <t>Equity Value</t>
        </is>
      </c>
      <c r="H52" s="821" t="n">
        <v>46740.2204905944</v>
      </c>
    </row>
    <row r="53" ht="15" customHeight="1" s="462">
      <c r="A53" s="791" t="inlineStr">
        <is>
          <t>WACC</t>
        </is>
      </c>
      <c r="B53" s="822" t="n">
        <v>0.113955395597381</v>
      </c>
      <c r="D53" s="791" t="inlineStr">
        <is>
          <t>-   Debt</t>
        </is>
      </c>
      <c r="E53" s="821" t="n">
        <v>-18470.2</v>
      </c>
      <c r="G53" s="791" t="inlineStr">
        <is>
          <t>Diluted Shares</t>
        </is>
      </c>
      <c r="H53" s="506" t="n">
        <v>64.6156832298137</v>
      </c>
    </row>
    <row r="54" ht="15" customHeight="1" s="462">
      <c r="A54" s="791" t="inlineStr">
        <is>
          <t>Long term growth in EBIT</t>
        </is>
      </c>
      <c r="B54" s="822" t="n">
        <v>0.041</v>
      </c>
      <c r="D54" s="791" t="inlineStr">
        <is>
          <t>+  Cash</t>
        </is>
      </c>
      <c r="E54" s="821" t="n">
        <v>2825.7</v>
      </c>
      <c r="G54" s="791" t="n"/>
    </row>
    <row r="55" ht="15" customHeight="1" s="462">
      <c r="A55" s="791" t="inlineStr">
        <is>
          <t>Present Value of terminal value</t>
        </is>
      </c>
      <c r="B55" s="753" t="n">
        <v>41293.4188590443</v>
      </c>
      <c r="D55" s="791" t="inlineStr">
        <is>
          <t>Net Debt</t>
        </is>
      </c>
      <c r="E55" s="821" t="n">
        <v>-15644.5</v>
      </c>
      <c r="G55" s="791" t="inlineStr">
        <is>
          <t>Intrinsic Value    Rs.</t>
        </is>
      </c>
      <c r="H55" s="823" t="n">
        <v>723.357212278589</v>
      </c>
    </row>
    <row r="56" ht="15" customHeight="1" s="462">
      <c r="A56" s="791" t="inlineStr">
        <is>
          <t>Terminal Value as % of Total Value</t>
        </is>
      </c>
      <c r="B56" s="529" t="n">
        <v>0.661915586610186</v>
      </c>
      <c r="D56" s="791" t="inlineStr">
        <is>
          <t>Equity Value</t>
        </is>
      </c>
      <c r="E56" s="821" t="n">
        <v>46740.2204905944</v>
      </c>
    </row>
    <row r="57" ht="15.75" customHeight="1" s="462">
      <c r="A57" s="789" t="n"/>
      <c r="B57" s="789" t="n"/>
      <c r="C57" s="789" t="n"/>
      <c r="D57" s="789" t="n"/>
      <c r="E57" s="789" t="n"/>
      <c r="F57" s="789" t="n"/>
      <c r="G57" s="789" t="n"/>
      <c r="H57" s="789" t="n"/>
      <c r="I57" s="789" t="n"/>
      <c r="J57" s="789" t="n"/>
      <c r="K57" s="789" t="n"/>
      <c r="L57" s="789" t="n"/>
      <c r="M57" s="789" t="n"/>
      <c r="N57" s="789" t="n"/>
    </row>
    <row r="59" ht="15.75" customHeight="1" s="462">
      <c r="A59" s="491" t="inlineStr">
        <is>
          <t>Sensitivity - Varying Terminal Growth Rate</t>
        </is>
      </c>
      <c r="B59" s="824" t="n"/>
      <c r="C59" s="824" t="n"/>
      <c r="D59" s="824" t="n"/>
      <c r="E59" s="824" t="n"/>
      <c r="F59" s="824" t="n"/>
      <c r="G59" s="824" t="n"/>
      <c r="H59" s="824" t="n"/>
      <c r="I59" s="824" t="n"/>
      <c r="J59" s="824" t="n"/>
      <c r="K59" s="824" t="n"/>
      <c r="L59" s="824" t="n"/>
      <c r="M59" s="824" t="n"/>
      <c r="N59" s="824" t="n"/>
    </row>
    <row r="61" ht="15" customHeight="1" s="462">
      <c r="A61" s="825" t="n"/>
      <c r="B61" s="826" t="n"/>
      <c r="C61" s="825" t="n"/>
      <c r="D61" s="804" t="inlineStr">
        <is>
          <t>PV of Terminal Value</t>
        </is>
      </c>
      <c r="G61" s="825" t="n"/>
      <c r="H61" s="804" t="inlineStr">
        <is>
          <t>Intrinsic Value</t>
        </is>
      </c>
      <c r="K61" s="827" t="n"/>
    </row>
    <row r="62" ht="15" customHeight="1" s="462">
      <c r="A62" s="828" t="inlineStr">
        <is>
          <t>WACC</t>
        </is>
      </c>
      <c r="B62" s="829" t="inlineStr">
        <is>
          <t>PV of FCF</t>
        </is>
      </c>
      <c r="C62" s="830" t="n">
        <v>41293.4188590443</v>
      </c>
      <c r="D62" s="831" t="n">
        <v>0.03</v>
      </c>
      <c r="E62" s="831" t="n">
        <v>0.041</v>
      </c>
      <c r="F62" s="831" t="n">
        <v>0.05</v>
      </c>
      <c r="G62" s="832" t="n"/>
      <c r="H62" s="831" t="n">
        <v>0.03</v>
      </c>
      <c r="I62" s="831" t="n">
        <v>0.041</v>
      </c>
      <c r="J62" s="831" t="n">
        <v>0.05</v>
      </c>
      <c r="K62" s="833" t="n"/>
    </row>
    <row r="63" ht="15" customHeight="1" s="462">
      <c r="A63" s="834" t="n">
        <v>0.1</v>
      </c>
      <c r="B63" s="835" t="n">
        <v>22860.6355685686</v>
      </c>
      <c r="C63" s="836" t="n">
        <v>0.1</v>
      </c>
      <c r="D63" s="837" t="n">
        <v>43036.824406142</v>
      </c>
      <c r="E63" s="837" t="n">
        <v>51060.6391259311</v>
      </c>
      <c r="F63" s="837" t="n">
        <v>60251.5541685988</v>
      </c>
      <c r="G63" s="838" t="n"/>
      <c r="H63" s="839" t="n">
        <v>777.720786391435</v>
      </c>
      <c r="I63" s="839" t="n">
        <v>901.898297464892</v>
      </c>
      <c r="J63" s="839" t="n">
        <v>1044.13799196722</v>
      </c>
    </row>
    <row r="64" ht="15" customHeight="1" s="462">
      <c r="A64" s="834" t="n">
        <v>0.11</v>
      </c>
      <c r="B64" s="835" t="n">
        <v>21573.6213776592</v>
      </c>
      <c r="C64" s="836" t="n">
        <v>0.11</v>
      </c>
      <c r="D64" s="837" t="n">
        <v>37657.2213553742</v>
      </c>
      <c r="E64" s="837" t="n">
        <v>43660.5464989846</v>
      </c>
      <c r="F64" s="837" t="n">
        <v>50209.6284738323</v>
      </c>
      <c r="G64" s="838" t="n"/>
      <c r="H64" s="839" t="n">
        <v>674.547424934179</v>
      </c>
      <c r="I64" s="839" t="n">
        <v>767.455598980081</v>
      </c>
      <c r="J64" s="839" t="n">
        <v>868.809970666519</v>
      </c>
    </row>
    <row r="65" ht="15" customHeight="1" s="462">
      <c r="A65" s="834" t="n">
        <v>0.113955395597381</v>
      </c>
      <c r="B65" s="835" t="n">
        <v>21091.3016315501</v>
      </c>
      <c r="C65" s="836" t="n">
        <v>0.113955395597381</v>
      </c>
      <c r="D65" s="837" t="n">
        <v>35883.0744229607</v>
      </c>
      <c r="E65" s="837" t="n">
        <v>41293.4188590443</v>
      </c>
      <c r="F65" s="837" t="n">
        <v>47104.3557825056</v>
      </c>
      <c r="G65" s="838" t="n"/>
      <c r="H65" s="839" t="n">
        <v>639.626078200179</v>
      </c>
      <c r="I65" s="840" t="n">
        <v>723.357212278589</v>
      </c>
      <c r="J65" s="839" t="n">
        <v>813.287963343992</v>
      </c>
    </row>
    <row r="66" ht="15" customHeight="1" s="462">
      <c r="A66" s="834" t="n">
        <v>0.12</v>
      </c>
      <c r="B66" s="835" t="n">
        <v>20381.7867520425</v>
      </c>
      <c r="C66" s="836" t="n">
        <v>0.12</v>
      </c>
      <c r="D66" s="837" t="n">
        <v>33473.0856492215</v>
      </c>
      <c r="E66" s="837" t="n">
        <v>38133.8950434169</v>
      </c>
      <c r="F66" s="837" t="n">
        <v>43036.824406142</v>
      </c>
      <c r="G66" s="838" t="n"/>
      <c r="H66" s="839" t="n">
        <v>591.348268583094</v>
      </c>
      <c r="I66" s="839" t="n">
        <v>663.479509192571</v>
      </c>
      <c r="J66" s="839" t="n">
        <v>739.357827236306</v>
      </c>
    </row>
    <row r="67" ht="15" customHeight="1" s="462">
      <c r="A67" s="834" t="n">
        <v>0.13</v>
      </c>
      <c r="B67" s="835" t="n">
        <v>19276.9079287981</v>
      </c>
      <c r="C67" s="836" t="n">
        <v>0.13</v>
      </c>
      <c r="D67" s="837" t="n">
        <v>30125.7770842994</v>
      </c>
      <c r="E67" s="837" t="n">
        <v>33849.1877351678</v>
      </c>
      <c r="F67" s="837" t="n">
        <v>37657.2213553742</v>
      </c>
      <c r="G67" s="838" t="n"/>
      <c r="H67" s="839" t="n">
        <v>522.445686955476</v>
      </c>
      <c r="I67" s="839" t="n">
        <v>580.069633105294</v>
      </c>
      <c r="J67" s="839" t="n">
        <v>639.00321439488</v>
      </c>
    </row>
    <row r="69" ht="15.75" customHeight="1" s="462">
      <c r="A69" s="491" t="inlineStr">
        <is>
          <t>Sensitivity - EV/EBITDA Exit Multiple</t>
        </is>
      </c>
      <c r="B69" s="841" t="n"/>
      <c r="C69" s="841" t="n"/>
      <c r="D69" s="841" t="n"/>
      <c r="E69" s="841" t="n"/>
      <c r="F69" s="841" t="n"/>
      <c r="G69" s="841" t="n"/>
      <c r="H69" s="841" t="n"/>
      <c r="I69" s="841" t="n"/>
      <c r="J69" s="841" t="n"/>
    </row>
    <row r="71" ht="15" customHeight="1" s="462">
      <c r="A71" s="791" t="n"/>
      <c r="B71" s="842" t="n"/>
      <c r="D71" s="804" t="inlineStr">
        <is>
          <t>PV of Terminal Value (EV/EBITDA)</t>
        </is>
      </c>
      <c r="H71" s="804" t="inlineStr">
        <is>
          <t>Intrinsic Value</t>
        </is>
      </c>
    </row>
    <row r="72" ht="15" customHeight="1" s="462">
      <c r="A72" s="828" t="inlineStr">
        <is>
          <t>WACC</t>
        </is>
      </c>
      <c r="B72" s="843" t="inlineStr">
        <is>
          <t>PV of FCF</t>
        </is>
      </c>
      <c r="C72" s="832" t="n"/>
      <c r="D72" s="844" t="n">
        <v>4.5</v>
      </c>
      <c r="E72" s="844" t="n">
        <v>5</v>
      </c>
      <c r="F72" s="844" t="n">
        <v>5.5</v>
      </c>
      <c r="G72" s="832" t="n"/>
      <c r="H72" s="844" t="n">
        <v>4.5</v>
      </c>
      <c r="I72" s="844" t="n">
        <v>5</v>
      </c>
      <c r="J72" s="844" t="n">
        <v>5.5</v>
      </c>
    </row>
    <row r="73" ht="15" customHeight="1" s="462">
      <c r="A73" s="845" t="n">
        <v>0.1</v>
      </c>
      <c r="B73" s="846" t="n">
        <v>24512.506329693</v>
      </c>
      <c r="D73" s="753" t="n">
        <v>44267.1483838094</v>
      </c>
      <c r="E73" s="753" t="n">
        <v>49185.7204264549</v>
      </c>
      <c r="F73" s="753" t="n">
        <v>54104.2924691004</v>
      </c>
      <c r="H73" s="506" t="n">
        <v>822.325975019418</v>
      </c>
      <c r="I73" s="506" t="n">
        <v>898.446381038371</v>
      </c>
      <c r="J73" s="506" t="n">
        <v>974.5667870573239</v>
      </c>
    </row>
    <row r="74" ht="15" customHeight="1" s="462">
      <c r="A74" s="845" t="n">
        <v>0.11</v>
      </c>
      <c r="B74" s="846" t="n">
        <v>23102.6399105772</v>
      </c>
      <c r="D74" s="753" t="n">
        <v>40436.9703943023</v>
      </c>
      <c r="E74" s="753" t="n">
        <v>44929.9671047804</v>
      </c>
      <c r="F74" s="753" t="n">
        <v>49422.9638152584</v>
      </c>
      <c r="H74" s="506" t="n">
        <v>741.23042442397</v>
      </c>
      <c r="I74" s="506" t="n">
        <v>810.764575978139</v>
      </c>
      <c r="J74" s="506" t="n">
        <v>880.298727532308</v>
      </c>
    </row>
    <row r="75" ht="15" customHeight="1" s="462">
      <c r="A75" s="845" t="n">
        <v>0.114145489024307</v>
      </c>
      <c r="B75" s="846" t="n">
        <v>21536.419591101</v>
      </c>
      <c r="D75" s="753" t="n">
        <v>38957.3435783547</v>
      </c>
      <c r="E75" s="753" t="n">
        <v>43285.937309283</v>
      </c>
      <c r="F75" s="753" t="n">
        <v>47614.5310402113</v>
      </c>
      <c r="H75" s="506" t="n">
        <v>694.092531838496</v>
      </c>
      <c r="I75" s="847" t="n">
        <v>761.0823633246559</v>
      </c>
      <c r="J75" s="506" t="n">
        <v>828.072194810816</v>
      </c>
    </row>
    <row r="76" ht="15" customHeight="1" s="462">
      <c r="A76" s="848" t="n">
        <v>0.12</v>
      </c>
      <c r="B76" s="846" t="n">
        <v>20590.7165272346</v>
      </c>
      <c r="D76" s="753" t="n">
        <v>36968.1886069523</v>
      </c>
      <c r="E76" s="753" t="n">
        <v>41075.7651188359</v>
      </c>
      <c r="F76" s="753" t="n">
        <v>45183.3416307195</v>
      </c>
      <c r="H76" s="506" t="n">
        <v>648.672319769693</v>
      </c>
      <c r="I76" s="506" t="n">
        <v>712.241662482893</v>
      </c>
      <c r="J76" s="506" t="n">
        <v>775.811005196093</v>
      </c>
    </row>
    <row r="77" ht="15" customHeight="1" s="462">
      <c r="A77" s="845" t="n">
        <v>0.13</v>
      </c>
      <c r="B77" s="846" t="n">
        <v>20590.7165272346</v>
      </c>
      <c r="D77" s="753" t="n">
        <v>33823.9219205086</v>
      </c>
      <c r="E77" s="753" t="n">
        <v>37582.1354672317</v>
      </c>
      <c r="F77" s="753" t="n">
        <v>41340.3490139549</v>
      </c>
      <c r="H77" s="506" t="n">
        <v>600.011274505175</v>
      </c>
      <c r="I77" s="506" t="n">
        <v>658.173834411206</v>
      </c>
      <c r="J77" s="506" t="n">
        <v>716.336394317238</v>
      </c>
    </row>
    <row r="78" ht="15.75" customHeight="1" s="462">
      <c r="A78" s="789" t="n"/>
      <c r="B78" s="789" t="n"/>
      <c r="C78" s="789" t="n"/>
      <c r="D78" s="789" t="n"/>
      <c r="E78" s="789" t="n"/>
      <c r="F78" s="789" t="n"/>
      <c r="G78" s="789" t="n"/>
      <c r="H78" s="789" t="n"/>
      <c r="I78" s="789" t="n"/>
      <c r="J78" s="789" t="n"/>
      <c r="K78" s="789" t="n"/>
      <c r="L78" s="789" t="n"/>
      <c r="M78" s="789" t="n"/>
      <c r="N78" s="789" t="n"/>
    </row>
  </sheetData>
  <mergeCells count="7">
    <mergeCell ref="H71:J71"/>
    <mergeCell ref="C16:H16"/>
    <mergeCell ref="D71:F71"/>
    <mergeCell ref="I16:M16"/>
    <mergeCell ref="D61:F61"/>
    <mergeCell ref="D5:E5"/>
    <mergeCell ref="H61:J61"/>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2006-09-16T05:30:00Z</dcterms:created>
  <dcterms:modified xsi:type="dcterms:W3CDTF">2026-03-05T08:39:34Z</dcterms:modified>
  <cp:revision>0</cp:revision>
</cp:coreProperties>
</file>