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calculator" sheetId="1" state="visible" r:id="rId1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  <definedName name="_xlnm.Print_Titles" localSheetId="0">'Loan calculator'!$16:$16</definedName>
  </definedNames>
  <calcPr calcId="191028" fullCalcOnLoad="1"/>
  <pivotCaches>
    <pivotCache cacheId="785" r:id="rId2"/>
  </pivotCache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9">
    <font>
      <name val="Century Gothic"/>
      <family val="2"/>
      <color theme="1" tint="0.249946592608417"/>
      <sz val="11"/>
      <scheme val="minor"/>
    </font>
    <font>
      <name val="Tahoma"/>
      <family val="2"/>
      <sz val="10"/>
    </font>
    <font>
      <name val="Century Gothic"/>
      <family val="2"/>
      <b val="1"/>
      <color theme="1" tint="0.249946592608417"/>
      <sz val="16"/>
      <scheme val="major"/>
    </font>
    <font>
      <name val="Century Gothic"/>
      <family val="2"/>
      <b val="1"/>
      <color theme="3"/>
      <sz val="11"/>
      <scheme val="major"/>
    </font>
    <font>
      <name val="Century Gothic"/>
      <family val="2"/>
      <b val="1"/>
      <color theme="1" tint="0.249946592608417"/>
      <sz val="11"/>
      <scheme val="major"/>
    </font>
    <font>
      <name val="Century Gothic"/>
      <family val="2"/>
      <i val="1"/>
      <color theme="1" tint="0.3499862666707358"/>
      <sz val="11"/>
      <scheme val="minor"/>
    </font>
    <font>
      <name val="Century Gothic"/>
      <family val="2"/>
      <color theme="1" tint="0.249946592608417"/>
      <sz val="11"/>
      <scheme val="minor"/>
    </font>
    <font>
      <name val="Arial"/>
      <family val="2"/>
      <sz val="11"/>
    </font>
    <font>
      <name val="Century Gothic"/>
      <family val="2"/>
      <b val="1"/>
      <color theme="5" tint="-0.499984740745262"/>
      <sz val="16"/>
      <scheme val="major"/>
    </font>
    <font>
      <name val="Century Gothic"/>
      <charset val="238"/>
      <family val="2"/>
      <sz val="10"/>
      <scheme val="minor"/>
    </font>
    <font>
      <name val="Century Gothic"/>
      <family val="2"/>
      <sz val="10"/>
      <scheme val="minor"/>
    </font>
    <font>
      <name val="Century Gothic"/>
      <charset val="238"/>
      <family val="2"/>
      <color theme="1" tint="0.249977111117893"/>
      <sz val="10"/>
      <scheme val="minor"/>
    </font>
    <font>
      <name val="Century Gothic"/>
      <family val="2"/>
      <color theme="1" tint="0.249946592608417"/>
      <sz val="8"/>
      <scheme val="minor"/>
    </font>
    <font>
      <name val="Century Gothic"/>
      <family val="2"/>
      <color theme="0"/>
      <sz val="28"/>
      <scheme val="major"/>
    </font>
    <font>
      <name val="Century Gothic"/>
      <family val="2"/>
      <sz val="28"/>
      <scheme val="major"/>
    </font>
    <font>
      <name val="Century Gothic"/>
      <family val="2"/>
      <b val="1"/>
      <color theme="1" tint="0.249946592608417"/>
      <sz val="10"/>
      <scheme val="major"/>
    </font>
    <font>
      <name val="Century Gothic"/>
      <family val="2"/>
      <sz val="10"/>
      <scheme val="major"/>
    </font>
    <font>
      <name val="Century Gothic"/>
      <family val="2"/>
      <color theme="0"/>
      <sz val="10"/>
      <scheme val="major"/>
    </font>
    <font>
      <name val="Century Gothic"/>
      <family val="2"/>
      <color theme="1" tint="0.249946592608417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gradientFill type="linear">
        <stop position="0">
          <color theme="6" tint="0.4000061037018952"/>
        </stop>
        <stop position="1">
          <color theme="6" tint="-0.2509842219306009"/>
        </stop>
      </gradient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8" tint="-0.09997863704336681"/>
      </left>
      <right/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/>
      <diagonal/>
    </border>
    <border>
      <left style="thick">
        <color theme="8" tint="-0.09997863704336681"/>
      </left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 style="thick">
        <color theme="8" tint="-0.09997863704336681"/>
      </bottom>
      <diagonal/>
    </border>
    <border>
      <left style="thick">
        <color theme="8" tint="-0.09997863704336681"/>
      </left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/>
      <diagonal/>
    </border>
  </borders>
  <cellStyleXfs count="12">
    <xf numFmtId="0" fontId="6" fillId="0" borderId="0" applyAlignment="1">
      <alignment vertical="center"/>
    </xf>
    <xf numFmtId="164" fontId="7" fillId="0" borderId="0" applyAlignment="1">
      <alignment horizontal="right"/>
    </xf>
    <xf numFmtId="0" fontId="15" fillId="0" borderId="1"/>
    <xf numFmtId="0" fontId="4" fillId="0" borderId="1" applyAlignment="1">
      <alignment vertical="center"/>
    </xf>
    <xf numFmtId="0" fontId="3" fillId="0" borderId="4" applyAlignment="1">
      <alignment vertical="center"/>
    </xf>
    <xf numFmtId="0" fontId="6" fillId="2" borderId="2"/>
    <xf numFmtId="0" fontId="5" fillId="0" borderId="2" applyAlignment="1">
      <alignment vertical="center"/>
    </xf>
    <xf numFmtId="0" fontId="3" fillId="0" borderId="0"/>
    <xf numFmtId="0" fontId="2" fillId="3" borderId="3" applyAlignment="1">
      <alignment vertical="center"/>
    </xf>
    <xf numFmtId="14" fontId="6" fillId="0" borderId="0" applyAlignment="1">
      <alignment vertical="center"/>
    </xf>
    <xf numFmtId="3" fontId="6" fillId="0" borderId="0"/>
    <xf numFmtId="10" fontId="6" fillId="0" borderId="0"/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1" quotePrefix="0" xfId="0">
      <alignment vertical="center"/>
    </xf>
    <xf numFmtId="0" fontId="0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8">
      <alignment horizontal="center" vertical="center"/>
    </xf>
    <xf numFmtId="0" fontId="8" fillId="4" borderId="0" applyAlignment="1" pivotButton="0" quotePrefix="0" xfId="8">
      <alignment vertical="center"/>
    </xf>
    <xf numFmtId="0" fontId="0" fillId="4" borderId="0" applyAlignment="1" pivotButton="0" quotePrefix="0" xfId="0">
      <alignment horizontal="center" vertical="center"/>
    </xf>
    <xf numFmtId="0" fontId="11" fillId="4" borderId="0" applyAlignment="1" pivotButton="0" quotePrefix="0" xfId="6">
      <alignment horizontal="right" vertical="center" indent="1"/>
    </xf>
    <xf numFmtId="10" fontId="9" fillId="4" borderId="0" applyAlignment="1" pivotButton="0" quotePrefix="0" xfId="11">
      <alignment horizontal="left" vertical="center" indent="1"/>
    </xf>
    <xf numFmtId="0" fontId="11" fillId="4" borderId="0" applyAlignment="1" pivotButton="0" quotePrefix="0" xfId="6">
      <alignment vertical="center"/>
    </xf>
    <xf numFmtId="164" fontId="9" fillId="4" borderId="5" applyAlignment="1" pivotButton="0" quotePrefix="0" xfId="1">
      <alignment horizontal="left" vertical="center" indent="1"/>
    </xf>
    <xf numFmtId="0" fontId="11" fillId="4" borderId="6" applyAlignment="1" pivotButton="0" quotePrefix="0" xfId="6">
      <alignment horizontal="right" vertical="center" indent="1"/>
    </xf>
    <xf numFmtId="0" fontId="11" fillId="4" borderId="7" applyAlignment="1" pivotButton="0" quotePrefix="0" xfId="6">
      <alignment horizontal="right" vertical="center" indent="1"/>
    </xf>
    <xf numFmtId="3" fontId="9" fillId="4" borderId="8" applyAlignment="1" pivotButton="0" quotePrefix="0" xfId="10">
      <alignment horizontal="left" vertical="center" indent="1"/>
    </xf>
    <xf numFmtId="0" fontId="11" fillId="4" borderId="9" applyAlignment="1" pivotButton="0" quotePrefix="0" xfId="6">
      <alignment horizontal="right" vertical="center" indent="1"/>
    </xf>
    <xf numFmtId="14" fontId="9" fillId="4" borderId="10" applyAlignment="1" pivotButton="0" quotePrefix="0" xfId="9">
      <alignment horizontal="left" vertical="center" indent="1"/>
    </xf>
    <xf numFmtId="0" fontId="11" fillId="4" borderId="11" applyAlignment="1" pivotButton="0" quotePrefix="0" xfId="6">
      <alignment vertical="center"/>
    </xf>
    <xf numFmtId="0" fontId="11" fillId="4" borderId="12" applyAlignment="1" pivotButton="0" quotePrefix="0" xfId="6">
      <alignment vertical="center"/>
    </xf>
    <xf numFmtId="164" fontId="10" fillId="4" borderId="5" applyAlignment="1" pivotButton="0" quotePrefix="0" xfId="1">
      <alignment horizontal="left" vertical="center" indent="1"/>
    </xf>
    <xf numFmtId="0" fontId="11" fillId="4" borderId="13" applyAlignment="1" pivotButton="0" quotePrefix="0" xfId="6">
      <alignment horizontal="right" vertical="center" indent="1"/>
    </xf>
    <xf numFmtId="3" fontId="10" fillId="4" borderId="8" applyAlignment="1" pivotButton="0" quotePrefix="0" xfId="10">
      <alignment horizontal="left" vertical="center" indent="1"/>
    </xf>
    <xf numFmtId="164" fontId="10" fillId="4" borderId="10" applyAlignment="1" pivotButton="0" quotePrefix="0" xfId="1">
      <alignment horizontal="left" vertical="center" indent="1"/>
    </xf>
    <xf numFmtId="0" fontId="18" fillId="0" borderId="0" applyAlignment="1" pivotButton="0" quotePrefix="0" xfId="0">
      <alignment horizontal="center" vertical="center" wrapText="1"/>
    </xf>
    <xf numFmtId="3" fontId="18" fillId="0" borderId="0" applyAlignment="1" pivotButton="0" quotePrefix="0" xfId="10">
      <alignment horizontal="center" vertical="center"/>
    </xf>
    <xf numFmtId="14" fontId="18" fillId="0" borderId="0" applyAlignment="1" pivotButton="0" quotePrefix="0" xfId="9">
      <alignment horizontal="center" vertical="center"/>
    </xf>
    <xf numFmtId="164" fontId="18" fillId="0" borderId="0" applyAlignment="1" pivotButton="0" quotePrefix="0" xfId="1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5" borderId="0" applyAlignment="1" pivotButton="0" quotePrefix="0" xfId="2">
      <alignment horizontal="center" vertical="center"/>
    </xf>
    <xf numFmtId="0" fontId="17" fillId="5" borderId="0" applyAlignment="1" pivotButton="0" quotePrefix="0" xfId="2">
      <alignment horizontal="center" vertical="center"/>
    </xf>
    <xf numFmtId="0" fontId="14" fillId="5" borderId="0" applyAlignment="1" pivotButton="0" quotePrefix="0" xfId="8">
      <alignment horizontal="center" vertical="center"/>
    </xf>
    <xf numFmtId="0" fontId="13" fillId="5" borderId="0" applyAlignment="1" pivotButton="0" quotePrefix="0" xfId="8">
      <alignment horizontal="center" vertical="center"/>
    </xf>
    <xf numFmtId="0" fontId="0" fillId="0" borderId="0" pivotButton="0" quotePrefix="0" xfId="0"/>
  </cellXfs>
  <cellStyles count="12">
    <cellStyle name="Normal" xfId="0" builtinId="0"/>
    <cellStyle name="Currency" xfId="1" builtinId="4"/>
    <cellStyle name="Heading 1" xfId="2" builtinId="16"/>
    <cellStyle name="Heading 2" xfId="3" builtinId="17"/>
    <cellStyle name="Heading 3" xfId="4" builtinId="18"/>
    <cellStyle name="Input" xfId="5" builtinId="20"/>
    <cellStyle name="Explanatory Text" xfId="6" builtinId="53"/>
    <cellStyle name="Heading 4" xfId="7" builtinId="19"/>
    <cellStyle name="Title" xfId="8" builtinId="15"/>
    <cellStyle name="Date" xfId="9"/>
    <cellStyle name="Comma" xfId="10" builtinId="3"/>
    <cellStyle name="Percent" xfId="11" builtinId="5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fill>
        <patternFill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4"/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8"/>
        </patternFill>
      </fill>
      <border>
        <left/>
        <right/>
        <top/>
        <bottom/>
        <vertical/>
        <horizontal/>
      </border>
    </dxf>
  </dxfs>
  <tableStyles count="1" defaultTableStyle="Loan Calculator" defaultPivotStyle="PivotStyleLight16">
    <tableStyle name="Loan Calculator" pivot="0" count="3">
      <tableStyleElement type="wholeTable" dxfId="9"/>
      <tableStyleElement type="headerRow" dxfId="8"/>
      <tableStyleElement type="total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ivotFmts>
      <pivotFmt>
        <idx val="0"/>
      </pivotFmt>
      <pivotFmt>
        <idx val="1"/>
      </pivotFmt>
      <pivotFmt>
        <idx val="2"/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293038181548061"/>
          <y val="0.1380989138524276"/>
          <w val="0.8430232258703512"/>
          <h val="0.7231557060199878"/>
        </manualLayout>
      </layout>
      <barChart>
        <barDir val="col"/>
        <grouping val="stacked"/>
        <varyColors val="0"/>
        <ser>
          <idx val="0"/>
          <order val="0"/>
          <tx>
            <v>Principal Paid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509.6633269473733</v>
              </pt>
              <pt idx="1">
                <v>1309.985043141716</v>
              </pt>
              <pt idx="2">
                <v>2155.451194966662</v>
              </pt>
              <pt idx="3">
                <v>3048.608283444445</v>
              </pt>
              <pt idx="4">
                <v>3992.146452271434</v>
              </pt>
              <pt idx="5">
                <v>4988.907590394039</v>
              </pt>
              <pt idx="6">
                <v>6041.893891633592</v>
              </pt>
              <pt idx="7">
                <v>7154.276897141346</v>
              </pt>
              <pt idx="8">
                <v>8329.407047919025</v>
              </pt>
              <pt idx="9">
                <v>9570.823776176603</v>
              </pt>
              <pt idx="10">
                <v>9999.999999999996</v>
              </pt>
            </numLit>
          </val>
        </ser>
        <ser>
          <idx val="1"/>
          <order val="1"/>
          <tx>
            <v>Interest Paid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358.5468967364725</v>
              </pt>
              <pt idx="1">
                <v>860.5405160678981</v>
              </pt>
              <pt idx="2">
                <v>1317.389699768721</v>
              </pt>
              <pt idx="3">
                <v>1726.547946816707</v>
              </pt>
              <pt idx="4">
                <v>2085.325113515486</v>
              </pt>
              <pt idx="5">
                <v>2390.87931091865</v>
              </pt>
              <pt idx="6">
                <v>2640.208345204866</v>
              </pt>
              <pt idx="7">
                <v>2830.14067522288</v>
              </pt>
              <pt idx="8">
                <v>2957.32585997097</v>
              </pt>
              <pt idx="9">
                <v>3018.22446723916</v>
              </pt>
              <pt idx="10">
                <v>3023.15335525769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100"/>
        <axId val="321749560"/>
        <axId val="321742672"/>
      </barChart>
      <lineChart>
        <grouping val="standard"/>
        <varyColors val="0"/>
        <ser>
          <idx val="2"/>
          <order val="2"/>
          <tx>
            <v>Loan Balance</v>
          </tx>
          <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>
                  <a:lumMod val="50000"/>
                </a:schemeClr>
              </a:solidFill>
              <a:ln w="9525">
                <a:noFill/>
                <a:prstDash val="solid"/>
              </a:ln>
            </spPr>
          </marker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9490.336673052625</v>
              </pt>
              <pt idx="1">
                <v>8690.014956858282</v>
              </pt>
              <pt idx="2">
                <v>7844.548805033334</v>
              </pt>
              <pt idx="3">
                <v>6951.391716555551</v>
              </pt>
              <pt idx="4">
                <v>6007.853547728558</v>
              </pt>
              <pt idx="5">
                <v>5011.092409605948</v>
              </pt>
              <pt idx="6">
                <v>3958.106108366394</v>
              </pt>
              <pt idx="7">
                <v>2845.723102858638</v>
              </pt>
              <pt idx="8">
                <v>1670.592952080957</v>
              </pt>
              <pt idx="9">
                <v>429.1762238233714</v>
              </pt>
              <pt idx="10">
                <v>-2.546585164964199e-11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1749560"/>
        <axId val="321742672"/>
      </lineChart>
      <catAx>
        <axId val="3217495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2672"/>
        <crosses val="autoZero"/>
        <auto val="1"/>
        <lblAlgn val="ctr"/>
        <lblOffset val="100"/>
        <noMultiLvlLbl val="0"/>
      </catAx>
      <valAx>
        <axId val="321742672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95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0634951881014878"/>
          <y val="0.01388888888888889"/>
          <w val="0.7475931697538583"/>
          <h val="0.061690149827358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accent1">
          <a:lumMod val="90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304802</colOff>
      <row>3</row>
      <rowOff>0</rowOff>
    </from>
    <to>
      <col>7</col>
      <colOff>1175703</colOff>
      <row>14</row>
      <rowOff>167630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084.73877685185" createdVersion="8" refreshedVersion="8" minRefreshableVersion="3" recordCount="120" r:id="rId1">
  <cacheSource type="worksheet">
    <worksheetSource name="Loan"/>
  </cacheSource>
  <cacheFields count="10">
    <cacheField name="Pmt no." uniqueList="1" numFmtId="3" sqlType="0" hierarchy="0" level="0" databaseField="1">
      <sharedItems count="120" containsInteger="1" containsNumber="1" containsSemiMixedTypes="0" containsString="0" minValue="1" maxValue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ayment_x000a_date" uniqueList="1" numFmtId="14" sqlType="0" hierarchy="0" level="0" databaseField="1">
      <sharedItems count="120" containsDate="1" containsNonDate="0" containsSemiMixedTypes="0" containsString="0" minDate="2023-07-07T00:00:00" maxDate="2033-06-08T00:00:00">
        <d v="2023-07-07T00:00:00"/>
        <d v="2023-08-07T00:00:00"/>
        <d v="2023-09-07T00:00:00"/>
        <d v="2023-10-07T00:00:00"/>
        <d v="2023-11-07T00:00:00"/>
        <d v="2023-12-07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3-01-07T00:00:00"/>
        <d v="2033-02-07T00:00:00"/>
        <d v="2033-03-07T00:00:00"/>
        <d v="2033-04-07T00:00:00"/>
        <d v="2033-05-07T00:00:00"/>
        <d v="2033-06-07T00:00:00"/>
      </sharedItems>
      <fieldGroup par="9"/>
    </cacheField>
    <cacheField name="Beginning _x000a_balance" uniqueList="1" numFmtId="164" sqlType="0" hierarchy="0" level="0" databaseField="1">
      <sharedItems count="0" containsNumber="1" containsSemiMixedTypes="0" containsString="0" minValue="108.0311352571953" maxValue="10000"/>
    </cacheField>
    <cacheField name="Payment" uniqueList="1" numFmtId="164" sqlType="0" hierarchy="0" level="0" databaseField="1">
      <sharedItems count="0" containsNumber="1" containsSemiMixedTypes="0" containsString="0" minValue="108.5262779604807" maxValue="108.5262779604807"/>
    </cacheField>
    <cacheField name="Principal" uniqueList="1" numFmtId="164" sqlType="0" hierarchy="0" level="0" databaseField="1">
      <sharedItems count="0" containsNumber="1" containsSemiMixedTypes="0" containsString="0" minValue="62.69294462714739" maxValue="108.0311352572185"/>
    </cacheField>
    <cacheField name="Interest" uniqueList="1" numFmtId="164" sqlType="0" hierarchy="0" level="0" databaseField="1">
      <sharedItems count="0" containsNumber="1" containsSemiMixedTypes="0" containsString="0" minValue="0.4951427032622515" maxValue="45.83333333333334"/>
    </cacheField>
    <cacheField name="Ending _x000a_balance" uniqueList="1" numFmtId="164" sqlType="0" hierarchy="0" level="0" databaseField="1">
      <sharedItems count="0" containsNumber="1" containsSemiMixedTypes="0" containsString="0" minValue="-2.546585164964199e-11" maxValue="9937.307055372852"/>
    </cacheField>
    <cacheField name="Months (Payment_x000a_date)" uniqueList="1" numFmtId="0" sqlType="0" hierarchy="0" level="0" databaseField="0">
      <fieldGroup base="1">
        <rangePr autoStart="1" autoEnd="1" groupBy="months" startDate="2023-07-07T00:00:00" endDate="2033-06-08T00:00:00" groupInterval="1"/>
        <groupItems count="14">
          <s v="&lt;7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8/2033"/>
        </groupItems>
      </fieldGroup>
    </cacheField>
    <cacheField name="Quarters (Payment_x000a_date)" uniqueList="1" numFmtId="0" sqlType="0" hierarchy="0" level="0" databaseField="0">
      <fieldGroup base="1">
        <rangePr autoStart="1" autoEnd="1" groupBy="quarters" startDate="2023-07-07T00:00:00" endDate="2033-06-08T00:00:00" groupInterval="1"/>
        <groupItems count="6">
          <s v="&lt;7/7/2023"/>
          <s v="Qtr1"/>
          <s v="Qtr2"/>
          <s v="Qtr3"/>
          <s v="Qtr4"/>
          <s v="&gt;6/8/2033"/>
        </groupItems>
      </fieldGroup>
    </cacheField>
    <cacheField name="Years (Payment_x000a_date)" uniqueList="1" numFmtId="0" sqlType="0" hierarchy="0" level="0" databaseField="0">
      <fieldGroup base="1">
        <rangePr autoStart="1" autoEnd="1" groupBy="years" startDate="2023-07-07T00:00:00" endDate="2033-06-08T00:00:00" groupInterval="1"/>
        <groupItems count="13">
          <s v="&lt;7/7/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&gt;6/8/203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0">
  <r>
    <x v="0"/>
    <x v="0"/>
    <n v="10000"/>
    <n v="108.5262779604807"/>
    <n v="62.69294462714739"/>
    <n v="45.83333333333334"/>
    <n v="9937.307055372852"/>
  </r>
  <r>
    <x v="1"/>
    <x v="1"/>
    <n v="9937.307055372852"/>
    <n v="108.5262779604807"/>
    <n v="62.98028729002182"/>
    <n v="45.54599067045891"/>
    <n v="9874.32676808283"/>
  </r>
  <r>
    <x v="2"/>
    <x v="2"/>
    <n v="9874.32676808283"/>
    <n v="108.5262779604807"/>
    <n v="63.2689469401011"/>
    <n v="45.25733102037965"/>
    <n v="9811.057821142729"/>
  </r>
  <r>
    <x v="3"/>
    <x v="3"/>
    <n v="9811.057821142729"/>
    <n v="108.5262779604807"/>
    <n v="63.55892961357656"/>
    <n v="44.96734834690417"/>
    <n v="9747.498891529152"/>
  </r>
  <r>
    <x v="4"/>
    <x v="4"/>
    <n v="9747.498891529152"/>
    <n v="108.5262779604807"/>
    <n v="63.85024137430545"/>
    <n v="44.67603658617527"/>
    <n v="9683.648650154846"/>
  </r>
  <r>
    <x v="5"/>
    <x v="5"/>
    <n v="9683.648650154846"/>
    <n v="108.5262779604807"/>
    <n v="64.14288831393768"/>
    <n v="44.38338964654304"/>
    <n v="9619.505761840908"/>
  </r>
  <r>
    <x v="6"/>
    <x v="6"/>
    <n v="9619.505761840908"/>
    <n v="108.5262779604807"/>
    <n v="64.43687655204323"/>
    <n v="44.0894014084375"/>
    <n v="9555.068885288867"/>
  </r>
  <r>
    <x v="7"/>
    <x v="7"/>
    <n v="9555.068885288867"/>
    <n v="108.5262779604807"/>
    <n v="64.73221223624009"/>
    <n v="43.79406572424063"/>
    <n v="9490.336673052625"/>
  </r>
  <r>
    <x v="8"/>
    <x v="8"/>
    <n v="9490.336673052625"/>
    <n v="108.5262779604807"/>
    <n v="65.02890154232287"/>
    <n v="43.49737641815786"/>
    <n v="9425.307771510303"/>
  </r>
  <r>
    <x v="9"/>
    <x v="9"/>
    <n v="9425.307771510303"/>
    <n v="108.5262779604807"/>
    <n v="65.32695067439184"/>
    <n v="43.19932728608889"/>
    <n v="9359.98082083591"/>
  </r>
  <r>
    <x v="10"/>
    <x v="10"/>
    <n v="9359.98082083591"/>
    <n v="108.5262779604807"/>
    <n v="65.6263658649828"/>
    <n v="42.89991209549792"/>
    <n v="9294.354454970928"/>
  </r>
  <r>
    <x v="11"/>
    <x v="11"/>
    <n v="9294.354454970928"/>
    <n v="108.5262779604807"/>
    <n v="65.92715337519732"/>
    <n v="42.59912458528342"/>
    <n v="9228.427301595733"/>
  </r>
  <r>
    <x v="12"/>
    <x v="12"/>
    <n v="9228.427301595733"/>
    <n v="108.5262779604807"/>
    <n v="66.22931949483362"/>
    <n v="42.29695846564709"/>
    <n v="9162.197982100897"/>
  </r>
  <r>
    <x v="13"/>
    <x v="13"/>
    <n v="9162.197982100897"/>
    <n v="108.5262779604807"/>
    <n v="66.53287054251828"/>
    <n v="41.99340741796244"/>
    <n v="9095.665111558377"/>
  </r>
  <r>
    <x v="14"/>
    <x v="14"/>
    <n v="9095.665111558377"/>
    <n v="108.5262779604807"/>
    <n v="66.83781286583816"/>
    <n v="41.68846509464256"/>
    <n v="9028.82729869254"/>
  </r>
  <r>
    <x v="15"/>
    <x v="15"/>
    <n v="9028.82729869254"/>
    <n v="108.5262779604807"/>
    <n v="67.14415284147324"/>
    <n v="41.38212511900748"/>
    <n v="8961.683145851068"/>
  </r>
  <r>
    <x v="16"/>
    <x v="16"/>
    <n v="8961.683145851068"/>
    <n v="108.5262779604807"/>
    <n v="67.45189687533001"/>
    <n v="41.07438108515073"/>
    <n v="8894.231248975735"/>
  </r>
  <r>
    <x v="17"/>
    <x v="17"/>
    <n v="8894.231248975735"/>
    <n v="108.5262779604807"/>
    <n v="67.76105140267526"/>
    <n v="40.76522655780546"/>
    <n v="8826.47019757306"/>
  </r>
  <r>
    <x v="18"/>
    <x v="18"/>
    <n v="8826.47019757306"/>
    <n v="108.5262779604807"/>
    <n v="68.07162288827085"/>
    <n v="40.45465507220987"/>
    <n v="8758.398574684792"/>
  </r>
  <r>
    <x v="19"/>
    <x v="19"/>
    <n v="8758.398574684792"/>
    <n v="108.5262779604807"/>
    <n v="68.38361782650877"/>
    <n v="40.14266013397197"/>
    <n v="8690.014956858282"/>
  </r>
  <r>
    <x v="20"/>
    <x v="20"/>
    <n v="8690.014956858282"/>
    <n v="108.5262779604807"/>
    <n v="68.69704274154692"/>
    <n v="39.82923521893379"/>
    <n v="8621.317914116735"/>
  </r>
  <r>
    <x v="21"/>
    <x v="21"/>
    <n v="8621.317914116735"/>
    <n v="108.5262779604807"/>
    <n v="69.01190418744568"/>
    <n v="39.51437377303504"/>
    <n v="8552.306009929285"/>
  </r>
  <r>
    <x v="22"/>
    <x v="22"/>
    <n v="8552.306009929285"/>
    <n v="108.5262779604807"/>
    <n v="69.32820874830482"/>
    <n v="39.19806921217591"/>
    <n v="8482.977801180983"/>
  </r>
  <r>
    <x v="23"/>
    <x v="23"/>
    <n v="8482.977801180983"/>
    <n v="108.5262779604807"/>
    <n v="69.64596303840121"/>
    <n v="38.88031492207951"/>
    <n v="8413.331838142582"/>
  </r>
  <r>
    <x v="24"/>
    <x v="24"/>
    <n v="8413.331838142582"/>
    <n v="108.5262779604807"/>
    <n v="69.96517370232722"/>
    <n v="38.56110425815351"/>
    <n v="8343.366664440255"/>
  </r>
  <r>
    <x v="25"/>
    <x v="25"/>
    <n v="8343.366664440255"/>
    <n v="108.5262779604807"/>
    <n v="70.28584741512955"/>
    <n v="38.24043054535117"/>
    <n v="8273.080817025126"/>
  </r>
  <r>
    <x v="26"/>
    <x v="26"/>
    <n v="8273.080817025126"/>
    <n v="108.5262779604807"/>
    <n v="70.6079908824489"/>
    <n v="37.91828707803184"/>
    <n v="8202.472826142679"/>
  </r>
  <r>
    <x v="27"/>
    <x v="27"/>
    <n v="8202.472826142679"/>
    <n v="108.5262779604807"/>
    <n v="70.93161084066011"/>
    <n v="37.59466711982061"/>
    <n v="8131.541215302017"/>
  </r>
  <r>
    <x v="28"/>
    <x v="28"/>
    <n v="8131.541215302017"/>
    <n v="108.5262779604807"/>
    <n v="71.25671405701314"/>
    <n v="37.26956390346758"/>
    <n v="8060.284501245003"/>
  </r>
  <r>
    <x v="29"/>
    <x v="29"/>
    <n v="8060.284501245003"/>
    <n v="108.5262779604807"/>
    <n v="71.58330732977446"/>
    <n v="36.94297063070627"/>
    <n v="7988.701193915229"/>
  </r>
  <r>
    <x v="30"/>
    <x v="30"/>
    <n v="7988.701193915229"/>
    <n v="108.5262779604807"/>
    <n v="71.91139748836926"/>
    <n v="36.61488047211147"/>
    <n v="7916.78979642686"/>
  </r>
  <r>
    <x v="31"/>
    <x v="31"/>
    <n v="7916.78979642686"/>
    <n v="108.5262779604807"/>
    <n v="72.24099139352428"/>
    <n v="36.28528656695644"/>
    <n v="7844.548805033334"/>
  </r>
  <r>
    <x v="32"/>
    <x v="32"/>
    <n v="7844.548805033334"/>
    <n v="108.5262779604807"/>
    <n v="72.57209593741128"/>
    <n v="35.95418202306946"/>
    <n v="7771.97670909592"/>
  </r>
  <r>
    <x v="33"/>
    <x v="33"/>
    <n v="7771.97670909592"/>
    <n v="108.5262779604807"/>
    <n v="72.90471804379106"/>
    <n v="35.62155991668966"/>
    <n v="7699.07199105213"/>
  </r>
  <r>
    <x v="34"/>
    <x v="34"/>
    <n v="7699.07199105213"/>
    <n v="108.5262779604807"/>
    <n v="73.23886466815844"/>
    <n v="35.28741329232228"/>
    <n v="7625.833126383972"/>
  </r>
  <r>
    <x v="35"/>
    <x v="35"/>
    <n v="7625.833126383972"/>
    <n v="108.5262779604807"/>
    <n v="73.5745427978875"/>
    <n v="34.95173516259322"/>
    <n v="7552.258583586085"/>
  </r>
  <r>
    <x v="36"/>
    <x v="36"/>
    <n v="7552.258583586085"/>
    <n v="108.5262779604807"/>
    <n v="73.91175945237782"/>
    <n v="34.6145185081029"/>
    <n v="7478.346824133705"/>
  </r>
  <r>
    <x v="37"/>
    <x v="37"/>
    <n v="7478.346824133705"/>
    <n v="108.5262779604807"/>
    <n v="74.25052168320121"/>
    <n v="34.27575627727951"/>
    <n v="7404.096302450503"/>
  </r>
  <r>
    <x v="38"/>
    <x v="38"/>
    <n v="7404.096302450503"/>
    <n v="108.5262779604807"/>
    <n v="74.59083657424922"/>
    <n v="33.9354413862315"/>
    <n v="7329.505465876257"/>
  </r>
  <r>
    <x v="39"/>
    <x v="39"/>
    <n v="7329.505465876257"/>
    <n v="108.5262779604807"/>
    <n v="74.93271124188119"/>
    <n v="33.59356671859953"/>
    <n v="7254.572754634376"/>
  </r>
  <r>
    <x v="40"/>
    <x v="40"/>
    <n v="7254.572754634376"/>
    <n v="108.5262779604807"/>
    <n v="75.27615283507315"/>
    <n v="33.25012512540757"/>
    <n v="7179.296601799301"/>
  </r>
  <r>
    <x v="41"/>
    <x v="41"/>
    <n v="7179.296601799301"/>
    <n v="108.5262779604807"/>
    <n v="75.62116853556724"/>
    <n v="32.90510942491348"/>
    <n v="7103.675433263734"/>
  </r>
  <r>
    <x v="42"/>
    <x v="42"/>
    <n v="7103.675433263734"/>
    <n v="108.5262779604807"/>
    <n v="75.96776555802192"/>
    <n v="32.5585124024588"/>
    <n v="7027.707667705709"/>
  </r>
  <r>
    <x v="43"/>
    <x v="43"/>
    <n v="7027.707667705709"/>
    <n v="108.5262779604807"/>
    <n v="76.31595115016286"/>
    <n v="32.21032681031787"/>
    <n v="6951.391716555551"/>
  </r>
  <r>
    <x v="44"/>
    <x v="44"/>
    <n v="6951.391716555551"/>
    <n v="108.5262779604807"/>
    <n v="76.66573259293443"/>
    <n v="31.86054536754629"/>
    <n v="6874.725983962615"/>
  </r>
  <r>
    <x v="45"/>
    <x v="45"/>
    <n v="6874.725983962615"/>
    <n v="108.5262779604807"/>
    <n v="77.01711720065207"/>
    <n v="31.50916075982867"/>
    <n v="6797.70886676196"/>
  </r>
  <r>
    <x v="46"/>
    <x v="46"/>
    <n v="6797.70886676196"/>
    <n v="108.5262779604807"/>
    <n v="77.37011232115503"/>
    <n v="31.15616563932568"/>
    <n v="6720.338754440809"/>
  </r>
  <r>
    <x v="47"/>
    <x v="47"/>
    <n v="6720.338754440809"/>
    <n v="108.5262779604807"/>
    <n v="77.72472533596034"/>
    <n v="30.80155262452039"/>
    <n v="6642.614029104847"/>
  </r>
  <r>
    <x v="48"/>
    <x v="48"/>
    <n v="6642.614029104847"/>
    <n v="108.5262779604807"/>
    <n v="78.08096366041683"/>
    <n v="30.4453143000639"/>
    <n v="6564.53306544443"/>
  </r>
  <r>
    <x v="49"/>
    <x v="49"/>
    <n v="6564.53306544443"/>
    <n v="108.5262779604807"/>
    <n v="78.43883474386041"/>
    <n v="30.08744321662033"/>
    <n v="6486.094230700569"/>
  </r>
  <r>
    <x v="50"/>
    <x v="50"/>
    <n v="6486.094230700569"/>
    <n v="108.5262779604807"/>
    <n v="78.79834606976975"/>
    <n v="29.72793189071096"/>
    <n v="6407.295884630799"/>
  </r>
  <r>
    <x v="51"/>
    <x v="51"/>
    <n v="6407.295884630799"/>
    <n v="108.5262779604807"/>
    <n v="79.15950515592287"/>
    <n v="29.36677280455785"/>
    <n v="6328.136379474876"/>
  </r>
  <r>
    <x v="52"/>
    <x v="52"/>
    <n v="6328.136379474876"/>
    <n v="108.5262779604807"/>
    <n v="79.52231955455417"/>
    <n v="29.00395840592654"/>
    <n v="6248.614059920319"/>
  </r>
  <r>
    <x v="53"/>
    <x v="53"/>
    <n v="6248.614059920319"/>
    <n v="108.5262779604807"/>
    <n v="79.88679685251256"/>
    <n v="28.63948110796817"/>
    <n v="6168.727263067806"/>
  </r>
  <r>
    <x v="54"/>
    <x v="54"/>
    <n v="6168.727263067806"/>
    <n v="108.5262779604807"/>
    <n v="80.2529446714199"/>
    <n v="28.27333328906082"/>
    <n v="6088.474318396387"/>
  </r>
  <r>
    <x v="55"/>
    <x v="55"/>
    <n v="6088.474318396387"/>
    <n v="108.5262779604807"/>
    <n v="80.62077066783058"/>
    <n v="27.90550729265014"/>
    <n v="6007.853547728558"/>
  </r>
  <r>
    <x v="56"/>
    <x v="56"/>
    <n v="6007.853547728558"/>
    <n v="108.5262779604807"/>
    <n v="80.99028253339146"/>
    <n v="27.53599542708925"/>
    <n v="5926.863265195167"/>
  </r>
  <r>
    <x v="57"/>
    <x v="57"/>
    <n v="5926.863265195167"/>
    <n v="108.5262779604807"/>
    <n v="81.36148799500285"/>
    <n v="27.16478996547788"/>
    <n v="5845.501777200164"/>
  </r>
  <r>
    <x v="58"/>
    <x v="58"/>
    <n v="5845.501777200164"/>
    <n v="108.5262779604807"/>
    <n v="81.73439481497995"/>
    <n v="26.79188314550078"/>
    <n v="5763.767382385183"/>
  </r>
  <r>
    <x v="59"/>
    <x v="59"/>
    <n v="5763.767382385183"/>
    <n v="108.5262779604807"/>
    <n v="82.10901079121527"/>
    <n v="26.41726716926545"/>
    <n v="5681.658371593968"/>
  </r>
  <r>
    <x v="60"/>
    <x v="60"/>
    <n v="5681.658371593968"/>
    <n v="108.5262779604807"/>
    <n v="82.48534375734167"/>
    <n v="26.04093420313905"/>
    <n v="5599.173027836623"/>
  </r>
  <r>
    <x v="61"/>
    <x v="61"/>
    <n v="5599.173027836623"/>
    <n v="108.5262779604807"/>
    <n v="82.86340158289616"/>
    <n v="25.66287637758457"/>
    <n v="5516.309626253729"/>
  </r>
  <r>
    <x v="62"/>
    <x v="62"/>
    <n v="5516.309626253729"/>
    <n v="108.5262779604807"/>
    <n v="83.24319217348443"/>
    <n v="25.28308578699629"/>
    <n v="5433.066434080246"/>
  </r>
  <r>
    <x v="63"/>
    <x v="63"/>
    <n v="5433.066434080246"/>
    <n v="108.5262779604807"/>
    <n v="83.62472347094625"/>
    <n v="24.90155448953449"/>
    <n v="5349.441710609297"/>
  </r>
  <r>
    <x v="64"/>
    <x v="64"/>
    <n v="5349.441710609297"/>
    <n v="108.5262779604807"/>
    <n v="84.00800345352141"/>
    <n v="24.51827450695932"/>
    <n v="5265.433707155773"/>
  </r>
  <r>
    <x v="65"/>
    <x v="65"/>
    <n v="5265.433707155773"/>
    <n v="108.5262779604807"/>
    <n v="84.39304013601671"/>
    <n v="24.13323782446401"/>
    <n v="5181.040667019757"/>
  </r>
  <r>
    <x v="66"/>
    <x v="66"/>
    <n v="5181.040667019757"/>
    <n v="108.5262779604807"/>
    <n v="84.77984156997344"/>
    <n v="23.74643639050727"/>
    <n v="5096.260825449785"/>
  </r>
  <r>
    <x v="67"/>
    <x v="67"/>
    <n v="5096.260825449785"/>
    <n v="108.5262779604807"/>
    <n v="85.16841584383582"/>
    <n v="23.35786211664489"/>
    <n v="5011.092409605948"/>
  </r>
  <r>
    <x v="68"/>
    <x v="68"/>
    <n v="5011.092409605948"/>
    <n v="108.5262779604807"/>
    <n v="85.55877108312008"/>
    <n v="22.96750687736064"/>
    <n v="4925.533638522824"/>
  </r>
  <r>
    <x v="69"/>
    <x v="69"/>
    <n v="4925.533638522824"/>
    <n v="108.5262779604807"/>
    <n v="85.95091545058438"/>
    <n v="22.57536250989634"/>
    <n v="4839.582723072239"/>
  </r>
  <r>
    <x v="70"/>
    <x v="70"/>
    <n v="4839.582723072239"/>
    <n v="108.5262779604807"/>
    <n v="86.34485714639956"/>
    <n v="22.18142081408116"/>
    <n v="4753.237865925843"/>
  </r>
  <r>
    <x v="71"/>
    <x v="71"/>
    <n v="4753.237865925843"/>
    <n v="108.5262779604807"/>
    <n v="86.74060440832056"/>
    <n v="21.78567355216016"/>
    <n v="4666.497261517523"/>
  </r>
  <r>
    <x v="72"/>
    <x v="72"/>
    <n v="4666.497261517523"/>
    <n v="108.5262779604807"/>
    <n v="87.1381655118587"/>
    <n v="21.38811244862203"/>
    <n v="4579.359096005664"/>
  </r>
  <r>
    <x v="73"/>
    <x v="73"/>
    <n v="4579.359096005664"/>
    <n v="108.5262779604807"/>
    <n v="87.53754877045472"/>
    <n v="20.98872919002601"/>
    <n v="4491.821547235208"/>
  </r>
  <r>
    <x v="74"/>
    <x v="74"/>
    <n v="4491.821547235208"/>
    <n v="108.5262779604807"/>
    <n v="87.93876253565263"/>
    <n v="20.5875154248281"/>
    <n v="4403.882784699555"/>
  </r>
  <r>
    <x v="75"/>
    <x v="75"/>
    <n v="4403.882784699555"/>
    <n v="108.5262779604807"/>
    <n v="88.34181519727439"/>
    <n v="20.18446276320635"/>
    <n v="4315.540969502281"/>
  </r>
  <r>
    <x v="76"/>
    <x v="76"/>
    <n v="4315.540969502281"/>
    <n v="108.5262779604807"/>
    <n v="88.74671518359521"/>
    <n v="19.77956277688551"/>
    <n v="4226.794254318684"/>
  </r>
  <r>
    <x v="77"/>
    <x v="77"/>
    <n v="4226.794254318684"/>
    <n v="108.5262779604807"/>
    <n v="89.15347096152003"/>
    <n v="19.3728069989607"/>
    <n v="4137.640783357165"/>
  </r>
  <r>
    <x v="78"/>
    <x v="78"/>
    <n v="4137.640783357165"/>
    <n v="108.5262779604807"/>
    <n v="89.56209103676032"/>
    <n v="18.9641869237204"/>
    <n v="4048.078692320407"/>
  </r>
  <r>
    <x v="79"/>
    <x v="79"/>
    <n v="4048.078692320407"/>
    <n v="108.5262779604807"/>
    <n v="89.97258395401214"/>
    <n v="18.55369400646858"/>
    <n v="3958.106108366394"/>
  </r>
  <r>
    <x v="80"/>
    <x v="80"/>
    <n v="3958.106108366394"/>
    <n v="108.5262779604807"/>
    <n v="90.3849582971347"/>
    <n v="18.14131966334603"/>
    <n v="3867.721150069256"/>
  </r>
  <r>
    <x v="81"/>
    <x v="81"/>
    <n v="3867.721150069256"/>
    <n v="108.5262779604807"/>
    <n v="90.79922268932991"/>
    <n v="17.72705527115083"/>
    <n v="3776.921927379926"/>
  </r>
  <r>
    <x v="82"/>
    <x v="82"/>
    <n v="3776.921927379926"/>
    <n v="108.5262779604807"/>
    <n v="91.21538579332265"/>
    <n v="17.31089216715806"/>
    <n v="3685.706541586607"/>
  </r>
  <r>
    <x v="83"/>
    <x v="83"/>
    <n v="3685.706541586607"/>
    <n v="108.5262779604807"/>
    <n v="91.63345631154205"/>
    <n v="16.89282164893867"/>
    <n v="3594.073085275062"/>
  </r>
  <r>
    <x v="84"/>
    <x v="84"/>
    <n v="3594.073085275062"/>
    <n v="108.5262779604807"/>
    <n v="92.0534429863033"/>
    <n v="16.47283497417744"/>
    <n v="3502.019642288758"/>
  </r>
  <r>
    <x v="85"/>
    <x v="85"/>
    <n v="3502.019642288758"/>
    <n v="108.5262779604807"/>
    <n v="92.47535459999051"/>
    <n v="16.05092336049021"/>
    <n v="3409.544287688766"/>
  </r>
  <r>
    <x v="86"/>
    <x v="86"/>
    <n v="3409.544287688766"/>
    <n v="108.5262779604807"/>
    <n v="92.89919997524046"/>
    <n v="15.62707798524025"/>
    <n v="3316.645087713527"/>
  </r>
  <r>
    <x v="87"/>
    <x v="87"/>
    <n v="3316.645087713527"/>
    <n v="108.5262779604807"/>
    <n v="93.32498797512699"/>
    <n v="15.20128998535373"/>
    <n v="3223.320099738399"/>
  </r>
  <r>
    <x v="88"/>
    <x v="88"/>
    <n v="3223.320099738399"/>
    <n v="108.5262779604807"/>
    <n v="93.75272750334632"/>
    <n v="14.7735504571344"/>
    <n v="3129.567372235055"/>
  </r>
  <r>
    <x v="89"/>
    <x v="89"/>
    <n v="3129.567372235055"/>
    <n v="108.5262779604807"/>
    <n v="94.18242750440332"/>
    <n v="14.3438504560774"/>
    <n v="3035.384944730651"/>
  </r>
  <r>
    <x v="90"/>
    <x v="90"/>
    <n v="3035.384944730651"/>
    <n v="108.5262779604807"/>
    <n v="94.61409696379852"/>
    <n v="13.91218099668222"/>
    <n v="2940.770847766853"/>
  </r>
  <r>
    <x v="91"/>
    <x v="91"/>
    <n v="2940.770847766853"/>
    <n v="108.5262779604807"/>
    <n v="95.04774490821592"/>
    <n v="13.4785330522648"/>
    <n v="2845.723102858638"/>
  </r>
  <r>
    <x v="92"/>
    <x v="92"/>
    <n v="2845.723102858638"/>
    <n v="108.5262779604807"/>
    <n v="95.48338040571191"/>
    <n v="13.04289755476882"/>
    <n v="2750.239722452923"/>
  </r>
  <r>
    <x v="93"/>
    <x v="93"/>
    <n v="2750.239722452923"/>
    <n v="108.5262779604807"/>
    <n v="95.92101256590476"/>
    <n v="12.60526539457597"/>
    <n v="2654.31870988702"/>
  </r>
  <r>
    <x v="94"/>
    <x v="94"/>
    <n v="2654.31870988702"/>
    <n v="108.5262779604807"/>
    <n v="96.36065054016515"/>
    <n v="12.16562742031557"/>
    <n v="2557.958059346854"/>
  </r>
  <r>
    <x v="95"/>
    <x v="95"/>
    <n v="2557.958059346854"/>
    <n v="108.5262779604807"/>
    <n v="96.80230352180759"/>
    <n v="11.72397443867315"/>
    <n v="2461.155755825044"/>
  </r>
  <r>
    <x v="96"/>
    <x v="96"/>
    <n v="2461.155755825044"/>
    <n v="108.5262779604807"/>
    <n v="97.24598074628253"/>
    <n v="11.2802972141982"/>
    <n v="2363.909775078761"/>
  </r>
  <r>
    <x v="97"/>
    <x v="97"/>
    <n v="2363.909775078761"/>
    <n v="108.5262779604807"/>
    <n v="97.69169149136965"/>
    <n v="10.83458646911107"/>
    <n v="2266.21808358739"/>
  </r>
  <r>
    <x v="98"/>
    <x v="98"/>
    <n v="2266.21808358739"/>
    <n v="108.5262779604807"/>
    <n v="98.13944507737176"/>
    <n v="10.38683288310896"/>
    <n v="2168.07863851002"/>
  </r>
  <r>
    <x v="99"/>
    <x v="99"/>
    <n v="2168.07863851002"/>
    <n v="108.5262779604807"/>
    <n v="98.58925086730973"/>
    <n v="9.937027093171004"/>
    <n v="2069.48938764271"/>
  </r>
  <r>
    <x v="100"/>
    <x v="100"/>
    <n v="2069.48938764271"/>
    <n v="108.5262779604807"/>
    <n v="99.04111826711822"/>
    <n v="9.485159693362503"/>
    <n v="1970.448269375587"/>
  </r>
  <r>
    <x v="101"/>
    <x v="101"/>
    <n v="1970.448269375587"/>
    <n v="108.5262779604807"/>
    <n v="99.49505672584253"/>
    <n v="9.03122123463821"/>
    <n v="1870.953212649745"/>
  </r>
  <r>
    <x v="102"/>
    <x v="102"/>
    <n v="1870.953212649745"/>
    <n v="108.5262779604807"/>
    <n v="99.95107573583596"/>
    <n v="8.575202224644766"/>
    <n v="1771.00213691391"/>
  </r>
  <r>
    <x v="103"/>
    <x v="103"/>
    <n v="1771.00213691391"/>
    <n v="108.5262779604807"/>
    <n v="100.4091848329585"/>
    <n v="8.117093127522184"/>
    <n v="1670.592952080957"/>
  </r>
  <r>
    <x v="104"/>
    <x v="104"/>
    <n v="1670.592952080957"/>
    <n v="108.5262779604807"/>
    <n v="100.8693935967763"/>
    <n v="7.656884363704458"/>
    <n v="1569.723558484175"/>
  </r>
  <r>
    <x v="105"/>
    <x v="105"/>
    <n v="1569.723558484175"/>
    <n v="108.5262779604807"/>
    <n v="101.3317116507615"/>
    <n v="7.194566309719232"/>
    <n v="1468.391846833418"/>
  </r>
  <r>
    <x v="106"/>
    <x v="106"/>
    <n v="1468.391846833418"/>
    <n v="108.5262779604807"/>
    <n v="101.7961486624941"/>
    <n v="6.730129297986575"/>
    <n v="1366.595698170917"/>
  </r>
  <r>
    <x v="107"/>
    <x v="107"/>
    <n v="1366.595698170917"/>
    <n v="108.5262779604807"/>
    <n v="102.2627143438639"/>
    <n v="6.26356361661681"/>
    <n v="1264.332983827058"/>
  </r>
  <r>
    <x v="108"/>
    <x v="108"/>
    <n v="1264.332983827058"/>
    <n v="108.5262779604807"/>
    <n v="102.7314184512733"/>
    <n v="5.794859509207435"/>
    <n v="1161.601565375786"/>
  </r>
  <r>
    <x v="109"/>
    <x v="109"/>
    <n v="1161.601565375786"/>
    <n v="108.5262779604807"/>
    <n v="103.2022707858416"/>
    <n v="5.324007174639099"/>
    <n v="1058.399294589943"/>
  </r>
  <r>
    <x v="110"/>
    <x v="110"/>
    <n v="1058.399294589943"/>
    <n v="108.5262779604807"/>
    <n v="103.6752811936101"/>
    <n v="4.850996766870658"/>
    <n v="954.7240133963332"/>
  </r>
  <r>
    <x v="111"/>
    <x v="111"/>
    <n v="954.7240133963332"/>
    <n v="108.5262779604807"/>
    <n v="104.1504595657474"/>
    <n v="4.375818394733279"/>
    <n v="850.5735538305817"/>
  </r>
  <r>
    <x v="112"/>
    <x v="112"/>
    <n v="850.5735538305817"/>
    <n v="108.5262779604807"/>
    <n v="104.6278158387571"/>
    <n v="3.898462121723603"/>
    <n v="745.945737991824"/>
  </r>
  <r>
    <x v="113"/>
    <x v="113"/>
    <n v="745.945737991824"/>
    <n v="108.5262779604807"/>
    <n v="105.1073599946847"/>
    <n v="3.418917965795965"/>
    <n v="640.8383779971373"/>
  </r>
  <r>
    <x v="114"/>
    <x v="114"/>
    <n v="640.8383779971373"/>
    <n v="108.5262779604807"/>
    <n v="105.5891020613271"/>
    <n v="2.937175899153661"/>
    <n v="535.2492759358101"/>
  </r>
  <r>
    <x v="115"/>
    <x v="115"/>
    <n v="535.2492759358101"/>
    <n v="108.5262779604807"/>
    <n v="106.0730521124415"/>
    <n v="2.453225848039244"/>
    <n v="429.1762238233714"/>
  </r>
  <r>
    <x v="116"/>
    <x v="116"/>
    <n v="429.1762238233714"/>
    <n v="108.5262779604807"/>
    <n v="106.5592202679568"/>
    <n v="1.967057692523888"/>
    <n v="322.6170035554132"/>
  </r>
  <r>
    <x v="117"/>
    <x v="117"/>
    <n v="322.6170035554132"/>
    <n v="108.5262779604807"/>
    <n v="107.047616694185"/>
    <n v="1.478661266295752"/>
    <n v="215.5693868612252"/>
  </r>
  <r>
    <x v="118"/>
    <x v="118"/>
    <n v="215.5693868612252"/>
    <n v="108.5262779604807"/>
    <n v="107.5382516040333"/>
    <n v="0.9880263564474041"/>
    <n v="108.0311352571953"/>
  </r>
  <r>
    <x v="119"/>
    <x v="119"/>
    <n v="108.0311352571953"/>
    <n v="108.5262779604807"/>
    <n v="108.0311352572185"/>
    <n v="0.4951427032622515"/>
    <n v="-2.546585164964199e-1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78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4:N16" firstHeaderRow="0" firstDataRow="1" firstDataCol="1" rowPageCount="1" colPageCount="1"/>
  <pivotFields count="10">
    <pivotField axis="axisPage" showDropDowns="1" compact="1" numFmtId="3" outline="1" subtotalTop="1" dragToRow="1" dragToCol="1" multipleItemSelectionAllowed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</pivotFields>
  <rowFields count="1">
    <field x="9"/>
  </rowFields>
  <rowItems count="12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1">
    <pageField fld="0" hier="-1"/>
  </pageFields>
  <dataFields count="3">
    <dataField name="Principal Paid" fld="4" subtotal="sum" showDataAs="normal" baseField="9" baseItem="1" numFmtId="165"/>
    <dataField name="Interest Paid" fld="5" subtotal="sum" showDataAs="normal" baseField="9" baseItem="1" numFmtId="165"/>
    <dataField name="Balance Paid" fld="6" subtotal="sum" showDataAs="normal" baseField="9" baseItem="1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" displayName="Loan" ref="B16:H136" headerRowCount="1" totalsRowShown="0">
  <tableColumns count="7">
    <tableColumn id="1" name="Pmt no.">
      <calculatedColumnFormula>IFERROR(IF(LoanIsNotPaid*LoanIsGood,PaymentNumber,""), "")</calculatedColumnFormula>
    </tableColumn>
    <tableColumn id="2" name="Payment_x000a_date">
      <calculatedColumnFormula>IFERROR(IF(LoanIsNotPaid*LoanIsGood,PaymentDate,LoanStartDate), LoanStartDate)</calculatedColumnFormula>
    </tableColumn>
    <tableColumn id="3" name="Beginning _x000a_balance">
      <calculatedColumnFormula>IFERROR(IF(LoanIsNotPaid*LoanIsGood,LoanValue,""), "")</calculatedColumnFormula>
    </tableColumn>
    <tableColumn id="4" name="Payment">
      <calculatedColumnFormula>IFERROR(IF(LoanIsNotPaid*LoanIsGood,MonthlyPayment,0), 0)</calculatedColumnFormula>
    </tableColumn>
    <tableColumn id="5" name="Principal">
      <calculatedColumnFormula>IFERROR(IF(LoanIsNotPaid*LoanIsGood,Principal,0), 0)</calculatedColumnFormula>
    </tableColumn>
    <tableColumn id="6" name="Interest">
      <calculatedColumnFormula>IFERROR(IF(LoanIsNotPaid*LoanIsGood,InterestAmt,0), 0)</calculatedColumnFormula>
    </tableColumn>
    <tableColumn id="7" name="Ending _x000a_balance">
      <calculatedColumnFormula>IFERROR(IF(LoanIsNotPaid*LoanIsGood,EndingBalance,0), 0)</calculatedColumnFormula>
    </tableColumn>
  </tableColumns>
  <tableStyleInfo name="Loan Calculator" showFirstColumn="0" showLastColumn="0" showRowStripes="0" showColumnStripes="0"/>
</table>
</file>

<file path=xl/theme/theme1.xml><?xml version="1.0" encoding="utf-8"?>
<a:theme xmlns:a="http://schemas.openxmlformats.org/drawingml/2006/main" name="Personal">
  <a:themeElements>
    <a:clrScheme name="Custom 40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DFD3E1"/>
      </a:accent1>
      <a:accent2>
        <a:srgbClr val="D78B58"/>
      </a:accent2>
      <a:accent3>
        <a:srgbClr val="F9EDC7"/>
      </a:accent3>
      <a:accent4>
        <a:srgbClr val="E8CAD4"/>
      </a:accent4>
      <a:accent5>
        <a:srgbClr val="EFEBF5"/>
      </a:accent5>
      <a:accent6>
        <a:srgbClr val="D0DBE8"/>
      </a:accent6>
      <a:hlink>
        <a:srgbClr val="8E58B6"/>
      </a:hlink>
      <a:folHlink>
        <a:srgbClr val="7F6F6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pivotTable" Target="/xl/pivotTables/pivotTable1.xm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136"/>
  <sheetViews>
    <sheetView showGridLines="0" tabSelected="1" zoomScaleNormal="100" workbookViewId="0">
      <selection activeCell="A1" sqref="A1"/>
    </sheetView>
  </sheetViews>
  <sheetFormatPr baseColWidth="8" defaultRowHeight="13.9"/>
  <cols>
    <col width="3.375" customWidth="1" style="34" min="1" max="1"/>
    <col width="9.25" customWidth="1" style="1" min="2" max="2"/>
    <col width="13.25" customWidth="1" style="1" min="3" max="3"/>
    <col width="15.75" customWidth="1" style="1" min="4" max="8"/>
    <col width="3.375" customWidth="1" style="34" min="9" max="9"/>
    <col hidden="1" width="9" customWidth="1" style="34" min="10" max="10"/>
    <col hidden="1" width="16.625" customWidth="1" style="34" min="11" max="11"/>
    <col hidden="1" width="15.75" customWidth="1" style="34" min="12" max="12"/>
    <col hidden="1" width="14.25" customWidth="1" style="34" min="13" max="13"/>
    <col hidden="1" width="15.25" customWidth="1" style="34" min="14" max="14"/>
    <col width="1.125" customWidth="1" style="34" min="15" max="15"/>
  </cols>
  <sheetData>
    <row r="1" ht="19.5" customHeight="1" s="34">
      <c r="A1" s="3" t="n"/>
      <c r="B1" s="4" t="n"/>
      <c r="C1" s="4" t="n"/>
      <c r="D1" s="4" t="n"/>
      <c r="E1" s="4" t="n"/>
      <c r="F1" s="4" t="n"/>
      <c r="G1" s="4" t="n"/>
      <c r="H1" s="4" t="n"/>
      <c r="I1" s="5" t="inlineStr">
        <is>
          <t> </t>
        </is>
      </c>
    </row>
    <row r="2" ht="60.75" customHeight="1" s="34">
      <c r="A2" s="3" t="n"/>
      <c r="B2" s="32" t="inlineStr">
        <is>
          <t>Simple loan calculator</t>
        </is>
      </c>
      <c r="I2" s="3" t="n"/>
      <c r="K2" s="2" t="inlineStr">
        <is>
          <t>Pmt no.</t>
        </is>
      </c>
      <c r="L2" s="0" t="inlineStr">
        <is>
          <t>(All)</t>
        </is>
      </c>
    </row>
    <row r="3" ht="24" customHeight="1" s="34">
      <c r="A3" s="3" t="n"/>
      <c r="B3" s="6" t="n"/>
      <c r="C3" s="7" t="n"/>
      <c r="D3" s="7" t="n"/>
      <c r="E3" s="7" t="n"/>
      <c r="F3" s="7" t="n"/>
      <c r="G3" s="7" t="n"/>
      <c r="H3" s="7" t="n"/>
      <c r="I3" s="3" t="n"/>
    </row>
    <row r="4" ht="24" customHeight="1" s="34">
      <c r="A4" s="3" t="n"/>
      <c r="B4" s="30" t="inlineStr">
        <is>
          <t>Loan details</t>
        </is>
      </c>
      <c r="E4" s="3" t="n"/>
      <c r="F4" s="4" t="n"/>
      <c r="G4" s="4" t="n"/>
      <c r="H4" s="4" t="n"/>
      <c r="I4" s="3" t="n"/>
      <c r="K4" s="2" t="inlineStr">
        <is>
          <t>Row Labels</t>
        </is>
      </c>
      <c r="L4" s="0" t="inlineStr">
        <is>
          <t>Principal Paid</t>
        </is>
      </c>
      <c r="M4" s="0" t="inlineStr">
        <is>
          <t>Interest Paid</t>
        </is>
      </c>
      <c r="N4" s="0" t="inlineStr">
        <is>
          <t>Balance Paid</t>
        </is>
      </c>
    </row>
    <row r="5" ht="24" customHeight="1" s="34" thickBot="1">
      <c r="A5" s="3" t="n"/>
      <c r="B5" s="11" t="n"/>
      <c r="C5" s="13" t="inlineStr">
        <is>
          <t>Loan amount</t>
        </is>
      </c>
      <c r="D5" s="12" t="n">
        <v>10000</v>
      </c>
      <c r="E5" s="3" t="n"/>
      <c r="F5" s="4" t="n"/>
      <c r="G5" s="4" t="n"/>
      <c r="H5" s="4" t="n"/>
      <c r="I5" s="3" t="n"/>
      <c r="K5" s="29" t="inlineStr">
        <is>
          <t>2023</t>
        </is>
      </c>
      <c r="L5" s="28" t="n">
        <v>380.4942381590899</v>
      </c>
      <c r="M5" s="28" t="n">
        <v>270.6634296037944</v>
      </c>
      <c r="N5" s="28" t="n">
        <v>58673.34494812331</v>
      </c>
    </row>
    <row r="6" ht="24" customHeight="1" s="34" thickBot="1" thickTop="1">
      <c r="A6" s="3" t="n"/>
      <c r="B6" s="18" t="n"/>
      <c r="C6" s="14" t="inlineStr">
        <is>
          <t>Annual interest rate</t>
        </is>
      </c>
      <c r="D6" s="10" t="n">
        <v>0.055</v>
      </c>
      <c r="E6" s="3" t="n"/>
      <c r="F6" s="4" t="n"/>
      <c r="G6" s="4" t="n"/>
      <c r="H6" s="4" t="n"/>
      <c r="I6" s="3" t="n"/>
      <c r="K6" s="29" t="inlineStr">
        <is>
          <t>2024</t>
        </is>
      </c>
      <c r="L6" s="28" t="n">
        <v>793.0355642678467</v>
      </c>
      <c r="M6" s="28" t="n">
        <v>509.2797712579219</v>
      </c>
      <c r="N6" s="28" t="n">
        <v>110322.5508920061</v>
      </c>
    </row>
    <row r="7" ht="24" customHeight="1" s="34" thickBot="1" thickTop="1">
      <c r="A7" s="3" t="n"/>
      <c r="B7" s="19" t="n"/>
      <c r="C7" s="16" t="inlineStr">
        <is>
          <t>Loan period in years</t>
        </is>
      </c>
      <c r="D7" s="15" t="n">
        <v>10</v>
      </c>
      <c r="E7" s="3" t="n"/>
      <c r="F7" s="4" t="n"/>
      <c r="G7" s="4" t="n"/>
      <c r="H7" s="4" t="n"/>
      <c r="I7" s="3" t="n"/>
      <c r="K7" s="29" t="inlineStr">
        <is>
          <t>2025</t>
        </is>
      </c>
      <c r="L7" s="28" t="n">
        <v>837.7690036578316</v>
      </c>
      <c r="M7" s="28" t="n">
        <v>464.5463318679371</v>
      </c>
      <c r="N7" s="28" t="n">
        <v>100517.794312983</v>
      </c>
    </row>
    <row r="8" ht="24" customHeight="1" s="34" thickTop="1">
      <c r="A8" s="3" t="n"/>
      <c r="B8" s="11" t="n"/>
      <c r="C8" s="9" t="inlineStr">
        <is>
          <t>Start date of loan</t>
        </is>
      </c>
      <c r="D8" s="17" t="n"/>
      <c r="E8" s="3" t="n"/>
      <c r="F8" s="4" t="n"/>
      <c r="G8" s="4" t="n"/>
      <c r="H8" s="4" t="n"/>
      <c r="I8" s="3" t="n"/>
      <c r="K8" s="29" t="inlineStr">
        <is>
          <t>2026</t>
        </is>
      </c>
      <c r="L8" s="28" t="n">
        <v>885.0257606514916</v>
      </c>
      <c r="M8" s="28" t="n">
        <v>417.289574874277</v>
      </c>
      <c r="N8" s="28" t="n">
        <v>90159.97239373617</v>
      </c>
    </row>
    <row r="9" ht="9" customHeight="1" s="34">
      <c r="A9" s="3" t="n"/>
      <c r="B9" s="8" t="n"/>
      <c r="C9" s="3" t="n"/>
      <c r="D9" s="3" t="n"/>
      <c r="E9" s="3" t="n"/>
      <c r="F9" s="3" t="n"/>
      <c r="G9" s="3" t="n"/>
      <c r="H9" s="3" t="n"/>
      <c r="I9" s="3" t="n"/>
      <c r="K9" s="29" t="inlineStr">
        <is>
          <t>2027</t>
        </is>
      </c>
      <c r="L9" s="28" t="n">
        <v>934.9481701959232</v>
      </c>
      <c r="M9" s="28" t="n">
        <v>367.3671653298454</v>
      </c>
      <c r="N9" s="28" t="n">
        <v>79217.88790177029</v>
      </c>
    </row>
    <row r="10" ht="24" customHeight="1" s="34">
      <c r="A10" s="3" t="n"/>
      <c r="B10" s="30" t="inlineStr">
        <is>
          <t>Loan summary</t>
        </is>
      </c>
      <c r="E10" s="3" t="n"/>
      <c r="F10" s="3" t="n"/>
      <c r="G10" s="3" t="n"/>
      <c r="H10" s="3" t="n"/>
      <c r="I10" s="3" t="n"/>
      <c r="K10" s="29" t="inlineStr">
        <is>
          <t>2028</t>
        </is>
      </c>
      <c r="L10" s="28" t="n">
        <v>987.6865960480466</v>
      </c>
      <c r="M10" s="28" t="n">
        <v>314.628739477722</v>
      </c>
      <c r="N10" s="28" t="n">
        <v>67658.58383545486</v>
      </c>
    </row>
    <row r="11" ht="24" customHeight="1" s="34" thickBot="1">
      <c r="A11" s="3" t="n"/>
      <c r="B11" s="11" t="n"/>
      <c r="C11" s="9" t="inlineStr">
        <is>
          <t>Monthly payment</t>
        </is>
      </c>
      <c r="D11" s="20" t="n"/>
      <c r="E11" s="3" t="n"/>
      <c r="F11" s="3" t="n"/>
      <c r="G11" s="3" t="n"/>
      <c r="H11" s="3" t="n"/>
      <c r="I11" s="3" t="n"/>
      <c r="K11" s="29" t="inlineStr">
        <is>
          <t>2029</t>
        </is>
      </c>
      <c r="L11" s="28" t="n">
        <v>1043.399883662589</v>
      </c>
      <c r="M11" s="28" t="n">
        <v>258.9154518631792</v>
      </c>
      <c r="N11" s="28" t="n">
        <v>55447.24415921272</v>
      </c>
    </row>
    <row r="12" ht="24" customHeight="1" s="34" thickBot="1" thickTop="1">
      <c r="A12" s="3" t="n"/>
      <c r="B12" s="19" t="n"/>
      <c r="C12" s="21" t="inlineStr">
        <is>
          <t>Number of payments</t>
        </is>
      </c>
      <c r="D12" s="22" t="n"/>
      <c r="E12" s="3" t="n"/>
      <c r="F12" s="3" t="n"/>
      <c r="G12" s="3" t="n"/>
      <c r="H12" s="3" t="n"/>
      <c r="I12" s="3" t="n"/>
      <c r="K12" s="29" t="inlineStr">
        <is>
          <t>2030</t>
        </is>
      </c>
      <c r="L12" s="28" t="n">
        <v>1102.255838626513</v>
      </c>
      <c r="M12" s="28" t="n">
        <v>200.059496899256</v>
      </c>
      <c r="N12" s="28" t="n">
        <v>42547.08893939281</v>
      </c>
    </row>
    <row r="13" ht="24" customHeight="1" s="34" thickBot="1" thickTop="1">
      <c r="A13" s="3" t="n"/>
      <c r="B13" s="11" t="n"/>
      <c r="C13" s="16" t="inlineStr">
        <is>
          <t>Total interest</t>
        </is>
      </c>
      <c r="D13" s="23" t="n"/>
      <c r="E13" s="3" t="n"/>
      <c r="F13" s="3" t="n"/>
      <c r="G13" s="3" t="n"/>
      <c r="H13" s="3" t="n"/>
      <c r="I13" s="3" t="n"/>
      <c r="K13" s="29" t="inlineStr">
        <is>
          <t>2031</t>
        </is>
      </c>
      <c r="L13" s="28" t="n">
        <v>1164.431732080898</v>
      </c>
      <c r="M13" s="28" t="n">
        <v>137.8836034448705</v>
      </c>
      <c r="N13" s="28" t="n">
        <v>28919.26356498154</v>
      </c>
    </row>
    <row r="14" ht="24" customHeight="1" s="34" thickTop="1">
      <c r="A14" s="3" t="n"/>
      <c r="B14" s="18" t="n"/>
      <c r="C14" s="9" t="inlineStr">
        <is>
          <t>Total cost of loan</t>
        </is>
      </c>
      <c r="D14" s="23" t="n"/>
      <c r="E14" s="3" t="n"/>
      <c r="F14" s="3" t="n"/>
      <c r="G14" s="3" t="n"/>
      <c r="H14" s="3" t="n"/>
      <c r="I14" s="3" t="n"/>
      <c r="K14" s="29" t="inlineStr">
        <is>
          <t>2032</t>
        </is>
      </c>
      <c r="L14" s="28" t="n">
        <v>1230.114834652605</v>
      </c>
      <c r="M14" s="28" t="n">
        <v>72.20050087316406</v>
      </c>
      <c r="N14" s="28" t="n">
        <v>14522.72171949204</v>
      </c>
    </row>
    <row r="15" ht="24" customHeight="1" s="34">
      <c r="A15" s="3" t="n"/>
      <c r="B15" s="8" t="n"/>
      <c r="C15" s="3" t="n"/>
      <c r="D15" s="3" t="n"/>
      <c r="E15" s="3" t="n"/>
      <c r="F15" s="3" t="n"/>
      <c r="G15" s="3" t="n"/>
      <c r="H15" s="3" t="n"/>
      <c r="I15" s="3" t="n"/>
      <c r="K15" s="29" t="inlineStr">
        <is>
          <t>2033</t>
        </is>
      </c>
      <c r="L15" s="28" t="n">
        <v>640.8383779971622</v>
      </c>
      <c r="M15" s="28" t="n">
        <v>10.3192897657222</v>
      </c>
      <c r="N15" s="28" t="n">
        <v>1610.64302543299</v>
      </c>
    </row>
    <row r="16" ht="41.1" customHeight="1" s="34">
      <c r="A16" s="3" t="n"/>
      <c r="B16" s="24" t="inlineStr">
        <is>
          <t>Pmt no.</t>
        </is>
      </c>
      <c r="C16" s="24" t="inlineStr">
        <is>
          <t>Payment
date</t>
        </is>
      </c>
      <c r="D16" s="24" t="inlineStr">
        <is>
          <t>Beginning 
balance</t>
        </is>
      </c>
      <c r="E16" s="24" t="inlineStr">
        <is>
          <t>Payment</t>
        </is>
      </c>
      <c r="F16" s="24" t="inlineStr">
        <is>
          <t>Principal</t>
        </is>
      </c>
      <c r="G16" s="24" t="inlineStr">
        <is>
          <t>Interest</t>
        </is>
      </c>
      <c r="H16" s="24" t="inlineStr">
        <is>
          <t>Ending 
balance</t>
        </is>
      </c>
      <c r="I16" s="3" t="n"/>
      <c r="K16" s="29" t="inlineStr">
        <is>
          <t>Grand Total</t>
        </is>
      </c>
      <c r="L16" s="28" t="n">
        <v>9999.999999999996</v>
      </c>
      <c r="M16" s="28" t="n">
        <v>3023.153355257689</v>
      </c>
      <c r="N16" s="28" t="n">
        <v>649597.0956925856</v>
      </c>
    </row>
    <row r="17" ht="20.1" customHeight="1" s="34">
      <c r="A17" s="3" t="n"/>
      <c r="B17" s="25" t="n"/>
      <c r="C17" s="26" t="n"/>
      <c r="D17" s="27" t="n"/>
      <c r="E17" s="27" t="n"/>
      <c r="F17" s="27" t="n"/>
      <c r="G17" s="27" t="n"/>
      <c r="H17" s="27" t="n"/>
      <c r="I17" s="3" t="n"/>
    </row>
    <row r="18" ht="20.25" customHeight="1" s="34">
      <c r="A18" s="3" t="n"/>
      <c r="B18" s="25" t="n"/>
      <c r="C18" s="26" t="n"/>
      <c r="D18" s="27" t="n"/>
      <c r="E18" s="27" t="n"/>
      <c r="F18" s="27" t="n"/>
      <c r="G18" s="27" t="n"/>
      <c r="H18" s="27" t="n"/>
      <c r="I18" s="3" t="n"/>
    </row>
    <row r="19" ht="20.25" customHeight="1" s="34">
      <c r="A19" s="3" t="n"/>
      <c r="B19" s="25" t="n"/>
      <c r="C19" s="26" t="n"/>
      <c r="D19" s="27" t="n"/>
      <c r="E19" s="27" t="n"/>
      <c r="F19" s="27" t="n"/>
      <c r="G19" s="27" t="n"/>
      <c r="H19" s="27" t="n"/>
      <c r="I19" s="3" t="n"/>
    </row>
    <row r="20" ht="20.25" customHeight="1" s="34">
      <c r="A20" s="3" t="n"/>
      <c r="B20" s="25" t="n"/>
      <c r="C20" s="26" t="n"/>
      <c r="D20" s="27" t="n"/>
      <c r="E20" s="27" t="n"/>
      <c r="F20" s="27" t="n"/>
      <c r="G20" s="27" t="n"/>
      <c r="H20" s="27" t="n"/>
      <c r="I20" s="3" t="n"/>
    </row>
    <row r="21" ht="20.25" customHeight="1" s="34">
      <c r="A21" s="3" t="n"/>
      <c r="B21" s="25" t="n"/>
      <c r="C21" s="26" t="n"/>
      <c r="D21" s="27" t="n"/>
      <c r="E21" s="27" t="n"/>
      <c r="F21" s="27" t="n"/>
      <c r="G21" s="27" t="n"/>
      <c r="H21" s="27" t="n"/>
      <c r="I21" s="3" t="n"/>
    </row>
    <row r="22" ht="20.25" customHeight="1" s="34">
      <c r="A22" s="3" t="n"/>
      <c r="B22" s="25" t="n"/>
      <c r="C22" s="26" t="n"/>
      <c r="D22" s="27" t="n"/>
      <c r="E22" s="27" t="n"/>
      <c r="F22" s="27" t="n"/>
      <c r="G22" s="27" t="n"/>
      <c r="H22" s="27" t="n"/>
      <c r="I22" s="3" t="n"/>
    </row>
    <row r="23" ht="20.25" customHeight="1" s="34">
      <c r="A23" s="3" t="n"/>
      <c r="B23" s="25" t="n"/>
      <c r="C23" s="26" t="n"/>
      <c r="D23" s="27" t="n"/>
      <c r="E23" s="27" t="n"/>
      <c r="F23" s="27" t="n"/>
      <c r="G23" s="27" t="n"/>
      <c r="H23" s="27" t="n"/>
      <c r="I23" s="3" t="n"/>
    </row>
    <row r="24" ht="20.25" customHeight="1" s="34">
      <c r="A24" s="3" t="n"/>
      <c r="B24" s="25" t="n"/>
      <c r="C24" s="26" t="n"/>
      <c r="D24" s="27" t="n"/>
      <c r="E24" s="27" t="n"/>
      <c r="F24" s="27" t="n"/>
      <c r="G24" s="27" t="n"/>
      <c r="H24" s="27" t="n"/>
      <c r="I24" s="3" t="n"/>
    </row>
    <row r="25" ht="20.25" customHeight="1" s="34">
      <c r="A25" s="3" t="n"/>
      <c r="B25" s="25" t="n"/>
      <c r="C25" s="26" t="n"/>
      <c r="D25" s="27" t="n"/>
      <c r="E25" s="27" t="n"/>
      <c r="F25" s="27" t="n"/>
      <c r="G25" s="27" t="n"/>
      <c r="H25" s="27" t="n"/>
      <c r="I25" s="3" t="n"/>
    </row>
    <row r="26" ht="20.25" customHeight="1" s="34">
      <c r="A26" s="3" t="n"/>
      <c r="B26" s="25" t="n"/>
      <c r="C26" s="26" t="n"/>
      <c r="D26" s="27" t="n"/>
      <c r="E26" s="27" t="n"/>
      <c r="F26" s="27" t="n"/>
      <c r="G26" s="27" t="n"/>
      <c r="H26" s="27" t="n"/>
      <c r="I26" s="3" t="n"/>
    </row>
    <row r="27" ht="20.25" customHeight="1" s="34">
      <c r="A27" s="3" t="n"/>
      <c r="B27" s="25" t="n"/>
      <c r="C27" s="26" t="n"/>
      <c r="D27" s="27" t="n"/>
      <c r="E27" s="27" t="n"/>
      <c r="F27" s="27" t="n"/>
      <c r="G27" s="27" t="n"/>
      <c r="H27" s="27" t="n"/>
      <c r="I27" s="3" t="n"/>
    </row>
    <row r="28" ht="20.25" customHeight="1" s="34">
      <c r="A28" s="3" t="n"/>
      <c r="B28" s="25" t="n"/>
      <c r="C28" s="26" t="n"/>
      <c r="D28" s="27" t="n"/>
      <c r="E28" s="27" t="n"/>
      <c r="F28" s="27" t="n"/>
      <c r="G28" s="27" t="n"/>
      <c r="H28" s="27" t="n"/>
      <c r="I28" s="3" t="n"/>
    </row>
    <row r="29" ht="20.25" customHeight="1" s="34">
      <c r="A29" s="3" t="n"/>
      <c r="B29" s="25" t="n"/>
      <c r="C29" s="26" t="n"/>
      <c r="D29" s="27" t="n"/>
      <c r="E29" s="27" t="n"/>
      <c r="F29" s="27" t="n"/>
      <c r="G29" s="27" t="n"/>
      <c r="H29" s="27" t="n"/>
      <c r="I29" s="3" t="n"/>
    </row>
    <row r="30" ht="20.25" customHeight="1" s="34">
      <c r="A30" s="3" t="n"/>
      <c r="B30" s="25" t="n"/>
      <c r="C30" s="26" t="n"/>
      <c r="D30" s="27" t="n"/>
      <c r="E30" s="27" t="n"/>
      <c r="F30" s="27" t="n"/>
      <c r="G30" s="27" t="n"/>
      <c r="H30" s="27" t="n"/>
      <c r="I30" s="3" t="n"/>
    </row>
    <row r="31" ht="20.25" customHeight="1" s="34">
      <c r="A31" s="3" t="n"/>
      <c r="B31" s="25" t="n"/>
      <c r="C31" s="26" t="n"/>
      <c r="D31" s="27" t="n"/>
      <c r="E31" s="27" t="n"/>
      <c r="F31" s="27" t="n"/>
      <c r="G31" s="27" t="n"/>
      <c r="H31" s="27" t="n"/>
      <c r="I31" s="3" t="n"/>
    </row>
    <row r="32" ht="20.25" customHeight="1" s="34">
      <c r="A32" s="3" t="n"/>
      <c r="B32" s="25" t="n"/>
      <c r="C32" s="26" t="n"/>
      <c r="D32" s="27" t="n"/>
      <c r="E32" s="27" t="n"/>
      <c r="F32" s="27" t="n"/>
      <c r="G32" s="27" t="n"/>
      <c r="H32" s="27" t="n"/>
      <c r="I32" s="3" t="n"/>
    </row>
    <row r="33" ht="20.25" customHeight="1" s="34">
      <c r="A33" s="3" t="n"/>
      <c r="B33" s="25" t="n"/>
      <c r="C33" s="26" t="n"/>
      <c r="D33" s="27" t="n"/>
      <c r="E33" s="27" t="n"/>
      <c r="F33" s="27" t="n"/>
      <c r="G33" s="27" t="n"/>
      <c r="H33" s="27" t="n"/>
      <c r="I33" s="3" t="n"/>
    </row>
    <row r="34" ht="20.25" customHeight="1" s="34">
      <c r="A34" s="3" t="n"/>
      <c r="B34" s="25" t="n"/>
      <c r="C34" s="26" t="n"/>
      <c r="D34" s="27" t="n"/>
      <c r="E34" s="27" t="n"/>
      <c r="F34" s="27" t="n"/>
      <c r="G34" s="27" t="n"/>
      <c r="H34" s="27" t="n"/>
      <c r="I34" s="3" t="n"/>
    </row>
    <row r="35" ht="20.25" customHeight="1" s="34">
      <c r="A35" s="3" t="n"/>
      <c r="B35" s="25" t="n"/>
      <c r="C35" s="26" t="n"/>
      <c r="D35" s="27" t="n"/>
      <c r="E35" s="27" t="n"/>
      <c r="F35" s="27" t="n"/>
      <c r="G35" s="27" t="n"/>
      <c r="H35" s="27" t="n"/>
      <c r="I35" s="3" t="n"/>
    </row>
    <row r="36" ht="20.25" customHeight="1" s="34">
      <c r="A36" s="3" t="n"/>
      <c r="B36" s="25" t="n"/>
      <c r="C36" s="26" t="n"/>
      <c r="D36" s="27" t="n"/>
      <c r="E36" s="27" t="n"/>
      <c r="F36" s="27" t="n"/>
      <c r="G36" s="27" t="n"/>
      <c r="H36" s="27" t="n"/>
      <c r="I36" s="3" t="n"/>
    </row>
    <row r="37" ht="20.25" customHeight="1" s="34">
      <c r="A37" s="3" t="n"/>
      <c r="B37" s="25" t="n"/>
      <c r="C37" s="26" t="n"/>
      <c r="D37" s="27" t="n"/>
      <c r="E37" s="27" t="n"/>
      <c r="F37" s="27" t="n"/>
      <c r="G37" s="27" t="n"/>
      <c r="H37" s="27" t="n"/>
      <c r="I37" s="3" t="n"/>
    </row>
    <row r="38" ht="20.25" customHeight="1" s="34">
      <c r="A38" s="3" t="n"/>
      <c r="B38" s="25" t="n"/>
      <c r="C38" s="26" t="n"/>
      <c r="D38" s="27" t="n"/>
      <c r="E38" s="27" t="n"/>
      <c r="F38" s="27" t="n"/>
      <c r="G38" s="27" t="n"/>
      <c r="H38" s="27" t="n"/>
      <c r="I38" s="3" t="n"/>
    </row>
    <row r="39" ht="20.25" customHeight="1" s="34">
      <c r="A39" s="3" t="n"/>
      <c r="B39" s="25" t="n"/>
      <c r="C39" s="26" t="n"/>
      <c r="D39" s="27" t="n"/>
      <c r="E39" s="27" t="n"/>
      <c r="F39" s="27" t="n"/>
      <c r="G39" s="27" t="n"/>
      <c r="H39" s="27" t="n"/>
      <c r="I39" s="3" t="n"/>
    </row>
    <row r="40" ht="20.25" customHeight="1" s="34">
      <c r="A40" s="3" t="n"/>
      <c r="B40" s="25" t="n"/>
      <c r="C40" s="26" t="n"/>
      <c r="D40" s="27" t="n"/>
      <c r="E40" s="27" t="n"/>
      <c r="F40" s="27" t="n"/>
      <c r="G40" s="27" t="n"/>
      <c r="H40" s="27" t="n"/>
      <c r="I40" s="3" t="n"/>
    </row>
    <row r="41" ht="20.25" customHeight="1" s="34">
      <c r="A41" s="3" t="n"/>
      <c r="B41" s="25" t="n"/>
      <c r="C41" s="26" t="n"/>
      <c r="D41" s="27" t="n"/>
      <c r="E41" s="27" t="n"/>
      <c r="F41" s="27" t="n"/>
      <c r="G41" s="27" t="n"/>
      <c r="H41" s="27" t="n"/>
      <c r="I41" s="3" t="n"/>
    </row>
    <row r="42" ht="20.25" customHeight="1" s="34">
      <c r="A42" s="3" t="n"/>
      <c r="B42" s="25" t="n"/>
      <c r="C42" s="26" t="n"/>
      <c r="D42" s="27" t="n"/>
      <c r="E42" s="27" t="n"/>
      <c r="F42" s="27" t="n"/>
      <c r="G42" s="27" t="n"/>
      <c r="H42" s="27" t="n"/>
      <c r="I42" s="3" t="n"/>
    </row>
    <row r="43" ht="20.25" customHeight="1" s="34">
      <c r="A43" s="3" t="n"/>
      <c r="B43" s="25" t="n"/>
      <c r="C43" s="26" t="n"/>
      <c r="D43" s="27" t="n"/>
      <c r="E43" s="27" t="n"/>
      <c r="F43" s="27" t="n"/>
      <c r="G43" s="27" t="n"/>
      <c r="H43" s="27" t="n"/>
      <c r="I43" s="3" t="n"/>
    </row>
    <row r="44" ht="20.25" customHeight="1" s="34">
      <c r="A44" s="3" t="n"/>
      <c r="B44" s="25" t="n"/>
      <c r="C44" s="26" t="n"/>
      <c r="D44" s="27" t="n"/>
      <c r="E44" s="27" t="n"/>
      <c r="F44" s="27" t="n"/>
      <c r="G44" s="27" t="n"/>
      <c r="H44" s="27" t="n"/>
      <c r="I44" s="3" t="n"/>
    </row>
    <row r="45" ht="20.25" customHeight="1" s="34">
      <c r="A45" s="3" t="n"/>
      <c r="B45" s="25" t="n"/>
      <c r="C45" s="26" t="n"/>
      <c r="D45" s="27" t="n"/>
      <c r="E45" s="27" t="n"/>
      <c r="F45" s="27" t="n"/>
      <c r="G45" s="27" t="n"/>
      <c r="H45" s="27" t="n"/>
      <c r="I45" s="3" t="n"/>
    </row>
    <row r="46" ht="20.25" customHeight="1" s="34">
      <c r="A46" s="3" t="n"/>
      <c r="B46" s="25" t="n"/>
      <c r="C46" s="26" t="n"/>
      <c r="D46" s="27" t="n"/>
      <c r="E46" s="27" t="n"/>
      <c r="F46" s="27" t="n"/>
      <c r="G46" s="27" t="n"/>
      <c r="H46" s="27" t="n"/>
      <c r="I46" s="3" t="n"/>
    </row>
    <row r="47" ht="20.25" customHeight="1" s="34">
      <c r="A47" s="3" t="n"/>
      <c r="B47" s="25" t="n"/>
      <c r="C47" s="26" t="n"/>
      <c r="D47" s="27" t="n"/>
      <c r="E47" s="27" t="n"/>
      <c r="F47" s="27" t="n"/>
      <c r="G47" s="27" t="n"/>
      <c r="H47" s="27" t="n"/>
      <c r="I47" s="3" t="n"/>
    </row>
    <row r="48" ht="20.25" customHeight="1" s="34">
      <c r="A48" s="3" t="n"/>
      <c r="B48" s="25" t="n"/>
      <c r="C48" s="26" t="n"/>
      <c r="D48" s="27" t="n"/>
      <c r="E48" s="27" t="n"/>
      <c r="F48" s="27" t="n"/>
      <c r="G48" s="27" t="n"/>
      <c r="H48" s="27" t="n"/>
      <c r="I48" s="3" t="n"/>
    </row>
    <row r="49" ht="20.25" customHeight="1" s="34">
      <c r="A49" s="3" t="n"/>
      <c r="B49" s="25" t="n"/>
      <c r="C49" s="26" t="n"/>
      <c r="D49" s="27" t="n"/>
      <c r="E49" s="27" t="n"/>
      <c r="F49" s="27" t="n"/>
      <c r="G49" s="27" t="n"/>
      <c r="H49" s="27" t="n"/>
      <c r="I49" s="3" t="n"/>
    </row>
    <row r="50" ht="20.25" customHeight="1" s="34">
      <c r="A50" s="3" t="n"/>
      <c r="B50" s="25" t="n"/>
      <c r="C50" s="26" t="n"/>
      <c r="D50" s="27" t="n"/>
      <c r="E50" s="27" t="n"/>
      <c r="F50" s="27" t="n"/>
      <c r="G50" s="27" t="n"/>
      <c r="H50" s="27" t="n"/>
      <c r="I50" s="3" t="n"/>
    </row>
    <row r="51" ht="20.25" customHeight="1" s="34">
      <c r="A51" s="3" t="n"/>
      <c r="B51" s="25" t="n"/>
      <c r="C51" s="26" t="n"/>
      <c r="D51" s="27" t="n"/>
      <c r="E51" s="27" t="n"/>
      <c r="F51" s="27" t="n"/>
      <c r="G51" s="27" t="n"/>
      <c r="H51" s="27" t="n"/>
      <c r="I51" s="3" t="n"/>
    </row>
    <row r="52" ht="20.25" customHeight="1" s="34">
      <c r="A52" s="3" t="n"/>
      <c r="B52" s="25" t="n"/>
      <c r="C52" s="26" t="n"/>
      <c r="D52" s="27" t="n"/>
      <c r="E52" s="27" t="n"/>
      <c r="F52" s="27" t="n"/>
      <c r="G52" s="27" t="n"/>
      <c r="H52" s="27" t="n"/>
      <c r="I52" s="3" t="n"/>
    </row>
    <row r="53" ht="20.25" customHeight="1" s="34">
      <c r="A53" s="3" t="n"/>
      <c r="B53" s="25" t="n"/>
      <c r="C53" s="26" t="n"/>
      <c r="D53" s="27" t="n"/>
      <c r="E53" s="27" t="n"/>
      <c r="F53" s="27" t="n"/>
      <c r="G53" s="27" t="n"/>
      <c r="H53" s="27" t="n"/>
      <c r="I53" s="3" t="n"/>
    </row>
    <row r="54" ht="20.25" customHeight="1" s="34">
      <c r="A54" s="3" t="n"/>
      <c r="B54" s="25" t="n"/>
      <c r="C54" s="26" t="n"/>
      <c r="D54" s="27" t="n"/>
      <c r="E54" s="27" t="n"/>
      <c r="F54" s="27" t="n"/>
      <c r="G54" s="27" t="n"/>
      <c r="H54" s="27" t="n"/>
      <c r="I54" s="3" t="n"/>
    </row>
    <row r="55" ht="20.25" customHeight="1" s="34">
      <c r="A55" s="3" t="n"/>
      <c r="B55" s="25" t="n"/>
      <c r="C55" s="26" t="n"/>
      <c r="D55" s="27" t="n"/>
      <c r="E55" s="27" t="n"/>
      <c r="F55" s="27" t="n"/>
      <c r="G55" s="27" t="n"/>
      <c r="H55" s="27" t="n"/>
      <c r="I55" s="3" t="n"/>
    </row>
    <row r="56" ht="20.25" customHeight="1" s="34">
      <c r="A56" s="3" t="n"/>
      <c r="B56" s="25" t="n"/>
      <c r="C56" s="26" t="n"/>
      <c r="D56" s="27" t="n"/>
      <c r="E56" s="27" t="n"/>
      <c r="F56" s="27" t="n"/>
      <c r="G56" s="27" t="n"/>
      <c r="H56" s="27" t="n"/>
      <c r="I56" s="3" t="n"/>
    </row>
    <row r="57" ht="20.25" customHeight="1" s="34">
      <c r="A57" s="3" t="n"/>
      <c r="B57" s="25" t="n"/>
      <c r="C57" s="26" t="n"/>
      <c r="D57" s="27" t="n"/>
      <c r="E57" s="27" t="n"/>
      <c r="F57" s="27" t="n"/>
      <c r="G57" s="27" t="n"/>
      <c r="H57" s="27" t="n"/>
      <c r="I57" s="3" t="n"/>
    </row>
    <row r="58" ht="20.25" customHeight="1" s="34">
      <c r="A58" s="3" t="n"/>
      <c r="B58" s="25" t="n"/>
      <c r="C58" s="26" t="n"/>
      <c r="D58" s="27" t="n"/>
      <c r="E58" s="27" t="n"/>
      <c r="F58" s="27" t="n"/>
      <c r="G58" s="27" t="n"/>
      <c r="H58" s="27" t="n"/>
      <c r="I58" s="3" t="n"/>
    </row>
    <row r="59" ht="20.25" customHeight="1" s="34">
      <c r="A59" s="3" t="n"/>
      <c r="B59" s="25" t="n"/>
      <c r="C59" s="26" t="n"/>
      <c r="D59" s="27" t="n"/>
      <c r="E59" s="27" t="n"/>
      <c r="F59" s="27" t="n"/>
      <c r="G59" s="27" t="n"/>
      <c r="H59" s="27" t="n"/>
      <c r="I59" s="3" t="n"/>
    </row>
    <row r="60" ht="20.25" customHeight="1" s="34">
      <c r="A60" s="3" t="n"/>
      <c r="B60" s="25" t="n"/>
      <c r="C60" s="26" t="n"/>
      <c r="D60" s="27" t="n"/>
      <c r="E60" s="27" t="n"/>
      <c r="F60" s="27" t="n"/>
      <c r="G60" s="27" t="n"/>
      <c r="H60" s="27" t="n"/>
      <c r="I60" s="3" t="n"/>
    </row>
    <row r="61" ht="20.25" customHeight="1" s="34">
      <c r="A61" s="3" t="n"/>
      <c r="B61" s="25" t="n"/>
      <c r="C61" s="26" t="n"/>
      <c r="D61" s="27" t="n"/>
      <c r="E61" s="27" t="n"/>
      <c r="F61" s="27" t="n"/>
      <c r="G61" s="27" t="n"/>
      <c r="H61" s="27" t="n"/>
      <c r="I61" s="3" t="n"/>
    </row>
    <row r="62" ht="20.25" customHeight="1" s="34">
      <c r="A62" s="3" t="n"/>
      <c r="B62" s="25" t="n"/>
      <c r="C62" s="26" t="n"/>
      <c r="D62" s="27" t="n"/>
      <c r="E62" s="27" t="n"/>
      <c r="F62" s="27" t="n"/>
      <c r="G62" s="27" t="n"/>
      <c r="H62" s="27" t="n"/>
      <c r="I62" s="3" t="n"/>
    </row>
    <row r="63" ht="20.25" customHeight="1" s="34">
      <c r="A63" s="3" t="n"/>
      <c r="B63" s="25" t="n"/>
      <c r="C63" s="26" t="n"/>
      <c r="D63" s="27" t="n"/>
      <c r="E63" s="27" t="n"/>
      <c r="F63" s="27" t="n"/>
      <c r="G63" s="27" t="n"/>
      <c r="H63" s="27" t="n"/>
      <c r="I63" s="3" t="n"/>
    </row>
    <row r="64" ht="20.25" customHeight="1" s="34">
      <c r="A64" s="3" t="n"/>
      <c r="B64" s="25" t="n"/>
      <c r="C64" s="26" t="n"/>
      <c r="D64" s="27" t="n"/>
      <c r="E64" s="27" t="n"/>
      <c r="F64" s="27" t="n"/>
      <c r="G64" s="27" t="n"/>
      <c r="H64" s="27" t="n"/>
      <c r="I64" s="3" t="n"/>
    </row>
    <row r="65" ht="20.25" customHeight="1" s="34">
      <c r="A65" s="3" t="n"/>
      <c r="B65" s="25" t="n"/>
      <c r="C65" s="26" t="n"/>
      <c r="D65" s="27" t="n"/>
      <c r="E65" s="27" t="n"/>
      <c r="F65" s="27" t="n"/>
      <c r="G65" s="27" t="n"/>
      <c r="H65" s="27" t="n"/>
      <c r="I65" s="3" t="n"/>
    </row>
    <row r="66" ht="20.25" customHeight="1" s="34">
      <c r="A66" s="3" t="n"/>
      <c r="B66" s="25" t="n"/>
      <c r="C66" s="26" t="n"/>
      <c r="D66" s="27" t="n"/>
      <c r="E66" s="27" t="n"/>
      <c r="F66" s="27" t="n"/>
      <c r="G66" s="27" t="n"/>
      <c r="H66" s="27" t="n"/>
      <c r="I66" s="3" t="n"/>
    </row>
    <row r="67" ht="20.25" customHeight="1" s="34">
      <c r="A67" s="3" t="n"/>
      <c r="B67" s="25" t="n"/>
      <c r="C67" s="26" t="n"/>
      <c r="D67" s="27" t="n"/>
      <c r="E67" s="27" t="n"/>
      <c r="F67" s="27" t="n"/>
      <c r="G67" s="27" t="n"/>
      <c r="H67" s="27" t="n"/>
      <c r="I67" s="3" t="n"/>
    </row>
    <row r="68" ht="20.25" customHeight="1" s="34">
      <c r="A68" s="3" t="n"/>
      <c r="B68" s="25" t="n"/>
      <c r="C68" s="26" t="n"/>
      <c r="D68" s="27" t="n"/>
      <c r="E68" s="27" t="n"/>
      <c r="F68" s="27" t="n"/>
      <c r="G68" s="27" t="n"/>
      <c r="H68" s="27" t="n"/>
      <c r="I68" s="3" t="n"/>
    </row>
    <row r="69" ht="20.25" customHeight="1" s="34">
      <c r="A69" s="3" t="n"/>
      <c r="B69" s="25" t="n"/>
      <c r="C69" s="26" t="n"/>
      <c r="D69" s="27" t="n"/>
      <c r="E69" s="27" t="n"/>
      <c r="F69" s="27" t="n"/>
      <c r="G69" s="27" t="n"/>
      <c r="H69" s="27" t="n"/>
      <c r="I69" s="3" t="n"/>
    </row>
    <row r="70" ht="20.25" customHeight="1" s="34">
      <c r="A70" s="3" t="n"/>
      <c r="B70" s="25" t="n"/>
      <c r="C70" s="26" t="n"/>
      <c r="D70" s="27" t="n"/>
      <c r="E70" s="27" t="n"/>
      <c r="F70" s="27" t="n"/>
      <c r="G70" s="27" t="n"/>
      <c r="H70" s="27" t="n"/>
      <c r="I70" s="3" t="n"/>
    </row>
    <row r="71" ht="20.25" customHeight="1" s="34">
      <c r="A71" s="3" t="n"/>
      <c r="B71" s="25" t="n"/>
      <c r="C71" s="26" t="n"/>
      <c r="D71" s="27" t="n"/>
      <c r="E71" s="27" t="n"/>
      <c r="F71" s="27" t="n"/>
      <c r="G71" s="27" t="n"/>
      <c r="H71" s="27" t="n"/>
      <c r="I71" s="3" t="n"/>
    </row>
    <row r="72" ht="20.25" customHeight="1" s="34">
      <c r="A72" s="3" t="n"/>
      <c r="B72" s="25" t="n"/>
      <c r="C72" s="26" t="n"/>
      <c r="D72" s="27" t="n"/>
      <c r="E72" s="27" t="n"/>
      <c r="F72" s="27" t="n"/>
      <c r="G72" s="27" t="n"/>
      <c r="H72" s="27" t="n"/>
      <c r="I72" s="3" t="n"/>
    </row>
    <row r="73" ht="20.25" customHeight="1" s="34">
      <c r="A73" s="3" t="n"/>
      <c r="B73" s="25" t="n"/>
      <c r="C73" s="26" t="n"/>
      <c r="D73" s="27" t="n"/>
      <c r="E73" s="27" t="n"/>
      <c r="F73" s="27" t="n"/>
      <c r="G73" s="27" t="n"/>
      <c r="H73" s="27" t="n"/>
      <c r="I73" s="3" t="n"/>
    </row>
    <row r="74" ht="20.25" customHeight="1" s="34">
      <c r="A74" s="3" t="n"/>
      <c r="B74" s="25" t="n"/>
      <c r="C74" s="26" t="n"/>
      <c r="D74" s="27" t="n"/>
      <c r="E74" s="27" t="n"/>
      <c r="F74" s="27" t="n"/>
      <c r="G74" s="27" t="n"/>
      <c r="H74" s="27" t="n"/>
      <c r="I74" s="3" t="n"/>
    </row>
    <row r="75" ht="20.25" customHeight="1" s="34">
      <c r="A75" s="3" t="n"/>
      <c r="B75" s="25" t="n"/>
      <c r="C75" s="26" t="n"/>
      <c r="D75" s="27" t="n"/>
      <c r="E75" s="27" t="n"/>
      <c r="F75" s="27" t="n"/>
      <c r="G75" s="27" t="n"/>
      <c r="H75" s="27" t="n"/>
      <c r="I75" s="3" t="n"/>
    </row>
    <row r="76" ht="20.25" customHeight="1" s="34">
      <c r="A76" s="3" t="n"/>
      <c r="B76" s="25" t="n"/>
      <c r="C76" s="26" t="n"/>
      <c r="D76" s="27" t="n"/>
      <c r="E76" s="27" t="n"/>
      <c r="F76" s="27" t="n"/>
      <c r="G76" s="27" t="n"/>
      <c r="H76" s="27" t="n"/>
      <c r="I76" s="3" t="n"/>
    </row>
    <row r="77" ht="20.25" customHeight="1" s="34">
      <c r="A77" s="3" t="n"/>
      <c r="B77" s="25" t="n"/>
      <c r="C77" s="26" t="n"/>
      <c r="D77" s="27" t="n"/>
      <c r="E77" s="27" t="n"/>
      <c r="F77" s="27" t="n"/>
      <c r="G77" s="27" t="n"/>
      <c r="H77" s="27" t="n"/>
      <c r="I77" s="3" t="n"/>
    </row>
    <row r="78" ht="20.25" customHeight="1" s="34">
      <c r="A78" s="3" t="n"/>
      <c r="B78" s="25" t="n"/>
      <c r="C78" s="26" t="n"/>
      <c r="D78" s="27" t="n"/>
      <c r="E78" s="27" t="n"/>
      <c r="F78" s="27" t="n"/>
      <c r="G78" s="27" t="n"/>
      <c r="H78" s="27" t="n"/>
      <c r="I78" s="3" t="n"/>
    </row>
    <row r="79" ht="20.25" customHeight="1" s="34">
      <c r="A79" s="3" t="n"/>
      <c r="B79" s="25" t="n"/>
      <c r="C79" s="26" t="n"/>
      <c r="D79" s="27" t="n"/>
      <c r="E79" s="27" t="n"/>
      <c r="F79" s="27" t="n"/>
      <c r="G79" s="27" t="n"/>
      <c r="H79" s="27" t="n"/>
      <c r="I79" s="3" t="n"/>
    </row>
    <row r="80" ht="20.25" customHeight="1" s="34">
      <c r="A80" s="3" t="n"/>
      <c r="B80" s="25" t="n"/>
      <c r="C80" s="26" t="n"/>
      <c r="D80" s="27" t="n"/>
      <c r="E80" s="27" t="n"/>
      <c r="F80" s="27" t="n"/>
      <c r="G80" s="27" t="n"/>
      <c r="H80" s="27" t="n"/>
      <c r="I80" s="3" t="n"/>
    </row>
    <row r="81" ht="20.25" customHeight="1" s="34">
      <c r="A81" s="3" t="n"/>
      <c r="B81" s="25" t="n"/>
      <c r="C81" s="26" t="n"/>
      <c r="D81" s="27" t="n"/>
      <c r="E81" s="27" t="n"/>
      <c r="F81" s="27" t="n"/>
      <c r="G81" s="27" t="n"/>
      <c r="H81" s="27" t="n"/>
      <c r="I81" s="3" t="n"/>
    </row>
    <row r="82" ht="20.25" customHeight="1" s="34">
      <c r="A82" s="3" t="n"/>
      <c r="B82" s="25" t="n"/>
      <c r="C82" s="26" t="n"/>
      <c r="D82" s="27" t="n"/>
      <c r="E82" s="27" t="n"/>
      <c r="F82" s="27" t="n"/>
      <c r="G82" s="27" t="n"/>
      <c r="H82" s="27" t="n"/>
      <c r="I82" s="3" t="n"/>
    </row>
    <row r="83" ht="20.25" customHeight="1" s="34">
      <c r="A83" s="3" t="n"/>
      <c r="B83" s="25" t="n"/>
      <c r="C83" s="26" t="n"/>
      <c r="D83" s="27" t="n"/>
      <c r="E83" s="27" t="n"/>
      <c r="F83" s="27" t="n"/>
      <c r="G83" s="27" t="n"/>
      <c r="H83" s="27" t="n"/>
      <c r="I83" s="3" t="n"/>
    </row>
    <row r="84" ht="20.25" customHeight="1" s="34">
      <c r="A84" s="3" t="n"/>
      <c r="B84" s="25" t="n"/>
      <c r="C84" s="26" t="n"/>
      <c r="D84" s="27" t="n"/>
      <c r="E84" s="27" t="n"/>
      <c r="F84" s="27" t="n"/>
      <c r="G84" s="27" t="n"/>
      <c r="H84" s="27" t="n"/>
      <c r="I84" s="3" t="n"/>
    </row>
    <row r="85" ht="20.25" customHeight="1" s="34">
      <c r="A85" s="3" t="n"/>
      <c r="B85" s="25" t="n"/>
      <c r="C85" s="26" t="n"/>
      <c r="D85" s="27" t="n"/>
      <c r="E85" s="27" t="n"/>
      <c r="F85" s="27" t="n"/>
      <c r="G85" s="27" t="n"/>
      <c r="H85" s="27" t="n"/>
      <c r="I85" s="3" t="n"/>
    </row>
    <row r="86" ht="20.25" customHeight="1" s="34">
      <c r="A86" s="3" t="n"/>
      <c r="B86" s="25" t="n"/>
      <c r="C86" s="26" t="n"/>
      <c r="D86" s="27" t="n"/>
      <c r="E86" s="27" t="n"/>
      <c r="F86" s="27" t="n"/>
      <c r="G86" s="27" t="n"/>
      <c r="H86" s="27" t="n"/>
      <c r="I86" s="3" t="n"/>
    </row>
    <row r="87" ht="20.25" customHeight="1" s="34">
      <c r="A87" s="3" t="n"/>
      <c r="B87" s="25" t="n"/>
      <c r="C87" s="26" t="n"/>
      <c r="D87" s="27" t="n"/>
      <c r="E87" s="27" t="n"/>
      <c r="F87" s="27" t="n"/>
      <c r="G87" s="27" t="n"/>
      <c r="H87" s="27" t="n"/>
      <c r="I87" s="3" t="n"/>
    </row>
    <row r="88" ht="20.25" customHeight="1" s="34">
      <c r="A88" s="3" t="n"/>
      <c r="B88" s="25" t="n"/>
      <c r="C88" s="26" t="n"/>
      <c r="D88" s="27" t="n"/>
      <c r="E88" s="27" t="n"/>
      <c r="F88" s="27" t="n"/>
      <c r="G88" s="27" t="n"/>
      <c r="H88" s="27" t="n"/>
      <c r="I88" s="3" t="n"/>
    </row>
    <row r="89" ht="20.25" customHeight="1" s="34">
      <c r="A89" s="3" t="n"/>
      <c r="B89" s="25" t="n"/>
      <c r="C89" s="26" t="n"/>
      <c r="D89" s="27" t="n"/>
      <c r="E89" s="27" t="n"/>
      <c r="F89" s="27" t="n"/>
      <c r="G89" s="27" t="n"/>
      <c r="H89" s="27" t="n"/>
      <c r="I89" s="3" t="n"/>
    </row>
    <row r="90" ht="20.25" customHeight="1" s="34">
      <c r="A90" s="3" t="n"/>
      <c r="B90" s="25" t="n"/>
      <c r="C90" s="26" t="n"/>
      <c r="D90" s="27" t="n"/>
      <c r="E90" s="27" t="n"/>
      <c r="F90" s="27" t="n"/>
      <c r="G90" s="27" t="n"/>
      <c r="H90" s="27" t="n"/>
      <c r="I90" s="3" t="n"/>
    </row>
    <row r="91" ht="20.25" customHeight="1" s="34">
      <c r="A91" s="3" t="n"/>
      <c r="B91" s="25" t="n"/>
      <c r="C91" s="26" t="n"/>
      <c r="D91" s="27" t="n"/>
      <c r="E91" s="27" t="n"/>
      <c r="F91" s="27" t="n"/>
      <c r="G91" s="27" t="n"/>
      <c r="H91" s="27" t="n"/>
      <c r="I91" s="3" t="n"/>
    </row>
    <row r="92" ht="20.25" customHeight="1" s="34">
      <c r="A92" s="3" t="n"/>
      <c r="B92" s="25" t="n"/>
      <c r="C92" s="26" t="n"/>
      <c r="D92" s="27" t="n"/>
      <c r="E92" s="27" t="n"/>
      <c r="F92" s="27" t="n"/>
      <c r="G92" s="27" t="n"/>
      <c r="H92" s="27" t="n"/>
      <c r="I92" s="3" t="n"/>
    </row>
    <row r="93" ht="20.25" customHeight="1" s="34">
      <c r="A93" s="3" t="n"/>
      <c r="B93" s="25" t="n"/>
      <c r="C93" s="26" t="n"/>
      <c r="D93" s="27" t="n"/>
      <c r="E93" s="27" t="n"/>
      <c r="F93" s="27" t="n"/>
      <c r="G93" s="27" t="n"/>
      <c r="H93" s="27" t="n"/>
      <c r="I93" s="3" t="n"/>
    </row>
    <row r="94" ht="20.25" customHeight="1" s="34">
      <c r="A94" s="3" t="n"/>
      <c r="B94" s="25" t="n"/>
      <c r="C94" s="26" t="n"/>
      <c r="D94" s="27" t="n"/>
      <c r="E94" s="27" t="n"/>
      <c r="F94" s="27" t="n"/>
      <c r="G94" s="27" t="n"/>
      <c r="H94" s="27" t="n"/>
      <c r="I94" s="3" t="n"/>
    </row>
    <row r="95" ht="20.25" customHeight="1" s="34">
      <c r="A95" s="3" t="n"/>
      <c r="B95" s="25" t="n"/>
      <c r="C95" s="26" t="n"/>
      <c r="D95" s="27" t="n"/>
      <c r="E95" s="27" t="n"/>
      <c r="F95" s="27" t="n"/>
      <c r="G95" s="27" t="n"/>
      <c r="H95" s="27" t="n"/>
      <c r="I95" s="3" t="n"/>
    </row>
    <row r="96" ht="20.25" customHeight="1" s="34">
      <c r="A96" s="3" t="n"/>
      <c r="B96" s="25" t="n"/>
      <c r="C96" s="26" t="n"/>
      <c r="D96" s="27" t="n"/>
      <c r="E96" s="27" t="n"/>
      <c r="F96" s="27" t="n"/>
      <c r="G96" s="27" t="n"/>
      <c r="H96" s="27" t="n"/>
      <c r="I96" s="3" t="n"/>
    </row>
    <row r="97" ht="20.25" customHeight="1" s="34">
      <c r="A97" s="3" t="n"/>
      <c r="B97" s="25" t="n"/>
      <c r="C97" s="26" t="n"/>
      <c r="D97" s="27" t="n"/>
      <c r="E97" s="27" t="n"/>
      <c r="F97" s="27" t="n"/>
      <c r="G97" s="27" t="n"/>
      <c r="H97" s="27" t="n"/>
      <c r="I97" s="3" t="n"/>
    </row>
    <row r="98" ht="20.25" customHeight="1" s="34">
      <c r="A98" s="3" t="n"/>
      <c r="B98" s="25" t="n"/>
      <c r="C98" s="26" t="n"/>
      <c r="D98" s="27" t="n"/>
      <c r="E98" s="27" t="n"/>
      <c r="F98" s="27" t="n"/>
      <c r="G98" s="27" t="n"/>
      <c r="H98" s="27" t="n"/>
      <c r="I98" s="3" t="n"/>
    </row>
    <row r="99" ht="20.25" customHeight="1" s="34">
      <c r="A99" s="3" t="n"/>
      <c r="B99" s="25" t="n"/>
      <c r="C99" s="26" t="n"/>
      <c r="D99" s="27" t="n"/>
      <c r="E99" s="27" t="n"/>
      <c r="F99" s="27" t="n"/>
      <c r="G99" s="27" t="n"/>
      <c r="H99" s="27" t="n"/>
      <c r="I99" s="3" t="n"/>
    </row>
    <row r="100" ht="20.25" customHeight="1" s="34">
      <c r="A100" s="3" t="n"/>
      <c r="B100" s="25" t="n"/>
      <c r="C100" s="26" t="n"/>
      <c r="D100" s="27" t="n"/>
      <c r="E100" s="27" t="n"/>
      <c r="F100" s="27" t="n"/>
      <c r="G100" s="27" t="n"/>
      <c r="H100" s="27" t="n"/>
      <c r="I100" s="3" t="n"/>
    </row>
    <row r="101" ht="20.25" customHeight="1" s="34">
      <c r="A101" s="3" t="n"/>
      <c r="B101" s="25" t="n"/>
      <c r="C101" s="26" t="n"/>
      <c r="D101" s="27" t="n"/>
      <c r="E101" s="27" t="n"/>
      <c r="F101" s="27" t="n"/>
      <c r="G101" s="27" t="n"/>
      <c r="H101" s="27" t="n"/>
      <c r="I101" s="3" t="n"/>
    </row>
    <row r="102" ht="20.25" customHeight="1" s="34">
      <c r="A102" s="3" t="n"/>
      <c r="B102" s="25" t="n"/>
      <c r="C102" s="26" t="n"/>
      <c r="D102" s="27" t="n"/>
      <c r="E102" s="27" t="n"/>
      <c r="F102" s="27" t="n"/>
      <c r="G102" s="27" t="n"/>
      <c r="H102" s="27" t="n"/>
      <c r="I102" s="3" t="n"/>
    </row>
    <row r="103" ht="20.25" customHeight="1" s="34">
      <c r="A103" s="3" t="n"/>
      <c r="B103" s="25" t="n"/>
      <c r="C103" s="26" t="n"/>
      <c r="D103" s="27" t="n"/>
      <c r="E103" s="27" t="n"/>
      <c r="F103" s="27" t="n"/>
      <c r="G103" s="27" t="n"/>
      <c r="H103" s="27" t="n"/>
      <c r="I103" s="3" t="n"/>
    </row>
    <row r="104" ht="20.25" customHeight="1" s="34">
      <c r="A104" s="3" t="n"/>
      <c r="B104" s="25" t="n"/>
      <c r="C104" s="26" t="n"/>
      <c r="D104" s="27" t="n"/>
      <c r="E104" s="27" t="n"/>
      <c r="F104" s="27" t="n"/>
      <c r="G104" s="27" t="n"/>
      <c r="H104" s="27" t="n"/>
      <c r="I104" s="3" t="n"/>
    </row>
    <row r="105" ht="20.25" customHeight="1" s="34">
      <c r="A105" s="3" t="n"/>
      <c r="B105" s="25" t="n"/>
      <c r="C105" s="26" t="n"/>
      <c r="D105" s="27" t="n"/>
      <c r="E105" s="27" t="n"/>
      <c r="F105" s="27" t="n"/>
      <c r="G105" s="27" t="n"/>
      <c r="H105" s="27" t="n"/>
      <c r="I105" s="3" t="n"/>
    </row>
    <row r="106" ht="20.25" customHeight="1" s="34">
      <c r="A106" s="3" t="n"/>
      <c r="B106" s="25" t="n"/>
      <c r="C106" s="26" t="n"/>
      <c r="D106" s="27" t="n"/>
      <c r="E106" s="27" t="n"/>
      <c r="F106" s="27" t="n"/>
      <c r="G106" s="27" t="n"/>
      <c r="H106" s="27" t="n"/>
      <c r="I106" s="3" t="n"/>
    </row>
    <row r="107" ht="20.25" customHeight="1" s="34">
      <c r="A107" s="3" t="n"/>
      <c r="B107" s="25" t="n"/>
      <c r="C107" s="26" t="n"/>
      <c r="D107" s="27" t="n"/>
      <c r="E107" s="27" t="n"/>
      <c r="F107" s="27" t="n"/>
      <c r="G107" s="27" t="n"/>
      <c r="H107" s="27" t="n"/>
      <c r="I107" s="3" t="n"/>
    </row>
    <row r="108" ht="20.25" customHeight="1" s="34">
      <c r="A108" s="3" t="n"/>
      <c r="B108" s="25" t="n"/>
      <c r="C108" s="26" t="n"/>
      <c r="D108" s="27" t="n"/>
      <c r="E108" s="27" t="n"/>
      <c r="F108" s="27" t="n"/>
      <c r="G108" s="27" t="n"/>
      <c r="H108" s="27" t="n"/>
      <c r="I108" s="3" t="n"/>
    </row>
    <row r="109" ht="20.25" customHeight="1" s="34">
      <c r="A109" s="3" t="n"/>
      <c r="B109" s="25" t="n"/>
      <c r="C109" s="26" t="n"/>
      <c r="D109" s="27" t="n"/>
      <c r="E109" s="27" t="n"/>
      <c r="F109" s="27" t="n"/>
      <c r="G109" s="27" t="n"/>
      <c r="H109" s="27" t="n"/>
      <c r="I109" s="3" t="n"/>
    </row>
    <row r="110" ht="20.25" customHeight="1" s="34">
      <c r="A110" s="3" t="n"/>
      <c r="B110" s="25" t="n"/>
      <c r="C110" s="26" t="n"/>
      <c r="D110" s="27" t="n"/>
      <c r="E110" s="27" t="n"/>
      <c r="F110" s="27" t="n"/>
      <c r="G110" s="27" t="n"/>
      <c r="H110" s="27" t="n"/>
      <c r="I110" s="3" t="n"/>
    </row>
    <row r="111" ht="20.25" customHeight="1" s="34">
      <c r="A111" s="3" t="n"/>
      <c r="B111" s="25" t="n"/>
      <c r="C111" s="26" t="n"/>
      <c r="D111" s="27" t="n"/>
      <c r="E111" s="27" t="n"/>
      <c r="F111" s="27" t="n"/>
      <c r="G111" s="27" t="n"/>
      <c r="H111" s="27" t="n"/>
      <c r="I111" s="3" t="n"/>
    </row>
    <row r="112" ht="20.25" customHeight="1" s="34">
      <c r="A112" s="3" t="n"/>
      <c r="B112" s="25" t="n"/>
      <c r="C112" s="26" t="n"/>
      <c r="D112" s="27" t="n"/>
      <c r="E112" s="27" t="n"/>
      <c r="F112" s="27" t="n"/>
      <c r="G112" s="27" t="n"/>
      <c r="H112" s="27" t="n"/>
      <c r="I112" s="3" t="n"/>
    </row>
    <row r="113" ht="20.25" customHeight="1" s="34">
      <c r="A113" s="3" t="n"/>
      <c r="B113" s="25" t="n"/>
      <c r="C113" s="26" t="n"/>
      <c r="D113" s="27" t="n"/>
      <c r="E113" s="27" t="n"/>
      <c r="F113" s="27" t="n"/>
      <c r="G113" s="27" t="n"/>
      <c r="H113" s="27" t="n"/>
      <c r="I113" s="3" t="n"/>
    </row>
    <row r="114" ht="20.25" customHeight="1" s="34">
      <c r="A114" s="3" t="n"/>
      <c r="B114" s="25" t="n"/>
      <c r="C114" s="26" t="n"/>
      <c r="D114" s="27" t="n"/>
      <c r="E114" s="27" t="n"/>
      <c r="F114" s="27" t="n"/>
      <c r="G114" s="27" t="n"/>
      <c r="H114" s="27" t="n"/>
      <c r="I114" s="3" t="n"/>
    </row>
    <row r="115" ht="20.25" customHeight="1" s="34">
      <c r="A115" s="3" t="n"/>
      <c r="B115" s="25" t="n"/>
      <c r="C115" s="26" t="n"/>
      <c r="D115" s="27" t="n"/>
      <c r="E115" s="27" t="n"/>
      <c r="F115" s="27" t="n"/>
      <c r="G115" s="27" t="n"/>
      <c r="H115" s="27" t="n"/>
      <c r="I115" s="3" t="n"/>
    </row>
    <row r="116" ht="20.25" customHeight="1" s="34">
      <c r="A116" s="3" t="n"/>
      <c r="B116" s="25" t="n"/>
      <c r="C116" s="26" t="n"/>
      <c r="D116" s="27" t="n"/>
      <c r="E116" s="27" t="n"/>
      <c r="F116" s="27" t="n"/>
      <c r="G116" s="27" t="n"/>
      <c r="H116" s="27" t="n"/>
      <c r="I116" s="3" t="n"/>
    </row>
    <row r="117" ht="20.25" customHeight="1" s="34">
      <c r="A117" s="3" t="n"/>
      <c r="B117" s="25" t="n"/>
      <c r="C117" s="26" t="n"/>
      <c r="D117" s="27" t="n"/>
      <c r="E117" s="27" t="n"/>
      <c r="F117" s="27" t="n"/>
      <c r="G117" s="27" t="n"/>
      <c r="H117" s="27" t="n"/>
      <c r="I117" s="3" t="n"/>
    </row>
    <row r="118" ht="20.25" customHeight="1" s="34">
      <c r="A118" s="3" t="n"/>
      <c r="B118" s="25" t="n"/>
      <c r="C118" s="26" t="n"/>
      <c r="D118" s="27" t="n"/>
      <c r="E118" s="27" t="n"/>
      <c r="F118" s="27" t="n"/>
      <c r="G118" s="27" t="n"/>
      <c r="H118" s="27" t="n"/>
      <c r="I118" s="3" t="n"/>
    </row>
    <row r="119" ht="20.25" customHeight="1" s="34">
      <c r="A119" s="3" t="n"/>
      <c r="B119" s="25" t="n"/>
      <c r="C119" s="26" t="n"/>
      <c r="D119" s="27" t="n"/>
      <c r="E119" s="27" t="n"/>
      <c r="F119" s="27" t="n"/>
      <c r="G119" s="27" t="n"/>
      <c r="H119" s="27" t="n"/>
      <c r="I119" s="3" t="n"/>
    </row>
    <row r="120" ht="20.25" customHeight="1" s="34">
      <c r="A120" s="3" t="n"/>
      <c r="B120" s="25" t="n"/>
      <c r="C120" s="26" t="n"/>
      <c r="D120" s="27" t="n"/>
      <c r="E120" s="27" t="n"/>
      <c r="F120" s="27" t="n"/>
      <c r="G120" s="27" t="n"/>
      <c r="H120" s="27" t="n"/>
      <c r="I120" s="3" t="n"/>
    </row>
    <row r="121" ht="20.25" customHeight="1" s="34">
      <c r="A121" s="3" t="n"/>
      <c r="B121" s="25" t="n"/>
      <c r="C121" s="26" t="n"/>
      <c r="D121" s="27" t="n"/>
      <c r="E121" s="27" t="n"/>
      <c r="F121" s="27" t="n"/>
      <c r="G121" s="27" t="n"/>
      <c r="H121" s="27" t="n"/>
      <c r="I121" s="3" t="n"/>
    </row>
    <row r="122" ht="20.25" customHeight="1" s="34">
      <c r="A122" s="3" t="n"/>
      <c r="B122" s="25" t="n"/>
      <c r="C122" s="26" t="n"/>
      <c r="D122" s="27" t="n"/>
      <c r="E122" s="27" t="n"/>
      <c r="F122" s="27" t="n"/>
      <c r="G122" s="27" t="n"/>
      <c r="H122" s="27" t="n"/>
      <c r="I122" s="3" t="n"/>
    </row>
    <row r="123" ht="20.25" customHeight="1" s="34">
      <c r="A123" s="3" t="n"/>
      <c r="B123" s="25" t="n"/>
      <c r="C123" s="26" t="n"/>
      <c r="D123" s="27" t="n"/>
      <c r="E123" s="27" t="n"/>
      <c r="F123" s="27" t="n"/>
      <c r="G123" s="27" t="n"/>
      <c r="H123" s="27" t="n"/>
      <c r="I123" s="3" t="n"/>
    </row>
    <row r="124" ht="20.25" customHeight="1" s="34">
      <c r="A124" s="3" t="n"/>
      <c r="B124" s="25" t="n"/>
      <c r="C124" s="26" t="n"/>
      <c r="D124" s="27" t="n"/>
      <c r="E124" s="27" t="n"/>
      <c r="F124" s="27" t="n"/>
      <c r="G124" s="27" t="n"/>
      <c r="H124" s="27" t="n"/>
      <c r="I124" s="3" t="n"/>
    </row>
    <row r="125" ht="20.25" customHeight="1" s="34">
      <c r="A125" s="3" t="n"/>
      <c r="B125" s="25" t="n"/>
      <c r="C125" s="26" t="n"/>
      <c r="D125" s="27" t="n"/>
      <c r="E125" s="27" t="n"/>
      <c r="F125" s="27" t="n"/>
      <c r="G125" s="27" t="n"/>
      <c r="H125" s="27" t="n"/>
      <c r="I125" s="3" t="n"/>
    </row>
    <row r="126" ht="20.25" customHeight="1" s="34">
      <c r="A126" s="3" t="n"/>
      <c r="B126" s="25" t="n"/>
      <c r="C126" s="26" t="n"/>
      <c r="D126" s="27" t="n"/>
      <c r="E126" s="27" t="n"/>
      <c r="F126" s="27" t="n"/>
      <c r="G126" s="27" t="n"/>
      <c r="H126" s="27" t="n"/>
      <c r="I126" s="3" t="n"/>
    </row>
    <row r="127" ht="20.25" customHeight="1" s="34">
      <c r="A127" s="3" t="n"/>
      <c r="B127" s="25" t="n"/>
      <c r="C127" s="26" t="n"/>
      <c r="D127" s="27" t="n"/>
      <c r="E127" s="27" t="n"/>
      <c r="F127" s="27" t="n"/>
      <c r="G127" s="27" t="n"/>
      <c r="H127" s="27" t="n"/>
      <c r="I127" s="3" t="n"/>
    </row>
    <row r="128" ht="20.25" customHeight="1" s="34">
      <c r="A128" s="3" t="n"/>
      <c r="B128" s="25" t="n"/>
      <c r="C128" s="26" t="n"/>
      <c r="D128" s="27" t="n"/>
      <c r="E128" s="27" t="n"/>
      <c r="F128" s="27" t="n"/>
      <c r="G128" s="27" t="n"/>
      <c r="H128" s="27" t="n"/>
      <c r="I128" s="3" t="n"/>
    </row>
    <row r="129" ht="20.25" customHeight="1" s="34">
      <c r="A129" s="3" t="n"/>
      <c r="B129" s="25" t="n"/>
      <c r="C129" s="26" t="n"/>
      <c r="D129" s="27" t="n"/>
      <c r="E129" s="27" t="n"/>
      <c r="F129" s="27" t="n"/>
      <c r="G129" s="27" t="n"/>
      <c r="H129" s="27" t="n"/>
      <c r="I129" s="3" t="n"/>
    </row>
    <row r="130" ht="20.25" customHeight="1" s="34">
      <c r="A130" s="3" t="n"/>
      <c r="B130" s="25" t="n"/>
      <c r="C130" s="26" t="n"/>
      <c r="D130" s="27" t="n"/>
      <c r="E130" s="27" t="n"/>
      <c r="F130" s="27" t="n"/>
      <c r="G130" s="27" t="n"/>
      <c r="H130" s="27" t="n"/>
      <c r="I130" s="3" t="n"/>
    </row>
    <row r="131" ht="20.25" customHeight="1" s="34">
      <c r="A131" s="3" t="n"/>
      <c r="B131" s="25" t="n"/>
      <c r="C131" s="26" t="n"/>
      <c r="D131" s="27" t="n"/>
      <c r="E131" s="27" t="n"/>
      <c r="F131" s="27" t="n"/>
      <c r="G131" s="27" t="n"/>
      <c r="H131" s="27" t="n"/>
      <c r="I131" s="3" t="n"/>
    </row>
    <row r="132" ht="20.25" customHeight="1" s="34">
      <c r="A132" s="3" t="n"/>
      <c r="B132" s="25" t="n"/>
      <c r="C132" s="26" t="n"/>
      <c r="D132" s="27" t="n"/>
      <c r="E132" s="27" t="n"/>
      <c r="F132" s="27" t="n"/>
      <c r="G132" s="27" t="n"/>
      <c r="H132" s="27" t="n"/>
      <c r="I132" s="3" t="n"/>
    </row>
    <row r="133" ht="20.25" customHeight="1" s="34">
      <c r="A133" s="3" t="n"/>
      <c r="B133" s="25" t="n"/>
      <c r="C133" s="26" t="n"/>
      <c r="D133" s="27" t="n"/>
      <c r="E133" s="27" t="n"/>
      <c r="F133" s="27" t="n"/>
      <c r="G133" s="27" t="n"/>
      <c r="H133" s="27" t="n"/>
      <c r="I133" s="3" t="n"/>
    </row>
    <row r="134" ht="20.25" customHeight="1" s="34">
      <c r="A134" s="3" t="n"/>
      <c r="B134" s="25" t="n"/>
      <c r="C134" s="26" t="n"/>
      <c r="D134" s="27" t="n"/>
      <c r="E134" s="27" t="n"/>
      <c r="F134" s="27" t="n"/>
      <c r="G134" s="27" t="n"/>
      <c r="H134" s="27" t="n"/>
      <c r="I134" s="3" t="n"/>
    </row>
    <row r="135" ht="20.25" customHeight="1" s="34">
      <c r="A135" s="3" t="n"/>
      <c r="B135" s="25" t="n"/>
      <c r="C135" s="26" t="n"/>
      <c r="D135" s="27" t="n"/>
      <c r="E135" s="27" t="n"/>
      <c r="F135" s="27" t="n"/>
      <c r="G135" s="27" t="n"/>
      <c r="H135" s="27" t="n"/>
      <c r="I135" s="3" t="n"/>
    </row>
    <row r="136" ht="20.25" customHeight="1" s="34">
      <c r="A136" s="3" t="n"/>
      <c r="B136" s="25" t="n"/>
      <c r="C136" s="26" t="n"/>
      <c r="D136" s="27" t="n"/>
      <c r="E136" s="27" t="n"/>
      <c r="F136" s="27" t="n"/>
      <c r="G136" s="27" t="n"/>
      <c r="H136" s="27" t="n"/>
      <c r="I136" s="3" t="n"/>
    </row>
  </sheetData>
  <mergeCells count="3">
    <mergeCell ref="B10:D10"/>
    <mergeCell ref="B2:H2"/>
    <mergeCell ref="B4:D4"/>
  </mergeCells>
  <conditionalFormatting sqref="B17:B136">
    <cfRule type="expression" priority="4" dxfId="0" stopIfTrue="1">
      <formula>NOT(LoanIsNotPaid)</formula>
    </cfRule>
    <cfRule type="expression" priority="5" dxfId="0" stopIfTrue="1">
      <formula>IF(ROW(B17)=LastRow,TRUE,FALSE)</formula>
    </cfRule>
  </conditionalFormatting>
  <conditionalFormatting sqref="B17:H136">
    <cfRule type="expression" priority="1" dxfId="4">
      <formula>$B17=""</formula>
    </cfRule>
  </conditionalFormatting>
  <conditionalFormatting sqref="C17:G136">
    <cfRule type="expression" priority="2" dxfId="0" stopIfTrue="1">
      <formula>NOT(LoanIsNotPaid)</formula>
    </cfRule>
    <cfRule type="expression" priority="3" dxfId="0" stopIfTrue="1">
      <formula>IF(ROW(C17)=LastRow,TRUE,FALSE)</formula>
    </cfRule>
  </conditionalFormatting>
  <conditionalFormatting sqref="H17:H136">
    <cfRule type="expression" priority="6" dxfId="0" stopIfTrue="1">
      <formula>NOT(LoanIsNotPaid)</formula>
    </cfRule>
    <cfRule type="expression" priority="7" dxfId="0" stopIfTrue="1">
      <formula>IF(ROW(H17)=LastRow,TRUE,FALSE)</formula>
    </cfRule>
  </conditionalFormatting>
  <dataValidations count="19">
    <dataValidation sqref="B10" showDropDown="0" showInputMessage="1" showErrorMessage="1" allowBlank="1" prompt="Loan Summary is automatically updated in cells below"/>
    <dataValidation sqref="D5" showDropDown="0" showInputMessage="1" showErrorMessage="1" allowBlank="1" prompt="Enter loan amount in this cell"/>
    <dataValidation sqref="D6" showDropDown="0" showInputMessage="1" showErrorMessage="1" allowBlank="1" prompt="Enter annual interest rate in this cell"/>
    <dataValidation sqref="D7" showDropDown="0" showInputMessage="1" showErrorMessage="1" allowBlank="1" prompt="Enter loan period in years in this cell"/>
    <dataValidation sqref="D8" showDropDown="0" showInputMessage="1" showErrorMessage="1" allowBlank="1" prompt="Enter start date of loan in this cell"/>
    <dataValidation sqref="D11" showDropDown="0" showInputMessage="1" showErrorMessage="1" allowBlank="1" prompt="Monthly payment is automatically calculated in this cell"/>
    <dataValidation sqref="D14" showDropDown="0" showInputMessage="1" showErrorMessage="1" allowBlank="1" prompt="Total cost of loan is automatically calculated in this cell"/>
    <dataValidation sqref="D13" showDropDown="0" showInputMessage="1" showErrorMessage="1" allowBlank="1" prompt="Total interest is automatically calculated in this cell"/>
    <dataValidation sqref="D12" showDropDown="0" showInputMessage="1" showErrorMessage="1" allowBlank="1" prompt="Number of payments is automatically calculated in this cell"/>
    <dataValidation sqref="B16" showDropDown="0" showInputMessage="1" showErrorMessage="1" allowBlank="1" prompt="Payment Number is automatically updated in this column under this heading"/>
    <dataValidation sqref="C16" showDropDown="0" showInputMessage="1" showErrorMessage="1" allowBlank="1" prompt="Payment Date is automatically updated in this column under this heading"/>
    <dataValidation sqref="D16" showDropDown="0" showInputMessage="1" showErrorMessage="1" allowBlank="1" prompt="Beginning Balance is automatically calculated in this column under this heading"/>
    <dataValidation sqref="E16" showDropDown="0" showInputMessage="1" showErrorMessage="1" allowBlank="1" prompt="Payment amount is automatically calculated in this column under this heading"/>
    <dataValidation sqref="F16" showDropDown="0" showInputMessage="1" showErrorMessage="1" allowBlank="1" prompt="Principal amount is automatically updated in this column under this heading"/>
    <dataValidation sqref="G16" showDropDown="0" showInputMessage="1" showErrorMessage="1" allowBlank="1" prompt="Interest amount is automatically updated in this column under this heading"/>
    <dataValidation sqref="H16" showDropDown="0" showInputMessage="1" showErrorMessage="1" allowBlank="1" prompt="Ending Balance is automatically updated in this column under this heading"/>
    <dataValidation sqref="B4:D4" showDropDown="0" showInputMessage="1" showErrorMessage="1" allowBlank="1" prompt="Enter loan details to the cells below"/>
    <dataValidation sqref="A1" showDropDown="0" showInputMessage="1" showErrorMessage="1" allowBlank="1" prompt="Enter loan details to cells D5 to D8._x000a__x000a_The loan summary and payment table will auto update._x000a__x000a_To update the chart, go to Data ribbon -&gt; Refresh All"/>
    <dataValidation sqref="B2:H2" showDropDown="0" showInputMessage="1" showErrorMessage="1" allowBlank="1" prompt="Title of this worksheet is in this cell"/>
  </dataValidations>
  <printOptions horizontalCentered="1"/>
  <pageMargins left="0.4" right="0.4" top="0.4" bottom="0.4" header="0.3" footer="0.3"/>
  <pageSetup orientation="portrait" scale="77" fitToHeight="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2023-05-27T05:21:40Z</dcterms:created>
  <dcterms:modified xsi:type="dcterms:W3CDTF">2026-03-05T08:49:50Z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