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worksheets/sheet3.xml" ContentType="application/vnd.openxmlformats-officedocument.spreadsheetml.worksheet+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worksheets/sheet4.xml" ContentType="application/vnd.openxmlformats-officedocument.spreadsheetml.worksheet+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worksheets/sheet5.xml" ContentType="application/vnd.openxmlformats-officedocument.spreadsheetml.worksheet+xml"/>
  <Override PartName="/xl/drawings/drawing1.xml" ContentType="application/vnd.openxmlformats-officedocument.drawing+xml"/>
  <Override PartName="/xl/tables/table16.xml" ContentType="application/vnd.openxmlformats-officedocument.spreadsheetml.table+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08" yWindow="-108" windowWidth="23256" windowHeight="12720" tabRatio="756" firstSheet="0" activeTab="0" autoFilterDateGrouping="1"/>
  </bookViews>
  <sheets>
    <sheet name="START" sheetId="1" state="visible" r:id="rId1"/>
    <sheet name="PLANNED EXPENSES" sheetId="2" state="visible" r:id="rId2"/>
    <sheet name="ACTUAL EXPENSES" sheetId="3" state="visible" r:id="rId3"/>
    <sheet name="EXPENSE VARIANCES" sheetId="4" state="visible" r:id="rId4"/>
    <sheet name="EXPENSE ANALYSIS" sheetId="5" state="visible" r:id="rId5"/>
  </sheets>
  <definedNames>
    <definedName name="worksheet_title">'PLANNED EXPENSES'!$O$2</definedName>
  </definedNames>
  <calcPr calcId="191028" fullCalcOnLoad="1"/>
</workbook>
</file>

<file path=xl/styles.xml><?xml version="1.0" encoding="utf-8"?>
<styleSheet xmlns="http://schemas.openxmlformats.org/spreadsheetml/2006/main">
  <numFmts count="2">
    <numFmt numFmtId="164" formatCode="_(&quot;$&quot;* #,##0_);_(&quot;$&quot;* \(#,##0\);_(&quot;$&quot;* &quot;-&quot;??_);_(@_)"/>
    <numFmt numFmtId="165" formatCode="&quot;$&quot;#,##0.00_);[Red]\(&quot;$&quot;#,##0.00\)"/>
  </numFmts>
  <fonts count="35">
    <font>
      <name val="Posterama"/>
      <family val="2"/>
      <color theme="1" tint="0.249946592608417"/>
      <sz val="9"/>
      <scheme val="minor"/>
    </font>
    <font>
      <name val="Posterama"/>
      <family val="2"/>
      <color theme="1"/>
      <sz val="11"/>
      <scheme val="minor"/>
    </font>
    <font>
      <name val="Posterama"/>
      <family val="2"/>
      <color theme="1"/>
      <sz val="11"/>
      <scheme val="minor"/>
    </font>
    <font>
      <name val="Posterama"/>
      <family val="2"/>
      <b val="1"/>
      <color theme="1" tint="0.249946592608417"/>
      <sz val="22"/>
      <scheme val="major"/>
    </font>
    <font>
      <name val="Posterama"/>
      <family val="2"/>
      <color theme="1" tint="0.249946592608417"/>
      <sz val="11"/>
      <scheme val="major"/>
    </font>
    <font>
      <name val="Posterama"/>
      <family val="2"/>
      <b val="1"/>
      <color theme="2"/>
      <sz val="10"/>
      <scheme val="major"/>
    </font>
    <font>
      <name val="Posterama"/>
      <family val="2"/>
      <i val="1"/>
      <color theme="3" tint="0.7999816888943144"/>
      <sz val="11"/>
      <scheme val="minor"/>
    </font>
    <font>
      <name val="Posterama"/>
      <family val="2"/>
      <b val="1"/>
      <color theme="0"/>
      <sz val="16"/>
      <scheme val="major"/>
    </font>
    <font>
      <name val="Posterama"/>
      <family val="2"/>
      <color theme="1"/>
      <sz val="14"/>
      <scheme val="minor"/>
    </font>
    <font>
      <name val="Posterama"/>
      <family val="2"/>
      <b val="1"/>
      <color theme="4"/>
      <sz val="48"/>
      <scheme val="minor"/>
    </font>
    <font>
      <name val="Posterama"/>
      <family val="2"/>
      <b val="1"/>
      <color theme="1"/>
      <sz val="14"/>
      <scheme val="minor"/>
    </font>
    <font>
      <name val="Posterama"/>
      <family val="2"/>
      <b val="1"/>
      <color theme="1"/>
      <sz val="16"/>
      <scheme val="minor"/>
    </font>
    <font>
      <name val="Posterama"/>
      <family val="2"/>
      <b val="1"/>
      <color theme="4"/>
      <sz val="16"/>
      <scheme val="minor"/>
    </font>
    <font>
      <name val="Posterama"/>
      <family val="2"/>
      <b val="1"/>
      <color theme="1"/>
      <sz val="10"/>
      <u val="single"/>
      <scheme val="minor"/>
    </font>
    <font>
      <name val="Posterama"/>
      <family val="2"/>
      <i val="1"/>
      <color theme="1"/>
      <sz val="12"/>
      <scheme val="minor"/>
    </font>
    <font>
      <name val="Posterama"/>
      <family val="2"/>
      <i val="1"/>
      <color theme="4"/>
      <sz val="12"/>
      <scheme val="minor"/>
    </font>
    <font>
      <name val="Posterama"/>
      <family val="2"/>
      <b val="1"/>
      <color theme="1"/>
      <sz val="36"/>
      <scheme val="minor"/>
    </font>
    <font>
      <name val="Posterama"/>
      <family val="2"/>
      <i val="1"/>
      <color theme="1"/>
      <sz val="11"/>
      <scheme val="minor"/>
    </font>
    <font>
      <name val="Posterama"/>
      <family val="2"/>
      <color theme="1"/>
      <sz val="9"/>
      <scheme val="minor"/>
    </font>
    <font>
      <name val="Posterama"/>
      <family val="2"/>
      <color theme="4"/>
      <sz val="16"/>
      <scheme val="minor"/>
    </font>
    <font>
      <name val="Posterama"/>
      <family val="2"/>
      <color theme="1" tint="0.249946592608417"/>
      <sz val="10"/>
      <scheme val="minor"/>
    </font>
    <font>
      <name val="Posterama"/>
      <family val="2"/>
      <color theme="1" tint="0.249946592608417"/>
      <sz val="12"/>
      <scheme val="minor"/>
    </font>
    <font>
      <name val="Posterama"/>
      <family val="2"/>
      <b val="1"/>
      <color theme="1"/>
      <sz val="10"/>
      <scheme val="minor"/>
    </font>
    <font>
      <name val="Posterama"/>
      <family val="2"/>
      <color theme="1"/>
      <sz val="10"/>
      <scheme val="minor"/>
    </font>
    <font>
      <name val="Posterama"/>
      <family val="2"/>
      <b val="1"/>
      <color theme="4"/>
      <sz val="48"/>
      <scheme val="major"/>
    </font>
    <font>
      <name val="Posterama"/>
      <family val="2"/>
      <color theme="1"/>
      <sz val="16"/>
      <scheme val="minor"/>
    </font>
    <font>
      <name val="Posterama"/>
      <family val="2"/>
      <color theme="1" tint="0.249946592608417"/>
      <sz val="16"/>
      <scheme val="minor"/>
    </font>
    <font>
      <name val="Posterama"/>
      <family val="2"/>
      <b val="1"/>
      <color theme="4"/>
      <sz val="10"/>
      <scheme val="minor"/>
    </font>
    <font>
      <name val="Posterama"/>
      <family val="2"/>
      <b val="1"/>
      <i val="1"/>
      <color theme="1"/>
      <sz val="10"/>
      <scheme val="minor"/>
    </font>
    <font>
      <name val="Posterama"/>
      <family val="2"/>
      <color theme="6"/>
      <sz val="14"/>
      <scheme val="minor"/>
    </font>
    <font>
      <name val="Posterama"/>
      <family val="2"/>
      <color theme="6"/>
      <sz val="9"/>
      <scheme val="minor"/>
    </font>
    <font>
      <name val="Posterama"/>
      <family val="2"/>
      <b val="1"/>
      <color rgb="FF1309A8"/>
      <sz val="16"/>
      <scheme val="minor"/>
    </font>
    <font>
      <name val="Posterama"/>
      <family val="2"/>
      <b val="1"/>
      <color theme="6"/>
      <sz val="36"/>
      <scheme val="minor"/>
    </font>
    <font>
      <name val="Posterama"/>
      <family val="2"/>
      <b val="1"/>
      <color theme="4"/>
      <sz val="14"/>
      <scheme val="minor"/>
    </font>
    <font>
      <name val="Posterama"/>
      <family val="2"/>
      <color theme="6"/>
      <sz val="10"/>
      <scheme val="minor"/>
    </font>
  </fonts>
  <fills count="8">
    <fill>
      <patternFill/>
    </fill>
    <fill>
      <patternFill patternType="gray125"/>
    </fill>
    <fill>
      <patternFill patternType="solid">
        <fgColor theme="5" tint="-0.499984740745262"/>
        <bgColor indexed="64"/>
      </patternFill>
    </fill>
    <fill>
      <patternFill patternType="solid">
        <fgColor theme="3" tint="0.8999603259376812"/>
        <bgColor indexed="64"/>
      </patternFill>
    </fill>
    <fill>
      <patternFill patternType="solid">
        <fgColor theme="3"/>
        <bgColor indexed="64"/>
      </patternFill>
    </fill>
    <fill>
      <patternFill patternType="solid">
        <fgColor theme="6" tint="0.3999450666829432"/>
        <bgColor indexed="64"/>
      </patternFill>
    </fill>
    <fill>
      <patternFill patternType="solid">
        <fgColor theme="0" tint="-0.0499893185216834"/>
        <bgColor indexed="64"/>
      </patternFill>
    </fill>
    <fill>
      <patternFill patternType="solid">
        <fgColor rgb="FFF2F2F2"/>
        <bgColor rgb="FF000000"/>
      </patternFill>
    </fill>
  </fills>
  <borders count="2">
    <border>
      <left/>
      <right/>
      <top/>
      <bottom/>
      <diagonal/>
    </border>
    <border>
      <left style="thin">
        <color theme="5" tint="-0.499984740745262"/>
      </left>
      <right style="thin">
        <color theme="5" tint="-0.499984740745262"/>
      </right>
      <top style="thin">
        <color theme="5" tint="-0.499984740745262"/>
      </top>
      <bottom style="thin">
        <color theme="5" tint="-0.499984740745262"/>
      </bottom>
      <diagonal/>
    </border>
  </borders>
  <cellStyleXfs count="6">
    <xf numFmtId="0" fontId="0" fillId="5" borderId="0"/>
    <xf numFmtId="0" fontId="3" fillId="0" borderId="0" applyAlignment="1">
      <alignment vertical="center"/>
    </xf>
    <xf numFmtId="0" fontId="7" fillId="4" borderId="0" applyAlignment="1">
      <alignment vertical="center"/>
    </xf>
    <xf numFmtId="0" fontId="5" fillId="2" borderId="0" applyAlignment="1">
      <alignment vertical="center"/>
    </xf>
    <xf numFmtId="0" fontId="4" fillId="3" borderId="1" applyAlignment="1">
      <alignment horizontal="left" vertical="center" indent="1"/>
    </xf>
    <xf numFmtId="0" fontId="6" fillId="0" borderId="0"/>
  </cellStyleXfs>
  <cellXfs count="94">
    <xf numFmtId="0" fontId="0" fillId="5" borderId="0" pivotButton="0" quotePrefix="0" xfId="0"/>
    <xf numFmtId="0" fontId="8" fillId="6" borderId="0" applyAlignment="1" pivotButton="0" quotePrefix="0" xfId="0">
      <alignment horizontal="left" vertical="top" wrapText="1" indent="1"/>
    </xf>
    <xf numFmtId="0" fontId="8" fillId="6" borderId="0" applyAlignment="1" pivotButton="0" quotePrefix="0" xfId="0">
      <alignment horizontal="left" vertical="top" indent="1"/>
    </xf>
    <xf numFmtId="0" fontId="8" fillId="0" borderId="0" pivotButton="0" quotePrefix="0" xfId="0"/>
    <xf numFmtId="164" fontId="10" fillId="6" borderId="0" applyAlignment="1" pivotButton="0" quotePrefix="0" xfId="0">
      <alignment horizontal="left" vertical="top" indent="1"/>
    </xf>
    <xf numFmtId="0" fontId="10" fillId="6" borderId="0" applyAlignment="1" pivotButton="0" quotePrefix="0" xfId="0">
      <alignment horizontal="left" vertical="top" indent="1"/>
    </xf>
    <xf numFmtId="0" fontId="8" fillId="6" borderId="0" pivotButton="0" quotePrefix="0" xfId="0"/>
    <xf numFmtId="0" fontId="11" fillId="6" borderId="0" applyAlignment="1" pivotButton="0" quotePrefix="0" xfId="2">
      <alignment horizontal="left" indent="1"/>
    </xf>
    <xf numFmtId="0" fontId="10" fillId="6" borderId="0" applyAlignment="1" pivotButton="0" quotePrefix="0" xfId="0">
      <alignment horizontal="center" vertical="top"/>
    </xf>
    <xf numFmtId="0" fontId="12" fillId="6" borderId="0" applyAlignment="1" pivotButton="0" quotePrefix="0" xfId="2">
      <alignment horizontal="right"/>
    </xf>
    <xf numFmtId="164" fontId="13" fillId="6" borderId="0" applyAlignment="1" pivotButton="0" quotePrefix="0" xfId="0">
      <alignment horizontal="left" vertical="top" indent="1"/>
    </xf>
    <xf numFmtId="0" fontId="13" fillId="6" borderId="0" applyAlignment="1" pivotButton="0" quotePrefix="0" xfId="0">
      <alignment horizontal="left" vertical="top" indent="1"/>
    </xf>
    <xf numFmtId="0" fontId="14" fillId="6" borderId="0" applyAlignment="1" pivotButton="0" quotePrefix="0" xfId="5">
      <alignment horizontal="left" vertical="top" indent="1"/>
    </xf>
    <xf numFmtId="0" fontId="15" fillId="6" borderId="0" applyAlignment="1" pivotButton="0" quotePrefix="0" xfId="5">
      <alignment horizontal="right" vertical="top"/>
    </xf>
    <xf numFmtId="0" fontId="16" fillId="6" borderId="0" applyAlignment="1" pivotButton="0" quotePrefix="0" xfId="1">
      <alignment horizontal="left" vertical="top" indent="1"/>
    </xf>
    <xf numFmtId="0" fontId="17" fillId="6" borderId="0" applyAlignment="1" pivotButton="0" quotePrefix="0" xfId="5">
      <alignment horizontal="left" vertical="top" indent="1"/>
    </xf>
    <xf numFmtId="0" fontId="11" fillId="6" borderId="0" applyAlignment="1" pivotButton="0" quotePrefix="0" xfId="3">
      <alignment horizontal="left" vertical="center"/>
    </xf>
    <xf numFmtId="0" fontId="11" fillId="6" borderId="0" applyAlignment="1" pivotButton="0" quotePrefix="0" xfId="3">
      <alignment horizontal="center" vertical="center"/>
    </xf>
    <xf numFmtId="164" fontId="11" fillId="6" borderId="0" applyAlignment="1" pivotButton="0" quotePrefix="0" xfId="3">
      <alignment horizontal="center" vertical="center"/>
    </xf>
    <xf numFmtId="0" fontId="18" fillId="0" borderId="0" applyAlignment="1" pivotButton="0" quotePrefix="0" xfId="0">
      <alignment wrapText="1"/>
    </xf>
    <xf numFmtId="0" fontId="18" fillId="0" borderId="0" pivotButton="0" quotePrefix="0" xfId="0"/>
    <xf numFmtId="0" fontId="19" fillId="5" borderId="0" applyAlignment="1" pivotButton="0" quotePrefix="0" xfId="4">
      <alignment horizontal="left" vertical="center" indent="1"/>
    </xf>
    <xf numFmtId="0" fontId="21" fillId="5" borderId="0" applyAlignment="1" pivotButton="0" quotePrefix="0" xfId="0">
      <alignment horizontal="left" vertical="center" indent="1"/>
    </xf>
    <xf numFmtId="165" fontId="20" fillId="5" borderId="0" applyAlignment="1" pivotButton="0" quotePrefix="0" xfId="0">
      <alignment horizontal="center" vertical="center"/>
    </xf>
    <xf numFmtId="0" fontId="22" fillId="6" borderId="0" applyAlignment="1" pivotButton="0" quotePrefix="0" xfId="0">
      <alignment horizontal="center"/>
    </xf>
    <xf numFmtId="0" fontId="23" fillId="6" borderId="0" applyAlignment="1" pivotButton="0" quotePrefix="0" xfId="0">
      <alignment horizontal="center"/>
    </xf>
    <xf numFmtId="0" fontId="22" fillId="6" borderId="0" pivotButton="0" quotePrefix="0" xfId="0"/>
    <xf numFmtId="0" fontId="12" fillId="5" borderId="0" applyAlignment="1" pivotButton="0" quotePrefix="0" xfId="3">
      <alignment horizontal="left" vertical="center" indent="1"/>
    </xf>
    <xf numFmtId="0" fontId="2" fillId="6" borderId="0" pivotButton="0" quotePrefix="0" xfId="0"/>
    <xf numFmtId="0" fontId="9" fillId="6" borderId="0" applyAlignment="1" pivotButton="0" quotePrefix="0" xfId="2">
      <alignment horizontal="left"/>
    </xf>
    <xf numFmtId="0" fontId="2" fillId="6" borderId="0" applyAlignment="1" pivotButton="0" quotePrefix="0" xfId="0">
      <alignment vertical="top"/>
    </xf>
    <xf numFmtId="0" fontId="12" fillId="6" borderId="0" applyAlignment="1" pivotButton="0" quotePrefix="0" xfId="0">
      <alignment vertical="center" wrapText="1"/>
    </xf>
    <xf numFmtId="0" fontId="2" fillId="6" borderId="0" applyAlignment="1" pivotButton="0" quotePrefix="0" xfId="0">
      <alignment vertical="center"/>
    </xf>
    <xf numFmtId="0" fontId="8" fillId="6" borderId="0" applyAlignment="1" pivotButton="0" quotePrefix="0" xfId="0">
      <alignment vertical="center"/>
    </xf>
    <xf numFmtId="0" fontId="8" fillId="0" borderId="0" applyAlignment="1" pivotButton="0" quotePrefix="0" xfId="0">
      <alignment vertical="center"/>
    </xf>
    <xf numFmtId="0" fontId="23" fillId="0" borderId="0" pivotButton="0" quotePrefix="0" xfId="0"/>
    <xf numFmtId="0" fontId="23" fillId="6" borderId="0" pivotButton="0" quotePrefix="0" xfId="0"/>
    <xf numFmtId="0" fontId="21" fillId="5" borderId="0" applyAlignment="1" pivotButton="0" quotePrefix="0" xfId="0">
      <alignment horizontal="left" vertical="center" indent="2"/>
    </xf>
    <xf numFmtId="0" fontId="11" fillId="6" borderId="0" applyAlignment="1" pivotButton="0" quotePrefix="0" xfId="2">
      <alignment horizontal="right" indent="1"/>
    </xf>
    <xf numFmtId="0" fontId="11" fillId="0" borderId="0" applyAlignment="1" pivotButton="0" quotePrefix="0" xfId="2">
      <alignment horizontal="right" indent="1"/>
    </xf>
    <xf numFmtId="0" fontId="9" fillId="6" borderId="0" applyAlignment="1" pivotButton="0" quotePrefix="0" xfId="1">
      <alignment horizontal="left" vertical="center" indent="1"/>
    </xf>
    <xf numFmtId="0" fontId="17" fillId="6" borderId="0" applyAlignment="1" pivotButton="0" quotePrefix="0" xfId="5">
      <alignment horizontal="right" vertical="top" indent="1"/>
    </xf>
    <xf numFmtId="0" fontId="17" fillId="0" borderId="0" applyAlignment="1" pivotButton="0" quotePrefix="0" xfId="5">
      <alignment horizontal="right" vertical="top" indent="1"/>
    </xf>
    <xf numFmtId="0" fontId="25" fillId="6" borderId="0" pivotButton="0" quotePrefix="0" xfId="0"/>
    <xf numFmtId="0" fontId="19" fillId="5" borderId="0" applyAlignment="1" pivotButton="0" quotePrefix="0" xfId="0">
      <alignment horizontal="left" vertical="center" indent="1"/>
    </xf>
    <xf numFmtId="0" fontId="26" fillId="5" borderId="0" applyAlignment="1" pivotButton="0" quotePrefix="0" xfId="0">
      <alignment horizontal="center" vertical="center"/>
    </xf>
    <xf numFmtId="164" fontId="26" fillId="5" borderId="0" applyAlignment="1" pivotButton="0" quotePrefix="0" xfId="0">
      <alignment horizontal="center" vertical="center"/>
    </xf>
    <xf numFmtId="0" fontId="25" fillId="0" borderId="0" pivotButton="0" quotePrefix="0" xfId="0"/>
    <xf numFmtId="0" fontId="22" fillId="6" borderId="0" applyAlignment="1" pivotButton="0" quotePrefix="0" xfId="0">
      <alignment horizontal="left" indent="1"/>
    </xf>
    <xf numFmtId="37" fontId="23" fillId="6" borderId="0" applyAlignment="1" pivotButton="0" quotePrefix="0" xfId="0">
      <alignment horizontal="right"/>
    </xf>
    <xf numFmtId="37" fontId="27" fillId="6" borderId="0" applyAlignment="1" pivotButton="0" quotePrefix="0" xfId="0">
      <alignment horizontal="right"/>
    </xf>
    <xf numFmtId="0" fontId="23" fillId="6" borderId="0" applyAlignment="1" pivotButton="0" quotePrefix="0" xfId="0">
      <alignment horizontal="left" indent="1"/>
    </xf>
    <xf numFmtId="37" fontId="28" fillId="6" borderId="0" applyAlignment="1" pivotButton="0" quotePrefix="0" xfId="0">
      <alignment horizontal="right"/>
    </xf>
    <xf numFmtId="37" fontId="22" fillId="6" borderId="0" applyAlignment="1" pivotButton="0" quotePrefix="0" xfId="0">
      <alignment horizontal="right"/>
    </xf>
    <xf numFmtId="0" fontId="26" fillId="5" borderId="0" applyAlignment="1" pivotButton="0" quotePrefix="0" xfId="4">
      <alignment horizontal="center" vertical="center"/>
    </xf>
    <xf numFmtId="164" fontId="26" fillId="5" borderId="0" applyAlignment="1" pivotButton="0" quotePrefix="0" xfId="4">
      <alignment horizontal="center" vertical="center"/>
    </xf>
    <xf numFmtId="0" fontId="29" fillId="6" borderId="0" applyAlignment="1" pivotButton="0" quotePrefix="0" xfId="0">
      <alignment vertical="top" wrapText="1"/>
    </xf>
    <xf numFmtId="0" fontId="29" fillId="6" borderId="0" applyAlignment="1" pivotButton="0" quotePrefix="0" xfId="0">
      <alignment horizontal="left" vertical="top" indent="1"/>
    </xf>
    <xf numFmtId="0" fontId="29" fillId="6" borderId="0" applyAlignment="1" pivotButton="0" quotePrefix="0" xfId="0">
      <alignment horizontal="right" vertical="top"/>
    </xf>
    <xf numFmtId="0" fontId="29" fillId="0" borderId="0" pivotButton="0" quotePrefix="0" xfId="0"/>
    <xf numFmtId="0" fontId="12" fillId="6" borderId="0" applyAlignment="1" pivotButton="0" quotePrefix="0" xfId="2">
      <alignment horizontal="right" indent="3"/>
    </xf>
    <xf numFmtId="0" fontId="29" fillId="6" borderId="0" pivotButton="0" quotePrefix="0" xfId="0"/>
    <xf numFmtId="0" fontId="31" fillId="7" borderId="0" applyAlignment="1" pivotButton="0" quotePrefix="0" xfId="0">
      <alignment horizontal="right"/>
    </xf>
    <xf numFmtId="0" fontId="12" fillId="7" borderId="0" applyAlignment="1" pivotButton="0" quotePrefix="0" xfId="0">
      <alignment horizontal="right" indent="1"/>
    </xf>
    <xf numFmtId="0" fontId="32" fillId="6" borderId="0" applyAlignment="1" pivotButton="0" quotePrefix="0" xfId="1">
      <alignment horizontal="left" vertical="top" indent="1"/>
    </xf>
    <xf numFmtId="0" fontId="29" fillId="6" borderId="0" applyAlignment="1" pivotButton="0" quotePrefix="0" xfId="0">
      <alignment horizontal="right"/>
    </xf>
    <xf numFmtId="0" fontId="33" fillId="5" borderId="0" applyAlignment="1" pivotButton="0" quotePrefix="0" xfId="3">
      <alignment horizontal="left" vertical="center" wrapText="1" indent="1"/>
    </xf>
    <xf numFmtId="0" fontId="33" fillId="5" borderId="0" applyAlignment="1" pivotButton="0" quotePrefix="0" xfId="3">
      <alignment horizontal="center" vertical="center" wrapText="1"/>
    </xf>
    <xf numFmtId="0" fontId="19" fillId="0" borderId="0" applyAlignment="1" pivotButton="0" quotePrefix="0" xfId="0">
      <alignment wrapText="1"/>
    </xf>
    <xf numFmtId="165" fontId="0" fillId="5" borderId="0" applyAlignment="1" pivotButton="0" quotePrefix="0" xfId="0">
      <alignment horizontal="center" vertical="center"/>
    </xf>
    <xf numFmtId="9" fontId="0" fillId="5" borderId="0" applyAlignment="1" pivotButton="0" quotePrefix="0" xfId="0">
      <alignment horizontal="center" vertical="center"/>
    </xf>
    <xf numFmtId="0" fontId="34" fillId="0" borderId="0" pivotButton="0" quotePrefix="0" xfId="0"/>
    <xf numFmtId="0" fontId="30" fillId="6" borderId="0" applyAlignment="1" pivotButton="0" quotePrefix="0" xfId="0">
      <alignment horizontal="left" indent="1"/>
    </xf>
    <xf numFmtId="165" fontId="30" fillId="6" borderId="0" applyAlignment="1" pivotButton="0" quotePrefix="0" xfId="0">
      <alignment horizontal="right"/>
    </xf>
    <xf numFmtId="9" fontId="30" fillId="6" borderId="0" applyAlignment="1" pivotButton="0" quotePrefix="0" xfId="0">
      <alignment horizontal="right"/>
    </xf>
    <xf numFmtId="0" fontId="34" fillId="6" borderId="0" applyAlignment="1" pivotButton="0" quotePrefix="0" xfId="0">
      <alignment horizontal="left"/>
    </xf>
    <xf numFmtId="0" fontId="34" fillId="6" borderId="0" pivotButton="0" quotePrefix="0" xfId="0"/>
    <xf numFmtId="0" fontId="34" fillId="6" borderId="0" applyAlignment="1" pivotButton="0" quotePrefix="0" xfId="0">
      <alignment horizontal="right"/>
    </xf>
    <xf numFmtId="0" fontId="34" fillId="6" borderId="0" applyAlignment="1" pivotButton="0" quotePrefix="0" xfId="0">
      <alignment horizontal="center"/>
    </xf>
    <xf numFmtId="0" fontId="29" fillId="0" borderId="0" applyAlignment="1" pivotButton="0" quotePrefix="0" xfId="0">
      <alignment wrapText="1"/>
    </xf>
    <xf numFmtId="0" fontId="34" fillId="0" borderId="0" applyAlignment="1" pivotButton="0" quotePrefix="0" xfId="0">
      <alignment horizontal="left" indent="1"/>
    </xf>
    <xf numFmtId="0" fontId="34" fillId="0" borderId="0" applyAlignment="1" pivotButton="0" quotePrefix="0" xfId="0">
      <alignment horizontal="center"/>
    </xf>
    <xf numFmtId="0" fontId="34" fillId="0" borderId="0" applyAlignment="1" pivotButton="0" quotePrefix="0" xfId="0">
      <alignment horizontal="right"/>
    </xf>
    <xf numFmtId="0" fontId="24" fillId="6" borderId="0" pivotButton="0" quotePrefix="0" xfId="2"/>
    <xf numFmtId="0" fontId="12" fillId="5" borderId="0" applyAlignment="1" pivotButton="0" quotePrefix="0" xfId="3">
      <alignment horizontal="center" vertical="center"/>
    </xf>
    <xf numFmtId="0" fontId="1" fillId="6" borderId="0" applyAlignment="1" pivotButton="0" quotePrefix="0" xfId="0">
      <alignment vertical="top" wrapText="1"/>
    </xf>
    <xf numFmtId="0" fontId="24" fillId="6" borderId="0" applyAlignment="1" pivotButton="0" quotePrefix="0" xfId="1">
      <alignment horizontal="left"/>
    </xf>
    <xf numFmtId="0" fontId="1" fillId="6" borderId="0" pivotButton="0" quotePrefix="0" xfId="0"/>
    <xf numFmtId="0" fontId="1" fillId="6" borderId="0" applyAlignment="1" pivotButton="0" quotePrefix="0" xfId="0">
      <alignment vertical="top"/>
    </xf>
    <xf numFmtId="0" fontId="1" fillId="6" borderId="0" applyAlignment="1" pivotButton="0" quotePrefix="0" xfId="0">
      <alignment vertical="center"/>
    </xf>
    <xf numFmtId="0" fontId="0" fillId="0" borderId="0" pivotButton="0" quotePrefix="0" xfId="0"/>
    <xf numFmtId="165" fontId="20" fillId="5" borderId="0" applyAlignment="1" pivotButton="0" quotePrefix="0" xfId="0">
      <alignment horizontal="center" vertical="center"/>
    </xf>
    <xf numFmtId="165" fontId="0" fillId="5" borderId="0" applyAlignment="1" pivotButton="0" quotePrefix="0" xfId="0">
      <alignment horizontal="center" vertical="center"/>
    </xf>
    <xf numFmtId="165" fontId="30" fillId="6" borderId="0" applyAlignment="1" pivotButton="0" quotePrefix="0" xfId="0">
      <alignment horizontal="right"/>
    </xf>
  </cellXfs>
  <cellStyles count="6">
    <cellStyle name="Normal" xfId="0" builtinId="0"/>
    <cellStyle name="Heading 1" xfId="1" builtinId="16"/>
    <cellStyle name="Heading 2" xfId="2" builtinId="17"/>
    <cellStyle name="Heading 3" xfId="3" builtinId="18"/>
    <cellStyle name="Heading 4" xfId="4" builtinId="19"/>
    <cellStyle name="Explanatory Text" xfId="5" builtinId="53"/>
  </cellStyles>
  <dxfs count="440">
    <dxf>
      <font>
        <name val="Posterama"/>
        <family val="2"/>
        <strike val="0"/>
        <outline val="0"/>
        <shadow val="0"/>
        <vertAlign val="baseline"/>
        <scheme val="minor"/>
      </font>
      <alignment horizontal="center" vertical="center"/>
    </dxf>
    <dxf>
      <font>
        <name val="Posterama"/>
        <family val="2"/>
        <strike val="0"/>
        <outline val="0"/>
        <shadow val="0"/>
        <vertAlign val="baseline"/>
        <scheme val="minor"/>
      </font>
      <alignment horizontal="center" vertical="center"/>
    </dxf>
    <dxf>
      <font>
        <name val="Posterama"/>
        <family val="2"/>
        <strike val="0"/>
        <outline val="0"/>
        <shadow val="0"/>
        <vertAlign val="baseline"/>
        <scheme val="minor"/>
      </font>
      <alignment horizontal="center" vertical="center"/>
    </dxf>
    <dxf>
      <font>
        <name val="Posterama"/>
        <family val="2"/>
        <strike val="0"/>
        <outline val="0"/>
        <shadow val="0"/>
        <vertAlign val="baseline"/>
        <scheme val="minor"/>
      </font>
      <alignment horizontal="center" vertical="center"/>
    </dxf>
    <dxf>
      <font>
        <name val="Posterama"/>
        <family val="2"/>
        <strike val="0"/>
        <outline val="0"/>
        <shadow val="0"/>
        <color theme="1" tint="0.249946592608417"/>
        <sz val="12"/>
        <vertAlign val="baseline"/>
        <scheme val="minor"/>
      </font>
      <alignment horizontal="left" vertical="center" indent="1"/>
    </dxf>
    <dxf>
      <font>
        <name val="Posterama"/>
        <family val="2"/>
        <strike val="0"/>
        <outline val="0"/>
        <shadow val="0"/>
        <vertAlign val="baseline"/>
        <scheme val="minor"/>
      </font>
    </dxf>
    <dxf>
      <font>
        <name val="Posterama"/>
        <family val="2"/>
        <b val="1"/>
        <strike val="0"/>
        <outline val="0"/>
        <shadow val="0"/>
        <color theme="4"/>
        <sz val="14"/>
        <vertAlign val="baseline"/>
        <scheme val="minor"/>
      </font>
      <alignment wrapText="1"/>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color theme="1" tint="0.249946592608417"/>
        <sz val="12"/>
        <vertAlign val="baseline"/>
        <scheme val="minor"/>
      </font>
      <alignment horizontal="left" indent="1"/>
    </dxf>
    <dxf>
      <font>
        <name val="Posterama"/>
        <family val="2"/>
        <strike val="0"/>
        <outline val="0"/>
        <shadow val="0"/>
        <color theme="1" tint="0.249946592608417"/>
        <sz val="10"/>
        <vertAlign val="baseline"/>
        <scheme val="minor"/>
      </font>
    </dxf>
    <dxf>
      <font>
        <name val="Posterama"/>
        <family val="2"/>
        <strike val="0"/>
        <outline val="0"/>
        <shadow val="0"/>
        <sz val="16"/>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2"/>
        <vertAlign val="baseline"/>
        <scheme val="minor"/>
      </font>
      <alignment horizontal="left" indent="1"/>
    </dxf>
    <dxf>
      <font>
        <name val="Posterama"/>
        <family val="2"/>
        <strike val="0"/>
        <outline val="0"/>
        <shadow val="0"/>
        <color theme="1" tint="0.249946592608417"/>
        <sz val="10"/>
        <vertAlign val="baseline"/>
        <scheme val="minor"/>
      </font>
      <alignment horizontal="left" indent="1"/>
    </dxf>
    <dxf>
      <font>
        <name val="Posterama"/>
        <family val="2"/>
        <strike val="0"/>
        <outline val="0"/>
        <shadow val="0"/>
        <vertAlign val="baseline"/>
        <scheme val="minor"/>
      </font>
    </dxf>
    <dxf>
      <font>
        <name val="Posterama"/>
        <family val="2"/>
        <strike val="0"/>
        <outline val="0"/>
        <shadow val="0"/>
        <vertAlign val="baseline"/>
        <scheme val="minor"/>
      </font>
    </dxf>
    <dxf>
      <font>
        <name val="Posterama"/>
        <family val="2"/>
        <strike val="0"/>
        <outline val="0"/>
        <shadow val="0"/>
        <sz val="16"/>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2"/>
        <vertAlign val="baseline"/>
        <scheme val="minor"/>
      </font>
      <alignment horizontal="left" indent="1"/>
    </dxf>
    <dxf>
      <font>
        <name val="Posterama"/>
        <family val="2"/>
        <strike val="0"/>
        <outline val="0"/>
        <shadow val="0"/>
        <color theme="1" tint="0.249946592608417"/>
        <sz val="10"/>
        <vertAlign val="baseline"/>
        <scheme val="minor"/>
      </font>
      <alignment horizontal="left" indent="1"/>
    </dxf>
    <dxf>
      <font>
        <name val="Posterama"/>
        <family val="2"/>
        <strike val="0"/>
        <outline val="0"/>
        <shadow val="0"/>
        <vertAlign val="baseline"/>
        <scheme val="minor"/>
      </font>
    </dxf>
    <dxf>
      <font>
        <name val="Posterama"/>
        <family val="2"/>
        <strike val="0"/>
        <outline val="0"/>
        <shadow val="0"/>
        <vertAlign val="baseline"/>
        <scheme val="minor"/>
      </font>
    </dxf>
    <dxf>
      <font>
        <name val="Posterama"/>
        <family val="2"/>
        <strike val="0"/>
        <outline val="0"/>
        <shadow val="0"/>
        <sz val="16"/>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2"/>
        <vertAlign val="baseline"/>
        <scheme val="minor"/>
      </font>
      <alignment horizontal="left" indent="1"/>
    </dxf>
    <dxf>
      <font>
        <name val="Posterama"/>
        <family val="2"/>
        <strike val="0"/>
        <outline val="0"/>
        <shadow val="0"/>
        <color theme="1" tint="0.249946592608417"/>
        <sz val="10"/>
        <vertAlign val="baseline"/>
        <scheme val="minor"/>
      </font>
      <alignment horizontal="left" indent="1"/>
    </dxf>
    <dxf>
      <font>
        <name val="Posterama"/>
        <family val="2"/>
        <strike val="0"/>
        <outline val="0"/>
        <shadow val="0"/>
        <vertAlign val="baseline"/>
        <scheme val="minor"/>
      </font>
    </dxf>
    <dxf>
      <font>
        <name val="Posterama"/>
        <family val="2"/>
        <strike val="0"/>
        <outline val="0"/>
        <shadow val="0"/>
        <vertAlign val="baseline"/>
        <scheme val="minor"/>
      </font>
    </dxf>
    <dxf>
      <font>
        <name val="Posterama"/>
        <family val="2"/>
        <strike val="0"/>
        <outline val="0"/>
        <shadow val="0"/>
        <sz val="16"/>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2"/>
        <vertAlign val="baseline"/>
        <scheme val="minor"/>
      </font>
      <alignment horizontal="left" vertical="center" indent="1"/>
    </dxf>
    <dxf>
      <font>
        <name val="Posterama"/>
        <family val="2"/>
        <strike val="0"/>
        <outline val="0"/>
        <shadow val="0"/>
        <color theme="1" tint="0.249946592608417"/>
        <sz val="10"/>
        <vertAlign val="baseline"/>
        <scheme val="minor"/>
      </font>
      <alignment horizontal="left" indent="1"/>
    </dxf>
    <dxf>
      <font>
        <name val="Posterama"/>
        <family val="2"/>
        <strike val="0"/>
        <outline val="0"/>
        <shadow val="0"/>
        <vertAlign val="baseline"/>
        <scheme val="minor"/>
      </font>
    </dxf>
    <dxf>
      <font>
        <name val="Posterama"/>
        <family val="2"/>
        <strike val="0"/>
        <outline val="0"/>
        <shadow val="0"/>
        <vertAlign val="baseline"/>
        <scheme val="minor"/>
      </font>
    </dxf>
    <dxf>
      <font>
        <name val="Posterama"/>
        <family val="2"/>
        <strike val="0"/>
        <outline val="0"/>
        <shadow val="0"/>
        <sz val="16"/>
        <vertAlign val="baseline"/>
        <scheme val="minor"/>
      </font>
    </dxf>
    <dxf>
      <font>
        <color theme="9" tint="-0.249946592608417"/>
      </font>
    </dxf>
    <dxf>
      <font>
        <color theme="9" tint="-0.249946592608417"/>
      </font>
    </dxf>
    <dxf>
      <font>
        <color theme="9" tint="-0.249946592608417"/>
      </font>
    </dxf>
    <dxf>
      <font>
        <color theme="9" tint="-0.249946592608417"/>
      </font>
    </dxf>
    <dxf>
      <font>
        <color theme="9" tint="-0.249946592608417"/>
      </font>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color theme="1" tint="0.249946592608417"/>
        <sz val="12"/>
        <vertAlign val="baseline"/>
        <scheme val="minor"/>
      </font>
    </dxf>
    <dxf>
      <font>
        <name val="Posterama"/>
        <family val="2"/>
        <strike val="0"/>
        <outline val="0"/>
        <shadow val="0"/>
        <vertAlign val="baseline"/>
        <scheme val="minor"/>
      </font>
    </dxf>
    <dxf>
      <font>
        <name val="Posterama"/>
        <family val="2"/>
        <strike val="0"/>
        <outline val="0"/>
        <shadow val="0"/>
        <color auto="1"/>
        <sz val="9"/>
        <vertAlign val="baseline"/>
        <scheme val="minor"/>
      </font>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condense val="0"/>
        <color theme="1" tint="0.249946592608417"/>
        <extend val="0"/>
        <sz val="10"/>
        <vertAlign val="baseline"/>
        <scheme val="minor"/>
      </font>
      <numFmt numFmtId="12" formatCode="&quot;$&quot;#,##0.00_);[Red]\(&quot;$&quot;#,##0.00\)"/>
      <alignment horizontal="center" vertical="center"/>
    </dxf>
    <dxf>
      <font>
        <name val="Posterama"/>
        <family val="2"/>
        <strike val="0"/>
        <outline val="0"/>
        <shadow val="0"/>
        <color theme="1" tint="0.249946592608417"/>
        <sz val="10"/>
        <vertAlign val="baseline"/>
        <scheme val="minor"/>
      </font>
      <numFmt numFmtId="12" formatCode="&quot;$&quot;#,##0.00_);[Red]\(&quot;$&quot;#,##0.00\)"/>
      <alignment horizontal="center" vertical="center"/>
    </dxf>
    <dxf>
      <font>
        <name val="Posterama"/>
        <family val="2"/>
        <strike val="0"/>
        <outline val="0"/>
        <shadow val="0"/>
        <condense val="0"/>
        <color theme="1" tint="0.249946592608417"/>
        <extend val="0"/>
        <sz val="10"/>
        <vertAlign val="baseline"/>
        <scheme val="minor"/>
      </font>
      <numFmt numFmtId="12" formatCode="&quot;$&quot;#,##0.00_);[Red]\(&quot;$&quot;#,##0.00\)"/>
      <alignment horizontal="center" vertical="center"/>
    </dxf>
    <dxf>
      <font>
        <name val="Posterama"/>
        <family val="2"/>
        <strike val="0"/>
        <outline val="0"/>
        <shadow val="0"/>
        <color theme="1" tint="0.249946592608417"/>
        <sz val="10"/>
        <vertAlign val="baseline"/>
        <scheme val="minor"/>
      </font>
      <numFmt numFmtId="12" formatCode="&quot;$&quot;#,##0.00_);[Red]\(&quot;$&quot;#,##0.00\)"/>
      <alignment horizontal="center" vertical="center"/>
    </dxf>
    <dxf>
      <font>
        <name val="Posterama"/>
        <family val="2"/>
        <strike val="0"/>
        <outline val="0"/>
        <shadow val="0"/>
        <condense val="0"/>
        <color theme="1" tint="0.249946592608417"/>
        <extend val="0"/>
        <sz val="10"/>
        <vertAlign val="baseline"/>
        <scheme val="minor"/>
      </font>
      <numFmt numFmtId="12" formatCode="&quot;$&quot;#,##0.00_);[Red]\(&quot;$&quot;#,##0.00\)"/>
      <alignment horizontal="center" vertical="center"/>
    </dxf>
    <dxf>
      <font>
        <name val="Posterama"/>
        <family val="2"/>
        <strike val="0"/>
        <outline val="0"/>
        <shadow val="0"/>
        <color theme="1" tint="0.249946592608417"/>
        <sz val="10"/>
        <vertAlign val="baseline"/>
        <scheme val="minor"/>
      </font>
      <numFmt numFmtId="12" formatCode="&quot;$&quot;#,##0.00_);[Red]\(&quot;$&quot;#,##0.00\)"/>
      <alignment horizontal="center" vertical="center"/>
    </dxf>
    <dxf>
      <font>
        <name val="Posterama"/>
        <family val="2"/>
        <strike val="0"/>
        <outline val="0"/>
        <shadow val="0"/>
        <condense val="0"/>
        <color theme="1" tint="0.249946592608417"/>
        <extend val="0"/>
        <sz val="10"/>
        <vertAlign val="baseline"/>
        <scheme val="minor"/>
      </font>
      <numFmt numFmtId="12" formatCode="&quot;$&quot;#,##0.00_);[Red]\(&quot;$&quot;#,##0.00\)"/>
      <alignment horizontal="center" vertical="center"/>
    </dxf>
    <dxf>
      <font>
        <name val="Posterama"/>
        <family val="2"/>
        <strike val="0"/>
        <outline val="0"/>
        <shadow val="0"/>
        <color theme="1" tint="0.249946592608417"/>
        <sz val="10"/>
        <vertAlign val="baseline"/>
        <scheme val="minor"/>
      </font>
      <numFmt numFmtId="12" formatCode="&quot;$&quot;#,##0.00_);[Red]\(&quot;$&quot;#,##0.00\)"/>
      <alignment horizontal="center" vertical="center"/>
    </dxf>
    <dxf>
      <font>
        <name val="Posterama"/>
        <family val="2"/>
        <strike val="0"/>
        <outline val="0"/>
        <shadow val="0"/>
        <condense val="0"/>
        <color theme="1" tint="0.249946592608417"/>
        <extend val="0"/>
        <sz val="10"/>
        <vertAlign val="baseline"/>
        <scheme val="minor"/>
      </font>
      <numFmt numFmtId="12" formatCode="&quot;$&quot;#,##0.00_);[Red]\(&quot;$&quot;#,##0.00\)"/>
      <alignment horizontal="center" vertical="center"/>
    </dxf>
    <dxf>
      <font>
        <name val="Posterama"/>
        <family val="2"/>
        <strike val="0"/>
        <outline val="0"/>
        <shadow val="0"/>
        <color theme="1" tint="0.249946592608417"/>
        <sz val="10"/>
        <vertAlign val="baseline"/>
        <scheme val="minor"/>
      </font>
      <numFmt numFmtId="12" formatCode="&quot;$&quot;#,##0.00_);[Red]\(&quot;$&quot;#,##0.00\)"/>
      <alignment horizontal="center" vertical="center"/>
    </dxf>
    <dxf>
      <font>
        <name val="Posterama"/>
        <family val="2"/>
        <strike val="0"/>
        <outline val="0"/>
        <shadow val="0"/>
        <condense val="0"/>
        <color theme="1" tint="0.249946592608417"/>
        <extend val="0"/>
        <sz val="10"/>
        <vertAlign val="baseline"/>
        <scheme val="minor"/>
      </font>
      <numFmt numFmtId="12" formatCode="&quot;$&quot;#,##0.00_);[Red]\(&quot;$&quot;#,##0.00\)"/>
      <alignment horizontal="center" vertical="center"/>
    </dxf>
    <dxf>
      <font>
        <name val="Posterama"/>
        <family val="2"/>
        <strike val="0"/>
        <outline val="0"/>
        <shadow val="0"/>
        <color theme="1" tint="0.249946592608417"/>
        <sz val="10"/>
        <vertAlign val="baseline"/>
        <scheme val="minor"/>
      </font>
      <numFmt numFmtId="12" formatCode="&quot;$&quot;#,##0.00_);[Red]\(&quot;$&quot;#,##0.00\)"/>
      <alignment horizontal="center" vertical="center"/>
    </dxf>
    <dxf>
      <font>
        <name val="Posterama"/>
        <family val="2"/>
        <strike val="0"/>
        <outline val="0"/>
        <shadow val="0"/>
        <condense val="0"/>
        <color theme="1" tint="0.249946592608417"/>
        <extend val="0"/>
        <sz val="10"/>
        <vertAlign val="baseline"/>
        <scheme val="minor"/>
      </font>
      <numFmt numFmtId="12" formatCode="&quot;$&quot;#,##0.00_);[Red]\(&quot;$&quot;#,##0.00\)"/>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condense val="0"/>
        <color theme="1" tint="0.249946592608417"/>
        <extend val="0"/>
        <sz val="10"/>
        <vertAlign val="baseline"/>
        <scheme val="minor"/>
      </font>
      <numFmt numFmtId="12" formatCode="&quot;$&quot;#,##0.00_);[Red]\(&quot;$&quot;#,##0.00\)"/>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condense val="0"/>
        <color theme="1" tint="0.249946592608417"/>
        <extend val="0"/>
        <sz val="10"/>
        <vertAlign val="baseline"/>
        <scheme val="minor"/>
      </font>
      <numFmt numFmtId="12" formatCode="&quot;$&quot;#,##0.00_);[Red]\(&quot;$&quot;#,##0.00\)"/>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condense val="0"/>
        <color theme="1" tint="0.249946592608417"/>
        <extend val="0"/>
        <sz val="10"/>
        <vertAlign val="baseline"/>
        <scheme val="minor"/>
      </font>
      <numFmt numFmtId="12" formatCode="&quot;$&quot;#,##0.00_);[Red]\(&quot;$&quot;#,##0.00\)"/>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condense val="0"/>
        <color theme="1" tint="0.249946592608417"/>
        <extend val="0"/>
        <sz val="10"/>
        <vertAlign val="baseline"/>
        <scheme val="minor"/>
      </font>
      <numFmt numFmtId="12" formatCode="&quot;$&quot;#,##0.00_);[Red]\(&quot;$&quot;#,##0.00\)"/>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condense val="0"/>
        <color theme="1" tint="0.249946592608417"/>
        <extend val="0"/>
        <sz val="10"/>
        <vertAlign val="baseline"/>
        <scheme val="minor"/>
      </font>
      <numFmt numFmtId="12" formatCode="&quot;$&quot;#,##0.00_);[Red]\(&quot;$&quot;#,##0.00\)"/>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condense val="0"/>
        <color theme="1" tint="0.249946592608417"/>
        <extend val="0"/>
        <sz val="10"/>
        <vertAlign val="baseline"/>
        <scheme val="minor"/>
      </font>
      <numFmt numFmtId="12" formatCode="&quot;$&quot;#,##0.00_);[Red]\(&quot;$&quot;#,##0.00\)"/>
      <alignment horizontal="center" vertical="center"/>
    </dxf>
    <dxf>
      <font>
        <name val="Posterama"/>
        <family val="2"/>
        <strike val="0"/>
        <outline val="0"/>
        <shadow val="0"/>
        <color theme="1" tint="0.249946592608417"/>
        <sz val="12"/>
        <vertAlign val="baseline"/>
        <scheme val="minor"/>
      </font>
    </dxf>
    <dxf>
      <font>
        <name val="Posterama"/>
        <family val="2"/>
        <strike val="0"/>
        <outline val="0"/>
        <shadow val="0"/>
        <condense val="0"/>
        <color theme="1" tint="0.249946592608417"/>
        <extend val="0"/>
        <sz val="12"/>
        <vertAlign val="baseline"/>
        <scheme val="minor"/>
      </font>
      <alignment horizontal="left" vertical="center" indent="1"/>
    </dxf>
    <dxf>
      <font>
        <name val="Posterama"/>
        <family val="2"/>
        <strike val="0"/>
        <outline val="0"/>
        <shadow val="0"/>
        <vertAlign val="baseline"/>
        <scheme val="minor"/>
      </font>
    </dxf>
    <dxf>
      <font>
        <name val="Posterama"/>
        <family val="2"/>
        <strike val="0"/>
        <outline val="0"/>
        <shadow val="0"/>
        <vertAlign val="baseline"/>
        <scheme val="minor"/>
      </font>
    </dxf>
    <dxf>
      <font>
        <name val="Posterama"/>
        <family val="2"/>
        <strike val="0"/>
        <outline val="0"/>
        <shadow val="0"/>
        <sz val="16"/>
        <vertAlign val="baseline"/>
        <scheme val="minor"/>
      </font>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vertAlign val="baseline"/>
        <scheme val="minor"/>
      </font>
      <alignment horizontal="center" vertical="center"/>
    </dxf>
    <dxf>
      <font>
        <name val="Posterama"/>
        <family val="2"/>
        <strike val="0"/>
        <outline val="0"/>
        <shadow val="0"/>
        <color theme="1" tint="0.249946592608417"/>
        <sz val="12"/>
        <vertAlign val="baseline"/>
        <scheme val="minor"/>
      </font>
    </dxf>
    <dxf>
      <font>
        <name val="Posterama"/>
        <family val="2"/>
        <strike val="0"/>
        <outline val="0"/>
        <shadow val="0"/>
        <vertAlign val="baseline"/>
        <scheme val="minor"/>
      </font>
    </dxf>
    <dxf>
      <font>
        <name val="Posterama"/>
        <family val="2"/>
        <strike val="0"/>
        <outline val="0"/>
        <shadow val="0"/>
        <vertAlign val="baseline"/>
        <scheme val="minor"/>
      </font>
    </dxf>
    <dxf>
      <font>
        <name val="Posterama"/>
        <family val="2"/>
        <strike val="0"/>
        <outline val="0"/>
        <shadow val="0"/>
        <vertAlign val="baseline"/>
        <scheme val="minor"/>
      </font>
    </dxf>
    <dxf>
      <font>
        <name val="Posterama"/>
        <family val="2"/>
        <strike val="0"/>
        <outline val="0"/>
        <shadow val="0"/>
        <sz val="16"/>
        <vertAlign val="baseline"/>
        <scheme val="minor"/>
      </font>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vertAlign val="baseline"/>
        <scheme val="minor"/>
      </font>
      <alignment horizontal="center" vertical="center"/>
    </dxf>
    <dxf>
      <font>
        <name val="Posterama"/>
        <family val="2"/>
        <strike val="0"/>
        <outline val="0"/>
        <shadow val="0"/>
        <color theme="1" tint="0.249946592608417"/>
        <sz val="12"/>
        <vertAlign val="baseline"/>
        <scheme val="minor"/>
      </font>
    </dxf>
    <dxf>
      <font>
        <name val="Posterama"/>
        <family val="2"/>
        <strike val="0"/>
        <outline val="0"/>
        <shadow val="0"/>
        <vertAlign val="baseline"/>
        <scheme val="minor"/>
      </font>
    </dxf>
    <dxf>
      <font>
        <name val="Posterama"/>
        <family val="2"/>
        <strike val="0"/>
        <outline val="0"/>
        <shadow val="0"/>
        <vertAlign val="baseline"/>
        <scheme val="minor"/>
      </font>
    </dxf>
    <dxf>
      <font>
        <name val="Posterama"/>
        <family val="2"/>
        <strike val="0"/>
        <outline val="0"/>
        <shadow val="0"/>
        <vertAlign val="baseline"/>
        <scheme val="minor"/>
      </font>
    </dxf>
    <dxf>
      <font>
        <name val="Posterama"/>
        <family val="2"/>
        <strike val="0"/>
        <outline val="0"/>
        <shadow val="0"/>
        <sz val="16"/>
        <vertAlign val="baseline"/>
        <scheme val="minor"/>
      </font>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vertAlign val="baseline"/>
        <scheme val="minor"/>
      </font>
      <alignment horizontal="center" vertical="center"/>
    </dxf>
    <dxf>
      <font>
        <name val="Posterama"/>
        <family val="2"/>
        <strike val="0"/>
        <outline val="0"/>
        <shadow val="0"/>
        <color theme="1" tint="0.249946592608417"/>
        <sz val="12"/>
        <vertAlign val="baseline"/>
        <scheme val="minor"/>
      </font>
      <alignment horizontal="left" vertical="center" indent="1"/>
    </dxf>
    <dxf>
      <font>
        <name val="Posterama"/>
        <family val="2"/>
        <strike val="0"/>
        <outline val="0"/>
        <shadow val="0"/>
        <vertAlign val="baseline"/>
        <scheme val="minor"/>
      </font>
    </dxf>
    <dxf>
      <font>
        <name val="Posterama"/>
        <family val="2"/>
        <strike val="0"/>
        <outline val="0"/>
        <shadow val="0"/>
        <vertAlign val="baseline"/>
        <scheme val="minor"/>
      </font>
    </dxf>
    <dxf>
      <font>
        <name val="Posterama"/>
        <family val="2"/>
        <strike val="0"/>
        <outline val="0"/>
        <shadow val="0"/>
        <vertAlign val="baseline"/>
        <scheme val="minor"/>
      </font>
    </dxf>
    <dxf>
      <font>
        <name val="Posterama"/>
        <family val="2"/>
        <strike val="0"/>
        <outline val="0"/>
        <shadow val="0"/>
        <sz val="16"/>
        <vertAlign val="baseline"/>
        <scheme val="minor"/>
      </font>
    </dxf>
    <dxf>
      <font>
        <name val="Posterama"/>
        <family val="2"/>
        <strike val="0"/>
        <outline val="0"/>
        <shadow val="0"/>
        <sz val="10"/>
        <vertAlign val="baseline"/>
        <scheme val="minor"/>
      </font>
    </dxf>
    <dxf>
      <font>
        <name val="Posterama"/>
        <family val="2"/>
        <strike val="0"/>
        <outline val="0"/>
        <shadow val="0"/>
        <sz val="10"/>
        <vertAlign val="baseline"/>
        <scheme val="minor"/>
      </font>
    </dxf>
    <dxf>
      <font>
        <name val="Posterama"/>
        <family val="2"/>
        <strike val="0"/>
        <outline val="0"/>
        <shadow val="0"/>
        <sz val="10"/>
        <vertAlign val="baseline"/>
        <scheme val="minor"/>
      </font>
    </dxf>
    <dxf>
      <font>
        <name val="Posterama"/>
        <family val="2"/>
        <strike val="0"/>
        <outline val="0"/>
        <shadow val="0"/>
        <sz val="10"/>
        <vertAlign val="baseline"/>
        <scheme val="minor"/>
      </font>
    </dxf>
    <dxf>
      <font>
        <name val="Posterama"/>
        <family val="2"/>
        <strike val="0"/>
        <outline val="0"/>
        <shadow val="0"/>
        <sz val="10"/>
        <vertAlign val="baseline"/>
        <scheme val="minor"/>
      </font>
    </dxf>
    <dxf>
      <font>
        <name val="Posterama"/>
        <family val="2"/>
        <strike val="0"/>
        <outline val="0"/>
        <shadow val="0"/>
        <sz val="10"/>
        <vertAlign val="baseline"/>
        <scheme val="minor"/>
      </font>
    </dxf>
    <dxf>
      <font>
        <name val="Posterama"/>
        <family val="2"/>
        <strike val="0"/>
        <outline val="0"/>
        <shadow val="0"/>
        <sz val="10"/>
        <vertAlign val="baseline"/>
        <scheme val="minor"/>
      </font>
    </dxf>
    <dxf>
      <font>
        <name val="Posterama"/>
        <family val="2"/>
        <strike val="0"/>
        <outline val="0"/>
        <shadow val="0"/>
        <sz val="10"/>
        <vertAlign val="baseline"/>
        <scheme val="minor"/>
      </font>
    </dxf>
    <dxf>
      <font>
        <name val="Posterama"/>
        <family val="2"/>
        <strike val="0"/>
        <outline val="0"/>
        <shadow val="0"/>
        <sz val="10"/>
        <vertAlign val="baseline"/>
        <scheme val="minor"/>
      </font>
    </dxf>
    <dxf>
      <font>
        <name val="Posterama"/>
        <family val="2"/>
        <strike val="0"/>
        <outline val="0"/>
        <shadow val="0"/>
        <sz val="10"/>
        <vertAlign val="baseline"/>
        <scheme val="minor"/>
      </font>
    </dxf>
    <dxf>
      <font>
        <name val="Posterama"/>
        <family val="2"/>
        <strike val="0"/>
        <outline val="0"/>
        <shadow val="0"/>
        <sz val="10"/>
        <vertAlign val="baseline"/>
        <scheme val="minor"/>
      </font>
    </dxf>
    <dxf>
      <font>
        <name val="Posterama"/>
        <family val="2"/>
        <strike val="0"/>
        <outline val="0"/>
        <shadow val="0"/>
        <sz val="10"/>
        <vertAlign val="baseline"/>
        <scheme val="minor"/>
      </font>
    </dxf>
    <dxf>
      <font>
        <name val="Posterama"/>
        <family val="2"/>
        <strike val="0"/>
        <outline val="0"/>
        <shadow val="0"/>
        <sz val="10"/>
        <vertAlign val="baseline"/>
        <scheme val="minor"/>
      </font>
    </dxf>
    <dxf>
      <font>
        <name val="Posterama"/>
        <family val="2"/>
        <strike val="0"/>
        <outline val="0"/>
        <shadow val="0"/>
        <sz val="10"/>
        <vertAlign val="baseline"/>
        <scheme val="minor"/>
      </font>
    </dxf>
    <dxf>
      <font>
        <name val="Posterama"/>
        <family val="2"/>
        <strike val="0"/>
        <outline val="0"/>
        <shadow val="0"/>
        <sz val="10"/>
        <vertAlign val="baseline"/>
        <scheme val="minor"/>
      </font>
    </dxf>
    <dxf>
      <font>
        <name val="Posterama"/>
        <family val="2"/>
        <b val="1"/>
        <strike val="0"/>
        <outline val="0"/>
        <shadow val="0"/>
        <color theme="4"/>
        <sz val="16"/>
        <vertAlign val="baseline"/>
        <scheme val="minor"/>
      </font>
    </dxf>
    <dxf>
      <font>
        <name val="Posterama"/>
        <family val="2"/>
        <strike val="0"/>
        <outline val="0"/>
        <shadow val="0"/>
        <sz val="10"/>
        <vertAlign val="baseline"/>
        <scheme val="minor"/>
      </font>
      <alignment horizontal="center" vertical="center"/>
    </dxf>
    <dxf>
      <font>
        <name val="Posterama"/>
        <family val="2"/>
        <strike val="0"/>
        <outline val="0"/>
        <shadow val="0"/>
        <condense val="0"/>
        <color theme="1" tint="0.249946592608417"/>
        <extend val="0"/>
        <sz val="10"/>
        <vertAlign val="baseline"/>
        <scheme val="minor"/>
      </font>
      <numFmt numFmtId="12" formatCode="&quot;$&quot;#,##0.00_);[Red]\(&quot;$&quot;#,##0.00\)"/>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condense val="0"/>
        <color theme="1" tint="0.249946592608417"/>
        <extend val="0"/>
        <sz val="10"/>
        <vertAlign val="baseline"/>
        <scheme val="minor"/>
      </font>
      <numFmt numFmtId="12" formatCode="&quot;$&quot;#,##0.00_);[Red]\(&quot;$&quot;#,##0.00\)"/>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condense val="0"/>
        <color theme="1" tint="0.249946592608417"/>
        <extend val="0"/>
        <sz val="10"/>
        <vertAlign val="baseline"/>
        <scheme val="minor"/>
      </font>
      <numFmt numFmtId="12" formatCode="&quot;$&quot;#,##0.00_);[Red]\(&quot;$&quot;#,##0.00\)"/>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condense val="0"/>
        <color theme="1" tint="0.249946592608417"/>
        <extend val="0"/>
        <sz val="10"/>
        <vertAlign val="baseline"/>
        <scheme val="minor"/>
      </font>
      <numFmt numFmtId="12" formatCode="&quot;$&quot;#,##0.00_);[Red]\(&quot;$&quot;#,##0.00\)"/>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condense val="0"/>
        <color theme="1" tint="0.249946592608417"/>
        <extend val="0"/>
        <sz val="10"/>
        <vertAlign val="baseline"/>
        <scheme val="minor"/>
      </font>
      <numFmt numFmtId="12" formatCode="&quot;$&quot;#,##0.00_);[Red]\(&quot;$&quot;#,##0.00\)"/>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condense val="0"/>
        <color theme="1" tint="0.249946592608417"/>
        <extend val="0"/>
        <sz val="10"/>
        <vertAlign val="baseline"/>
        <scheme val="minor"/>
      </font>
      <numFmt numFmtId="12" formatCode="&quot;$&quot;#,##0.00_);[Red]\(&quot;$&quot;#,##0.00\)"/>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condense val="0"/>
        <color theme="1" tint="0.249946592608417"/>
        <extend val="0"/>
        <sz val="10"/>
        <vertAlign val="baseline"/>
        <scheme val="minor"/>
      </font>
      <numFmt numFmtId="12" formatCode="&quot;$&quot;#,##0.00_);[Red]\(&quot;$&quot;#,##0.00\)"/>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condense val="0"/>
        <color theme="1" tint="0.249946592608417"/>
        <extend val="0"/>
        <sz val="10"/>
        <vertAlign val="baseline"/>
        <scheme val="minor"/>
      </font>
      <numFmt numFmtId="12" formatCode="&quot;$&quot;#,##0.00_);[Red]\(&quot;$&quot;#,##0.00\)"/>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condense val="0"/>
        <color theme="1" tint="0.249946592608417"/>
        <extend val="0"/>
        <sz val="10"/>
        <vertAlign val="baseline"/>
        <scheme val="minor"/>
      </font>
      <numFmt numFmtId="12" formatCode="&quot;$&quot;#,##0.00_);[Red]\(&quot;$&quot;#,##0.00\)"/>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condense val="0"/>
        <color theme="1" tint="0.249946592608417"/>
        <extend val="0"/>
        <sz val="10"/>
        <vertAlign val="baseline"/>
        <scheme val="minor"/>
      </font>
      <numFmt numFmtId="12" formatCode="&quot;$&quot;#,##0.00_);[Red]\(&quot;$&quot;#,##0.00\)"/>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condense val="0"/>
        <color theme="1" tint="0.249946592608417"/>
        <extend val="0"/>
        <sz val="10"/>
        <vertAlign val="baseline"/>
        <scheme val="minor"/>
      </font>
      <numFmt numFmtId="12" formatCode="&quot;$&quot;#,##0.00_);[Red]\(&quot;$&quot;#,##0.00\)"/>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condense val="0"/>
        <color theme="1" tint="0.249946592608417"/>
        <extend val="0"/>
        <sz val="10"/>
        <vertAlign val="baseline"/>
        <scheme val="minor"/>
      </font>
      <numFmt numFmtId="12" formatCode="&quot;$&quot;#,##0.00_);[Red]\(&quot;$&quot;#,##0.00\)"/>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condense val="0"/>
        <color theme="1" tint="0.249946592608417"/>
        <extend val="0"/>
        <sz val="10"/>
        <vertAlign val="baseline"/>
        <scheme val="minor"/>
      </font>
      <numFmt numFmtId="12" formatCode="&quot;$&quot;#,##0.00_);[Red]\(&quot;$&quot;#,##0.00\)"/>
      <alignment horizontal="center" vertical="center"/>
    </dxf>
    <dxf>
      <font>
        <name val="Posterama"/>
        <family val="2"/>
        <strike val="0"/>
        <outline val="0"/>
        <shadow val="0"/>
        <color theme="1" tint="0.249946592608417"/>
        <sz val="12"/>
        <vertAlign val="baseline"/>
        <scheme val="minor"/>
      </font>
    </dxf>
    <dxf>
      <font>
        <name val="Posterama"/>
        <family val="2"/>
        <strike val="0"/>
        <outline val="0"/>
        <shadow val="0"/>
        <condense val="0"/>
        <color theme="1" tint="0.249946592608417"/>
        <extend val="0"/>
        <sz val="12"/>
        <vertAlign val="baseline"/>
        <scheme val="minor"/>
      </font>
      <alignment horizontal="left" vertical="center" indent="1"/>
    </dxf>
    <dxf>
      <font>
        <name val="Posterama"/>
        <family val="2"/>
        <strike val="0"/>
        <outline val="0"/>
        <shadow val="0"/>
        <vertAlign val="baseline"/>
        <scheme val="minor"/>
      </font>
    </dxf>
    <dxf>
      <font>
        <name val="Posterama"/>
        <family val="2"/>
        <strike val="0"/>
        <outline val="0"/>
        <shadow val="0"/>
        <vertAlign val="baseline"/>
        <scheme val="minor"/>
      </font>
    </dxf>
    <dxf>
      <font>
        <name val="Posterama"/>
        <family val="2"/>
        <strike val="0"/>
        <outline val="0"/>
        <shadow val="0"/>
        <sz val="16"/>
        <vertAlign val="baseline"/>
        <scheme val="minor"/>
      </font>
    </dxf>
    <dxf>
      <font>
        <name val="Posterama"/>
        <family val="2"/>
        <strike val="0"/>
        <outline val="0"/>
        <shadow val="0"/>
        <sz val="10"/>
        <vertAlign val="baseline"/>
        <scheme val="minor"/>
      </font>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color theme="1" tint="0.249946592608417"/>
        <sz val="12"/>
        <vertAlign val="baseline"/>
        <scheme val="minor"/>
      </font>
      <alignment horizontal="left" vertical="center" indent="1"/>
    </dxf>
    <dxf>
      <font>
        <name val="Posterama"/>
        <family val="2"/>
        <strike val="0"/>
        <outline val="0"/>
        <shadow val="0"/>
        <vertAlign val="baseline"/>
        <scheme val="minor"/>
      </font>
    </dxf>
    <dxf>
      <font>
        <name val="Posterama"/>
        <family val="2"/>
        <strike val="0"/>
        <outline val="0"/>
        <shadow val="0"/>
        <vertAlign val="baseline"/>
        <scheme val="minor"/>
      </font>
    </dxf>
    <dxf>
      <font>
        <name val="Posterama"/>
        <family val="2"/>
        <strike val="0"/>
        <outline val="0"/>
        <shadow val="0"/>
        <vertAlign val="baseline"/>
        <scheme val="minor"/>
      </font>
    </dxf>
    <dxf>
      <font>
        <name val="Posterama"/>
        <family val="2"/>
        <strike val="0"/>
        <outline val="0"/>
        <shadow val="0"/>
        <sz val="16"/>
        <vertAlign val="baseline"/>
        <scheme val="minor"/>
      </font>
    </dxf>
    <dxf>
      <font>
        <name val="Posterama"/>
        <family val="2"/>
        <strike val="0"/>
        <outline val="0"/>
        <shadow val="0"/>
        <sz val="10"/>
        <vertAlign val="baseline"/>
        <scheme val="minor"/>
      </font>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color theme="1" tint="0.249946592608417"/>
        <sz val="12"/>
        <vertAlign val="baseline"/>
        <scheme val="minor"/>
      </font>
      <alignment horizontal="left" vertical="center" indent="1"/>
    </dxf>
    <dxf>
      <font>
        <name val="Posterama"/>
        <family val="2"/>
        <strike val="0"/>
        <outline val="0"/>
        <shadow val="0"/>
        <vertAlign val="baseline"/>
        <scheme val="minor"/>
      </font>
    </dxf>
    <dxf>
      <font>
        <name val="Posterama"/>
        <family val="2"/>
        <strike val="0"/>
        <outline val="0"/>
        <shadow val="0"/>
        <vertAlign val="baseline"/>
        <scheme val="minor"/>
      </font>
    </dxf>
    <dxf>
      <font>
        <name val="Posterama"/>
        <family val="2"/>
        <strike val="0"/>
        <outline val="0"/>
        <shadow val="0"/>
        <vertAlign val="baseline"/>
        <scheme val="minor"/>
      </font>
    </dxf>
    <dxf>
      <font>
        <name val="Posterama"/>
        <family val="2"/>
        <strike val="0"/>
        <outline val="0"/>
        <shadow val="0"/>
        <sz val="16"/>
        <vertAlign val="baseline"/>
        <scheme val="minor"/>
      </font>
    </dxf>
    <dxf>
      <font>
        <name val="Posterama"/>
        <family val="2"/>
        <strike val="0"/>
        <outline val="0"/>
        <shadow val="0"/>
        <sz val="10"/>
        <vertAlign val="baseline"/>
        <scheme val="minor"/>
      </font>
      <alignment horizontal="center" vertical="center"/>
    </dxf>
    <dxf>
      <font>
        <name val="Posterama"/>
        <family val="2"/>
        <strike val="0"/>
        <outline val="0"/>
        <shadow val="0"/>
        <condense val="0"/>
        <color theme="1" tint="0.249946592608417"/>
        <extend val="0"/>
        <sz val="10"/>
        <vertAlign val="baseline"/>
        <scheme val="minor"/>
      </font>
      <numFmt numFmtId="12" formatCode="&quot;$&quot;#,##0.00_);[Red]\(&quot;$&quot;#,##0.00\)"/>
      <fill>
        <patternFill patternType="solid">
          <fgColor indexed="64"/>
          <bgColor theme="6" tint="0.3999450666829432"/>
        </patternFill>
      </fill>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condense val="0"/>
        <color theme="1" tint="0.249946592608417"/>
        <extend val="0"/>
        <sz val="10"/>
        <vertAlign val="baseline"/>
        <scheme val="minor"/>
      </font>
      <numFmt numFmtId="12" formatCode="&quot;$&quot;#,##0.00_);[Red]\(&quot;$&quot;#,##0.00\)"/>
      <fill>
        <patternFill patternType="solid">
          <fgColor indexed="64"/>
          <bgColor theme="6" tint="0.3999450666829432"/>
        </patternFill>
      </fill>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condense val="0"/>
        <color theme="1" tint="0.249946592608417"/>
        <extend val="0"/>
        <sz val="10"/>
        <vertAlign val="baseline"/>
        <scheme val="minor"/>
      </font>
      <numFmt numFmtId="12" formatCode="&quot;$&quot;#,##0.00_);[Red]\(&quot;$&quot;#,##0.00\)"/>
      <fill>
        <patternFill patternType="solid">
          <fgColor indexed="64"/>
          <bgColor theme="6" tint="0.3999450666829432"/>
        </patternFill>
      </fill>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condense val="0"/>
        <color theme="1" tint="0.249946592608417"/>
        <extend val="0"/>
        <sz val="10"/>
        <vertAlign val="baseline"/>
        <scheme val="minor"/>
      </font>
      <numFmt numFmtId="12" formatCode="&quot;$&quot;#,##0.00_);[Red]\(&quot;$&quot;#,##0.00\)"/>
      <fill>
        <patternFill patternType="solid">
          <fgColor indexed="64"/>
          <bgColor theme="6" tint="0.3999450666829432"/>
        </patternFill>
      </fill>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condense val="0"/>
        <color theme="1" tint="0.249946592608417"/>
        <extend val="0"/>
        <sz val="10"/>
        <vertAlign val="baseline"/>
        <scheme val="minor"/>
      </font>
      <numFmt numFmtId="12" formatCode="&quot;$&quot;#,##0.00_);[Red]\(&quot;$&quot;#,##0.00\)"/>
      <fill>
        <patternFill patternType="solid">
          <fgColor indexed="64"/>
          <bgColor theme="6" tint="0.3999450666829432"/>
        </patternFill>
      </fill>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condense val="0"/>
        <color theme="1" tint="0.249946592608417"/>
        <extend val="0"/>
        <sz val="10"/>
        <vertAlign val="baseline"/>
        <scheme val="minor"/>
      </font>
      <numFmt numFmtId="12" formatCode="&quot;$&quot;#,##0.00_);[Red]\(&quot;$&quot;#,##0.00\)"/>
      <fill>
        <patternFill patternType="solid">
          <fgColor indexed="64"/>
          <bgColor theme="6" tint="0.3999450666829432"/>
        </patternFill>
      </fill>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condense val="0"/>
        <color theme="1" tint="0.249946592608417"/>
        <extend val="0"/>
        <sz val="10"/>
        <vertAlign val="baseline"/>
        <scheme val="minor"/>
      </font>
      <numFmt numFmtId="12" formatCode="&quot;$&quot;#,##0.00_);[Red]\(&quot;$&quot;#,##0.00\)"/>
      <fill>
        <patternFill patternType="solid">
          <fgColor indexed="64"/>
          <bgColor theme="6" tint="0.3999450666829432"/>
        </patternFill>
      </fill>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condense val="0"/>
        <color theme="1" tint="0.249946592608417"/>
        <extend val="0"/>
        <sz val="10"/>
        <vertAlign val="baseline"/>
        <scheme val="minor"/>
      </font>
      <numFmt numFmtId="12" formatCode="&quot;$&quot;#,##0.00_);[Red]\(&quot;$&quot;#,##0.00\)"/>
      <fill>
        <patternFill patternType="solid">
          <fgColor indexed="64"/>
          <bgColor theme="6" tint="0.3999450666829432"/>
        </patternFill>
      </fill>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condense val="0"/>
        <color theme="1" tint="0.249946592608417"/>
        <extend val="0"/>
        <sz val="10"/>
        <vertAlign val="baseline"/>
        <scheme val="minor"/>
      </font>
      <numFmt numFmtId="12" formatCode="&quot;$&quot;#,##0.00_);[Red]\(&quot;$&quot;#,##0.00\)"/>
      <fill>
        <patternFill patternType="solid">
          <fgColor indexed="64"/>
          <bgColor theme="6" tint="0.3999450666829432"/>
        </patternFill>
      </fill>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condense val="0"/>
        <color theme="1" tint="0.249946592608417"/>
        <extend val="0"/>
        <sz val="10"/>
        <vertAlign val="baseline"/>
        <scheme val="minor"/>
      </font>
      <numFmt numFmtId="12" formatCode="&quot;$&quot;#,##0.00_);[Red]\(&quot;$&quot;#,##0.00\)"/>
      <fill>
        <patternFill patternType="solid">
          <fgColor indexed="64"/>
          <bgColor theme="6" tint="0.3999450666829432"/>
        </patternFill>
      </fill>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condense val="0"/>
        <color theme="1" tint="0.249946592608417"/>
        <extend val="0"/>
        <sz val="10"/>
        <vertAlign val="baseline"/>
        <scheme val="minor"/>
      </font>
      <numFmt numFmtId="12" formatCode="&quot;$&quot;#,##0.00_);[Red]\(&quot;$&quot;#,##0.00\)"/>
      <fill>
        <patternFill patternType="solid">
          <fgColor indexed="64"/>
          <bgColor theme="6" tint="0.3999450666829432"/>
        </patternFill>
      </fill>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condense val="0"/>
        <color theme="1" tint="0.249946592608417"/>
        <extend val="0"/>
        <sz val="10"/>
        <vertAlign val="baseline"/>
        <scheme val="minor"/>
      </font>
      <numFmt numFmtId="12" formatCode="&quot;$&quot;#,##0.00_);[Red]\(&quot;$&quot;#,##0.00\)"/>
      <fill>
        <patternFill patternType="solid">
          <fgColor indexed="64"/>
          <bgColor theme="6" tint="0.3999450666829432"/>
        </patternFill>
      </fill>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condense val="0"/>
        <color theme="1" tint="0.249946592608417"/>
        <extend val="0"/>
        <sz val="10"/>
        <vertAlign val="baseline"/>
        <scheme val="minor"/>
      </font>
      <numFmt numFmtId="12" formatCode="&quot;$&quot;#,##0.00_);[Red]\(&quot;$&quot;#,##0.00\)"/>
      <fill>
        <patternFill patternType="solid">
          <fgColor indexed="64"/>
          <bgColor theme="6" tint="0.3999450666829432"/>
        </patternFill>
      </fill>
      <alignment horizontal="center" vertical="center"/>
    </dxf>
    <dxf>
      <font>
        <name val="Posterama"/>
        <family val="2"/>
        <strike val="0"/>
        <outline val="0"/>
        <shadow val="0"/>
        <color theme="1" tint="0.249946592608417"/>
        <sz val="12"/>
        <vertAlign val="baseline"/>
        <scheme val="minor"/>
      </font>
      <alignment horizontal="left" vertical="center" indent="1"/>
    </dxf>
    <dxf>
      <font>
        <name val="Posterama"/>
        <family val="2"/>
        <strike val="0"/>
        <outline val="0"/>
        <shadow val="0"/>
        <condense val="0"/>
        <color theme="1" tint="0.249946592608417"/>
        <extend val="0"/>
        <sz val="12"/>
        <vertAlign val="baseline"/>
        <scheme val="minor"/>
      </font>
      <fill>
        <patternFill patternType="solid">
          <fgColor indexed="64"/>
          <bgColor theme="6" tint="0.3999450666829432"/>
        </patternFill>
      </fill>
      <alignment horizontal="left" vertical="center" indent="1"/>
    </dxf>
    <dxf>
      <font>
        <name val="Posterama"/>
        <family val="2"/>
        <strike val="0"/>
        <outline val="0"/>
        <shadow val="0"/>
        <vertAlign val="baseline"/>
        <scheme val="minor"/>
      </font>
    </dxf>
    <dxf>
      <font>
        <name val="Posterama"/>
        <family val="2"/>
        <strike val="0"/>
        <outline val="0"/>
        <shadow val="0"/>
        <vertAlign val="baseline"/>
        <scheme val="minor"/>
      </font>
    </dxf>
    <dxf>
      <font>
        <name val="Posterama"/>
        <family val="2"/>
        <strike val="0"/>
        <outline val="0"/>
        <shadow val="0"/>
        <sz val="16"/>
        <vertAlign val="baseline"/>
        <scheme val="minor"/>
      </font>
    </dxf>
    <dxf>
      <font>
        <b val="1"/>
        <color theme="1"/>
      </font>
    </dxf>
    <dxf>
      <font>
        <b val="1"/>
        <color theme="4"/>
      </font>
      <fill>
        <patternFill>
          <fgColor theme="7"/>
          <bgColor theme="7"/>
        </patternFill>
      </fill>
      <border>
        <top/>
        <bottom/>
      </border>
    </dxf>
    <dxf>
      <font>
        <color theme="1"/>
      </font>
      <fill>
        <patternFill>
          <bgColor theme="0" tint="-0.0499893185216834"/>
        </patternFill>
      </fill>
      <border>
        <left/>
        <right/>
        <top style="thin">
          <color theme="7" tint="-0.09994811853389081"/>
        </top>
        <bottom style="thin">
          <color theme="7" tint="-0.09994811853389081"/>
        </bottom>
        <vertical/>
        <horizontal style="thin">
          <color theme="7" tint="-0.09994811853389081"/>
        </horizontal>
      </border>
    </dxf>
    <dxf>
      <fill>
        <patternFill>
          <bgColor theme="7" tint="-0.09994811853389081"/>
        </patternFill>
      </fill>
    </dxf>
    <dxf>
      <font>
        <b val="1"/>
        <color theme="1"/>
      </font>
    </dxf>
    <dxf>
      <fill>
        <patternFill>
          <bgColor theme="7"/>
        </patternFill>
      </fill>
    </dxf>
    <dxf>
      <font>
        <b val="1"/>
        <color theme="4"/>
      </font>
      <fill>
        <patternFill>
          <bgColor theme="0" tint="-0.1499679555650502"/>
        </patternFill>
      </fill>
      <border>
        <top/>
        <bottom/>
      </border>
    </dxf>
    <dxf>
      <font>
        <color theme="1"/>
      </font>
      <fill>
        <patternFill>
          <bgColor theme="0" tint="-0.0499893185216834"/>
        </patternFill>
      </fill>
      <border>
        <left/>
        <right/>
        <top style="thin">
          <color theme="7" tint="-0.09994811853389081"/>
        </top>
        <bottom style="thin">
          <color theme="7" tint="-0.09994811853389081"/>
        </bottom>
        <vertical/>
        <horizontal style="thin">
          <color theme="7" tint="-0.09994811853389081"/>
        </horizontal>
      </border>
    </dxf>
  </dxfs>
  <tableStyles count="2" defaultTableStyle="Table Style 1" defaultPivotStyle="PivotStyleLight16">
    <tableStyle name="Table Style 1" pivot="0" count="5">
      <tableStyleElement type="wholeTable" dxfId="439"/>
      <tableStyleElement type="headerRow" dxfId="438"/>
      <tableStyleElement type="totalRow" dxfId="437"/>
      <tableStyleElement type="firstColumn" dxfId="436"/>
      <tableStyleElement type="lastColumn" dxfId="435"/>
    </tableStyle>
    <tableStyle name="Table Style 1 2" pivot="0" count="3">
      <tableStyleElement type="wholeTable" dxfId="434"/>
      <tableStyleElement type="headerRow" dxfId="433"/>
      <tableStyleElement type="firstColumn" dxfId="432"/>
    </tableStyle>
  </tableStyle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harts/chart1.xml><?xml version="1.0" encoding="utf-8"?>
<chartSpace xmlns:a="http://schemas.openxmlformats.org/drawingml/2006/main" xmlns="http://schemas.openxmlformats.org/drawingml/2006/chart">
  <chart>
    <title>
      <tx>
        <rich>
          <a:bodyPr rot="0" spcFirstLastPara="1" vertOverflow="ellipsis" vert="horz" wrap="square" anchor="ctr" anchorCtr="1"/>
          <a:lstStyle/>
          <a:p>
            <a:pPr>
              <a:defRPr sz="1400" b="1" i="0" strike="noStrike" kern="1200" spc="0" baseline="0">
                <a:solidFill>
                  <a:schemeClr val="accent1"/>
                </a:solidFill>
                <a:latin typeface="+mn-lt"/>
                <a:ea typeface="+mn-ea"/>
                <a:cs typeface="Posterama" panose="020B0504020200020000" pitchFamily="34" charset="0"/>
              </a:defRPr>
            </a:pPr>
            <a:r>
              <a:rPr lang="en-US" sz="1400" b="1" baseline="0">
                <a:solidFill>
                  <a:schemeClr val="accent1"/>
                </a:solidFill>
                <a:latin typeface="+mn-lt"/>
              </a:rPr>
              <a:t>MONTHLY EXPENSES</a:t>
            </a:r>
          </a:p>
        </rich>
      </tx>
      <layout>
        <manualLayout>
          <xMode val="edge"/>
          <yMode val="edge"/>
          <wMode val="factor"/>
          <hMode val="factor"/>
          <x val="0.01430665072970005"/>
          <y val="0.008903176794300485"/>
        </manualLayout>
      </layout>
      <overlay val="0"/>
      <spPr>
        <a:noFill/>
        <a:ln>
          <a:noFill/>
          <a:prstDash val="solid"/>
        </a:ln>
      </spPr>
      <txPr>
        <a:bodyPr rot="0" spcFirstLastPara="1" vertOverflow="ellipsis" vert="horz" wrap="square" anchor="ctr" anchorCtr="1"/>
        <a:lstStyle/>
        <a:p>
          <a:pPr>
            <a:defRPr sz="1400" b="1" i="0" strike="noStrike" kern="1200" spc="0" baseline="0">
              <a:solidFill>
                <a:schemeClr val="accent1"/>
              </a:solidFill>
              <a:latin typeface="+mn-lt"/>
              <a:ea typeface="+mn-ea"/>
              <a:cs typeface="Posterama" panose="020B0504020200020000" pitchFamily="34" charset="0"/>
            </a:defRPr>
          </a:pPr>
          <a:r>
            <a:t/>
          </a:r>
          <a:endParaRPr lang="en-US"/>
        </a:p>
      </txPr>
    </title>
    <plotArea>
      <layout>
        <manualLayout>
          <layoutTarget val="inner"/>
          <xMode val="edge"/>
          <yMode val="edge"/>
          <wMode val="factor"/>
          <hMode val="factor"/>
          <x val="0.1190554597779475"/>
          <y val="0.1740879931387239"/>
          <w val="0.8646018399985307"/>
          <h val="0.769581469597086"/>
        </manualLayout>
      </layout>
      <barChart>
        <barDir val="col"/>
        <grouping val="clustered"/>
        <varyColors val="0"/>
        <ser>
          <idx val="1"/>
          <order val="0"/>
          <tx>
            <v>Planned</v>
          </tx>
          <spPr>
            <a:solidFill>
              <a:schemeClr val="accent1">
                <a:lumMod val="20000"/>
                <a:lumOff val="80000"/>
              </a:schemeClr>
            </a:solidFill>
            <a:ln>
              <a:noFill/>
              <a:prstDash val="solid"/>
            </a:ln>
          </spPr>
          <invertIfNegative val="0"/>
          <val>
            <numRef>
              <f>'PLANNED EXPENSES'!$C$37:$N$37</f>
              <numCache>
                <formatCode>"$"#,##0.00_);[Red]\("$"#,##0.00\)</formatCode>
                <ptCount val="12"/>
                <pt idx="0">
                  <v>131720</v>
                </pt>
                <pt idx="1">
                  <v>126820</v>
                </pt>
                <pt idx="2">
                  <v>126820</v>
                </pt>
                <pt idx="3">
                  <v>137695</v>
                </pt>
                <pt idx="4">
                  <v>129695</v>
                </pt>
                <pt idx="5">
                  <v>130495</v>
                </pt>
                <pt idx="6">
                  <v>134695</v>
                </pt>
                <pt idx="7">
                  <v>138918</v>
                </pt>
                <pt idx="8">
                  <v>135918</v>
                </pt>
                <pt idx="9">
                  <v>140918</v>
                </pt>
                <pt idx="10">
                  <v>136218</v>
                </pt>
                <pt idx="11">
                  <v>140018</v>
                </pt>
              </numCache>
            </numRef>
          </val>
        </ser>
        <ser>
          <idx val="2"/>
          <order val="1"/>
          <tx>
            <v>Actual</v>
          </tx>
          <spPr>
            <a:solidFill>
              <a:schemeClr val="accent4"/>
            </a:solidFill>
            <a:ln>
              <a:noFill/>
              <a:prstDash val="solid"/>
            </a:ln>
          </spPr>
          <invertIfNegative val="0"/>
          <val>
            <numRef>
              <f>'ACTUAL EXPENSES'!$C$37:$N$37</f>
              <numCache>
                <formatCode>"$"#,##0.00_);[Red]\("$"#,##0.00\)</formatCode>
                <ptCount val="12"/>
                <pt idx="0">
                  <v>129682</v>
                </pt>
                <pt idx="1">
                  <v>127804</v>
                </pt>
                <pt idx="2">
                  <v>125565</v>
                </pt>
                <pt idx="3">
                  <v>137394</v>
                </pt>
                <pt idx="4">
                  <v>128255</v>
                </pt>
                <pt idx="5">
                  <v>134239</v>
                </pt>
                <pt idx="6">
                  <v>0</v>
                </pt>
                <pt idx="7">
                  <v>0</v>
                </pt>
                <pt idx="8">
                  <v>0</v>
                </pt>
                <pt idx="9">
                  <v>0</v>
                </pt>
                <pt idx="10">
                  <v>0</v>
                </pt>
                <pt idx="11">
                  <v>0</v>
                </pt>
              </numCache>
            </numRef>
          </val>
        </ser>
        <dLbls>
          <showLegendKey val="0"/>
          <showVal val="0"/>
          <showCatName val="0"/>
          <showSerName val="0"/>
          <showPercent val="0"/>
          <showBubbleSize val="0"/>
        </dLbls>
        <gapWidth val="100"/>
        <axId val="362146616"/>
        <axId val="362147008"/>
      </barChart>
      <lineChart>
        <grouping val="standard"/>
        <varyColors val="0"/>
        <ser>
          <idx val="3"/>
          <order val="3"/>
          <tx>
            <v>Variance</v>
          </tx>
          <spPr>
            <a:ln w="28575" cap="rnd">
              <a:solidFill>
                <a:schemeClr val="accent3"/>
              </a:solidFill>
              <a:prstDash val="solid"/>
              <a:round/>
            </a:ln>
          </spPr>
          <marker>
            <symbol val="none"/>
            <spPr>
              <a:ln>
                <a:prstDash val="solid"/>
              </a:ln>
            </spPr>
          </marker>
          <val>
            <numRef>
              <f>'EXPENSE VARIANCES'!$C$37:$N$37</f>
              <numCache>
                <formatCode>"$"#,##0.00_);[Red]\("$"#,##0.00\)</formatCode>
                <ptCount val="12"/>
                <pt idx="0">
                  <v>2038</v>
                </pt>
                <pt idx="1">
                  <v>-984</v>
                </pt>
                <pt idx="2">
                  <v>1255</v>
                </pt>
                <pt idx="3">
                  <v>301</v>
                </pt>
                <pt idx="4">
                  <v>1440</v>
                </pt>
                <pt idx="5">
                  <v>-3744</v>
                </pt>
                <pt idx="6">
                  <v>134695</v>
                </pt>
                <pt idx="7">
                  <v>138918</v>
                </pt>
                <pt idx="8">
                  <v>135918</v>
                </pt>
                <pt idx="9">
                  <v>140918</v>
                </pt>
                <pt idx="10">
                  <v>136218</v>
                </pt>
                <pt idx="11">
                  <v>140018</v>
                </pt>
              </numCache>
            </numRef>
          </val>
          <smooth val="0"/>
        </ser>
        <dLbls>
          <showLegendKey val="0"/>
          <showVal val="0"/>
          <showCatName val="0"/>
          <showSerName val="0"/>
          <showPercent val="0"/>
          <showBubbleSize val="0"/>
        </dLbls>
        <marker val="1"/>
        <smooth val="0"/>
        <axId val="362146616"/>
        <axId val="362147008"/>
      </lineChart>
      <catAx>
        <axId val="362146616"/>
        <scaling>
          <orientation val="minMax"/>
        </scaling>
        <delete val="0"/>
        <axPos val="b"/>
        <title>
          <tx>
            <rich>
              <a:bodyPr rot="0" spcFirstLastPara="1" vertOverflow="ellipsis" vert="horz" wrap="square" anchor="ctr" anchorCtr="1"/>
              <a:lstStyle/>
              <a:p>
                <a:pPr>
                  <a:defRPr sz="1400" b="1" i="0" strike="noStrike" kern="1200" baseline="0">
                    <a:solidFill>
                      <a:schemeClr val="accent1"/>
                    </a:solidFill>
                    <a:latin typeface="+mn-lt"/>
                    <a:ea typeface="+mn-ea"/>
                    <a:cs typeface="Posterama" panose="020B0504020200020000" pitchFamily="34" charset="0"/>
                  </a:defRPr>
                </a:pPr>
                <a:r>
                  <a:rPr lang="en-US" sz="1400" b="1" baseline="0">
                    <a:solidFill>
                      <a:schemeClr val="accent1"/>
                    </a:solidFill>
                    <a:latin typeface="+mn-lt"/>
                  </a:rPr>
                  <a:t>Month</a:t>
                </a:r>
              </a:p>
            </rich>
          </tx>
          <layout>
            <manualLayout>
              <xMode val="edge"/>
              <yMode val="edge"/>
              <wMode val="factor"/>
              <hMode val="factor"/>
              <x val="0.4705244861650826"/>
              <y val="0.9456421887955623"/>
            </manualLayout>
          </layout>
          <overlay val="0"/>
          <spPr>
            <a:noFill/>
            <a:ln>
              <a:noFill/>
              <a:prstDash val="solid"/>
            </a:ln>
          </spPr>
          <txPr>
            <a:bodyPr rot="0" spcFirstLastPara="1" vertOverflow="ellipsis" vert="horz" wrap="square" anchor="ctr" anchorCtr="1"/>
            <a:lstStyle/>
            <a:p>
              <a:pPr>
                <a:defRPr sz="1400" b="1" i="0" strike="noStrike" kern="1200" baseline="0">
                  <a:solidFill>
                    <a:schemeClr val="accent1"/>
                  </a:solidFill>
                  <a:latin typeface="+mn-lt"/>
                  <a:ea typeface="+mn-ea"/>
                  <a:cs typeface="Posterama" panose="020B0504020200020000" pitchFamily="34" charset="0"/>
                </a:defRPr>
              </a:pPr>
              <a:r>
                <a:t/>
              </a:r>
              <a:endParaRPr lang="en-US"/>
            </a:p>
          </txPr>
        </title>
        <majorTickMark val="none"/>
        <minorTickMark val="none"/>
        <tickLblPos val="nextTo"/>
        <spPr>
          <a:noFill/>
          <a:ln w="9525" cap="flat" cmpd="sng" algn="ctr">
            <a:solidFill>
              <a:schemeClr val="tx1">
                <a:lumMod val="15000"/>
                <a:lumOff val="85000"/>
              </a:schemeClr>
            </a:solidFill>
            <a:prstDash val="solid"/>
            <a:round/>
          </a:ln>
        </spPr>
        <txPr>
          <a:bodyPr rot="-60000000" spcFirstLastPara="1" vertOverflow="ellipsis" vert="horz" wrap="square" anchor="ctr" anchorCtr="1"/>
          <a:lstStyle/>
          <a:p>
            <a:pPr>
              <a:defRPr sz="1000" b="0" i="0" strike="noStrike" kern="1200" baseline="0">
                <a:solidFill>
                  <a:schemeClr val="tx1"/>
                </a:solidFill>
                <a:latin typeface="+mn-lt"/>
                <a:ea typeface="+mn-ea"/>
                <a:cs typeface="Posterama" panose="020B0504020200020000" pitchFamily="34" charset="0"/>
              </a:defRPr>
            </a:pPr>
            <a:r>
              <a:t/>
            </a:r>
            <a:endParaRPr lang="en-US"/>
          </a:p>
        </txPr>
        <crossAx val="362147008"/>
        <crosses val="autoZero"/>
        <auto val="1"/>
        <lblAlgn val="ctr"/>
        <lblOffset val="100"/>
        <noMultiLvlLbl val="0"/>
      </catAx>
      <valAx>
        <axId val="362147008"/>
        <scaling>
          <orientation val="minMax"/>
        </scaling>
        <delete val="0"/>
        <axPos val="l"/>
        <majorGridlines>
          <spPr>
            <a:ln w="3175" cap="flat" cmpd="sng" algn="ctr">
              <a:solidFill>
                <a:schemeClr val="bg1">
                  <a:alpha val="25000"/>
                  <a:lumMod val="75000"/>
                </a:schemeClr>
              </a:solidFill>
              <a:prstDash val="solid"/>
              <a:round/>
            </a:ln>
          </spPr>
        </majorGridlines>
        <title>
          <tx>
            <rich>
              <a:bodyPr rot="-5400000" spcFirstLastPara="1" vertOverflow="ellipsis" vert="horz" wrap="square" anchor="ctr" anchorCtr="1"/>
              <a:lstStyle/>
              <a:p>
                <a:pPr>
                  <a:defRPr sz="1400" b="1" i="0" strike="noStrike" kern="1200" baseline="0">
                    <a:solidFill>
                      <a:schemeClr val="accent1"/>
                    </a:solidFill>
                    <a:latin typeface="+mn-lt"/>
                    <a:ea typeface="+mn-ea"/>
                    <a:cs typeface="Posterama" panose="020B0504020200020000" pitchFamily="34" charset="0"/>
                  </a:defRPr>
                </a:pPr>
                <a:r>
                  <a:rPr lang="en-US" sz="1400" b="1" baseline="0">
                    <a:solidFill>
                      <a:schemeClr val="accent1"/>
                    </a:solidFill>
                    <a:latin typeface="+mn-lt"/>
                  </a:rPr>
                  <a:t>Expenses</a:t>
                </a:r>
              </a:p>
            </rich>
          </tx>
          <layout>
            <manualLayout>
              <xMode val="edge"/>
              <yMode val="edge"/>
              <wMode val="factor"/>
              <hMode val="factor"/>
              <x val="0.02767859137856468"/>
              <y val="0.506340576342231"/>
            </manualLayout>
          </layout>
          <overlay val="0"/>
          <spPr>
            <a:noFill/>
            <a:ln>
              <a:noFill/>
              <a:prstDash val="solid"/>
            </a:ln>
          </spPr>
          <txPr>
            <a:bodyPr rot="-5400000" spcFirstLastPara="1" vertOverflow="ellipsis" vert="horz" wrap="square" anchor="ctr" anchorCtr="1"/>
            <a:lstStyle/>
            <a:p>
              <a:pPr>
                <a:defRPr sz="1400" b="1" i="0" strike="noStrike" kern="1200" baseline="0">
                  <a:solidFill>
                    <a:schemeClr val="accent1"/>
                  </a:solidFill>
                  <a:latin typeface="+mn-lt"/>
                  <a:ea typeface="+mn-ea"/>
                  <a:cs typeface="Posterama" panose="020B0504020200020000" pitchFamily="34" charset="0"/>
                </a:defRPr>
              </a:pPr>
              <a:r>
                <a:t/>
              </a:r>
              <a:endParaRPr lang="en-US"/>
            </a:p>
          </txPr>
        </title>
        <numFmt formatCode="&quot;$&quot;#,##0_);[Red]\(&quot;$&quot;#,##0\)" sourceLinked="0"/>
        <majorTickMark val="none"/>
        <minorTickMark val="none"/>
        <tickLblPos val="nextTo"/>
        <spPr>
          <a:noFill/>
          <a:ln>
            <a:noFill/>
            <a:prstDash val="solid"/>
          </a:ln>
        </spPr>
        <txPr>
          <a:bodyPr rot="-60000000" spcFirstLastPara="1" vertOverflow="ellipsis" vert="horz" wrap="square" anchor="ctr" anchorCtr="1"/>
          <a:lstStyle/>
          <a:p>
            <a:pPr>
              <a:defRPr sz="1000" b="0" i="0" strike="noStrike" kern="1200" baseline="0">
                <a:solidFill>
                  <a:schemeClr val="tx1"/>
                </a:solidFill>
                <a:latin typeface="+mn-lt"/>
                <a:ea typeface="+mn-ea"/>
                <a:cs typeface="Posterama" panose="020B0504020200020000" pitchFamily="34" charset="0"/>
              </a:defRPr>
            </a:pPr>
            <a:r>
              <a:t/>
            </a:r>
            <a:endParaRPr lang="en-US"/>
          </a:p>
        </txPr>
        <crossAx val="362146616"/>
        <crosses val="autoZero"/>
        <crossBetween val="between"/>
        <dispUnits>
          <builtInUnit val="tenThousands"/>
          <dispUnitsLbl>
            <layout>
              <manualLayout>
                <xMode val="edge"/>
                <yMode val="edge"/>
                <wMode val="factor"/>
                <hMode val="factor"/>
                <x val="0.03593889912657304"/>
                <y val="0.4092801814173135"/>
              </manualLayout>
            </layout>
            <spPr>
              <a:noFill/>
              <a:ln>
                <a:noFill/>
                <a:prstDash val="solid"/>
              </a:ln>
            </spPr>
            <txPr>
              <a:bodyPr rot="-5400000" spcFirstLastPara="1" vertOverflow="ellipsis" vert="horz" wrap="square" anchor="ctr" anchorCtr="1"/>
              <a:lstStyle/>
              <a:p>
                <a:pPr>
                  <a:defRPr sz="1000" b="1" i="0" strike="noStrike" kern="1200" baseline="0">
                    <a:solidFill>
                      <a:schemeClr val="accent1"/>
                    </a:solidFill>
                    <a:latin typeface="+mn-lt"/>
                    <a:ea typeface="+mn-ea"/>
                    <a:cs typeface="Posterama" panose="020B0504020200020000" pitchFamily="34" charset="0"/>
                  </a:defRPr>
                </a:pPr>
                <a:r>
                  <a:t/>
                </a:r>
                <a:endParaRPr lang="en-US"/>
              </a:p>
            </txPr>
          </dispUnitsLbl>
        </dispUnits>
      </valAx>
    </plotArea>
    <legend>
      <legendPos val="t"/>
      <layout>
        <manualLayout>
          <xMode val="edge"/>
          <yMode val="edge"/>
          <wMode val="factor"/>
          <hMode val="factor"/>
          <x val="0.0001858701250058523"/>
          <y val="0.07477412462126286"/>
          <w val="0.3387836821529476"/>
          <h val="0.03579789723106798"/>
        </manualLayout>
      </layout>
      <overlay val="0"/>
      <spPr>
        <a:noFill/>
        <a:ln>
          <a:noFill/>
          <a:prstDash val="solid"/>
        </a:ln>
      </spPr>
      <txPr>
        <a:bodyPr rot="0" spcFirstLastPara="1" vertOverflow="ellipsis" vert="horz" wrap="square" anchor="ctr" anchorCtr="1"/>
        <a:lstStyle/>
        <a:p>
          <a:pPr>
            <a:defRPr sz="1000" b="0" i="0" strike="noStrike" kern="1200" baseline="0">
              <a:solidFill>
                <a:schemeClr val="accent1"/>
              </a:solidFill>
              <a:latin typeface="+mn-lt"/>
              <a:ea typeface="+mn-ea"/>
              <a:cs typeface="Posterama" panose="020B0504020200020000" pitchFamily="34" charset="0"/>
            </a:defRPr>
          </a:pPr>
          <a:r>
            <a:t/>
          </a:r>
          <a:endParaRPr lang="en-US"/>
        </a:p>
      </txPr>
    </legend>
    <plotVisOnly val="1"/>
    <dispBlanksAs val="gap"/>
  </chart>
  <spPr>
    <a:noFill/>
    <a:ln w="9525" cap="flat" cmpd="sng" algn="ctr">
      <a:noFill/>
      <a:prstDash val="solid"/>
      <a:round/>
    </a:ln>
  </spPr>
</chartSpace>
</file>

<file path=xl/charts/chart2.xml><?xml version="1.0" encoding="utf-8"?>
<chartSpace xmlns:a="http://schemas.openxmlformats.org/drawingml/2006/main" xmlns="http://schemas.openxmlformats.org/drawingml/2006/chart">
  <chart>
    <plotArea>
      <layout>
        <manualLayout>
          <layoutTarget val="inner"/>
          <xMode val="edge"/>
          <yMode val="edge"/>
          <wMode val="factor"/>
          <hMode val="factor"/>
          <x val="0.1384769857303121"/>
          <y val="0.1733053988119535"/>
          <w val="0.7996813826390631"/>
          <h val="0.718534635133794"/>
        </manualLayout>
      </layout>
      <barChart>
        <barDir val="bar"/>
        <grouping val="clustered"/>
        <varyColors val="0"/>
        <ser>
          <idx val="0"/>
          <order val="0"/>
          <tx>
            <strRef>
              <f>'EXPENSE ANALYSIS'!$C$5</f>
              <strCache>
                <ptCount val="1"/>
                <pt idx="0">
                  <v>Planned expenses</v>
                </pt>
              </strCache>
            </strRef>
          </tx>
          <spPr>
            <a:solidFill>
              <a:schemeClr val="accent4"/>
            </a:solidFill>
            <a:ln w="19050">
              <a:noFill/>
              <a:prstDash val="solid"/>
            </a:ln>
          </spPr>
          <invertIfNegative val="0"/>
          <cat>
            <strRef>
              <f>'EXPENSE ANALYSIS'!$B$6:$B$9</f>
              <strCache>
                <ptCount val="4"/>
                <pt idx="0">
                  <v>Employee costs</v>
                </pt>
                <pt idx="1">
                  <v>Office costs</v>
                </pt>
                <pt idx="2">
                  <v>Marketing costs</v>
                </pt>
                <pt idx="3">
                  <v>Training/travel</v>
                </pt>
              </strCache>
            </strRef>
          </cat>
          <val>
            <numRef>
              <f>'EXPENSE ANALYSIS'!$C$6:$C$9</f>
              <numCache>
                <formatCode>"$"#,##0.00_);[Red]\("$"#,##0.00\)</formatCode>
                <ptCount val="4"/>
                <pt idx="0">
                  <v>1355090</v>
                </pt>
                <pt idx="1">
                  <v>139040</v>
                </pt>
                <pt idx="2">
                  <v>67800</v>
                </pt>
                <pt idx="3">
                  <v>48000</v>
                </pt>
              </numCache>
            </numRef>
          </val>
        </ser>
        <ser>
          <idx val="1"/>
          <order val="1"/>
          <tx>
            <strRef>
              <f>'EXPENSE ANALYSIS'!$D$5</f>
              <strCache>
                <ptCount val="1"/>
                <pt idx="0">
                  <v>Actual expenses</v>
                </pt>
              </strCache>
            </strRef>
          </tx>
          <spPr>
            <a:solidFill>
              <a:schemeClr val="accent1">
                <a:lumMod val="20000"/>
                <a:lumOff val="80000"/>
              </a:schemeClr>
            </a:solidFill>
            <a:ln w="19050">
              <a:noFill/>
              <a:prstDash val="solid"/>
            </a:ln>
          </spPr>
          <invertIfNegative val="0"/>
          <dPt>
            <idx val="0"/>
            <invertIfNegative val="0"/>
            <bubble3D val="0"/>
            <spPr>
              <a:solidFill>
                <a:schemeClr val="accent1">
                  <a:lumMod val="20000"/>
                  <a:lumOff val="80000"/>
                </a:schemeClr>
              </a:solidFill>
              <a:ln w="19050">
                <a:noFill/>
                <a:prstDash val="solid"/>
              </a:ln>
            </spPr>
          </dPt>
          <dPt>
            <idx val="1"/>
            <invertIfNegative val="0"/>
            <bubble3D val="0"/>
            <spPr>
              <a:solidFill>
                <a:schemeClr val="accent1">
                  <a:lumMod val="20000"/>
                  <a:lumOff val="80000"/>
                </a:schemeClr>
              </a:solidFill>
              <a:ln w="19050">
                <a:noFill/>
                <a:prstDash val="solid"/>
              </a:ln>
            </spPr>
          </dPt>
          <dPt>
            <idx val="2"/>
            <invertIfNegative val="0"/>
            <bubble3D val="0"/>
            <spPr>
              <a:solidFill>
                <a:schemeClr val="accent1">
                  <a:lumMod val="20000"/>
                  <a:lumOff val="80000"/>
                </a:schemeClr>
              </a:solidFill>
              <a:ln w="19050">
                <a:noFill/>
                <a:prstDash val="solid"/>
              </a:ln>
            </spPr>
          </dPt>
          <dPt>
            <idx val="3"/>
            <invertIfNegative val="0"/>
            <bubble3D val="0"/>
            <spPr>
              <a:solidFill>
                <a:schemeClr val="accent1">
                  <a:lumMod val="20000"/>
                  <a:lumOff val="80000"/>
                </a:schemeClr>
              </a:solidFill>
              <a:ln w="19050">
                <a:noFill/>
                <a:prstDash val="solid"/>
              </a:ln>
            </spPr>
          </dPt>
          <cat>
            <strRef>
              <f>'EXPENSE ANALYSIS'!$B$6:$B$9</f>
              <strCache>
                <ptCount val="4"/>
                <pt idx="0">
                  <v>Employee costs</v>
                </pt>
                <pt idx="1">
                  <v>Office costs</v>
                </pt>
                <pt idx="2">
                  <v>Marketing costs</v>
                </pt>
                <pt idx="3">
                  <v>Training/travel</v>
                </pt>
              </strCache>
            </strRef>
          </cat>
          <val>
            <numRef>
              <f>'EXPENSE ANALYSIS'!$D$6:$D$9</f>
              <numCache>
                <formatCode>"$"#,##0.00_);[Red]\("$"#,##0.00\)</formatCode>
                <ptCount val="4"/>
                <pt idx="0">
                  <v>659130</v>
                </pt>
                <pt idx="1">
                  <v>69350</v>
                </pt>
                <pt idx="2">
                  <v>33159</v>
                </pt>
                <pt idx="3">
                  <v>21300</v>
                </pt>
              </numCache>
            </numRef>
          </val>
        </ser>
        <dLbls>
          <showLegendKey val="0"/>
          <showVal val="0"/>
          <showCatName val="0"/>
          <showSerName val="0"/>
          <showPercent val="0"/>
          <showBubbleSize val="0"/>
        </dLbls>
        <gapWidth val="100"/>
        <axId val="716845712"/>
        <axId val="716855552"/>
      </barChart>
      <catAx>
        <axId val="716845712"/>
        <scaling>
          <orientation val="maxMin"/>
        </scaling>
        <delete val="0"/>
        <axPos val="l"/>
        <numFmt formatCode="General" sourceLinked="1"/>
        <majorTickMark val="out"/>
        <minorTickMark val="none"/>
        <tickLblPos val="nextTo"/>
        <spPr>
          <a:noFill/>
          <a:ln w="9525" cap="flat" cmpd="sng" algn="ctr">
            <a:solidFill>
              <a:schemeClr val="tx1">
                <a:lumMod val="15000"/>
                <a:lumOff val="85000"/>
              </a:schemeClr>
            </a:solidFill>
            <a:prstDash val="solid"/>
            <a:round/>
          </a:ln>
        </spPr>
        <txPr>
          <a:bodyPr rot="-60000000" spcFirstLastPara="1" vertOverflow="ellipsis" vert="horz" wrap="square" anchor="ctr" anchorCtr="1"/>
          <a:lstStyle/>
          <a:p>
            <a:pPr>
              <a:defRPr sz="1000" b="0" i="0" strike="noStrike" kern="1200" baseline="0">
                <a:solidFill>
                  <a:schemeClr val="tx1"/>
                </a:solidFill>
                <a:latin typeface="+mn-lt"/>
                <a:ea typeface="+mn-ea"/>
                <a:cs typeface="Posterama" panose="020B0504020200020000" pitchFamily="34" charset="0"/>
              </a:defRPr>
            </a:pPr>
            <a:r>
              <a:t/>
            </a:r>
            <a:endParaRPr lang="en-US"/>
          </a:p>
        </txPr>
        <crossAx val="716855552"/>
        <crosses val="autoZero"/>
        <auto val="1"/>
        <lblAlgn val="ctr"/>
        <lblOffset val="100"/>
        <noMultiLvlLbl val="0"/>
      </catAx>
      <valAx>
        <axId val="716855552"/>
        <scaling>
          <orientation val="minMax"/>
          <max val="1400000"/>
        </scaling>
        <delete val="0"/>
        <axPos val="t"/>
        <majorGridlines>
          <spPr>
            <a:ln w="9525" cap="flat" cmpd="sng" algn="ctr">
              <a:solidFill>
                <a:schemeClr val="tx1">
                  <a:lumMod val="15000"/>
                  <a:lumOff val="85000"/>
                </a:schemeClr>
              </a:solidFill>
              <a:prstDash val="solid"/>
              <a:round/>
            </a:ln>
          </spPr>
        </majorGridlines>
        <numFmt formatCode="&quot;$&quot;#,##0_);[Red]\(&quot;$&quot;#,##0\)" sourceLinked="0"/>
        <majorTickMark val="out"/>
        <minorTickMark val="none"/>
        <tickLblPos val="high"/>
        <spPr>
          <a:noFill/>
          <a:ln>
            <a:noFill/>
            <a:prstDash val="solid"/>
          </a:ln>
        </spPr>
        <txPr>
          <a:bodyPr rot="-60000000" spcFirstLastPara="1" vertOverflow="ellipsis" vert="horz" wrap="square" anchor="ctr" anchorCtr="1"/>
          <a:lstStyle/>
          <a:p>
            <a:pPr>
              <a:defRPr sz="1000" b="0" i="0" strike="noStrike" kern="1200" baseline="0">
                <a:solidFill>
                  <a:schemeClr val="tx1"/>
                </a:solidFill>
                <a:latin typeface="+mn-lt"/>
                <a:ea typeface="+mn-ea"/>
                <a:cs typeface="Posterama" panose="020B0504020200020000" pitchFamily="34" charset="0"/>
              </a:defRPr>
            </a:pPr>
            <a:r>
              <a:t/>
            </a:r>
            <a:endParaRPr lang="en-US"/>
          </a:p>
        </txPr>
        <crossAx val="716845712"/>
        <crosses val="autoZero"/>
        <crossBetween val="between"/>
        <dispUnits>
          <builtInUnit val="tenThousands"/>
          <dispUnitsLbl>
            <layout>
              <manualLayout>
                <xMode val="edge"/>
                <yMode val="edge"/>
                <wMode val="factor"/>
                <hMode val="factor"/>
                <x val="0.4125912562760096"/>
                <y val="0.06457408732999284"/>
              </manualLayout>
            </layout>
            <spPr>
              <a:noFill/>
              <a:ln>
                <a:noFill/>
                <a:prstDash val="solid"/>
              </a:ln>
            </spPr>
            <txPr>
              <a:bodyPr rot="0" spcFirstLastPara="1" vertOverflow="ellipsis" vert="horz" wrap="square" anchor="ctr" anchorCtr="1"/>
              <a:lstStyle/>
              <a:p>
                <a:pPr>
                  <a:defRPr sz="1000" b="1" i="0" strike="noStrike" kern="1200" baseline="0">
                    <a:solidFill>
                      <a:schemeClr val="accent1"/>
                    </a:solidFill>
                    <a:latin typeface="+mn-lt"/>
                    <a:ea typeface="+mn-ea"/>
                    <a:cs typeface="Posterama" panose="020B0504020200020000" pitchFamily="34" charset="0"/>
                  </a:defRPr>
                </a:pPr>
                <a:r>
                  <a:t/>
                </a:r>
                <a:endParaRPr lang="en-US"/>
              </a:p>
            </txPr>
          </dispUnitsLbl>
        </dispUnits>
      </valAx>
    </plotArea>
    <legend>
      <legendPos val="t"/>
      <layout>
        <manualLayout>
          <xMode val="edge"/>
          <yMode val="edge"/>
          <wMode val="factor"/>
          <hMode val="factor"/>
          <x val="0.001097171556588864"/>
          <y val="0.06236476122302893"/>
          <w val="0.411753343475286"/>
          <h val="0.05584425419831195"/>
        </manualLayout>
      </layout>
      <overlay val="0"/>
      <spPr>
        <a:noFill/>
        <a:ln>
          <a:noFill/>
          <a:prstDash val="solid"/>
        </a:ln>
      </spPr>
      <txPr>
        <a:bodyPr rot="0" spcFirstLastPara="1" vertOverflow="ellipsis" vert="horz" wrap="square" anchor="ctr" anchorCtr="1"/>
        <a:lstStyle/>
        <a:p>
          <a:pPr>
            <a:defRPr sz="1400" b="1" i="0" strike="noStrike" kern="1200" baseline="0">
              <a:solidFill>
                <a:schemeClr val="accent1"/>
              </a:solidFill>
              <a:latin typeface="+mn-lt"/>
              <a:ea typeface="+mn-ea"/>
              <a:cs typeface="Posterama" panose="020B0504020200020000" pitchFamily="34" charset="0"/>
            </a:defRPr>
          </a:pPr>
          <a:r>
            <a:t/>
          </a:r>
          <a:endParaRPr lang="en-US"/>
        </a:p>
      </txPr>
    </legend>
    <plotVisOnly val="1"/>
    <dispBlanksAs val="gap"/>
  </chart>
  <spPr>
    <a:noFill/>
    <a:ln w="9525" cap="flat" cmpd="sng" algn="ctr">
      <a:noFill/>
      <a:prstDash val="solid"/>
      <a:round/>
    </a:ln>
  </spPr>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twoCellAnchor editAs="oneCell">
    <from>
      <col>1</col>
      <colOff>28573</colOff>
      <row>13</row>
      <rowOff>200025</rowOff>
    </from>
    <to>
      <col>5</col>
      <colOff>285750</colOff>
      <row>34</row>
      <rowOff>287867</rowOff>
    </to>
    <graphicFrame>
      <nvGraphicFramePr>
        <cNvPr id="1" name="Chart 1"/>
        <cNvGraphicFramePr/>
      </nvGraphicFramePr>
      <xfrm/>
      <a:graphic>
        <a:graphicData uri="http://schemas.openxmlformats.org/drawingml/2006/chart">
          <c:chart r:id="rId1"/>
        </a:graphicData>
      </a:graphic>
    </graphicFrame>
    <clientData/>
  </twoCellAnchor>
  <twoCellAnchor editAs="oneCell">
    <from>
      <col>1</col>
      <colOff>3174</colOff>
      <row>11</row>
      <rowOff>0</rowOff>
    </from>
    <to>
      <col>5</col>
      <colOff>260350</colOff>
      <row>12</row>
      <rowOff>101600</rowOff>
    </to>
    <graphicFrame>
      <nvGraphicFramePr>
        <cNvPr id="2" name="Chart 2"/>
        <cNvGraphicFramePr/>
      </nvGraphicFramePr>
      <xfrm/>
      <a:graphic>
        <a:graphicData uri="http://schemas.openxmlformats.org/drawingml/2006/chart">
          <c:chart r:id="rId2"/>
        </a:graphicData>
      </a:graphic>
    </graphicFrame>
    <clientData/>
  </twoCellAnchor>
</wsDr>
</file>

<file path=xl/tables/table1.xml><?xml version="1.0" encoding="utf-8"?>
<table xmlns="http://schemas.openxmlformats.org/spreadsheetml/2006/main" id="1" name="OfficePlan" displayName="OfficePlan" ref="B11:O20" headerRowCount="1" totalsRowCount="1" headerRowDxfId="431" dataDxfId="430" totalsRowDxfId="429">
  <autoFilter ref="B11:O19">
    <filterColumn colId="0" hiddenButton="1" showButton="1"/>
    <filterColumn colId="1" hiddenButton="1" showButton="1"/>
    <filterColumn colId="2" hiddenButton="1" showButton="1"/>
    <filterColumn colId="3" hiddenButton="1" showButton="1"/>
    <filterColumn colId="4" hiddenButton="1" showButton="1"/>
    <filterColumn colId="5" hiddenButton="1" showButton="1"/>
    <filterColumn colId="6" hiddenButton="1" showButton="1"/>
    <filterColumn colId="7" hiddenButton="1" showButton="1"/>
    <filterColumn colId="8" hiddenButton="1" showButton="1"/>
    <filterColumn colId="9" hiddenButton="1" showButton="1"/>
    <filterColumn colId="10" hiddenButton="1" showButton="1"/>
    <filterColumn colId="11" hiddenButton="1" showButton="1"/>
    <filterColumn colId="12" hiddenButton="1" showButton="1"/>
    <filterColumn colId="13" hiddenButton="1" showButton="1"/>
  </autoFilter>
  <tableColumns count="14">
    <tableColumn id="1" name="Office costs" totalsRowLabel="Subtotal" dataDxfId="427" totalsRowDxfId="428"/>
    <tableColumn id="2" name="Jan" totalsRowFunction="sum" dataDxfId="425" totalsRowDxfId="426"/>
    <tableColumn id="3" name="Feb" totalsRowFunction="sum" dataDxfId="423" totalsRowDxfId="424"/>
    <tableColumn id="4" name="Mar" totalsRowFunction="sum" dataDxfId="421" totalsRowDxfId="422"/>
    <tableColumn id="5" name="Apr" totalsRowFunction="sum" dataDxfId="419" totalsRowDxfId="420"/>
    <tableColumn id="6" name="May" totalsRowFunction="sum" dataDxfId="417" totalsRowDxfId="418"/>
    <tableColumn id="7" name="Jun" totalsRowFunction="sum" dataDxfId="415" totalsRowDxfId="416"/>
    <tableColumn id="8" name="Jul" totalsRowFunction="sum" dataDxfId="413" totalsRowDxfId="414"/>
    <tableColumn id="9" name="Aug" totalsRowFunction="sum" dataDxfId="411" totalsRowDxfId="412"/>
    <tableColumn id="10" name="Sep" totalsRowFunction="sum" dataDxfId="409" totalsRowDxfId="410"/>
    <tableColumn id="11" name="Oct" totalsRowFunction="sum" dataDxfId="407" totalsRowDxfId="408"/>
    <tableColumn id="12" name="Nov" totalsRowFunction="sum" dataDxfId="405" totalsRowDxfId="406"/>
    <tableColumn id="13" name="Dec" totalsRowFunction="sum" dataDxfId="403" totalsRowDxfId="404"/>
    <tableColumn id="14" name="YEAR" totalsRowFunction="sum" dataDxfId="401" totalsRowDxfId="402">
      <calculatedColumnFormula>SUM(C12:N12)</calculatedColumnFormula>
    </tableColumn>
  </tableColumns>
  <tableStyleInfo name="Table Style 1" showFirstColumn="1" showLastColumn="1" showRowStripes="0" showColumnStripes="0"/>
</table>
</file>

<file path=xl/tables/table2.xml><?xml version="1.0" encoding="utf-8"?>
<table xmlns="http://schemas.openxmlformats.org/spreadsheetml/2006/main" id="2" name="MarketingPlan" displayName="MarketingPlan" ref="B22:O29" headerRowCount="1" totalsRowCount="1" headerRowDxfId="400" dataDxfId="399" totalsRowDxfId="398">
  <autoFilter ref="B22:O28">
    <filterColumn colId="0" hiddenButton="1" showButton="1"/>
    <filterColumn colId="1" hiddenButton="1" showButton="1"/>
    <filterColumn colId="2" hiddenButton="1" showButton="1"/>
    <filterColumn colId="3" hiddenButton="1" showButton="1"/>
    <filterColumn colId="4" hiddenButton="1" showButton="1"/>
    <filterColumn colId="5" hiddenButton="1" showButton="1"/>
    <filterColumn colId="6" hiddenButton="1" showButton="1"/>
    <filterColumn colId="7" hiddenButton="1" showButton="1"/>
    <filterColumn colId="8" hiddenButton="1" showButton="1"/>
    <filterColumn colId="9" hiddenButton="1" showButton="1"/>
    <filterColumn colId="10" hiddenButton="1" showButton="1"/>
    <filterColumn colId="11" hiddenButton="1" showButton="1"/>
    <filterColumn colId="12" hiddenButton="1" showButton="1"/>
    <filterColumn colId="13" hiddenButton="1" showButton="1"/>
  </autoFilter>
  <tableColumns count="14">
    <tableColumn id="1" name="Marketing costs" totalsRowLabel="Subtotal" dataDxfId="396" totalsRowDxfId="397"/>
    <tableColumn id="2" name="Jan" totalsRowFunction="sum" dataDxfId="394" totalsRowDxfId="395"/>
    <tableColumn id="3" name="Feb" totalsRowFunction="sum" dataDxfId="392" totalsRowDxfId="393"/>
    <tableColumn id="4" name="Mar" totalsRowFunction="sum" dataDxfId="390" totalsRowDxfId="391"/>
    <tableColumn id="5" name="Apr" totalsRowFunction="sum" dataDxfId="388" totalsRowDxfId="389"/>
    <tableColumn id="6" name="May" totalsRowFunction="sum" dataDxfId="386" totalsRowDxfId="387"/>
    <tableColumn id="7" name="Jun" totalsRowFunction="sum" dataDxfId="384" totalsRowDxfId="385"/>
    <tableColumn id="8" name="Jul" totalsRowFunction="sum" dataDxfId="382" totalsRowDxfId="383"/>
    <tableColumn id="9" name="Aug" totalsRowFunction="sum" dataDxfId="380" totalsRowDxfId="381"/>
    <tableColumn id="10" name="Sep" totalsRowFunction="sum" dataDxfId="378" totalsRowDxfId="379"/>
    <tableColumn id="11" name="Oct" totalsRowFunction="sum" dataDxfId="376" totalsRowDxfId="377"/>
    <tableColumn id="12" name="Nov" totalsRowFunction="sum" dataDxfId="374" totalsRowDxfId="375"/>
    <tableColumn id="13" name="Dec" totalsRowFunction="sum" dataDxfId="372" totalsRowDxfId="373"/>
    <tableColumn id="14" name="YEAR" totalsRowFunction="sum" dataDxfId="370" totalsRowDxfId="371">
      <calculatedColumnFormula>SUM(C23:N23)</calculatedColumnFormula>
    </tableColumn>
  </tableColumns>
  <tableStyleInfo name="Table Style 1" showFirstColumn="1" showLastColumn="1" showRowStripes="0" showColumnStripes="0"/>
</table>
</file>

<file path=xl/tables/table3.xml><?xml version="1.0" encoding="utf-8"?>
<table xmlns="http://schemas.openxmlformats.org/spreadsheetml/2006/main" id="3" name="TrainingAndTravelPlan" displayName="TrainingAndTravelPlan" ref="B31:O34" headerRowCount="1" totalsRowCount="1" headerRowDxfId="369" dataDxfId="368" totalsRowDxfId="367">
  <autoFilter ref="B31:O33">
    <filterColumn colId="0" hiddenButton="1" showButton="1"/>
    <filterColumn colId="1" hiddenButton="1" showButton="1"/>
    <filterColumn colId="2" hiddenButton="1" showButton="1"/>
    <filterColumn colId="3" hiddenButton="1" showButton="1"/>
    <filterColumn colId="4" hiddenButton="1" showButton="1"/>
    <filterColumn colId="5" hiddenButton="1" showButton="1"/>
    <filterColumn colId="6" hiddenButton="1" showButton="1"/>
    <filterColumn colId="7" hiddenButton="1" showButton="1"/>
    <filterColumn colId="8" hiddenButton="1" showButton="1"/>
    <filterColumn colId="9" hiddenButton="1" showButton="1"/>
    <filterColumn colId="10" hiddenButton="1" showButton="1"/>
    <filterColumn colId="11" hiddenButton="1" showButton="1"/>
    <filterColumn colId="12" hiddenButton="1" showButton="1"/>
    <filterColumn colId="13" hiddenButton="1" showButton="1"/>
  </autoFilter>
  <tableColumns count="14">
    <tableColumn id="1" name="Training/travel" totalsRowLabel="Subtotal" dataDxfId="365" totalsRowDxfId="366"/>
    <tableColumn id="2" name="Jan" totalsRowFunction="sum" dataDxfId="363" totalsRowDxfId="364"/>
    <tableColumn id="3" name="Feb" totalsRowFunction="sum" dataDxfId="361" totalsRowDxfId="362"/>
    <tableColumn id="4" name="Mar" totalsRowFunction="sum" dataDxfId="359" totalsRowDxfId="360"/>
    <tableColumn id="5" name="Apr" totalsRowFunction="sum" dataDxfId="357" totalsRowDxfId="358"/>
    <tableColumn id="6" name="May" totalsRowFunction="sum" dataDxfId="355" totalsRowDxfId="356"/>
    <tableColumn id="7" name="Jun" totalsRowFunction="sum" dataDxfId="353" totalsRowDxfId="354"/>
    <tableColumn id="8" name="Jul" totalsRowFunction="sum" dataDxfId="351" totalsRowDxfId="352"/>
    <tableColumn id="9" name="Aug" totalsRowFunction="sum" dataDxfId="349" totalsRowDxfId="350"/>
    <tableColumn id="10" name="Sep" totalsRowFunction="sum" dataDxfId="347" totalsRowDxfId="348"/>
    <tableColumn id="11" name="Oct" totalsRowFunction="sum" dataDxfId="345" totalsRowDxfId="346"/>
    <tableColumn id="12" name="Nov" totalsRowFunction="sum" dataDxfId="343" totalsRowDxfId="344"/>
    <tableColumn id="13" name="Dec" totalsRowFunction="sum" dataDxfId="341" totalsRowDxfId="342"/>
    <tableColumn id="14" name="YEAR" totalsRowFunction="sum" dataDxfId="339" totalsRowDxfId="340">
      <calculatedColumnFormula>SUM(C32:N32)</calculatedColumnFormula>
    </tableColumn>
  </tableColumns>
  <tableStyleInfo name="Table Style 1" showFirstColumn="1" showLastColumn="1" showRowStripes="0" showColumnStripes="0"/>
</table>
</file>

<file path=xl/tables/table4.xml><?xml version="1.0" encoding="utf-8"?>
<table xmlns="http://schemas.openxmlformats.org/spreadsheetml/2006/main" id="4" name="EmployeePlan" displayName="EmployeePlan" ref="B6:O9" headerRowCount="1" totalsRowCount="1" headerRowDxfId="338" dataDxfId="337" totalsRowDxfId="336">
  <autoFilter ref="B6:O8">
    <filterColumn colId="0" hiddenButton="1" showButton="1"/>
    <filterColumn colId="1" hiddenButton="1" showButton="1"/>
    <filterColumn colId="2" hiddenButton="1" showButton="1"/>
    <filterColumn colId="3" hiddenButton="1" showButton="1"/>
    <filterColumn colId="4" hiddenButton="1" showButton="1"/>
    <filterColumn colId="5" hiddenButton="1" showButton="1"/>
    <filterColumn colId="6" hiddenButton="1" showButton="1"/>
    <filterColumn colId="7" hiddenButton="1" showButton="1"/>
    <filterColumn colId="8" hiddenButton="1" showButton="1"/>
    <filterColumn colId="9" hiddenButton="1" showButton="1"/>
    <filterColumn colId="10" hiddenButton="1" showButton="1"/>
    <filterColumn colId="11" hiddenButton="1" showButton="1"/>
    <filterColumn colId="12" hiddenButton="1" showButton="1"/>
    <filterColumn colId="13" hiddenButton="1" showButton="1"/>
  </autoFilter>
  <tableColumns count="14">
    <tableColumn id="1" name="Employee costs" totalsRowLabel="Subtotal" dataDxfId="334" totalsRowDxfId="335"/>
    <tableColumn id="2" name="Jan" totalsRowFunction="sum" dataDxfId="332" totalsRowDxfId="333"/>
    <tableColumn id="3" name="Feb" totalsRowFunction="sum" dataDxfId="330" totalsRowDxfId="331"/>
    <tableColumn id="4" name="Mar" totalsRowFunction="sum" dataDxfId="328" totalsRowDxfId="329"/>
    <tableColumn id="5" name="Apr" totalsRowFunction="sum" dataDxfId="326" totalsRowDxfId="327"/>
    <tableColumn id="6" name="May" totalsRowFunction="sum" dataDxfId="324" totalsRowDxfId="325"/>
    <tableColumn id="7" name="Jun" totalsRowFunction="sum" dataDxfId="322" totalsRowDxfId="323"/>
    <tableColumn id="8" name="Jul" totalsRowFunction="sum" dataDxfId="320" totalsRowDxfId="321"/>
    <tableColumn id="9" name="Aug" totalsRowFunction="sum" dataDxfId="318" totalsRowDxfId="319"/>
    <tableColumn id="10" name="Sep" totalsRowFunction="sum" dataDxfId="316" totalsRowDxfId="317"/>
    <tableColumn id="11" name="Oct" totalsRowFunction="sum" dataDxfId="314" totalsRowDxfId="315"/>
    <tableColumn id="12" name="Nov" totalsRowFunction="sum" dataDxfId="312" totalsRowDxfId="313"/>
    <tableColumn id="13" name="Dec" totalsRowFunction="sum" dataDxfId="310" totalsRowDxfId="311"/>
    <tableColumn id="14" name="YEAR" totalsRowFunction="sum" dataDxfId="308" totalsRowDxfId="309">
      <calculatedColumnFormula>SUM(C7:N7)</calculatedColumnFormula>
    </tableColumn>
  </tableColumns>
  <tableStyleInfo name="Table Style 1" showFirstColumn="1" showLastColumn="1" showRowStripes="1" showColumnStripes="0"/>
</table>
</file>

<file path=xl/tables/table5.xml><?xml version="1.0" encoding="utf-8"?>
<table xmlns="http://schemas.openxmlformats.org/spreadsheetml/2006/main" id="5" name="PlannedTotal" displayName="PlannedTotal" ref="B36:O38" headerRowCount="1" totalsRowShown="0" headerRowDxfId="307" dataDxfId="306">
  <autoFilter ref="B36:O38">
    <filterColumn colId="0" hiddenButton="1" showButton="1"/>
    <filterColumn colId="1" hiddenButton="1" showButton="1"/>
    <filterColumn colId="2" hiddenButton="1" showButton="1"/>
    <filterColumn colId="3" hiddenButton="1" showButton="1"/>
    <filterColumn colId="4" hiddenButton="1" showButton="1"/>
    <filterColumn colId="5" hiddenButton="1" showButton="1"/>
    <filterColumn colId="6" hiddenButton="1" showButton="1"/>
    <filterColumn colId="7" hiddenButton="1" showButton="1"/>
    <filterColumn colId="8" hiddenButton="1" showButton="1"/>
    <filterColumn colId="9" hiddenButton="1" showButton="1"/>
    <filterColumn colId="10" hiddenButton="1" showButton="1"/>
    <filterColumn colId="11" hiddenButton="1" showButton="1"/>
    <filterColumn colId="12" hiddenButton="1" showButton="1"/>
    <filterColumn colId="13" hiddenButton="1" showButton="1"/>
  </autoFilter>
  <tableColumns count="14">
    <tableColumn id="1" name="Totals" dataDxfId="305"/>
    <tableColumn id="2" name="Jan" dataDxfId="304">
      <calculatedColumnFormula>SUM($C36:C$37)</calculatedColumnFormula>
    </tableColumn>
    <tableColumn id="3" name="Feb" dataDxfId="303">
      <calculatedColumnFormula>SUM($C36:D$37)</calculatedColumnFormula>
    </tableColumn>
    <tableColumn id="4" name="Mar" dataDxfId="302">
      <calculatedColumnFormula>SUM($C36:E$37)</calculatedColumnFormula>
    </tableColumn>
    <tableColumn id="5" name="Apr" dataDxfId="301">
      <calculatedColumnFormula>SUM($C36:F$37)</calculatedColumnFormula>
    </tableColumn>
    <tableColumn id="6" name="May" dataDxfId="300">
      <calculatedColumnFormula>SUM($C36:G$37)</calculatedColumnFormula>
    </tableColumn>
    <tableColumn id="7" name="Jun" dataDxfId="299">
      <calculatedColumnFormula>SUM($C36:H$37)</calculatedColumnFormula>
    </tableColumn>
    <tableColumn id="8" name="Jul" dataDxfId="298">
      <calculatedColumnFormula>SUM($C36:I$37)</calculatedColumnFormula>
    </tableColumn>
    <tableColumn id="9" name="Aug" dataDxfId="297">
      <calculatedColumnFormula>SUM($C36:J$37)</calculatedColumnFormula>
    </tableColumn>
    <tableColumn id="10" name="Sep" dataDxfId="296">
      <calculatedColumnFormula>SUM($C36:K$37)</calculatedColumnFormula>
    </tableColumn>
    <tableColumn id="11" name="Oct" dataDxfId="295">
      <calculatedColumnFormula>SUM($C36:L$37)</calculatedColumnFormula>
    </tableColumn>
    <tableColumn id="12" name="Nov" dataDxfId="294">
      <calculatedColumnFormula>SUM($C36:M$37)</calculatedColumnFormula>
    </tableColumn>
    <tableColumn id="13" name="Dec" dataDxfId="293">
      <calculatedColumnFormula>SUM($C36:N$37)</calculatedColumnFormula>
    </tableColumn>
    <tableColumn id="14" name="Year" dataDxfId="292"/>
  </tableColumns>
  <tableStyleInfo name="Table Style 1 2" showFirstColumn="1" showLastColumn="0" showRowStripes="0" showColumnStripes="0"/>
</table>
</file>

<file path=xl/tables/table6.xml><?xml version="1.0" encoding="utf-8"?>
<table xmlns="http://schemas.openxmlformats.org/spreadsheetml/2006/main" id="6" name="OfficeActual" displayName="OfficeActual" ref="B11:O20" headerRowCount="1" totalsRowCount="1" headerRowDxfId="291" dataDxfId="290" totalsRowDxfId="289">
  <autoFilter ref="B11:O19">
    <filterColumn colId="0" hiddenButton="1" showButton="1"/>
    <filterColumn colId="1" hiddenButton="1" showButton="1"/>
    <filterColumn colId="2" hiddenButton="1" showButton="1"/>
    <filterColumn colId="3" hiddenButton="1" showButton="1"/>
    <filterColumn colId="4" hiddenButton="1" showButton="1"/>
    <filterColumn colId="5" hiddenButton="1" showButton="1"/>
    <filterColumn colId="6" hiddenButton="1" showButton="1"/>
    <filterColumn colId="7" hiddenButton="1" showButton="1"/>
    <filterColumn colId="8" hiddenButton="1" showButton="1"/>
    <filterColumn colId="9" hiddenButton="1" showButton="1"/>
    <filterColumn colId="10" hiddenButton="1" showButton="1"/>
    <filterColumn colId="11" hiddenButton="1" showButton="1"/>
    <filterColumn colId="12" hiddenButton="1" showButton="1"/>
    <filterColumn colId="13" hiddenButton="1" showButton="1"/>
  </autoFilter>
  <tableColumns count="14">
    <tableColumn id="1" name="Office costs" totalsRowLabel="Subtotal" dataDxfId="287" totalsRowDxfId="288"/>
    <tableColumn id="2" name="Jan" totalsRowFunction="sum" dataDxfId="285" totalsRowDxfId="286"/>
    <tableColumn id="3" name="Feb" totalsRowFunction="sum" dataDxfId="283" totalsRowDxfId="284"/>
    <tableColumn id="4" name="Mar" totalsRowFunction="sum" dataDxfId="281" totalsRowDxfId="282"/>
    <tableColumn id="5" name="Apr" totalsRowFunction="sum" dataDxfId="279" totalsRowDxfId="280"/>
    <tableColumn id="6" name="May" totalsRowFunction="sum" dataDxfId="277" totalsRowDxfId="278"/>
    <tableColumn id="7" name="Jun" totalsRowFunction="sum" dataDxfId="275" totalsRowDxfId="276"/>
    <tableColumn id="8" name="Jul" totalsRowFunction="sum" dataDxfId="273" totalsRowDxfId="274"/>
    <tableColumn id="9" name="Aug" totalsRowFunction="sum" dataDxfId="271" totalsRowDxfId="272"/>
    <tableColumn id="10" name="Sep" totalsRowFunction="sum" dataDxfId="269" totalsRowDxfId="270"/>
    <tableColumn id="11" name="Oct" totalsRowFunction="sum" dataDxfId="267" totalsRowDxfId="268"/>
    <tableColumn id="12" name="Nov" totalsRowFunction="sum" dataDxfId="265" totalsRowDxfId="266"/>
    <tableColumn id="13" name="Dec" totalsRowFunction="sum" dataDxfId="263" totalsRowDxfId="264"/>
    <tableColumn id="14" name="YEAR" totalsRowFunction="sum" dataDxfId="261" totalsRowDxfId="262">
      <calculatedColumnFormula>SUM(C12:N12)</calculatedColumnFormula>
    </tableColumn>
  </tableColumns>
  <tableStyleInfo name="Table Style 1" showFirstColumn="1" showLastColumn="1" showRowStripes="0" showColumnStripes="0"/>
</table>
</file>

<file path=xl/tables/table7.xml><?xml version="1.0" encoding="utf-8"?>
<table xmlns="http://schemas.openxmlformats.org/spreadsheetml/2006/main" id="7" name="MarketingActual" displayName="MarketingActual" ref="B22:O29" headerRowCount="1" totalsRowCount="1" headerRowDxfId="260" dataDxfId="259" totalsRowDxfId="258">
  <autoFilter ref="B22:O28">
    <filterColumn colId="0" hiddenButton="1" showButton="1"/>
    <filterColumn colId="1" hiddenButton="1" showButton="1"/>
    <filterColumn colId="2" hiddenButton="1" showButton="1"/>
    <filterColumn colId="3" hiddenButton="1" showButton="1"/>
    <filterColumn colId="4" hiddenButton="1" showButton="1"/>
    <filterColumn colId="5" hiddenButton="1" showButton="1"/>
    <filterColumn colId="6" hiddenButton="1" showButton="1"/>
    <filterColumn colId="7" hiddenButton="1" showButton="1"/>
    <filterColumn colId="8" hiddenButton="1" showButton="1"/>
    <filterColumn colId="9" hiddenButton="1" showButton="1"/>
    <filterColumn colId="10" hiddenButton="1" showButton="1"/>
    <filterColumn colId="11" hiddenButton="1" showButton="1"/>
    <filterColumn colId="12" hiddenButton="1" showButton="1"/>
    <filterColumn colId="13" hiddenButton="1" showButton="1"/>
  </autoFilter>
  <tableColumns count="14">
    <tableColumn id="1" name="Marketing costs" totalsRowLabel="Subtotal" dataDxfId="256" totalsRowDxfId="257"/>
    <tableColumn id="2" name="Jan" totalsRowFunction="sum" dataDxfId="254" totalsRowDxfId="255"/>
    <tableColumn id="3" name="Feb" totalsRowFunction="sum" dataDxfId="252" totalsRowDxfId="253"/>
    <tableColumn id="4" name="Mar" totalsRowFunction="sum" dataDxfId="250" totalsRowDxfId="251"/>
    <tableColumn id="5" name="Apr" totalsRowFunction="sum" dataDxfId="248" totalsRowDxfId="249"/>
    <tableColumn id="6" name="May" totalsRowFunction="sum" dataDxfId="246" totalsRowDxfId="247"/>
    <tableColumn id="7" name="Jun" totalsRowFunction="sum" dataDxfId="244" totalsRowDxfId="245"/>
    <tableColumn id="8" name="Jul" totalsRowFunction="sum" dataDxfId="242" totalsRowDxfId="243"/>
    <tableColumn id="9" name="Aug" totalsRowFunction="sum" dataDxfId="240" totalsRowDxfId="241"/>
    <tableColumn id="10" name="Sep" totalsRowFunction="sum" dataDxfId="238" totalsRowDxfId="239"/>
    <tableColumn id="11" name="Oct" totalsRowFunction="sum" dataDxfId="236" totalsRowDxfId="237"/>
    <tableColumn id="12" name="Nov" totalsRowFunction="sum" dataDxfId="234" totalsRowDxfId="235"/>
    <tableColumn id="13" name="Dec" totalsRowFunction="sum" dataDxfId="232" totalsRowDxfId="233"/>
    <tableColumn id="14" name="YEAR" totalsRowFunction="sum" dataDxfId="230" totalsRowDxfId="231">
      <calculatedColumnFormula>SUM(C23:N23)</calculatedColumnFormula>
    </tableColumn>
  </tableColumns>
  <tableStyleInfo name="Table Style 1" showFirstColumn="1" showLastColumn="1" showRowStripes="0" showColumnStripes="0"/>
</table>
</file>

<file path=xl/tables/table8.xml><?xml version="1.0" encoding="utf-8"?>
<table xmlns="http://schemas.openxmlformats.org/spreadsheetml/2006/main" id="8" name="TrainingAndTravelActual" displayName="TrainingAndTravelActual" ref="B31:O34" headerRowCount="1" totalsRowCount="1" headerRowDxfId="229" dataDxfId="228" totalsRowDxfId="227">
  <autoFilter ref="B31:O33">
    <filterColumn colId="0" hiddenButton="1" showButton="1"/>
    <filterColumn colId="1" hiddenButton="1" showButton="1"/>
    <filterColumn colId="2" hiddenButton="1" showButton="1"/>
    <filterColumn colId="3" hiddenButton="1" showButton="1"/>
    <filterColumn colId="4" hiddenButton="1" showButton="1"/>
    <filterColumn colId="5" hiddenButton="1" showButton="1"/>
    <filterColumn colId="6" hiddenButton="1" showButton="1"/>
    <filterColumn colId="7" hiddenButton="1" showButton="1"/>
    <filterColumn colId="8" hiddenButton="1" showButton="1"/>
    <filterColumn colId="9" hiddenButton="1" showButton="1"/>
    <filterColumn colId="10" hiddenButton="1" showButton="1"/>
    <filterColumn colId="11" hiddenButton="1" showButton="1"/>
    <filterColumn colId="12" hiddenButton="1" showButton="1"/>
    <filterColumn colId="13" hiddenButton="1" showButton="1"/>
  </autoFilter>
  <tableColumns count="14">
    <tableColumn id="1" name="Training/travel" totalsRowLabel="Subtotal" dataDxfId="225" totalsRowDxfId="226"/>
    <tableColumn id="2" name="Jan" totalsRowFunction="sum" dataDxfId="223" totalsRowDxfId="224"/>
    <tableColumn id="3" name="Feb" totalsRowFunction="sum" dataDxfId="221" totalsRowDxfId="222"/>
    <tableColumn id="4" name="Mar" totalsRowFunction="sum" dataDxfId="219" totalsRowDxfId="220"/>
    <tableColumn id="5" name="Apr" totalsRowFunction="sum" dataDxfId="217" totalsRowDxfId="218"/>
    <tableColumn id="6" name="May" totalsRowFunction="sum" dataDxfId="215" totalsRowDxfId="216"/>
    <tableColumn id="7" name="Jun" totalsRowFunction="sum" dataDxfId="213" totalsRowDxfId="214"/>
    <tableColumn id="8" name="Jul" totalsRowFunction="sum" dataDxfId="211" totalsRowDxfId="212"/>
    <tableColumn id="9" name="Aug" totalsRowFunction="sum" dataDxfId="209" totalsRowDxfId="210"/>
    <tableColumn id="10" name="Sep" totalsRowFunction="sum" dataDxfId="207" totalsRowDxfId="208"/>
    <tableColumn id="11" name="Oct" totalsRowFunction="sum" dataDxfId="205" totalsRowDxfId="206"/>
    <tableColumn id="12" name="Nov" totalsRowFunction="sum" dataDxfId="203" totalsRowDxfId="204"/>
    <tableColumn id="13" name="Dec" totalsRowFunction="sum" dataDxfId="201" totalsRowDxfId="202"/>
    <tableColumn id="14" name="YEAR" totalsRowFunction="sum" dataDxfId="199" totalsRowDxfId="200">
      <calculatedColumnFormula>SUM(C32:N32)</calculatedColumnFormula>
    </tableColumn>
  </tableColumns>
  <tableStyleInfo name="Table Style 1" showFirstColumn="1" showLastColumn="1" showRowStripes="0" showColumnStripes="0"/>
</table>
</file>

<file path=xl/tables/table9.xml><?xml version="1.0" encoding="utf-8"?>
<table xmlns="http://schemas.openxmlformats.org/spreadsheetml/2006/main" id="9" name="EmployeeActual" displayName="EmployeeActual" ref="B6:O9" headerRowCount="1" totalsRowCount="1" headerRowDxfId="198" dataDxfId="197" totalsRowDxfId="196">
  <autoFilter ref="B6:O8">
    <filterColumn colId="0" hiddenButton="1" showButton="1"/>
    <filterColumn colId="1" hiddenButton="1" showButton="1"/>
    <filterColumn colId="2" hiddenButton="1" showButton="1"/>
    <filterColumn colId="3" hiddenButton="1" showButton="1"/>
    <filterColumn colId="4" hiddenButton="1" showButton="1"/>
    <filterColumn colId="5" hiddenButton="1" showButton="1"/>
    <filterColumn colId="6" hiddenButton="1" showButton="1"/>
    <filterColumn colId="7" hiddenButton="1" showButton="1"/>
    <filterColumn colId="8" hiddenButton="1" showButton="1"/>
    <filterColumn colId="9" hiddenButton="1" showButton="1"/>
    <filterColumn colId="10" hiddenButton="1" showButton="1"/>
    <filterColumn colId="11" hiddenButton="1" showButton="1"/>
    <filterColumn colId="12" hiddenButton="1" showButton="1"/>
    <filterColumn colId="13" hiddenButton="1" showButton="1"/>
  </autoFilter>
  <tableColumns count="14">
    <tableColumn id="1" name="Employee costs" totalsRowLabel="Subtotal" dataDxfId="194" totalsRowDxfId="195"/>
    <tableColumn id="2" name="Jan" totalsRowFunction="sum" dataDxfId="192" totalsRowDxfId="193"/>
    <tableColumn id="3" name="Feb" totalsRowFunction="sum" dataDxfId="190" totalsRowDxfId="191"/>
    <tableColumn id="4" name="Mar" totalsRowFunction="sum" dataDxfId="188" totalsRowDxfId="189"/>
    <tableColumn id="5" name="Apr" totalsRowFunction="sum" dataDxfId="186" totalsRowDxfId="187"/>
    <tableColumn id="6" name="May" totalsRowFunction="sum" dataDxfId="184" totalsRowDxfId="185"/>
    <tableColumn id="7" name="Jun" totalsRowFunction="sum" dataDxfId="182" totalsRowDxfId="183"/>
    <tableColumn id="8" name="Jul" totalsRowFunction="sum" dataDxfId="180" totalsRowDxfId="181">
      <calculatedColumnFormula>I6*0.27</calculatedColumnFormula>
    </tableColumn>
    <tableColumn id="9" name="Aug" totalsRowFunction="sum" dataDxfId="178" totalsRowDxfId="179">
      <calculatedColumnFormula>J6*0.27</calculatedColumnFormula>
    </tableColumn>
    <tableColumn id="10" name="Sep" totalsRowFunction="sum" dataDxfId="176" totalsRowDxfId="177">
      <calculatedColumnFormula>K6*0.27</calculatedColumnFormula>
    </tableColumn>
    <tableColumn id="11" name="Oct" totalsRowFunction="sum" dataDxfId="174" totalsRowDxfId="175">
      <calculatedColumnFormula>L6*0.27</calculatedColumnFormula>
    </tableColumn>
    <tableColumn id="12" name="Nov" totalsRowFunction="sum" dataDxfId="172" totalsRowDxfId="173">
      <calculatedColumnFormula>M6*0.27</calculatedColumnFormula>
    </tableColumn>
    <tableColumn id="13" name="Dec" totalsRowFunction="sum" dataDxfId="170" totalsRowDxfId="171">
      <calculatedColumnFormula>N6*0.27</calculatedColumnFormula>
    </tableColumn>
    <tableColumn id="14" name="YEAR" totalsRowFunction="sum" dataDxfId="168" totalsRowDxfId="169">
      <calculatedColumnFormula>SUM(C7:N7)</calculatedColumnFormula>
    </tableColumn>
  </tableColumns>
  <tableStyleInfo name="Table Style 1" showFirstColumn="1" showLastColumn="1" showRowStripes="0" showColumnStripes="0"/>
</table>
</file>

<file path=xl/tables/table10.xml><?xml version="1.0" encoding="utf-8"?>
<table xmlns="http://schemas.openxmlformats.org/spreadsheetml/2006/main" id="10" name="TotalActual" displayName="TotalActual" ref="B36:O38" headerRowCount="1" totalsRowShown="0" headerRowDxfId="167" dataDxfId="166">
  <autoFilter ref="B36:O38">
    <filterColumn colId="0" hiddenButton="1" showButton="1"/>
    <filterColumn colId="1" hiddenButton="1" showButton="1"/>
    <filterColumn colId="2" hiddenButton="1" showButton="1"/>
    <filterColumn colId="3" hiddenButton="1" showButton="1"/>
    <filterColumn colId="4" hiddenButton="1" showButton="1"/>
    <filterColumn colId="5" hiddenButton="1" showButton="1"/>
    <filterColumn colId="6" hiddenButton="1" showButton="1"/>
    <filterColumn colId="7" hiddenButton="1" showButton="1"/>
    <filterColumn colId="8" hiddenButton="1" showButton="1"/>
    <filterColumn colId="9" hiddenButton="1" showButton="1"/>
    <filterColumn colId="10" hiddenButton="1" showButton="1"/>
    <filterColumn colId="11" hiddenButton="1" showButton="1"/>
    <filterColumn colId="12" hiddenButton="1" showButton="1"/>
    <filterColumn colId="13" hiddenButton="1" showButton="1"/>
  </autoFilter>
  <tableColumns count="14">
    <tableColumn id="1" name="Totals" dataDxfId="165"/>
    <tableColumn id="2" name="Jan" dataDxfId="164">
      <calculatedColumnFormula>SUM($C36:C$37)</calculatedColumnFormula>
    </tableColumn>
    <tableColumn id="3" name="Feb" dataDxfId="163">
      <calculatedColumnFormula>SUM($C36:D$37)</calculatedColumnFormula>
    </tableColumn>
    <tableColumn id="4" name="Mar" dataDxfId="162">
      <calculatedColumnFormula>SUM($C36:E$37)</calculatedColumnFormula>
    </tableColumn>
    <tableColumn id="5" name="Apr" dataDxfId="161">
      <calculatedColumnFormula>SUM($C36:F$37)</calculatedColumnFormula>
    </tableColumn>
    <tableColumn id="6" name="May" dataDxfId="160">
      <calculatedColumnFormula>SUM($C36:G$37)</calculatedColumnFormula>
    </tableColumn>
    <tableColumn id="7" name="Jun" dataDxfId="159">
      <calculatedColumnFormula>SUM($C36:H$37)</calculatedColumnFormula>
    </tableColumn>
    <tableColumn id="8" name="Jul" dataDxfId="158">
      <calculatedColumnFormula>SUM($C36:I$37)</calculatedColumnFormula>
    </tableColumn>
    <tableColumn id="9" name="Aug" dataDxfId="157">
      <calculatedColumnFormula>SUM($C36:J$37)</calculatedColumnFormula>
    </tableColumn>
    <tableColumn id="10" name="Sep" dataDxfId="156">
      <calculatedColumnFormula>SUM($C36:K$37)</calculatedColumnFormula>
    </tableColumn>
    <tableColumn id="11" name="Oct" dataDxfId="155">
      <calculatedColumnFormula>SUM($C36:L$37)</calculatedColumnFormula>
    </tableColumn>
    <tableColumn id="12" name="Nov" dataDxfId="154">
      <calculatedColumnFormula>SUM($C36:M$37)</calculatedColumnFormula>
    </tableColumn>
    <tableColumn id="13" name="Dec" dataDxfId="153">
      <calculatedColumnFormula>SUM($C36:N$37)</calculatedColumnFormula>
    </tableColumn>
    <tableColumn id="14" name="Year" dataDxfId="152"/>
  </tableColumns>
  <tableStyleInfo name="Table Style 1 2" showFirstColumn="1" showLastColumn="0" showRowStripes="0" showColumnStripes="0"/>
</table>
</file>

<file path=xl/tables/table11.xml><?xml version="1.0" encoding="utf-8"?>
<table xmlns="http://schemas.openxmlformats.org/spreadsheetml/2006/main" id="11" name="EmployeeVariances" displayName="EmployeeVariances" ref="B6:O9" headerRowCount="1" totalsRowCount="1" headerRowDxfId="146" dataDxfId="145" totalsRowDxfId="144">
  <autoFilter ref="B6:O8">
    <filterColumn colId="0" hiddenButton="1" showButton="1"/>
    <filterColumn colId="1" hiddenButton="1" showButton="1"/>
    <filterColumn colId="2" hiddenButton="1" showButton="1"/>
    <filterColumn colId="3" hiddenButton="1" showButton="1"/>
    <filterColumn colId="4" hiddenButton="1" showButton="1"/>
    <filterColumn colId="5" hiddenButton="1" showButton="1"/>
    <filterColumn colId="6" hiddenButton="1" showButton="1"/>
    <filterColumn colId="7" hiddenButton="1" showButton="1"/>
    <filterColumn colId="8" hiddenButton="1" showButton="1"/>
    <filterColumn colId="9" hiddenButton="1" showButton="1"/>
    <filterColumn colId="10" hiddenButton="1" showButton="1"/>
    <filterColumn colId="11" hiddenButton="1" showButton="1"/>
    <filterColumn colId="12" hiddenButton="1" showButton="1"/>
    <filterColumn colId="13" hiddenButton="1" showButton="1"/>
  </autoFilter>
  <tableColumns count="14">
    <tableColumn id="1" name="Employee costs" totalsRowLabel="Subtotal" dataDxfId="142" totalsRowDxfId="143"/>
    <tableColumn id="2" name="Jan" totalsRowFunction="sum" dataDxfId="140" totalsRowDxfId="141">
      <calculatedColumnFormula>INDEX(EmployeePlan[],MATCH(INDEX(EmployeeVariances[],ROW()-ROW(EmployeeVariances[[#Headers],[Jan]]),1),INDEX(EmployeePlan[],,1),0),MATCH(EmployeeVariances[[#Headers],[Jan]],EmployeePlan[#Headers],0))-INDEX(EmployeeActual[],MATCH(INDEX(EmployeeVariances[],ROW()-ROW(EmployeeVariances[[#Headers],[Jan]]),1),INDEX(EmployeePlan[],,1),0),MATCH(EmployeeVariances[[#Headers],[Jan]],EmployeeActual[#Headers],0))</calculatedColumnFormula>
    </tableColumn>
    <tableColumn id="3" name="Feb" totalsRowFunction="sum" dataDxfId="138" totalsRowDxfId="139">
      <calculatedColumnFormula>INDEX(EmployeePlan[],MATCH(INDEX(EmployeeVariances[],ROW()-ROW(EmployeeVariances[[#Headers],[Feb]]),1),INDEX(EmployeePlan[],,1),0),MATCH(EmployeeVariances[[#Headers],[Feb]],EmployeePlan[#Headers],0))-INDEX(EmployeeActual[],MATCH(INDEX(EmployeeVariances[],ROW()-ROW(EmployeeVariances[[#Headers],[Feb]]),1),INDEX(EmployeePlan[],,1),0),MATCH(EmployeeVariances[[#Headers],[Feb]],EmployeeActual[#Headers],0))</calculatedColumnFormula>
    </tableColumn>
    <tableColumn id="4" name="Mar" totalsRowFunction="sum" dataDxfId="136" totalsRowDxfId="137">
      <calculatedColumnFormula>INDEX(EmployeePlan[],MATCH(INDEX(EmployeeVariances[],ROW()-ROW(EmployeeVariances[[#Headers],[Mar]]),1),INDEX(EmployeePlan[],,1),0),MATCH(EmployeeVariances[[#Headers],[Mar]],EmployeePlan[#Headers],0))-INDEX(EmployeeActual[],MATCH(INDEX(EmployeeVariances[],ROW()-ROW(EmployeeVariances[[#Headers],[Mar]]),1),INDEX(EmployeePlan[],,1),0),MATCH(EmployeeVariances[[#Headers],[Mar]],EmployeeActual[#Headers],0))</calculatedColumnFormula>
    </tableColumn>
    <tableColumn id="5" name="Apr" totalsRowFunction="sum" dataDxfId="134" totalsRowDxfId="135">
      <calculatedColumnFormula>INDEX(EmployeePlan[],MATCH(INDEX(EmployeeVariances[],ROW()-ROW(EmployeeVariances[[#Headers],[Apr]]),1),INDEX(EmployeePlan[],,1),0),MATCH(EmployeeVariances[[#Headers],[Apr]],EmployeePlan[#Headers],0))-INDEX(EmployeeActual[],MATCH(INDEX(EmployeeVariances[],ROW()-ROW(EmployeeVariances[[#Headers],[Apr]]),1),INDEX(EmployeePlan[],,1),0),MATCH(EmployeeVariances[[#Headers],[Apr]],EmployeeActual[#Headers],0))</calculatedColumnFormula>
    </tableColumn>
    <tableColumn id="6" name="May" totalsRowFunction="sum" dataDxfId="132" totalsRowDxfId="133">
      <calculatedColumnFormula>INDEX(EmployeePlan[],MATCH(INDEX(EmployeeVariances[],ROW()-ROW(EmployeeVariances[[#Headers],[May]]),1),INDEX(EmployeePlan[],,1),0),MATCH(EmployeeVariances[[#Headers],[May]],EmployeePlan[#Headers],0))-INDEX(EmployeeActual[],MATCH(INDEX(EmployeeVariances[],ROW()-ROW(EmployeeVariances[[#Headers],[May]]),1),INDEX(EmployeePlan[],,1),0),MATCH(EmployeeVariances[[#Headers],[May]],EmployeeActual[#Headers],0))</calculatedColumnFormula>
    </tableColumn>
    <tableColumn id="7" name="Jun" totalsRowFunction="sum" dataDxfId="130" totalsRowDxfId="131">
      <calculatedColumnFormula>INDEX(EmployeePlan[],MATCH(INDEX(EmployeeVariances[],ROW()-ROW(EmployeeVariances[[#Headers],[Jun]]),1),INDEX(EmployeePlan[],,1),0),MATCH(EmployeeVariances[[#Headers],[Jun]],EmployeePlan[#Headers],0))-INDEX(EmployeeActual[],MATCH(INDEX(EmployeeVariances[],ROW()-ROW(EmployeeVariances[[#Headers],[Jun]]),1),INDEX(EmployeePlan[],,1),0),MATCH(EmployeeVariances[[#Headers],[Jun]],EmployeeActual[#Headers],0))</calculatedColumnFormula>
    </tableColumn>
    <tableColumn id="8" name="Jul" totalsRowFunction="sum" dataDxfId="128" totalsRowDxfId="129">
      <calculatedColumnFormula>INDEX(EmployeePlan[],MATCH(INDEX(EmployeeVariances[],ROW()-ROW(EmployeeVariances[[#Headers],[Jul]]),1),INDEX(EmployeePlan[],,1),0),MATCH(EmployeeVariances[[#Headers],[Jul]],EmployeePlan[#Headers],0))-INDEX(EmployeeActual[],MATCH(INDEX(EmployeeVariances[],ROW()-ROW(EmployeeVariances[[#Headers],[Jul]]),1),INDEX(EmployeePlan[],,1),0),MATCH(EmployeeVariances[[#Headers],[Jul]],EmployeeActual[#Headers],0))</calculatedColumnFormula>
    </tableColumn>
    <tableColumn id="9" name="Aug" totalsRowFunction="sum" dataDxfId="126" totalsRowDxfId="127">
      <calculatedColumnFormula>INDEX(EmployeePlan[],MATCH(INDEX(EmployeeVariances[],ROW()-ROW(EmployeeVariances[[#Headers],[Aug]]),1),INDEX(EmployeePlan[],,1),0),MATCH(EmployeeVariances[[#Headers],[Aug]],EmployeePlan[#Headers],0))-INDEX(EmployeeActual[],MATCH(INDEX(EmployeeVariances[],ROW()-ROW(EmployeeVariances[[#Headers],[Aug]]),1),INDEX(EmployeePlan[],,1),0),MATCH(EmployeeVariances[[#Headers],[Aug]],EmployeeActual[#Headers],0))</calculatedColumnFormula>
    </tableColumn>
    <tableColumn id="10" name="Sep" totalsRowFunction="sum" dataDxfId="124" totalsRowDxfId="125">
      <calculatedColumnFormula>INDEX(EmployeePlan[],MATCH(INDEX(EmployeeVariances[],ROW()-ROW(EmployeeVariances[[#Headers],[Sep]]),1),INDEX(EmployeePlan[],,1),0),MATCH(EmployeeVariances[[#Headers],[Sep]],EmployeePlan[#Headers],0))-INDEX(EmployeeActual[],MATCH(INDEX(EmployeeVariances[],ROW()-ROW(EmployeeVariances[[#Headers],[Sep]]),1),INDEX(EmployeePlan[],,1),0),MATCH(EmployeeVariances[[#Headers],[Sep]],EmployeeActual[#Headers],0))</calculatedColumnFormula>
    </tableColumn>
    <tableColumn id="11" name="Oct" totalsRowFunction="sum" dataDxfId="122" totalsRowDxfId="123">
      <calculatedColumnFormula>INDEX(EmployeePlan[],MATCH(INDEX(EmployeeVariances[],ROW()-ROW(EmployeeVariances[[#Headers],[Oct]]),1),INDEX(EmployeePlan[],,1),0),MATCH(EmployeeVariances[[#Headers],[Oct]],EmployeePlan[#Headers],0))-INDEX(EmployeeActual[],MATCH(INDEX(EmployeeVariances[],ROW()-ROW(EmployeeVariances[[#Headers],[Oct]]),1),INDEX(EmployeePlan[],,1),0),MATCH(EmployeeVariances[[#Headers],[Oct]],EmployeeActual[#Headers],0))</calculatedColumnFormula>
    </tableColumn>
    <tableColumn id="12" name="Nov" totalsRowFunction="sum" dataDxfId="120" totalsRowDxfId="121">
      <calculatedColumnFormula>INDEX(EmployeePlan[],MATCH(INDEX(EmployeeVariances[],ROW()-ROW(EmployeeVariances[[#Headers],[Nov]]),1),INDEX(EmployeePlan[],,1),0),MATCH(EmployeeVariances[[#Headers],[Nov]],EmployeePlan[#Headers],0))-INDEX(EmployeeActual[],MATCH(INDEX(EmployeeVariances[],ROW()-ROW(EmployeeVariances[[#Headers],[Nov]]),1),INDEX(EmployeePlan[],,1),0),MATCH(EmployeeVariances[[#Headers],[Nov]],EmployeeActual[#Headers],0))</calculatedColumnFormula>
    </tableColumn>
    <tableColumn id="13" name="Dec" totalsRowFunction="sum" dataDxfId="118" totalsRowDxfId="119">
      <calculatedColumnFormula>INDEX(EmployeePlan[],MATCH(INDEX(EmployeeVariances[],ROW()-ROW(EmployeeVariances[[#Headers],[Dec]]),1),INDEX(EmployeePlan[],,1),0),MATCH(EmployeeVariances[[#Headers],[Dec]],EmployeePlan[#Headers],0))-INDEX(EmployeeActual[],MATCH(INDEX(EmployeeVariances[],ROW()-ROW(EmployeeVariances[[#Headers],[Dec]]),1),INDEX(EmployeePlan[],,1),0),MATCH(EmployeeVariances[[#Headers],[Dec]],EmployeeActual[#Headers],0))</calculatedColumnFormula>
    </tableColumn>
    <tableColumn id="14" name="YEAR" totalsRowFunction="sum" dataDxfId="116" totalsRowDxfId="117">
      <calculatedColumnFormula>SUM(EmployeeVariances[[#This Row],[Jan]:[Dec]])</calculatedColumnFormula>
    </tableColumn>
  </tableColumns>
  <tableStyleInfo name="Table Style 1" showFirstColumn="1" showLastColumn="0" showRowStripes="0" showColumnStripes="0"/>
</table>
</file>

<file path=xl/tables/table12.xml><?xml version="1.0" encoding="utf-8"?>
<table xmlns="http://schemas.openxmlformats.org/spreadsheetml/2006/main" id="12" name="OfficeVariances" displayName="OfficeVariances" ref="B11:O20" headerRowCount="1" totalsRowCount="1" headerRowDxfId="115" dataDxfId="114" totalsRowDxfId="113">
  <autoFilter ref="B11:O19">
    <filterColumn colId="0" hiddenButton="1" showButton="1"/>
    <filterColumn colId="1" hiddenButton="1" showButton="1"/>
    <filterColumn colId="2" hiddenButton="1" showButton="1"/>
    <filterColumn colId="3" hiddenButton="1" showButton="1"/>
    <filterColumn colId="4" hiddenButton="1" showButton="1"/>
    <filterColumn colId="5" hiddenButton="1" showButton="1"/>
    <filterColumn colId="6" hiddenButton="1" showButton="1"/>
    <filterColumn colId="7" hiddenButton="1" showButton="1"/>
    <filterColumn colId="8" hiddenButton="1" showButton="1"/>
    <filterColumn colId="9" hiddenButton="1" showButton="1"/>
    <filterColumn colId="10" hiddenButton="1" showButton="1"/>
    <filterColumn colId="11" hiddenButton="1" showButton="1"/>
    <filterColumn colId="12" hiddenButton="1" showButton="1"/>
    <filterColumn colId="13" hiddenButton="1" showButton="1"/>
  </autoFilter>
  <tableColumns count="14">
    <tableColumn id="1" name="Office costs" totalsRowLabel="Subtotal" dataDxfId="111" totalsRowDxfId="112"/>
    <tableColumn id="2" name="Jan" totalsRowFunction="sum" dataDxfId="109" totalsRowDxfId="110">
      <calculatedColumnFormula>INDEX(OfficePlan[],MATCH(INDEX(OfficeVariances[],ROW()-ROW(OfficeVariances[[#Headers],[Jan]]),1),INDEX(OfficePlan[],,1),0),MATCH(OfficeVariances[[#Headers],[Jan]],OfficePlan[#Headers],0))-INDEX(OfficeActual[],MATCH(INDEX(OfficeVariances[],ROW()-ROW(OfficeVariances[[#Headers],[Jan]]),1),INDEX(OfficePlan[],,1),0),MATCH(OfficeVariances[[#Headers],[Jan]],OfficeActual[#Headers],0))</calculatedColumnFormula>
    </tableColumn>
    <tableColumn id="3" name="Feb" totalsRowFunction="sum" dataDxfId="107" totalsRowDxfId="108">
      <calculatedColumnFormula>INDEX(OfficePlan[],MATCH(INDEX(OfficeVariances[],ROW()-ROW(OfficeVariances[[#Headers],[Feb]]),1),INDEX(OfficePlan[],,1),0),MATCH(OfficeVariances[[#Headers],[Feb]],OfficePlan[#Headers],0))-INDEX(OfficeActual[],MATCH(INDEX(OfficeVariances[],ROW()-ROW(OfficeVariances[[#Headers],[Feb]]),1),INDEX(OfficePlan[],,1),0),MATCH(OfficeVariances[[#Headers],[Feb]],OfficeActual[#Headers],0))</calculatedColumnFormula>
    </tableColumn>
    <tableColumn id="4" name="Mar" totalsRowFunction="sum" dataDxfId="105" totalsRowDxfId="106">
      <calculatedColumnFormula>INDEX(OfficePlan[],MATCH(INDEX(OfficeVariances[],ROW()-ROW(OfficeVariances[[#Headers],[Mar]]),1),INDEX(OfficePlan[],,1),0),MATCH(OfficeVariances[[#Headers],[Mar]],OfficePlan[#Headers],0))-INDEX(OfficeActual[],MATCH(INDEX(OfficeVariances[],ROW()-ROW(OfficeVariances[[#Headers],[Mar]]),1),INDEX(OfficePlan[],,1),0),MATCH(OfficeVariances[[#Headers],[Mar]],OfficeActual[#Headers],0))</calculatedColumnFormula>
    </tableColumn>
    <tableColumn id="5" name="Apr" totalsRowFunction="sum" dataDxfId="103" totalsRowDxfId="104">
      <calculatedColumnFormula>INDEX(OfficePlan[],MATCH(INDEX(OfficeVariances[],ROW()-ROW(OfficeVariances[[#Headers],[Apr]]),1),INDEX(OfficePlan[],,1),0),MATCH(OfficeVariances[[#Headers],[Apr]],OfficePlan[#Headers],0))-INDEX(OfficeActual[],MATCH(INDEX(OfficeVariances[],ROW()-ROW(OfficeVariances[[#Headers],[Apr]]),1),INDEX(OfficePlan[],,1),0),MATCH(OfficeVariances[[#Headers],[Apr]],OfficeActual[#Headers],0))</calculatedColumnFormula>
    </tableColumn>
    <tableColumn id="6" name="May" totalsRowFunction="sum" dataDxfId="101" totalsRowDxfId="102">
      <calculatedColumnFormula>INDEX(OfficePlan[],MATCH(INDEX(OfficeVariances[],ROW()-ROW(OfficeVariances[[#Headers],[May]]),1),INDEX(OfficePlan[],,1),0),MATCH(OfficeVariances[[#Headers],[May]],OfficePlan[#Headers],0))-INDEX(OfficeActual[],MATCH(INDEX(OfficeVariances[],ROW()-ROW(OfficeVariances[[#Headers],[May]]),1),INDEX(OfficePlan[],,1),0),MATCH(OfficeVariances[[#Headers],[May]],OfficeActual[#Headers],0))</calculatedColumnFormula>
    </tableColumn>
    <tableColumn id="7" name="Jun" totalsRowFunction="sum" dataDxfId="99" totalsRowDxfId="100">
      <calculatedColumnFormula>INDEX(OfficePlan[],MATCH(INDEX(OfficeVariances[],ROW()-ROW(OfficeVariances[[#Headers],[Jun]]),1),INDEX(OfficePlan[],,1),0),MATCH(OfficeVariances[[#Headers],[Jun]],OfficePlan[#Headers],0))-INDEX(OfficeActual[],MATCH(INDEX(OfficeVariances[],ROW()-ROW(OfficeVariances[[#Headers],[Jun]]),1),INDEX(OfficePlan[],,1),0),MATCH(OfficeVariances[[#Headers],[Jun]],OfficeActual[#Headers],0))</calculatedColumnFormula>
    </tableColumn>
    <tableColumn id="8" name="Jul" totalsRowFunction="sum" dataDxfId="97" totalsRowDxfId="98">
      <calculatedColumnFormula>INDEX(OfficePlan[],MATCH(INDEX(OfficeVariances[],ROW()-ROW(OfficeVariances[[#Headers],[Jul]]),1),INDEX(OfficePlan[],,1),0),MATCH(OfficeVariances[[#Headers],[Jul]],OfficePlan[#Headers],0))-INDEX(OfficeActual[],MATCH(INDEX(OfficeVariances[],ROW()-ROW(OfficeVariances[[#Headers],[Jul]]),1),INDEX(OfficePlan[],,1),0),MATCH(OfficeVariances[[#Headers],[Jul]],OfficeActual[#Headers],0))</calculatedColumnFormula>
    </tableColumn>
    <tableColumn id="9" name="Aug" totalsRowFunction="sum" dataDxfId="95" totalsRowDxfId="96">
      <calculatedColumnFormula>INDEX(OfficePlan[],MATCH(INDEX(OfficeVariances[],ROW()-ROW(OfficeVariances[[#Headers],[Aug]]),1),INDEX(OfficePlan[],,1),0),MATCH(OfficeVariances[[#Headers],[Aug]],OfficePlan[#Headers],0))-INDEX(OfficeActual[],MATCH(INDEX(OfficeVariances[],ROW()-ROW(OfficeVariances[[#Headers],[Aug]]),1),INDEX(OfficePlan[],,1),0),MATCH(OfficeVariances[[#Headers],[Aug]],OfficeActual[#Headers],0))</calculatedColumnFormula>
    </tableColumn>
    <tableColumn id="10" name="Sep" totalsRowFunction="sum" dataDxfId="93" totalsRowDxfId="94">
      <calculatedColumnFormula>INDEX(OfficePlan[],MATCH(INDEX(OfficeVariances[],ROW()-ROW(OfficeVariances[[#Headers],[Sep]]),1),INDEX(OfficePlan[],,1),0),MATCH(OfficeVariances[[#Headers],[Sep]],OfficePlan[#Headers],0))-INDEX(OfficeActual[],MATCH(INDEX(OfficeVariances[],ROW()-ROW(OfficeVariances[[#Headers],[Sep]]),1),INDEX(OfficePlan[],,1),0),MATCH(OfficeVariances[[#Headers],[Sep]],OfficeActual[#Headers],0))</calculatedColumnFormula>
    </tableColumn>
    <tableColumn id="11" name="Oct" totalsRowFunction="sum" dataDxfId="91" totalsRowDxfId="92">
      <calculatedColumnFormula>INDEX(OfficePlan[],MATCH(INDEX(OfficeVariances[],ROW()-ROW(OfficeVariances[[#Headers],[Oct]]),1),INDEX(OfficePlan[],,1),0),MATCH(OfficeVariances[[#Headers],[Oct]],OfficePlan[#Headers],0))-INDEX(OfficeActual[],MATCH(INDEX(OfficeVariances[],ROW()-ROW(OfficeVariances[[#Headers],[Oct]]),1),INDEX(OfficePlan[],,1),0),MATCH(OfficeVariances[[#Headers],[Oct]],OfficeActual[#Headers],0))</calculatedColumnFormula>
    </tableColumn>
    <tableColumn id="12" name="Nov" totalsRowFunction="sum" dataDxfId="89" totalsRowDxfId="90">
      <calculatedColumnFormula>INDEX(OfficePlan[],MATCH(INDEX(OfficeVariances[],ROW()-ROW(OfficeVariances[[#Headers],[Nov]]),1),INDEX(OfficePlan[],,1),0),MATCH(OfficeVariances[[#Headers],[Nov]],OfficePlan[#Headers],0))-INDEX(OfficeActual[],MATCH(INDEX(OfficeVariances[],ROW()-ROW(OfficeVariances[[#Headers],[Nov]]),1),INDEX(OfficePlan[],,1),0),MATCH(OfficeVariances[[#Headers],[Nov]],OfficeActual[#Headers],0))</calculatedColumnFormula>
    </tableColumn>
    <tableColumn id="13" name="Dec" totalsRowFunction="sum" dataDxfId="87" totalsRowDxfId="88">
      <calculatedColumnFormula>INDEX(OfficePlan[],MATCH(INDEX(OfficeVariances[],ROW()-ROW(OfficeVariances[[#Headers],[Dec]]),1),INDEX(OfficePlan[],,1),0),MATCH(OfficeVariances[[#Headers],[Dec]],OfficePlan[#Headers],0))-INDEX(OfficeActual[],MATCH(INDEX(OfficeVariances[],ROW()-ROW(OfficeVariances[[#Headers],[Dec]]),1),INDEX(OfficePlan[],,1),0),MATCH(OfficeVariances[[#Headers],[Dec]],OfficeActual[#Headers],0))</calculatedColumnFormula>
    </tableColumn>
    <tableColumn id="14" name="YEAR" totalsRowFunction="sum" dataDxfId="85" totalsRowDxfId="86">
      <calculatedColumnFormula>SUM(OfficeVariances[[#This Row],[Jan]:[Dec]])</calculatedColumnFormula>
    </tableColumn>
  </tableColumns>
  <tableStyleInfo name="Table Style 1" showFirstColumn="1" showLastColumn="1" showRowStripes="0" showColumnStripes="0"/>
</table>
</file>

<file path=xl/tables/table13.xml><?xml version="1.0" encoding="utf-8"?>
<table xmlns="http://schemas.openxmlformats.org/spreadsheetml/2006/main" id="13" name="MarketingVariances" displayName="MarketingVariances" ref="B22:O29" headerRowCount="1" totalsRowCount="1" headerRowDxfId="84" dataDxfId="83" totalsRowDxfId="82">
  <autoFilter ref="B22:O28">
    <filterColumn colId="0" hiddenButton="1" showButton="1"/>
    <filterColumn colId="1" hiddenButton="1" showButton="1"/>
    <filterColumn colId="2" hiddenButton="1" showButton="1"/>
    <filterColumn colId="3" hiddenButton="1" showButton="1"/>
    <filterColumn colId="4" hiddenButton="1" showButton="1"/>
    <filterColumn colId="5" hiddenButton="1" showButton="1"/>
    <filterColumn colId="6" hiddenButton="1" showButton="1"/>
    <filterColumn colId="7" hiddenButton="1" showButton="1"/>
    <filterColumn colId="8" hiddenButton="1" showButton="1"/>
    <filterColumn colId="9" hiddenButton="1" showButton="1"/>
    <filterColumn colId="10" hiddenButton="1" showButton="1"/>
    <filterColumn colId="11" hiddenButton="1" showButton="1"/>
    <filterColumn colId="12" hiddenButton="1" showButton="1"/>
    <filterColumn colId="13" hiddenButton="1" showButton="1"/>
  </autoFilter>
  <tableColumns count="14">
    <tableColumn id="1" name="Marketing costs" totalsRowLabel="Subtotal" dataDxfId="80" totalsRowDxfId="81"/>
    <tableColumn id="2" name="Jan" totalsRowFunction="sum" dataDxfId="78" totalsRowDxfId="79">
      <calculatedColumnFormula>INDEX(MarketingPlan[],MATCH(INDEX(MarketingVariances[],ROW()-ROW(MarketingVariances[[#Headers],[Jan]]),1),INDEX(MarketingPlan[],,1),0),MATCH(MarketingVariances[[#Headers],[Jan]],MarketingPlan[#Headers],0))-INDEX(MarketingActual[],MATCH(INDEX(MarketingVariances[],ROW()-ROW(MarketingVariances[[#Headers],[Jan]]),1),INDEX(MarketingPlan[],,1),0),MATCH(MarketingVariances[[#Headers],[Jan]],MarketingActual[#Headers],0))</calculatedColumnFormula>
    </tableColumn>
    <tableColumn id="3" name="Feb" totalsRowFunction="sum" dataDxfId="76" totalsRowDxfId="77">
      <calculatedColumnFormula>INDEX(MarketingPlan[],MATCH(INDEX(MarketingVariances[],ROW()-ROW(MarketingVariances[[#Headers],[Feb]]),1),INDEX(MarketingPlan[],,1),0),MATCH(MarketingVariances[[#Headers],[Feb]],MarketingPlan[#Headers],0))-INDEX(MarketingActual[],MATCH(INDEX(MarketingVariances[],ROW()-ROW(MarketingVariances[[#Headers],[Feb]]),1),INDEX(MarketingPlan[],,1),0),MATCH(MarketingVariances[[#Headers],[Feb]],MarketingActual[#Headers],0))</calculatedColumnFormula>
    </tableColumn>
    <tableColumn id="4" name="Mar" totalsRowFunction="sum" dataDxfId="74" totalsRowDxfId="75">
      <calculatedColumnFormula>INDEX(MarketingPlan[],MATCH(INDEX(MarketingVariances[],ROW()-ROW(MarketingVariances[[#Headers],[Mar]]),1),INDEX(MarketingPlan[],,1),0),MATCH(MarketingVariances[[#Headers],[Mar]],MarketingPlan[#Headers],0))-INDEX(MarketingActual[],MATCH(INDEX(MarketingVariances[],ROW()-ROW(MarketingVariances[[#Headers],[Mar]]),1),INDEX(MarketingPlan[],,1),0),MATCH(MarketingVariances[[#Headers],[Mar]],MarketingActual[#Headers],0))</calculatedColumnFormula>
    </tableColumn>
    <tableColumn id="5" name="Apr" totalsRowFunction="sum" dataDxfId="72" totalsRowDxfId="73">
      <calculatedColumnFormula>INDEX(MarketingPlan[],MATCH(INDEX(MarketingVariances[],ROW()-ROW(MarketingVariances[[#Headers],[Apr]]),1),INDEX(MarketingPlan[],,1),0),MATCH(MarketingVariances[[#Headers],[Apr]],MarketingPlan[#Headers],0))-INDEX(MarketingActual[],MATCH(INDEX(MarketingVariances[],ROW()-ROW(MarketingVariances[[#Headers],[Apr]]),1),INDEX(MarketingPlan[],,1),0),MATCH(MarketingVariances[[#Headers],[Apr]],MarketingActual[#Headers],0))</calculatedColumnFormula>
    </tableColumn>
    <tableColumn id="6" name="May" totalsRowFunction="sum" dataDxfId="70" totalsRowDxfId="71">
      <calculatedColumnFormula>INDEX(MarketingPlan[],MATCH(INDEX(MarketingVariances[],ROW()-ROW(MarketingVariances[[#Headers],[May]]),1),INDEX(MarketingPlan[],,1),0),MATCH(MarketingVariances[[#Headers],[May]],MarketingPlan[#Headers],0))-INDEX(MarketingActual[],MATCH(INDEX(MarketingVariances[],ROW()-ROW(MarketingVariances[[#Headers],[May]]),1),INDEX(MarketingPlan[],,1),0),MATCH(MarketingVariances[[#Headers],[May]],MarketingActual[#Headers],0))</calculatedColumnFormula>
    </tableColumn>
    <tableColumn id="7" name="Jun" totalsRowFunction="sum" dataDxfId="68" totalsRowDxfId="69">
      <calculatedColumnFormula>INDEX(MarketingPlan[],MATCH(INDEX(MarketingVariances[],ROW()-ROW(MarketingVariances[[#Headers],[Jun]]),1),INDEX(MarketingPlan[],,1),0),MATCH(MarketingVariances[[#Headers],[Jun]],MarketingPlan[#Headers],0))-INDEX(MarketingActual[],MATCH(INDEX(MarketingVariances[],ROW()-ROW(MarketingVariances[[#Headers],[Jun]]),1),INDEX(MarketingPlan[],,1),0),MATCH(MarketingVariances[[#Headers],[Jun]],MarketingActual[#Headers],0))</calculatedColumnFormula>
    </tableColumn>
    <tableColumn id="8" name="Jul" totalsRowFunction="sum" dataDxfId="66" totalsRowDxfId="67">
      <calculatedColumnFormula>INDEX(MarketingPlan[],MATCH(INDEX(MarketingVariances[],ROW()-ROW(MarketingVariances[[#Headers],[Jul]]),1),INDEX(MarketingPlan[],,1),0),MATCH(MarketingVariances[[#Headers],[Jul]],MarketingPlan[#Headers],0))-INDEX(MarketingActual[],MATCH(INDEX(MarketingVariances[],ROW()-ROW(MarketingVariances[[#Headers],[Jul]]),1),INDEX(MarketingPlan[],,1),0),MATCH(MarketingVariances[[#Headers],[Jul]],MarketingActual[#Headers],0))</calculatedColumnFormula>
    </tableColumn>
    <tableColumn id="9" name="Aug" totalsRowFunction="sum" dataDxfId="64" totalsRowDxfId="65">
      <calculatedColumnFormula>INDEX(MarketingPlan[],MATCH(INDEX(MarketingVariances[],ROW()-ROW(MarketingVariances[[#Headers],[Aug]]),1),INDEX(MarketingPlan[],,1),0),MATCH(MarketingVariances[[#Headers],[Aug]],MarketingPlan[#Headers],0))-INDEX(MarketingActual[],MATCH(INDEX(MarketingVariances[],ROW()-ROW(MarketingVariances[[#Headers],[Aug]]),1),INDEX(MarketingPlan[],,1),0),MATCH(MarketingVariances[[#Headers],[Aug]],MarketingActual[#Headers],0))</calculatedColumnFormula>
    </tableColumn>
    <tableColumn id="10" name="Sep" totalsRowFunction="sum" dataDxfId="62" totalsRowDxfId="63">
      <calculatedColumnFormula>INDEX(MarketingPlan[],MATCH(INDEX(MarketingVariances[],ROW()-ROW(MarketingVariances[[#Headers],[Sep]]),1),INDEX(MarketingPlan[],,1),0),MATCH(MarketingVariances[[#Headers],[Sep]],MarketingPlan[#Headers],0))-INDEX(MarketingActual[],MATCH(INDEX(MarketingVariances[],ROW()-ROW(MarketingVariances[[#Headers],[Sep]]),1),INDEX(MarketingPlan[],,1),0),MATCH(MarketingVariances[[#Headers],[Sep]],MarketingActual[#Headers],0))</calculatedColumnFormula>
    </tableColumn>
    <tableColumn id="11" name="Oct" totalsRowFunction="sum" dataDxfId="60" totalsRowDxfId="61">
      <calculatedColumnFormula>INDEX(MarketingPlan[],MATCH(INDEX(MarketingVariances[],ROW()-ROW(MarketingVariances[[#Headers],[Oct]]),1),INDEX(MarketingPlan[],,1),0),MATCH(MarketingVariances[[#Headers],[Oct]],MarketingPlan[#Headers],0))-INDEX(MarketingActual[],MATCH(INDEX(MarketingVariances[],ROW()-ROW(MarketingVariances[[#Headers],[Oct]]),1),INDEX(MarketingPlan[],,1),0),MATCH(MarketingVariances[[#Headers],[Oct]],MarketingActual[#Headers],0))</calculatedColumnFormula>
    </tableColumn>
    <tableColumn id="12" name="Nov" totalsRowFunction="sum" dataDxfId="58" totalsRowDxfId="59">
      <calculatedColumnFormula>INDEX(MarketingPlan[],MATCH(INDEX(MarketingVariances[],ROW()-ROW(MarketingVariances[[#Headers],[Nov]]),1),INDEX(MarketingPlan[],,1),0),MATCH(MarketingVariances[[#Headers],[Nov]],MarketingPlan[#Headers],0))-INDEX(MarketingActual[],MATCH(INDEX(MarketingVariances[],ROW()-ROW(MarketingVariances[[#Headers],[Nov]]),1),INDEX(MarketingPlan[],,1),0),MATCH(MarketingVariances[[#Headers],[Nov]],MarketingActual[#Headers],0))</calculatedColumnFormula>
    </tableColumn>
    <tableColumn id="13" name="Dec" totalsRowFunction="sum" dataDxfId="56" totalsRowDxfId="57">
      <calculatedColumnFormula>INDEX(MarketingPlan[],MATCH(INDEX(MarketingVariances[],ROW()-ROW(MarketingVariances[[#Headers],[Dec]]),1),INDEX(MarketingPlan[],,1),0),MATCH(MarketingVariances[[#Headers],[Dec]],MarketingPlan[#Headers],0))-INDEX(MarketingActual[],MATCH(INDEX(MarketingVariances[],ROW()-ROW(MarketingVariances[[#Headers],[Dec]]),1),INDEX(MarketingPlan[],,1),0),MATCH(MarketingVariances[[#Headers],[Dec]],MarketingActual[#Headers],0))</calculatedColumnFormula>
    </tableColumn>
    <tableColumn id="14" name="YEAR" totalsRowFunction="sum" dataDxfId="54" totalsRowDxfId="55">
      <calculatedColumnFormula>SUM(MarketingVariances[[#This Row],[Jan]:[Dec]])</calculatedColumnFormula>
    </tableColumn>
  </tableColumns>
  <tableStyleInfo name="Table Style 1" showFirstColumn="1" showLastColumn="1" showRowStripes="0" showColumnStripes="0"/>
</table>
</file>

<file path=xl/tables/table14.xml><?xml version="1.0" encoding="utf-8"?>
<table xmlns="http://schemas.openxmlformats.org/spreadsheetml/2006/main" id="14" name="TrainingAndTravelVariances" displayName="TrainingAndTravelVariances" ref="B31:O34" headerRowCount="1" totalsRowCount="1" headerRowDxfId="53" dataDxfId="52" totalsRowDxfId="51">
  <autoFilter ref="B31:O33">
    <filterColumn colId="0" hiddenButton="1" showButton="1"/>
    <filterColumn colId="1" hiddenButton="1" showButton="1"/>
    <filterColumn colId="2" hiddenButton="1" showButton="1"/>
    <filterColumn colId="3" hiddenButton="1" showButton="1"/>
    <filterColumn colId="4" hiddenButton="1" showButton="1"/>
    <filterColumn colId="5" hiddenButton="1" showButton="1"/>
    <filterColumn colId="6" hiddenButton="1" showButton="1"/>
    <filterColumn colId="7" hiddenButton="1" showButton="1"/>
    <filterColumn colId="8" hiddenButton="1" showButton="1"/>
    <filterColumn colId="9" hiddenButton="1" showButton="1"/>
    <filterColumn colId="10" hiddenButton="1" showButton="1"/>
    <filterColumn colId="11" hiddenButton="1" showButton="1"/>
    <filterColumn colId="12" hiddenButton="1" showButton="1"/>
    <filterColumn colId="13" hiddenButton="1" showButton="1"/>
  </autoFilter>
  <tableColumns count="14">
    <tableColumn id="1" name="Training/travel" totalsRowLabel="Subtotal" dataDxfId="49" totalsRowDxfId="50"/>
    <tableColumn id="2" name="Jan" totalsRowFunction="sum" dataDxfId="47" totalsRowDxfId="48">
      <calculatedColumnFormula>INDEX(TrainingAndTravelPlan[],MATCH(INDEX(TrainingAndTravelVariances[],ROW()-ROW(TrainingAndTravelVariances[[#Headers],[Jan]]),1),INDEX(TrainingAndTravelPlan[],,1),0),MATCH(TrainingAndTravelVariances[[#Headers],[Jan]],TrainingAndTravelPlan[#Headers],0))-INDEX(TrainingAndTravelActual[],MATCH(INDEX(TrainingAndTravelVariances[],ROW()-ROW(TrainingAndTravelVariances[[#Headers],[Jan]]),1),INDEX(TrainingAndTravelPlan[],,1),0),MATCH(TrainingAndTravelVariances[[#Headers],[Jan]],TrainingAndTravelActual[#Headers],0))</calculatedColumnFormula>
    </tableColumn>
    <tableColumn id="3" name="Feb" totalsRowFunction="sum" dataDxfId="45" totalsRowDxfId="46">
      <calculatedColumnFormula>INDEX(TrainingAndTravelPlan[],MATCH(INDEX(TrainingAndTravelVariances[],ROW()-ROW(TrainingAndTravelVariances[[#Headers],[Feb]]),1),INDEX(TrainingAndTravelPlan[],,1),0),MATCH(TrainingAndTravelVariances[[#Headers],[Feb]],TrainingAndTravelPlan[#Headers],0))-INDEX(TrainingAndTravelActual[],MATCH(INDEX(TrainingAndTravelVariances[],ROW()-ROW(TrainingAndTravelVariances[[#Headers],[Feb]]),1),INDEX(TrainingAndTravelPlan[],,1),0),MATCH(TrainingAndTravelVariances[[#Headers],[Feb]],TrainingAndTravelActual[#Headers],0))</calculatedColumnFormula>
    </tableColumn>
    <tableColumn id="4" name="Mar" totalsRowFunction="sum" dataDxfId="43" totalsRowDxfId="44">
      <calculatedColumnFormula>INDEX(TrainingAndTravelPlan[],MATCH(INDEX(TrainingAndTravelVariances[],ROW()-ROW(TrainingAndTravelVariances[[#Headers],[Mar]]),1),INDEX(TrainingAndTravelPlan[],,1),0),MATCH(TrainingAndTravelVariances[[#Headers],[Mar]],TrainingAndTravelPlan[#Headers],0))-INDEX(TrainingAndTravelActual[],MATCH(INDEX(TrainingAndTravelVariances[],ROW()-ROW(TrainingAndTravelVariances[[#Headers],[Mar]]),1),INDEX(TrainingAndTravelPlan[],,1),0),MATCH(TrainingAndTravelVariances[[#Headers],[Mar]],TrainingAndTravelActual[#Headers],0))</calculatedColumnFormula>
    </tableColumn>
    <tableColumn id="5" name="Apr" totalsRowFunction="sum" dataDxfId="41" totalsRowDxfId="42">
      <calculatedColumnFormula>INDEX(TrainingAndTravelPlan[],MATCH(INDEX(TrainingAndTravelVariances[],ROW()-ROW(TrainingAndTravelVariances[[#Headers],[Apr]]),1),INDEX(TrainingAndTravelPlan[],,1),0),MATCH(TrainingAndTravelVariances[[#Headers],[Apr]],TrainingAndTravelPlan[#Headers],0))-INDEX(TrainingAndTravelActual[],MATCH(INDEX(TrainingAndTravelVariances[],ROW()-ROW(TrainingAndTravelVariances[[#Headers],[Apr]]),1),INDEX(TrainingAndTravelPlan[],,1),0),MATCH(TrainingAndTravelVariances[[#Headers],[Apr]],TrainingAndTravelActual[#Headers],0))</calculatedColumnFormula>
    </tableColumn>
    <tableColumn id="6" name="May" totalsRowFunction="sum" dataDxfId="39" totalsRowDxfId="40">
      <calculatedColumnFormula>INDEX(TrainingAndTravelPlan[],MATCH(INDEX(TrainingAndTravelVariances[],ROW()-ROW(TrainingAndTravelVariances[[#Headers],[May]]),1),INDEX(TrainingAndTravelPlan[],,1),0),MATCH(TrainingAndTravelVariances[[#Headers],[May]],TrainingAndTravelPlan[#Headers],0))-INDEX(TrainingAndTravelActual[],MATCH(INDEX(TrainingAndTravelVariances[],ROW()-ROW(TrainingAndTravelVariances[[#Headers],[May]]),1),INDEX(TrainingAndTravelPlan[],,1),0),MATCH(TrainingAndTravelVariances[[#Headers],[May]],TrainingAndTravelActual[#Headers],0))</calculatedColumnFormula>
    </tableColumn>
    <tableColumn id="7" name="Jun" totalsRowFunction="sum" dataDxfId="37" totalsRowDxfId="38">
      <calculatedColumnFormula>INDEX(TrainingAndTravelPlan[],MATCH(INDEX(TrainingAndTravelVariances[],ROW()-ROW(TrainingAndTravelVariances[[#Headers],[Jun]]),1),INDEX(TrainingAndTravelPlan[],,1),0),MATCH(TrainingAndTravelVariances[[#Headers],[Jun]],TrainingAndTravelPlan[#Headers],0))-INDEX(TrainingAndTravelActual[],MATCH(INDEX(TrainingAndTravelVariances[],ROW()-ROW(TrainingAndTravelVariances[[#Headers],[Jun]]),1),INDEX(TrainingAndTravelPlan[],,1),0),MATCH(TrainingAndTravelVariances[[#Headers],[Jun]],TrainingAndTravelActual[#Headers],0))</calculatedColumnFormula>
    </tableColumn>
    <tableColumn id="8" name="Jul" totalsRowFunction="sum" dataDxfId="35" totalsRowDxfId="36">
      <calculatedColumnFormula>INDEX(TrainingAndTravelPlan[],MATCH(INDEX(TrainingAndTravelVariances[],ROW()-ROW(TrainingAndTravelVariances[[#Headers],[Jul]]),1),INDEX(TrainingAndTravelPlan[],,1),0),MATCH(TrainingAndTravelVariances[[#Headers],[Jul]],TrainingAndTravelPlan[#Headers],0))-INDEX(TrainingAndTravelActual[],MATCH(INDEX(TrainingAndTravelVariances[],ROW()-ROW(TrainingAndTravelVariances[[#Headers],[Jul]]),1),INDEX(TrainingAndTravelPlan[],,1),0),MATCH(TrainingAndTravelVariances[[#Headers],[Jul]],TrainingAndTravelActual[#Headers],0))</calculatedColumnFormula>
    </tableColumn>
    <tableColumn id="9" name="Aug" totalsRowFunction="sum" dataDxfId="33" totalsRowDxfId="34">
      <calculatedColumnFormula>INDEX(TrainingAndTravelPlan[],MATCH(INDEX(TrainingAndTravelVariances[],ROW()-ROW(TrainingAndTravelVariances[[#Headers],[Aug]]),1),INDEX(TrainingAndTravelPlan[],,1),0),MATCH(TrainingAndTravelVariances[[#Headers],[Aug]],TrainingAndTravelPlan[#Headers],0))-INDEX(TrainingAndTravelActual[],MATCH(INDEX(TrainingAndTravelVariances[],ROW()-ROW(TrainingAndTravelVariances[[#Headers],[Aug]]),1),INDEX(TrainingAndTravelPlan[],,1),0),MATCH(TrainingAndTravelVariances[[#Headers],[Aug]],TrainingAndTravelActual[#Headers],0))</calculatedColumnFormula>
    </tableColumn>
    <tableColumn id="10" name="Sep" totalsRowFunction="sum" dataDxfId="31" totalsRowDxfId="32">
      <calculatedColumnFormula>INDEX(TrainingAndTravelPlan[],MATCH(INDEX(TrainingAndTravelVariances[],ROW()-ROW(TrainingAndTravelVariances[[#Headers],[Sep]]),1),INDEX(TrainingAndTravelPlan[],,1),0),MATCH(TrainingAndTravelVariances[[#Headers],[Sep]],TrainingAndTravelPlan[#Headers],0))-INDEX(TrainingAndTravelActual[],MATCH(INDEX(TrainingAndTravelVariances[],ROW()-ROW(TrainingAndTravelVariances[[#Headers],[Sep]]),1),INDEX(TrainingAndTravelPlan[],,1),0),MATCH(TrainingAndTravelVariances[[#Headers],[Sep]],TrainingAndTravelActual[#Headers],0))</calculatedColumnFormula>
    </tableColumn>
    <tableColumn id="11" name="Oct" totalsRowFunction="sum" dataDxfId="29" totalsRowDxfId="30">
      <calculatedColumnFormula>INDEX(TrainingAndTravelPlan[],MATCH(INDEX(TrainingAndTravelVariances[],ROW()-ROW(TrainingAndTravelVariances[[#Headers],[Oct]]),1),INDEX(TrainingAndTravelPlan[],,1),0),MATCH(TrainingAndTravelVariances[[#Headers],[Oct]],TrainingAndTravelPlan[#Headers],0))-INDEX(TrainingAndTravelActual[],MATCH(INDEX(TrainingAndTravelVariances[],ROW()-ROW(TrainingAndTravelVariances[[#Headers],[Oct]]),1),INDEX(TrainingAndTravelPlan[],,1),0),MATCH(TrainingAndTravelVariances[[#Headers],[Oct]],TrainingAndTravelActual[#Headers],0))</calculatedColumnFormula>
    </tableColumn>
    <tableColumn id="12" name="Nov" totalsRowFunction="sum" dataDxfId="27" totalsRowDxfId="28">
      <calculatedColumnFormula>INDEX(TrainingAndTravelPlan[],MATCH(INDEX(TrainingAndTravelVariances[],ROW()-ROW(TrainingAndTravelVariances[[#Headers],[Nov]]),1),INDEX(TrainingAndTravelPlan[],,1),0),MATCH(TrainingAndTravelVariances[[#Headers],[Nov]],TrainingAndTravelPlan[#Headers],0))-INDEX(TrainingAndTravelActual[],MATCH(INDEX(TrainingAndTravelVariances[],ROW()-ROW(TrainingAndTravelVariances[[#Headers],[Nov]]),1),INDEX(TrainingAndTravelPlan[],,1),0),MATCH(TrainingAndTravelVariances[[#Headers],[Nov]],TrainingAndTravelActual[#Headers],0))</calculatedColumnFormula>
    </tableColumn>
    <tableColumn id="13" name="Dec" totalsRowFunction="sum" dataDxfId="25" totalsRowDxfId="26">
      <calculatedColumnFormula>INDEX(TrainingAndTravelPlan[],MATCH(INDEX(TrainingAndTravelVariances[],ROW()-ROW(TrainingAndTravelVariances[[#Headers],[Dec]]),1),INDEX(TrainingAndTravelPlan[],,1),0),MATCH(TrainingAndTravelVariances[[#Headers],[Dec]],TrainingAndTravelPlan[#Headers],0))-INDEX(TrainingAndTravelActual[],MATCH(INDEX(TrainingAndTravelVariances[],ROW()-ROW(TrainingAndTravelVariances[[#Headers],[Dec]]),1),INDEX(TrainingAndTravelPlan[],,1),0),MATCH(TrainingAndTravelVariances[[#Headers],[Dec]],TrainingAndTravelActual[#Headers],0))</calculatedColumnFormula>
    </tableColumn>
    <tableColumn id="14" name="YEAR" totalsRowFunction="sum" dataDxfId="23" totalsRowDxfId="24">
      <calculatedColumnFormula>SUM(TrainingAndTravelVariances[[#This Row],[Jan]:[Dec]])</calculatedColumnFormula>
    </tableColumn>
  </tableColumns>
  <tableStyleInfo name="Table Style 1" showFirstColumn="1" showLastColumn="1" showRowStripes="0" showColumnStripes="0"/>
</table>
</file>

<file path=xl/tables/table15.xml><?xml version="1.0" encoding="utf-8"?>
<table xmlns="http://schemas.openxmlformats.org/spreadsheetml/2006/main" id="15" name="TotalVariances" displayName="TotalVariances" ref="B36:O38" headerRowCount="1" totalsRowShown="0" headerRowDxfId="22" dataDxfId="21">
  <autoFilter ref="B36:O38">
    <filterColumn colId="0" hiddenButton="1" showButton="1"/>
    <filterColumn colId="1" hiddenButton="1" showButton="1"/>
    <filterColumn colId="2" hiddenButton="1" showButton="1"/>
    <filterColumn colId="3" hiddenButton="1" showButton="1"/>
    <filterColumn colId="4" hiddenButton="1" showButton="1"/>
    <filterColumn colId="5" hiddenButton="1" showButton="1"/>
    <filterColumn colId="6" hiddenButton="1" showButton="1"/>
    <filterColumn colId="7" hiddenButton="1" showButton="1"/>
    <filterColumn colId="8" hiddenButton="1" showButton="1"/>
    <filterColumn colId="9" hiddenButton="1" showButton="1"/>
    <filterColumn colId="10" hiddenButton="1" showButton="1"/>
    <filterColumn colId="11" hiddenButton="1" showButton="1"/>
    <filterColumn colId="12" hiddenButton="1" showButton="1"/>
    <filterColumn colId="13" hiddenButton="1" showButton="1"/>
  </autoFilter>
  <tableColumns count="14">
    <tableColumn id="1" name="Totals" dataDxfId="20"/>
    <tableColumn id="2" name="Jan" dataDxfId="19">
      <calculatedColumnFormula>SUM($C36:C$37)</calculatedColumnFormula>
    </tableColumn>
    <tableColumn id="3" name="Feb" dataDxfId="18">
      <calculatedColumnFormula>SUM($C36:D$37)</calculatedColumnFormula>
    </tableColumn>
    <tableColumn id="4" name="Mar" dataDxfId="17">
      <calculatedColumnFormula>SUM($C36:E$37)</calculatedColumnFormula>
    </tableColumn>
    <tableColumn id="5" name="Apr" dataDxfId="16">
      <calculatedColumnFormula>SUM($C36:F$37)</calculatedColumnFormula>
    </tableColumn>
    <tableColumn id="6" name="May" dataDxfId="15">
      <calculatedColumnFormula>SUM($C36:G$37)</calculatedColumnFormula>
    </tableColumn>
    <tableColumn id="7" name="Jun" dataDxfId="14">
      <calculatedColumnFormula>SUM($C36:H$37)</calculatedColumnFormula>
    </tableColumn>
    <tableColumn id="8" name="Jul" dataDxfId="13">
      <calculatedColumnFormula>SUM($C36:I$37)</calculatedColumnFormula>
    </tableColumn>
    <tableColumn id="9" name="Aug" dataDxfId="12">
      <calculatedColumnFormula>SUM($C36:J$37)</calculatedColumnFormula>
    </tableColumn>
    <tableColumn id="10" name="Sep" dataDxfId="11">
      <calculatedColumnFormula>SUM($C36:K$37)</calculatedColumnFormula>
    </tableColumn>
    <tableColumn id="11" name="Oct" dataDxfId="10">
      <calculatedColumnFormula>SUM($C36:L$37)</calculatedColumnFormula>
    </tableColumn>
    <tableColumn id="12" name="Nov" dataDxfId="9">
      <calculatedColumnFormula>SUM($C36:M$37)</calculatedColumnFormula>
    </tableColumn>
    <tableColumn id="13" name="Dec" dataDxfId="8">
      <calculatedColumnFormula>SUM($C36:N$37)</calculatedColumnFormula>
    </tableColumn>
    <tableColumn id="14" name="Year" dataDxfId="7"/>
  </tableColumns>
  <tableStyleInfo name="Table Style 1 2" showFirstColumn="1" showLastColumn="0" showRowStripes="0" showColumnStripes="0"/>
</table>
</file>

<file path=xl/tables/table16.xml><?xml version="1.0" encoding="utf-8"?>
<table xmlns="http://schemas.openxmlformats.org/spreadsheetml/2006/main" id="16" name="Analysis" displayName="Analysis" ref="B5:F10" headerRowCount="1" totalsRowShown="0" headerRowDxfId="6" dataDxfId="5">
  <autoFilter ref="B5:F10">
    <filterColumn colId="0" hiddenButton="1" showButton="1"/>
    <filterColumn colId="1" hiddenButton="1" showButton="1"/>
    <filterColumn colId="2" hiddenButton="1" showButton="1"/>
    <filterColumn colId="3" hiddenButton="1" showButton="1"/>
    <filterColumn colId="4" hiddenButton="1" showButton="1"/>
  </autoFilter>
  <tableColumns count="5">
    <tableColumn id="1" name="Expense category" dataDxfId="4"/>
    <tableColumn id="2" name="Planned expenses" dataDxfId="3"/>
    <tableColumn id="3" name="Actual expenses" dataDxfId="2"/>
    <tableColumn id="4" name="Expense variances" dataDxfId="1">
      <calculatedColumnFormula>C6-D6</calculatedColumnFormula>
    </tableColumn>
    <tableColumn id="5" name="Variance percentage" dataDxfId="0">
      <calculatedColumnFormula>E6/C6</calculatedColumnFormula>
    </tableColumn>
  </tableColumns>
  <tableStyleInfo name="Table Style 1" showFirstColumn="1" showLastColumn="0" showRowStripes="0" showColumnStripes="0"/>
</table>
</file>

<file path=xl/theme/theme1.xml><?xml version="1.0" encoding="utf-8"?>
<a:theme xmlns:a="http://schemas.openxmlformats.org/drawingml/2006/main" name="Office Theme">
  <a:themeElements>
    <a:clrScheme name="Resume">
      <a:dk1>
        <a:srgbClr val="000000"/>
      </a:dk1>
      <a:lt1>
        <a:srgbClr val="FFFFFF"/>
      </a:lt1>
      <a:dk2>
        <a:srgbClr val="44546A"/>
      </a:dk2>
      <a:lt2>
        <a:srgbClr val="E7E6E6"/>
      </a:lt2>
      <a:accent1>
        <a:srgbClr val="1309A8"/>
      </a:accent1>
      <a:accent2>
        <a:srgbClr val="875BBB"/>
      </a:accent2>
      <a:accent3>
        <a:srgbClr val="EB433D"/>
      </a:accent3>
      <a:accent4>
        <a:srgbClr val="B7E5ED"/>
      </a:accent4>
      <a:accent5>
        <a:srgbClr val="F6F3EA"/>
      </a:accent5>
      <a:accent6>
        <a:srgbClr val="3C3388"/>
      </a:accent6>
      <a:hlink>
        <a:srgbClr val="0563C1"/>
      </a:hlink>
      <a:folHlink>
        <a:srgbClr val="954F72"/>
      </a:folHlink>
    </a:clrScheme>
    <a:fontScheme name="Custom 10">
      <a:majorFont>
        <a:latin typeface="Posterama"/>
        <a:ea typeface=""/>
        <a:cs typeface=""/>
      </a:majorFont>
      <a:minorFont>
        <a:latin typeface="Posterama"/>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 /><Relationship Type="http://schemas.openxmlformats.org/officeDocument/2006/relationships/table" Target="/xl/tables/table2.xml" Id="rId2" /><Relationship Type="http://schemas.openxmlformats.org/officeDocument/2006/relationships/table" Target="/xl/tables/table3.xml" Id="rId3" /><Relationship Type="http://schemas.openxmlformats.org/officeDocument/2006/relationships/table" Target="/xl/tables/table4.xml" Id="rId4" /><Relationship Type="http://schemas.openxmlformats.org/officeDocument/2006/relationships/table" Target="/xl/tables/table5.xml" Id="rId5" /></Relationships>
</file>

<file path=xl/worksheets/_rels/sheet3.xml.rels><Relationships xmlns="http://schemas.openxmlformats.org/package/2006/relationships"><Relationship Type="http://schemas.openxmlformats.org/officeDocument/2006/relationships/table" Target="/xl/tables/table6.xml" Id="rId1" /><Relationship Type="http://schemas.openxmlformats.org/officeDocument/2006/relationships/table" Target="/xl/tables/table7.xml" Id="rId2" /><Relationship Type="http://schemas.openxmlformats.org/officeDocument/2006/relationships/table" Target="/xl/tables/table8.xml" Id="rId3" /><Relationship Type="http://schemas.openxmlformats.org/officeDocument/2006/relationships/table" Target="/xl/tables/table9.xml" Id="rId4" /><Relationship Type="http://schemas.openxmlformats.org/officeDocument/2006/relationships/table" Target="/xl/tables/table10.xml" Id="rId5" /></Relationships>
</file>

<file path=xl/worksheets/_rels/sheet4.xml.rels><Relationships xmlns="http://schemas.openxmlformats.org/package/2006/relationships"><Relationship Type="http://schemas.openxmlformats.org/officeDocument/2006/relationships/table" Target="/xl/tables/table11.xml" Id="rId1" /><Relationship Type="http://schemas.openxmlformats.org/officeDocument/2006/relationships/table" Target="/xl/tables/table12.xml" Id="rId2" /><Relationship Type="http://schemas.openxmlformats.org/officeDocument/2006/relationships/table" Target="/xl/tables/table13.xml" Id="rId3" /><Relationship Type="http://schemas.openxmlformats.org/officeDocument/2006/relationships/table" Target="/xl/tables/table14.xml" Id="rId4" /><Relationship Type="http://schemas.openxmlformats.org/officeDocument/2006/relationships/table" Target="/xl/tables/table15.xml" Id="rId5" /></Relationships>
</file>

<file path=xl/worksheets/_rels/sheet5.xml.rels><Relationships xmlns="http://schemas.openxmlformats.org/package/2006/relationships"><Relationship Type="http://schemas.openxmlformats.org/officeDocument/2006/relationships/drawing" Target="/xl/drawings/drawing1.xml" Id="rId1" /><Relationship Type="http://schemas.openxmlformats.org/officeDocument/2006/relationships/table" Target="/xl/tables/table16.xml" Id="rId2" /></Relationships>
</file>

<file path=xl/worksheets/sheet1.xml><?xml version="1.0" encoding="utf-8"?>
<worksheet xmlns="http://schemas.openxmlformats.org/spreadsheetml/2006/main">
  <sheetPr>
    <tabColor theme="6"/>
    <outlinePr summaryBelow="1" summaryRight="1"/>
    <pageSetUpPr fitToPage="1"/>
  </sheetPr>
  <dimension ref="B1:C12"/>
  <sheetViews>
    <sheetView tabSelected="1" workbookViewId="0">
      <selection activeCell="A1" sqref="A1"/>
    </sheetView>
  </sheetViews>
  <sheetFormatPr baseColWidth="8" defaultColWidth="8.875" defaultRowHeight="15.6"/>
  <cols>
    <col width="4" customWidth="1" style="28" min="1" max="1"/>
    <col width="83.625" customWidth="1" style="28" min="2" max="2"/>
    <col width="4" customWidth="1" style="28" min="3" max="3"/>
    <col width="8.875" customWidth="1" style="28" min="4" max="16384"/>
  </cols>
  <sheetData>
    <row r="1" ht="90" customHeight="1" s="90">
      <c r="B1" s="83" t="inlineStr">
        <is>
          <t>About this Template</t>
        </is>
      </c>
      <c r="C1" s="83" t="inlineStr">
        <is>
          <t> </t>
        </is>
      </c>
    </row>
    <row r="2" ht="9.6" customHeight="1" s="90">
      <c r="B2" s="83" t="n"/>
      <c r="C2" s="83" t="n"/>
    </row>
    <row r="3" ht="19.9" customHeight="1" s="90">
      <c r="B3" s="29" t="n"/>
      <c r="C3" s="87" t="n"/>
    </row>
    <row r="4" ht="39.6" customFormat="1" customHeight="1" s="30">
      <c r="B4" s="85" t="inlineStr">
        <is>
          <t>Use this business expense budget workbook to track planned and 
actual expenses and variances.</t>
        </is>
      </c>
      <c r="C4" s="88" t="n"/>
    </row>
    <row r="5" ht="39.6" customFormat="1" customHeight="1" s="30">
      <c r="B5" s="85" t="inlineStr">
        <is>
          <t>Fill in company name and add logo.</t>
        </is>
      </c>
      <c r="C5" s="88" t="n"/>
    </row>
    <row r="6" ht="39.6" customFormat="1" customHeight="1" s="30">
      <c r="B6" s="85" t="inlineStr">
        <is>
          <t>Enter details in tables in planned expenses 
worksheet and actual expenses worksheet.</t>
        </is>
      </c>
      <c r="C6" s="88" t="n"/>
    </row>
    <row r="7" ht="39.6" customFormat="1" customHeight="1" s="30">
      <c r="B7" s="85" t="inlineStr">
        <is>
          <t>Tables are auto updated in expense variances worksheet and charts in 
expense analysis worksheet</t>
        </is>
      </c>
      <c r="C7" s="88" t="n"/>
    </row>
    <row r="8" ht="30" customHeight="1" s="90">
      <c r="B8" s="31" t="inlineStr">
        <is>
          <t>HOW TO USE THIS TEMPLATE</t>
        </is>
      </c>
      <c r="C8" s="87" t="n"/>
    </row>
    <row r="9" ht="70.90000000000001" customHeight="1" s="90">
      <c r="B9" s="85" t="inlineStr">
        <is>
          <t>Input data in the white cells on the PLANNED EXPENSES and 
ACTUAL EXPENSES worksheets, and the EXPENSE VARIANCES and 
EXPENSE ANALYSIS will be calculated for you.  If you add a row on 
one sheet, the other sheets need to match.</t>
        </is>
      </c>
      <c r="C9" s="87" t="n"/>
    </row>
    <row r="10" ht="30" customFormat="1" customHeight="1" s="32">
      <c r="B10" s="31" t="inlineStr">
        <is>
          <t>Note</t>
        </is>
      </c>
      <c r="C10" s="89" t="n"/>
    </row>
    <row r="11" ht="79.90000000000001" customFormat="1" customHeight="1" s="32">
      <c r="B11" s="85" t="inlineStr">
        <is>
          <t xml:space="preserve">Additional instructions have been provided in column A in each 
worksheet. To learn more about tables, press SHIFT and then F10 
within a table, select the TABLE option, and then select 
ALTERNATIVE TEXT.
</t>
        </is>
      </c>
      <c r="C11" s="89" t="n"/>
    </row>
    <row r="12" ht="60" customFormat="1" customHeight="1" s="30">
      <c r="B12" s="85" t="n"/>
      <c r="C12" s="88" t="n"/>
    </row>
  </sheetData>
  <printOptions horizontalCentered="1"/>
  <pageMargins left="0.25" right="0.25" top="0.75" bottom="0.75" header="0.3" footer="0.3"/>
  <pageSetup orientation="portrait" paperSize="9" scale="95"/>
</worksheet>
</file>

<file path=xl/worksheets/sheet2.xml><?xml version="1.0" encoding="utf-8"?>
<worksheet xmlns="http://schemas.openxmlformats.org/spreadsheetml/2006/main">
  <sheetPr codeName="Sheet2">
    <tabColor theme="7"/>
    <outlinePr summaryBelow="1" summaryRight="1"/>
    <pageSetUpPr autoPageBreaks="0" fitToPage="1"/>
  </sheetPr>
  <dimension ref="A1:T39"/>
  <sheetViews>
    <sheetView showGridLines="0" zoomScaleNormal="100" workbookViewId="0">
      <selection activeCell="A1" sqref="A1"/>
    </sheetView>
  </sheetViews>
  <sheetFormatPr baseColWidth="8" defaultColWidth="8.875" defaultRowHeight="21" customHeight="1"/>
  <cols>
    <col width="4" customWidth="1" style="3" min="1" max="1"/>
    <col width="36.625" customWidth="1" style="3" min="2" max="2"/>
    <col width="14.375" customWidth="1" style="3" min="3" max="15"/>
    <col width="4" customWidth="1" style="3" min="16" max="16"/>
    <col width="1.5" customWidth="1" style="3" min="17" max="17"/>
    <col width="8.875" customWidth="1" style="3" min="18" max="19"/>
    <col width="10.875" customWidth="1" style="3" min="20" max="20"/>
    <col width="8.875" customWidth="1" style="3" min="21" max="16384"/>
  </cols>
  <sheetData>
    <row r="1" ht="20.1" customHeight="1" s="90">
      <c r="A1" s="1" t="n"/>
      <c r="B1" s="2" t="n"/>
      <c r="C1" s="2" t="n"/>
      <c r="D1" s="2" t="n"/>
      <c r="E1" s="2" t="n"/>
      <c r="F1" s="2" t="n"/>
      <c r="G1" s="2" t="n"/>
      <c r="H1" s="2" t="n"/>
      <c r="I1" s="2" t="n"/>
      <c r="J1" s="2" t="n"/>
      <c r="K1" s="2" t="n"/>
      <c r="L1" s="2" t="n"/>
      <c r="M1" s="2" t="n"/>
      <c r="N1" s="2" t="n"/>
      <c r="O1" s="2" t="n"/>
      <c r="P1" s="2" t="inlineStr">
        <is>
          <t> </t>
        </is>
      </c>
    </row>
    <row r="2" ht="100.15" customHeight="1" s="90">
      <c r="A2" s="2" t="n"/>
      <c r="B2" s="86" t="inlineStr">
        <is>
          <t>SBO Banking</t>
        </is>
      </c>
      <c r="E2" s="4" t="n"/>
      <c r="F2" s="5" t="n"/>
      <c r="G2" s="5" t="n"/>
      <c r="H2" s="5" t="n"/>
      <c r="I2" s="5" t="n"/>
      <c r="J2" s="5" t="n"/>
      <c r="K2" s="6" t="n"/>
      <c r="L2" s="7" t="n"/>
      <c r="M2" s="7" t="n"/>
      <c r="N2" s="8" t="n"/>
      <c r="O2" s="9" t="inlineStr">
        <is>
          <t>Detailed expense estimates</t>
        </is>
      </c>
      <c r="P2" s="2" t="n"/>
    </row>
    <row r="3" ht="19.9" customHeight="1" s="90">
      <c r="A3" s="2" t="n"/>
      <c r="E3" s="10" t="n"/>
      <c r="F3" s="11" t="n"/>
      <c r="G3" s="11" t="n"/>
      <c r="H3" s="11" t="n"/>
      <c r="I3" s="11" t="n"/>
      <c r="J3" s="11" t="n"/>
      <c r="K3" s="6" t="n"/>
      <c r="L3" s="12" t="n"/>
      <c r="M3" s="12" t="n"/>
      <c r="N3" s="8" t="n"/>
      <c r="O3" s="13" t="inlineStr">
        <is>
          <t>Shaded cells are calculations</t>
        </is>
      </c>
      <c r="P3" s="2" t="n"/>
    </row>
    <row r="4" ht="19.9" customHeight="1" s="90">
      <c r="A4" s="2" t="n"/>
      <c r="B4" s="14" t="n"/>
      <c r="C4" s="14" t="n"/>
      <c r="D4" s="14" t="n"/>
      <c r="E4" s="10" t="n"/>
      <c r="F4" s="11" t="n"/>
      <c r="G4" s="11" t="n"/>
      <c r="H4" s="11" t="n"/>
      <c r="I4" s="11" t="n"/>
      <c r="J4" s="11" t="n"/>
      <c r="K4" s="15" t="n"/>
      <c r="L4" s="15" t="n"/>
      <c r="M4" s="15" t="n"/>
      <c r="N4" s="8" t="n"/>
      <c r="O4" s="8" t="n"/>
      <c r="P4" s="2" t="n"/>
    </row>
    <row r="5" ht="49.9" customHeight="1" s="90">
      <c r="A5" s="2" t="n"/>
      <c r="B5" s="16" t="inlineStr">
        <is>
          <t>PLANNED EXPENSES</t>
        </is>
      </c>
      <c r="C5" s="17" t="n"/>
      <c r="D5" s="17" t="n"/>
      <c r="E5" s="18" t="n"/>
      <c r="F5" s="17" t="n"/>
      <c r="G5" s="17" t="n"/>
      <c r="H5" s="17" t="n"/>
      <c r="I5" s="18" t="n"/>
      <c r="J5" s="17" t="n"/>
      <c r="K5" s="17" t="n"/>
      <c r="L5" s="17" t="n"/>
      <c r="M5" s="17" t="n"/>
      <c r="N5" s="18" t="n"/>
      <c r="O5" s="17" t="n"/>
      <c r="P5" s="6" t="n"/>
      <c r="R5" s="19" t="n"/>
      <c r="S5" s="20" t="n"/>
      <c r="T5" s="20" t="n"/>
    </row>
    <row r="6" ht="40.15" customFormat="1" customHeight="1" s="47">
      <c r="A6" s="43" t="n"/>
      <c r="B6" s="21" t="inlineStr">
        <is>
          <t>Employee costs</t>
        </is>
      </c>
      <c r="C6" s="54" t="inlineStr">
        <is>
          <t>Jan</t>
        </is>
      </c>
      <c r="D6" s="54" t="inlineStr">
        <is>
          <t>Feb</t>
        </is>
      </c>
      <c r="E6" s="55" t="inlineStr">
        <is>
          <t>Mar</t>
        </is>
      </c>
      <c r="F6" s="54" t="inlineStr">
        <is>
          <t>Apr</t>
        </is>
      </c>
      <c r="G6" s="54" t="inlineStr">
        <is>
          <t>May</t>
        </is>
      </c>
      <c r="H6" s="54" t="inlineStr">
        <is>
          <t>Jun</t>
        </is>
      </c>
      <c r="I6" s="54" t="inlineStr">
        <is>
          <t>Jul</t>
        </is>
      </c>
      <c r="J6" s="54" t="inlineStr">
        <is>
          <t>Aug</t>
        </is>
      </c>
      <c r="K6" s="54" t="inlineStr">
        <is>
          <t>Sep</t>
        </is>
      </c>
      <c r="L6" s="54" t="inlineStr">
        <is>
          <t>Oct</t>
        </is>
      </c>
      <c r="M6" s="54" t="inlineStr">
        <is>
          <t>Nov</t>
        </is>
      </c>
      <c r="N6" s="54" t="inlineStr">
        <is>
          <t>Dec</t>
        </is>
      </c>
      <c r="O6" s="54" t="inlineStr">
        <is>
          <t>YEAR</t>
        </is>
      </c>
      <c r="P6" s="43" t="n"/>
    </row>
    <row r="7" ht="30" customHeight="1" s="90">
      <c r="A7" s="6" t="n"/>
      <c r="B7" s="22" t="inlineStr">
        <is>
          <t>Wages</t>
        </is>
      </c>
      <c r="C7" s="91" t="n">
        <v>85000</v>
      </c>
      <c r="D7" s="91" t="n">
        <v>85000</v>
      </c>
      <c r="E7" s="91" t="n">
        <v>85000</v>
      </c>
      <c r="F7" s="91" t="n">
        <v>87500</v>
      </c>
      <c r="G7" s="91" t="n">
        <v>87500</v>
      </c>
      <c r="H7" s="91" t="n">
        <v>87500</v>
      </c>
      <c r="I7" s="91" t="n">
        <v>87500</v>
      </c>
      <c r="J7" s="91" t="n">
        <v>92400</v>
      </c>
      <c r="K7" s="91" t="n">
        <v>92400</v>
      </c>
      <c r="L7" s="91" t="n">
        <v>92400</v>
      </c>
      <c r="M7" s="91" t="n">
        <v>92400</v>
      </c>
      <c r="N7" s="91" t="n">
        <v>92400</v>
      </c>
      <c r="O7" s="91" t="n">
        <v>1067000</v>
      </c>
      <c r="P7" s="6" t="n"/>
      <c r="R7" s="20" t="n"/>
      <c r="S7" s="20" t="n"/>
      <c r="T7" s="20" t="n"/>
    </row>
    <row r="8" ht="30" customHeight="1" s="90">
      <c r="A8" s="6" t="n"/>
      <c r="B8" s="22" t="inlineStr">
        <is>
          <t>Benefits</t>
        </is>
      </c>
      <c r="C8" s="91" t="n">
        <v>22950</v>
      </c>
      <c r="D8" s="91" t="n">
        <v>22950</v>
      </c>
      <c r="E8" s="91" t="n">
        <v>22950</v>
      </c>
      <c r="F8" s="91" t="n">
        <v>23625</v>
      </c>
      <c r="G8" s="91" t="n">
        <v>23625</v>
      </c>
      <c r="H8" s="91" t="n">
        <v>23625</v>
      </c>
      <c r="I8" s="91" t="n">
        <v>23625</v>
      </c>
      <c r="J8" s="91" t="n">
        <v>24948</v>
      </c>
      <c r="K8" s="91" t="n">
        <v>24948</v>
      </c>
      <c r="L8" s="91" t="n">
        <v>24948</v>
      </c>
      <c r="M8" s="91" t="n">
        <v>24948</v>
      </c>
      <c r="N8" s="91" t="n">
        <v>24948</v>
      </c>
      <c r="O8" s="91" t="n">
        <v>288090</v>
      </c>
      <c r="P8" s="6" t="n"/>
      <c r="R8" s="20" t="n"/>
      <c r="S8" s="20" t="n"/>
      <c r="T8" s="20" t="n"/>
    </row>
    <row r="9" ht="30" customHeight="1" s="90">
      <c r="A9" s="6" t="n"/>
      <c r="B9" s="22" t="inlineStr">
        <is>
          <t>Subtotal</t>
        </is>
      </c>
      <c r="C9" s="91" t="n">
        <v>107950</v>
      </c>
      <c r="D9" s="91" t="n">
        <v>107950</v>
      </c>
      <c r="E9" s="91" t="n">
        <v>107950</v>
      </c>
      <c r="F9" s="91" t="n">
        <v>111125</v>
      </c>
      <c r="G9" s="91" t="n">
        <v>111125</v>
      </c>
      <c r="H9" s="91" t="n">
        <v>111125</v>
      </c>
      <c r="I9" s="91" t="n">
        <v>111125</v>
      </c>
      <c r="J9" s="91" t="n">
        <v>117348</v>
      </c>
      <c r="K9" s="91" t="n">
        <v>117348</v>
      </c>
      <c r="L9" s="91" t="n">
        <v>117348</v>
      </c>
      <c r="M9" s="91" t="n">
        <v>117348</v>
      </c>
      <c r="N9" s="91" t="n">
        <v>117348</v>
      </c>
      <c r="O9" s="91" t="n">
        <v>1355090</v>
      </c>
      <c r="P9" s="6" t="n"/>
      <c r="R9" s="20" t="n"/>
      <c r="S9" s="20" t="n"/>
      <c r="T9" s="20" t="n"/>
    </row>
    <row r="10" ht="30" customHeight="1" s="90">
      <c r="A10" s="6" t="n"/>
      <c r="B10" s="24" t="n"/>
      <c r="C10" s="24" t="n"/>
      <c r="D10" s="24" t="n"/>
      <c r="E10" s="24" t="n"/>
      <c r="F10" s="24" t="n"/>
      <c r="G10" s="24" t="n"/>
      <c r="H10" s="24" t="n"/>
      <c r="I10" s="24" t="n"/>
      <c r="J10" s="24" t="n"/>
      <c r="K10" s="24" t="n"/>
      <c r="L10" s="24" t="n"/>
      <c r="M10" s="24" t="n"/>
      <c r="N10" s="24" t="n"/>
      <c r="O10" s="24" t="n"/>
      <c r="P10" s="6" t="n"/>
      <c r="R10" s="20" t="n"/>
      <c r="S10" s="20" t="n"/>
      <c r="T10" s="20" t="n"/>
    </row>
    <row r="11" ht="40.15" customFormat="1" customHeight="1" s="47">
      <c r="A11" s="43" t="n"/>
      <c r="B11" s="21" t="inlineStr">
        <is>
          <t>Office costs</t>
        </is>
      </c>
      <c r="C11" s="54" t="inlineStr">
        <is>
          <t>Jan</t>
        </is>
      </c>
      <c r="D11" s="54" t="inlineStr">
        <is>
          <t>Feb</t>
        </is>
      </c>
      <c r="E11" s="55" t="inlineStr">
        <is>
          <t>Mar</t>
        </is>
      </c>
      <c r="F11" s="54" t="inlineStr">
        <is>
          <t>Apr</t>
        </is>
      </c>
      <c r="G11" s="54" t="inlineStr">
        <is>
          <t>May</t>
        </is>
      </c>
      <c r="H11" s="54" t="inlineStr">
        <is>
          <t>Jun</t>
        </is>
      </c>
      <c r="I11" s="54" t="inlineStr">
        <is>
          <t>Jul</t>
        </is>
      </c>
      <c r="J11" s="54" t="inlineStr">
        <is>
          <t>Aug</t>
        </is>
      </c>
      <c r="K11" s="54" t="inlineStr">
        <is>
          <t>Sep</t>
        </is>
      </c>
      <c r="L11" s="54" t="inlineStr">
        <is>
          <t>Oct</t>
        </is>
      </c>
      <c r="M11" s="54" t="inlineStr">
        <is>
          <t>Nov</t>
        </is>
      </c>
      <c r="N11" s="54" t="inlineStr">
        <is>
          <t>Dec</t>
        </is>
      </c>
      <c r="O11" s="54" t="inlineStr">
        <is>
          <t>YEAR</t>
        </is>
      </c>
      <c r="P11" s="43" t="n"/>
    </row>
    <row r="12" ht="30" customHeight="1" s="90">
      <c r="A12" s="6" t="n"/>
      <c r="B12" s="22" t="inlineStr">
        <is>
          <t>Office lease</t>
        </is>
      </c>
      <c r="C12" s="91" t="n">
        <v>9800</v>
      </c>
      <c r="D12" s="91" t="n">
        <v>9800</v>
      </c>
      <c r="E12" s="91" t="n">
        <v>9800</v>
      </c>
      <c r="F12" s="91" t="n">
        <v>9800</v>
      </c>
      <c r="G12" s="91" t="n">
        <v>9800</v>
      </c>
      <c r="H12" s="91" t="n">
        <v>9800</v>
      </c>
      <c r="I12" s="91" t="n">
        <v>9800</v>
      </c>
      <c r="J12" s="91" t="n">
        <v>9800</v>
      </c>
      <c r="K12" s="91" t="n">
        <v>9800</v>
      </c>
      <c r="L12" s="91" t="n">
        <v>9800</v>
      </c>
      <c r="M12" s="91" t="n">
        <v>9800</v>
      </c>
      <c r="N12" s="91" t="n">
        <v>9800</v>
      </c>
      <c r="O12" s="91" t="n">
        <v>117600</v>
      </c>
      <c r="P12" s="6" t="n"/>
      <c r="R12" s="20" t="n"/>
      <c r="S12" s="20" t="n"/>
      <c r="T12" s="20" t="n"/>
    </row>
    <row r="13" ht="30" customHeight="1" s="90">
      <c r="A13" s="6" t="n"/>
      <c r="B13" s="22" t="inlineStr">
        <is>
          <t>Gas</t>
        </is>
      </c>
      <c r="C13" s="91" t="n">
        <v>300</v>
      </c>
      <c r="D13" s="91" t="n">
        <v>400</v>
      </c>
      <c r="E13" s="91" t="n">
        <v>400</v>
      </c>
      <c r="F13" s="91" t="n">
        <v>100</v>
      </c>
      <c r="G13" s="91" t="n">
        <v>100</v>
      </c>
      <c r="H13" s="91" t="n">
        <v>100</v>
      </c>
      <c r="I13" s="91" t="n">
        <v>100</v>
      </c>
      <c r="J13" s="91" t="n">
        <v>100</v>
      </c>
      <c r="K13" s="91" t="n">
        <v>100</v>
      </c>
      <c r="L13" s="91" t="n">
        <v>100</v>
      </c>
      <c r="M13" s="91" t="n">
        <v>400</v>
      </c>
      <c r="N13" s="91" t="n">
        <v>400</v>
      </c>
      <c r="O13" s="91" t="n">
        <v>2600</v>
      </c>
      <c r="P13" s="6" t="n"/>
      <c r="R13" s="20" t="n"/>
      <c r="S13" s="20" t="n"/>
      <c r="T13" s="20" t="n"/>
    </row>
    <row r="14" ht="30" customHeight="1" s="90">
      <c r="A14" s="6" t="n"/>
      <c r="B14" s="22" t="inlineStr">
        <is>
          <t>Electric</t>
        </is>
      </c>
      <c r="C14" s="91" t="n">
        <v>300</v>
      </c>
      <c r="D14" s="91" t="n">
        <v>300</v>
      </c>
      <c r="E14" s="91" t="n">
        <v>300</v>
      </c>
      <c r="F14" s="91" t="n">
        <v>300</v>
      </c>
      <c r="G14" s="91" t="n">
        <v>300</v>
      </c>
      <c r="H14" s="91" t="n">
        <v>300</v>
      </c>
      <c r="I14" s="91" t="n">
        <v>300</v>
      </c>
      <c r="J14" s="91" t="n">
        <v>300</v>
      </c>
      <c r="K14" s="91" t="n">
        <v>300</v>
      </c>
      <c r="L14" s="91" t="n">
        <v>300</v>
      </c>
      <c r="M14" s="91" t="n">
        <v>300</v>
      </c>
      <c r="N14" s="91" t="n">
        <v>300</v>
      </c>
      <c r="O14" s="91" t="n">
        <v>3600</v>
      </c>
      <c r="P14" s="6" t="n"/>
      <c r="R14" s="20" t="n"/>
      <c r="S14" s="20" t="n"/>
      <c r="T14" s="20" t="n"/>
    </row>
    <row r="15" ht="30" customHeight="1" s="90">
      <c r="A15" s="6" t="n"/>
      <c r="B15" s="22" t="inlineStr">
        <is>
          <t>Water</t>
        </is>
      </c>
      <c r="C15" s="91" t="n">
        <v>40</v>
      </c>
      <c r="D15" s="91" t="n">
        <v>40</v>
      </c>
      <c r="E15" s="91" t="n">
        <v>40</v>
      </c>
      <c r="F15" s="91" t="n">
        <v>40</v>
      </c>
      <c r="G15" s="91" t="n">
        <v>40</v>
      </c>
      <c r="H15" s="91" t="n">
        <v>40</v>
      </c>
      <c r="I15" s="91" t="n">
        <v>40</v>
      </c>
      <c r="J15" s="91" t="n">
        <v>40</v>
      </c>
      <c r="K15" s="91" t="n">
        <v>40</v>
      </c>
      <c r="L15" s="91" t="n">
        <v>40</v>
      </c>
      <c r="M15" s="91" t="n">
        <v>40</v>
      </c>
      <c r="N15" s="91" t="n">
        <v>40</v>
      </c>
      <c r="O15" s="91" t="n">
        <v>480</v>
      </c>
      <c r="P15" s="6" t="n"/>
    </row>
    <row r="16" ht="30" customHeight="1" s="90">
      <c r="A16" s="6" t="n"/>
      <c r="B16" s="22" t="inlineStr">
        <is>
          <t>Telephone</t>
        </is>
      </c>
      <c r="C16" s="91" t="n">
        <v>250</v>
      </c>
      <c r="D16" s="91" t="n">
        <v>250</v>
      </c>
      <c r="E16" s="91" t="n">
        <v>250</v>
      </c>
      <c r="F16" s="91" t="n">
        <v>250</v>
      </c>
      <c r="G16" s="91" t="n">
        <v>250</v>
      </c>
      <c r="H16" s="91" t="n">
        <v>250</v>
      </c>
      <c r="I16" s="91" t="n">
        <v>250</v>
      </c>
      <c r="J16" s="91" t="n">
        <v>250</v>
      </c>
      <c r="K16" s="91" t="n">
        <v>250</v>
      </c>
      <c r="L16" s="91" t="n">
        <v>250</v>
      </c>
      <c r="M16" s="91" t="n">
        <v>250</v>
      </c>
      <c r="N16" s="91" t="n">
        <v>250</v>
      </c>
      <c r="O16" s="91" t="n">
        <v>3000</v>
      </c>
      <c r="P16" s="6" t="n"/>
    </row>
    <row r="17" ht="30" customHeight="1" s="90">
      <c r="A17" s="6" t="n"/>
      <c r="B17" s="22" t="inlineStr">
        <is>
          <t>Internet access</t>
        </is>
      </c>
      <c r="C17" s="91" t="n">
        <v>180</v>
      </c>
      <c r="D17" s="91" t="n">
        <v>180</v>
      </c>
      <c r="E17" s="91" t="n">
        <v>180</v>
      </c>
      <c r="F17" s="91" t="n">
        <v>180</v>
      </c>
      <c r="G17" s="91" t="n">
        <v>180</v>
      </c>
      <c r="H17" s="91" t="n">
        <v>180</v>
      </c>
      <c r="I17" s="91" t="n">
        <v>180</v>
      </c>
      <c r="J17" s="91" t="n">
        <v>180</v>
      </c>
      <c r="K17" s="91" t="n">
        <v>180</v>
      </c>
      <c r="L17" s="91" t="n">
        <v>180</v>
      </c>
      <c r="M17" s="91" t="n">
        <v>180</v>
      </c>
      <c r="N17" s="91" t="n">
        <v>180</v>
      </c>
      <c r="O17" s="91" t="n">
        <v>2160</v>
      </c>
      <c r="P17" s="6" t="n"/>
    </row>
    <row r="18" ht="30" customHeight="1" s="90">
      <c r="A18" s="6" t="n"/>
      <c r="B18" s="22" t="inlineStr">
        <is>
          <t>Office supplies</t>
        </is>
      </c>
      <c r="C18" s="91" t="n">
        <v>200</v>
      </c>
      <c r="D18" s="91" t="n">
        <v>200</v>
      </c>
      <c r="E18" s="91" t="n">
        <v>200</v>
      </c>
      <c r="F18" s="91" t="n">
        <v>200</v>
      </c>
      <c r="G18" s="91" t="n">
        <v>200</v>
      </c>
      <c r="H18" s="91" t="n">
        <v>200</v>
      </c>
      <c r="I18" s="91" t="n">
        <v>200</v>
      </c>
      <c r="J18" s="91" t="n">
        <v>200</v>
      </c>
      <c r="K18" s="91" t="n">
        <v>200</v>
      </c>
      <c r="L18" s="91" t="n">
        <v>200</v>
      </c>
      <c r="M18" s="91" t="n">
        <v>200</v>
      </c>
      <c r="N18" s="91" t="n">
        <v>200</v>
      </c>
      <c r="O18" s="91" t="n">
        <v>2400</v>
      </c>
      <c r="P18" s="6" t="n"/>
    </row>
    <row r="19" ht="30" customHeight="1" s="90">
      <c r="A19" s="6" t="n"/>
      <c r="B19" s="22" t="inlineStr">
        <is>
          <t>Security</t>
        </is>
      </c>
      <c r="C19" s="91" t="n">
        <v>600</v>
      </c>
      <c r="D19" s="91" t="n">
        <v>600</v>
      </c>
      <c r="E19" s="91" t="n">
        <v>600</v>
      </c>
      <c r="F19" s="91" t="n">
        <v>600</v>
      </c>
      <c r="G19" s="91" t="n">
        <v>600</v>
      </c>
      <c r="H19" s="91" t="n">
        <v>600</v>
      </c>
      <c r="I19" s="91" t="n">
        <v>600</v>
      </c>
      <c r="J19" s="91" t="n">
        <v>600</v>
      </c>
      <c r="K19" s="91" t="n">
        <v>600</v>
      </c>
      <c r="L19" s="91" t="n">
        <v>600</v>
      </c>
      <c r="M19" s="91" t="n">
        <v>600</v>
      </c>
      <c r="N19" s="91" t="n">
        <v>600</v>
      </c>
      <c r="O19" s="91" t="n">
        <v>7200</v>
      </c>
      <c r="P19" s="6" t="n"/>
    </row>
    <row r="20" ht="30" customHeight="1" s="90">
      <c r="A20" s="6" t="n"/>
      <c r="B20" s="22" t="inlineStr">
        <is>
          <t>Subtotal</t>
        </is>
      </c>
      <c r="C20" s="91" t="n">
        <v>11670</v>
      </c>
      <c r="D20" s="91" t="n">
        <v>11770</v>
      </c>
      <c r="E20" s="91" t="n">
        <v>11770</v>
      </c>
      <c r="F20" s="91" t="n">
        <v>11470</v>
      </c>
      <c r="G20" s="91" t="n">
        <v>11470</v>
      </c>
      <c r="H20" s="91" t="n">
        <v>11470</v>
      </c>
      <c r="I20" s="91" t="n">
        <v>11470</v>
      </c>
      <c r="J20" s="91" t="n">
        <v>11470</v>
      </c>
      <c r="K20" s="91" t="n">
        <v>11470</v>
      </c>
      <c r="L20" s="91" t="n">
        <v>11470</v>
      </c>
      <c r="M20" s="91" t="n">
        <v>11770</v>
      </c>
      <c r="N20" s="91" t="n">
        <v>11770</v>
      </c>
      <c r="O20" s="91" t="n">
        <v>139040</v>
      </c>
      <c r="P20" s="6" t="n"/>
    </row>
    <row r="21" ht="30" customHeight="1" s="90">
      <c r="A21" s="6" t="n"/>
      <c r="B21" s="25" t="n"/>
      <c r="C21" s="25" t="n"/>
      <c r="D21" s="25" t="n"/>
      <c r="E21" s="25" t="n"/>
      <c r="F21" s="25" t="n"/>
      <c r="G21" s="25" t="n"/>
      <c r="H21" s="25" t="n"/>
      <c r="I21" s="25" t="n"/>
      <c r="J21" s="25" t="n"/>
      <c r="K21" s="25" t="n"/>
      <c r="L21" s="25" t="n"/>
      <c r="M21" s="25" t="n"/>
      <c r="N21" s="25" t="n"/>
      <c r="O21" s="25" t="n"/>
      <c r="P21" s="6" t="n"/>
    </row>
    <row r="22" ht="40.15" customFormat="1" customHeight="1" s="47">
      <c r="A22" s="43" t="n"/>
      <c r="B22" s="21" t="inlineStr">
        <is>
          <t>Marketing costs</t>
        </is>
      </c>
      <c r="C22" s="54" t="inlineStr">
        <is>
          <t>Jan</t>
        </is>
      </c>
      <c r="D22" s="54" t="inlineStr">
        <is>
          <t>Feb</t>
        </is>
      </c>
      <c r="E22" s="55" t="inlineStr">
        <is>
          <t>Mar</t>
        </is>
      </c>
      <c r="F22" s="54" t="inlineStr">
        <is>
          <t>Apr</t>
        </is>
      </c>
      <c r="G22" s="54" t="inlineStr">
        <is>
          <t>May</t>
        </is>
      </c>
      <c r="H22" s="54" t="inlineStr">
        <is>
          <t>Jun</t>
        </is>
      </c>
      <c r="I22" s="54" t="inlineStr">
        <is>
          <t>Jul</t>
        </is>
      </c>
      <c r="J22" s="54" t="inlineStr">
        <is>
          <t>Aug</t>
        </is>
      </c>
      <c r="K22" s="54" t="inlineStr">
        <is>
          <t>Sep</t>
        </is>
      </c>
      <c r="L22" s="54" t="inlineStr">
        <is>
          <t>Oct</t>
        </is>
      </c>
      <c r="M22" s="54" t="inlineStr">
        <is>
          <t>Nov</t>
        </is>
      </c>
      <c r="N22" s="54" t="inlineStr">
        <is>
          <t>Dec</t>
        </is>
      </c>
      <c r="O22" s="54" t="inlineStr">
        <is>
          <t>YEAR</t>
        </is>
      </c>
      <c r="P22" s="43" t="n"/>
    </row>
    <row r="23" ht="30" customHeight="1" s="90">
      <c r="A23" s="6" t="n"/>
      <c r="B23" s="22" t="inlineStr">
        <is>
          <t>Web site hosting</t>
        </is>
      </c>
      <c r="C23" s="91" t="n">
        <v>500</v>
      </c>
      <c r="D23" s="91" t="n">
        <v>500</v>
      </c>
      <c r="E23" s="91" t="n">
        <v>500</v>
      </c>
      <c r="F23" s="91" t="n">
        <v>500</v>
      </c>
      <c r="G23" s="91" t="n">
        <v>500</v>
      </c>
      <c r="H23" s="91" t="n">
        <v>500</v>
      </c>
      <c r="I23" s="91" t="n">
        <v>500</v>
      </c>
      <c r="J23" s="91" t="n">
        <v>500</v>
      </c>
      <c r="K23" s="91" t="n">
        <v>500</v>
      </c>
      <c r="L23" s="91" t="n">
        <v>500</v>
      </c>
      <c r="M23" s="91" t="n">
        <v>500</v>
      </c>
      <c r="N23" s="91" t="n">
        <v>500</v>
      </c>
      <c r="O23" s="91" t="n">
        <v>6000</v>
      </c>
      <c r="P23" s="6" t="n"/>
    </row>
    <row r="24" ht="30" customHeight="1" s="90">
      <c r="A24" s="6" t="n"/>
      <c r="B24" s="22" t="inlineStr">
        <is>
          <t>Web site updates</t>
        </is>
      </c>
      <c r="C24" s="91" t="n">
        <v>200</v>
      </c>
      <c r="D24" s="91" t="n">
        <v>200</v>
      </c>
      <c r="E24" s="91" t="n">
        <v>200</v>
      </c>
      <c r="F24" s="91" t="n">
        <v>200</v>
      </c>
      <c r="G24" s="91" t="n">
        <v>200</v>
      </c>
      <c r="H24" s="91" t="n">
        <v>1000</v>
      </c>
      <c r="I24" s="91" t="n">
        <v>200</v>
      </c>
      <c r="J24" s="91" t="n">
        <v>200</v>
      </c>
      <c r="K24" s="91" t="n">
        <v>200</v>
      </c>
      <c r="L24" s="91" t="n">
        <v>200</v>
      </c>
      <c r="M24" s="91" t="n">
        <v>200</v>
      </c>
      <c r="N24" s="91" t="n">
        <v>1000</v>
      </c>
      <c r="O24" s="91" t="n">
        <v>4000</v>
      </c>
      <c r="P24" s="6" t="n"/>
    </row>
    <row r="25" ht="30" customHeight="1" s="90">
      <c r="A25" s="6" t="n"/>
      <c r="B25" s="22" t="inlineStr">
        <is>
          <t>Collateral preparation</t>
        </is>
      </c>
      <c r="C25" s="91" t="n">
        <v>5000</v>
      </c>
      <c r="D25" s="91" t="n">
        <v>0</v>
      </c>
      <c r="E25" s="91" t="n">
        <v>0</v>
      </c>
      <c r="F25" s="91" t="n">
        <v>5000</v>
      </c>
      <c r="G25" s="91" t="n">
        <v>0</v>
      </c>
      <c r="H25" s="91" t="n">
        <v>0</v>
      </c>
      <c r="I25" s="91" t="n">
        <v>5000</v>
      </c>
      <c r="J25" s="91" t="n">
        <v>0</v>
      </c>
      <c r="K25" s="91" t="n">
        <v>0</v>
      </c>
      <c r="L25" s="91" t="n">
        <v>5000</v>
      </c>
      <c r="M25" s="91" t="n">
        <v>0</v>
      </c>
      <c r="N25" s="91" t="n">
        <v>0</v>
      </c>
      <c r="O25" s="91" t="n">
        <v>20000</v>
      </c>
      <c r="P25" s="6" t="n"/>
    </row>
    <row r="26" ht="30" customHeight="1" s="90">
      <c r="A26" s="6" t="n"/>
      <c r="B26" s="22" t="inlineStr">
        <is>
          <t>Collateral printing</t>
        </is>
      </c>
      <c r="C26" s="91" t="n">
        <v>200</v>
      </c>
      <c r="D26" s="91" t="n">
        <v>200</v>
      </c>
      <c r="E26" s="91" t="n">
        <v>200</v>
      </c>
      <c r="F26" s="91" t="n">
        <v>200</v>
      </c>
      <c r="G26" s="91" t="n">
        <v>200</v>
      </c>
      <c r="H26" s="91" t="n">
        <v>200</v>
      </c>
      <c r="I26" s="91" t="n">
        <v>200</v>
      </c>
      <c r="J26" s="91" t="n">
        <v>200</v>
      </c>
      <c r="K26" s="91" t="n">
        <v>200</v>
      </c>
      <c r="L26" s="91" t="n">
        <v>200</v>
      </c>
      <c r="M26" s="91" t="n">
        <v>200</v>
      </c>
      <c r="N26" s="91" t="n">
        <v>200</v>
      </c>
      <c r="O26" s="91" t="n">
        <v>2400</v>
      </c>
      <c r="P26" s="6" t="n"/>
    </row>
    <row r="27" ht="30" customHeight="1" s="90">
      <c r="A27" s="6" t="n"/>
      <c r="B27" s="22" t="inlineStr">
        <is>
          <t>Marketing events</t>
        </is>
      </c>
      <c r="C27" s="91" t="n">
        <v>2000</v>
      </c>
      <c r="D27" s="91" t="n">
        <v>2000</v>
      </c>
      <c r="E27" s="91" t="n">
        <v>2000</v>
      </c>
      <c r="F27" s="91" t="n">
        <v>5000</v>
      </c>
      <c r="G27" s="91" t="n">
        <v>2000</v>
      </c>
      <c r="H27" s="91" t="n">
        <v>2000</v>
      </c>
      <c r="I27" s="91" t="n">
        <v>2000</v>
      </c>
      <c r="J27" s="91" t="n">
        <v>5000</v>
      </c>
      <c r="K27" s="91" t="n">
        <v>2000</v>
      </c>
      <c r="L27" s="91" t="n">
        <v>2000</v>
      </c>
      <c r="M27" s="91" t="n">
        <v>2000</v>
      </c>
      <c r="N27" s="91" t="n">
        <v>5000</v>
      </c>
      <c r="O27" s="91" t="n">
        <v>33000</v>
      </c>
      <c r="P27" s="6" t="n"/>
    </row>
    <row r="28" ht="30" customHeight="1" s="90">
      <c r="A28" s="6" t="n"/>
      <c r="B28" s="22" t="inlineStr">
        <is>
          <t>Miscellaneous expenses</t>
        </is>
      </c>
      <c r="C28" s="91" t="n">
        <v>200</v>
      </c>
      <c r="D28" s="91" t="n">
        <v>200</v>
      </c>
      <c r="E28" s="91" t="n">
        <v>200</v>
      </c>
      <c r="F28" s="91" t="n">
        <v>200</v>
      </c>
      <c r="G28" s="91" t="n">
        <v>200</v>
      </c>
      <c r="H28" s="91" t="n">
        <v>200</v>
      </c>
      <c r="I28" s="91" t="n">
        <v>200</v>
      </c>
      <c r="J28" s="91" t="n">
        <v>200</v>
      </c>
      <c r="K28" s="91" t="n">
        <v>200</v>
      </c>
      <c r="L28" s="91" t="n">
        <v>200</v>
      </c>
      <c r="M28" s="91" t="n">
        <v>200</v>
      </c>
      <c r="N28" s="91" t="n">
        <v>200</v>
      </c>
      <c r="O28" s="91" t="n">
        <v>2400</v>
      </c>
      <c r="P28" s="6" t="n"/>
    </row>
    <row r="29" ht="30" customHeight="1" s="90">
      <c r="A29" s="6" t="n"/>
      <c r="B29" s="22" t="inlineStr">
        <is>
          <t>Subtotal</t>
        </is>
      </c>
      <c r="C29" s="91" t="n">
        <v>8100</v>
      </c>
      <c r="D29" s="91" t="n">
        <v>3100</v>
      </c>
      <c r="E29" s="91" t="n">
        <v>3100</v>
      </c>
      <c r="F29" s="91" t="n">
        <v>11100</v>
      </c>
      <c r="G29" s="91" t="n">
        <v>3100</v>
      </c>
      <c r="H29" s="91" t="n">
        <v>3900</v>
      </c>
      <c r="I29" s="91" t="n">
        <v>8100</v>
      </c>
      <c r="J29" s="91" t="n">
        <v>6100</v>
      </c>
      <c r="K29" s="91" t="n">
        <v>3100</v>
      </c>
      <c r="L29" s="91" t="n">
        <v>8100</v>
      </c>
      <c r="M29" s="91" t="n">
        <v>3100</v>
      </c>
      <c r="N29" s="91" t="n">
        <v>6900</v>
      </c>
      <c r="O29" s="91" t="n">
        <v>67800</v>
      </c>
      <c r="P29" s="6" t="n"/>
    </row>
    <row r="30" ht="30" customHeight="1" s="90">
      <c r="A30" s="6" t="n"/>
      <c r="B30" s="26" t="n"/>
      <c r="C30" s="26" t="n"/>
      <c r="D30" s="26" t="n"/>
      <c r="E30" s="26" t="n"/>
      <c r="F30" s="26" t="n"/>
      <c r="G30" s="26" t="n"/>
      <c r="H30" s="26" t="n"/>
      <c r="I30" s="26" t="n"/>
      <c r="J30" s="26" t="n"/>
      <c r="K30" s="26" t="n"/>
      <c r="L30" s="26" t="n"/>
      <c r="M30" s="26" t="n"/>
      <c r="N30" s="26" t="n"/>
      <c r="O30" s="26" t="n"/>
      <c r="P30" s="6" t="n"/>
    </row>
    <row r="31" ht="40.15" customFormat="1" customHeight="1" s="47">
      <c r="A31" s="43" t="n"/>
      <c r="B31" s="21" t="inlineStr">
        <is>
          <t>Training/travel</t>
        </is>
      </c>
      <c r="C31" s="54" t="inlineStr">
        <is>
          <t>Jan</t>
        </is>
      </c>
      <c r="D31" s="54" t="inlineStr">
        <is>
          <t>Feb</t>
        </is>
      </c>
      <c r="E31" s="55" t="inlineStr">
        <is>
          <t>Mar</t>
        </is>
      </c>
      <c r="F31" s="54" t="inlineStr">
        <is>
          <t>Apr</t>
        </is>
      </c>
      <c r="G31" s="54" t="inlineStr">
        <is>
          <t>May</t>
        </is>
      </c>
      <c r="H31" s="54" t="inlineStr">
        <is>
          <t>Jun</t>
        </is>
      </c>
      <c r="I31" s="54" t="inlineStr">
        <is>
          <t>Jul</t>
        </is>
      </c>
      <c r="J31" s="54" t="inlineStr">
        <is>
          <t>Aug</t>
        </is>
      </c>
      <c r="K31" s="54" t="inlineStr">
        <is>
          <t>Sep</t>
        </is>
      </c>
      <c r="L31" s="54" t="inlineStr">
        <is>
          <t>Oct</t>
        </is>
      </c>
      <c r="M31" s="54" t="inlineStr">
        <is>
          <t>Nov</t>
        </is>
      </c>
      <c r="N31" s="54" t="inlineStr">
        <is>
          <t>Dec</t>
        </is>
      </c>
      <c r="O31" s="54" t="inlineStr">
        <is>
          <t>YEAR</t>
        </is>
      </c>
      <c r="P31" s="43" t="n"/>
    </row>
    <row r="32" ht="30" customHeight="1" s="90">
      <c r="A32" s="6" t="n"/>
      <c r="B32" s="22" t="inlineStr">
        <is>
          <t>Training classes</t>
        </is>
      </c>
      <c r="C32" s="91" t="n">
        <v>2000</v>
      </c>
      <c r="D32" s="91" t="n">
        <v>2000</v>
      </c>
      <c r="E32" s="91" t="n">
        <v>2000</v>
      </c>
      <c r="F32" s="91" t="n">
        <v>2000</v>
      </c>
      <c r="G32" s="91" t="n">
        <v>2000</v>
      </c>
      <c r="H32" s="91" t="n">
        <v>2000</v>
      </c>
      <c r="I32" s="91" t="n">
        <v>2000</v>
      </c>
      <c r="J32" s="91" t="n">
        <v>2000</v>
      </c>
      <c r="K32" s="91" t="n">
        <v>2000</v>
      </c>
      <c r="L32" s="91" t="n">
        <v>2000</v>
      </c>
      <c r="M32" s="91" t="n">
        <v>2000</v>
      </c>
      <c r="N32" s="91" t="n">
        <v>2000</v>
      </c>
      <c r="O32" s="91" t="n">
        <v>24000</v>
      </c>
      <c r="P32" s="6" t="n"/>
    </row>
    <row r="33" ht="30" customHeight="1" s="90">
      <c r="A33" s="6" t="n"/>
      <c r="B33" s="22" t="inlineStr">
        <is>
          <t>Training-related travel costs</t>
        </is>
      </c>
      <c r="C33" s="91" t="n">
        <v>2000</v>
      </c>
      <c r="D33" s="91" t="n">
        <v>2000</v>
      </c>
      <c r="E33" s="91" t="n">
        <v>2000</v>
      </c>
      <c r="F33" s="91" t="n">
        <v>2000</v>
      </c>
      <c r="G33" s="91" t="n">
        <v>2000</v>
      </c>
      <c r="H33" s="91" t="n">
        <v>2000</v>
      </c>
      <c r="I33" s="91" t="n">
        <v>2000</v>
      </c>
      <c r="J33" s="91" t="n">
        <v>2000</v>
      </c>
      <c r="K33" s="91" t="n">
        <v>2000</v>
      </c>
      <c r="L33" s="91" t="n">
        <v>2000</v>
      </c>
      <c r="M33" s="91" t="n">
        <v>2000</v>
      </c>
      <c r="N33" s="91" t="n">
        <v>2000</v>
      </c>
      <c r="O33" s="91" t="n">
        <v>24000</v>
      </c>
      <c r="P33" s="6" t="n"/>
    </row>
    <row r="34" ht="30" customHeight="1" s="90">
      <c r="A34" s="6" t="n"/>
      <c r="B34" s="22" t="inlineStr">
        <is>
          <t>Subtotal</t>
        </is>
      </c>
      <c r="C34" s="91" t="n">
        <v>4000</v>
      </c>
      <c r="D34" s="91" t="n">
        <v>4000</v>
      </c>
      <c r="E34" s="91" t="n">
        <v>4000</v>
      </c>
      <c r="F34" s="91" t="n">
        <v>4000</v>
      </c>
      <c r="G34" s="91" t="n">
        <v>4000</v>
      </c>
      <c r="H34" s="91" t="n">
        <v>4000</v>
      </c>
      <c r="I34" s="91" t="n">
        <v>4000</v>
      </c>
      <c r="J34" s="91" t="n">
        <v>4000</v>
      </c>
      <c r="K34" s="91" t="n">
        <v>4000</v>
      </c>
      <c r="L34" s="91" t="n">
        <v>4000</v>
      </c>
      <c r="M34" s="91" t="n">
        <v>4000</v>
      </c>
      <c r="N34" s="91" t="n">
        <v>4000</v>
      </c>
      <c r="O34" s="91" t="n">
        <v>48000</v>
      </c>
      <c r="P34" s="6" t="n"/>
    </row>
    <row r="35" ht="30" customHeight="1" s="90">
      <c r="A35" s="6" t="n"/>
      <c r="B35" s="26" t="n"/>
      <c r="C35" s="26" t="n"/>
      <c r="D35" s="26" t="n"/>
      <c r="E35" s="26" t="n"/>
      <c r="F35" s="26" t="n"/>
      <c r="G35" s="26" t="n"/>
      <c r="H35" s="26" t="n"/>
      <c r="I35" s="26" t="n"/>
      <c r="J35" s="26" t="n"/>
      <c r="K35" s="26" t="n"/>
      <c r="L35" s="26" t="n"/>
      <c r="M35" s="26" t="n"/>
      <c r="N35" s="26" t="n"/>
      <c r="O35" s="26" t="n"/>
      <c r="P35" s="6" t="n"/>
    </row>
    <row r="36" ht="40.15" customHeight="1" s="90">
      <c r="A36" s="6" t="n"/>
      <c r="B36" s="27" t="inlineStr">
        <is>
          <t>Totals</t>
        </is>
      </c>
      <c r="C36" s="84" t="inlineStr">
        <is>
          <t>Jan</t>
        </is>
      </c>
      <c r="D36" s="84" t="inlineStr">
        <is>
          <t>Feb</t>
        </is>
      </c>
      <c r="E36" s="84" t="inlineStr">
        <is>
          <t>Mar</t>
        </is>
      </c>
      <c r="F36" s="84" t="inlineStr">
        <is>
          <t>Apr</t>
        </is>
      </c>
      <c r="G36" s="84" t="inlineStr">
        <is>
          <t>May</t>
        </is>
      </c>
      <c r="H36" s="84" t="inlineStr">
        <is>
          <t>Jun</t>
        </is>
      </c>
      <c r="I36" s="84" t="inlineStr">
        <is>
          <t>Jul</t>
        </is>
      </c>
      <c r="J36" s="84" t="inlineStr">
        <is>
          <t>Aug</t>
        </is>
      </c>
      <c r="K36" s="84" t="inlineStr">
        <is>
          <t>Sep</t>
        </is>
      </c>
      <c r="L36" s="84" t="inlineStr">
        <is>
          <t>Oct</t>
        </is>
      </c>
      <c r="M36" s="84" t="inlineStr">
        <is>
          <t>Nov</t>
        </is>
      </c>
      <c r="N36" s="84" t="inlineStr">
        <is>
          <t>Dec</t>
        </is>
      </c>
      <c r="O36" s="84" t="inlineStr">
        <is>
          <t>Year</t>
        </is>
      </c>
      <c r="P36" s="6" t="n"/>
    </row>
    <row r="37" ht="30" customHeight="1" s="90">
      <c r="A37" s="6" t="n"/>
      <c r="B37" s="22" t="inlineStr">
        <is>
          <t>Monthly planned expenses</t>
        </is>
      </c>
      <c r="C37" s="91" t="n">
        <v>131720</v>
      </c>
      <c r="D37" s="91" t="n">
        <v>126820</v>
      </c>
      <c r="E37" s="91" t="n">
        <v>126820</v>
      </c>
      <c r="F37" s="91" t="n">
        <v>137695</v>
      </c>
      <c r="G37" s="91" t="n">
        <v>129695</v>
      </c>
      <c r="H37" s="91" t="n">
        <v>130495</v>
      </c>
      <c r="I37" s="91" t="n">
        <v>134695</v>
      </c>
      <c r="J37" s="91" t="n">
        <v>138918</v>
      </c>
      <c r="K37" s="91" t="n">
        <v>135918</v>
      </c>
      <c r="L37" s="91" t="n">
        <v>140918</v>
      </c>
      <c r="M37" s="91" t="n">
        <v>136218</v>
      </c>
      <c r="N37" s="91" t="n">
        <v>140018</v>
      </c>
      <c r="O37" s="91" t="n">
        <v>1609930</v>
      </c>
      <c r="P37" s="6" t="n"/>
    </row>
    <row r="38" ht="30" customHeight="1" s="90">
      <c r="A38" s="6" t="n"/>
      <c r="B38" s="22" t="inlineStr">
        <is>
          <t>TOTAL planned expenses</t>
        </is>
      </c>
      <c r="C38" s="91" t="n">
        <v>131720</v>
      </c>
      <c r="D38" s="91" t="n">
        <v>258540</v>
      </c>
      <c r="E38" s="91" t="n">
        <v>385360</v>
      </c>
      <c r="F38" s="91" t="n">
        <v>523055</v>
      </c>
      <c r="G38" s="91" t="n">
        <v>652750</v>
      </c>
      <c r="H38" s="91" t="n">
        <v>783245</v>
      </c>
      <c r="I38" s="91" t="n">
        <v>917940</v>
      </c>
      <c r="J38" s="91" t="n">
        <v>1056858</v>
      </c>
      <c r="K38" s="91" t="n">
        <v>1192776</v>
      </c>
      <c r="L38" s="91" t="n">
        <v>1333694</v>
      </c>
      <c r="M38" s="91" t="n">
        <v>1469912</v>
      </c>
      <c r="N38" s="91" t="n">
        <v>1609930</v>
      </c>
      <c r="O38" s="91" t="n"/>
      <c r="P38" s="6" t="n"/>
    </row>
    <row r="39" ht="30" customHeight="1" s="90">
      <c r="A39" s="6" t="n"/>
      <c r="B39" s="36" t="n"/>
      <c r="C39" s="36" t="n"/>
      <c r="D39" s="36" t="n"/>
      <c r="E39" s="36" t="n"/>
      <c r="F39" s="36" t="n"/>
      <c r="G39" s="36" t="n"/>
      <c r="H39" s="36" t="n"/>
      <c r="I39" s="36" t="n"/>
      <c r="J39" s="36" t="n"/>
      <c r="K39" s="36" t="n"/>
      <c r="L39" s="36" t="n"/>
      <c r="M39" s="36" t="n"/>
      <c r="N39" s="36" t="n"/>
      <c r="O39" s="36" t="n"/>
      <c r="P39" s="6" t="n"/>
    </row>
  </sheetData>
  <mergeCells count="1">
    <mergeCell ref="B2:D3"/>
  </mergeCells>
  <dataValidations count="7">
    <dataValidation sqref="A6" showDropDown="0" showInputMessage="1" showErrorMessage="1" allowBlank="1" prompt="Enter Employee Costs in Employee Plan table starting in cell at right. Next instruction is in cell A11."/>
    <dataValidation sqref="A11" showDropDown="0" showInputMessage="1" showErrorMessage="1" allowBlank="1" prompt="Enter Office Costs in Office Plan table starting in cell at right. Next instruction is in cell A22."/>
    <dataValidation sqref="A22" showDropDown="0" showInputMessage="1" showErrorMessage="1" allowBlank="1" prompt="Enter Marketing Costs in Marketing Plan table starting in cell at right. Next instruction is in cell A31."/>
    <dataValidation sqref="A36" showDropDown="0" showInputMessage="1" showErrorMessage="1" allowBlank="1" prompt="Totals are auto calculated in Planned Total table starting in cell at right."/>
    <dataValidation sqref="A1" showDropDown="0" showInputMessage="1" showErrorMessage="1" allowBlank="1" prompt="Enter Planned Employee Costs, Office Costs, Marketing Costs, and Training or Travel Cost in respective tables in this worksheet. Totals are auto calculated. Instructions on how to use this worksheet are in cells in this column. Arrow down to get started."/>
    <dataValidation sqref="A2" showDropDown="0" showInputMessage="1" showErrorMessage="1" allowBlank="1" prompt="Enter Company Name in cell B2. Replace placeholder with your company logo. Title of this worksheet is in cell O2."/>
    <dataValidation sqref="A31" showDropDown="0" showInputMessage="1" showErrorMessage="1" allowBlank="1" prompt="Enter Training/Travel Costs in Training/Travel Plan table starting in cell at right. Next instruction is in cell A36."/>
  </dataValidations>
  <printOptions horizontalCentered="1"/>
  <pageMargins left="0.4" right="0.4" top="0.4" bottom="0.4" header="0.3" footer="0.3"/>
  <pageSetup orientation="landscape" scale="53" fitToHeight="0"/>
  <headerFooter differentFirst="1">
    <oddHeader/>
    <oddFooter>&amp;L&amp;C&amp;R</oddFooter>
    <evenHeader/>
    <evenFooter/>
    <firstHeader/>
    <firstFooter/>
  </headerFooter>
  <tableParts count="5">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 xmlns:r="http://schemas.openxmlformats.org/officeDocument/2006/relationships" r:id="rId5"/>
  </tableParts>
</worksheet>
</file>

<file path=xl/worksheets/sheet3.xml><?xml version="1.0" encoding="utf-8"?>
<worksheet xmlns="http://schemas.openxmlformats.org/spreadsheetml/2006/main">
  <sheetPr codeName="Sheet3">
    <tabColor theme="4"/>
    <outlinePr summaryBelow="1" summaryRight="1"/>
    <pageSetUpPr autoPageBreaks="0" fitToPage="1"/>
  </sheetPr>
  <dimension ref="A1:P39"/>
  <sheetViews>
    <sheetView showGridLines="0" zoomScaleNormal="100" workbookViewId="0">
      <selection activeCell="A1" sqref="A1"/>
    </sheetView>
  </sheetViews>
  <sheetFormatPr baseColWidth="8" defaultColWidth="8.875" defaultRowHeight="21" customHeight="1"/>
  <cols>
    <col width="4" customWidth="1" style="3" min="1" max="1"/>
    <col width="36.625" customWidth="1" style="35" min="2" max="2"/>
    <col width="14.375" customWidth="1" style="35" min="3" max="15"/>
    <col width="4" customWidth="1" style="3" min="16" max="16"/>
    <col width="8.875" customWidth="1" style="35" min="17" max="16384"/>
  </cols>
  <sheetData>
    <row r="1" ht="20.1" customFormat="1" customHeight="1" s="3">
      <c r="A1" s="1" t="n"/>
      <c r="B1" s="2" t="n"/>
      <c r="C1" s="2" t="n"/>
      <c r="D1" s="2" t="n"/>
      <c r="E1" s="2" t="n"/>
      <c r="F1" s="2" t="n"/>
      <c r="G1" s="2" t="n"/>
      <c r="H1" s="2" t="n"/>
      <c r="I1" s="2" t="n"/>
      <c r="J1" s="2" t="n"/>
      <c r="K1" s="2" t="n"/>
      <c r="L1" s="2" t="n"/>
      <c r="M1" s="2" t="n"/>
      <c r="N1" s="2" t="n"/>
      <c r="O1" s="2" t="n"/>
      <c r="P1" s="2" t="inlineStr">
        <is>
          <t> </t>
        </is>
      </c>
    </row>
    <row r="2" ht="100.15" customFormat="1" customHeight="1" s="3">
      <c r="A2" s="2" t="n"/>
      <c r="B2" s="86" t="inlineStr">
        <is>
          <t>SBO Banking</t>
        </is>
      </c>
      <c r="G2" s="5" t="n"/>
      <c r="H2" s="5" t="n"/>
      <c r="I2" s="5" t="n"/>
      <c r="J2" s="5" t="n"/>
      <c r="K2" s="6" t="n"/>
      <c r="L2" s="7" t="n"/>
      <c r="M2" s="7" t="n"/>
      <c r="N2" s="8" t="n"/>
      <c r="O2" s="9" t="inlineStr">
        <is>
          <t>Detailed expense estimates</t>
        </is>
      </c>
      <c r="P2" s="2" t="n"/>
    </row>
    <row r="3" ht="19.9" customFormat="1" customHeight="1" s="3">
      <c r="A3" s="2" t="n"/>
      <c r="G3" s="11" t="n"/>
      <c r="H3" s="11" t="n"/>
      <c r="I3" s="11" t="n"/>
      <c r="J3" s="11" t="n"/>
      <c r="K3" s="6" t="n"/>
      <c r="L3" s="15" t="n"/>
      <c r="M3" s="15" t="n"/>
      <c r="N3" s="8" t="n"/>
      <c r="O3" s="13" t="inlineStr">
        <is>
          <t>Shaded cells are calculations</t>
        </is>
      </c>
      <c r="P3" s="2" t="n"/>
    </row>
    <row r="4" ht="19.9" customFormat="1" customHeight="1" s="3">
      <c r="A4" s="2" t="n"/>
      <c r="B4" s="14" t="n"/>
      <c r="C4" s="14" t="n"/>
      <c r="D4" s="14" t="n"/>
      <c r="E4" s="10" t="n"/>
      <c r="F4" s="11" t="n"/>
      <c r="G4" s="11" t="n"/>
      <c r="H4" s="11" t="n"/>
      <c r="I4" s="11" t="n"/>
      <c r="J4" s="11" t="n"/>
      <c r="K4" s="15" t="n"/>
      <c r="L4" s="15" t="n"/>
      <c r="M4" s="15" t="n"/>
      <c r="N4" s="8" t="n"/>
      <c r="O4" s="8" t="n"/>
      <c r="P4" s="2" t="n"/>
    </row>
    <row r="5" ht="49.9" customFormat="1" customHeight="1" s="34">
      <c r="A5" s="2" t="n"/>
      <c r="B5" s="16" t="inlineStr">
        <is>
          <t>ACTUAL EXPENSES</t>
        </is>
      </c>
      <c r="C5" s="17" t="n"/>
      <c r="D5" s="17" t="n"/>
      <c r="E5" s="18" t="n"/>
      <c r="F5" s="17" t="n"/>
      <c r="G5" s="17" t="n"/>
      <c r="H5" s="17" t="n"/>
      <c r="I5" s="18" t="n"/>
      <c r="J5" s="17" t="n"/>
      <c r="K5" s="17" t="n"/>
      <c r="L5" s="17" t="n"/>
      <c r="M5" s="17" t="n"/>
      <c r="N5" s="18" t="n"/>
      <c r="O5" s="17" t="n"/>
      <c r="P5" s="33" t="n"/>
    </row>
    <row r="6" ht="40.15" customFormat="1" customHeight="1" s="47">
      <c r="A6" s="43" t="n"/>
      <c r="B6" s="21" t="inlineStr">
        <is>
          <t>Employee costs</t>
        </is>
      </c>
      <c r="C6" s="54" t="inlineStr">
        <is>
          <t>Jan</t>
        </is>
      </c>
      <c r="D6" s="54" t="inlineStr">
        <is>
          <t>Feb</t>
        </is>
      </c>
      <c r="E6" s="55" t="inlineStr">
        <is>
          <t>Mar</t>
        </is>
      </c>
      <c r="F6" s="54" t="inlineStr">
        <is>
          <t>Apr</t>
        </is>
      </c>
      <c r="G6" s="54" t="inlineStr">
        <is>
          <t>May</t>
        </is>
      </c>
      <c r="H6" s="54" t="inlineStr">
        <is>
          <t>Jun</t>
        </is>
      </c>
      <c r="I6" s="54" t="inlineStr">
        <is>
          <t>Jul</t>
        </is>
      </c>
      <c r="J6" s="54" t="inlineStr">
        <is>
          <t>Aug</t>
        </is>
      </c>
      <c r="K6" s="54" t="inlineStr">
        <is>
          <t>Sep</t>
        </is>
      </c>
      <c r="L6" s="54" t="inlineStr">
        <is>
          <t>Oct</t>
        </is>
      </c>
      <c r="M6" s="54" t="inlineStr">
        <is>
          <t>Nov</t>
        </is>
      </c>
      <c r="N6" s="54" t="inlineStr">
        <is>
          <t>Dec</t>
        </is>
      </c>
      <c r="O6" s="54" t="inlineStr">
        <is>
          <t>YEAR</t>
        </is>
      </c>
      <c r="P6" s="43" t="n"/>
    </row>
    <row r="7" ht="30" customHeight="1" s="90">
      <c r="A7" s="6" t="n"/>
      <c r="B7" s="22" t="inlineStr">
        <is>
          <t>Wages</t>
        </is>
      </c>
      <c r="C7" s="91" t="n">
        <v>85000</v>
      </c>
      <c r="D7" s="91" t="n">
        <v>85000</v>
      </c>
      <c r="E7" s="91" t="n">
        <v>85000</v>
      </c>
      <c r="F7" s="91" t="n">
        <v>88000</v>
      </c>
      <c r="G7" s="91" t="n">
        <v>88000</v>
      </c>
      <c r="H7" s="91" t="n">
        <v>88000</v>
      </c>
      <c r="I7" s="91" t="n"/>
      <c r="J7" s="91" t="n"/>
      <c r="K7" s="91" t="n"/>
      <c r="L7" s="91" t="n"/>
      <c r="M7" s="91" t="n"/>
      <c r="N7" s="91" t="n"/>
      <c r="O7" s="91" t="n">
        <v>519000</v>
      </c>
      <c r="P7" s="6" t="n"/>
    </row>
    <row r="8" ht="30" customHeight="1" s="90">
      <c r="A8" s="6" t="n"/>
      <c r="B8" s="22" t="inlineStr">
        <is>
          <t>Benefits</t>
        </is>
      </c>
      <c r="C8" s="91" t="n">
        <v>22950</v>
      </c>
      <c r="D8" s="91" t="n">
        <v>22950</v>
      </c>
      <c r="E8" s="91" t="n">
        <v>22950</v>
      </c>
      <c r="F8" s="91" t="n">
        <v>23760</v>
      </c>
      <c r="G8" s="91" t="n">
        <v>23760</v>
      </c>
      <c r="H8" s="91" t="n">
        <v>23760</v>
      </c>
      <c r="I8" s="91" t="n">
        <v>0</v>
      </c>
      <c r="J8" s="91" t="n">
        <v>0</v>
      </c>
      <c r="K8" s="91" t="n">
        <v>0</v>
      </c>
      <c r="L8" s="91" t="n">
        <v>0</v>
      </c>
      <c r="M8" s="91" t="n">
        <v>0</v>
      </c>
      <c r="N8" s="91" t="n">
        <v>0</v>
      </c>
      <c r="O8" s="91" t="n">
        <v>140130</v>
      </c>
      <c r="P8" s="6" t="n"/>
    </row>
    <row r="9" ht="30" customHeight="1" s="90">
      <c r="A9" s="6" t="n"/>
      <c r="B9" s="22" t="inlineStr">
        <is>
          <t>Subtotal</t>
        </is>
      </c>
      <c r="C9" s="91" t="n">
        <v>107950</v>
      </c>
      <c r="D9" s="91" t="n">
        <v>107950</v>
      </c>
      <c r="E9" s="91" t="n">
        <v>107950</v>
      </c>
      <c r="F9" s="91" t="n">
        <v>111760</v>
      </c>
      <c r="G9" s="91" t="n">
        <v>111760</v>
      </c>
      <c r="H9" s="91" t="n">
        <v>111760</v>
      </c>
      <c r="I9" s="91" t="n">
        <v>0</v>
      </c>
      <c r="J9" s="91" t="n">
        <v>0</v>
      </c>
      <c r="K9" s="91" t="n">
        <v>0</v>
      </c>
      <c r="L9" s="91" t="n">
        <v>0</v>
      </c>
      <c r="M9" s="91" t="n">
        <v>0</v>
      </c>
      <c r="N9" s="91" t="n">
        <v>0</v>
      </c>
      <c r="O9" s="91" t="n">
        <v>659130</v>
      </c>
      <c r="P9" s="6" t="n"/>
    </row>
    <row r="10" ht="30" customFormat="1" customHeight="1" s="3">
      <c r="A10" s="6" t="n"/>
      <c r="B10" s="26" t="n"/>
      <c r="C10" s="26" t="n"/>
      <c r="D10" s="26" t="n"/>
      <c r="E10" s="26" t="n"/>
      <c r="F10" s="26" t="n"/>
      <c r="G10" s="26" t="n"/>
      <c r="H10" s="26" t="n"/>
      <c r="I10" s="26" t="n"/>
      <c r="J10" s="26" t="n"/>
      <c r="K10" s="26" t="n"/>
      <c r="L10" s="26" t="n"/>
      <c r="M10" s="26" t="n"/>
      <c r="N10" s="26" t="n"/>
      <c r="O10" s="26" t="n"/>
      <c r="P10" s="6" t="n"/>
    </row>
    <row r="11" ht="40.15" customFormat="1" customHeight="1" s="47">
      <c r="A11" s="43" t="n"/>
      <c r="B11" s="21" t="inlineStr">
        <is>
          <t>Office costs</t>
        </is>
      </c>
      <c r="C11" s="54" t="inlineStr">
        <is>
          <t>Jan</t>
        </is>
      </c>
      <c r="D11" s="54" t="inlineStr">
        <is>
          <t>Feb</t>
        </is>
      </c>
      <c r="E11" s="55" t="inlineStr">
        <is>
          <t>Mar</t>
        </is>
      </c>
      <c r="F11" s="54" t="inlineStr">
        <is>
          <t>Apr</t>
        </is>
      </c>
      <c r="G11" s="54" t="inlineStr">
        <is>
          <t>May</t>
        </is>
      </c>
      <c r="H11" s="54" t="inlineStr">
        <is>
          <t>Jun</t>
        </is>
      </c>
      <c r="I11" s="54" t="inlineStr">
        <is>
          <t>Jul</t>
        </is>
      </c>
      <c r="J11" s="54" t="inlineStr">
        <is>
          <t>Aug</t>
        </is>
      </c>
      <c r="K11" s="54" t="inlineStr">
        <is>
          <t>Sep</t>
        </is>
      </c>
      <c r="L11" s="54" t="inlineStr">
        <is>
          <t>Oct</t>
        </is>
      </c>
      <c r="M11" s="54" t="inlineStr">
        <is>
          <t>Nov</t>
        </is>
      </c>
      <c r="N11" s="54" t="inlineStr">
        <is>
          <t>Dec</t>
        </is>
      </c>
      <c r="O11" s="54" t="inlineStr">
        <is>
          <t>YEAR</t>
        </is>
      </c>
      <c r="P11" s="43" t="n"/>
    </row>
    <row r="12" ht="30" customHeight="1" s="90">
      <c r="A12" s="6" t="n"/>
      <c r="B12" s="22" t="inlineStr">
        <is>
          <t>Office lease</t>
        </is>
      </c>
      <c r="C12" s="91" t="n">
        <v>9800</v>
      </c>
      <c r="D12" s="91" t="n">
        <v>9800</v>
      </c>
      <c r="E12" s="91" t="n">
        <v>9800</v>
      </c>
      <c r="F12" s="91" t="n">
        <v>9800</v>
      </c>
      <c r="G12" s="91" t="n">
        <v>9800</v>
      </c>
      <c r="H12" s="91" t="n">
        <v>9800</v>
      </c>
      <c r="I12" s="91" t="n"/>
      <c r="J12" s="91" t="n"/>
      <c r="K12" s="91" t="n"/>
      <c r="L12" s="91" t="n"/>
      <c r="M12" s="91" t="n"/>
      <c r="N12" s="91" t="n"/>
      <c r="O12" s="91" t="n">
        <v>58800</v>
      </c>
      <c r="P12" s="6" t="n"/>
    </row>
    <row r="13" ht="30" customHeight="1" s="90">
      <c r="A13" s="6" t="n"/>
      <c r="B13" s="22" t="inlineStr">
        <is>
          <t>Gas</t>
        </is>
      </c>
      <c r="C13" s="91" t="n">
        <v>4</v>
      </c>
      <c r="D13" s="91" t="n">
        <v>430</v>
      </c>
      <c r="E13" s="91" t="n">
        <v>385</v>
      </c>
      <c r="F13" s="91" t="n">
        <v>230</v>
      </c>
      <c r="G13" s="91" t="n">
        <v>87</v>
      </c>
      <c r="H13" s="91" t="n">
        <v>88</v>
      </c>
      <c r="I13" s="91" t="n"/>
      <c r="J13" s="91" t="n"/>
      <c r="K13" s="91" t="n"/>
      <c r="L13" s="91" t="n"/>
      <c r="M13" s="91" t="n"/>
      <c r="N13" s="91" t="n"/>
      <c r="O13" s="91" t="n">
        <v>1224</v>
      </c>
      <c r="P13" s="6" t="n"/>
    </row>
    <row r="14" ht="30" customHeight="1" s="90">
      <c r="A14" s="6" t="n"/>
      <c r="B14" s="22" t="inlineStr">
        <is>
          <t>Electric</t>
        </is>
      </c>
      <c r="C14" s="91" t="n">
        <v>288</v>
      </c>
      <c r="D14" s="91" t="n">
        <v>278</v>
      </c>
      <c r="E14" s="91" t="n">
        <v>268</v>
      </c>
      <c r="F14" s="91" t="n">
        <v>299</v>
      </c>
      <c r="G14" s="91" t="n">
        <v>306</v>
      </c>
      <c r="H14" s="91" t="n">
        <v>290</v>
      </c>
      <c r="I14" s="91" t="n"/>
      <c r="J14" s="91" t="n"/>
      <c r="K14" s="91" t="n"/>
      <c r="L14" s="91" t="n"/>
      <c r="M14" s="91" t="n"/>
      <c r="N14" s="91" t="n"/>
      <c r="O14" s="91" t="n">
        <v>1729</v>
      </c>
      <c r="P14" s="6" t="n"/>
    </row>
    <row r="15" ht="30" customHeight="1" s="90">
      <c r="A15" s="6" t="n"/>
      <c r="B15" s="22" t="inlineStr">
        <is>
          <t>Water</t>
        </is>
      </c>
      <c r="C15" s="91" t="n">
        <v>35</v>
      </c>
      <c r="D15" s="91" t="n">
        <v>33</v>
      </c>
      <c r="E15" s="91" t="n">
        <v>34</v>
      </c>
      <c r="F15" s="91" t="n">
        <v>36</v>
      </c>
      <c r="G15" s="91" t="n">
        <v>34</v>
      </c>
      <c r="H15" s="91" t="n">
        <v>36</v>
      </c>
      <c r="I15" s="91" t="n"/>
      <c r="J15" s="91" t="n"/>
      <c r="K15" s="91" t="n"/>
      <c r="L15" s="91" t="n"/>
      <c r="M15" s="91" t="n"/>
      <c r="N15" s="91" t="n"/>
      <c r="O15" s="91" t="n">
        <v>208</v>
      </c>
      <c r="P15" s="6" t="n"/>
    </row>
    <row r="16" ht="30" customHeight="1" s="90">
      <c r="A16" s="6" t="n"/>
      <c r="B16" s="22" t="inlineStr">
        <is>
          <t>Telephone</t>
        </is>
      </c>
      <c r="C16" s="91" t="n">
        <v>224</v>
      </c>
      <c r="D16" s="91" t="n">
        <v>235</v>
      </c>
      <c r="E16" s="91" t="n">
        <v>265</v>
      </c>
      <c r="F16" s="91" t="n">
        <v>245</v>
      </c>
      <c r="G16" s="91" t="n">
        <v>245</v>
      </c>
      <c r="H16" s="91" t="n">
        <v>220</v>
      </c>
      <c r="I16" s="91" t="n"/>
      <c r="J16" s="91" t="n"/>
      <c r="K16" s="91" t="n"/>
      <c r="L16" s="91" t="n"/>
      <c r="M16" s="91" t="n"/>
      <c r="N16" s="91" t="n"/>
      <c r="O16" s="91" t="n">
        <v>1434</v>
      </c>
      <c r="P16" s="6" t="n"/>
    </row>
    <row r="17" ht="30" customHeight="1" s="90">
      <c r="A17" s="6" t="n"/>
      <c r="B17" s="22" t="inlineStr">
        <is>
          <t>Internet access</t>
        </is>
      </c>
      <c r="C17" s="91" t="n">
        <v>180</v>
      </c>
      <c r="D17" s="91" t="n">
        <v>180</v>
      </c>
      <c r="E17" s="91" t="n">
        <v>180</v>
      </c>
      <c r="F17" s="91" t="n">
        <v>180</v>
      </c>
      <c r="G17" s="91" t="n">
        <v>180</v>
      </c>
      <c r="H17" s="91" t="n">
        <v>180</v>
      </c>
      <c r="I17" s="91" t="n"/>
      <c r="J17" s="91" t="n"/>
      <c r="K17" s="91" t="n"/>
      <c r="L17" s="91" t="n"/>
      <c r="M17" s="91" t="n"/>
      <c r="N17" s="91" t="n"/>
      <c r="O17" s="91" t="n">
        <v>1080</v>
      </c>
      <c r="P17" s="6" t="n"/>
    </row>
    <row r="18" ht="30" customHeight="1" s="90">
      <c r="A18" s="6" t="n"/>
      <c r="B18" s="22" t="inlineStr">
        <is>
          <t>Office supplies</t>
        </is>
      </c>
      <c r="C18" s="91" t="n">
        <v>256</v>
      </c>
      <c r="D18" s="91" t="n">
        <v>142</v>
      </c>
      <c r="E18" s="91" t="n">
        <v>160</v>
      </c>
      <c r="F18" s="91" t="n">
        <v>221</v>
      </c>
      <c r="G18" s="91" t="n">
        <v>256</v>
      </c>
      <c r="H18" s="91" t="n">
        <v>240</v>
      </c>
      <c r="I18" s="91" t="n"/>
      <c r="J18" s="91" t="n"/>
      <c r="K18" s="91" t="n"/>
      <c r="L18" s="91" t="n"/>
      <c r="M18" s="91" t="n"/>
      <c r="N18" s="91" t="n"/>
      <c r="O18" s="91" t="n">
        <v>1275</v>
      </c>
      <c r="P18" s="6" t="n"/>
    </row>
    <row r="19" ht="30" customHeight="1" s="90">
      <c r="A19" s="6" t="n"/>
      <c r="B19" s="22" t="inlineStr">
        <is>
          <t>Security</t>
        </is>
      </c>
      <c r="C19" s="91" t="n">
        <v>600</v>
      </c>
      <c r="D19" s="91" t="n">
        <v>600</v>
      </c>
      <c r="E19" s="91" t="n">
        <v>600</v>
      </c>
      <c r="F19" s="91" t="n">
        <v>600</v>
      </c>
      <c r="G19" s="91" t="n">
        <v>600</v>
      </c>
      <c r="H19" s="91" t="n">
        <v>600</v>
      </c>
      <c r="I19" s="91" t="n"/>
      <c r="J19" s="91" t="n"/>
      <c r="K19" s="91" t="n"/>
      <c r="L19" s="91" t="n"/>
      <c r="M19" s="91" t="n"/>
      <c r="N19" s="91" t="n"/>
      <c r="O19" s="91" t="n">
        <v>3600</v>
      </c>
      <c r="P19" s="6" t="n"/>
    </row>
    <row r="20" ht="30" customHeight="1" s="90">
      <c r="A20" s="6" t="n"/>
      <c r="B20" s="22" t="inlineStr">
        <is>
          <t>Subtotal</t>
        </is>
      </c>
      <c r="C20" s="91" t="n">
        <v>11387</v>
      </c>
      <c r="D20" s="91" t="n">
        <v>11698</v>
      </c>
      <c r="E20" s="91" t="n">
        <v>11692</v>
      </c>
      <c r="F20" s="91" t="n">
        <v>11611</v>
      </c>
      <c r="G20" s="91" t="n">
        <v>11508</v>
      </c>
      <c r="H20" s="91" t="n">
        <v>11454</v>
      </c>
      <c r="I20" s="91" t="n">
        <v>0</v>
      </c>
      <c r="J20" s="91" t="n">
        <v>0</v>
      </c>
      <c r="K20" s="91" t="n">
        <v>0</v>
      </c>
      <c r="L20" s="91" t="n">
        <v>0</v>
      </c>
      <c r="M20" s="91" t="n">
        <v>0</v>
      </c>
      <c r="N20" s="91" t="n">
        <v>0</v>
      </c>
      <c r="O20" s="91" t="n">
        <v>69350</v>
      </c>
      <c r="P20" s="6" t="n"/>
    </row>
    <row r="21" ht="30" customHeight="1" s="90">
      <c r="A21" s="6" t="n"/>
      <c r="B21" s="36" t="n"/>
      <c r="C21" s="36" t="n"/>
      <c r="D21" s="36" t="n"/>
      <c r="E21" s="36" t="n"/>
      <c r="F21" s="36" t="n"/>
      <c r="G21" s="36" t="n"/>
      <c r="H21" s="36" t="n"/>
      <c r="I21" s="36" t="n"/>
      <c r="J21" s="36" t="n"/>
      <c r="K21" s="36" t="n"/>
      <c r="L21" s="36" t="n"/>
      <c r="M21" s="36" t="n"/>
      <c r="N21" s="36" t="n"/>
      <c r="O21" s="36" t="n"/>
      <c r="P21" s="6" t="n"/>
    </row>
    <row r="22" ht="40.15" customFormat="1" customHeight="1" s="47">
      <c r="A22" s="43" t="n"/>
      <c r="B22" s="21" t="inlineStr">
        <is>
          <t>Marketing costs</t>
        </is>
      </c>
      <c r="C22" s="54" t="inlineStr">
        <is>
          <t>Jan</t>
        </is>
      </c>
      <c r="D22" s="54" t="inlineStr">
        <is>
          <t>Feb</t>
        </is>
      </c>
      <c r="E22" s="55" t="inlineStr">
        <is>
          <t>Mar</t>
        </is>
      </c>
      <c r="F22" s="54" t="inlineStr">
        <is>
          <t>Apr</t>
        </is>
      </c>
      <c r="G22" s="54" t="inlineStr">
        <is>
          <t>May</t>
        </is>
      </c>
      <c r="H22" s="54" t="inlineStr">
        <is>
          <t>Jun</t>
        </is>
      </c>
      <c r="I22" s="54" t="inlineStr">
        <is>
          <t>Jul</t>
        </is>
      </c>
      <c r="J22" s="54" t="inlineStr">
        <is>
          <t>Aug</t>
        </is>
      </c>
      <c r="K22" s="54" t="inlineStr">
        <is>
          <t>Sep</t>
        </is>
      </c>
      <c r="L22" s="54" t="inlineStr">
        <is>
          <t>Oct</t>
        </is>
      </c>
      <c r="M22" s="54" t="inlineStr">
        <is>
          <t>Nov</t>
        </is>
      </c>
      <c r="N22" s="54" t="inlineStr">
        <is>
          <t>Dec</t>
        </is>
      </c>
      <c r="O22" s="54" t="inlineStr">
        <is>
          <t>YEAR</t>
        </is>
      </c>
      <c r="P22" s="43" t="n"/>
    </row>
    <row r="23" ht="30" customHeight="1" s="90">
      <c r="A23" s="6" t="n"/>
      <c r="B23" s="22" t="inlineStr">
        <is>
          <t>Web site hosting</t>
        </is>
      </c>
      <c r="C23" s="91" t="n">
        <v>500</v>
      </c>
      <c r="D23" s="91" t="n">
        <v>500</v>
      </c>
      <c r="E23" s="91" t="n">
        <v>500</v>
      </c>
      <c r="F23" s="91" t="n">
        <v>500</v>
      </c>
      <c r="G23" s="91" t="n">
        <v>500</v>
      </c>
      <c r="H23" s="91" t="n">
        <v>500</v>
      </c>
      <c r="I23" s="91" t="n"/>
      <c r="J23" s="91" t="n"/>
      <c r="K23" s="91" t="n"/>
      <c r="L23" s="91" t="n"/>
      <c r="M23" s="91" t="n"/>
      <c r="N23" s="91" t="n"/>
      <c r="O23" s="91" t="n">
        <v>3000</v>
      </c>
      <c r="P23" s="6" t="n"/>
    </row>
    <row r="24" ht="30" customHeight="1" s="90">
      <c r="A24" s="6" t="n"/>
      <c r="B24" s="22" t="inlineStr">
        <is>
          <t>Web site updates</t>
        </is>
      </c>
      <c r="C24" s="91" t="n">
        <v>200</v>
      </c>
      <c r="D24" s="91" t="n">
        <v>200</v>
      </c>
      <c r="E24" s="91" t="n">
        <v>200</v>
      </c>
      <c r="F24" s="91" t="n">
        <v>200</v>
      </c>
      <c r="G24" s="91" t="n">
        <v>200</v>
      </c>
      <c r="H24" s="91" t="n">
        <v>1500</v>
      </c>
      <c r="I24" s="91" t="n"/>
      <c r="J24" s="91" t="n"/>
      <c r="K24" s="91" t="n"/>
      <c r="L24" s="91" t="n"/>
      <c r="M24" s="91" t="n"/>
      <c r="N24" s="91" t="n"/>
      <c r="O24" s="91" t="n">
        <v>2500</v>
      </c>
      <c r="P24" s="6" t="n"/>
    </row>
    <row r="25" ht="30" customHeight="1" s="90">
      <c r="A25" s="6" t="n"/>
      <c r="B25" s="22" t="inlineStr">
        <is>
          <t>Collateral preparation</t>
        </is>
      </c>
      <c r="C25" s="91" t="n">
        <v>4800</v>
      </c>
      <c r="D25" s="91" t="n">
        <v>0</v>
      </c>
      <c r="E25" s="91" t="n">
        <v>0</v>
      </c>
      <c r="F25" s="91" t="n">
        <v>5500</v>
      </c>
      <c r="G25" s="91" t="n">
        <v>0</v>
      </c>
      <c r="H25" s="91" t="n">
        <v>0</v>
      </c>
      <c r="I25" s="91" t="n"/>
      <c r="J25" s="91" t="n"/>
      <c r="K25" s="91" t="n"/>
      <c r="L25" s="91" t="n"/>
      <c r="M25" s="91" t="n"/>
      <c r="N25" s="91" t="n"/>
      <c r="O25" s="91" t="n">
        <v>10300</v>
      </c>
      <c r="P25" s="6" t="n"/>
    </row>
    <row r="26" ht="30" customHeight="1" s="90">
      <c r="A26" s="6" t="n"/>
      <c r="B26" s="22" t="inlineStr">
        <is>
          <t>Collateral printing</t>
        </is>
      </c>
      <c r="C26" s="91" t="n">
        <v>100</v>
      </c>
      <c r="D26" s="91" t="n">
        <v>500</v>
      </c>
      <c r="E26" s="91" t="n">
        <v>100</v>
      </c>
      <c r="F26" s="91" t="n">
        <v>100</v>
      </c>
      <c r="G26" s="91" t="n">
        <v>600</v>
      </c>
      <c r="H26" s="91" t="n">
        <v>180</v>
      </c>
      <c r="I26" s="91" t="n"/>
      <c r="J26" s="91" t="n"/>
      <c r="K26" s="91" t="n"/>
      <c r="L26" s="91" t="n"/>
      <c r="M26" s="91" t="n"/>
      <c r="N26" s="91" t="n"/>
      <c r="O26" s="91" t="n">
        <v>1580</v>
      </c>
      <c r="P26" s="6" t="n"/>
    </row>
    <row r="27" ht="30" customHeight="1" s="90">
      <c r="A27" s="6" t="n"/>
      <c r="B27" s="22" t="inlineStr">
        <is>
          <t>Marketing events</t>
        </is>
      </c>
      <c r="C27" s="91" t="n">
        <v>1800</v>
      </c>
      <c r="D27" s="91" t="n">
        <v>2200</v>
      </c>
      <c r="E27" s="91" t="n">
        <v>2200</v>
      </c>
      <c r="F27" s="91" t="n">
        <v>4700</v>
      </c>
      <c r="G27" s="91" t="n">
        <v>1500</v>
      </c>
      <c r="H27" s="91" t="n">
        <v>2300</v>
      </c>
      <c r="I27" s="91" t="n"/>
      <c r="J27" s="91" t="n"/>
      <c r="K27" s="91" t="n"/>
      <c r="L27" s="91" t="n"/>
      <c r="M27" s="91" t="n"/>
      <c r="N27" s="91" t="n"/>
      <c r="O27" s="91" t="n">
        <v>14700</v>
      </c>
      <c r="P27" s="6" t="n"/>
    </row>
    <row r="28" ht="30" customHeight="1" s="90">
      <c r="A28" s="6" t="n"/>
      <c r="B28" s="22" t="inlineStr">
        <is>
          <t>Miscellaneous expenses</t>
        </is>
      </c>
      <c r="C28" s="91" t="n">
        <v>145</v>
      </c>
      <c r="D28" s="91" t="n">
        <v>156</v>
      </c>
      <c r="E28" s="91" t="n">
        <v>123</v>
      </c>
      <c r="F28" s="91" t="n">
        <v>223</v>
      </c>
      <c r="G28" s="91" t="n">
        <v>187</v>
      </c>
      <c r="H28" s="91" t="n">
        <v>245</v>
      </c>
      <c r="I28" s="91" t="n"/>
      <c r="J28" s="91" t="n"/>
      <c r="K28" s="91" t="n"/>
      <c r="L28" s="91" t="n"/>
      <c r="M28" s="91" t="n"/>
      <c r="N28" s="91" t="n"/>
      <c r="O28" s="91" t="n">
        <v>1079</v>
      </c>
      <c r="P28" s="6" t="n"/>
    </row>
    <row r="29" ht="30" customHeight="1" s="90">
      <c r="A29" s="6" t="n"/>
      <c r="B29" s="22" t="inlineStr">
        <is>
          <t>Subtotal</t>
        </is>
      </c>
      <c r="C29" s="91" t="n">
        <v>7545</v>
      </c>
      <c r="D29" s="91" t="n">
        <v>3556</v>
      </c>
      <c r="E29" s="91" t="n">
        <v>3123</v>
      </c>
      <c r="F29" s="91" t="n">
        <v>11223</v>
      </c>
      <c r="G29" s="91" t="n">
        <v>2987</v>
      </c>
      <c r="H29" s="91" t="n">
        <v>4725</v>
      </c>
      <c r="I29" s="91" t="n">
        <v>0</v>
      </c>
      <c r="J29" s="91" t="n">
        <v>0</v>
      </c>
      <c r="K29" s="91" t="n">
        <v>0</v>
      </c>
      <c r="L29" s="91" t="n">
        <v>0</v>
      </c>
      <c r="M29" s="91" t="n">
        <v>0</v>
      </c>
      <c r="N29" s="91" t="n">
        <v>0</v>
      </c>
      <c r="O29" s="91" t="n">
        <v>33159</v>
      </c>
      <c r="P29" s="6" t="n"/>
    </row>
    <row r="30" ht="30" customHeight="1" s="90">
      <c r="A30" s="6" t="n"/>
      <c r="B30" s="26" t="n"/>
      <c r="C30" s="26" t="n"/>
      <c r="D30" s="26" t="n"/>
      <c r="E30" s="26" t="n"/>
      <c r="F30" s="26" t="n"/>
      <c r="G30" s="26" t="n"/>
      <c r="H30" s="26" t="n"/>
      <c r="I30" s="26" t="n"/>
      <c r="J30" s="26" t="n"/>
      <c r="K30" s="26" t="n"/>
      <c r="L30" s="26" t="n"/>
      <c r="M30" s="26" t="n"/>
      <c r="N30" s="26" t="n"/>
      <c r="O30" s="26" t="n"/>
      <c r="P30" s="6" t="n"/>
    </row>
    <row r="31" ht="40.15" customFormat="1" customHeight="1" s="47">
      <c r="A31" s="43" t="n"/>
      <c r="B31" s="21" t="inlineStr">
        <is>
          <t>Training/travel</t>
        </is>
      </c>
      <c r="C31" s="54" t="inlineStr">
        <is>
          <t>Jan</t>
        </is>
      </c>
      <c r="D31" s="54" t="inlineStr">
        <is>
          <t>Feb</t>
        </is>
      </c>
      <c r="E31" s="55" t="inlineStr">
        <is>
          <t>Mar</t>
        </is>
      </c>
      <c r="F31" s="54" t="inlineStr">
        <is>
          <t>Apr</t>
        </is>
      </c>
      <c r="G31" s="54" t="inlineStr">
        <is>
          <t>May</t>
        </is>
      </c>
      <c r="H31" s="54" t="inlineStr">
        <is>
          <t>Jun</t>
        </is>
      </c>
      <c r="I31" s="54" t="inlineStr">
        <is>
          <t>Jul</t>
        </is>
      </c>
      <c r="J31" s="54" t="inlineStr">
        <is>
          <t>Aug</t>
        </is>
      </c>
      <c r="K31" s="54" t="inlineStr">
        <is>
          <t>Sep</t>
        </is>
      </c>
      <c r="L31" s="54" t="inlineStr">
        <is>
          <t>Oct</t>
        </is>
      </c>
      <c r="M31" s="54" t="inlineStr">
        <is>
          <t>Nov</t>
        </is>
      </c>
      <c r="N31" s="54" t="inlineStr">
        <is>
          <t>Dec</t>
        </is>
      </c>
      <c r="O31" s="54" t="inlineStr">
        <is>
          <t>YEAR</t>
        </is>
      </c>
      <c r="P31" s="43" t="n"/>
    </row>
    <row r="32" ht="30" customHeight="1" s="90">
      <c r="A32" s="6" t="n"/>
      <c r="B32" s="22" t="inlineStr">
        <is>
          <t>Training classes</t>
        </is>
      </c>
      <c r="C32" s="91" t="n">
        <v>1600</v>
      </c>
      <c r="D32" s="91" t="n">
        <v>2400</v>
      </c>
      <c r="E32" s="91" t="n">
        <v>1400</v>
      </c>
      <c r="F32" s="91" t="n">
        <v>1600</v>
      </c>
      <c r="G32" s="91" t="n">
        <v>1200</v>
      </c>
      <c r="H32" s="91" t="n">
        <v>2800</v>
      </c>
      <c r="I32" s="91" t="n"/>
      <c r="J32" s="91" t="n"/>
      <c r="K32" s="91" t="n"/>
      <c r="L32" s="91" t="n"/>
      <c r="M32" s="91" t="n"/>
      <c r="N32" s="91" t="n"/>
      <c r="O32" s="91" t="n">
        <v>11000</v>
      </c>
      <c r="P32" s="6" t="n"/>
    </row>
    <row r="33" ht="30" customHeight="1" s="90">
      <c r="A33" s="6" t="n"/>
      <c r="B33" s="22" t="inlineStr">
        <is>
          <t>Training-related travel costs</t>
        </is>
      </c>
      <c r="C33" s="91" t="n">
        <v>1200</v>
      </c>
      <c r="D33" s="91" t="n">
        <v>2200</v>
      </c>
      <c r="E33" s="91" t="n">
        <v>1400</v>
      </c>
      <c r="F33" s="91" t="n">
        <v>1200</v>
      </c>
      <c r="G33" s="91" t="n">
        <v>800</v>
      </c>
      <c r="H33" s="91" t="n">
        <v>3500</v>
      </c>
      <c r="I33" s="91" t="n"/>
      <c r="J33" s="91" t="n"/>
      <c r="K33" s="91" t="n"/>
      <c r="L33" s="91" t="n"/>
      <c r="M33" s="91" t="n"/>
      <c r="N33" s="91" t="n"/>
      <c r="O33" s="91" t="n">
        <v>10300</v>
      </c>
      <c r="P33" s="6" t="n"/>
    </row>
    <row r="34" ht="30" customHeight="1" s="90">
      <c r="A34" s="6" t="n"/>
      <c r="B34" s="37" t="inlineStr">
        <is>
          <t>Subtotal</t>
        </is>
      </c>
      <c r="C34" s="91" t="n">
        <v>2800</v>
      </c>
      <c r="D34" s="91" t="n">
        <v>4600</v>
      </c>
      <c r="E34" s="91" t="n">
        <v>2800</v>
      </c>
      <c r="F34" s="91" t="n">
        <v>2800</v>
      </c>
      <c r="G34" s="91" t="n">
        <v>2000</v>
      </c>
      <c r="H34" s="91" t="n">
        <v>6300</v>
      </c>
      <c r="I34" s="91" t="n">
        <v>0</v>
      </c>
      <c r="J34" s="91" t="n">
        <v>0</v>
      </c>
      <c r="K34" s="91" t="n">
        <v>0</v>
      </c>
      <c r="L34" s="91" t="n">
        <v>0</v>
      </c>
      <c r="M34" s="91" t="n">
        <v>0</v>
      </c>
      <c r="N34" s="91" t="n">
        <v>0</v>
      </c>
      <c r="O34" s="91" t="n">
        <v>21300</v>
      </c>
      <c r="P34" s="6" t="n"/>
    </row>
    <row r="35" ht="30" customHeight="1" s="90">
      <c r="A35" s="6" t="n"/>
      <c r="B35" s="26" t="n"/>
      <c r="C35" s="26" t="n"/>
      <c r="D35" s="26" t="n"/>
      <c r="E35" s="26" t="n"/>
      <c r="F35" s="26" t="n"/>
      <c r="G35" s="26" t="n"/>
      <c r="H35" s="26" t="n"/>
      <c r="I35" s="26" t="n"/>
      <c r="J35" s="26" t="n"/>
      <c r="K35" s="26" t="n"/>
      <c r="L35" s="26" t="n"/>
      <c r="M35" s="26" t="n"/>
      <c r="N35" s="26" t="n"/>
      <c r="O35" s="26" t="n"/>
      <c r="P35" s="6" t="n"/>
    </row>
    <row r="36" ht="40.15" customHeight="1" s="90">
      <c r="A36" s="33" t="n"/>
      <c r="B36" s="27" t="inlineStr">
        <is>
          <t>Totals</t>
        </is>
      </c>
      <c r="C36" s="84" t="inlineStr">
        <is>
          <t>Jan</t>
        </is>
      </c>
      <c r="D36" s="84" t="inlineStr">
        <is>
          <t>Feb</t>
        </is>
      </c>
      <c r="E36" s="84" t="inlineStr">
        <is>
          <t>Mar</t>
        </is>
      </c>
      <c r="F36" s="84" t="inlineStr">
        <is>
          <t>Apr</t>
        </is>
      </c>
      <c r="G36" s="84" t="inlineStr">
        <is>
          <t>May</t>
        </is>
      </c>
      <c r="H36" s="84" t="inlineStr">
        <is>
          <t>Jun</t>
        </is>
      </c>
      <c r="I36" s="84" t="inlineStr">
        <is>
          <t>Jul</t>
        </is>
      </c>
      <c r="J36" s="84" t="inlineStr">
        <is>
          <t>Aug</t>
        </is>
      </c>
      <c r="K36" s="84" t="inlineStr">
        <is>
          <t>Sep</t>
        </is>
      </c>
      <c r="L36" s="84" t="inlineStr">
        <is>
          <t>Oct</t>
        </is>
      </c>
      <c r="M36" s="84" t="inlineStr">
        <is>
          <t>Nov</t>
        </is>
      </c>
      <c r="N36" s="84" t="inlineStr">
        <is>
          <t>Dec</t>
        </is>
      </c>
      <c r="O36" s="84" t="inlineStr">
        <is>
          <t>Year</t>
        </is>
      </c>
      <c r="P36" s="6" t="n"/>
    </row>
    <row r="37" ht="30" customHeight="1" s="90">
      <c r="A37" s="6" t="n"/>
      <c r="B37" s="22" t="inlineStr">
        <is>
          <t>Monthly actual expenses</t>
        </is>
      </c>
      <c r="C37" s="91" t="n">
        <v>129682</v>
      </c>
      <c r="D37" s="91" t="n">
        <v>127804</v>
      </c>
      <c r="E37" s="91" t="n">
        <v>125565</v>
      </c>
      <c r="F37" s="91" t="n">
        <v>137394</v>
      </c>
      <c r="G37" s="91" t="n">
        <v>128255</v>
      </c>
      <c r="H37" s="91" t="n">
        <v>134239</v>
      </c>
      <c r="I37" s="91" t="n">
        <v>0</v>
      </c>
      <c r="J37" s="91" t="n">
        <v>0</v>
      </c>
      <c r="K37" s="91" t="n">
        <v>0</v>
      </c>
      <c r="L37" s="91" t="n">
        <v>0</v>
      </c>
      <c r="M37" s="91" t="n">
        <v>0</v>
      </c>
      <c r="N37" s="91" t="n">
        <v>0</v>
      </c>
      <c r="O37" s="91" t="n">
        <v>782939</v>
      </c>
      <c r="P37" s="6" t="n"/>
    </row>
    <row r="38" ht="30" customHeight="1" s="90">
      <c r="A38" s="6" t="n"/>
      <c r="B38" s="22" t="inlineStr">
        <is>
          <t>TOTAL actual expenses</t>
        </is>
      </c>
      <c r="C38" s="91" t="n">
        <v>129682</v>
      </c>
      <c r="D38" s="91" t="n">
        <v>257486</v>
      </c>
      <c r="E38" s="91" t="n">
        <v>383051</v>
      </c>
      <c r="F38" s="91" t="n">
        <v>520445</v>
      </c>
      <c r="G38" s="91" t="n">
        <v>648700</v>
      </c>
      <c r="H38" s="91" t="n">
        <v>782939</v>
      </c>
      <c r="I38" s="91" t="n">
        <v>782939</v>
      </c>
      <c r="J38" s="91" t="n">
        <v>782939</v>
      </c>
      <c r="K38" s="91" t="n">
        <v>782939</v>
      </c>
      <c r="L38" s="91" t="n">
        <v>782939</v>
      </c>
      <c r="M38" s="91" t="n">
        <v>782939</v>
      </c>
      <c r="N38" s="91" t="n">
        <v>782939</v>
      </c>
      <c r="O38" s="91" t="n"/>
      <c r="P38" s="6" t="n"/>
    </row>
    <row r="39" ht="30" customHeight="1" s="90">
      <c r="A39" s="6" t="n"/>
      <c r="B39" s="36" t="n"/>
      <c r="C39" s="36" t="n"/>
      <c r="D39" s="36" t="n"/>
      <c r="E39" s="36" t="n"/>
      <c r="F39" s="36" t="n"/>
      <c r="G39" s="36" t="n"/>
      <c r="H39" s="36" t="n"/>
      <c r="I39" s="36" t="n"/>
      <c r="J39" s="36" t="n"/>
      <c r="K39" s="36" t="n"/>
      <c r="L39" s="36" t="n"/>
      <c r="M39" s="36" t="n"/>
      <c r="N39" s="36" t="n"/>
      <c r="O39" s="36" t="n"/>
      <c r="P39" s="6" t="n"/>
    </row>
  </sheetData>
  <mergeCells count="1">
    <mergeCell ref="B2:F3"/>
  </mergeCells>
  <dataValidations count="7">
    <dataValidation sqref="A36" showDropDown="0" showInputMessage="1" showErrorMessage="1" allowBlank="1" prompt="Total Actual Expenses are auto calculated in Total Actual table starting in cell at right."/>
    <dataValidation sqref="A6" showDropDown="0" showInputMessage="1" showErrorMessage="1" allowBlank="1" prompt="Enter Employee Costs in Employee Actual table starting in cell at right. Next instruction is in cell A11."/>
    <dataValidation sqref="A1" showDropDown="0" showInputMessage="1" showErrorMessage="1" allowBlank="1" prompt="Enter Actual Employee Costs, Office Costs, Marketing Costs, and Training or Travel Cost in respective tables in this worksheet. Totals are auto calculated. Instructions on how to use this worksheet are in cells in this column. Arrow down to get started."/>
    <dataValidation sqref="A2" showDropDown="0" showInputMessage="1" showErrorMessage="1" allowBlank="1" prompt="Company Name is auto updated in cell at right. Title of this worksheet is in cell O2. Replace placeholder with your company logo."/>
    <dataValidation sqref="A11" showDropDown="0" showInputMessage="1" showErrorMessage="1" allowBlank="1" prompt="Enter Office Costs in Office Actual table starting in cell at right. Next instruction is in cell A22."/>
    <dataValidation sqref="A22" showDropDown="0" showInputMessage="1" showErrorMessage="1" allowBlank="1" prompt="Enter Marketing Costs in Marketing Actual table starting in cell at right. Next instruction is in cell A31."/>
    <dataValidation sqref="A31" showDropDown="0" showInputMessage="1" showErrorMessage="1" allowBlank="1" prompt="Enter Training/Travel Costs in Training/Travel Actual table starting in cell at right. Next instruction is in cell A36."/>
  </dataValidations>
  <printOptions horizontalCentered="1"/>
  <pageMargins left="0.4" right="0.4" top="0.4" bottom="0.4" header="0.3" footer="0.3"/>
  <pageSetup orientation="landscape" scale="53" fitToHeight="0"/>
  <headerFooter differentFirst="1">
    <oddHeader/>
    <oddFooter>&amp;L&amp;C&amp;R</oddFooter>
    <evenHeader/>
    <evenFooter/>
    <firstHeader/>
    <firstFooter/>
  </headerFooter>
  <tableParts count="5">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 xmlns:r="http://schemas.openxmlformats.org/officeDocument/2006/relationships" r:id="rId5"/>
  </tableParts>
</worksheet>
</file>

<file path=xl/worksheets/sheet4.xml><?xml version="1.0" encoding="utf-8"?>
<worksheet xmlns="http://schemas.openxmlformats.org/spreadsheetml/2006/main">
  <sheetPr codeName="Sheet4">
    <tabColor theme="7" tint="-0.499984740745262"/>
    <outlinePr summaryBelow="1" summaryRight="1"/>
    <pageSetUpPr autoPageBreaks="0" fitToPage="1"/>
  </sheetPr>
  <dimension ref="A1:Q39"/>
  <sheetViews>
    <sheetView showGridLines="0" zoomScaleNormal="100" workbookViewId="0">
      <selection activeCell="A1" sqref="A1"/>
    </sheetView>
  </sheetViews>
  <sheetFormatPr baseColWidth="8" defaultColWidth="8.875" defaultRowHeight="21" customHeight="1"/>
  <cols>
    <col width="4" customWidth="1" style="3" min="1" max="1"/>
    <col width="36.625" customWidth="1" style="35" min="2" max="2"/>
    <col width="14.375" customWidth="1" style="35" min="3" max="15"/>
    <col width="4" customWidth="1" style="3" min="16" max="16"/>
    <col width="8.875" customWidth="1" style="35" min="17" max="16384"/>
  </cols>
  <sheetData>
    <row r="1" ht="20.1" customFormat="1" customHeight="1" s="3">
      <c r="A1" s="1" t="n"/>
      <c r="B1" s="2" t="n"/>
      <c r="C1" s="2" t="n"/>
      <c r="D1" s="2" t="n"/>
      <c r="E1" s="2" t="n"/>
      <c r="F1" s="2" t="n"/>
      <c r="G1" s="2" t="n"/>
      <c r="H1" s="2" t="n"/>
      <c r="I1" s="2" t="n"/>
      <c r="J1" s="2" t="n"/>
      <c r="K1" s="2" t="n"/>
      <c r="L1" s="2" t="n"/>
      <c r="M1" s="2" t="n"/>
      <c r="N1" s="2" t="n"/>
      <c r="O1" s="2" t="n"/>
      <c r="P1" s="2" t="inlineStr">
        <is>
          <t> </t>
        </is>
      </c>
    </row>
    <row r="2" ht="100.15" customFormat="1" customHeight="1" s="3">
      <c r="A2" s="2" t="n"/>
      <c r="B2" s="86" t="inlineStr">
        <is>
          <t>SBO Banking</t>
        </is>
      </c>
      <c r="F2" s="5" t="n"/>
      <c r="G2" s="5" t="n"/>
      <c r="H2" s="5" t="n"/>
      <c r="I2" s="5" t="n"/>
      <c r="J2" s="5" t="n"/>
      <c r="K2" s="6" t="n"/>
      <c r="L2" s="6" t="n"/>
      <c r="M2" s="6" t="n"/>
      <c r="N2" s="8" t="n"/>
      <c r="O2" s="9" t="inlineStr">
        <is>
          <t>Detailed expense estimates</t>
        </is>
      </c>
      <c r="P2" s="38" t="n"/>
      <c r="Q2" s="39" t="n"/>
    </row>
    <row r="3" ht="19.9" customFormat="1" customHeight="1" s="3">
      <c r="A3" s="2" t="n"/>
      <c r="F3" s="5" t="n"/>
      <c r="G3" s="5" t="n"/>
      <c r="H3" s="5" t="n"/>
      <c r="I3" s="5" t="n"/>
      <c r="J3" s="5" t="n"/>
      <c r="K3" s="6" t="n"/>
      <c r="L3" s="6" t="n"/>
      <c r="M3" s="6" t="n"/>
      <c r="N3" s="8" t="n"/>
      <c r="O3" s="13" t="inlineStr">
        <is>
          <t>Shaded cells are calculations</t>
        </is>
      </c>
      <c r="P3" s="38" t="n"/>
      <c r="Q3" s="39" t="n"/>
    </row>
    <row r="4" ht="19.9" customFormat="1" customHeight="1" s="3">
      <c r="A4" s="2" t="n"/>
      <c r="B4" s="40" t="n"/>
      <c r="C4" s="40" t="n"/>
      <c r="D4" s="40" t="n"/>
      <c r="E4" s="40" t="n"/>
      <c r="F4" s="11" t="n"/>
      <c r="G4" s="11" t="n"/>
      <c r="H4" s="11" t="n"/>
      <c r="I4" s="11" t="n"/>
      <c r="J4" s="11" t="n"/>
      <c r="K4" s="6" t="n"/>
      <c r="L4" s="6" t="n"/>
      <c r="M4" s="6" t="n"/>
      <c r="N4" s="8" t="n"/>
      <c r="O4" s="6" t="n"/>
      <c r="P4" s="41" t="n"/>
      <c r="Q4" s="42" t="n"/>
    </row>
    <row r="5" ht="49.9" customFormat="1" customHeight="1" s="34">
      <c r="A5" s="2" t="n"/>
      <c r="B5" s="16" t="inlineStr">
        <is>
          <t>EXPENSE VARIANCES</t>
        </is>
      </c>
      <c r="C5" s="17" t="n"/>
      <c r="D5" s="17" t="n"/>
      <c r="E5" s="18" t="n"/>
      <c r="F5" s="17" t="n"/>
      <c r="G5" s="17" t="n"/>
      <c r="H5" s="17" t="n"/>
      <c r="I5" s="18" t="n"/>
      <c r="J5" s="17" t="n"/>
      <c r="K5" s="17" t="n"/>
      <c r="L5" s="17" t="n"/>
      <c r="M5" s="17" t="n"/>
      <c r="N5" s="18" t="n"/>
      <c r="O5" s="17" t="n"/>
      <c r="P5" s="33" t="n"/>
    </row>
    <row r="6" ht="40.15" customFormat="1" customHeight="1" s="47">
      <c r="A6" s="43" t="n"/>
      <c r="B6" s="44" t="inlineStr">
        <is>
          <t>Employee costs</t>
        </is>
      </c>
      <c r="C6" s="45" t="inlineStr">
        <is>
          <t>Jan</t>
        </is>
      </c>
      <c r="D6" s="45" t="inlineStr">
        <is>
          <t>Feb</t>
        </is>
      </c>
      <c r="E6" s="46" t="inlineStr">
        <is>
          <t>Mar</t>
        </is>
      </c>
      <c r="F6" s="45" t="inlineStr">
        <is>
          <t>Apr</t>
        </is>
      </c>
      <c r="G6" s="45" t="inlineStr">
        <is>
          <t>May</t>
        </is>
      </c>
      <c r="H6" s="45" t="inlineStr">
        <is>
          <t>Jun</t>
        </is>
      </c>
      <c r="I6" s="45" t="inlineStr">
        <is>
          <t>Jul</t>
        </is>
      </c>
      <c r="J6" s="45" t="inlineStr">
        <is>
          <t>Aug</t>
        </is>
      </c>
      <c r="K6" s="45" t="inlineStr">
        <is>
          <t>Sep</t>
        </is>
      </c>
      <c r="L6" s="45" t="inlineStr">
        <is>
          <t>Oct</t>
        </is>
      </c>
      <c r="M6" s="45" t="inlineStr">
        <is>
          <t>Nov</t>
        </is>
      </c>
      <c r="N6" s="45" t="inlineStr">
        <is>
          <t>Dec</t>
        </is>
      </c>
      <c r="O6" s="45" t="inlineStr">
        <is>
          <t>YEAR</t>
        </is>
      </c>
      <c r="P6" s="43" t="n"/>
    </row>
    <row r="7" ht="30" customHeight="1" s="90">
      <c r="A7" s="6" t="n"/>
      <c r="B7" s="22" t="inlineStr">
        <is>
          <t>Wages</t>
        </is>
      </c>
      <c r="C7" s="91" t="n">
        <v>0</v>
      </c>
      <c r="D7" s="91" t="n">
        <v>0</v>
      </c>
      <c r="E7" s="91" t="n">
        <v>0</v>
      </c>
      <c r="F7" s="91" t="n">
        <v>-500</v>
      </c>
      <c r="G7" s="91" t="n">
        <v>-500</v>
      </c>
      <c r="H7" s="91" t="n">
        <v>-500</v>
      </c>
      <c r="I7" s="91" t="n">
        <v>87500</v>
      </c>
      <c r="J7" s="91" t="n">
        <v>92400</v>
      </c>
      <c r="K7" s="91" t="n">
        <v>92400</v>
      </c>
      <c r="L7" s="91" t="n">
        <v>92400</v>
      </c>
      <c r="M7" s="91" t="n">
        <v>92400</v>
      </c>
      <c r="N7" s="91" t="n">
        <v>92400</v>
      </c>
      <c r="O7" s="91" t="n">
        <v>548000</v>
      </c>
      <c r="P7" s="6" t="n"/>
    </row>
    <row r="8" ht="30" customHeight="1" s="90">
      <c r="A8" s="6" t="n"/>
      <c r="B8" s="22" t="inlineStr">
        <is>
          <t>Benefits</t>
        </is>
      </c>
      <c r="C8" s="91" t="n">
        <v>0</v>
      </c>
      <c r="D8" s="91" t="n">
        <v>0</v>
      </c>
      <c r="E8" s="91" t="n">
        <v>0</v>
      </c>
      <c r="F8" s="91" t="n">
        <v>-135</v>
      </c>
      <c r="G8" s="91" t="n">
        <v>-135</v>
      </c>
      <c r="H8" s="91" t="n">
        <v>-135</v>
      </c>
      <c r="I8" s="91" t="n">
        <v>23625</v>
      </c>
      <c r="J8" s="91" t="n">
        <v>24948</v>
      </c>
      <c r="K8" s="91" t="n">
        <v>24948</v>
      </c>
      <c r="L8" s="91" t="n">
        <v>24948</v>
      </c>
      <c r="M8" s="91" t="n">
        <v>24948</v>
      </c>
      <c r="N8" s="91" t="n">
        <v>24948</v>
      </c>
      <c r="O8" s="91" t="n">
        <v>147960</v>
      </c>
      <c r="P8" s="6" t="n"/>
    </row>
    <row r="9" ht="30" customHeight="1" s="90">
      <c r="A9" s="6" t="n"/>
      <c r="B9" s="22" t="inlineStr">
        <is>
          <t>Subtotal</t>
        </is>
      </c>
      <c r="C9" s="91" t="n">
        <v>0</v>
      </c>
      <c r="D9" s="91" t="n">
        <v>0</v>
      </c>
      <c r="E9" s="91" t="n">
        <v>0</v>
      </c>
      <c r="F9" s="91" t="n">
        <v>-635</v>
      </c>
      <c r="G9" s="91" t="n">
        <v>-635</v>
      </c>
      <c r="H9" s="91" t="n">
        <v>-635</v>
      </c>
      <c r="I9" s="91" t="n">
        <v>111125</v>
      </c>
      <c r="J9" s="91" t="n">
        <v>117348</v>
      </c>
      <c r="K9" s="91" t="n">
        <v>117348</v>
      </c>
      <c r="L9" s="91" t="n">
        <v>117348</v>
      </c>
      <c r="M9" s="91" t="n">
        <v>117348</v>
      </c>
      <c r="N9" s="91" t="n">
        <v>117348</v>
      </c>
      <c r="O9" s="91" t="n">
        <v>695960</v>
      </c>
      <c r="P9" s="6" t="n"/>
    </row>
    <row r="10" ht="30" customHeight="1" s="90">
      <c r="A10" s="6" t="n"/>
      <c r="B10" s="48" t="n"/>
      <c r="C10" s="24" t="n"/>
      <c r="D10" s="49" t="n"/>
      <c r="E10" s="49" t="n"/>
      <c r="F10" s="49" t="n"/>
      <c r="G10" s="49" t="n"/>
      <c r="H10" s="49" t="n"/>
      <c r="I10" s="49" t="n"/>
      <c r="J10" s="49" t="n"/>
      <c r="K10" s="49" t="n"/>
      <c r="L10" s="49" t="n"/>
      <c r="M10" s="49" t="n"/>
      <c r="N10" s="49" t="n"/>
      <c r="O10" s="50" t="n"/>
      <c r="P10" s="6" t="n"/>
    </row>
    <row r="11" ht="40.15" customFormat="1" customHeight="1" s="47">
      <c r="A11" s="43" t="n"/>
      <c r="B11" s="44" t="inlineStr">
        <is>
          <t>Office costs</t>
        </is>
      </c>
      <c r="C11" s="45" t="inlineStr">
        <is>
          <t>Jan</t>
        </is>
      </c>
      <c r="D11" s="45" t="inlineStr">
        <is>
          <t>Feb</t>
        </is>
      </c>
      <c r="E11" s="46" t="inlineStr">
        <is>
          <t>Mar</t>
        </is>
      </c>
      <c r="F11" s="45" t="inlineStr">
        <is>
          <t>Apr</t>
        </is>
      </c>
      <c r="G11" s="45" t="inlineStr">
        <is>
          <t>May</t>
        </is>
      </c>
      <c r="H11" s="45" t="inlineStr">
        <is>
          <t>Jun</t>
        </is>
      </c>
      <c r="I11" s="45" t="inlineStr">
        <is>
          <t>Jul</t>
        </is>
      </c>
      <c r="J11" s="45" t="inlineStr">
        <is>
          <t>Aug</t>
        </is>
      </c>
      <c r="K11" s="45" t="inlineStr">
        <is>
          <t>Sep</t>
        </is>
      </c>
      <c r="L11" s="45" t="inlineStr">
        <is>
          <t>Oct</t>
        </is>
      </c>
      <c r="M11" s="45" t="inlineStr">
        <is>
          <t>Nov</t>
        </is>
      </c>
      <c r="N11" s="45" t="inlineStr">
        <is>
          <t>Dec</t>
        </is>
      </c>
      <c r="O11" s="45" t="inlineStr">
        <is>
          <t>YEAR</t>
        </is>
      </c>
      <c r="P11" s="43" t="n"/>
    </row>
    <row r="12" ht="30" customHeight="1" s="90">
      <c r="A12" s="6" t="n"/>
      <c r="B12" s="22" t="inlineStr">
        <is>
          <t>Office lease</t>
        </is>
      </c>
      <c r="C12" s="91" t="n">
        <v>0</v>
      </c>
      <c r="D12" s="91" t="n">
        <v>0</v>
      </c>
      <c r="E12" s="91" t="n">
        <v>0</v>
      </c>
      <c r="F12" s="91" t="n">
        <v>0</v>
      </c>
      <c r="G12" s="91" t="n">
        <v>0</v>
      </c>
      <c r="H12" s="91" t="n">
        <v>0</v>
      </c>
      <c r="I12" s="91" t="n">
        <v>9800</v>
      </c>
      <c r="J12" s="91" t="n">
        <v>9800</v>
      </c>
      <c r="K12" s="91" t="n">
        <v>9800</v>
      </c>
      <c r="L12" s="91" t="n">
        <v>9800</v>
      </c>
      <c r="M12" s="91" t="n">
        <v>9800</v>
      </c>
      <c r="N12" s="91" t="n">
        <v>9800</v>
      </c>
      <c r="O12" s="91" t="n">
        <v>58800</v>
      </c>
      <c r="P12" s="6" t="n"/>
    </row>
    <row r="13" ht="30" customHeight="1" s="90">
      <c r="A13" s="6" t="n"/>
      <c r="B13" s="22" t="inlineStr">
        <is>
          <t>Gas</t>
        </is>
      </c>
      <c r="C13" s="91" t="n">
        <v>296</v>
      </c>
      <c r="D13" s="91" t="n">
        <v>-30</v>
      </c>
      <c r="E13" s="91" t="n">
        <v>15</v>
      </c>
      <c r="F13" s="91" t="n">
        <v>-130</v>
      </c>
      <c r="G13" s="91" t="n">
        <v>13</v>
      </c>
      <c r="H13" s="91" t="n">
        <v>12</v>
      </c>
      <c r="I13" s="91" t="n">
        <v>100</v>
      </c>
      <c r="J13" s="91" t="n">
        <v>100</v>
      </c>
      <c r="K13" s="91" t="n">
        <v>100</v>
      </c>
      <c r="L13" s="91" t="n">
        <v>100</v>
      </c>
      <c r="M13" s="91" t="n">
        <v>400</v>
      </c>
      <c r="N13" s="91" t="n">
        <v>400</v>
      </c>
      <c r="O13" s="91" t="n">
        <v>1376</v>
      </c>
      <c r="P13" s="6" t="n"/>
    </row>
    <row r="14" ht="30" customHeight="1" s="90">
      <c r="A14" s="6" t="n"/>
      <c r="B14" s="22" t="inlineStr">
        <is>
          <t>Electric</t>
        </is>
      </c>
      <c r="C14" s="91" t="n">
        <v>12</v>
      </c>
      <c r="D14" s="91" t="n">
        <v>22</v>
      </c>
      <c r="E14" s="91" t="n">
        <v>32</v>
      </c>
      <c r="F14" s="91" t="n">
        <v>1</v>
      </c>
      <c r="G14" s="91" t="n">
        <v>-6</v>
      </c>
      <c r="H14" s="91" t="n">
        <v>10</v>
      </c>
      <c r="I14" s="91" t="n">
        <v>300</v>
      </c>
      <c r="J14" s="91" t="n">
        <v>300</v>
      </c>
      <c r="K14" s="91" t="n">
        <v>300</v>
      </c>
      <c r="L14" s="91" t="n">
        <v>300</v>
      </c>
      <c r="M14" s="91" t="n">
        <v>300</v>
      </c>
      <c r="N14" s="91" t="n">
        <v>300</v>
      </c>
      <c r="O14" s="91" t="n">
        <v>1871</v>
      </c>
      <c r="P14" s="6" t="n"/>
    </row>
    <row r="15" ht="30" customHeight="1" s="90">
      <c r="A15" s="6" t="n"/>
      <c r="B15" s="22" t="inlineStr">
        <is>
          <t>Water</t>
        </is>
      </c>
      <c r="C15" s="91" t="n">
        <v>5</v>
      </c>
      <c r="D15" s="91" t="n">
        <v>7</v>
      </c>
      <c r="E15" s="91" t="n">
        <v>6</v>
      </c>
      <c r="F15" s="91" t="n">
        <v>4</v>
      </c>
      <c r="G15" s="91" t="n">
        <v>6</v>
      </c>
      <c r="H15" s="91" t="n">
        <v>4</v>
      </c>
      <c r="I15" s="91" t="n">
        <v>40</v>
      </c>
      <c r="J15" s="91" t="n">
        <v>40</v>
      </c>
      <c r="K15" s="91" t="n">
        <v>40</v>
      </c>
      <c r="L15" s="91" t="n">
        <v>40</v>
      </c>
      <c r="M15" s="91" t="n">
        <v>40</v>
      </c>
      <c r="N15" s="91" t="n">
        <v>40</v>
      </c>
      <c r="O15" s="91" t="n">
        <v>272</v>
      </c>
      <c r="P15" s="6" t="n"/>
    </row>
    <row r="16" ht="30" customHeight="1" s="90">
      <c r="A16" s="6" t="n"/>
      <c r="B16" s="22" t="inlineStr">
        <is>
          <t>Telephone</t>
        </is>
      </c>
      <c r="C16" s="91" t="n">
        <v>26</v>
      </c>
      <c r="D16" s="91" t="n">
        <v>15</v>
      </c>
      <c r="E16" s="91" t="n">
        <v>-15</v>
      </c>
      <c r="F16" s="91" t="n">
        <v>5</v>
      </c>
      <c r="G16" s="91" t="n">
        <v>5</v>
      </c>
      <c r="H16" s="91" t="n">
        <v>30</v>
      </c>
      <c r="I16" s="91" t="n">
        <v>250</v>
      </c>
      <c r="J16" s="91" t="n">
        <v>250</v>
      </c>
      <c r="K16" s="91" t="n">
        <v>250</v>
      </c>
      <c r="L16" s="91" t="n">
        <v>250</v>
      </c>
      <c r="M16" s="91" t="n">
        <v>250</v>
      </c>
      <c r="N16" s="91" t="n">
        <v>250</v>
      </c>
      <c r="O16" s="91" t="n">
        <v>1566</v>
      </c>
      <c r="P16" s="6" t="n"/>
    </row>
    <row r="17" ht="30" customHeight="1" s="90">
      <c r="A17" s="6" t="n"/>
      <c r="B17" s="22" t="inlineStr">
        <is>
          <t>Internet access</t>
        </is>
      </c>
      <c r="C17" s="91" t="n">
        <v>0</v>
      </c>
      <c r="D17" s="91" t="n">
        <v>0</v>
      </c>
      <c r="E17" s="91" t="n">
        <v>0</v>
      </c>
      <c r="F17" s="91" t="n">
        <v>0</v>
      </c>
      <c r="G17" s="91" t="n">
        <v>0</v>
      </c>
      <c r="H17" s="91" t="n">
        <v>0</v>
      </c>
      <c r="I17" s="91" t="n">
        <v>180</v>
      </c>
      <c r="J17" s="91" t="n">
        <v>180</v>
      </c>
      <c r="K17" s="91" t="n">
        <v>180</v>
      </c>
      <c r="L17" s="91" t="n">
        <v>180</v>
      </c>
      <c r="M17" s="91" t="n">
        <v>180</v>
      </c>
      <c r="N17" s="91" t="n">
        <v>180</v>
      </c>
      <c r="O17" s="91" t="n">
        <v>1080</v>
      </c>
      <c r="P17" s="6" t="n"/>
    </row>
    <row r="18" ht="30" customHeight="1" s="90">
      <c r="A18" s="6" t="n"/>
      <c r="B18" s="22" t="inlineStr">
        <is>
          <t>Office supplies</t>
        </is>
      </c>
      <c r="C18" s="91" t="n">
        <v>-56</v>
      </c>
      <c r="D18" s="91" t="n">
        <v>58</v>
      </c>
      <c r="E18" s="91" t="n">
        <v>40</v>
      </c>
      <c r="F18" s="91" t="n">
        <v>-21</v>
      </c>
      <c r="G18" s="91" t="n">
        <v>-56</v>
      </c>
      <c r="H18" s="91" t="n">
        <v>-40</v>
      </c>
      <c r="I18" s="91" t="n">
        <v>200</v>
      </c>
      <c r="J18" s="91" t="n">
        <v>200</v>
      </c>
      <c r="K18" s="91" t="n">
        <v>200</v>
      </c>
      <c r="L18" s="91" t="n">
        <v>200</v>
      </c>
      <c r="M18" s="91" t="n">
        <v>200</v>
      </c>
      <c r="N18" s="91" t="n">
        <v>200</v>
      </c>
      <c r="O18" s="91" t="n">
        <v>1125</v>
      </c>
      <c r="P18" s="6" t="n"/>
    </row>
    <row r="19" ht="30" customHeight="1" s="90">
      <c r="A19" s="6" t="n"/>
      <c r="B19" s="22" t="inlineStr">
        <is>
          <t>Security</t>
        </is>
      </c>
      <c r="C19" s="91" t="n">
        <v>0</v>
      </c>
      <c r="D19" s="91" t="n">
        <v>0</v>
      </c>
      <c r="E19" s="91" t="n">
        <v>0</v>
      </c>
      <c r="F19" s="91" t="n">
        <v>0</v>
      </c>
      <c r="G19" s="91" t="n">
        <v>0</v>
      </c>
      <c r="H19" s="91" t="n">
        <v>0</v>
      </c>
      <c r="I19" s="91" t="n">
        <v>600</v>
      </c>
      <c r="J19" s="91" t="n">
        <v>600</v>
      </c>
      <c r="K19" s="91" t="n">
        <v>600</v>
      </c>
      <c r="L19" s="91" t="n">
        <v>600</v>
      </c>
      <c r="M19" s="91" t="n">
        <v>600</v>
      </c>
      <c r="N19" s="91" t="n">
        <v>600</v>
      </c>
      <c r="O19" s="91" t="n">
        <v>3600</v>
      </c>
      <c r="P19" s="6" t="n"/>
    </row>
    <row r="20" ht="30" customHeight="1" s="90">
      <c r="A20" s="6" t="n"/>
      <c r="B20" s="22" t="inlineStr">
        <is>
          <t>Subtotal</t>
        </is>
      </c>
      <c r="C20" s="91" t="n">
        <v>283</v>
      </c>
      <c r="D20" s="91" t="n">
        <v>72</v>
      </c>
      <c r="E20" s="91" t="n">
        <v>78</v>
      </c>
      <c r="F20" s="91" t="n">
        <v>-141</v>
      </c>
      <c r="G20" s="91" t="n">
        <v>-38</v>
      </c>
      <c r="H20" s="91" t="n">
        <v>16</v>
      </c>
      <c r="I20" s="91" t="n">
        <v>11470</v>
      </c>
      <c r="J20" s="91" t="n">
        <v>11470</v>
      </c>
      <c r="K20" s="91" t="n">
        <v>11470</v>
      </c>
      <c r="L20" s="91" t="n">
        <v>11470</v>
      </c>
      <c r="M20" s="91" t="n">
        <v>11770</v>
      </c>
      <c r="N20" s="91" t="n">
        <v>11770</v>
      </c>
      <c r="O20" s="91" t="n">
        <v>69690</v>
      </c>
      <c r="P20" s="6" t="n"/>
    </row>
    <row r="21" ht="30" customHeight="1" s="90">
      <c r="A21" s="6" t="n"/>
      <c r="B21" s="51" t="n"/>
      <c r="C21" s="25" t="n"/>
      <c r="D21" s="49" t="n"/>
      <c r="E21" s="49" t="n"/>
      <c r="F21" s="52" t="n"/>
      <c r="G21" s="52" t="n"/>
      <c r="H21" s="52" t="n"/>
      <c r="I21" s="52" t="n"/>
      <c r="J21" s="52" t="n"/>
      <c r="K21" s="52" t="n"/>
      <c r="L21" s="52" t="n"/>
      <c r="M21" s="52" t="n"/>
      <c r="N21" s="52" t="n"/>
      <c r="O21" s="53" t="n"/>
      <c r="P21" s="6" t="n"/>
    </row>
    <row r="22" ht="40.15" customFormat="1" customHeight="1" s="47">
      <c r="A22" s="43" t="n"/>
      <c r="B22" s="21" t="inlineStr">
        <is>
          <t>Marketing costs</t>
        </is>
      </c>
      <c r="C22" s="54" t="inlineStr">
        <is>
          <t>Jan</t>
        </is>
      </c>
      <c r="D22" s="54" t="inlineStr">
        <is>
          <t>Feb</t>
        </is>
      </c>
      <c r="E22" s="55" t="inlineStr">
        <is>
          <t>Mar</t>
        </is>
      </c>
      <c r="F22" s="54" t="inlineStr">
        <is>
          <t>Apr</t>
        </is>
      </c>
      <c r="G22" s="54" t="inlineStr">
        <is>
          <t>May</t>
        </is>
      </c>
      <c r="H22" s="54" t="inlineStr">
        <is>
          <t>Jun</t>
        </is>
      </c>
      <c r="I22" s="54" t="inlineStr">
        <is>
          <t>Jul</t>
        </is>
      </c>
      <c r="J22" s="54" t="inlineStr">
        <is>
          <t>Aug</t>
        </is>
      </c>
      <c r="K22" s="54" t="inlineStr">
        <is>
          <t>Sep</t>
        </is>
      </c>
      <c r="L22" s="54" t="inlineStr">
        <is>
          <t>Oct</t>
        </is>
      </c>
      <c r="M22" s="54" t="inlineStr">
        <is>
          <t>Nov</t>
        </is>
      </c>
      <c r="N22" s="54" t="inlineStr">
        <is>
          <t>Dec</t>
        </is>
      </c>
      <c r="O22" s="54" t="inlineStr">
        <is>
          <t>YEAR</t>
        </is>
      </c>
      <c r="P22" s="43" t="n"/>
    </row>
    <row r="23" ht="30" customHeight="1" s="90">
      <c r="A23" s="6" t="n"/>
      <c r="B23" s="22" t="inlineStr">
        <is>
          <t>Web site hosting</t>
        </is>
      </c>
      <c r="C23" s="91" t="n">
        <v>0</v>
      </c>
      <c r="D23" s="91" t="n">
        <v>0</v>
      </c>
      <c r="E23" s="91" t="n">
        <v>0</v>
      </c>
      <c r="F23" s="91" t="n">
        <v>0</v>
      </c>
      <c r="G23" s="91" t="n">
        <v>0</v>
      </c>
      <c r="H23" s="91" t="n">
        <v>0</v>
      </c>
      <c r="I23" s="91" t="n">
        <v>500</v>
      </c>
      <c r="J23" s="91" t="n">
        <v>500</v>
      </c>
      <c r="K23" s="91" t="n">
        <v>500</v>
      </c>
      <c r="L23" s="91" t="n">
        <v>500</v>
      </c>
      <c r="M23" s="91" t="n">
        <v>500</v>
      </c>
      <c r="N23" s="91" t="n">
        <v>500</v>
      </c>
      <c r="O23" s="91" t="n">
        <v>3000</v>
      </c>
      <c r="P23" s="6" t="n"/>
    </row>
    <row r="24" ht="30" customHeight="1" s="90">
      <c r="A24" s="6" t="n"/>
      <c r="B24" s="22" t="inlineStr">
        <is>
          <t>Web site updates</t>
        </is>
      </c>
      <c r="C24" s="91" t="n">
        <v>0</v>
      </c>
      <c r="D24" s="91" t="n">
        <v>0</v>
      </c>
      <c r="E24" s="91" t="n">
        <v>0</v>
      </c>
      <c r="F24" s="91" t="n">
        <v>0</v>
      </c>
      <c r="G24" s="91" t="n">
        <v>0</v>
      </c>
      <c r="H24" s="91" t="n">
        <v>-500</v>
      </c>
      <c r="I24" s="91" t="n">
        <v>200</v>
      </c>
      <c r="J24" s="91" t="n">
        <v>200</v>
      </c>
      <c r="K24" s="91" t="n">
        <v>200</v>
      </c>
      <c r="L24" s="91" t="n">
        <v>200</v>
      </c>
      <c r="M24" s="91" t="n">
        <v>200</v>
      </c>
      <c r="N24" s="91" t="n">
        <v>1000</v>
      </c>
      <c r="O24" s="91" t="n">
        <v>1500</v>
      </c>
      <c r="P24" s="6" t="n"/>
    </row>
    <row r="25" ht="30" customHeight="1" s="90">
      <c r="A25" s="6" t="n"/>
      <c r="B25" s="22" t="inlineStr">
        <is>
          <t>Collateral preparation</t>
        </is>
      </c>
      <c r="C25" s="91" t="n">
        <v>200</v>
      </c>
      <c r="D25" s="91" t="n">
        <v>0</v>
      </c>
      <c r="E25" s="91" t="n">
        <v>0</v>
      </c>
      <c r="F25" s="91" t="n">
        <v>-500</v>
      </c>
      <c r="G25" s="91" t="n">
        <v>0</v>
      </c>
      <c r="H25" s="91" t="n">
        <v>0</v>
      </c>
      <c r="I25" s="91" t="n">
        <v>5000</v>
      </c>
      <c r="J25" s="91" t="n">
        <v>0</v>
      </c>
      <c r="K25" s="91" t="n">
        <v>0</v>
      </c>
      <c r="L25" s="91" t="n">
        <v>5000</v>
      </c>
      <c r="M25" s="91" t="n">
        <v>0</v>
      </c>
      <c r="N25" s="91" t="n">
        <v>0</v>
      </c>
      <c r="O25" s="91" t="n">
        <v>9700</v>
      </c>
      <c r="P25" s="6" t="n"/>
    </row>
    <row r="26" ht="30" customHeight="1" s="90">
      <c r="A26" s="6" t="n"/>
      <c r="B26" s="22" t="inlineStr">
        <is>
          <t>Collateral printing</t>
        </is>
      </c>
      <c r="C26" s="91" t="n">
        <v>100</v>
      </c>
      <c r="D26" s="91" t="n">
        <v>-300</v>
      </c>
      <c r="E26" s="91" t="n">
        <v>100</v>
      </c>
      <c r="F26" s="91" t="n">
        <v>100</v>
      </c>
      <c r="G26" s="91" t="n">
        <v>-400</v>
      </c>
      <c r="H26" s="91" t="n">
        <v>20</v>
      </c>
      <c r="I26" s="91" t="n">
        <v>200</v>
      </c>
      <c r="J26" s="91" t="n">
        <v>200</v>
      </c>
      <c r="K26" s="91" t="n">
        <v>200</v>
      </c>
      <c r="L26" s="91" t="n">
        <v>200</v>
      </c>
      <c r="M26" s="91" t="n">
        <v>200</v>
      </c>
      <c r="N26" s="91" t="n">
        <v>200</v>
      </c>
      <c r="O26" s="91" t="n">
        <v>820</v>
      </c>
      <c r="P26" s="6" t="n"/>
    </row>
    <row r="27" ht="30" customHeight="1" s="90">
      <c r="A27" s="6" t="n"/>
      <c r="B27" s="22" t="inlineStr">
        <is>
          <t>Marketing events</t>
        </is>
      </c>
      <c r="C27" s="91" t="n">
        <v>200</v>
      </c>
      <c r="D27" s="91" t="n">
        <v>-200</v>
      </c>
      <c r="E27" s="91" t="n">
        <v>-200</v>
      </c>
      <c r="F27" s="91" t="n">
        <v>300</v>
      </c>
      <c r="G27" s="91" t="n">
        <v>500</v>
      </c>
      <c r="H27" s="91" t="n">
        <v>-300</v>
      </c>
      <c r="I27" s="91" t="n">
        <v>2000</v>
      </c>
      <c r="J27" s="91" t="n">
        <v>5000</v>
      </c>
      <c r="K27" s="91" t="n">
        <v>2000</v>
      </c>
      <c r="L27" s="91" t="n">
        <v>2000</v>
      </c>
      <c r="M27" s="91" t="n">
        <v>2000</v>
      </c>
      <c r="N27" s="91" t="n">
        <v>5000</v>
      </c>
      <c r="O27" s="91" t="n">
        <v>18300</v>
      </c>
      <c r="P27" s="6" t="n"/>
    </row>
    <row r="28" ht="30" customHeight="1" s="90">
      <c r="A28" s="6" t="n"/>
      <c r="B28" s="22" t="inlineStr">
        <is>
          <t>Miscellaneous expenses</t>
        </is>
      </c>
      <c r="C28" s="91" t="n">
        <v>55</v>
      </c>
      <c r="D28" s="91" t="n">
        <v>44</v>
      </c>
      <c r="E28" s="91" t="n">
        <v>77</v>
      </c>
      <c r="F28" s="91" t="n">
        <v>-23</v>
      </c>
      <c r="G28" s="91" t="n">
        <v>13</v>
      </c>
      <c r="H28" s="91" t="n">
        <v>-45</v>
      </c>
      <c r="I28" s="91" t="n">
        <v>200</v>
      </c>
      <c r="J28" s="91" t="n">
        <v>200</v>
      </c>
      <c r="K28" s="91" t="n">
        <v>200</v>
      </c>
      <c r="L28" s="91" t="n">
        <v>200</v>
      </c>
      <c r="M28" s="91" t="n">
        <v>200</v>
      </c>
      <c r="N28" s="91" t="n">
        <v>200</v>
      </c>
      <c r="O28" s="91" t="n">
        <v>1321</v>
      </c>
      <c r="P28" s="6" t="n"/>
    </row>
    <row r="29" ht="30" customHeight="1" s="90">
      <c r="A29" s="6" t="n"/>
      <c r="B29" s="22" t="inlineStr">
        <is>
          <t>Subtotal</t>
        </is>
      </c>
      <c r="C29" s="91" t="n">
        <v>555</v>
      </c>
      <c r="D29" s="91" t="n">
        <v>-456</v>
      </c>
      <c r="E29" s="91" t="n">
        <v>-23</v>
      </c>
      <c r="F29" s="91" t="n">
        <v>-123</v>
      </c>
      <c r="G29" s="91" t="n">
        <v>113</v>
      </c>
      <c r="H29" s="91" t="n">
        <v>-825</v>
      </c>
      <c r="I29" s="91" t="n">
        <v>8100</v>
      </c>
      <c r="J29" s="91" t="n">
        <v>6100</v>
      </c>
      <c r="K29" s="91" t="n">
        <v>3100</v>
      </c>
      <c r="L29" s="91" t="n">
        <v>8100</v>
      </c>
      <c r="M29" s="91" t="n">
        <v>3100</v>
      </c>
      <c r="N29" s="91" t="n">
        <v>6900</v>
      </c>
      <c r="O29" s="91" t="n">
        <v>34641</v>
      </c>
      <c r="P29" s="6" t="n"/>
    </row>
    <row r="30" ht="30" customHeight="1" s="90">
      <c r="A30" s="6" t="n"/>
      <c r="B30" s="48" t="n"/>
      <c r="C30" s="24" t="n"/>
      <c r="D30" s="52" t="n"/>
      <c r="E30" s="52" t="n"/>
      <c r="F30" s="52" t="n"/>
      <c r="G30" s="52" t="n"/>
      <c r="H30" s="52" t="n"/>
      <c r="I30" s="52" t="n"/>
      <c r="J30" s="52" t="n"/>
      <c r="K30" s="52" t="n"/>
      <c r="L30" s="52" t="n"/>
      <c r="M30" s="52" t="n"/>
      <c r="N30" s="52" t="n"/>
      <c r="O30" s="53" t="n"/>
      <c r="P30" s="6" t="n"/>
    </row>
    <row r="31" ht="40.15" customFormat="1" customHeight="1" s="47">
      <c r="A31" s="43" t="n"/>
      <c r="B31" s="21" t="inlineStr">
        <is>
          <t>Training/travel</t>
        </is>
      </c>
      <c r="C31" s="54" t="inlineStr">
        <is>
          <t>Jan</t>
        </is>
      </c>
      <c r="D31" s="54" t="inlineStr">
        <is>
          <t>Feb</t>
        </is>
      </c>
      <c r="E31" s="55" t="inlineStr">
        <is>
          <t>Mar</t>
        </is>
      </c>
      <c r="F31" s="54" t="inlineStr">
        <is>
          <t>Apr</t>
        </is>
      </c>
      <c r="G31" s="54" t="inlineStr">
        <is>
          <t>May</t>
        </is>
      </c>
      <c r="H31" s="54" t="inlineStr">
        <is>
          <t>Jun</t>
        </is>
      </c>
      <c r="I31" s="54" t="inlineStr">
        <is>
          <t>Jul</t>
        </is>
      </c>
      <c r="J31" s="54" t="inlineStr">
        <is>
          <t>Aug</t>
        </is>
      </c>
      <c r="K31" s="54" t="inlineStr">
        <is>
          <t>Sep</t>
        </is>
      </c>
      <c r="L31" s="54" t="inlineStr">
        <is>
          <t>Oct</t>
        </is>
      </c>
      <c r="M31" s="54" t="inlineStr">
        <is>
          <t>Nov</t>
        </is>
      </c>
      <c r="N31" s="54" t="inlineStr">
        <is>
          <t>Dec</t>
        </is>
      </c>
      <c r="O31" s="54" t="inlineStr">
        <is>
          <t>YEAR</t>
        </is>
      </c>
      <c r="P31" s="43" t="n"/>
    </row>
    <row r="32" ht="30" customHeight="1" s="90">
      <c r="A32" s="6" t="n"/>
      <c r="B32" s="22" t="inlineStr">
        <is>
          <t>Training classes</t>
        </is>
      </c>
      <c r="C32" s="91" t="n">
        <v>400</v>
      </c>
      <c r="D32" s="91" t="n">
        <v>-400</v>
      </c>
      <c r="E32" s="91" t="n">
        <v>600</v>
      </c>
      <c r="F32" s="91" t="n">
        <v>400</v>
      </c>
      <c r="G32" s="91" t="n">
        <v>800</v>
      </c>
      <c r="H32" s="91" t="n">
        <v>-800</v>
      </c>
      <c r="I32" s="91" t="n">
        <v>2000</v>
      </c>
      <c r="J32" s="91" t="n">
        <v>2000</v>
      </c>
      <c r="K32" s="91" t="n">
        <v>2000</v>
      </c>
      <c r="L32" s="91" t="n">
        <v>2000</v>
      </c>
      <c r="M32" s="91" t="n">
        <v>2000</v>
      </c>
      <c r="N32" s="91" t="n">
        <v>2000</v>
      </c>
      <c r="O32" s="91" t="n">
        <v>13000</v>
      </c>
      <c r="P32" s="6" t="n"/>
    </row>
    <row r="33" ht="30" customHeight="1" s="90">
      <c r="A33" s="6" t="n"/>
      <c r="B33" s="22" t="inlineStr">
        <is>
          <t>Training-related travel costs</t>
        </is>
      </c>
      <c r="C33" s="91" t="n">
        <v>800</v>
      </c>
      <c r="D33" s="91" t="n">
        <v>-200</v>
      </c>
      <c r="E33" s="91" t="n">
        <v>600</v>
      </c>
      <c r="F33" s="91" t="n">
        <v>800</v>
      </c>
      <c r="G33" s="91" t="n">
        <v>1200</v>
      </c>
      <c r="H33" s="91" t="n">
        <v>-1500</v>
      </c>
      <c r="I33" s="91" t="n">
        <v>2000</v>
      </c>
      <c r="J33" s="91" t="n">
        <v>2000</v>
      </c>
      <c r="K33" s="91" t="n">
        <v>2000</v>
      </c>
      <c r="L33" s="91" t="n">
        <v>2000</v>
      </c>
      <c r="M33" s="91" t="n">
        <v>2000</v>
      </c>
      <c r="N33" s="91" t="n">
        <v>2000</v>
      </c>
      <c r="O33" s="91" t="n">
        <v>13700</v>
      </c>
      <c r="P33" s="6" t="n"/>
    </row>
    <row r="34" ht="30" customHeight="1" s="90">
      <c r="A34" s="6" t="n"/>
      <c r="B34" s="22" t="inlineStr">
        <is>
          <t>Subtotal</t>
        </is>
      </c>
      <c r="C34" s="91" t="n">
        <v>1200</v>
      </c>
      <c r="D34" s="91" t="n">
        <v>-600</v>
      </c>
      <c r="E34" s="91" t="n">
        <v>1200</v>
      </c>
      <c r="F34" s="91" t="n">
        <v>1200</v>
      </c>
      <c r="G34" s="91" t="n">
        <v>2000</v>
      </c>
      <c r="H34" s="91" t="n">
        <v>-2300</v>
      </c>
      <c r="I34" s="91" t="n">
        <v>4000</v>
      </c>
      <c r="J34" s="91" t="n">
        <v>4000</v>
      </c>
      <c r="K34" s="91" t="n">
        <v>4000</v>
      </c>
      <c r="L34" s="91" t="n">
        <v>4000</v>
      </c>
      <c r="M34" s="91" t="n">
        <v>4000</v>
      </c>
      <c r="N34" s="91" t="n">
        <v>4000</v>
      </c>
      <c r="O34" s="91" t="n">
        <v>26700</v>
      </c>
      <c r="P34" s="6" t="n"/>
    </row>
    <row r="35" ht="30" customHeight="1" s="90">
      <c r="A35" s="6" t="n"/>
      <c r="B35" s="48" t="n"/>
      <c r="C35" s="24" t="n"/>
      <c r="D35" s="53" t="n"/>
      <c r="E35" s="53" t="n"/>
      <c r="F35" s="53" t="n"/>
      <c r="G35" s="53" t="n"/>
      <c r="H35" s="53" t="n"/>
      <c r="I35" s="53" t="n"/>
      <c r="J35" s="53" t="n"/>
      <c r="K35" s="53" t="n"/>
      <c r="L35" s="53" t="n"/>
      <c r="M35" s="53" t="n"/>
      <c r="N35" s="53" t="n"/>
      <c r="O35" s="53" t="n"/>
      <c r="P35" s="6" t="n"/>
    </row>
    <row r="36" ht="40.15" customFormat="1" customHeight="1" s="47">
      <c r="A36" s="43" t="n"/>
      <c r="B36" s="44" t="inlineStr">
        <is>
          <t>Totals</t>
        </is>
      </c>
      <c r="C36" s="45" t="inlineStr">
        <is>
          <t>Jan</t>
        </is>
      </c>
      <c r="D36" s="45" t="inlineStr">
        <is>
          <t>Feb</t>
        </is>
      </c>
      <c r="E36" s="45" t="inlineStr">
        <is>
          <t>Mar</t>
        </is>
      </c>
      <c r="F36" s="45" t="inlineStr">
        <is>
          <t>Apr</t>
        </is>
      </c>
      <c r="G36" s="45" t="inlineStr">
        <is>
          <t>May</t>
        </is>
      </c>
      <c r="H36" s="45" t="inlineStr">
        <is>
          <t>Jun</t>
        </is>
      </c>
      <c r="I36" s="45" t="inlineStr">
        <is>
          <t>Jul</t>
        </is>
      </c>
      <c r="J36" s="45" t="inlineStr">
        <is>
          <t>Aug</t>
        </is>
      </c>
      <c r="K36" s="45" t="inlineStr">
        <is>
          <t>Sep</t>
        </is>
      </c>
      <c r="L36" s="45" t="inlineStr">
        <is>
          <t>Oct</t>
        </is>
      </c>
      <c r="M36" s="45" t="inlineStr">
        <is>
          <t>Nov</t>
        </is>
      </c>
      <c r="N36" s="45" t="inlineStr">
        <is>
          <t>Dec</t>
        </is>
      </c>
      <c r="O36" s="45" t="inlineStr">
        <is>
          <t>Year</t>
        </is>
      </c>
      <c r="P36" s="43" t="n"/>
    </row>
    <row r="37" ht="30" customHeight="1" s="90">
      <c r="A37" s="6" t="n"/>
      <c r="B37" s="22" t="inlineStr">
        <is>
          <t>Monthly variances</t>
        </is>
      </c>
      <c r="C37" s="91" t="n">
        <v>2038</v>
      </c>
      <c r="D37" s="91" t="n">
        <v>-984</v>
      </c>
      <c r="E37" s="91" t="n">
        <v>1255</v>
      </c>
      <c r="F37" s="91" t="n">
        <v>301</v>
      </c>
      <c r="G37" s="91" t="n">
        <v>1440</v>
      </c>
      <c r="H37" s="91" t="n">
        <v>-3744</v>
      </c>
      <c r="I37" s="91" t="n">
        <v>134695</v>
      </c>
      <c r="J37" s="91" t="n">
        <v>138918</v>
      </c>
      <c r="K37" s="91" t="n">
        <v>135918</v>
      </c>
      <c r="L37" s="91" t="n">
        <v>140918</v>
      </c>
      <c r="M37" s="91" t="n">
        <v>136218</v>
      </c>
      <c r="N37" s="91" t="n">
        <v>140018</v>
      </c>
      <c r="O37" s="91" t="n">
        <v>826991</v>
      </c>
      <c r="P37" s="6" t="n"/>
    </row>
    <row r="38" ht="30" customHeight="1" s="90">
      <c r="A38" s="6" t="n"/>
      <c r="B38" s="22" t="inlineStr">
        <is>
          <t>TOTAL variances</t>
        </is>
      </c>
      <c r="C38" s="91" t="n">
        <v>2038</v>
      </c>
      <c r="D38" s="91" t="n">
        <v>1054</v>
      </c>
      <c r="E38" s="91" t="n">
        <v>2309</v>
      </c>
      <c r="F38" s="91" t="n">
        <v>2610</v>
      </c>
      <c r="G38" s="91" t="n">
        <v>4050</v>
      </c>
      <c r="H38" s="91" t="n">
        <v>306</v>
      </c>
      <c r="I38" s="91" t="n">
        <v>135001</v>
      </c>
      <c r="J38" s="91" t="n">
        <v>273919</v>
      </c>
      <c r="K38" s="91" t="n">
        <v>409837</v>
      </c>
      <c r="L38" s="91" t="n">
        <v>550755</v>
      </c>
      <c r="M38" s="91" t="n">
        <v>686973</v>
      </c>
      <c r="N38" s="91" t="n">
        <v>826991</v>
      </c>
      <c r="O38" s="91" t="n"/>
      <c r="P38" s="6" t="n"/>
    </row>
    <row r="39" ht="30" customHeight="1" s="90">
      <c r="A39" s="6" t="n"/>
      <c r="B39" s="36" t="n"/>
      <c r="C39" s="36" t="n"/>
      <c r="D39" s="36" t="n"/>
      <c r="E39" s="36" t="n"/>
      <c r="F39" s="36" t="n"/>
      <c r="G39" s="36" t="n"/>
      <c r="H39" s="36" t="n"/>
      <c r="I39" s="36" t="n"/>
      <c r="J39" s="36" t="n"/>
      <c r="K39" s="36" t="n"/>
      <c r="L39" s="36" t="n"/>
      <c r="M39" s="36" t="n"/>
      <c r="N39" s="36" t="n"/>
      <c r="O39" s="36" t="n"/>
      <c r="P39" s="6" t="n"/>
    </row>
  </sheetData>
  <mergeCells count="1">
    <mergeCell ref="B2:E3"/>
  </mergeCells>
  <conditionalFormatting sqref="C7:O9">
    <cfRule type="cellIs" priority="5" operator="lessThan" dxfId="147">
      <formula>0</formula>
    </cfRule>
  </conditionalFormatting>
  <conditionalFormatting sqref="C12:O20">
    <cfRule type="cellIs" priority="4" operator="lessThan" dxfId="147">
      <formula>0</formula>
    </cfRule>
  </conditionalFormatting>
  <conditionalFormatting sqref="C23:O29">
    <cfRule type="cellIs" priority="3" operator="lessThan" dxfId="147">
      <formula>0</formula>
    </cfRule>
  </conditionalFormatting>
  <conditionalFormatting sqref="C32:O34">
    <cfRule type="cellIs" priority="2" operator="lessThan" dxfId="147">
      <formula>0</formula>
    </cfRule>
  </conditionalFormatting>
  <conditionalFormatting sqref="C37:O38">
    <cfRule type="cellIs" priority="1" operator="lessThan" dxfId="147">
      <formula>0</formula>
    </cfRule>
  </conditionalFormatting>
  <dataValidations count="7">
    <dataValidation sqref="A6" showDropDown="0" showInputMessage="1" showErrorMessage="1" allowBlank="1" prompt="Variance in Employee Costs is auto calculated in Employee Variances table starting in cell at right. Next instruction is in cell A11."/>
    <dataValidation sqref="A11" showDropDown="0" showInputMessage="1" showErrorMessage="1" allowBlank="1" prompt="Variance in Office Costs is auto calculated in Office Variances table starting in cell at right. Next instruction is in cell A22."/>
    <dataValidation sqref="A22" showDropDown="0" showInputMessage="1" showErrorMessage="1" allowBlank="1" prompt="Variance in Marketing Costs is auto calculated in Marketing Variances table starting in cell at right. Next instruction is in cell A31."/>
    <dataValidation sqref="A31" showDropDown="0" showInputMessage="1" showErrorMessage="1" allowBlank="1" prompt="Variance in Training or Travel Costs is auto calculated in Training and Travel Variances table starting in cell at right. Next instruction is in cell A36."/>
    <dataValidation sqref="A36" showDropDown="0" showInputMessage="1" showErrorMessage="1" allowBlank="1" prompt="Expense Variances are auto calculated in Total Variance table starting in cell at right."/>
    <dataValidation sqref="A1" showDropDown="0" showInputMessage="1" showErrorMessage="1" allowBlank="1" prompt="Variances between planned and actual expenses are auto calculated in this worksheet. Instructions on how to use this worksheet are in cells in this column. Arrow down to get started."/>
    <dataValidation sqref="A2" showDropDown="0" showInputMessage="1" showErrorMessage="1" allowBlank="1" prompt="Company Name is auto updated in cell at right. Title of this worksheet is in cell O2. Replace placeholder with your company logo."/>
  </dataValidations>
  <printOptions horizontalCentered="1"/>
  <pageMargins left="0.4" right="0.4" top="0.4" bottom="0.4" header="0.3" footer="0.3"/>
  <pageSetup orientation="landscape" scale="53" fitToHeight="0"/>
  <headerFooter differentFirst="1">
    <oddHeader/>
    <oddFooter>&amp;L&amp;C&amp;R</oddFooter>
    <evenHeader/>
    <evenFooter/>
    <firstHeader/>
    <firstFooter/>
  </headerFooter>
  <tableParts count="5">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 xmlns:r="http://schemas.openxmlformats.org/officeDocument/2006/relationships" r:id="rId5"/>
  </tableParts>
</worksheet>
</file>

<file path=xl/worksheets/sheet5.xml><?xml version="1.0" encoding="utf-8"?>
<worksheet xmlns="http://schemas.openxmlformats.org/spreadsheetml/2006/main">
  <sheetPr codeName="Sheet5">
    <tabColor theme="4" tint="0.7999816888943144"/>
    <outlinePr summaryBelow="1" summaryRight="1"/>
    <pageSetUpPr autoPageBreaks="0" fitToPage="1"/>
  </sheetPr>
  <dimension ref="A1:G37"/>
  <sheetViews>
    <sheetView showGridLines="0" zoomScaleNormal="100" workbookViewId="0">
      <selection activeCell="A1" sqref="A1"/>
    </sheetView>
  </sheetViews>
  <sheetFormatPr baseColWidth="8" defaultColWidth="8.875" defaultRowHeight="18"/>
  <cols>
    <col width="4" customWidth="1" style="79" min="1" max="1"/>
    <col width="36.625" customWidth="1" style="71" min="2" max="2"/>
    <col width="28.625" customWidth="1" style="71" min="3" max="5"/>
    <col width="28.625" customWidth="1" style="82" min="6" max="6"/>
    <col width="4" customWidth="1" style="59" min="7" max="7"/>
    <col width="8.875" customWidth="1" style="71" min="8" max="16384"/>
  </cols>
  <sheetData>
    <row r="1" ht="20.1" customFormat="1" customHeight="1" s="59">
      <c r="A1" s="56" t="n"/>
      <c r="B1" s="57" t="n"/>
      <c r="C1" s="57" t="n"/>
      <c r="D1" s="57" t="n"/>
      <c r="E1" s="57" t="n"/>
      <c r="F1" s="58" t="n"/>
      <c r="G1" s="57" t="n"/>
    </row>
    <row r="2" ht="100.15" customFormat="1" customHeight="1" s="59">
      <c r="A2" s="2" t="n"/>
      <c r="B2" s="86" t="inlineStr">
        <is>
          <t>SBO Banking</t>
        </is>
      </c>
      <c r="E2" s="60" t="n"/>
      <c r="F2" s="61" t="n"/>
      <c r="G2" s="62" t="n"/>
    </row>
    <row r="3" ht="19.9" customFormat="1" customHeight="1" s="59">
      <c r="A3" s="56" t="n"/>
      <c r="E3" s="61" t="n"/>
      <c r="F3" s="63" t="inlineStr">
        <is>
          <t>Detailed expense estimates</t>
        </is>
      </c>
      <c r="G3" s="61" t="n"/>
    </row>
    <row r="4" ht="30" customFormat="1" customHeight="1" s="59">
      <c r="A4" s="56" t="n"/>
      <c r="B4" s="64" t="n"/>
      <c r="C4" s="64" t="n"/>
      <c r="D4" s="64" t="n"/>
      <c r="E4" s="61" t="n"/>
      <c r="F4" s="65" t="n"/>
      <c r="G4" s="61" t="n"/>
    </row>
    <row r="5" ht="40.15" customFormat="1" customHeight="1" s="68">
      <c r="A5" s="56" t="n"/>
      <c r="B5" s="66" t="inlineStr">
        <is>
          <t>Expense category</t>
        </is>
      </c>
      <c r="C5" s="67" t="inlineStr">
        <is>
          <t>Planned expenses</t>
        </is>
      </c>
      <c r="D5" s="67" t="inlineStr">
        <is>
          <t>Actual expenses</t>
        </is>
      </c>
      <c r="E5" s="67" t="inlineStr">
        <is>
          <t>Expense variances</t>
        </is>
      </c>
      <c r="F5" s="67" t="inlineStr">
        <is>
          <t>Variance percentage</t>
        </is>
      </c>
      <c r="G5" s="61" t="n"/>
    </row>
    <row r="6" ht="30" customHeight="1" s="90">
      <c r="A6" s="56" t="n"/>
      <c r="B6" s="22" t="inlineStr">
        <is>
          <t>Employee costs</t>
        </is>
      </c>
      <c r="C6" s="92" t="n">
        <v>1355090</v>
      </c>
      <c r="D6" s="92" t="n">
        <v>659130</v>
      </c>
      <c r="E6" s="92" t="n">
        <v>695960</v>
      </c>
      <c r="F6" s="70" t="n">
        <v>0.5135895032802249</v>
      </c>
      <c r="G6" s="61" t="n"/>
    </row>
    <row r="7" ht="30" customHeight="1" s="90">
      <c r="A7" s="56" t="n"/>
      <c r="B7" s="22" t="inlineStr">
        <is>
          <t>Office costs</t>
        </is>
      </c>
      <c r="C7" s="92" t="n">
        <v>139040</v>
      </c>
      <c r="D7" s="92" t="n">
        <v>69350</v>
      </c>
      <c r="E7" s="92" t="n">
        <v>69690</v>
      </c>
      <c r="F7" s="70" t="n">
        <v>0.5012226697353279</v>
      </c>
      <c r="G7" s="61" t="n"/>
    </row>
    <row r="8" ht="30" customHeight="1" s="90">
      <c r="A8" s="56" t="n"/>
      <c r="B8" s="22" t="inlineStr">
        <is>
          <t>Marketing costs</t>
        </is>
      </c>
      <c r="C8" s="92" t="n">
        <v>67800</v>
      </c>
      <c r="D8" s="92" t="n">
        <v>33159</v>
      </c>
      <c r="E8" s="92" t="n">
        <v>34641</v>
      </c>
      <c r="F8" s="70" t="n">
        <v>0.510929203539823</v>
      </c>
      <c r="G8" s="61" t="n"/>
    </row>
    <row r="9" ht="30" customHeight="1" s="90">
      <c r="A9" s="56" t="n"/>
      <c r="B9" s="22" t="inlineStr">
        <is>
          <t>Training/travel</t>
        </is>
      </c>
      <c r="C9" s="92" t="n">
        <v>48000</v>
      </c>
      <c r="D9" s="92" t="n">
        <v>21300</v>
      </c>
      <c r="E9" s="92" t="n">
        <v>26700</v>
      </c>
      <c r="F9" s="70" t="n">
        <v>0.55625</v>
      </c>
      <c r="G9" s="61" t="n"/>
    </row>
    <row r="10" ht="30" customHeight="1" s="90">
      <c r="A10" s="56" t="n"/>
      <c r="B10" s="22" t="inlineStr">
        <is>
          <t>Totals</t>
        </is>
      </c>
      <c r="C10" s="92" t="n">
        <v>1609930</v>
      </c>
      <c r="D10" s="92" t="n">
        <v>782939</v>
      </c>
      <c r="E10" s="92" t="n">
        <v>826991</v>
      </c>
      <c r="F10" s="70" t="n">
        <v>0.5136813401824925</v>
      </c>
      <c r="G10" s="61" t="n"/>
    </row>
    <row r="11" ht="21" customHeight="1" s="90">
      <c r="A11" s="56" t="n"/>
      <c r="B11" s="72" t="n"/>
      <c r="C11" s="93" t="n"/>
      <c r="D11" s="93" t="n"/>
      <c r="E11" s="93" t="n"/>
      <c r="F11" s="74" t="n"/>
      <c r="G11" s="61" t="n"/>
    </row>
    <row r="12" ht="300" customHeight="1" s="90">
      <c r="A12" s="56" t="n"/>
      <c r="B12" s="76" t="n"/>
      <c r="C12" s="76" t="n"/>
      <c r="D12" s="76" t="n"/>
      <c r="E12" s="76" t="n"/>
      <c r="F12" s="76" t="n"/>
      <c r="G12" s="61" t="n"/>
    </row>
    <row r="13" ht="18.75" customHeight="1" s="90">
      <c r="A13" s="56" t="n"/>
      <c r="B13" s="75" t="n"/>
      <c r="C13" s="76" t="n"/>
      <c r="D13" s="76" t="n"/>
      <c r="E13" s="76" t="n"/>
      <c r="F13" s="77" t="n"/>
      <c r="G13" s="61" t="n"/>
    </row>
    <row r="14" ht="21" customHeight="1" s="90">
      <c r="A14" s="56" t="n"/>
      <c r="B14" s="75" t="n"/>
      <c r="C14" s="78" t="n"/>
      <c r="D14" s="78" t="n"/>
      <c r="E14" s="78" t="n"/>
      <c r="F14" s="77" t="n"/>
      <c r="G14" s="61" t="n"/>
    </row>
    <row r="15" ht="24" customHeight="1" s="90">
      <c r="A15" s="56" t="n"/>
      <c r="B15" s="75" t="n"/>
      <c r="C15" s="78" t="n"/>
      <c r="D15" s="78" t="n"/>
      <c r="E15" s="78" t="n"/>
      <c r="F15" s="77" t="n"/>
      <c r="G15" s="61" t="n"/>
    </row>
    <row r="16" ht="24" customHeight="1" s="90">
      <c r="A16" s="56" t="n"/>
      <c r="B16" s="75" t="n"/>
      <c r="C16" s="78" t="n"/>
      <c r="D16" s="78" t="n"/>
      <c r="E16" s="78" t="n"/>
      <c r="F16" s="77" t="n"/>
      <c r="G16" s="61" t="n"/>
    </row>
    <row r="17" ht="24" customHeight="1" s="90">
      <c r="A17" s="56" t="n"/>
      <c r="B17" s="75" t="n"/>
      <c r="C17" s="78" t="n"/>
      <c r="D17" s="78" t="n"/>
      <c r="E17" s="78" t="n"/>
      <c r="F17" s="77" t="n"/>
      <c r="G17" s="61" t="n"/>
    </row>
    <row r="18" ht="24" customHeight="1" s="90">
      <c r="A18" s="56" t="n"/>
      <c r="B18" s="75" t="n"/>
      <c r="C18" s="78" t="n"/>
      <c r="D18" s="78" t="n"/>
      <c r="E18" s="78" t="n"/>
      <c r="F18" s="77" t="n"/>
      <c r="G18" s="61" t="n"/>
    </row>
    <row r="19" ht="24" customHeight="1" s="90">
      <c r="A19" s="56" t="n"/>
      <c r="B19" s="78" t="n"/>
      <c r="C19" s="78" t="n"/>
      <c r="D19" s="78" t="n"/>
      <c r="E19" s="78" t="n"/>
      <c r="F19" s="77" t="n"/>
      <c r="G19" s="61" t="n"/>
    </row>
    <row r="20" ht="24" customHeight="1" s="90">
      <c r="A20" s="56" t="n"/>
      <c r="B20" s="78" t="n"/>
      <c r="C20" s="78" t="n"/>
      <c r="D20" s="78" t="n"/>
      <c r="E20" s="78" t="n"/>
      <c r="F20" s="77" t="n"/>
      <c r="G20" s="61" t="n"/>
    </row>
    <row r="21" ht="24" customHeight="1" s="90">
      <c r="A21" s="56" t="n"/>
      <c r="B21" s="78" t="n"/>
      <c r="C21" s="78" t="n"/>
      <c r="D21" s="78" t="n"/>
      <c r="E21" s="78" t="n"/>
      <c r="F21" s="77" t="n"/>
      <c r="G21" s="61" t="n"/>
    </row>
    <row r="22" ht="24" customHeight="1" s="90">
      <c r="A22" s="56" t="n"/>
      <c r="B22" s="75" t="n"/>
      <c r="C22" s="78" t="n"/>
      <c r="D22" s="78" t="n"/>
      <c r="E22" s="78" t="n"/>
      <c r="F22" s="77" t="n"/>
      <c r="G22" s="61" t="n"/>
    </row>
    <row r="23" ht="24" customHeight="1" s="90">
      <c r="A23" s="56" t="n"/>
      <c r="B23" s="75" t="n"/>
      <c r="C23" s="78" t="n"/>
      <c r="D23" s="78" t="n"/>
      <c r="E23" s="78" t="n"/>
      <c r="F23" s="77" t="n"/>
      <c r="G23" s="61" t="n"/>
    </row>
    <row r="24" ht="24" customHeight="1" s="90">
      <c r="A24" s="56" t="n"/>
      <c r="B24" s="75" t="n"/>
      <c r="C24" s="78" t="n"/>
      <c r="D24" s="78" t="n"/>
      <c r="E24" s="78" t="n"/>
      <c r="F24" s="77" t="n"/>
      <c r="G24" s="61" t="n"/>
    </row>
    <row r="25" ht="24" customHeight="1" s="90">
      <c r="A25" s="56" t="n"/>
      <c r="B25" s="75" t="n"/>
      <c r="C25" s="78" t="n"/>
      <c r="D25" s="78" t="n"/>
      <c r="E25" s="78" t="n"/>
      <c r="F25" s="77" t="n"/>
      <c r="G25" s="61" t="n"/>
    </row>
    <row r="26" ht="24" customHeight="1" s="90">
      <c r="A26" s="56" t="n"/>
      <c r="B26" s="75" t="n"/>
      <c r="C26" s="78" t="n"/>
      <c r="D26" s="78" t="n"/>
      <c r="E26" s="78" t="n"/>
      <c r="F26" s="77" t="n"/>
      <c r="G26" s="61" t="n"/>
    </row>
    <row r="27" ht="24" customHeight="1" s="90">
      <c r="A27" s="56" t="n"/>
      <c r="B27" s="75" t="n"/>
      <c r="C27" s="78" t="n"/>
      <c r="D27" s="78" t="n"/>
      <c r="E27" s="78" t="n"/>
      <c r="F27" s="77" t="n"/>
      <c r="G27" s="61" t="n"/>
    </row>
    <row r="28" ht="24" customHeight="1" s="90">
      <c r="A28" s="56" t="n"/>
      <c r="B28" s="78" t="n"/>
      <c r="C28" s="78" t="n"/>
      <c r="D28" s="78" t="n"/>
      <c r="E28" s="78" t="n"/>
      <c r="F28" s="77" t="n"/>
      <c r="G28" s="61" t="n"/>
    </row>
    <row r="29" ht="24" customHeight="1" s="90">
      <c r="A29" s="56" t="n"/>
      <c r="B29" s="78" t="n"/>
      <c r="C29" s="78" t="n"/>
      <c r="D29" s="78" t="n"/>
      <c r="E29" s="78" t="n"/>
      <c r="F29" s="77" t="n"/>
      <c r="G29" s="61" t="n"/>
    </row>
    <row r="30" ht="24" customHeight="1" s="90">
      <c r="A30" s="56" t="n"/>
      <c r="B30" s="78" t="n"/>
      <c r="C30" s="78" t="n"/>
      <c r="D30" s="78" t="n"/>
      <c r="E30" s="78" t="n"/>
      <c r="F30" s="77" t="n"/>
      <c r="G30" s="61" t="n"/>
    </row>
    <row r="31" ht="24" customHeight="1" s="90">
      <c r="A31" s="56" t="n"/>
      <c r="B31" s="75" t="n"/>
      <c r="C31" s="78" t="n"/>
      <c r="D31" s="78" t="n"/>
      <c r="E31" s="78" t="n"/>
      <c r="F31" s="77" t="n"/>
      <c r="G31" s="61" t="n"/>
    </row>
    <row r="32" ht="24" customHeight="1" s="90">
      <c r="A32" s="56" t="n"/>
      <c r="B32" s="75" t="n"/>
      <c r="C32" s="78" t="n"/>
      <c r="D32" s="78" t="n"/>
      <c r="E32" s="78" t="n"/>
      <c r="F32" s="77" t="n"/>
      <c r="G32" s="61" t="n"/>
    </row>
    <row r="33" ht="24" customHeight="1" s="90">
      <c r="A33" s="56" t="n"/>
      <c r="B33" s="78" t="n"/>
      <c r="C33" s="78" t="n"/>
      <c r="D33" s="78" t="n"/>
      <c r="E33" s="78" t="n"/>
      <c r="F33" s="77" t="n"/>
      <c r="G33" s="61" t="n"/>
    </row>
    <row r="34" ht="24" customHeight="1" s="90">
      <c r="A34" s="56" t="n"/>
      <c r="B34" s="78" t="n"/>
      <c r="C34" s="78" t="n"/>
      <c r="D34" s="78" t="n"/>
      <c r="E34" s="78" t="n"/>
      <c r="F34" s="77" t="n"/>
      <c r="G34" s="61" t="n"/>
    </row>
    <row r="35" ht="24" customHeight="1" s="90">
      <c r="A35" s="56" t="n"/>
      <c r="B35" s="78" t="n"/>
      <c r="C35" s="78" t="n"/>
      <c r="D35" s="78" t="n"/>
      <c r="E35" s="78" t="n"/>
      <c r="F35" s="77" t="n"/>
      <c r="G35" s="61" t="n"/>
    </row>
    <row r="36" ht="30" customHeight="1" s="90">
      <c r="A36" s="56" t="n"/>
      <c r="B36" s="76" t="n"/>
      <c r="C36" s="76" t="n"/>
      <c r="D36" s="76" t="n"/>
      <c r="E36" s="76" t="n"/>
      <c r="F36" s="76" t="n"/>
      <c r="G36" s="61" t="n"/>
    </row>
    <row r="37">
      <c r="B37" s="80" t="n"/>
      <c r="C37" s="81" t="n"/>
      <c r="D37" s="81" t="n"/>
      <c r="E37" s="81" t="n"/>
    </row>
  </sheetData>
  <mergeCells count="1">
    <mergeCell ref="B2:D3"/>
  </mergeCells>
  <dataValidations count="2">
    <dataValidation sqref="A1" showDropDown="0" showInputMessage="1" showErrorMessage="1" allowBlank="1" prompt="Annual Planned and Actual Expenses, Expense Variances, and Variance Percentage are auto updated for each Expense Category in this worksheet. Helpful instructions on how to use this worksheet are in cells in this column. Arrow down to get started. "/>
    <dataValidation sqref="A2" showDropDown="0" showInputMessage="1" showErrorMessage="1" allowBlank="1" prompt="Company Name is auto updated in cell at right. Title of this worksheet is in cell F3. Replace placeholder with your company logo."/>
  </dataValidations>
  <printOptions horizontalCentered="1"/>
  <pageMargins left="0.4" right="0.4" top="0.4" bottom="0.4" header="0.3" footer="0.3"/>
  <pageSetup orientation="portrait" scale="59"/>
  <drawing xmlns:r="http://schemas.openxmlformats.org/officeDocument/2006/relationships" r:id="rId1"/>
  <tableParts count="1">
    <tablePart xmlns:r="http://schemas.openxmlformats.org/officeDocument/2006/relationships" r:id="rId2"/>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terms="http://purl.org/dc/terms/" xmlns:xsi="http://www.w3.org/2001/XMLSchema-instance">
  <dcterms:created xsi:type="dcterms:W3CDTF">2023-08-07T14:21:33Z</dcterms:created>
  <dcterms:modified xsi:type="dcterms:W3CDTF">2026-03-05T08:49:46Z</dcterms:modifi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0x01010079F111ED35F8CC479449609E8A0923A6</vt:lpwstr>
  </property>
</Properties>
</file>