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Cache/pivotCacheDefinition3.xml" ContentType="application/vnd.openxmlformats-officedocument.spreadsheetml.pivotCacheDefinition+xml"/>
  <Override PartName="/xl/pivotTables/pivotTable3.xml" ContentType="application/vnd.openxmlformats-officedocument.spreadsheetml.pivotTable+xml"/>
  <Override PartName="/xl/pivotCache/pivotCacheDefinition4.xml" ContentType="application/vnd.openxmlformats-officedocument.spreadsheetml.pivotCacheDefinition+xml"/>
  <Override PartName="/xl/pivotTables/pivotTable4.xml" ContentType="application/vnd.openxmlformats-officedocument.spreadsheetml.pivot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720" tabRatio="843" firstSheet="0" activeTab="0" autoFilterDateGrouping="1"/>
  </bookViews>
  <sheets>
    <sheet name="Guide" sheetId="1" state="visible" r:id="rId1"/>
    <sheet name="Daily cash flow" sheetId="2" state="visible" r:id="rId2"/>
    <sheet name="Monthly cash flow" sheetId="3" state="visible" r:id="rId3"/>
    <sheet name="Annual cash flow" sheetId="4" state="visible" r:id="rId4"/>
    <sheet name="Income" sheetId="5" state="visible" r:id="rId5"/>
    <sheet name="Expenses" sheetId="6" state="visible" r:id="rId6"/>
    <sheet name="Discretionary" sheetId="7" state="visible" r:id="rId7"/>
    <sheet name="Savings" sheetId="8" state="visible" r:id="rId8"/>
  </sheets>
  <definedNames>
    <definedName name="_xlcn.WorksheetConnection_PersonalCashFlow.xlsxDiscretionary1" hidden="1">Discretionary[]</definedName>
    <definedName name="_xlcn.WorksheetConnection_PersonalCashFlow.xlsxExpenses1" hidden="1">Expenses[]</definedName>
    <definedName name="_xlcn.WorksheetConnection_PersonalCashFlow.xlsxIncome1" hidden="1">Income[]</definedName>
    <definedName name="_xlcn.WorksheetConnection_PersonalCashFlow.xlsxSavings1" hidden="1">Savings[]</definedName>
    <definedName name="AnnualCashFlowToDate">Income[[#Totals],[Annual  ]]-Expenses[[#Totals],[Annual  ]]-Discretionary[[#Totals],[Annual  ]]-Savings[[#Totals],[Annual  ]]</definedName>
    <definedName name="ColumnTitleRegion1..B6.1">Guide!$H$5</definedName>
    <definedName name="ColumnTitleRegion1..E8.4">'Daily cash flow'!$B$5</definedName>
    <definedName name="ColumnTitleRegion2..D6.1">Guide!$E$5</definedName>
    <definedName name="ColumnTitleRegion3..F6.1">Guide!$B$5</definedName>
    <definedName name="DailyCashFlow">SUM('Daily cash flow'!$C$6:$C$9)</definedName>
    <definedName name="MonthlyCashFlowToDate">Monthly[[#Totals],[Total]]</definedName>
    <definedName name="RowTitleRegion1..D2.2">'Annual cash flow'!$B$2</definedName>
    <definedName name="RowTitleRegion1..D2.3">'Monthly cash flow'!$B$2</definedName>
    <definedName name="RowTitleRegion1..D2.4">'Daily cash flow'!$B$2</definedName>
    <definedName name="RowTitleRegion1..D2.5">Income!$B$2</definedName>
    <definedName name="RowTitleRegion1..D2.6">Expenses!$B$2</definedName>
    <definedName name="RowTitleRegion1..D2.7">Discretionary!$B$2</definedName>
    <definedName name="RowTitleRegion1..D2.8">Savings!$B$2</definedName>
    <definedName name="RowTitleRegion2..C4.2">'Annual cash flow'!$B$5</definedName>
    <definedName name="RowTitleRegion3..G4.2">'Annual cash flow'!$F$5</definedName>
    <definedName name="RowTitleRegion4..K4.2">'Annual cash flow'!$J$5</definedName>
    <definedName name="RowTitleRegion5..O4.2">'Annual cash flow'!$N$5</definedName>
    <definedName name="RowTitleRegion6..C6.2">'Annual cash flow'!$B$8</definedName>
    <definedName name="RowTitleRegion7..G6.2">'Annual cash flow'!$F$8</definedName>
    <definedName name="RowTitleRegion8..K6.2">'Annual cash flow'!$J$8</definedName>
    <definedName name="RowTitleRegion9..O6.2">'Annual cash flow'!$N$8</definedName>
    <definedName name="Title3">Monthly[[#Headers],[Type]]</definedName>
    <definedName name="Title4">Daily[[#Headers],[Type]]</definedName>
    <definedName name="Title5">Income[[#Headers],[Income]]</definedName>
    <definedName name="Title6">Expenses[[#Headers],[Expenses]]</definedName>
    <definedName name="Title7">Discretionary[[#Headers],[Expenses]]</definedName>
    <definedName name="Type8">Savings[[#Headers],[Savings]]</definedName>
    <definedName name="_xlnm.Print_Titles" localSheetId="1">'Daily cash flow'!$11:$11</definedName>
    <definedName name="_xlnm.Print_Titles" localSheetId="2">'Monthly cash flow'!$4:$4</definedName>
  </definedNames>
  <calcPr calcId="191028" fullCalcOnLoad="1"/>
  <pivotCaches>
    <pivotCache cacheId="6015" r:id="rId9"/>
    <pivotCache cacheId="6014" r:id="rId10"/>
    <pivotCache cacheId="6012" r:id="rId11"/>
    <pivotCache cacheId="6013" r:id="rId12"/>
  </pivotCaches>
</workbook>
</file>

<file path=xl/styles.xml><?xml version="1.0" encoding="utf-8"?>
<styleSheet xmlns="http://schemas.openxmlformats.org/spreadsheetml/2006/main">
  <numFmts count="8">
    <numFmt numFmtId="164" formatCode="&quot;$&quot;#,##0.00"/>
    <numFmt numFmtId="165" formatCode="_)@"/>
    <numFmt numFmtId="166" formatCode="&quot;$&quot;#,##0.00_);\(&quot;$&quot;#,##0.00\)"/>
    <numFmt numFmtId="167" formatCode="&quot;$&quot;#,##0"/>
    <numFmt numFmtId="168" formatCode="&quot;$&quot;#,##0_);\(&quot;$&quot;#,##0\)"/>
    <numFmt numFmtId="169" formatCode="_ * #,##0_ ;_ * \-#,##0_ ;_ * &quot;-&quot;_ ;_ @_ "/>
    <numFmt numFmtId="170" formatCode="_ &quot;₹&quot;\ * #,##0.00_ ;_ &quot;₹&quot;\ * \-#,##0.00_ ;_ &quot;₹&quot;\ * &quot;-&quot;??_ ;_ @_ "/>
    <numFmt numFmtId="171" formatCode="_ &quot;₹&quot;\ * #,##0_ ;_ &quot;₹&quot;\ * \-#,##0_ ;_ &quot;₹&quot;\ * &quot;-&quot;_ ;_ @_ "/>
  </numFmts>
  <fonts count="45">
    <font>
      <name val="Lucida Sans"/>
      <family val="2"/>
      <sz val="11"/>
      <scheme val="minor"/>
    </font>
    <font>
      <name val="Cambria"/>
      <family val="2"/>
      <b val="1"/>
      <color theme="5" tint="-0.249946592608417"/>
      <sz val="24"/>
      <scheme val="major"/>
    </font>
    <font>
      <name val="Cambria"/>
      <family val="2"/>
      <b val="1"/>
      <color theme="3" tint="0.249946592608417"/>
      <sz val="14"/>
      <scheme val="major"/>
    </font>
    <font>
      <name val="Cambria"/>
      <family val="2"/>
      <b val="1"/>
      <color theme="3" tint="0.249946592608417"/>
      <sz val="11"/>
      <scheme val="major"/>
    </font>
    <font>
      <name val="Cambria"/>
      <family val="2"/>
      <b val="1"/>
      <color theme="3" tint="0.249946592608417"/>
      <sz val="12"/>
      <scheme val="major"/>
    </font>
    <font>
      <name val="Cambria"/>
      <family val="2"/>
      <color theme="3" tint="0.249946592608417"/>
      <sz val="36"/>
      <scheme val="major"/>
    </font>
    <font>
      <name val="Lucida Sans"/>
      <family val="2"/>
      <b val="1"/>
      <color theme="1"/>
      <sz val="11"/>
      <scheme val="minor"/>
    </font>
    <font>
      <name val="Lucida Sans"/>
      <family val="2"/>
      <sz val="11"/>
      <scheme val="minor"/>
    </font>
    <font>
      <name val="Lucida Sans"/>
      <family val="2"/>
      <i val="1"/>
      <color theme="1" tint="0.3499862666707358"/>
      <sz val="11"/>
      <scheme val="minor"/>
    </font>
    <font>
      <name val="Lucida Sans"/>
      <family val="2"/>
      <b val="1"/>
      <color theme="3" tint="0.8999603259376812"/>
      <sz val="16"/>
      <scheme val="minor"/>
    </font>
    <font>
      <name val="Lucida Sans"/>
      <family val="2"/>
      <color theme="3" tint="0.249977111117893"/>
      <sz val="11"/>
      <scheme val="minor"/>
    </font>
    <font>
      <name val="Lucida Sans"/>
      <family val="2"/>
      <color theme="6" tint="0.7999816888943144"/>
      <sz val="11"/>
      <scheme val="minor"/>
    </font>
    <font>
      <name val="Lucida Sans"/>
      <family val="2"/>
      <b val="1"/>
      <color theme="3" tint="0.8999603259376812"/>
      <sz val="12"/>
      <scheme val="minor"/>
    </font>
    <font>
      <name val="Lucida Sans"/>
      <family val="2"/>
      <b val="1"/>
      <color rgb="FF57574D"/>
      <sz val="16"/>
      <scheme val="minor"/>
    </font>
    <font>
      <name val="Lucida Sans"/>
      <family val="2"/>
      <b val="1"/>
      <color theme="3" tint="0.8999298074282052"/>
      <sz val="12"/>
      <scheme val="minor"/>
    </font>
    <font>
      <name val="Lucida Sans"/>
      <family val="2"/>
      <color theme="3" tint="0.249946592608417"/>
      <sz val="11"/>
      <scheme val="minor"/>
    </font>
    <font>
      <name val="Cambria"/>
      <family val="1"/>
      <color theme="3" tint="0.249946592608417"/>
      <sz val="36"/>
      <scheme val="major"/>
    </font>
    <font>
      <name val="Cambria"/>
      <family val="1"/>
      <sz val="11"/>
      <scheme val="major"/>
    </font>
    <font>
      <name val="Lucida Sans"/>
      <family val="2"/>
      <color theme="3" tint="0.8999603259376812"/>
      <sz val="16"/>
      <scheme val="minor"/>
    </font>
    <font>
      <name val="Lucida Sans"/>
      <family val="2"/>
      <b val="1"/>
      <color theme="3" tint="0.8999603259376812"/>
      <sz val="11"/>
      <scheme val="minor"/>
    </font>
    <font>
      <name val="Cambria"/>
      <family val="1"/>
      <color theme="3" tint="0.249946592608417"/>
      <sz val="16"/>
      <scheme val="major"/>
    </font>
    <font>
      <name val="Cambria"/>
      <family val="1"/>
      <sz val="16"/>
      <scheme val="major"/>
    </font>
    <font>
      <name val="Cambria"/>
      <family val="1"/>
      <sz val="36"/>
      <scheme val="major"/>
    </font>
    <font>
      <name val="Cambria"/>
      <family val="1"/>
      <color theme="0"/>
      <sz val="16"/>
      <scheme val="major"/>
    </font>
    <font>
      <name val="Lucida Sans"/>
      <family val="2"/>
      <b val="1"/>
      <color theme="3" tint="0.8999603259376812"/>
      <sz val="8"/>
      <scheme val="minor"/>
    </font>
    <font>
      <name val="Lucida Sans"/>
      <family val="2"/>
      <b val="1"/>
      <color theme="5" tint="-0.249946592608417"/>
      <sz val="24"/>
      <scheme val="minor"/>
    </font>
    <font>
      <name val="Cambria"/>
      <family val="1"/>
      <b val="1"/>
      <color theme="5" tint="-0.249946592608417"/>
      <sz val="20"/>
      <scheme val="major"/>
    </font>
    <font>
      <name val="Cambria"/>
      <family val="1"/>
      <color theme="3" tint="0.249977111117893"/>
      <sz val="11"/>
      <scheme val="major"/>
    </font>
    <font>
      <name val="Cambria"/>
      <family val="1"/>
      <b val="1"/>
      <color rgb="FF57574D"/>
      <sz val="14"/>
      <scheme val="major"/>
    </font>
    <font>
      <name val="Cambria"/>
      <family val="1"/>
      <b val="1"/>
      <color theme="5" tint="-0.249946592608417"/>
      <sz val="18"/>
      <scheme val="major"/>
    </font>
    <font>
      <name val="Lucida Sans"/>
      <family val="2"/>
      <color theme="1" tint="0.249977111117893"/>
      <sz val="11"/>
      <scheme val="minor"/>
    </font>
    <font>
      <name val="Cambria"/>
      <family val="1"/>
      <color theme="1" tint="0.1499984740745262"/>
      <sz val="36"/>
      <scheme val="major"/>
    </font>
    <font>
      <name val="Cambria"/>
      <family val="1"/>
      <color theme="1" tint="0.1499984740745262"/>
      <sz val="16"/>
      <scheme val="major"/>
    </font>
    <font>
      <name val="Cambria"/>
      <family val="1"/>
      <color theme="1" tint="0.3499862666707358"/>
      <sz val="11"/>
      <scheme val="major"/>
    </font>
    <font>
      <name val="Lucida Sans"/>
      <family val="2"/>
      <color rgb="FF57574D"/>
      <sz val="16"/>
      <scheme val="minor"/>
    </font>
    <font>
      <name val="Cambria"/>
      <family val="1"/>
      <b val="1"/>
      <color theme="5" tint="-0.249946592608417"/>
      <sz val="24"/>
      <scheme val="major"/>
    </font>
    <font>
      <name val="Cambria"/>
      <family val="1"/>
      <color theme="1" tint="0.249977111117893"/>
      <sz val="16"/>
      <scheme val="major"/>
    </font>
    <font>
      <name val="Lucida Sans"/>
      <family val="2"/>
      <color theme="1" tint="0.249977111117893"/>
      <sz val="12"/>
      <scheme val="minor"/>
    </font>
    <font>
      <name val="Lucida Sans"/>
      <family val="2"/>
      <color theme="1" tint="0.249977111117893"/>
      <sz val="10"/>
      <scheme val="minor"/>
    </font>
    <font>
      <name val="Cambria"/>
      <family val="1"/>
      <color theme="1" tint="0.249977111117893"/>
      <sz val="11"/>
      <scheme val="major"/>
    </font>
    <font>
      <name val="Cambria"/>
      <family val="1"/>
      <color theme="1" tint="0.249977111117893"/>
      <sz val="12"/>
      <scheme val="major"/>
    </font>
    <font>
      <name val="Cambria"/>
      <family val="1"/>
      <color theme="1" tint="0.249977111117893"/>
      <sz val="14"/>
      <scheme val="major"/>
    </font>
    <font>
      <name val="Lucida Sans"/>
      <family val="2"/>
      <b val="1"/>
      <color theme="1" tint="0.249977111117893"/>
      <sz val="12"/>
      <scheme val="minor"/>
    </font>
    <font>
      <name val="Cambria"/>
      <family val="1"/>
      <b val="1"/>
      <color rgb="FF57574D"/>
      <sz val="16"/>
      <scheme val="major"/>
    </font>
    <font>
      <name val="Lucida Sans"/>
      <family val="2"/>
      <color theme="1" tint="0.3499862666707358"/>
      <sz val="11"/>
      <scheme val="minor"/>
    </font>
  </fonts>
  <fills count="13">
    <fill>
      <patternFill/>
    </fill>
    <fill>
      <patternFill patternType="gray125"/>
    </fill>
    <fill>
      <patternFill patternType="solid">
        <fgColor theme="3" tint="0.249946592608417"/>
        <bgColor indexed="64"/>
      </patternFill>
    </fill>
    <fill>
      <patternFill patternType="solid">
        <fgColor theme="3" tint="0.749961851863155"/>
        <bgColor indexed="64"/>
      </patternFill>
    </fill>
    <fill>
      <patternFill patternType="solid">
        <fgColor theme="8" tint="0.7999816888943144"/>
        <bgColor indexed="64"/>
      </patternFill>
    </fill>
    <fill>
      <patternFill patternType="solid">
        <fgColor theme="2"/>
        <bgColor indexed="64"/>
      </patternFill>
    </fill>
    <fill>
      <patternFill patternType="solid">
        <fgColor theme="4" tint="0.3999755851924192"/>
        <bgColor indexed="64"/>
      </patternFill>
    </fill>
    <fill>
      <patternFill patternType="solid">
        <fgColor theme="5" tint="0.5999938962981048"/>
        <bgColor indexed="64"/>
      </patternFill>
    </fill>
    <fill>
      <patternFill patternType="solid">
        <fgColor theme="4" tint="0.7999816888943144"/>
        <bgColor indexed="64"/>
      </patternFill>
    </fill>
    <fill>
      <patternFill patternType="solid">
        <fgColor rgb="FFFFFFCC"/>
      </patternFill>
    </fill>
    <fill>
      <patternFill patternType="solid">
        <fgColor theme="4" tint="-0.499984740745262"/>
        <bgColor indexed="64"/>
      </patternFill>
    </fill>
    <fill>
      <patternFill patternType="solid">
        <fgColor theme="5" tint="-0.249977111117893"/>
        <bgColor indexed="64"/>
      </patternFill>
    </fill>
    <fill>
      <patternFill patternType="solid">
        <fgColor theme="3" tint="0.749992370372631"/>
        <bgColor indexed="64"/>
      </patternFill>
    </fill>
  </fills>
  <borders count="13">
    <border>
      <left/>
      <right/>
      <top/>
      <bottom/>
      <diagonal/>
    </border>
    <border>
      <left/>
      <right/>
      <top/>
      <bottom style="thin">
        <color theme="3" tint="0.249946592608417"/>
      </bottom>
      <diagonal/>
    </border>
    <border>
      <left/>
      <right/>
      <top/>
      <bottom style="medium">
        <color theme="3" tint="0.249946592608417"/>
      </bottom>
      <diagonal/>
    </border>
    <border>
      <left style="thin">
        <color theme="1" tint="0.3499862666707358"/>
      </left>
      <right style="thin">
        <color theme="1" tint="0.3499862666707358"/>
      </right>
      <top style="thin">
        <color theme="1" tint="0.3499862666707358"/>
      </top>
      <bottom style="thin">
        <color theme="1" tint="0.3499862666707358"/>
      </bottom>
      <diagonal/>
    </border>
    <border>
      <left/>
      <right/>
      <top/>
      <bottom style="dashed">
        <color theme="3" tint="0.249946592608417"/>
      </bottom>
      <diagonal/>
    </border>
    <border>
      <left/>
      <right/>
      <top style="thin">
        <color theme="4" tint="-0.499984740745262"/>
      </top>
      <bottom style="double">
        <color theme="4" tint="-0.499984740745262"/>
      </bottom>
      <diagonal/>
    </border>
    <border>
      <left/>
      <right/>
      <top style="dashed">
        <color theme="3" tint="0.249946592608417"/>
      </top>
      <bottom/>
      <diagonal/>
    </border>
    <border>
      <left style="thin">
        <color auto="1"/>
      </left>
      <right style="thin">
        <color auto="1"/>
      </right>
      <top/>
      <bottom/>
      <diagonal/>
    </border>
    <border>
      <left/>
      <right/>
      <top style="medium">
        <color theme="3" tint="0.249946592608417"/>
      </top>
      <bottom style="hair">
        <color indexed="64"/>
      </bottom>
      <diagonal/>
    </border>
    <border>
      <left/>
      <right/>
      <top style="thin">
        <color theme="3" tint="0.249946592608417"/>
      </top>
      <bottom/>
      <diagonal/>
    </border>
    <border>
      <left/>
      <right/>
      <top style="thin">
        <color theme="3" tint="0.249946592608417"/>
      </top>
      <bottom style="thin">
        <color theme="3" tint="0.249946592608417"/>
      </bottom>
      <diagonal/>
    </border>
    <border>
      <left style="thin">
        <color theme="3" tint="0.249946592608417"/>
      </left>
      <right/>
      <top style="thin">
        <color theme="3" tint="0.249946592608417"/>
      </top>
      <bottom style="thin">
        <color theme="3" tint="0.249946592608417"/>
      </bottom>
      <diagonal/>
    </border>
    <border>
      <left/>
      <right/>
      <top style="dashed">
        <color theme="3" tint="0.249946592608417"/>
      </top>
      <bottom style="dashed">
        <color theme="3" tint="0.249946592608417"/>
      </bottom>
      <diagonal/>
    </border>
  </borders>
  <cellStyleXfs count="17">
    <xf numFmtId="0" fontId="7" fillId="5" borderId="0" applyAlignment="1">
      <alignment vertical="center" wrapText="1"/>
    </xf>
    <xf numFmtId="0" fontId="9" fillId="2" borderId="0" applyAlignment="1">
      <alignment vertical="center"/>
    </xf>
    <xf numFmtId="0" fontId="1" fillId="2" borderId="0" applyAlignment="1">
      <alignment horizontal="left" vertical="center"/>
    </xf>
    <xf numFmtId="0" fontId="2" fillId="0" borderId="1"/>
    <xf numFmtId="0" fontId="3" fillId="0" borderId="4" applyAlignment="1">
      <alignment vertical="center"/>
    </xf>
    <xf numFmtId="0" fontId="4" fillId="8" borderId="2" applyAlignment="1">
      <alignment horizontal="left"/>
    </xf>
    <xf numFmtId="0" fontId="5" fillId="5" borderId="0"/>
    <xf numFmtId="43" fontId="7" fillId="0" borderId="0"/>
    <xf numFmtId="169" fontId="7" fillId="0" borderId="0"/>
    <xf numFmtId="170" fontId="7" fillId="0" borderId="0"/>
    <xf numFmtId="171" fontId="7" fillId="0" borderId="0"/>
    <xf numFmtId="9" fontId="7" fillId="0" borderId="0"/>
    <xf numFmtId="0" fontId="7" fillId="9" borderId="3"/>
    <xf numFmtId="0" fontId="8" fillId="0" borderId="0"/>
    <xf numFmtId="0" fontId="6" fillId="0" borderId="5"/>
    <xf numFmtId="0" fontId="12" fillId="2" borderId="7" applyAlignment="1">
      <alignment horizontal="center" vertical="center" wrapText="1"/>
    </xf>
    <xf numFmtId="0" fontId="14" fillId="2" borderId="7" applyAlignment="1">
      <alignment horizontal="center" vertical="center" wrapText="1"/>
    </xf>
  </cellStyleXfs>
  <cellXfs count="138">
    <xf numFmtId="0" fontId="0" fillId="5" borderId="0" applyAlignment="1" pivotButton="0" quotePrefix="0" xfId="0">
      <alignment vertical="center" wrapText="1"/>
    </xf>
    <xf numFmtId="0" fontId="10" fillId="5" borderId="0" applyAlignment="1" pivotButton="0" quotePrefix="0" xfId="0">
      <alignment horizontal="left" vertical="top" wrapText="1" indent="1"/>
    </xf>
    <xf numFmtId="0" fontId="7" fillId="5" borderId="0" applyAlignment="1" pivotButton="0" quotePrefix="0" xfId="0">
      <alignment vertical="center" wrapText="1"/>
    </xf>
    <xf numFmtId="0" fontId="17" fillId="5" borderId="0" applyAlignment="1" pivotButton="0" quotePrefix="0" xfId="0">
      <alignment vertical="center" wrapText="1"/>
    </xf>
    <xf numFmtId="0" fontId="21" fillId="5" borderId="0" applyAlignment="1" pivotButton="0" quotePrefix="0" xfId="0">
      <alignment vertical="center" wrapText="1"/>
    </xf>
    <xf numFmtId="0" fontId="22" fillId="5" borderId="0" applyAlignment="1" pivotButton="0" quotePrefix="0" xfId="0">
      <alignment vertical="center" wrapText="1"/>
    </xf>
    <xf numFmtId="0" fontId="7" fillId="12" borderId="0" applyAlignment="1" pivotButton="0" quotePrefix="0" xfId="0">
      <alignment vertical="center" wrapText="1"/>
    </xf>
    <xf numFmtId="0" fontId="7" fillId="6" borderId="0" applyAlignment="1" pivotButton="0" quotePrefix="0" xfId="0">
      <alignment vertical="center" wrapText="1"/>
    </xf>
    <xf numFmtId="0" fontId="7" fillId="7" borderId="0" applyAlignment="1" pivotButton="0" quotePrefix="0" xfId="0">
      <alignment vertical="center" wrapText="1"/>
    </xf>
    <xf numFmtId="0" fontId="23" fillId="10" borderId="0" applyAlignment="1" pivotButton="0" quotePrefix="0" xfId="0">
      <alignment horizontal="left" vertical="center" indent="1"/>
    </xf>
    <xf numFmtId="0" fontId="23" fillId="11" borderId="0" applyAlignment="1" pivotButton="0" quotePrefix="0" xfId="0">
      <alignment horizontal="left" vertical="center" indent="1"/>
    </xf>
    <xf numFmtId="0" fontId="23" fillId="2" borderId="0" applyAlignment="1" pivotButton="0" quotePrefix="0" xfId="0">
      <alignment horizontal="left" vertical="center" indent="1"/>
    </xf>
    <xf numFmtId="0" fontId="16" fillId="5" borderId="0" pivotButton="0" quotePrefix="0" xfId="6"/>
    <xf numFmtId="0" fontId="19" fillId="2" borderId="10" applyAlignment="1" pivotButton="0" quotePrefix="0" xfId="1">
      <alignment vertical="center"/>
    </xf>
    <xf numFmtId="0" fontId="15" fillId="4" borderId="4" applyAlignment="1" pivotButton="0" quotePrefix="0" xfId="4">
      <alignment horizontal="left" vertical="center" indent="1"/>
    </xf>
    <xf numFmtId="0" fontId="15" fillId="4" borderId="4" applyAlignment="1" pivotButton="0" quotePrefix="0" xfId="4">
      <alignment horizontal="left" vertical="center" indent="1"/>
    </xf>
    <xf numFmtId="0" fontId="18" fillId="2" borderId="10" applyAlignment="1" pivotButton="0" quotePrefix="0" xfId="1">
      <alignment vertical="center"/>
    </xf>
    <xf numFmtId="0" fontId="19" fillId="2" borderId="11" applyAlignment="1" pivotButton="0" quotePrefix="0" xfId="1">
      <alignment vertical="center"/>
    </xf>
    <xf numFmtId="0" fontId="18" fillId="2" borderId="11" applyAlignment="1" pivotButton="0" quotePrefix="0" xfId="1">
      <alignment vertical="center"/>
    </xf>
    <xf numFmtId="0" fontId="28" fillId="5" borderId="0" applyAlignment="1" pivotButton="0" quotePrefix="0" xfId="0">
      <alignment horizontal="left" vertical="center" wrapText="1" indent="1"/>
    </xf>
    <xf numFmtId="164" fontId="26" fillId="5" borderId="0" applyAlignment="1" pivotButton="0" quotePrefix="0" xfId="2">
      <alignment horizontal="center" vertical="center"/>
    </xf>
    <xf numFmtId="0" fontId="27" fillId="5" borderId="0" applyAlignment="1" pivotButton="0" quotePrefix="0" xfId="0">
      <alignment horizontal="left" vertical="center" wrapText="1" indent="1"/>
    </xf>
    <xf numFmtId="0" fontId="21" fillId="5" borderId="0" applyAlignment="1" pivotButton="0" quotePrefix="0" xfId="0">
      <alignment horizontal="left" vertical="center" wrapText="1" indent="1"/>
    </xf>
    <xf numFmtId="0" fontId="27" fillId="5" borderId="0" applyAlignment="1" pivotButton="0" quotePrefix="0" xfId="0">
      <alignment vertical="center" wrapText="1"/>
    </xf>
    <xf numFmtId="0" fontId="30" fillId="5" borderId="0" applyAlignment="1" pivotButton="0" quotePrefix="0" xfId="0">
      <alignment horizontal="left" vertical="center" wrapText="1"/>
    </xf>
    <xf numFmtId="0" fontId="30" fillId="5" borderId="0" applyAlignment="1" pivotButton="0" quotePrefix="0" xfId="0">
      <alignment vertical="center" wrapText="1"/>
    </xf>
    <xf numFmtId="0" fontId="30" fillId="6" borderId="0" applyAlignment="1" pivotButton="0" quotePrefix="0" xfId="0">
      <alignment horizontal="left" vertical="top" wrapText="1" indent="1"/>
    </xf>
    <xf numFmtId="0" fontId="30" fillId="7" borderId="0" applyAlignment="1" pivotButton="0" quotePrefix="0" xfId="0">
      <alignment horizontal="left" vertical="top" wrapText="1" indent="1"/>
    </xf>
    <xf numFmtId="0" fontId="30" fillId="3" borderId="0" applyAlignment="1" pivotButton="0" quotePrefix="0" xfId="0">
      <alignment horizontal="left" vertical="top" wrapText="1" indent="1"/>
    </xf>
    <xf numFmtId="0" fontId="11" fillId="4" borderId="0" applyAlignment="1" pivotButton="0" quotePrefix="0" xfId="0">
      <alignment horizontal="center" vertical="center" wrapText="1"/>
    </xf>
    <xf numFmtId="0" fontId="24" fillId="2" borderId="11" applyAlignment="1" pivotButton="0" quotePrefix="0" xfId="1">
      <alignment vertical="center"/>
    </xf>
    <xf numFmtId="0" fontId="24" fillId="2" borderId="10" applyAlignment="1" pivotButton="0" quotePrefix="0" xfId="1">
      <alignment vertical="center"/>
    </xf>
    <xf numFmtId="0" fontId="13" fillId="5" borderId="0" applyAlignment="1" pivotButton="0" quotePrefix="0" xfId="0">
      <alignment horizontal="left" vertical="center" wrapText="1"/>
    </xf>
    <xf numFmtId="164" fontId="25" fillId="5" borderId="0" applyAlignment="1" pivotButton="0" quotePrefix="0" xfId="2">
      <alignment horizontal="left" vertical="center"/>
    </xf>
    <xf numFmtId="0" fontId="38" fillId="5" borderId="0" applyAlignment="1" pivotButton="0" quotePrefix="0" xfId="0">
      <alignment vertical="center" wrapText="1"/>
    </xf>
    <xf numFmtId="165" fontId="38" fillId="5" borderId="0" applyAlignment="1" pivotButton="0" quotePrefix="0" xfId="0">
      <alignment vertical="center" wrapText="1"/>
    </xf>
    <xf numFmtId="165" fontId="30" fillId="5" borderId="0" applyAlignment="1" pivotButton="0" quotePrefix="0" xfId="0">
      <alignment vertical="center" wrapText="1"/>
    </xf>
    <xf numFmtId="164" fontId="30" fillId="5" borderId="0" applyAlignment="1" pivotButton="0" quotePrefix="0" xfId="0">
      <alignment vertical="center" wrapText="1"/>
    </xf>
    <xf numFmtId="0" fontId="40" fillId="5" borderId="0" applyAlignment="1" pivotButton="0" quotePrefix="0" xfId="0">
      <alignment vertical="center" wrapText="1"/>
    </xf>
    <xf numFmtId="0" fontId="41" fillId="5" borderId="0" applyAlignment="1" pivotButton="0" quotePrefix="0" xfId="0">
      <alignment vertical="center" wrapText="1"/>
    </xf>
    <xf numFmtId="0" fontId="36" fillId="5" borderId="0" applyAlignment="1" pivotButton="0" quotePrefix="0" xfId="0">
      <alignment vertical="center" wrapText="1"/>
    </xf>
    <xf numFmtId="0" fontId="27" fillId="5" borderId="0" applyAlignment="1" pivotButton="0" quotePrefix="0" xfId="0">
      <alignment vertical="center"/>
    </xf>
    <xf numFmtId="0" fontId="37" fillId="5" borderId="0" applyAlignment="1" pivotButton="0" quotePrefix="0" xfId="0">
      <alignment vertical="center" wrapText="1"/>
    </xf>
    <xf numFmtId="166" fontId="38" fillId="5" borderId="0" applyAlignment="1" pivotButton="0" quotePrefix="0" xfId="0">
      <alignment horizontal="right" vertical="center" wrapText="1" indent="1"/>
    </xf>
    <xf numFmtId="0" fontId="43" fillId="5" borderId="0" applyAlignment="1" pivotButton="0" quotePrefix="0" xfId="0">
      <alignment horizontal="left" vertical="center" wrapText="1"/>
    </xf>
    <xf numFmtId="164" fontId="35" fillId="5" borderId="0" applyAlignment="1" pivotButton="0" quotePrefix="0" xfId="2">
      <alignment horizontal="left" vertical="center"/>
    </xf>
    <xf numFmtId="0" fontId="39" fillId="5" borderId="0" applyAlignment="1" pivotButton="0" quotePrefix="0" xfId="0">
      <alignment vertical="center" wrapText="1"/>
    </xf>
    <xf numFmtId="165" fontId="30" fillId="8" borderId="6" applyAlignment="1" pivotButton="0" quotePrefix="0" xfId="0">
      <alignment horizontal="left" vertical="center" indent="1"/>
    </xf>
    <xf numFmtId="166" fontId="30" fillId="8" borderId="0" applyAlignment="1" pivotButton="0" quotePrefix="0" xfId="0">
      <alignment vertical="center"/>
    </xf>
    <xf numFmtId="165" fontId="30" fillId="8" borderId="0" applyAlignment="1" pivotButton="0" quotePrefix="0" xfId="0">
      <alignment horizontal="left" vertical="center" indent="1"/>
    </xf>
    <xf numFmtId="165" fontId="36" fillId="5" borderId="2" applyAlignment="1" pivotButton="0" quotePrefix="0" xfId="5">
      <alignment horizontal="left" vertical="center"/>
    </xf>
    <xf numFmtId="165" fontId="38" fillId="5" borderId="0" applyAlignment="1" pivotButton="0" quotePrefix="0" xfId="0">
      <alignment horizontal="left" vertical="center"/>
    </xf>
    <xf numFmtId="165" fontId="42" fillId="5" borderId="2" applyAlignment="1" pivotButton="0" quotePrefix="0" xfId="5">
      <alignment horizontal="left" vertical="center"/>
    </xf>
    <xf numFmtId="0" fontId="41" fillId="5" borderId="0" applyAlignment="1" pivotButton="0" quotePrefix="0" xfId="0">
      <alignment vertical="center"/>
    </xf>
    <xf numFmtId="165" fontId="41" fillId="8" borderId="0" applyAlignment="1" pivotButton="0" quotePrefix="0" xfId="0">
      <alignment horizontal="left" vertical="center" indent="1"/>
    </xf>
    <xf numFmtId="0" fontId="41" fillId="8" borderId="8" applyAlignment="1" pivotButton="0" quotePrefix="0" xfId="0">
      <alignment horizontal="right" vertical="center"/>
    </xf>
    <xf numFmtId="0" fontId="39" fillId="6" borderId="0" applyAlignment="1" pivotButton="0" quotePrefix="0" xfId="0">
      <alignment horizontal="left" vertical="top" wrapText="1" indent="1"/>
    </xf>
    <xf numFmtId="0" fontId="39" fillId="7" borderId="0" applyAlignment="1" pivotButton="0" quotePrefix="0" xfId="0">
      <alignment horizontal="left" vertical="top" wrapText="1" indent="1"/>
    </xf>
    <xf numFmtId="0" fontId="39" fillId="3" borderId="0" applyAlignment="1" pivotButton="0" quotePrefix="0" xfId="0">
      <alignment horizontal="left" vertical="top" wrapText="1" indent="1"/>
    </xf>
    <xf numFmtId="0" fontId="44" fillId="5" borderId="0" applyAlignment="1" pivotButton="0" quotePrefix="0" xfId="0">
      <alignment vertical="center" wrapText="1"/>
    </xf>
    <xf numFmtId="166" fontId="30" fillId="5" borderId="0" applyAlignment="1" pivotButton="0" quotePrefix="0" xfId="0">
      <alignment horizontal="right" vertical="center" wrapText="1" indent="1"/>
    </xf>
    <xf numFmtId="43" fontId="30" fillId="5" borderId="0" applyAlignment="1" pivotButton="0" quotePrefix="0" xfId="7">
      <alignment horizontal="left" vertical="center"/>
    </xf>
    <xf numFmtId="165" fontId="41" fillId="5" borderId="0" applyAlignment="1" pivotButton="0" quotePrefix="0" xfId="0">
      <alignment vertical="center"/>
    </xf>
    <xf numFmtId="0" fontId="13" fillId="5" borderId="0" applyAlignment="1" pivotButton="0" quotePrefix="0" xfId="0">
      <alignment vertical="center" wrapText="1"/>
    </xf>
    <xf numFmtId="164" fontId="25" fillId="5" borderId="0" applyAlignment="1" pivotButton="0" quotePrefix="0" xfId="2">
      <alignment horizontal="center" vertical="center"/>
    </xf>
    <xf numFmtId="0" fontId="33" fillId="5" borderId="9" applyAlignment="1" pivotButton="0" quotePrefix="0" xfId="0">
      <alignment horizontal="left" vertical="center" indent="4"/>
    </xf>
    <xf numFmtId="0" fontId="41" fillId="5" borderId="0" applyAlignment="1" pivotButton="0" quotePrefix="0" xfId="0">
      <alignment horizontal="right" vertical="center" indent="1"/>
    </xf>
    <xf numFmtId="0" fontId="39" fillId="5" borderId="0" applyAlignment="1" pivotButton="0" quotePrefix="0" xfId="0">
      <alignment vertical="top" wrapText="1"/>
    </xf>
    <xf numFmtId="165" fontId="30" fillId="5" borderId="0" applyAlignment="1" pivotButton="0" quotePrefix="0" xfId="0">
      <alignment vertical="center"/>
    </xf>
    <xf numFmtId="166" fontId="30" fillId="5" borderId="0" applyAlignment="1" pivotButton="0" quotePrefix="0" xfId="0">
      <alignment horizontal="right" vertical="center" indent="1"/>
    </xf>
    <xf numFmtId="0" fontId="9" fillId="2" borderId="11" applyAlignment="1" pivotButton="0" quotePrefix="0" xfId="1">
      <alignment vertical="center"/>
    </xf>
    <xf numFmtId="0" fontId="9" fillId="2" borderId="10" applyAlignment="1" pivotButton="0" quotePrefix="0" xfId="1">
      <alignment vertical="center"/>
    </xf>
    <xf numFmtId="0" fontId="43" fillId="5" borderId="0" applyAlignment="1" pivotButton="0" quotePrefix="0" xfId="0">
      <alignment vertical="center" wrapText="1"/>
    </xf>
    <xf numFmtId="164" fontId="35" fillId="5" borderId="0" applyAlignment="1" pivotButton="0" quotePrefix="0" xfId="2">
      <alignment horizontal="center" vertical="center"/>
    </xf>
    <xf numFmtId="0" fontId="10" fillId="5" borderId="0" applyAlignment="1" pivotButton="0" quotePrefix="0" xfId="0">
      <alignment vertical="center" wrapText="1"/>
    </xf>
    <xf numFmtId="0" fontId="34" fillId="5" borderId="0" applyAlignment="1" pivotButton="0" quotePrefix="0" xfId="0">
      <alignment horizontal="right" vertical="center" wrapText="1" indent="2"/>
    </xf>
    <xf numFmtId="164" fontId="1" fillId="5" borderId="0" applyAlignment="1" pivotButton="0" quotePrefix="0" xfId="2">
      <alignment horizontal="center" vertical="center"/>
    </xf>
    <xf numFmtId="165" fontId="41" fillId="5" borderId="2" applyAlignment="1" pivotButton="0" quotePrefix="0" xfId="3">
      <alignment vertical="center"/>
    </xf>
    <xf numFmtId="0" fontId="41" fillId="5" borderId="2" applyAlignment="1" pivotButton="0" quotePrefix="0" xfId="0">
      <alignment vertical="center" wrapText="1"/>
    </xf>
    <xf numFmtId="0" fontId="0" fillId="5" borderId="0" applyAlignment="1" pivotButton="1" quotePrefix="0" xfId="0">
      <alignment vertical="center" wrapText="1"/>
    </xf>
    <xf numFmtId="0" fontId="15" fillId="4" borderId="12" applyAlignment="1" pivotButton="0" quotePrefix="0" xfId="4">
      <alignment horizontal="left" vertical="center" indent="1"/>
    </xf>
    <xf numFmtId="0" fontId="15" fillId="4" borderId="12" applyAlignment="1" pivotButton="0" quotePrefix="0" xfId="4">
      <alignment vertical="center"/>
    </xf>
    <xf numFmtId="164" fontId="41" fillId="5" borderId="0" applyAlignment="1" pivotButton="0" quotePrefix="0" xfId="0">
      <alignment horizontal="right" vertical="center" indent="1"/>
    </xf>
    <xf numFmtId="0" fontId="30" fillId="5" borderId="0" applyAlignment="1" pivotButton="0" quotePrefix="0" xfId="0">
      <alignment horizontal="center"/>
    </xf>
    <xf numFmtId="0" fontId="11" fillId="4" borderId="6" applyAlignment="1" pivotButton="0" quotePrefix="0" xfId="0">
      <alignment horizontal="center" vertical="center" wrapText="1"/>
    </xf>
    <xf numFmtId="0" fontId="32" fillId="5" borderId="0" applyAlignment="1" pivotButton="0" quotePrefix="0" xfId="0">
      <alignment horizontal="right" vertical="center" indent="2"/>
    </xf>
    <xf numFmtId="0" fontId="32" fillId="5" borderId="0" applyAlignment="1" pivotButton="0" quotePrefix="0" xfId="0">
      <alignment horizontal="right" vertical="center" indent="1"/>
    </xf>
    <xf numFmtId="0" fontId="32" fillId="5" borderId="0" applyAlignment="1" pivotButton="0" quotePrefix="0" xfId="0">
      <alignment horizontal="right" vertical="center"/>
    </xf>
    <xf numFmtId="0" fontId="0" fillId="5" borderId="0" applyAlignment="1" pivotButton="0" quotePrefix="0" xfId="0">
      <alignment horizontal="left" vertical="center" wrapText="1"/>
    </xf>
    <xf numFmtId="167" fontId="0" fillId="5" borderId="0" applyAlignment="1" pivotButton="0" quotePrefix="0" xfId="0">
      <alignment vertical="center" wrapText="1"/>
    </xf>
    <xf numFmtId="168" fontId="0" fillId="5" borderId="0" applyAlignment="1" pivotButton="0" quotePrefix="0" xfId="0">
      <alignment vertical="center" wrapText="1"/>
    </xf>
    <xf numFmtId="0" fontId="33" fillId="5" borderId="0" applyAlignment="1" pivotButton="0" quotePrefix="0" xfId="0">
      <alignment horizontal="left" vertical="center" wrapText="1"/>
    </xf>
    <xf numFmtId="0" fontId="33" fillId="5" borderId="9" applyAlignment="1" pivotButton="0" quotePrefix="0" xfId="0">
      <alignment horizontal="left" vertical="center" wrapText="1"/>
    </xf>
    <xf numFmtId="0" fontId="33" fillId="5" borderId="9" applyAlignment="1" pivotButton="0" quotePrefix="0" xfId="0">
      <alignment horizontal="left" vertical="center"/>
    </xf>
    <xf numFmtId="164" fontId="29" fillId="5" borderId="9" applyAlignment="1" pivotButton="0" quotePrefix="0" xfId="2">
      <alignment horizontal="left" vertical="center" indent="1"/>
    </xf>
    <xf numFmtId="0" fontId="20" fillId="4" borderId="2" applyAlignment="1" pivotButton="0" quotePrefix="0" xfId="3">
      <alignment horizontal="left" vertical="center" indent="1"/>
    </xf>
    <xf numFmtId="164" fontId="15" fillId="4" borderId="12" applyAlignment="1" pivotButton="0" quotePrefix="0" xfId="4">
      <alignment horizontal="right" vertical="center"/>
    </xf>
    <xf numFmtId="164" fontId="15" fillId="4" borderId="4" applyAlignment="1" pivotButton="0" quotePrefix="0" xfId="4">
      <alignment horizontal="right" vertical="center"/>
    </xf>
    <xf numFmtId="166" fontId="15" fillId="4" borderId="12" applyAlignment="1" pivotButton="0" quotePrefix="0" xfId="4">
      <alignment horizontal="right" vertical="center"/>
    </xf>
    <xf numFmtId="166" fontId="15" fillId="4" borderId="4" applyAlignment="1" pivotButton="0" quotePrefix="0" xfId="4">
      <alignment horizontal="right" vertical="center"/>
    </xf>
    <xf numFmtId="0" fontId="31" fillId="5" borderId="0" pivotButton="0" quotePrefix="0" xfId="6"/>
    <xf numFmtId="164" fontId="29" fillId="5" borderId="0" applyAlignment="1" pivotButton="0" quotePrefix="0" xfId="2">
      <alignment horizontal="left" vertical="center"/>
    </xf>
    <xf numFmtId="0" fontId="0" fillId="0" borderId="0" pivotButton="0" quotePrefix="0" xfId="0"/>
    <xf numFmtId="164" fontId="29" fillId="5" borderId="0" applyAlignment="1" pivotButton="0" quotePrefix="0" xfId="2">
      <alignment horizontal="left" vertical="center"/>
    </xf>
    <xf numFmtId="0" fontId="0" fillId="0" borderId="9" pivotButton="0" quotePrefix="0" xfId="0"/>
    <xf numFmtId="164" fontId="35" fillId="5" borderId="0" applyAlignment="1" pivotButton="0" quotePrefix="0" xfId="2">
      <alignment horizontal="left" vertical="center"/>
    </xf>
    <xf numFmtId="165" fontId="36" fillId="5" borderId="2" applyAlignment="1" pivotButton="0" quotePrefix="0" xfId="5">
      <alignment horizontal="left" vertical="center"/>
    </xf>
    <xf numFmtId="165" fontId="42" fillId="5" borderId="2" applyAlignment="1" pivotButton="0" quotePrefix="0" xfId="5">
      <alignment horizontal="left" vertical="center"/>
    </xf>
    <xf numFmtId="165" fontId="41" fillId="8" borderId="0" applyAlignment="1" pivotButton="0" quotePrefix="0" xfId="0">
      <alignment horizontal="left" vertical="center" indent="1"/>
    </xf>
    <xf numFmtId="165" fontId="30" fillId="8" borderId="6" applyAlignment="1" pivotButton="0" quotePrefix="0" xfId="0">
      <alignment horizontal="left" vertical="center" indent="1"/>
    </xf>
    <xf numFmtId="166" fontId="30" fillId="8" borderId="0" applyAlignment="1" pivotButton="0" quotePrefix="0" xfId="0">
      <alignment vertical="center"/>
    </xf>
    <xf numFmtId="165" fontId="30" fillId="8" borderId="0" applyAlignment="1" pivotButton="0" quotePrefix="0" xfId="0">
      <alignment horizontal="left" vertical="center" indent="1"/>
    </xf>
    <xf numFmtId="165" fontId="41" fillId="5" borderId="0" applyAlignment="1" pivotButton="0" quotePrefix="0" xfId="0">
      <alignment vertical="center"/>
    </xf>
    <xf numFmtId="165" fontId="38" fillId="5" borderId="0" applyAlignment="1" pivotButton="0" quotePrefix="0" xfId="0">
      <alignment horizontal="left" vertical="center"/>
    </xf>
    <xf numFmtId="166" fontId="38" fillId="5" borderId="0" applyAlignment="1" pivotButton="0" quotePrefix="0" xfId="0">
      <alignment horizontal="right" vertical="center" wrapText="1" indent="1"/>
    </xf>
    <xf numFmtId="164" fontId="30" fillId="5" borderId="0" applyAlignment="1" pivotButton="0" quotePrefix="0" xfId="0">
      <alignment vertical="center" wrapText="1"/>
    </xf>
    <xf numFmtId="166" fontId="30" fillId="5" borderId="0" applyAlignment="1" pivotButton="0" quotePrefix="0" xfId="0">
      <alignment horizontal="right" vertical="center" wrapText="1" indent="1"/>
    </xf>
    <xf numFmtId="164" fontId="25" fillId="5" borderId="0" applyAlignment="1" pivotButton="0" quotePrefix="0" xfId="2">
      <alignment horizontal="left" vertical="center"/>
    </xf>
    <xf numFmtId="165" fontId="41" fillId="5" borderId="2" applyAlignment="1" pivotButton="0" quotePrefix="0" xfId="3">
      <alignment vertical="center"/>
    </xf>
    <xf numFmtId="165" fontId="38" fillId="5" borderId="0" applyAlignment="1" pivotButton="0" quotePrefix="0" xfId="0">
      <alignment vertical="center" wrapText="1"/>
    </xf>
    <xf numFmtId="165" fontId="30" fillId="5" borderId="0" applyAlignment="1" pivotButton="0" quotePrefix="0" xfId="0">
      <alignment vertical="center" wrapText="1"/>
    </xf>
    <xf numFmtId="164" fontId="29" fillId="5" borderId="9" applyAlignment="1" pivotButton="0" quotePrefix="0" xfId="2">
      <alignment horizontal="left" vertical="center" indent="1"/>
    </xf>
    <xf numFmtId="164" fontId="26" fillId="5" borderId="0" applyAlignment="1" pivotButton="0" quotePrefix="0" xfId="2">
      <alignment horizontal="center" vertical="center"/>
    </xf>
    <xf numFmtId="0" fontId="0" fillId="0" borderId="2" pivotButton="0" quotePrefix="0" xfId="0"/>
    <xf numFmtId="166" fontId="15" fillId="4" borderId="4" applyAlignment="1" pivotButton="0" quotePrefix="0" xfId="4">
      <alignment horizontal="right" vertical="center"/>
    </xf>
    <xf numFmtId="0" fontId="0" fillId="0" borderId="4" pivotButton="0" quotePrefix="0" xfId="0"/>
    <xf numFmtId="164" fontId="15" fillId="4" borderId="4" applyAlignment="1" pivotButton="0" quotePrefix="0" xfId="4">
      <alignment horizontal="right" vertical="center"/>
    </xf>
    <xf numFmtId="166" fontId="15" fillId="4" borderId="12" applyAlignment="1" pivotButton="0" quotePrefix="0" xfId="4">
      <alignment horizontal="right" vertical="center"/>
    </xf>
    <xf numFmtId="0" fontId="0" fillId="0" borderId="12" pivotButton="0" quotePrefix="0" xfId="0"/>
    <xf numFmtId="164" fontId="15" fillId="4" borderId="12" applyAlignment="1" pivotButton="0" quotePrefix="0" xfId="4">
      <alignment horizontal="right" vertical="center"/>
    </xf>
    <xf numFmtId="167" fontId="0" fillId="5" borderId="0" applyAlignment="1" pivotButton="0" quotePrefix="0" xfId="0">
      <alignment vertical="center" wrapText="1"/>
    </xf>
    <xf numFmtId="168" fontId="0" fillId="5" borderId="0" applyAlignment="1" pivotButton="0" quotePrefix="0" xfId="0">
      <alignment vertical="center" wrapText="1"/>
    </xf>
    <xf numFmtId="164" fontId="25" fillId="5" borderId="0" applyAlignment="1" pivotButton="0" quotePrefix="0" xfId="2">
      <alignment horizontal="center" vertical="center"/>
    </xf>
    <xf numFmtId="165" fontId="30" fillId="5" borderId="0" applyAlignment="1" pivotButton="0" quotePrefix="0" xfId="0">
      <alignment vertical="center"/>
    </xf>
    <xf numFmtId="166" fontId="30" fillId="5" borderId="0" applyAlignment="1" pivotButton="0" quotePrefix="0" xfId="0">
      <alignment horizontal="right" vertical="center" indent="1"/>
    </xf>
    <xf numFmtId="164" fontId="35" fillId="5" borderId="0" applyAlignment="1" pivotButton="0" quotePrefix="0" xfId="2">
      <alignment horizontal="center" vertical="center"/>
    </xf>
    <xf numFmtId="164" fontId="41" fillId="5" borderId="0" applyAlignment="1" pivotButton="0" quotePrefix="0" xfId="0">
      <alignment horizontal="right" vertical="center" indent="1"/>
    </xf>
    <xf numFmtId="164" fontId="1" fillId="5" borderId="0" applyAlignment="1" pivotButton="0" quotePrefix="0" xfId="2">
      <alignment horizontal="center" vertical="center"/>
    </xf>
  </cellXfs>
  <cellStyles count="17">
    <cellStyle name="Normal" xfId="0" builtinId="0"/>
    <cellStyle name="Heading 1" xfId="1" builtinId="16"/>
    <cellStyle name="Heading 2" xfId="2" builtinId="17"/>
    <cellStyle name="Heading 3" xfId="3" builtinId="18"/>
    <cellStyle name="Heading 4" xfId="4" builtinId="19"/>
    <cellStyle name="Heading 5" xfId="5"/>
    <cellStyle name="Title" xfId="6" builtinId="15"/>
    <cellStyle name="Comma" xfId="7" builtinId="3"/>
    <cellStyle name="Comma [0]" xfId="8" builtinId="6"/>
    <cellStyle name="Currency" xfId="9" builtinId="4"/>
    <cellStyle name="Currency [0]" xfId="10" builtinId="7"/>
    <cellStyle name="Percent" xfId="11" builtinId="5"/>
    <cellStyle name="Note" xfId="12" builtinId="10"/>
    <cellStyle name="Explanatory Text" xfId="13" builtinId="53"/>
    <cellStyle name="Total" xfId="14" builtinId="25"/>
    <cellStyle name="Hyperlink" xfId="15" builtinId="8"/>
    <cellStyle name="Followed Hyperlink" xfId="16" builtinId="9"/>
  </cellStyles>
  <dxfs count="113">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68" formatCode="_)@"/>
    </dxf>
    <dxf>
      <font>
        <name val="Lucida Sans"/>
        <family val="2"/>
        <strike val="0"/>
        <outline val="0"/>
        <shadow val="0"/>
        <condense val="0"/>
        <color theme="1" tint="0.249977111117893"/>
        <extend val="0"/>
        <sz val="11"/>
        <vertAlign val="baseline"/>
        <scheme val="minor"/>
      </font>
      <numFmt numFmtId="168" formatCode="_)@"/>
      <alignment horizontal="general" vertical="center"/>
    </dxf>
    <dxf>
      <font>
        <name val="Lucida Sans"/>
        <strike val="0"/>
        <outline val="0"/>
        <shadow val="0"/>
        <color theme="1" tint="0.249977111117893"/>
        <sz val="11"/>
        <vertAlign val="baseline"/>
        <scheme val="minor"/>
      </font>
    </dxf>
    <dxf>
      <font>
        <name val="Lucida Sans"/>
        <strike val="0"/>
        <outline val="0"/>
        <shadow val="0"/>
        <color theme="1" tint="0.249977111117893"/>
        <sz val="11"/>
        <vertAlign val="baseline"/>
        <scheme val="minor"/>
      </font>
    </dxf>
    <dxf>
      <font>
        <name val="Cambria"/>
        <strike val="0"/>
        <outline val="0"/>
        <shadow val="0"/>
        <color theme="1" tint="0.249977111117893"/>
        <sz val="14"/>
        <vertAlign val="baseline"/>
        <scheme val="major"/>
      </font>
      <alignment vertical="center"/>
    </dxf>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68" formatCode="_)@"/>
    </dxf>
    <dxf>
      <font>
        <name val="Lucida Sans"/>
        <family val="2"/>
        <strike val="0"/>
        <outline val="0"/>
        <shadow val="0"/>
        <condense val="0"/>
        <color theme="1" tint="0.249977111117893"/>
        <extend val="0"/>
        <sz val="11"/>
        <vertAlign val="baseline"/>
        <scheme val="minor"/>
      </font>
      <numFmt numFmtId="168" formatCode="_)@"/>
      <alignment horizontal="general" vertical="center"/>
    </dxf>
    <dxf>
      <font>
        <name val="Lucida Sans"/>
        <strike val="0"/>
        <outline val="0"/>
        <shadow val="0"/>
        <color theme="1" tint="0.249977111117893"/>
        <sz val="11"/>
        <vertAlign val="baseline"/>
        <scheme val="minor"/>
      </font>
    </dxf>
    <dxf>
      <font>
        <name val="Lucida Sans"/>
        <strike val="0"/>
        <outline val="0"/>
        <shadow val="0"/>
        <color theme="1" tint="0.249977111117893"/>
        <sz val="11"/>
        <vertAlign val="baseline"/>
        <scheme val="minor"/>
      </font>
    </dxf>
    <dxf>
      <font>
        <name val="Cambria"/>
        <strike val="0"/>
        <outline val="0"/>
        <shadow val="0"/>
        <color theme="1" tint="0.249977111117893"/>
        <sz val="14"/>
        <vertAlign val="baseline"/>
        <scheme val="major"/>
      </font>
      <alignment vertical="center"/>
    </dxf>
    <dxf>
      <font>
        <color theme="1" tint="0.249977111117893"/>
      </font>
      <numFmt numFmtId="11" formatCode="&quot;$&quot;#,##0.00_);\(&quot;$&quot;#,##0.00\)"/>
      <fill>
        <patternFill patternType="solid">
          <fgColor indexed="64"/>
          <bgColor theme="2"/>
        </patternFill>
      </fill>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color theme="1" tint="0.249977111117893"/>
      </font>
      <numFmt numFmtId="11" formatCode="&quot;$&quot;#,##0.00_);\(&quot;$&quot;#,##0.00\)"/>
      <fill>
        <patternFill patternType="solid">
          <fgColor indexed="64"/>
          <bgColor theme="2"/>
        </patternFill>
      </fill>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68" formatCode="_)@"/>
      <alignment horizontal="general" vertical="center"/>
    </dxf>
    <dxf>
      <font>
        <strike val="0"/>
        <outline val="0"/>
        <shadow val="0"/>
        <color theme="1" tint="0.249977111117893"/>
        <vertAlign val="baseline"/>
      </font>
    </dxf>
    <dxf>
      <font>
        <strike val="0"/>
        <outline val="0"/>
        <shadow val="0"/>
        <color theme="1" tint="0.249977111117893"/>
        <vertAlign val="baseline"/>
      </font>
    </dxf>
    <dxf>
      <font>
        <name val="Cambria"/>
        <strike val="0"/>
        <outline val="0"/>
        <shadow val="0"/>
        <color theme="1" tint="0.249977111117893"/>
        <sz val="14"/>
        <vertAlign val="baseline"/>
        <scheme val="major"/>
      </font>
      <alignment vertical="center"/>
    </dxf>
    <dxf>
      <font>
        <name val="Lucida Sans"/>
        <strike val="0"/>
        <outline val="0"/>
        <shadow val="0"/>
        <color theme="1" tint="0.249977111117893"/>
        <vertAlign val="baseline"/>
        <scheme val="minor"/>
      </font>
      <numFmt numFmtId="11" formatCode="&quot;$&quot;#,##0.00_);\(&quot;$&quot;#,##0.00\)"/>
      <alignment horizontal="right" vertical="center" indent="1"/>
    </dxf>
    <dxf>
      <font>
        <name val="Lucida Sans"/>
        <strike val="0"/>
        <outline val="0"/>
        <shadow val="0"/>
        <condense val="0"/>
        <color theme="1" tint="0.249977111117893"/>
        <extend val="0"/>
        <sz val="11"/>
        <vertAlign val="baseline"/>
        <scheme val="minor"/>
      </font>
      <numFmt numFmtId="11" formatCode="&quot;$&quot;#,##0.00_);\(&quot;$&quot;#,##0.00\)"/>
      <fill>
        <patternFill patternType="solid">
          <fgColor indexed="64"/>
          <bgColor theme="2"/>
        </patternFill>
      </fill>
      <alignment horizontal="right" vertical="center" indent="1"/>
      <border outline="0">
        <left/>
        <right/>
        <top/>
        <bottom/>
      </border>
    </dxf>
    <dxf>
      <font>
        <name val="Lucida Sans"/>
        <strike val="0"/>
        <outline val="0"/>
        <shadow val="0"/>
        <color theme="1" tint="0.249977111117893"/>
        <vertAlign val="baseline"/>
        <scheme val="minor"/>
      </font>
      <numFmt numFmtId="11" formatCode="&quot;$&quot;#,##0.00_);\(&quot;$&quot;#,##0.00\)"/>
      <alignment horizontal="right" vertical="center" indent="1"/>
    </dxf>
    <dxf>
      <font>
        <name val="Lucida Sans"/>
        <strike val="0"/>
        <outline val="0"/>
        <shadow val="0"/>
        <condense val="0"/>
        <color theme="1" tint="0.249977111117893"/>
        <extend val="0"/>
        <sz val="11"/>
        <vertAlign val="baseline"/>
        <scheme val="minor"/>
      </font>
      <numFmt numFmtId="11" formatCode="&quot;$&quot;#,##0.00_);\(&quot;$&quot;#,##0.00\)"/>
      <fill>
        <patternFill patternType="solid">
          <fgColor indexed="64"/>
          <bgColor theme="2"/>
        </patternFill>
      </fill>
      <alignment horizontal="right" vertical="center" indent="1"/>
      <border outline="0">
        <left/>
        <right/>
        <top/>
        <bottom/>
      </border>
    </dxf>
    <dxf>
      <font>
        <name val="Lucida Sans"/>
        <strike val="0"/>
        <outline val="0"/>
        <shadow val="0"/>
        <color theme="1" tint="0.249977111117893"/>
        <vertAlign val="baseline"/>
        <scheme val="minor"/>
      </font>
      <numFmt numFmtId="168" formatCode="_)@"/>
    </dxf>
    <dxf>
      <font>
        <name val="Lucida Sans"/>
        <strike val="0"/>
        <outline val="0"/>
        <shadow val="0"/>
        <condense val="0"/>
        <color theme="1" tint="0.249977111117893"/>
        <extend val="0"/>
        <sz val="11"/>
        <vertAlign val="baseline"/>
        <scheme val="minor"/>
      </font>
      <numFmt numFmtId="168" formatCode="_)@"/>
      <fill>
        <patternFill patternType="solid">
          <fgColor indexed="64"/>
          <bgColor theme="2"/>
        </patternFill>
      </fill>
      <alignment horizontal="general" vertical="center"/>
      <border outline="0">
        <left/>
        <right/>
        <top/>
        <bottom/>
      </border>
    </dxf>
    <dxf>
      <font>
        <name val="Lucida Sans"/>
        <strike val="0"/>
        <outline val="0"/>
        <shadow val="0"/>
        <color theme="1" tint="0.249977111117893"/>
        <sz val="11"/>
        <vertAlign val="baseline"/>
        <scheme val="minor"/>
      </font>
    </dxf>
    <dxf>
      <font>
        <name val="Lucida Sans"/>
        <strike val="0"/>
        <outline val="0"/>
        <shadow val="0"/>
        <color theme="1" tint="0.249977111117893"/>
        <vertAlign val="baseline"/>
        <scheme val="minor"/>
      </font>
    </dxf>
    <dxf>
      <font>
        <name val="Cambria"/>
        <strike val="0"/>
        <outline val="0"/>
        <shadow val="0"/>
        <color theme="1" tint="0.249977111117893"/>
        <sz val="14"/>
        <vertAlign val="baseline"/>
        <scheme val="major"/>
      </font>
      <alignment vertical="center"/>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dxf>
    <dxf>
      <font>
        <name val="Lucida Sans"/>
        <family val="2"/>
        <strike val="0"/>
        <outline val="0"/>
        <shadow val="0"/>
        <condense val="0"/>
        <color theme="1" tint="0.249977111117893"/>
        <extend val="0"/>
        <sz val="11"/>
        <vertAlign val="baseline"/>
        <scheme val="minor"/>
      </font>
      <numFmt numFmtId="167" formatCode="&quot;$&quot;#,##0.00"/>
    </dxf>
    <dxf>
      <font>
        <name val="Lucida Sans"/>
        <strike val="0"/>
        <outline val="0"/>
        <shadow val="0"/>
        <color theme="1" tint="0.249977111117893"/>
        <sz val="10"/>
        <vertAlign val="baseline"/>
        <scheme val="minor"/>
      </font>
    </dxf>
    <dxf>
      <font>
        <name val="Lucida Sans"/>
        <family val="2"/>
        <strike val="0"/>
        <outline val="0"/>
        <shadow val="0"/>
        <condense val="0"/>
        <color theme="1" tint="0.249977111117893"/>
        <extend val="0"/>
        <sz val="11"/>
        <vertAlign val="baseline"/>
        <scheme val="minor"/>
      </font>
      <numFmt numFmtId="168" formatCode="_)@"/>
    </dxf>
    <dxf>
      <border>
        <bottom style="medium">
          <color theme="3" tint="0.249946592608417"/>
        </bottom>
      </border>
    </dxf>
    <dxf>
      <font>
        <name val="Lucida Sans"/>
        <strike val="0"/>
        <outline val="0"/>
        <shadow val="0"/>
        <color theme="1" tint="0.249977111117893"/>
        <sz val="11"/>
        <vertAlign val="baseline"/>
        <scheme val="minor"/>
      </font>
    </dxf>
    <dxf>
      <font>
        <name val="Lucida Sans"/>
        <strike val="0"/>
        <outline val="0"/>
        <shadow val="0"/>
        <color theme="1" tint="0.249977111117893"/>
        <vertAlign val="baseline"/>
        <scheme val="minor"/>
      </font>
    </dxf>
    <dxf>
      <font>
        <name val="Cambria"/>
        <strike val="0"/>
        <outline val="0"/>
        <shadow val="0"/>
        <color theme="1" tint="0.249977111117893"/>
        <sz val="14"/>
        <vertAlign val="baseline"/>
        <scheme val="major"/>
      </font>
      <alignment horizontal="general" vertical="center"/>
    </dxf>
    <dxf>
      <fill>
        <patternFill>
          <bgColor theme="4" tint="0.7999816888943144"/>
        </patternFill>
      </fill>
    </dxf>
    <dxf>
      <fill>
        <patternFill>
          <bgColor theme="4" tint="0.5999633777886288"/>
        </patternFill>
      </fill>
    </dxf>
    <dxf>
      <font>
        <name val="Lucida Sans"/>
        <strike val="0"/>
        <outline val="0"/>
        <shadow val="0"/>
        <color theme="1" tint="0.249977111117893"/>
        <sz val="10"/>
        <vertAlign val="baseline"/>
        <scheme val="minor"/>
      </font>
      <numFmt numFmtId="11" formatCode="&quot;$&quot;#,##0.00_);\(&quot;$&quot;#,##0.00\)"/>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numFmt numFmtId="11" formatCode="&quot;$&quot;#,##0.00_);\(&quot;$&quot;#,##0.00\)"/>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numFmt numFmtId="11" formatCode="&quot;$&quot;#,##0.00_);\(&quot;$&quot;#,##0.00\)"/>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vertical="center"/>
    </dxf>
    <dxf>
      <font>
        <name val="Lucida Sans"/>
        <family val="2"/>
        <strike val="0"/>
        <outline val="0"/>
        <shadow val="0"/>
        <condense val="0"/>
        <color theme="1" tint="0.249977111117893"/>
        <extend val="0"/>
        <sz val="11"/>
        <vertAlign val="baseline"/>
        <scheme val="minor"/>
      </font>
      <numFmt numFmtId="167" formatCode="&quot;$&quot;#,##0.00"/>
    </dxf>
    <dxf>
      <font>
        <name val="Lucida Sans"/>
        <strike val="0"/>
        <outline val="0"/>
        <shadow val="0"/>
        <color theme="1" tint="0.249977111117893"/>
        <sz val="10"/>
        <vertAlign val="baseline"/>
        <scheme val="minor"/>
      </font>
      <numFmt numFmtId="168" formatCode="_)@"/>
      <alignment horizontal="left" vertical="center"/>
    </dxf>
    <dxf>
      <font>
        <name val="Lucida Sans"/>
        <family val="2"/>
        <strike val="0"/>
        <outline val="0"/>
        <shadow val="0"/>
        <condense val="0"/>
        <color theme="1" tint="0.249977111117893"/>
        <extend val="0"/>
        <sz val="11"/>
        <vertAlign val="baseline"/>
        <scheme val="minor"/>
      </font>
      <fill>
        <patternFill patternType="solid">
          <fgColor indexed="64"/>
          <bgColor theme="2"/>
        </patternFill>
      </fill>
      <alignment horizontal="left" vertical="center"/>
      <border outline="0">
        <left/>
        <right/>
        <top/>
        <bottom/>
      </border>
    </dxf>
    <dxf>
      <font>
        <name val="Lucida Sans"/>
        <strike val="0"/>
        <outline val="0"/>
        <shadow val="0"/>
        <color theme="1" tint="0.249977111117893"/>
        <sz val="11"/>
        <vertAlign val="baseline"/>
        <scheme val="minor"/>
      </font>
      <alignment vertical="center"/>
    </dxf>
    <dxf>
      <font>
        <name val="Lucida Sans"/>
        <strike val="0"/>
        <outline val="0"/>
        <shadow val="0"/>
        <color theme="1" tint="0.249977111117893"/>
        <vertAlign val="baseline"/>
        <scheme val="minor"/>
      </font>
      <alignment vertical="center"/>
    </dxf>
    <dxf>
      <font>
        <name val="Cambria"/>
        <strike val="0"/>
        <outline val="0"/>
        <shadow val="0"/>
        <color theme="1" tint="0.249977111117893"/>
        <sz val="14"/>
        <vertAlign val="baseline"/>
        <scheme val="major"/>
      </font>
      <alignment vertical="center"/>
    </dxf>
    <dxf>
      <fill>
        <patternFill>
          <bgColor theme="3" tint="0.749961851863155"/>
        </patternFill>
      </fill>
    </dxf>
    <dxf>
      <fill>
        <patternFill>
          <bgColor theme="3" tint="0.8999603259376812"/>
        </patternFill>
      </fill>
    </dxf>
    <dxf>
      <fill>
        <patternFill>
          <bgColor theme="5" tint="0.7999816888943144"/>
        </patternFill>
      </fill>
    </dxf>
    <dxf>
      <fill>
        <patternFill>
          <bgColor theme="5" tint="0.7999816888943144"/>
        </patternFill>
      </fill>
    </dxf>
    <dxf>
      <fill>
        <patternFill>
          <bgColor theme="2" tint="-0.249946592608417"/>
        </patternFill>
      </fill>
    </dxf>
    <dxf>
      <fill>
        <patternFill>
          <bgColor theme="2" tint="-0.09994811853389081"/>
        </patternFill>
      </fill>
    </dxf>
    <dxf>
      <fill>
        <patternFill>
          <bgColor theme="4" tint="0.5999633777886288"/>
        </patternFill>
      </fill>
    </dxf>
    <dxf>
      <fill>
        <patternFill>
          <bgColor theme="4" tint="0.5999633777886288"/>
        </patternFill>
      </fill>
    </dxf>
    <dxf>
      <fill>
        <patternFill>
          <bgColor theme="2" tint="-0.09994811853389081"/>
        </patternFill>
      </fill>
    </dxf>
    <dxf>
      <fill>
        <patternFill>
          <bgColor theme="4"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ont>
        <color theme="3" tint="0.09994811853389081"/>
      </font>
      <fill>
        <patternFill>
          <bgColor theme="5" tint="0.7999816888943144"/>
        </patternFill>
      </fill>
      <border>
        <left/>
        <right/>
        <top/>
        <bottom/>
        <vertical/>
        <horizontal/>
      </border>
    </dxf>
    <dxf>
      <font>
        <color theme="3" tint="0.09994811853389081"/>
      </font>
      <fill>
        <patternFill>
          <bgColor theme="0"/>
        </patternFill>
      </fill>
      <border>
        <left/>
        <right/>
        <top/>
        <bottom/>
        <vertical/>
        <horizontal/>
      </border>
    </dxf>
    <dxf>
      <font>
        <color theme="3" tint="0.09994811853389081"/>
      </font>
      <fill>
        <patternFill>
          <bgColor theme="3" tint="0.8999603259376812"/>
        </patternFill>
      </fill>
      <border>
        <left/>
        <right/>
        <top style="medium">
          <color theme="3" tint="0.249946592608417"/>
        </top>
        <bottom/>
        <vertical/>
        <horizontal/>
      </border>
    </dxf>
    <dxf>
      <font>
        <color theme="3" tint="0.09994811853389081"/>
      </font>
      <fill>
        <patternFill patternType="solid">
          <fgColor theme="3" tint="0.8999603259376812"/>
          <bgColor theme="3" tint="0.8999298074282052"/>
        </patternFill>
      </fill>
      <border>
        <left/>
        <right/>
        <top/>
        <bottom style="medium">
          <color theme="3" tint="0.249946592608417"/>
        </bottom>
        <vertical/>
        <horizontal/>
      </border>
    </dxf>
    <dxf>
      <font>
        <color theme="3" tint="0.09994811853389081"/>
      </font>
      <fill>
        <patternFill>
          <bgColor theme="3" tint="0.8999603259376812"/>
        </patternFill>
      </fill>
      <border>
        <left/>
        <right/>
        <top/>
        <bottom/>
        <vertical/>
        <horizontal/>
      </border>
    </dxf>
    <dxf>
      <font>
        <color theme="3" tint="0.09994811853389081"/>
      </font>
      <fill>
        <patternFill>
          <fgColor theme="0" tint="-0.0499893185216834"/>
          <bgColor theme="0" tint="-0.0499893185216834"/>
        </patternFill>
      </fill>
    </dxf>
    <dxf>
      <font>
        <color theme="3" tint="0.09994811853389081"/>
      </font>
      <fill>
        <patternFill>
          <fgColor theme="0"/>
          <bgColor theme="0"/>
        </patternFill>
      </fill>
      <border>
        <left/>
        <right style="dashed">
          <color theme="3" tint="0.249946592608417"/>
        </right>
        <top/>
        <bottom/>
        <vertical style="dashed">
          <color theme="3" tint="0.249946592608417"/>
        </vertical>
        <horizontal/>
      </border>
    </dxf>
    <dxf>
      <font>
        <color theme="3" tint="0.09994811853389081"/>
      </font>
      <fill>
        <patternFill>
          <fgColor theme="0"/>
          <bgColor theme="0"/>
        </patternFill>
      </fill>
      <border>
        <left/>
        <right/>
        <top style="medium">
          <color theme="3" tint="0.249946592608417"/>
        </top>
        <bottom/>
        <vertical/>
        <horizontal/>
      </border>
    </dxf>
    <dxf>
      <font>
        <color theme="3" tint="0.09994811853389081"/>
      </font>
      <fill>
        <patternFill patternType="solid">
          <fgColor theme="2"/>
          <bgColor theme="2"/>
        </patternFill>
      </fill>
      <border>
        <left/>
        <right/>
        <top/>
        <bottom style="medium">
          <color theme="3" tint="0.249946592608417"/>
        </bottom>
        <vertical/>
        <horizontal/>
      </border>
    </dxf>
    <dxf>
      <font>
        <color theme="3" tint="0.09994811853389081"/>
      </font>
      <border>
        <left/>
        <right style="dashed">
          <color theme="3" tint="0.249946592608417"/>
        </right>
        <top/>
        <bottom/>
        <vertical style="dashed">
          <color theme="3" tint="0.249946592608417"/>
        </vertical>
        <horizontal/>
      </border>
    </dxf>
    <dxf>
      <font>
        <color theme="3" tint="0.09994811853389081"/>
      </font>
      <fill>
        <patternFill>
          <fgColor theme="2"/>
          <bgColor theme="2"/>
        </patternFill>
      </fill>
    </dxf>
    <dxf>
      <font>
        <color theme="3" tint="0.09994811853389081"/>
      </font>
      <fill>
        <patternFill>
          <fgColor theme="0"/>
          <bgColor theme="0"/>
        </patternFill>
      </fill>
      <border>
        <left/>
        <right/>
        <top/>
        <bottom/>
        <vertical/>
        <horizontal/>
      </border>
    </dxf>
    <dxf>
      <font>
        <color theme="3" tint="0.09994811853389081"/>
      </font>
      <fill>
        <patternFill>
          <fgColor theme="0"/>
          <bgColor theme="0"/>
        </patternFill>
      </fill>
      <border>
        <left/>
        <right/>
        <top style="medium">
          <color theme="3" tint="0.249946592608417"/>
        </top>
        <bottom/>
        <vertical/>
        <horizontal/>
      </border>
    </dxf>
    <dxf>
      <font>
        <color theme="3" tint="0.09994811853389081"/>
      </font>
      <fill>
        <patternFill patternType="solid">
          <fgColor theme="2"/>
          <bgColor theme="2"/>
        </patternFill>
      </fill>
      <border>
        <left/>
        <right/>
        <top/>
        <bottom style="medium">
          <color theme="3" tint="0.249946592608417"/>
        </bottom>
        <vertical/>
        <horizontal/>
      </border>
    </dxf>
    <dxf>
      <font>
        <color theme="3" tint="0.09994811853389081"/>
      </font>
      <fill>
        <patternFill patternType="solid">
          <fgColor theme="0"/>
          <bgColor theme="0"/>
        </patternFill>
      </fill>
      <border>
        <left/>
        <right/>
        <top/>
        <bottom/>
        <vertical/>
        <horizontal/>
      </border>
    </dxf>
  </dxfs>
  <tableStyles count="3" defaultTableStyle="Personal Cash Flow Statement" defaultPivotStyle="PivotStyleLight15">
    <tableStyle name="Daily Summary" pivot="0" count="5">
      <tableStyleElement type="wholeTable" dxfId="112"/>
      <tableStyleElement type="headerRow" dxfId="111"/>
      <tableStyleElement type="totalRow" dxfId="110"/>
      <tableStyleElement type="firstRowStripe" dxfId="109"/>
      <tableStyleElement type="secondRowStripe" dxfId="108"/>
    </tableStyle>
    <tableStyle name="Monthly Cash Flow" pivot="0" count="5">
      <tableStyleElement type="wholeTable" dxfId="107"/>
      <tableStyleElement type="headerRow" dxfId="106"/>
      <tableStyleElement type="totalRow" dxfId="105"/>
      <tableStyleElement type="firstRowStripe" dxfId="104"/>
      <tableStyleElement type="secondRowStripe" dxfId="103"/>
    </tableStyle>
    <tableStyle name="Personal Cash Flow Statement" pivot="0" count="9">
      <tableStyleElement type="wholeTable" dxfId="102"/>
      <tableStyleElement type="headerRow" dxfId="101"/>
      <tableStyleElement type="totalRow" dxfId="100"/>
      <tableStyleElement type="firstColumn" dxfId="99"/>
      <tableStyleElement type="lastColumn" dxfId="98"/>
      <tableStyleElement type="firstHeaderCell" dxfId="97"/>
      <tableStyleElement type="lastHeaderCell" dxfId="96"/>
      <tableStyleElement type="firstTotalCell" dxfId="95"/>
      <tableStyleElement type="lastTotalCell" dxfId="9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pivotCacheDefinition" Target="/xl/pivotCache/pivotCacheDefinition2.xml" Id="rId10" /><Relationship Type="http://schemas.openxmlformats.org/officeDocument/2006/relationships/pivotCacheDefinition" Target="/xl/pivotCache/pivotCacheDefinition3.xml" Id="rId11" /><Relationship Type="http://schemas.openxmlformats.org/officeDocument/2006/relationships/pivotCacheDefinition" Target="/xl/pivotCache/pivotCacheDefinition4.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pivotSource>
    <name>[TF281b542f-3349-4685-9722-80e31c4e530ef4aece59_wac-bec5558044a4.xlsx]Annual cash flow!PVT_Income</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490342654536604"/>
          <y val="0.03410852713178295"/>
          <w val="0.5596039968688125"/>
          <h val="0.8966926692302997"/>
        </manualLayout>
      </layout>
      <barChart>
        <barDir val="bar"/>
        <grouping val="clustered"/>
        <varyColors val="0"/>
        <ser>
          <idx val="0"/>
          <order val="0"/>
          <tx>
            <strRef>
              <f>'Annual cash flow'!$S$10</f>
              <strCache>
                <ptCount val="1"/>
                <pt idx="0">
                  <v>Total</v>
                </pt>
              </strCache>
            </strRef>
          </tx>
          <spPr>
            <a:solidFill>
              <a:schemeClr val="accent1"/>
            </a:solidFill>
            <a:ln>
              <a:noFill/>
              <a:prstDash val="solid"/>
            </a:ln>
          </spPr>
          <invertIfNegative val="0"/>
          <cat>
            <strRef>
              <f>'Annual cash flow'!$R$11:$R$17</f>
              <strCache>
                <ptCount val="6"/>
                <pt idx="0">
                  <v>Other 2</v>
                </pt>
                <pt idx="1">
                  <v>Other 3</v>
                </pt>
                <pt idx="2">
                  <v>Other 4</v>
                </pt>
                <pt idx="3">
                  <v>Commissions/bonus</v>
                </pt>
                <pt idx="4">
                  <v>Other 1</v>
                </pt>
                <pt idx="5">
                  <v>Salary</v>
                </pt>
              </strCache>
            </strRef>
          </cat>
          <val>
            <numRef>
              <f>'Annual cash flow'!$S$11:$S$17</f>
              <numCache>
                <formatCode>"$"#,##0</formatCode>
                <ptCount val="6"/>
                <pt idx="0">
                  <v>0</v>
                </pt>
                <pt idx="1">
                  <v>0</v>
                </pt>
                <pt idx="2">
                  <v>0</v>
                </pt>
                <pt idx="3">
                  <v>5000</v>
                </pt>
                <pt idx="4">
                  <v>30000</v>
                </pt>
                <pt idx="5">
                  <v>90000</v>
                </pt>
              </numCache>
            </numRef>
          </val>
        </ser>
        <dLbls>
          <showLegendKey val="0"/>
          <showVal val="0"/>
          <showCatName val="0"/>
          <showSerName val="0"/>
          <showPercent val="0"/>
          <showBubbleSize val="0"/>
        </dLbls>
        <gapWidth val="100"/>
        <axId val="305458912"/>
        <axId val="305465800"/>
      </barChart>
      <catAx>
        <axId val="305458912"/>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05465800"/>
        <crosses val="autoZero"/>
        <auto val="1"/>
        <lblAlgn val="ctr"/>
        <lblOffset val="100"/>
        <noMultiLvlLbl val="0"/>
      </catAx>
      <valAx>
        <axId val="305465800"/>
        <scaling>
          <orientation val="minMax"/>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05458912"/>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pivotSource>
    <name>[TF281b542f-3349-4685-9722-80e31c4e530ef4aece59_wac-bec5558044a4.xlsx]Annual cash flow!PVT_Expenses2</name>
    <fmtId val="0"/>
  </pivotSource>
  <chart>
    <pivotFmts>
      <pivotFmt>
        <idx val="0"/>
        <spPr>
          <a:solidFill>
            <a:schemeClr val="accent1"/>
          </a:solidFill>
          <a:ln>
            <a:noFill/>
            <a:prstDash val="solid"/>
          </a:ln>
        </spPr>
        <marker>
          <symbol val="none"/>
          <spPr>
            <a:ln>
              <a:prstDash val="solid"/>
            </a:ln>
          </spPr>
        </marker>
      </pivotFmt>
      <pivotFmt>
        <idx val="1"/>
        <spPr>
          <a:solidFill>
            <a:schemeClr val="accent1"/>
          </a:solidFill>
          <a:ln>
            <a:noFill/>
            <a:prstDash val="solid"/>
          </a:ln>
        </spPr>
        <marker>
          <symbol val="none"/>
          <spPr>
            <a:ln>
              <a:prstDash val="solid"/>
            </a:ln>
          </spPr>
        </marker>
      </pivotFmt>
      <pivotFmt>
        <idx val="2"/>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519586367493537"/>
          <y val="0.03410852713178295"/>
          <w val="0.575693827745216"/>
          <h val="0.8966926692302997"/>
        </manualLayout>
      </layout>
      <barChart>
        <barDir val="bar"/>
        <grouping val="clustered"/>
        <varyColors val="0"/>
        <ser>
          <idx val="0"/>
          <order val="0"/>
          <tx>
            <strRef>
              <f>'Annual cash flow'!$Y$10</f>
              <strCache>
                <ptCount val="1"/>
                <pt idx="0">
                  <v>Total</v>
                </pt>
              </strCache>
            </strRef>
          </tx>
          <spPr>
            <a:solidFill>
              <a:schemeClr val="accent1"/>
            </a:solidFill>
            <a:ln>
              <a:noFill/>
              <a:prstDash val="solid"/>
            </a:ln>
          </spPr>
          <invertIfNegative val="0"/>
          <cat>
            <strRef>
              <f>'Annual cash flow'!$X$11:$X$22</f>
              <strCache>
                <ptCount val="11"/>
                <pt idx="0">
                  <v>Other 2</v>
                </pt>
                <pt idx="1">
                  <v>Other 1</v>
                </pt>
                <pt idx="2">
                  <v>Club/Memberships</v>
                </pt>
                <pt idx="3">
                  <v>Personal Care</v>
                </pt>
                <pt idx="4">
                  <v>Gifts</v>
                </pt>
                <pt idx="5">
                  <v>Charity</v>
                </pt>
                <pt idx="6">
                  <v>Entertainment</v>
                </pt>
                <pt idx="7">
                  <v>Dining</v>
                </pt>
                <pt idx="8">
                  <v>Shopping</v>
                </pt>
                <pt idx="9">
                  <v>Travel</v>
                </pt>
                <pt idx="10">
                  <v>Home Improvements</v>
                </pt>
              </strCache>
            </strRef>
          </cat>
          <val>
            <numRef>
              <f>'Annual cash flow'!$Y$11:$Y$22</f>
              <numCache>
                <formatCode>"$"#,##0</formatCode>
                <ptCount val="11"/>
                <pt idx="0">
                  <v>0</v>
                </pt>
                <pt idx="1">
                  <v>0</v>
                </pt>
                <pt idx="2">
                  <v>300</v>
                </pt>
                <pt idx="3">
                  <v>300</v>
                </pt>
                <pt idx="4">
                  <v>600</v>
                </pt>
                <pt idx="5">
                  <v>600</v>
                </pt>
                <pt idx="6">
                  <v>1200</v>
                </pt>
                <pt idx="7">
                  <v>1200</v>
                </pt>
                <pt idx="8">
                  <v>2000</v>
                </pt>
                <pt idx="9">
                  <v>2250</v>
                </pt>
                <pt idx="10">
                  <v>4800</v>
                </pt>
              </numCache>
            </numRef>
          </val>
        </ser>
        <dLbls>
          <showLegendKey val="0"/>
          <showVal val="0"/>
          <showCatName val="0"/>
          <showSerName val="0"/>
          <showPercent val="0"/>
          <showBubbleSize val="0"/>
        </dLbls>
        <gapWidth val="100"/>
        <axId val="512411144"/>
        <axId val="512410816"/>
      </barChart>
      <catAx>
        <axId val="512411144"/>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12410816"/>
        <crosses val="autoZero"/>
        <auto val="1"/>
        <lblAlgn val="ctr"/>
        <lblOffset val="100"/>
        <noMultiLvlLbl val="0"/>
      </catAx>
      <valAx>
        <axId val="512410816"/>
        <scaling>
          <orientation val="minMax"/>
        </scaling>
        <delete val="0"/>
        <axPos val="b"/>
        <numFmt formatCode="&quot;$&quot;#,##0"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12411144"/>
        <crosses val="autoZero"/>
        <crossBetween val="between"/>
        <majorUnit val="2000"/>
      </valAx>
    </plotArea>
    <plotVisOnly val="1"/>
    <dispBlanksAs val="gap"/>
  </chart>
  <spPr>
    <a:noFill/>
    <a:ln w="9525" cap="flat" cmpd="sng" algn="ctr">
      <a:noFill/>
      <a:prstDash val="solid"/>
      <a:round/>
    </a:ln>
  </spPr>
</chartSpace>
</file>

<file path=xl/charts/chart3.xml><?xml version="1.0" encoding="utf-8"?>
<chartSpace xmlns:a="http://schemas.openxmlformats.org/drawingml/2006/main" xmlns="http://schemas.openxmlformats.org/drawingml/2006/chart">
  <pivotSource>
    <name>[TF281b542f-3349-4685-9722-80e31c4e530ef4aece59_wac-bec5558044a4.xlsx]Annual cash flow!PVT_Expenses1</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barChart>
        <barDir val="bar"/>
        <grouping val="clustered"/>
        <varyColors val="0"/>
        <ser>
          <idx val="0"/>
          <order val="0"/>
          <tx>
            <strRef>
              <f>'Annual cash flow'!$V$10</f>
              <strCache>
                <ptCount val="1"/>
                <pt idx="0">
                  <v>Total</v>
                </pt>
              </strCache>
            </strRef>
          </tx>
          <spPr>
            <a:solidFill>
              <a:schemeClr val="accent1"/>
            </a:solidFill>
            <a:ln>
              <a:noFill/>
              <a:prstDash val="solid"/>
            </a:ln>
          </spPr>
          <invertIfNegative val="0"/>
          <cat>
            <strRef>
              <f>'Annual cash flow'!$U$11:$U$29</f>
              <strCache>
                <ptCount val="18"/>
                <pt idx="0">
                  <v>Other 1</v>
                </pt>
                <pt idx="1">
                  <v>Other 2</v>
                </pt>
                <pt idx="2">
                  <v>Garbage</v>
                </pt>
                <pt idx="3">
                  <v>Vehicle Tax/Fees</v>
                </pt>
                <pt idx="4">
                  <v>Insurance</v>
                </pt>
                <pt idx="5">
                  <v>Internet</v>
                </pt>
                <pt idx="6">
                  <v>Gas</v>
                </pt>
                <pt idx="7">
                  <v>Water/Sewer</v>
                </pt>
                <pt idx="8">
                  <v>Phone</v>
                </pt>
                <pt idx="9">
                  <v>Medical/Dental/Rx</v>
                </pt>
                <pt idx="10">
                  <v>Electricity</v>
                </pt>
                <pt idx="11">
                  <v>Clothing</v>
                </pt>
                <pt idx="12">
                  <v>Disability Premiums</v>
                </pt>
                <pt idx="13">
                  <v>State Income Tax</v>
                </pt>
                <pt idx="14">
                  <v>Vehicle Payments</v>
                </pt>
                <pt idx="15">
                  <v>Food</v>
                </pt>
                <pt idx="16">
                  <v>Federal/SS/Medicare</v>
                </pt>
                <pt idx="17">
                  <v>Mortgage/Rent</v>
                </pt>
              </strCache>
            </strRef>
          </cat>
          <val>
            <numRef>
              <f>'Annual cash flow'!$V$11:$V$29</f>
              <numCache>
                <formatCode>"$"#,##0_);\("$"#,##0\)</formatCode>
                <ptCount val="18"/>
                <pt idx="0">
                  <v>0</v>
                </pt>
                <pt idx="1">
                  <v>0</v>
                </pt>
                <pt idx="2">
                  <v>150</v>
                </pt>
                <pt idx="3">
                  <v>200</v>
                </pt>
                <pt idx="4">
                  <v>250</v>
                </pt>
                <pt idx="5">
                  <v>600</v>
                </pt>
                <pt idx="6">
                  <v>600</v>
                </pt>
                <pt idx="7">
                  <v>600</v>
                </pt>
                <pt idx="8">
                  <v>600</v>
                </pt>
                <pt idx="9">
                  <v>600</v>
                </pt>
                <pt idx="10">
                  <v>1200</v>
                </pt>
                <pt idx="11">
                  <v>1200</v>
                </pt>
                <pt idx="12">
                  <v>1500</v>
                </pt>
                <pt idx="13">
                  <v>2500</v>
                </pt>
                <pt idx="14">
                  <v>4000</v>
                </pt>
                <pt idx="15">
                  <v>5000</v>
                </pt>
                <pt idx="16">
                  <v>12500</v>
                </pt>
                <pt idx="17">
                  <v>15000</v>
                </pt>
              </numCache>
            </numRef>
          </val>
        </ser>
        <dLbls>
          <showLegendKey val="0"/>
          <showVal val="0"/>
          <showCatName val="0"/>
          <showSerName val="0"/>
          <showPercent val="0"/>
          <showBubbleSize val="0"/>
        </dLbls>
        <gapWidth val="100"/>
        <axId val="287964960"/>
        <axId val="287968896"/>
      </barChart>
      <catAx>
        <axId val="287964960"/>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87968896"/>
        <crosses val="autoZero"/>
        <auto val="1"/>
        <lblAlgn val="ctr"/>
        <lblOffset val="100"/>
        <noMultiLvlLbl val="0"/>
      </catAx>
      <valAx>
        <axId val="287968896"/>
        <scaling>
          <orientation val="minMax"/>
        </scaling>
        <delete val="0"/>
        <axPos val="b"/>
        <numFmt formatCode="&quot;$&quot;#,##0_);\(&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87964960"/>
        <crosses val="autoZero"/>
        <crossBetween val="between"/>
      </valAx>
    </plotArea>
    <plotVisOnly val="1"/>
    <dispBlanksAs val="gap"/>
  </chart>
  <spPr>
    <a:noFill/>
    <a:ln w="9525" cap="flat" cmpd="sng" algn="ctr">
      <a:noFill/>
      <a:prstDash val="solid"/>
      <a:round/>
    </a:ln>
  </spPr>
</chartSpace>
</file>

<file path=xl/charts/chart4.xml><?xml version="1.0" encoding="utf-8"?>
<chartSpace xmlns:a="http://schemas.openxmlformats.org/drawingml/2006/main" xmlns="http://schemas.openxmlformats.org/drawingml/2006/chart">
  <pivotSource>
    <name>[TF281b542f-3349-4685-9722-80e31c4e530ef4aece59_wac-bec5558044a4.xlsx]Annual cash flow!PVT_Savings</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barChart>
        <barDir val="bar"/>
        <grouping val="clustered"/>
        <varyColors val="0"/>
        <ser>
          <idx val="0"/>
          <order val="0"/>
          <tx>
            <strRef>
              <f>'Annual cash flow'!$AB$10</f>
              <strCache>
                <ptCount val="1"/>
                <pt idx="0">
                  <v>Total</v>
                </pt>
              </strCache>
            </strRef>
          </tx>
          <spPr>
            <a:solidFill>
              <a:schemeClr val="accent1"/>
            </a:solidFill>
            <a:ln>
              <a:noFill/>
              <a:prstDash val="solid"/>
            </a:ln>
          </spPr>
          <invertIfNegative val="0"/>
          <cat>
            <strRef>
              <f>'Annual cash flow'!$AA$11:$AA$16</f>
              <strCache>
                <ptCount val="5"/>
                <pt idx="0">
                  <v>Other 1</v>
                </pt>
                <pt idx="1">
                  <v>Other 2</v>
                </pt>
                <pt idx="2">
                  <v>Cash Reserves</v>
                </pt>
                <pt idx="3">
                  <v>Savings/Investment</v>
                </pt>
                <pt idx="4">
                  <v>401(k)/Etc</v>
                </pt>
              </strCache>
            </strRef>
          </cat>
          <val>
            <numRef>
              <f>'Annual cash flow'!$AB$11:$AB$16</f>
              <numCache>
                <formatCode>"$"#,##0</formatCode>
                <ptCount val="5"/>
                <pt idx="0">
                  <v>0</v>
                </pt>
                <pt idx="1">
                  <v>0</v>
                </pt>
                <pt idx="2">
                  <v>5000</v>
                </pt>
                <pt idx="3">
                  <v>6000</v>
                </pt>
                <pt idx="4">
                  <v>12000</v>
                </pt>
              </numCache>
            </numRef>
          </val>
        </ser>
        <dLbls>
          <showLegendKey val="0"/>
          <showVal val="0"/>
          <showCatName val="0"/>
          <showSerName val="0"/>
          <showPercent val="0"/>
          <showBubbleSize val="0"/>
        </dLbls>
        <gapWidth val="100"/>
        <axId val="527863088"/>
        <axId val="527863416"/>
      </barChart>
      <catAx>
        <axId val="527863088"/>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27863416"/>
        <crosses val="autoZero"/>
        <auto val="1"/>
        <lblAlgn val="ctr"/>
        <lblOffset val="100"/>
        <noMultiLvlLbl val="0"/>
      </catAx>
      <valAx>
        <axId val="527863416"/>
        <scaling>
          <orientation val="minMax"/>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27863088"/>
        <crosses val="autoZero"/>
        <crossBetween val="between"/>
      </valAx>
    </plotArea>
    <plotVisOnly val="1"/>
    <dispBlanksAs val="gap"/>
  </chart>
  <spPr>
    <a:noFill/>
    <a:l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0</colOff>
      <row>5</row>
      <rowOff>0</rowOff>
    </from>
    <to>
      <col>4</col>
      <colOff>0</colOff>
      <row>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9</col>
      <colOff>0</colOff>
      <row>5</row>
      <rowOff>0</rowOff>
    </from>
    <to>
      <col>12</col>
      <colOff>0</colOff>
      <row>6</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5</col>
      <colOff>0</colOff>
      <row>5</row>
      <rowOff>0</rowOff>
    </from>
    <to>
      <col>8</col>
      <colOff>0</colOff>
      <row>6</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13</col>
      <colOff>0</colOff>
      <row>4</row>
      <rowOff>428624</rowOff>
    </from>
    <to>
      <col>16</col>
      <colOff>0</colOff>
      <row>5</row>
      <rowOff>4314824</rowOff>
    </to>
    <graphicFrame>
      <nvGraphicFramePr>
        <cNvPr id="4" name="Chart 4"/>
        <cNvGraphicFramePr/>
      </nvGraphicFramePr>
      <xfrm/>
      <a:graphic>
        <a:graphicData uri="http://schemas.openxmlformats.org/drawingml/2006/chart">
          <c:chart r:id="rId4"/>
        </a:graphicData>
      </a:graphic>
    </graphicFrame>
    <clientData/>
  </twoCellAnchor>
</wsDr>
</file>

<file path=xl/pivotCache/pivotCacheDefinition1.xml><?xml version="1.0" encoding="utf-8"?>
<pivotCacheDefinition xmlns="http://schemas.openxmlformats.org/spreadsheetml/2006/main" saveData="0" refreshedBy="Author" refreshedDate="44946.46342731481" backgroundQuery="1" createdVersion="6" refreshedVersion="8" minRefreshableVersion="3" recordCount="0" supportSubquery="1" supportAdvancedDrill="1">
  <cacheSource type="external" connectionId="1"/>
  <cacheFields count="2">
    <cacheField name="[Discretionary].[Expenses].[Expenses]" caption="Expenses" uniqueList="1" numFmtId="0" sqlType="0" hierarchy="0" level="1" databaseField="1">
      <sharedItems count="11">
        <s v="Charity"/>
        <s v="Club/Memberships"/>
        <s v="Dining"/>
        <s v="Entertainment"/>
        <s v="Gifts"/>
        <s v="Home Improvements"/>
        <s v="Other 1"/>
        <s v="Other 2"/>
        <s v="Personal Care"/>
        <s v="Shopping"/>
        <s v="Travel"/>
      </sharedItems>
    </cacheField>
    <cacheField name="[Measures].[Sum of Annual 2]" caption="Sum of Annual 2" uniqueList="1" numFmtId="0" sqlType="0" hierarchy="18"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2" oneField="0" memberValueDatatype="130" unbalanced="0" hidden="0">
      <fieldsUsage count="2">
        <fieldUsage x="-1"/>
        <fieldUsage x="0"/>
      </fieldsUsage>
    </cacheHierarchy>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1" hidden="1">
      <fieldsUsage count="1">
        <fieldUsage x="1"/>
      </fieldsUsage>
    </cacheHierarchy>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2.xml><?xml version="1.0" encoding="utf-8"?>
<pivotCacheDefinition xmlns="http://schemas.openxmlformats.org/spreadsheetml/2006/main" saveData="0" refreshedBy="Author" refreshedDate="44946.46342418982" backgroundQuery="1" createdVersion="6" refreshedVersion="8" minRefreshableVersion="3" recordCount="0" supportSubquery="1" supportAdvancedDrill="1">
  <cacheSource type="external" connectionId="1"/>
  <cacheFields count="2">
    <cacheField name="[Expenses].[Expenses].[Expenses]" caption="Expenses" uniqueList="1" numFmtId="0" sqlType="0" hierarchy="3" level="1" databaseField="1">
      <sharedItems count="18">
        <s v="Clothing"/>
        <s v="Disability Premiums"/>
        <s v="Electricity"/>
        <s v="Federal/SS/Medicare"/>
        <s v="Food"/>
        <s v="Garbage"/>
        <s v="Gas"/>
        <s v="Insurance"/>
        <s v="Internet"/>
        <s v="Medical/Dental/Rx"/>
        <s v="Mortgage/Rent"/>
        <s v="Other 1"/>
        <s v="Other 2"/>
        <s v="Phone"/>
        <s v="State Income Tax"/>
        <s v="Vehicle Payments"/>
        <s v="Vehicle Tax/Fees"/>
        <s v="Water/Sewer"/>
      </sharedItems>
    </cacheField>
    <cacheField name="[Measures].[Sum of Annual 3]" caption="Sum of Annual 3" uniqueList="1" numFmtId="0" sqlType="0" hierarchy="20"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2" oneField="0" memberValueDatatype="130" unbalanced="0" hidden="0">
      <fieldsUsage count="2">
        <fieldUsage x="-1"/>
        <fieldUsage x="0"/>
      </fieldsUsage>
    </cacheHierarchy>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1" hidden="1">
      <fieldsUsage count="1">
        <fieldUsage x="1"/>
      </fieldsUsage>
    </cacheHierarchy>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3.xml><?xml version="1.0" encoding="utf-8"?>
<pivotCacheDefinition xmlns="http://schemas.openxmlformats.org/spreadsheetml/2006/main" saveData="0" refreshedBy="Author" refreshedDate="44946.46341793981" backgroundQuery="1" createdVersion="6" refreshedVersion="8" minRefreshableVersion="3" recordCount="0" supportSubquery="1" supportAdvancedDrill="1">
  <cacheSource type="external" connectionId="1"/>
  <cacheFields count="2">
    <cacheField name="[Savings].[Savings].[Savings]" caption="Savings" uniqueList="1" numFmtId="0" sqlType="0" hierarchy="9" level="1" databaseField="1">
      <sharedItems count="5">
        <s v="401(k)/Etc"/>
        <s v="Cash Reserves"/>
        <s v="Other 1"/>
        <s v="Other 2"/>
        <s v="Savings/Investment"/>
      </sharedItems>
    </cacheField>
    <cacheField name="[Measures].[Sum of Annual 4]" caption="Sum of Annual 4" uniqueList="1" numFmtId="0" sqlType="0" hierarchy="21"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2" oneField="0" memberValueDatatype="130" unbalanced="0" hidden="0">
      <fieldsUsage count="2">
        <fieldUsage x="-1"/>
        <fieldUsage x="0"/>
      </fieldsUsage>
    </cacheHierarchy>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1" hidden="1">
      <fieldsUsage count="1">
        <fieldUsage x="1"/>
      </fieldsUsage>
    </cacheHierarchy>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4.xml><?xml version="1.0" encoding="utf-8"?>
<pivotCacheDefinition xmlns="http://schemas.openxmlformats.org/spreadsheetml/2006/main" saveData="0" refreshedBy="Author" refreshedDate="44946.46342152778" backgroundQuery="1" createdVersion="6" refreshedVersion="8" minRefreshableVersion="3" recordCount="0" supportSubquery="1" supportAdvancedDrill="1">
  <cacheSource type="external" connectionId="1"/>
  <cacheFields count="2">
    <cacheField name="[Income].[Income].[Income]" caption="Income" uniqueList="1" numFmtId="0" sqlType="0" hierarchy="6" level="1" databaseField="1">
      <sharedItems count="6">
        <s v="Commissions/bonus"/>
        <s v="Other 1"/>
        <s v="Other 2"/>
        <s v="Other 3"/>
        <s v="Other 4"/>
        <s v="Salary"/>
      </sharedItems>
    </cacheField>
    <cacheField name="[Measures].[Sum of Annual]" caption="Sum of Annual" uniqueList="1" numFmtId="0" sqlType="0" hierarchy="17"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2" oneField="0" memberValueDatatype="130" unbalanced="0" hidden="0">
      <fieldsUsage count="2">
        <fieldUsage x="-1"/>
        <fieldUsage x="0"/>
      </fieldsUsage>
    </cacheHierarchy>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1" hidden="1">
      <fieldsUsage count="1">
        <fieldUsage x="1"/>
      </fieldsUsage>
    </cacheHierarchy>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3.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4.xml" Id="rId1" /></Relationships>
</file>

<file path=xl/pivotTables/pivotTable1.xml><?xml version="1.0" encoding="utf-8"?>
<pivotTableDefinition xmlns:r="http://schemas.openxmlformats.org/officeDocument/2006/relationships" xmlns="http://schemas.openxmlformats.org/spreadsheetml/2006/main" name="PVT_Expenses2" cacheId="601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X10:Y22"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2">
        <item t="data" sd="1" x="0"/>
        <item t="data" sd="1" x="1"/>
        <item t="data" sd="1" x="2"/>
        <item t="data" sd="1" x="3"/>
        <item t="data" sd="1" x="4"/>
        <item t="data" sd="1" x="5"/>
        <item t="data" sd="1" x="6"/>
        <item t="data" sd="1" x="7"/>
        <item t="data" sd="1" x="8"/>
        <item t="data" sd="1" x="9"/>
        <item t="data" sd="1" x="10"/>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2">
    <i t="data" r="0" i="0">
      <x v="7"/>
    </i>
    <i t="data" r="0" i="0">
      <x v="6"/>
    </i>
    <i t="data" r="0" i="0">
      <x v="1"/>
    </i>
    <i t="data" r="0" i="0">
      <x v="8"/>
    </i>
    <i t="data" r="0" i="0">
      <x v="4"/>
    </i>
    <i t="data" r="0" i="0">
      <x v="0"/>
    </i>
    <i t="data" r="0" i="0">
      <x v="3"/>
    </i>
    <i t="data" r="0" i="0">
      <x v="2"/>
    </i>
    <i t="data" r="0" i="0">
      <x v="9"/>
    </i>
    <i t="data" r="0" i="0">
      <x v="10"/>
    </i>
    <i t="data" r="0" i="0">
      <x v="5"/>
    </i>
    <i t="grand" r="0" i="0">
      <x v="0"/>
    </i>
  </rowItems>
  <colItems count="1">
    <i t="data" r="0" i="0"/>
  </colItems>
  <dataFields count="1">
    <dataField name="Sum of Annual" fld="1" subtotal="sum" showDataAs="normal" baseField="0" baseItem="6" numFmtId="169"/>
  </dataFields>
  <chartFormats count="1">
    <chartFormat chart="0" format="2"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0"/>
  </rowHierarchiesUsage>
</pivotTableDefinition>
</file>

<file path=xl/pivotTables/pivotTable2.xml><?xml version="1.0" encoding="utf-8"?>
<pivotTableDefinition xmlns:r="http://schemas.openxmlformats.org/officeDocument/2006/relationships" xmlns="http://schemas.openxmlformats.org/spreadsheetml/2006/main" name="PVT_Expenses1" cacheId="601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U10:V29"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9">
    <i t="data" r="0" i="0">
      <x v="11"/>
    </i>
    <i t="data" r="0" i="0">
      <x v="12"/>
    </i>
    <i t="data" r="0" i="0">
      <x v="5"/>
    </i>
    <i t="data" r="0" i="0">
      <x v="16"/>
    </i>
    <i t="data" r="0" i="0">
      <x v="7"/>
    </i>
    <i t="data" r="0" i="0">
      <x v="8"/>
    </i>
    <i t="data" r="0" i="0">
      <x v="6"/>
    </i>
    <i t="data" r="0" i="0">
      <x v="17"/>
    </i>
    <i t="data" r="0" i="0">
      <x v="13"/>
    </i>
    <i t="data" r="0" i="0">
      <x v="9"/>
    </i>
    <i t="data" r="0" i="0">
      <x v="2"/>
    </i>
    <i t="data" r="0" i="0">
      <x v="0"/>
    </i>
    <i t="data" r="0" i="0">
      <x v="1"/>
    </i>
    <i t="data" r="0" i="0">
      <x v="14"/>
    </i>
    <i t="data" r="0" i="0">
      <x v="15"/>
    </i>
    <i t="data" r="0" i="0">
      <x v="4"/>
    </i>
    <i t="data" r="0" i="0">
      <x v="3"/>
    </i>
    <i t="data" r="0" i="0">
      <x v="10"/>
    </i>
    <i t="grand" r="0" i="0">
      <x v="0"/>
    </i>
  </rowItems>
  <colItems count="1">
    <i t="data" r="0" i="0"/>
  </colItems>
  <dataFields count="1">
    <dataField name="Sum of Annual" fld="1" subtotal="sum" showDataAs="normal" baseField="0" baseItem="7" numFmtId="5"/>
  </dataField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3"/>
  </rowHierarchiesUsage>
</pivotTableDefinition>
</file>

<file path=xl/pivotTables/pivotTable3.xml><?xml version="1.0" encoding="utf-8"?>
<pivotTableDefinition xmlns:r="http://schemas.openxmlformats.org/officeDocument/2006/relationships" xmlns="http://schemas.openxmlformats.org/spreadsheetml/2006/main" name="PVT_Savings" cacheId="601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A10:AB16"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6">
        <item t="data" sd="1" x="0"/>
        <item t="data" sd="1" x="1"/>
        <item t="data" sd="1" x="2"/>
        <item t="data" sd="1" x="3"/>
        <item t="data" sd="1" x="4"/>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6">
    <i t="data" r="0" i="0">
      <x v="2"/>
    </i>
    <i t="data" r="0" i="0">
      <x v="3"/>
    </i>
    <i t="data" r="0" i="0">
      <x v="1"/>
    </i>
    <i t="data" r="0" i="0">
      <x v="4"/>
    </i>
    <i t="data" r="0" i="0">
      <x v="0"/>
    </i>
    <i t="grand" r="0" i="0">
      <x v="0"/>
    </i>
  </rowItems>
  <colItems count="1">
    <i t="data" r="0" i="0"/>
  </colItems>
  <dataFields count="1">
    <dataField name="Sum of Annual" fld="1" subtotal="sum" showDataAs="normal" baseField="0" baseItem="2" numFmtId="169"/>
  </dataField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9"/>
  </rowHierarchiesUsage>
</pivotTableDefinition>
</file>

<file path=xl/pivotTables/pivotTable4.xml><?xml version="1.0" encoding="utf-8"?>
<pivotTableDefinition xmlns:r="http://schemas.openxmlformats.org/officeDocument/2006/relationships" xmlns="http://schemas.openxmlformats.org/spreadsheetml/2006/main" name="PVT_Income" cacheId="60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R10:S17"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7">
        <item t="data" sd="1" x="0"/>
        <item t="data" sd="1" x="1"/>
        <item t="data" sd="1" x="2"/>
        <item t="data" sd="1" x="3"/>
        <item t="data" sd="1" x="4"/>
        <item t="data" sd="1" x="5"/>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7">
    <i t="data" r="0" i="0">
      <x v="2"/>
    </i>
    <i t="data" r="0" i="0">
      <x v="3"/>
    </i>
    <i t="data" r="0" i="0">
      <x v="4"/>
    </i>
    <i t="data" r="0" i="0">
      <x v="0"/>
    </i>
    <i t="data" r="0" i="0">
      <x v="1"/>
    </i>
    <i t="data" r="0" i="0">
      <x v="5"/>
    </i>
    <i t="grand" r="0" i="0">
      <x v="0"/>
    </i>
  </rowItems>
  <colItems count="1">
    <i t="data" r="0" i="0"/>
  </colItems>
  <dataFields count="1">
    <dataField name="Annual Income" fld="1" subtotal="sum" showDataAs="normal" baseField="0" baseItem="1" numFmtId="169"/>
  </dataField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18" showRowHeaders="1" showColHeaders="1" showRowStripes="0" showColStripes="0" showLastColumn="1"/>
  <rowHierarchiesUsage count="1">
    <rowHierarchyUsage hierarchyUsage="6"/>
  </rowHierarchiesUsage>
</pivotTableDefinition>
</file>

<file path=xl/tables/table1.xml><?xml version="1.0" encoding="utf-8"?>
<table xmlns="http://schemas.openxmlformats.org/spreadsheetml/2006/main" id="1" name="Daily" displayName="Daily" ref="B11:F55" headerRowCount="1" totalsRowCount="1" headerRowDxfId="83" dataDxfId="82" totalsRowDxfId="81">
  <autoFilter ref="B11:F54"/>
  <tableColumns count="5">
    <tableColumn id="1" name="Type" totalsRowLabel="Total" dataDxfId="79" totalsRowDxfId="80" dataCellStyle="Comma" totalsRowCellStyle="Comma"/>
    <tableColumn id="2" name="Description" dataDxfId="77" totalsRowDxfId="78"/>
    <tableColumn id="3" name="Daily" totalsRowFunction="custom" dataDxfId="75" totalsRowDxfId="76">
      <totalsRowFormula>SUMIF(Daily[Type],"Income",Daily[Daily])-SUMIF(Daily[Type],"&lt;&gt;Income",Daily[Daily])</totalsRowFormula>
    </tableColumn>
    <tableColumn id="14" name="Monthly" totalsRowFunction="custom" dataDxfId="73" totalsRowDxfId="74">
      <calculatedColumnFormula>Daily[[#This Row],[Annual]]/12</calculatedColumnFormula>
      <totalsRowFormula>SUMIF(Daily[Type],"Income",Daily[Monthly])-SUMIF(Daily[Type],"&lt;&gt;Income",Daily[Monthly])</totalsRowFormula>
    </tableColumn>
    <tableColumn id="15" name="Annual" totalsRowFunction="custom" dataDxfId="71" totalsRowDxfId="72">
      <calculatedColumnFormula>Daily[[#This Row],[Daily]]*365</calculatedColumnFormula>
      <totalsRowFormula>SUMIF(Daily[Type],"Income",Daily[Annual])-SUMIF(Daily[Type],"&lt;&gt;Income",Daily[Annual])</totalsRowFormula>
    </tableColumn>
  </tableColumns>
  <tableStyleInfo name="Daily Summary" showFirstColumn="0" showLastColumn="0" showRowStripes="1" showColumnStripes="0"/>
</table>
</file>

<file path=xl/tables/table2.xml><?xml version="1.0" encoding="utf-8"?>
<table xmlns="http://schemas.openxmlformats.org/spreadsheetml/2006/main" id="2" name="Monthly" displayName="Monthly" ref="B4:P48" headerRowCount="1" totalsRowCount="1" headerRowDxfId="68" dataDxfId="67" totalsRowDxfId="66" headerRowBorderDxfId="65" headerRowCellStyle="Heading 3">
  <autoFilter ref="B4:P47"/>
  <tableColumns count="15">
    <tableColumn id="1" name="Type" totalsRowLabel="Total" dataDxfId="63" totalsRowDxfId="64"/>
    <tableColumn id="2" name="Description" dataDxfId="61" totalsRowDxfId="62"/>
    <tableColumn id="3" name="Jan" totalsRowFunction="custom" dataDxfId="59" totalsRowDxfId="60">
      <totalsRowFormula>SUMIF(Monthly[Type],"Income",Monthly[Jan])-SUMIF(Monthly[Type],"&lt;&gt;Income",Monthly[Jan])</totalsRowFormula>
    </tableColumn>
    <tableColumn id="4" name="Feb" totalsRowFunction="custom" dataDxfId="57" totalsRowDxfId="58">
      <totalsRowFormula>SUMIF(Monthly[Type],"Income",Monthly[Feb])-SUMIF(Monthly[Type],"&lt;&gt;Income",Monthly[Feb])</totalsRowFormula>
    </tableColumn>
    <tableColumn id="5" name="Mar" totalsRowFunction="custom" dataDxfId="55" totalsRowDxfId="56">
      <totalsRowFormula>SUMIF(Monthly[Type],"Income",Monthly[Mar])-SUMIF(Monthly[Type],"&lt;&gt;Income",Monthly[Mar])</totalsRowFormula>
    </tableColumn>
    <tableColumn id="6" name="Apr" totalsRowFunction="custom" dataDxfId="53" totalsRowDxfId="54">
      <totalsRowFormula>SUMIF(Monthly[Type],"Income",Monthly[Apr])-SUMIF(Monthly[Type],"&lt;&gt;Income",Monthly[Apr])</totalsRowFormula>
    </tableColumn>
    <tableColumn id="7" name="May" totalsRowFunction="custom" dataDxfId="51" totalsRowDxfId="52">
      <totalsRowFormula>SUMIF(Monthly[Type],"Income",Monthly[May])-SUMIF(Monthly[Type],"&lt;&gt;Income",Monthly[May])</totalsRowFormula>
    </tableColumn>
    <tableColumn id="8" name="Jun" totalsRowFunction="custom" dataDxfId="49" totalsRowDxfId="50">
      <totalsRowFormula>SUMIF(Monthly[Type],"Income",Monthly[Jun])-SUMIF(Monthly[Type],"&lt;&gt;Income",Monthly[Jun])</totalsRowFormula>
    </tableColumn>
    <tableColumn id="9" name="Jul" totalsRowFunction="custom" dataDxfId="47" totalsRowDxfId="48">
      <totalsRowFormula>SUMIF(Monthly[Type],"Income",Monthly[Jul])-SUMIF(Monthly[Type],"&lt;&gt;Income",Monthly[Jul])</totalsRowFormula>
    </tableColumn>
    <tableColumn id="10" name="Aug" totalsRowFunction="custom" dataDxfId="45" totalsRowDxfId="46">
      <totalsRowFormula>SUMIF(Monthly[Type],"Income",Monthly[Aug])-SUMIF(Monthly[Type],"&lt;&gt;Income",Monthly[Aug])</totalsRowFormula>
    </tableColumn>
    <tableColumn id="11" name="Sep" totalsRowFunction="custom" dataDxfId="43" totalsRowDxfId="44">
      <totalsRowFormula>SUMIF(Monthly[Type],"Income",Monthly[Sep])-SUMIF(Monthly[Type],"&lt;&gt;Income",Monthly[Sep])</totalsRowFormula>
    </tableColumn>
    <tableColumn id="12" name="Oct" totalsRowFunction="custom" dataDxfId="41" totalsRowDxfId="42">
      <totalsRowFormula>SUMIF(Monthly[Type],"Income",Monthly[Oct])-SUMIF(Monthly[Type],"&lt;&gt;Income",Monthly[Oct])</totalsRowFormula>
    </tableColumn>
    <tableColumn id="13" name="Nov" totalsRowFunction="custom" dataDxfId="39" totalsRowDxfId="40">
      <totalsRowFormula>SUMIF(Monthly[Type],"Income",Monthly[Nov])-SUMIF(Monthly[Type],"&lt;&gt;Income",Monthly[Nov])</totalsRowFormula>
    </tableColumn>
    <tableColumn id="14" name="Dec" totalsRowFunction="custom" dataDxfId="37" totalsRowDxfId="38">
      <totalsRowFormula>SUMIF(Monthly[Type],"Income",Monthly[Dec])-SUMIF(Monthly[Type],"&lt;&gt;Income",Monthly[Dec])</totalsRowFormula>
    </tableColumn>
    <tableColumn id="15" name="Total" totalsRowFunction="custom" dataDxfId="35" totalsRowDxfId="36">
      <calculatedColumnFormula>SUM(Monthly[[#This Row],[Jan]:[Dec]])</calculatedColumnFormula>
      <totalsRowFormula>SUMIF(Monthly[Type],"Income",Monthly[Total])-SUMIF(Monthly[Type],"&lt;&gt;Income",Monthly[Total])</totalsRowFormula>
    </tableColumn>
  </tableColumns>
  <tableStyleInfo name="Monthly Cash Flow" showFirstColumn="0" showLastColumn="0" showRowStripes="1" showColumnStripes="0"/>
</table>
</file>

<file path=xl/tables/table3.xml><?xml version="1.0" encoding="utf-8"?>
<table xmlns="http://schemas.openxmlformats.org/spreadsheetml/2006/main" id="3" name="Income" displayName="Income" ref="B4:D11" headerRowCount="1" totalsRowCount="1" headerRowDxfId="34" dataDxfId="33" totalsRowDxfId="32">
  <tableColumns count="3">
    <tableColumn id="1" name="Income" totalsRowLabel="Total" dataDxfId="30" totalsRowDxfId="31"/>
    <tableColumn id="2" name="Annual  " totalsRowFunction="sum" dataDxfId="28" totalsRowDxfId="29"/>
    <tableColumn id="3" name="Monthly " totalsRowFunction="sum" dataDxfId="26" totalsRowDxfId="27">
      <calculatedColumnFormula>Income[[#This Row],[Annual  ]]/12</calculatedColumnFormula>
    </tableColumn>
  </tableColumns>
  <tableStyleInfo name="Personal Cash Flow Statement" showFirstColumn="1" showLastColumn="1" showRowStripes="0" showColumnStripes="0"/>
</table>
</file>

<file path=xl/tables/table4.xml><?xml version="1.0" encoding="utf-8"?>
<table xmlns="http://schemas.openxmlformats.org/spreadsheetml/2006/main" id="4" name="Expenses" displayName="Expenses" ref="B4:D23" headerRowCount="1" totalsRowCount="1" headerRowDxfId="25" dataDxfId="24" totalsRowDxfId="23">
  <tableColumns count="3">
    <tableColumn id="1" name="Expenses" totalsRowLabel="Total" totalsRowDxfId="22"/>
    <tableColumn id="2" name="Annual  " totalsRowFunction="sum" dataDxfId="20" totalsRowDxfId="21"/>
    <tableColumn id="3" name="Monthly " totalsRowFunction="sum" dataDxfId="18" totalsRowDxfId="19">
      <calculatedColumnFormula>Expenses[[#This Row],[Annual  ]]/12</calculatedColumnFormula>
    </tableColumn>
  </tableColumns>
  <tableStyleInfo name="Personal Cash Flow Statement" showFirstColumn="1" showLastColumn="1" showRowStripes="0" showColumnStripes="0"/>
</table>
</file>

<file path=xl/tables/table5.xml><?xml version="1.0" encoding="utf-8"?>
<table xmlns="http://schemas.openxmlformats.org/spreadsheetml/2006/main" id="5" name="Discretionary" displayName="Discretionary" ref="B4:D16" headerRowCount="1" totalsRowCount="1" headerRowDxfId="17" dataDxfId="16" totalsRowDxfId="15">
  <tableColumns count="3">
    <tableColumn id="1" name="Expenses" totalsRowLabel="Total" dataDxfId="13" totalsRowDxfId="14"/>
    <tableColumn id="2" name="Annual  " totalsRowFunction="sum" dataDxfId="11" totalsRowDxfId="12"/>
    <tableColumn id="3" name="Monthly " totalsRowFunction="sum" dataDxfId="9" totalsRowDxfId="10">
      <calculatedColumnFormula>Discretionary[[#This Row],[Annual  ]]/12</calculatedColumnFormula>
    </tableColumn>
  </tableColumns>
  <tableStyleInfo name="Personal Cash Flow Statement" showFirstColumn="1" showLastColumn="1" showRowStripes="0" showColumnStripes="0"/>
</table>
</file>

<file path=xl/tables/table6.xml><?xml version="1.0" encoding="utf-8"?>
<table xmlns="http://schemas.openxmlformats.org/spreadsheetml/2006/main" id="6" name="Savings" displayName="Savings" ref="B4:D10" headerRowCount="1" totalsRowCount="1" headerRowDxfId="8" dataDxfId="7" totalsRowDxfId="6">
  <tableColumns count="3">
    <tableColumn id="1" name="Savings" totalsRowLabel="Total" dataDxfId="4" totalsRowDxfId="5"/>
    <tableColumn id="2" name="Annual  " totalsRowFunction="sum" dataDxfId="2" totalsRowDxfId="3"/>
    <tableColumn id="3" name="Monthly " totalsRowFunction="sum" dataDxfId="0" totalsRowDxfId="1">
      <calculatedColumnFormula>Savings[[#This Row],[Annual  ]]/12</calculatedColumnFormula>
    </tableColumn>
  </tableColumns>
  <tableStyleInfo name="Personal Cash Flow Statement" showFirstColumn="1" showLastColumn="1" showRowStripes="0" showColumnStripes="0"/>
</table>
</file>

<file path=xl/theme/theme1.xml><?xml version="1.0" encoding="utf-8"?>
<a:theme xmlns:a="http://schemas.openxmlformats.org/drawingml/2006/main" name="Office Theme">
  <a:themeElements>
    <a:clrScheme name="Personal Cash Flow Statement">
      <a:dk1>
        <a:srgbClr val="000000"/>
      </a:dk1>
      <a:lt1>
        <a:srgbClr val="FFFFFF"/>
      </a:lt1>
      <a:dk2>
        <a:srgbClr val="1A1A17"/>
      </a:dk2>
      <a:lt2>
        <a:srgbClr val="FAF7F0"/>
      </a:lt2>
      <a:accent1>
        <a:srgbClr val="E58555"/>
      </a:accent1>
      <a:accent2>
        <a:srgbClr val="62A293"/>
      </a:accent2>
      <a:accent3>
        <a:srgbClr val="F7AF4F"/>
      </a:accent3>
      <a:accent4>
        <a:srgbClr val="A7BD6F"/>
      </a:accent4>
      <a:accent5>
        <a:srgbClr val="D5BD85"/>
      </a:accent5>
      <a:accent6>
        <a:srgbClr val="996B7B"/>
      </a:accent6>
      <a:hlink>
        <a:srgbClr val="A7BD6F"/>
      </a:hlink>
      <a:folHlink>
        <a:srgbClr val="996B7B"/>
      </a:folHlink>
    </a:clrScheme>
    <a:fontScheme name="Custom 68">
      <a:majorFont>
        <a:latin typeface="Cambria"/>
        <a:ea typeface=""/>
        <a:cs typeface=""/>
      </a:majorFont>
      <a:minorFont>
        <a:latin typeface="Lucida San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pivotTable" Target="/xl/pivotTables/pivotTable1.xml" Id="rId2" /><Relationship Type="http://schemas.openxmlformats.org/officeDocument/2006/relationships/pivotTable" Target="/xl/pivotTables/pivotTable2.xml" Id="rId3" /><Relationship Type="http://schemas.openxmlformats.org/officeDocument/2006/relationships/pivotTable" Target="/xl/pivotTables/pivotTable3.xml" Id="rId4" /><Relationship Type="http://schemas.openxmlformats.org/officeDocument/2006/relationships/pivotTable" Target="/xl/pivotTables/pivotTable4.xml" Id="rId5"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codeName="Sheet1">
    <outlinePr summaryBelow="1" summaryRight="1"/>
    <pageSetUpPr autoPageBreaks="0" fitToPage="1"/>
  </sheetPr>
  <dimension ref="A1:L7"/>
  <sheetViews>
    <sheetView showGridLines="0" tabSelected="1" zoomScaleNormal="100" workbookViewId="0">
      <selection activeCell="A1" sqref="A1"/>
    </sheetView>
  </sheetViews>
  <sheetFormatPr baseColWidth="8" defaultColWidth="8.88671875" defaultRowHeight="13.9"/>
  <cols>
    <col width="1.77734375" customWidth="1" style="2" min="1" max="1"/>
    <col width="30.33203125" customWidth="1" style="2" min="2" max="2"/>
    <col width="1.33203125" customWidth="1" style="2" min="3" max="3"/>
    <col width="1.77734375" customWidth="1" style="2" min="4" max="4"/>
    <col width="30.33203125" customWidth="1" style="2" min="5" max="5"/>
    <col width="1.33203125" customWidth="1" style="2" min="6" max="6"/>
    <col width="1.77734375" customWidth="1" style="2" min="7" max="7"/>
    <col width="30.33203125" customWidth="1" style="2" min="8" max="8"/>
    <col width="1.33203125" customWidth="1" style="2" min="9" max="9"/>
    <col width="14.77734375" customWidth="1" style="2" min="10" max="11"/>
    <col width="1.77734375" customWidth="1" style="2" min="12" max="12"/>
    <col width="8.88671875" customWidth="1" style="2" min="13" max="16384"/>
  </cols>
  <sheetData>
    <row r="1" ht="43.5" customFormat="1" customHeight="1" s="13">
      <c r="A1" s="17" t="n"/>
      <c r="L1" s="13" t="inlineStr">
        <is>
          <t> </t>
        </is>
      </c>
    </row>
    <row r="2" ht="75" customFormat="1" customHeight="1" s="5">
      <c r="B2" s="100" t="inlineStr">
        <is>
          <t>PERSONAL CASH FLOW</t>
        </is>
      </c>
      <c r="I2" s="12" t="n"/>
    </row>
    <row r="3" ht="43.5" customFormat="1" customHeight="1" s="59">
      <c r="B3" s="91" t="inlineStr">
        <is>
          <t xml:space="preserve">  This workbook has annual, monthly and daily cash flow worksheets. 
  Choose the cash flow type that works best for you or use them all to help gain insight on your personal cash flow.</t>
        </is>
      </c>
    </row>
    <row r="4" ht="9" customHeight="1" s="102"/>
    <row r="5" ht="36" customFormat="1" customHeight="1" s="4">
      <c r="B5" s="11" t="inlineStr">
        <is>
          <t>Daily cash flow</t>
        </is>
      </c>
      <c r="C5" s="11" t="n"/>
      <c r="E5" s="10" t="inlineStr">
        <is>
          <t>Monthly cash flow</t>
        </is>
      </c>
      <c r="F5" s="10" t="n"/>
      <c r="H5" s="9" t="inlineStr">
        <is>
          <t>Annual cash flow</t>
        </is>
      </c>
      <c r="I5" s="9" t="n"/>
    </row>
    <row r="6" ht="9" customHeight="1" s="102">
      <c r="B6" s="6" t="n"/>
      <c r="C6" s="6" t="n"/>
      <c r="E6" s="8" t="n"/>
      <c r="F6" s="8" t="n"/>
      <c r="H6" s="7" t="n"/>
      <c r="I6" s="7" t="n"/>
    </row>
    <row r="7" ht="111" customFormat="1" customHeight="1" s="25">
      <c r="B7" s="58" t="inlineStr">
        <is>
          <t>Enter an estimated amount of cash flow you experience daily and review the estimated monthly and annual totals.  Use this to get a sense of what your daily spending habits will look like over the course of a month or year.</t>
        </is>
      </c>
      <c r="C7" s="28" t="n"/>
      <c r="E7" s="57" t="inlineStr">
        <is>
          <t>Enter the monthly cash flow you experience monthly or estimate the remaining months to see the projected cash flow for the year for each month.</t>
        </is>
      </c>
      <c r="F7" s="27" t="n"/>
      <c r="H7" s="56" t="inlineStr">
        <is>
          <t>Enter an annual cash flow amount in four worksheets: Income, Expenses, Discretionary, and Savings. 
See the monthly break down and how everything compares, and most importantly what your bottom line is in both annual and monthly figures.</t>
        </is>
      </c>
      <c r="I7" s="26" t="n"/>
    </row>
  </sheetData>
  <mergeCells count="2">
    <mergeCell ref="B3:I3"/>
    <mergeCell ref="B2:H2"/>
  </mergeCells>
  <printOptions horizontalCentered="1"/>
  <pageMargins left="0.25" right="0.25" top="0.5" bottom="0.5" header="0.5" footer="0.5"/>
  <pageSetup orientation="landscape" scale="82" fitToHeight="0"/>
  <headerFooter differentFirst="1">
    <oddHeader/>
    <oddFooter>&amp;L&amp;C&amp;R</oddFooter>
    <evenHeader/>
    <evenFooter/>
    <firstHeader/>
    <firstFooter/>
  </headerFooter>
</worksheet>
</file>

<file path=xl/worksheets/sheet2.xml><?xml version="1.0" encoding="utf-8"?>
<worksheet xmlns="http://schemas.openxmlformats.org/spreadsheetml/2006/main">
  <sheetPr>
    <tabColor theme="3" tint="0.249977111117893"/>
    <outlinePr summaryBelow="1" summaryRight="1"/>
    <pageSetUpPr autoPageBreaks="0" fitToPage="1"/>
  </sheetPr>
  <dimension ref="A1:I55"/>
  <sheetViews>
    <sheetView showGridLines="0" zoomScaleNormal="100" workbookViewId="0">
      <selection activeCell="A1" sqref="A1"/>
    </sheetView>
  </sheetViews>
  <sheetFormatPr baseColWidth="8" defaultColWidth="16.6640625" defaultRowHeight="30" customHeight="1"/>
  <cols>
    <col width="1.77734375" customWidth="1" style="34" min="1" max="1"/>
    <col width="14.77734375" customWidth="1" style="34" min="2" max="2"/>
    <col width="18.77734375" customWidth="1" style="34" min="3" max="3"/>
    <col width="16.6640625" customWidth="1" style="34" min="4" max="5"/>
    <col width="14.77734375" customWidth="1" style="34" min="6" max="9"/>
    <col width="1.77734375" customWidth="1" style="34" min="10" max="10"/>
    <col width="16.6640625" customWidth="1" style="34" min="11" max="16384"/>
  </cols>
  <sheetData>
    <row r="1" ht="44.1" customFormat="1" customHeight="1" s="16">
      <c r="A1" s="18" t="n"/>
      <c r="B1" s="16" t="inlineStr">
        <is>
          <t>PERSONAL CASH FLOW</t>
        </is>
      </c>
      <c r="F1" t="inlineStr">
        <is>
          <t>Guide!A1</t>
        </is>
      </c>
      <c r="G1" t="inlineStr">
        <is>
          <t>'Monthly Cash Flow'!A1</t>
        </is>
      </c>
      <c r="H1" t="inlineStr">
        <is>
          <t>'Daily Summary'!A1</t>
        </is>
      </c>
      <c r="I1" t="inlineStr">
        <is>
          <t>Income!A1</t>
        </is>
      </c>
    </row>
    <row r="2" ht="44.1" customFormat="1" customHeight="1" s="3">
      <c r="B2" s="85" t="n"/>
      <c r="C2" s="85" t="inlineStr">
        <is>
          <t>Total available cash:</t>
        </is>
      </c>
      <c r="D2" s="103" t="n"/>
      <c r="F2" s="92" t="inlineStr">
        <is>
          <t>NOTE: If you wish to add daily items to the table, estimate their monthly amount/value and place value in the appropriate month column.</t>
        </is>
      </c>
      <c r="G2" s="104" t="n"/>
      <c r="H2" s="104" t="n"/>
      <c r="I2" s="104" t="n"/>
    </row>
    <row r="3" ht="33.95" customFormat="1" customHeight="1" s="3">
      <c r="B3" s="44" t="n"/>
      <c r="C3" s="44" t="n"/>
      <c r="D3" s="105" t="n"/>
      <c r="E3" s="105" t="n"/>
      <c r="F3" s="41" t="n"/>
      <c r="G3" s="41" t="n"/>
      <c r="H3" s="41" t="n"/>
      <c r="I3" s="41" t="n"/>
    </row>
    <row r="4" ht="33.75" customFormat="1" customHeight="1" s="25" thickBot="1">
      <c r="B4" s="106" t="inlineStr">
        <is>
          <t>DAILY SUMMARY</t>
        </is>
      </c>
      <c r="C4" s="107" t="n"/>
      <c r="D4" s="107" t="n"/>
      <c r="E4" s="107" t="n"/>
      <c r="F4" s="24" t="n"/>
      <c r="G4" s="24" t="n"/>
      <c r="H4" s="24" t="n"/>
    </row>
    <row r="5" ht="30" customFormat="1" customHeight="1" s="46">
      <c r="B5" s="108" t="inlineStr">
        <is>
          <t>Totals</t>
        </is>
      </c>
      <c r="C5" s="55" t="inlineStr">
        <is>
          <t>Daily</t>
        </is>
      </c>
      <c r="D5" s="55" t="inlineStr">
        <is>
          <t>Monthly</t>
        </is>
      </c>
      <c r="E5" s="55" t="inlineStr">
        <is>
          <t xml:space="preserve">Annual </t>
        </is>
      </c>
    </row>
    <row r="6" ht="30" customFormat="1" customHeight="1" s="25">
      <c r="B6" s="109" t="inlineStr">
        <is>
          <t>Income</t>
        </is>
      </c>
      <c r="C6" s="110" t="n"/>
      <c r="D6" s="110" t="n"/>
      <c r="E6" s="110" t="n"/>
    </row>
    <row r="7" ht="30" customFormat="1" customHeight="1" s="25">
      <c r="B7" s="111" t="inlineStr">
        <is>
          <t>Expenses</t>
        </is>
      </c>
      <c r="C7" s="110" t="n"/>
      <c r="D7" s="110" t="n"/>
      <c r="E7" s="110" t="n"/>
    </row>
    <row r="8" ht="30" customFormat="1" customHeight="1" s="25">
      <c r="B8" s="111" t="inlineStr">
        <is>
          <t>Discretionary</t>
        </is>
      </c>
      <c r="C8" s="110" t="n"/>
      <c r="D8" s="110" t="n"/>
      <c r="E8" s="110" t="n"/>
    </row>
    <row r="9" ht="30" customFormat="1" customHeight="1" s="25">
      <c r="B9" s="111" t="inlineStr">
        <is>
          <t>Savings</t>
        </is>
      </c>
      <c r="C9" s="110" t="n"/>
      <c r="D9" s="110" t="n"/>
      <c r="E9" s="110" t="n"/>
    </row>
    <row r="10" ht="33.95" customFormat="1" customHeight="1" s="3">
      <c r="B10" s="44" t="n"/>
      <c r="C10" s="44" t="n"/>
      <c r="D10" s="105" t="n"/>
      <c r="E10" s="105" t="n"/>
      <c r="F10" s="41" t="n"/>
      <c r="G10" s="41" t="n"/>
      <c r="H10" s="41" t="n"/>
      <c r="I10" s="41" t="n"/>
    </row>
    <row r="11" ht="33.95" customFormat="1" customHeight="1" s="25">
      <c r="B11" s="112" t="inlineStr">
        <is>
          <t>Type</t>
        </is>
      </c>
      <c r="C11" s="53" t="inlineStr">
        <is>
          <t>Description</t>
        </is>
      </c>
      <c r="D11" s="53" t="inlineStr">
        <is>
          <t>Daily</t>
        </is>
      </c>
      <c r="E11" s="53" t="inlineStr">
        <is>
          <t>Monthly</t>
        </is>
      </c>
      <c r="F11" s="53" t="inlineStr">
        <is>
          <t>Annual</t>
        </is>
      </c>
    </row>
    <row r="12" ht="30" customHeight="1" s="102">
      <c r="B12" s="113" t="inlineStr">
        <is>
          <t>Income</t>
        </is>
      </c>
      <c r="C12" s="34" t="inlineStr">
        <is>
          <t>Salary</t>
        </is>
      </c>
      <c r="D12" s="114" t="n">
        <v>246.58</v>
      </c>
      <c r="E12" s="114" t="n"/>
      <c r="F12" s="114" t="n"/>
    </row>
    <row r="13" ht="30" customHeight="1" s="102">
      <c r="B13" s="113" t="inlineStr">
        <is>
          <t>Income</t>
        </is>
      </c>
      <c r="C13" s="34" t="inlineStr">
        <is>
          <t>Commissions/bonus</t>
        </is>
      </c>
      <c r="D13" s="114" t="n">
        <v>13.7</v>
      </c>
      <c r="E13" s="114" t="n"/>
      <c r="F13" s="114" t="n"/>
    </row>
    <row r="14" ht="30" customHeight="1" s="102">
      <c r="B14" s="113" t="inlineStr">
        <is>
          <t>Income</t>
        </is>
      </c>
      <c r="C14" s="34" t="inlineStr">
        <is>
          <t>Other 1</t>
        </is>
      </c>
      <c r="D14" s="114" t="n">
        <v>82.19</v>
      </c>
      <c r="E14" s="114" t="n"/>
      <c r="F14" s="114" t="n"/>
    </row>
    <row r="15" ht="30" customHeight="1" s="102">
      <c r="B15" s="113" t="inlineStr">
        <is>
          <t>Income</t>
        </is>
      </c>
      <c r="C15" s="34" t="inlineStr">
        <is>
          <t>Other 2</t>
        </is>
      </c>
      <c r="D15" s="114" t="n">
        <v>0</v>
      </c>
      <c r="E15" s="114" t="n"/>
      <c r="F15" s="114" t="n"/>
    </row>
    <row r="16" ht="30" customHeight="1" s="102">
      <c r="B16" s="113" t="inlineStr">
        <is>
          <t>Income</t>
        </is>
      </c>
      <c r="C16" s="34" t="inlineStr">
        <is>
          <t>Other 3</t>
        </is>
      </c>
      <c r="D16" s="114" t="n">
        <v>0</v>
      </c>
      <c r="E16" s="114" t="n"/>
      <c r="F16" s="114" t="n"/>
    </row>
    <row r="17" ht="30" customHeight="1" s="102">
      <c r="B17" s="113" t="inlineStr">
        <is>
          <t>Income</t>
        </is>
      </c>
      <c r="C17" s="34" t="inlineStr">
        <is>
          <t>Other 4</t>
        </is>
      </c>
      <c r="D17" s="114" t="n">
        <v>0</v>
      </c>
      <c r="E17" s="114" t="n"/>
      <c r="F17" s="114" t="n"/>
    </row>
    <row r="18" ht="30" customHeight="1" s="102">
      <c r="B18" s="113" t="inlineStr">
        <is>
          <t>Expenses</t>
        </is>
      </c>
      <c r="C18" s="34" t="inlineStr">
        <is>
          <t>Federal/SS/Medicare</t>
        </is>
      </c>
      <c r="D18" s="114" t="n">
        <v>41.1</v>
      </c>
      <c r="E18" s="114" t="n"/>
      <c r="F18" s="114" t="n"/>
    </row>
    <row r="19" ht="30" customHeight="1" s="102">
      <c r="B19" s="113" t="inlineStr">
        <is>
          <t>Expenses</t>
        </is>
      </c>
      <c r="C19" s="34" t="inlineStr">
        <is>
          <t>State income tax</t>
        </is>
      </c>
      <c r="D19" s="114" t="n">
        <v>6.85</v>
      </c>
      <c r="E19" s="114" t="n"/>
      <c r="F19" s="114" t="n"/>
    </row>
    <row r="20" ht="30" customHeight="1" s="102">
      <c r="B20" s="113" t="inlineStr">
        <is>
          <t>Expenses</t>
        </is>
      </c>
      <c r="C20" s="34" t="inlineStr">
        <is>
          <t>Vehicle tax/fees</t>
        </is>
      </c>
      <c r="D20" s="114" t="n">
        <v>0.55</v>
      </c>
      <c r="E20" s="114" t="n"/>
      <c r="F20" s="114" t="n"/>
    </row>
    <row r="21" ht="30" customHeight="1" s="102">
      <c r="B21" s="113" t="inlineStr">
        <is>
          <t>Expenses</t>
        </is>
      </c>
      <c r="C21" s="34" t="inlineStr">
        <is>
          <t>Vehicle payments</t>
        </is>
      </c>
      <c r="D21" s="114" t="n">
        <v>10.96</v>
      </c>
      <c r="E21" s="114" t="n"/>
      <c r="F21" s="114" t="n"/>
    </row>
    <row r="22" ht="30" customHeight="1" s="102">
      <c r="B22" s="113" t="inlineStr">
        <is>
          <t>Expenses</t>
        </is>
      </c>
      <c r="C22" s="34" t="inlineStr">
        <is>
          <t>Mortgage/rent</t>
        </is>
      </c>
      <c r="D22" s="114" t="n">
        <v>41.1</v>
      </c>
      <c r="E22" s="114" t="n"/>
      <c r="F22" s="114" t="n"/>
    </row>
    <row r="23" ht="30" customHeight="1" s="102">
      <c r="B23" s="113" t="inlineStr">
        <is>
          <t>Expenses</t>
        </is>
      </c>
      <c r="C23" s="34" t="inlineStr">
        <is>
          <t>Insurance</t>
        </is>
      </c>
      <c r="D23" s="114" t="n">
        <v>0.68</v>
      </c>
      <c r="E23" s="114" t="n"/>
      <c r="F23" s="114" t="n"/>
    </row>
    <row r="24" ht="30" customHeight="1" s="102">
      <c r="B24" s="113" t="inlineStr">
        <is>
          <t>Expenses</t>
        </is>
      </c>
      <c r="C24" s="34" t="inlineStr">
        <is>
          <t>Electricity</t>
        </is>
      </c>
      <c r="D24" s="114" t="n">
        <v>3.29</v>
      </c>
      <c r="E24" s="114" t="n"/>
      <c r="F24" s="114" t="n"/>
    </row>
    <row r="25" ht="30" customHeight="1" s="102">
      <c r="B25" s="113" t="inlineStr">
        <is>
          <t>Expenses</t>
        </is>
      </c>
      <c r="C25" s="34" t="inlineStr">
        <is>
          <t>Gas</t>
        </is>
      </c>
      <c r="D25" s="114" t="n">
        <v>1.64</v>
      </c>
      <c r="E25" s="114" t="n"/>
      <c r="F25" s="114" t="n"/>
    </row>
    <row r="26" ht="30" customHeight="1" s="102">
      <c r="B26" s="113" t="inlineStr">
        <is>
          <t>Expenses</t>
        </is>
      </c>
      <c r="C26" s="34" t="inlineStr">
        <is>
          <t>Water</t>
        </is>
      </c>
      <c r="D26" s="114" t="n">
        <v>1.64</v>
      </c>
      <c r="E26" s="114" t="n"/>
      <c r="F26" s="114" t="n"/>
    </row>
    <row r="27" ht="30" customHeight="1" s="102">
      <c r="B27" s="113" t="inlineStr">
        <is>
          <t>Expenses</t>
        </is>
      </c>
      <c r="C27" s="34" t="inlineStr">
        <is>
          <t>Sewer</t>
        </is>
      </c>
      <c r="D27" s="114" t="n">
        <v>0.82</v>
      </c>
      <c r="E27" s="114" t="n"/>
      <c r="F27" s="114" t="n"/>
    </row>
    <row r="28" ht="30" customHeight="1" s="102">
      <c r="B28" s="113" t="inlineStr">
        <is>
          <t>Expenses</t>
        </is>
      </c>
      <c r="C28" s="34" t="inlineStr">
        <is>
          <t>Garbage</t>
        </is>
      </c>
      <c r="D28" s="114" t="n">
        <v>0.41</v>
      </c>
      <c r="E28" s="114" t="n"/>
      <c r="F28" s="114" t="n"/>
    </row>
    <row r="29" ht="30" customHeight="1" s="102">
      <c r="B29" s="113" t="inlineStr">
        <is>
          <t>Expenses</t>
        </is>
      </c>
      <c r="C29" s="34" t="inlineStr">
        <is>
          <t>Phone</t>
        </is>
      </c>
      <c r="D29" s="114" t="n">
        <v>1.64</v>
      </c>
      <c r="E29" s="114" t="n"/>
      <c r="F29" s="114" t="n"/>
    </row>
    <row r="30" ht="30" customHeight="1" s="102">
      <c r="B30" s="113" t="inlineStr">
        <is>
          <t>Expenses</t>
        </is>
      </c>
      <c r="C30" s="34" t="inlineStr">
        <is>
          <t>Internet</t>
        </is>
      </c>
      <c r="D30" s="114" t="n">
        <v>1.64</v>
      </c>
      <c r="E30" s="114" t="n"/>
      <c r="F30" s="114" t="n"/>
    </row>
    <row r="31" ht="30" customHeight="1" s="102">
      <c r="B31" s="113" t="inlineStr">
        <is>
          <t>Expenses</t>
        </is>
      </c>
      <c r="C31" s="34" t="inlineStr">
        <is>
          <t>Disability premiums</t>
        </is>
      </c>
      <c r="D31" s="114" t="n">
        <v>4.11</v>
      </c>
      <c r="E31" s="114" t="n"/>
      <c r="F31" s="114" t="n"/>
    </row>
    <row r="32" ht="30" customHeight="1" s="102">
      <c r="B32" s="113" t="inlineStr">
        <is>
          <t>Expenses</t>
        </is>
      </c>
      <c r="C32" s="34" t="inlineStr">
        <is>
          <t>Food</t>
        </is>
      </c>
      <c r="D32" s="114" t="n">
        <v>13.7</v>
      </c>
      <c r="E32" s="114" t="n"/>
      <c r="F32" s="114" t="n"/>
    </row>
    <row r="33" ht="30" customHeight="1" s="102">
      <c r="B33" s="113" t="inlineStr">
        <is>
          <t>Expenses</t>
        </is>
      </c>
      <c r="C33" s="34" t="inlineStr">
        <is>
          <t>Clothing</t>
        </is>
      </c>
      <c r="D33" s="114" t="n">
        <v>3.29</v>
      </c>
      <c r="E33" s="114" t="n"/>
      <c r="F33" s="114" t="n"/>
    </row>
    <row r="34" ht="30" customHeight="1" s="102">
      <c r="B34" s="113" t="inlineStr">
        <is>
          <t>Expenses</t>
        </is>
      </c>
      <c r="C34" s="34" t="inlineStr">
        <is>
          <t>Medical/dental/Rx</t>
        </is>
      </c>
      <c r="D34" s="114" t="n">
        <v>1.64</v>
      </c>
      <c r="E34" s="114" t="n"/>
      <c r="F34" s="114" t="n"/>
    </row>
    <row r="35" ht="30" customHeight="1" s="102">
      <c r="B35" s="113" t="inlineStr">
        <is>
          <t>Expenses</t>
        </is>
      </c>
      <c r="C35" s="34" t="inlineStr">
        <is>
          <t>Bus</t>
        </is>
      </c>
      <c r="D35" s="114" t="n">
        <v>1</v>
      </c>
      <c r="E35" s="114" t="n"/>
      <c r="F35" s="114" t="n"/>
    </row>
    <row r="36" ht="30" customHeight="1" s="102">
      <c r="B36" s="113" t="inlineStr">
        <is>
          <t>Expenses</t>
        </is>
      </c>
      <c r="C36" s="34" t="inlineStr">
        <is>
          <t>Other 2</t>
        </is>
      </c>
      <c r="D36" s="114" t="n">
        <v>0</v>
      </c>
      <c r="E36" s="114" t="n"/>
      <c r="F36" s="114" t="n"/>
    </row>
    <row r="37" ht="30" customHeight="1" s="102">
      <c r="B37" s="113" t="inlineStr">
        <is>
          <t>Expenses</t>
        </is>
      </c>
      <c r="C37" s="34" t="inlineStr">
        <is>
          <t>Other 3</t>
        </is>
      </c>
      <c r="D37" s="114" t="n">
        <v>0</v>
      </c>
      <c r="E37" s="114" t="n"/>
      <c r="F37" s="114" t="n"/>
    </row>
    <row r="38" ht="30" customHeight="1" s="102">
      <c r="B38" s="113" t="inlineStr">
        <is>
          <t>Expenses</t>
        </is>
      </c>
      <c r="C38" s="34" t="inlineStr">
        <is>
          <t>Other 4</t>
        </is>
      </c>
      <c r="D38" s="114" t="n">
        <v>0</v>
      </c>
      <c r="E38" s="114" t="n"/>
      <c r="F38" s="114" t="n"/>
    </row>
    <row r="39" ht="30" customHeight="1" s="102">
      <c r="B39" s="113" t="inlineStr">
        <is>
          <t>Discretionary</t>
        </is>
      </c>
      <c r="C39" s="34" t="inlineStr">
        <is>
          <t>Dining</t>
        </is>
      </c>
      <c r="D39" s="114" t="n">
        <v>3.29</v>
      </c>
      <c r="E39" s="114" t="n"/>
      <c r="F39" s="114" t="n"/>
    </row>
    <row r="40" ht="30" customHeight="1" s="102">
      <c r="B40" s="113" t="inlineStr">
        <is>
          <t>Discretionary</t>
        </is>
      </c>
      <c r="C40" s="34" t="inlineStr">
        <is>
          <t>Gifts</t>
        </is>
      </c>
      <c r="D40" s="114" t="n">
        <v>1.64</v>
      </c>
      <c r="E40" s="114" t="n"/>
      <c r="F40" s="114" t="n"/>
    </row>
    <row r="41" ht="30" customHeight="1" s="102">
      <c r="B41" s="113" t="inlineStr">
        <is>
          <t>Discretionary</t>
        </is>
      </c>
      <c r="C41" s="34" t="inlineStr">
        <is>
          <t>Travel</t>
        </is>
      </c>
      <c r="D41" s="114" t="n">
        <v>6.16</v>
      </c>
      <c r="E41" s="114" t="n"/>
      <c r="F41" s="114" t="n"/>
    </row>
    <row r="42" ht="30" customHeight="1" s="102">
      <c r="B42" s="113" t="inlineStr">
        <is>
          <t>Discretionary</t>
        </is>
      </c>
      <c r="C42" s="34" t="inlineStr">
        <is>
          <t>Entertainment</t>
        </is>
      </c>
      <c r="D42" s="114" t="n">
        <v>3.29</v>
      </c>
      <c r="E42" s="114" t="n"/>
      <c r="F42" s="114" t="n"/>
    </row>
    <row r="43" ht="30" customHeight="1" s="102">
      <c r="B43" s="113" t="inlineStr">
        <is>
          <t>Discretionary</t>
        </is>
      </c>
      <c r="C43" s="34" t="inlineStr">
        <is>
          <t>Personal care</t>
        </is>
      </c>
      <c r="D43" s="114" t="n">
        <v>0.82</v>
      </c>
      <c r="E43" s="114" t="n"/>
      <c r="F43" s="114" t="n"/>
    </row>
    <row r="44" ht="30" customHeight="1" s="102">
      <c r="B44" s="113" t="inlineStr">
        <is>
          <t>Discretionary</t>
        </is>
      </c>
      <c r="C44" s="34" t="inlineStr">
        <is>
          <t>Shopping</t>
        </is>
      </c>
      <c r="D44" s="114" t="n">
        <v>5.48</v>
      </c>
      <c r="E44" s="114" t="n"/>
      <c r="F44" s="114" t="n"/>
    </row>
    <row r="45" ht="30" customHeight="1" s="102">
      <c r="B45" s="113" t="inlineStr">
        <is>
          <t>Discretionary</t>
        </is>
      </c>
      <c r="C45" s="34" t="inlineStr">
        <is>
          <t>Charity</t>
        </is>
      </c>
      <c r="D45" s="114" t="n">
        <v>1.64</v>
      </c>
      <c r="E45" s="114" t="n"/>
      <c r="F45" s="114" t="n"/>
    </row>
    <row r="46" ht="30" customHeight="1" s="102">
      <c r="B46" s="113" t="inlineStr">
        <is>
          <t>Discretionary</t>
        </is>
      </c>
      <c r="C46" s="34" t="inlineStr">
        <is>
          <t>Club memberships</t>
        </is>
      </c>
      <c r="D46" s="114" t="n">
        <v>0.82</v>
      </c>
      <c r="E46" s="114" t="n"/>
      <c r="F46" s="114" t="n"/>
    </row>
    <row r="47" ht="30" customHeight="1" s="102">
      <c r="B47" s="113" t="inlineStr">
        <is>
          <t>Discretionary</t>
        </is>
      </c>
      <c r="C47" s="34" t="inlineStr">
        <is>
          <t>Home improvements</t>
        </is>
      </c>
      <c r="D47" s="114" t="n">
        <v>13.15</v>
      </c>
      <c r="E47" s="114" t="n"/>
      <c r="F47" s="114" t="n"/>
    </row>
    <row r="48" ht="30" customHeight="1" s="102">
      <c r="B48" s="113" t="inlineStr">
        <is>
          <t>Discretionary</t>
        </is>
      </c>
      <c r="C48" s="34" t="inlineStr">
        <is>
          <t>Other 1</t>
        </is>
      </c>
      <c r="D48" s="114" t="n">
        <v>0</v>
      </c>
      <c r="E48" s="114" t="n"/>
      <c r="F48" s="114" t="n"/>
    </row>
    <row r="49" ht="30" customHeight="1" s="102">
      <c r="B49" s="113" t="inlineStr">
        <is>
          <t>Discretionary</t>
        </is>
      </c>
      <c r="C49" s="34" t="inlineStr">
        <is>
          <t>Other 2</t>
        </is>
      </c>
      <c r="D49" s="114" t="n">
        <v>0</v>
      </c>
      <c r="E49" s="114" t="n"/>
      <c r="F49" s="114" t="n"/>
    </row>
    <row r="50" ht="30" customHeight="1" s="102">
      <c r="B50" s="113" t="inlineStr">
        <is>
          <t>Savings</t>
        </is>
      </c>
      <c r="C50" s="34" t="inlineStr">
        <is>
          <t>Cash reserves</t>
        </is>
      </c>
      <c r="D50" s="114" t="n">
        <v>13.7</v>
      </c>
      <c r="E50" s="114" t="n"/>
      <c r="F50" s="114" t="n"/>
    </row>
    <row r="51" ht="30" customHeight="1" s="102">
      <c r="B51" s="113" t="inlineStr">
        <is>
          <t>Savings</t>
        </is>
      </c>
      <c r="C51" s="34" t="inlineStr">
        <is>
          <t>401k etc.</t>
        </is>
      </c>
      <c r="D51" s="114" t="n">
        <v>32.88</v>
      </c>
      <c r="E51" s="114" t="n"/>
      <c r="F51" s="114" t="n"/>
    </row>
    <row r="52" ht="30" customHeight="1" s="102">
      <c r="B52" s="113" t="inlineStr">
        <is>
          <t>Savings</t>
        </is>
      </c>
      <c r="C52" s="34" t="inlineStr">
        <is>
          <t>Savings account</t>
        </is>
      </c>
      <c r="D52" s="114" t="n">
        <v>16.44</v>
      </c>
      <c r="E52" s="114" t="n"/>
      <c r="F52" s="114" t="n"/>
    </row>
    <row r="53" ht="30" customHeight="1" s="102">
      <c r="B53" s="113" t="inlineStr">
        <is>
          <t>Savings</t>
        </is>
      </c>
      <c r="C53" s="34" t="inlineStr">
        <is>
          <t>Other 1</t>
        </is>
      </c>
      <c r="D53" s="114" t="n">
        <v>0</v>
      </c>
      <c r="E53" s="114" t="n"/>
      <c r="F53" s="114" t="n"/>
    </row>
    <row r="54" ht="30" customHeight="1" s="102">
      <c r="B54" s="113" t="inlineStr">
        <is>
          <t>Savings</t>
        </is>
      </c>
      <c r="C54" s="34" t="inlineStr">
        <is>
          <t>Other 2</t>
        </is>
      </c>
      <c r="D54" s="114" t="n">
        <v>0</v>
      </c>
      <c r="E54" s="114" t="n"/>
      <c r="F54" s="114" t="n"/>
    </row>
    <row r="55" ht="30" customFormat="1" customHeight="1" s="25">
      <c r="B55" s="61" t="inlineStr">
        <is>
          <t>Total</t>
        </is>
      </c>
      <c r="C55" s="115" t="n"/>
      <c r="D55" s="116" t="n"/>
      <c r="E55" s="116" t="n"/>
      <c r="F55" s="116" t="n"/>
    </row>
  </sheetData>
  <mergeCells count="2">
    <mergeCell ref="F2:I2"/>
    <mergeCell ref="D2:E2"/>
  </mergeCells>
  <conditionalFormatting sqref="B12:C55">
    <cfRule type="expression" priority="9" dxfId="69">
      <formula>(MOD(ROW(),2)&lt;&gt;0)*($B12="Income")</formula>
    </cfRule>
    <cfRule type="expression" priority="10" dxfId="89">
      <formula>(MOD(ROW(),2)=0)*($B12="Income")</formula>
    </cfRule>
  </conditionalFormatting>
  <conditionalFormatting sqref="D12:D55">
    <cfRule type="expression" priority="4" dxfId="70">
      <formula>(MOD(ROW(),2)&lt;&gt;0)*($B12&lt;&gt;"Income")</formula>
    </cfRule>
    <cfRule type="expression" priority="7" dxfId="70">
      <formula>(MOD(ROW(),2)&lt;&gt;0)*($B12="Income")</formula>
    </cfRule>
  </conditionalFormatting>
  <conditionalFormatting sqref="D12:F55">
    <cfRule type="expression" priority="1" dxfId="89">
      <formula>(MOD(ROW(),2)=0)*($B12&lt;&gt;"Income")</formula>
    </cfRule>
    <cfRule type="expression" priority="8" dxfId="88">
      <formula>(MOD(ROW(),2)=0)*($B12="Income")</formula>
    </cfRule>
  </conditionalFormatting>
  <conditionalFormatting sqref="E12:E55">
    <cfRule type="expression" priority="3" dxfId="86">
      <formula>(MOD(ROW(),2)&lt;&gt;0)*($B12&lt;&gt;"Income")</formula>
    </cfRule>
    <cfRule type="expression" priority="6" dxfId="86">
      <formula>(MOD(ROW(),2)&lt;&gt;0)*($B12="Income")</formula>
    </cfRule>
  </conditionalFormatting>
  <conditionalFormatting sqref="F12:F55">
    <cfRule type="expression" priority="2" dxfId="85">
      <formula>(MOD(ROW(),2)&lt;&gt;0)*($B12&lt;&gt;"Income")</formula>
    </cfRule>
    <cfRule type="expression" priority="5" dxfId="84">
      <formula>(MOD(ROW(),2)&lt;&gt;0)*($B12="Income")</formula>
    </cfRule>
  </conditionalFormatting>
  <dataValidations count="1">
    <dataValidation sqref="B12:B54" showDropDown="0" showInputMessage="1" showErrorMessage="1" allowBlank="1" error="Select Type from the list. Select CANCEL, press ALT+DOWN ARROW for options, then DOWN ARROW and ENTER to make selection" type="list" errorStyle="warning">
      <formula1>"Income,Expenses,Discretionary,Savings"</formula1>
    </dataValidation>
  </dataValidations>
  <hyperlinks>
    <hyperlink ref="F1" location="Guide!A1" tooltip="Select to navigate to Guide worksheet" display="Navigation button for Guide worksheet is in this cell."/>
    <hyperlink ref="G1" location="'Monthly Cash Flow'!A1" tooltip="Select to navigate to Monthly Cash Flow worksheet" display="Navigation button for Monthly Cash Flow worksheet is in this cell. "/>
    <hyperlink ref="H1" location="'Daily Summary'!A1" tooltip="Select to navigate to cell A1 in this worksheet" display="DAILY SUMMARY"/>
    <hyperlink ref="I1" location="Income!A1" tooltip="Select to navigate to Income worksheet" display="INCOME"/>
  </hyperlinks>
  <printOptions horizontalCentered="1"/>
  <pageMargins left="0.25" right="0.25" top="0.5" bottom="0.5" header="0.3" footer="0.3"/>
  <pageSetup orientation="portrait" scale="63"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codeName="Sheet3">
    <tabColor theme="5" tint="-0.249977111117893"/>
    <outlinePr summaryBelow="1" summaryRight="1"/>
    <pageSetUpPr autoPageBreaks="0" fitToPage="1"/>
  </sheetPr>
  <dimension ref="A1:R49"/>
  <sheetViews>
    <sheetView showGridLines="0" zoomScaleNormal="100" workbookViewId="0">
      <selection activeCell="A1" sqref="A1"/>
    </sheetView>
  </sheetViews>
  <sheetFormatPr baseColWidth="8" defaultColWidth="8.88671875" defaultRowHeight="26.1" customHeight="1"/>
  <cols>
    <col width="1.77734375" customWidth="1" style="25" min="1" max="1"/>
    <col width="12.77734375" customWidth="1" style="25" min="2" max="2"/>
    <col width="18.77734375" customWidth="1" style="25" min="3" max="3"/>
    <col width="14.77734375" customWidth="1" style="25" min="4" max="17"/>
    <col width="1.77734375" customWidth="1" style="25" min="18" max="18"/>
    <col width="8.88671875" customWidth="1" style="25" min="19" max="16384"/>
  </cols>
  <sheetData>
    <row r="1" ht="44.1" customFormat="1" customHeight="1" s="31">
      <c r="A1" s="30" t="n"/>
      <c r="B1" s="16" t="inlineStr">
        <is>
          <t>PERSONAL CASH FLOW</t>
        </is>
      </c>
      <c r="C1" s="16" t="n"/>
      <c r="D1" s="16" t="n"/>
      <c r="E1" s="16" t="n"/>
      <c r="F1" s="16" t="n"/>
      <c r="G1" s="16" t="n"/>
      <c r="H1" s="16" t="inlineStr">
        <is>
          <t>Guide!A1</t>
        </is>
      </c>
      <c r="I1" s="16" t="inlineStr">
        <is>
          <t>'Annual Cash Flow'!A1</t>
        </is>
      </c>
      <c r="J1" s="16" t="inlineStr">
        <is>
          <t>'Monthly Cash Flow'!A1</t>
        </is>
      </c>
      <c r="K1" s="16" t="inlineStr">
        <is>
          <t>'Daily Summary'!A1</t>
        </is>
      </c>
      <c r="R1" s="31" t="inlineStr">
        <is>
          <t> </t>
        </is>
      </c>
    </row>
    <row r="2" ht="44.1" customFormat="1" customHeight="1" s="3">
      <c r="B2" s="86" t="n"/>
      <c r="C2" s="86" t="inlineStr">
        <is>
          <t>Total monthly cash flow:</t>
        </is>
      </c>
      <c r="D2" s="103" t="n"/>
      <c r="F2" s="92" t="inlineStr">
        <is>
          <t xml:space="preserve">NOTE: For daily items, estimate the monthly amount/value and place that value in the appropriate month column.
</t>
        </is>
      </c>
      <c r="G2" s="104" t="n"/>
      <c r="H2" s="104" t="n"/>
      <c r="I2" s="104" t="n"/>
      <c r="J2" s="104" t="n"/>
      <c r="K2" s="104" t="n"/>
      <c r="L2" s="23" t="n"/>
      <c r="M2" s="23" t="n"/>
      <c r="N2" s="23" t="n"/>
      <c r="O2" s="23" t="n"/>
      <c r="P2" s="23" t="n"/>
    </row>
    <row r="3" ht="33.95" customFormat="1" customHeight="1" s="2">
      <c r="B3" s="32" t="n"/>
      <c r="C3" s="32" t="n"/>
      <c r="D3" s="117" t="n"/>
      <c r="E3" s="117" t="n"/>
      <c r="F3" s="1" t="n"/>
      <c r="G3" s="1" t="n"/>
      <c r="H3" s="1" t="n"/>
      <c r="I3" s="1" t="n"/>
      <c r="J3" s="1" t="n"/>
      <c r="K3" s="1" t="n"/>
      <c r="L3" s="1" t="n"/>
      <c r="M3" s="1" t="n"/>
      <c r="N3" s="1" t="n"/>
      <c r="O3" s="1" t="n"/>
      <c r="P3" s="1" t="n"/>
    </row>
    <row r="4" ht="33.95" customFormat="1" customHeight="1" s="39" thickBot="1">
      <c r="B4" s="118" t="inlineStr">
        <is>
          <t>Type</t>
        </is>
      </c>
      <c r="C4" s="118" t="inlineStr">
        <is>
          <t>Description</t>
        </is>
      </c>
      <c r="D4" s="118" t="inlineStr">
        <is>
          <t>Jan</t>
        </is>
      </c>
      <c r="E4" s="118" t="inlineStr">
        <is>
          <t>Feb</t>
        </is>
      </c>
      <c r="F4" s="118" t="inlineStr">
        <is>
          <t>Mar</t>
        </is>
      </c>
      <c r="G4" s="118" t="inlineStr">
        <is>
          <t>Apr</t>
        </is>
      </c>
      <c r="H4" s="118" t="inlineStr">
        <is>
          <t>May</t>
        </is>
      </c>
      <c r="I4" s="118" t="inlineStr">
        <is>
          <t>Jun</t>
        </is>
      </c>
      <c r="J4" s="118" t="inlineStr">
        <is>
          <t>Jul</t>
        </is>
      </c>
      <c r="K4" s="118" t="inlineStr">
        <is>
          <t>Aug</t>
        </is>
      </c>
      <c r="L4" s="118" t="inlineStr">
        <is>
          <t>Sep</t>
        </is>
      </c>
      <c r="M4" s="118" t="inlineStr">
        <is>
          <t>Oct</t>
        </is>
      </c>
      <c r="N4" s="118" t="inlineStr">
        <is>
          <t>Nov</t>
        </is>
      </c>
      <c r="O4" s="118" t="inlineStr">
        <is>
          <t>Dec</t>
        </is>
      </c>
      <c r="P4" s="118" t="inlineStr">
        <is>
          <t>Total</t>
        </is>
      </c>
      <c r="Q4" s="78" t="n"/>
    </row>
    <row r="5" ht="26.1" customFormat="1" customHeight="1" s="34">
      <c r="B5" s="119" t="inlineStr">
        <is>
          <t>Income</t>
        </is>
      </c>
      <c r="C5" s="119" t="inlineStr">
        <is>
          <t>Salary</t>
        </is>
      </c>
      <c r="D5" s="114" t="n">
        <v>7500</v>
      </c>
      <c r="E5" s="114" t="n">
        <v>7500</v>
      </c>
      <c r="F5" s="114" t="n">
        <v>7500</v>
      </c>
      <c r="G5" s="114" t="n">
        <v>7500</v>
      </c>
      <c r="H5" s="114" t="n">
        <v>7500</v>
      </c>
      <c r="I5" s="114" t="n">
        <v>7500</v>
      </c>
      <c r="J5" s="114" t="n"/>
      <c r="K5" s="114" t="n"/>
      <c r="L5" s="114" t="n"/>
      <c r="M5" s="114" t="n"/>
      <c r="N5" s="114" t="n"/>
      <c r="O5" s="114" t="n"/>
      <c r="P5" s="114" t="n"/>
    </row>
    <row r="6" ht="26.1" customFormat="1" customHeight="1" s="34">
      <c r="B6" s="119" t="inlineStr">
        <is>
          <t>Income</t>
        </is>
      </c>
      <c r="C6" s="119" t="inlineStr">
        <is>
          <t>Commissions/bonus</t>
        </is>
      </c>
      <c r="D6" s="114" t="n">
        <v>400</v>
      </c>
      <c r="E6" s="114" t="n">
        <v>400</v>
      </c>
      <c r="F6" s="114" t="n">
        <v>500</v>
      </c>
      <c r="G6" s="114" t="n">
        <v>200</v>
      </c>
      <c r="H6" s="114" t="n">
        <v>0</v>
      </c>
      <c r="I6" s="114" t="n">
        <v>600</v>
      </c>
      <c r="J6" s="114" t="n"/>
      <c r="K6" s="114" t="n"/>
      <c r="L6" s="114" t="n"/>
      <c r="M6" s="114" t="n"/>
      <c r="N6" s="114" t="n"/>
      <c r="O6" s="114" t="n"/>
      <c r="P6" s="114" t="n"/>
    </row>
    <row r="7" ht="26.1" customFormat="1" customHeight="1" s="34">
      <c r="B7" s="119" t="inlineStr">
        <is>
          <t>Income</t>
        </is>
      </c>
      <c r="C7" s="119" t="inlineStr">
        <is>
          <t>Other 1</t>
        </is>
      </c>
      <c r="D7" s="114" t="n">
        <v>2500</v>
      </c>
      <c r="E7" s="114" t="n">
        <v>2500</v>
      </c>
      <c r="F7" s="114" t="n">
        <v>2500</v>
      </c>
      <c r="G7" s="114" t="n">
        <v>2500</v>
      </c>
      <c r="H7" s="114" t="n">
        <v>2500</v>
      </c>
      <c r="I7" s="114" t="n">
        <v>2500</v>
      </c>
      <c r="J7" s="114" t="n"/>
      <c r="K7" s="114" t="n"/>
      <c r="L7" s="114" t="n"/>
      <c r="M7" s="114" t="n"/>
      <c r="N7" s="114" t="n"/>
      <c r="O7" s="114" t="n"/>
      <c r="P7" s="114" t="n"/>
    </row>
    <row r="8" ht="26.1" customFormat="1" customHeight="1" s="34">
      <c r="B8" s="119" t="inlineStr">
        <is>
          <t>Income</t>
        </is>
      </c>
      <c r="C8" s="119" t="inlineStr">
        <is>
          <t>Other 2</t>
        </is>
      </c>
      <c r="D8" s="114" t="n">
        <v>0</v>
      </c>
      <c r="E8" s="114" t="n">
        <v>0</v>
      </c>
      <c r="F8" s="114" t="n">
        <v>0</v>
      </c>
      <c r="G8" s="114" t="n">
        <v>0</v>
      </c>
      <c r="H8" s="114" t="n">
        <v>0</v>
      </c>
      <c r="I8" s="114" t="n">
        <v>0</v>
      </c>
      <c r="J8" s="114" t="n"/>
      <c r="K8" s="114" t="n"/>
      <c r="L8" s="114" t="n"/>
      <c r="M8" s="114" t="n"/>
      <c r="N8" s="114" t="n"/>
      <c r="O8" s="114" t="n"/>
      <c r="P8" s="114" t="n"/>
    </row>
    <row r="9" ht="26.1" customFormat="1" customHeight="1" s="34">
      <c r="B9" s="119" t="inlineStr">
        <is>
          <t>Income</t>
        </is>
      </c>
      <c r="C9" s="119" t="inlineStr">
        <is>
          <t>Other 3</t>
        </is>
      </c>
      <c r="D9" s="114" t="n">
        <v>0</v>
      </c>
      <c r="E9" s="114" t="n">
        <v>0</v>
      </c>
      <c r="F9" s="114" t="n">
        <v>0</v>
      </c>
      <c r="G9" s="114" t="n">
        <v>0</v>
      </c>
      <c r="H9" s="114" t="n">
        <v>0</v>
      </c>
      <c r="I9" s="114" t="n">
        <v>0</v>
      </c>
      <c r="J9" s="114" t="n"/>
      <c r="K9" s="114" t="n"/>
      <c r="L9" s="114" t="n"/>
      <c r="M9" s="114" t="n"/>
      <c r="N9" s="114" t="n"/>
      <c r="O9" s="114" t="n"/>
      <c r="P9" s="114" t="n"/>
    </row>
    <row r="10" ht="26.1" customFormat="1" customHeight="1" s="34">
      <c r="B10" s="119" t="inlineStr">
        <is>
          <t>Income</t>
        </is>
      </c>
      <c r="C10" s="119" t="inlineStr">
        <is>
          <t>Other 4</t>
        </is>
      </c>
      <c r="D10" s="114" t="n">
        <v>0</v>
      </c>
      <c r="E10" s="114" t="n">
        <v>0</v>
      </c>
      <c r="F10" s="114" t="n">
        <v>0</v>
      </c>
      <c r="G10" s="114" t="n">
        <v>0</v>
      </c>
      <c r="H10" s="114" t="n">
        <v>0</v>
      </c>
      <c r="I10" s="114" t="n">
        <v>0</v>
      </c>
      <c r="J10" s="114" t="n"/>
      <c r="K10" s="114" t="n"/>
      <c r="L10" s="114" t="n"/>
      <c r="M10" s="114" t="n"/>
      <c r="N10" s="114" t="n"/>
      <c r="O10" s="114" t="n"/>
      <c r="P10" s="114" t="n"/>
    </row>
    <row r="11" ht="26.1" customFormat="1" customHeight="1" s="34">
      <c r="B11" s="119" t="inlineStr">
        <is>
          <t>Expenses</t>
        </is>
      </c>
      <c r="C11" s="119" t="inlineStr">
        <is>
          <t>Federal/SS/Medicare</t>
        </is>
      </c>
      <c r="D11" s="114" t="n">
        <v>1250</v>
      </c>
      <c r="E11" s="114" t="n">
        <v>1250</v>
      </c>
      <c r="F11" s="114" t="n">
        <v>1250</v>
      </c>
      <c r="G11" s="114" t="n">
        <v>1250</v>
      </c>
      <c r="H11" s="114" t="n">
        <v>1250</v>
      </c>
      <c r="I11" s="114" t="n">
        <v>1250</v>
      </c>
      <c r="J11" s="114" t="n"/>
      <c r="K11" s="114" t="n"/>
      <c r="L11" s="114" t="n"/>
      <c r="M11" s="114" t="n"/>
      <c r="N11" s="114" t="n"/>
      <c r="O11" s="114" t="n"/>
      <c r="P11" s="114" t="n"/>
    </row>
    <row r="12" ht="26.1" customFormat="1" customHeight="1" s="34">
      <c r="B12" s="119" t="inlineStr">
        <is>
          <t>Expenses</t>
        </is>
      </c>
      <c r="C12" s="119" t="inlineStr">
        <is>
          <t>State income tax</t>
        </is>
      </c>
      <c r="D12" s="114" t="n">
        <v>208.3333333333333</v>
      </c>
      <c r="E12" s="114" t="n">
        <v>208.3333333333333</v>
      </c>
      <c r="F12" s="114" t="n">
        <v>208.3333333333333</v>
      </c>
      <c r="G12" s="114" t="n">
        <v>208.3333333333333</v>
      </c>
      <c r="H12" s="114" t="n">
        <v>208.3333333333333</v>
      </c>
      <c r="I12" s="114" t="n">
        <v>208.3333333333333</v>
      </c>
      <c r="J12" s="114" t="n"/>
      <c r="K12" s="114" t="n"/>
      <c r="L12" s="114" t="n"/>
      <c r="M12" s="114" t="n"/>
      <c r="N12" s="114" t="n"/>
      <c r="O12" s="114" t="n"/>
      <c r="P12" s="114" t="n"/>
    </row>
    <row r="13" ht="26.1" customHeight="1" s="102">
      <c r="B13" s="119" t="inlineStr">
        <is>
          <t>Expenses</t>
        </is>
      </c>
      <c r="C13" s="119" t="inlineStr">
        <is>
          <t>Vehicle tax/fees</t>
        </is>
      </c>
      <c r="D13" s="114" t="n">
        <v>16.66666666666667</v>
      </c>
      <c r="E13" s="114" t="n">
        <v>16.66666666666667</v>
      </c>
      <c r="F13" s="114" t="n">
        <v>16.66666666666667</v>
      </c>
      <c r="G13" s="114" t="n">
        <v>16.66666666666667</v>
      </c>
      <c r="H13" s="114" t="n">
        <v>16.66666666666667</v>
      </c>
      <c r="I13" s="114" t="n">
        <v>16.66666666666667</v>
      </c>
      <c r="J13" s="114" t="n"/>
      <c r="K13" s="114" t="n"/>
      <c r="L13" s="114" t="n"/>
      <c r="M13" s="114" t="n"/>
      <c r="N13" s="114" t="n"/>
      <c r="O13" s="114" t="n"/>
      <c r="P13" s="114" t="n"/>
      <c r="Q13" s="34" t="n"/>
    </row>
    <row r="14" ht="26.1" customHeight="1" s="102">
      <c r="B14" s="119" t="inlineStr">
        <is>
          <t>Expenses</t>
        </is>
      </c>
      <c r="C14" s="119" t="inlineStr">
        <is>
          <t>Vehicle payments</t>
        </is>
      </c>
      <c r="D14" s="114" t="n">
        <v>333.3333333333333</v>
      </c>
      <c r="E14" s="114" t="n">
        <v>333.3333333333333</v>
      </c>
      <c r="F14" s="114" t="n">
        <v>333.3333333333333</v>
      </c>
      <c r="G14" s="114" t="n">
        <v>333.3333333333333</v>
      </c>
      <c r="H14" s="114" t="n">
        <v>333.3333333333333</v>
      </c>
      <c r="I14" s="114" t="n">
        <v>333.3333333333333</v>
      </c>
      <c r="J14" s="114" t="n"/>
      <c r="K14" s="114" t="n"/>
      <c r="L14" s="114" t="n"/>
      <c r="M14" s="114" t="n"/>
      <c r="N14" s="114" t="n"/>
      <c r="O14" s="114" t="n"/>
      <c r="P14" s="114" t="n"/>
      <c r="Q14" s="34" t="n"/>
    </row>
    <row r="15" ht="26.1" customHeight="1" s="102">
      <c r="B15" s="119" t="inlineStr">
        <is>
          <t>Expenses</t>
        </is>
      </c>
      <c r="C15" s="119" t="inlineStr">
        <is>
          <t>Mortgage/rent</t>
        </is>
      </c>
      <c r="D15" s="114" t="n">
        <v>1250</v>
      </c>
      <c r="E15" s="114" t="n">
        <v>1250</v>
      </c>
      <c r="F15" s="114" t="n">
        <v>1250</v>
      </c>
      <c r="G15" s="114" t="n">
        <v>1250</v>
      </c>
      <c r="H15" s="114" t="n">
        <v>1250</v>
      </c>
      <c r="I15" s="114" t="n">
        <v>1250</v>
      </c>
      <c r="J15" s="114" t="n"/>
      <c r="K15" s="114" t="n"/>
      <c r="L15" s="114" t="n"/>
      <c r="M15" s="114" t="n"/>
      <c r="N15" s="114" t="n"/>
      <c r="O15" s="114" t="n"/>
      <c r="P15" s="114" t="n"/>
      <c r="Q15" s="34" t="n"/>
    </row>
    <row r="16" ht="26.1" customHeight="1" s="102">
      <c r="B16" s="119" t="inlineStr">
        <is>
          <t>Expenses</t>
        </is>
      </c>
      <c r="C16" s="119" t="inlineStr">
        <is>
          <t>Insurance</t>
        </is>
      </c>
      <c r="D16" s="114" t="n">
        <v>25</v>
      </c>
      <c r="E16" s="114" t="n">
        <v>25</v>
      </c>
      <c r="F16" s="114" t="n">
        <v>25</v>
      </c>
      <c r="G16" s="114" t="n">
        <v>25</v>
      </c>
      <c r="H16" s="114" t="n">
        <v>25</v>
      </c>
      <c r="I16" s="114" t="n">
        <v>25</v>
      </c>
      <c r="J16" s="114" t="n"/>
      <c r="K16" s="114" t="n"/>
      <c r="L16" s="114" t="n"/>
      <c r="M16" s="114" t="n"/>
      <c r="N16" s="114" t="n"/>
      <c r="O16" s="114" t="n"/>
      <c r="P16" s="114" t="n"/>
      <c r="Q16" s="34" t="n"/>
    </row>
    <row r="17" ht="26.1" customHeight="1" s="102">
      <c r="B17" s="119" t="inlineStr">
        <is>
          <t>Expenses</t>
        </is>
      </c>
      <c r="C17" s="119" t="inlineStr">
        <is>
          <t>Electricity</t>
        </is>
      </c>
      <c r="D17" s="114" t="n">
        <v>100</v>
      </c>
      <c r="E17" s="114" t="n">
        <v>100</v>
      </c>
      <c r="F17" s="114" t="n">
        <v>100</v>
      </c>
      <c r="G17" s="114" t="n">
        <v>100</v>
      </c>
      <c r="H17" s="114" t="n">
        <v>100</v>
      </c>
      <c r="I17" s="114" t="n">
        <v>100</v>
      </c>
      <c r="J17" s="114" t="n"/>
      <c r="K17" s="114" t="n"/>
      <c r="L17" s="114" t="n"/>
      <c r="M17" s="114" t="n"/>
      <c r="N17" s="114" t="n"/>
      <c r="O17" s="114" t="n"/>
      <c r="P17" s="114" t="n"/>
      <c r="Q17" s="34" t="n"/>
    </row>
    <row r="18" ht="26.1" customHeight="1" s="102">
      <c r="B18" s="119" t="inlineStr">
        <is>
          <t>Expenses</t>
        </is>
      </c>
      <c r="C18" s="119" t="inlineStr">
        <is>
          <t>Gas</t>
        </is>
      </c>
      <c r="D18" s="114" t="n">
        <v>50</v>
      </c>
      <c r="E18" s="114" t="n">
        <v>50</v>
      </c>
      <c r="F18" s="114" t="n">
        <v>50</v>
      </c>
      <c r="G18" s="114" t="n">
        <v>50</v>
      </c>
      <c r="H18" s="114" t="n">
        <v>50</v>
      </c>
      <c r="I18" s="114" t="n">
        <v>50</v>
      </c>
      <c r="J18" s="114" t="n"/>
      <c r="K18" s="114" t="n"/>
      <c r="L18" s="114" t="n"/>
      <c r="M18" s="114" t="n"/>
      <c r="N18" s="114" t="n"/>
      <c r="O18" s="114" t="n"/>
      <c r="P18" s="114" t="n"/>
      <c r="Q18" s="34" t="n"/>
    </row>
    <row r="19" ht="26.1" customHeight="1" s="102">
      <c r="B19" s="119" t="inlineStr">
        <is>
          <t>Expenses</t>
        </is>
      </c>
      <c r="C19" s="119" t="inlineStr">
        <is>
          <t>Water</t>
        </is>
      </c>
      <c r="D19" s="114" t="n">
        <v>50</v>
      </c>
      <c r="E19" s="114" t="n">
        <v>50</v>
      </c>
      <c r="F19" s="114" t="n">
        <v>50</v>
      </c>
      <c r="G19" s="114" t="n">
        <v>50</v>
      </c>
      <c r="H19" s="114" t="n">
        <v>50</v>
      </c>
      <c r="I19" s="114" t="n">
        <v>50</v>
      </c>
      <c r="J19" s="114" t="n"/>
      <c r="K19" s="114" t="n"/>
      <c r="L19" s="114" t="n"/>
      <c r="M19" s="114" t="n"/>
      <c r="N19" s="114" t="n"/>
      <c r="O19" s="114" t="n"/>
      <c r="P19" s="114" t="n"/>
      <c r="Q19" s="34" t="n"/>
    </row>
    <row r="20" ht="26.1" customHeight="1" s="102">
      <c r="B20" s="119" t="inlineStr">
        <is>
          <t>Expenses</t>
        </is>
      </c>
      <c r="C20" s="119" t="inlineStr">
        <is>
          <t>Sewer</t>
        </is>
      </c>
      <c r="D20" s="114" t="n">
        <v>25</v>
      </c>
      <c r="E20" s="114" t="n">
        <v>25</v>
      </c>
      <c r="F20" s="114" t="n">
        <v>25</v>
      </c>
      <c r="G20" s="114" t="n">
        <v>25</v>
      </c>
      <c r="H20" s="114" t="n">
        <v>25</v>
      </c>
      <c r="I20" s="114" t="n">
        <v>25</v>
      </c>
      <c r="J20" s="114" t="n"/>
      <c r="K20" s="114" t="n"/>
      <c r="L20" s="114" t="n"/>
      <c r="M20" s="114" t="n"/>
      <c r="N20" s="114" t="n"/>
      <c r="O20" s="114" t="n"/>
      <c r="P20" s="114" t="n"/>
      <c r="Q20" s="34" t="n"/>
    </row>
    <row r="21" ht="26.1" customHeight="1" s="102">
      <c r="B21" s="119" t="inlineStr">
        <is>
          <t>Expenses</t>
        </is>
      </c>
      <c r="C21" s="119" t="inlineStr">
        <is>
          <t>Garbage</t>
        </is>
      </c>
      <c r="D21" s="114" t="n">
        <v>12.5</v>
      </c>
      <c r="E21" s="114" t="n">
        <v>12.5</v>
      </c>
      <c r="F21" s="114" t="n">
        <v>12.5</v>
      </c>
      <c r="G21" s="114" t="n">
        <v>12.5</v>
      </c>
      <c r="H21" s="114" t="n">
        <v>12.5</v>
      </c>
      <c r="I21" s="114" t="n">
        <v>12.5</v>
      </c>
      <c r="J21" s="114" t="n"/>
      <c r="K21" s="114" t="n"/>
      <c r="L21" s="114" t="n"/>
      <c r="M21" s="114" t="n"/>
      <c r="N21" s="114" t="n"/>
      <c r="O21" s="114" t="n"/>
      <c r="P21" s="114" t="n"/>
      <c r="Q21" s="34" t="n"/>
    </row>
    <row r="22" ht="26.1" customHeight="1" s="102">
      <c r="B22" s="119" t="inlineStr">
        <is>
          <t>Expenses</t>
        </is>
      </c>
      <c r="C22" s="119" t="inlineStr">
        <is>
          <t>Phone</t>
        </is>
      </c>
      <c r="D22" s="114" t="n">
        <v>50</v>
      </c>
      <c r="E22" s="114" t="n">
        <v>50</v>
      </c>
      <c r="F22" s="114" t="n">
        <v>50</v>
      </c>
      <c r="G22" s="114" t="n">
        <v>50</v>
      </c>
      <c r="H22" s="114" t="n">
        <v>50</v>
      </c>
      <c r="I22" s="114" t="n">
        <v>50</v>
      </c>
      <c r="J22" s="114" t="n"/>
      <c r="K22" s="114" t="n"/>
      <c r="L22" s="114" t="n"/>
      <c r="M22" s="114" t="n"/>
      <c r="N22" s="114" t="n"/>
      <c r="O22" s="114" t="n"/>
      <c r="P22" s="114" t="n"/>
      <c r="Q22" s="34" t="n"/>
    </row>
    <row r="23" ht="26.1" customHeight="1" s="102">
      <c r="B23" s="119" t="inlineStr">
        <is>
          <t>Expenses</t>
        </is>
      </c>
      <c r="C23" s="119" t="inlineStr">
        <is>
          <t>Internet</t>
        </is>
      </c>
      <c r="D23" s="114" t="n">
        <v>50</v>
      </c>
      <c r="E23" s="114" t="n">
        <v>50</v>
      </c>
      <c r="F23" s="114" t="n">
        <v>50</v>
      </c>
      <c r="G23" s="114" t="n">
        <v>50</v>
      </c>
      <c r="H23" s="114" t="n">
        <v>50</v>
      </c>
      <c r="I23" s="114" t="n">
        <v>50</v>
      </c>
      <c r="J23" s="114" t="n"/>
      <c r="K23" s="114" t="n"/>
      <c r="L23" s="114" t="n"/>
      <c r="M23" s="114" t="n"/>
      <c r="N23" s="114" t="n"/>
      <c r="O23" s="114" t="n"/>
      <c r="P23" s="114" t="n"/>
      <c r="Q23" s="34" t="n"/>
    </row>
    <row r="24" ht="26.1" customHeight="1" s="102">
      <c r="B24" s="119" t="inlineStr">
        <is>
          <t>Expenses</t>
        </is>
      </c>
      <c r="C24" s="119" t="inlineStr">
        <is>
          <t>Disability premiums</t>
        </is>
      </c>
      <c r="D24" s="114" t="n">
        <v>125</v>
      </c>
      <c r="E24" s="114" t="n">
        <v>125</v>
      </c>
      <c r="F24" s="114" t="n">
        <v>125</v>
      </c>
      <c r="G24" s="114" t="n">
        <v>125</v>
      </c>
      <c r="H24" s="114" t="n">
        <v>125</v>
      </c>
      <c r="I24" s="114" t="n">
        <v>125</v>
      </c>
      <c r="J24" s="114" t="n"/>
      <c r="K24" s="114" t="n"/>
      <c r="L24" s="114" t="n"/>
      <c r="M24" s="114" t="n"/>
      <c r="N24" s="114" t="n"/>
      <c r="O24" s="114" t="n"/>
      <c r="P24" s="114" t="n"/>
      <c r="Q24" s="34" t="n"/>
    </row>
    <row r="25" ht="26.1" customHeight="1" s="102">
      <c r="B25" s="119" t="inlineStr">
        <is>
          <t>Expenses</t>
        </is>
      </c>
      <c r="C25" s="119" t="inlineStr">
        <is>
          <t>Food</t>
        </is>
      </c>
      <c r="D25" s="114" t="n">
        <v>400</v>
      </c>
      <c r="E25" s="114" t="n">
        <v>500</v>
      </c>
      <c r="F25" s="114" t="n">
        <v>450</v>
      </c>
      <c r="G25" s="114" t="n">
        <v>400</v>
      </c>
      <c r="H25" s="114" t="n">
        <v>450</v>
      </c>
      <c r="I25" s="114" t="n">
        <v>425</v>
      </c>
      <c r="J25" s="114" t="n"/>
      <c r="K25" s="114" t="n"/>
      <c r="L25" s="114" t="n"/>
      <c r="M25" s="114" t="n"/>
      <c r="N25" s="114" t="n"/>
      <c r="O25" s="114" t="n"/>
      <c r="P25" s="114" t="n"/>
      <c r="Q25" s="34" t="n"/>
    </row>
    <row r="26" ht="26.1" customHeight="1" s="102">
      <c r="B26" s="119" t="inlineStr">
        <is>
          <t>Expenses</t>
        </is>
      </c>
      <c r="C26" s="119" t="inlineStr">
        <is>
          <t>Clothing</t>
        </is>
      </c>
      <c r="D26" s="114" t="n">
        <v>50</v>
      </c>
      <c r="E26" s="114" t="n">
        <v>75</v>
      </c>
      <c r="F26" s="114" t="n">
        <v>100</v>
      </c>
      <c r="G26" s="114" t="n">
        <v>75</v>
      </c>
      <c r="H26" s="114" t="n">
        <v>125</v>
      </c>
      <c r="I26" s="114" t="n">
        <v>75</v>
      </c>
      <c r="J26" s="114" t="n"/>
      <c r="K26" s="114" t="n"/>
      <c r="L26" s="114" t="n"/>
      <c r="M26" s="114" t="n"/>
      <c r="N26" s="114" t="n"/>
      <c r="O26" s="114" t="n"/>
      <c r="P26" s="114" t="n"/>
      <c r="Q26" s="34" t="n"/>
    </row>
    <row r="27" ht="26.1" customHeight="1" s="102">
      <c r="B27" s="119" t="inlineStr">
        <is>
          <t>Expenses</t>
        </is>
      </c>
      <c r="C27" s="119" t="inlineStr">
        <is>
          <t>Medical/dental/Rx</t>
        </is>
      </c>
      <c r="D27" s="114" t="n">
        <v>50</v>
      </c>
      <c r="E27" s="114" t="n">
        <v>10</v>
      </c>
      <c r="F27" s="114" t="n">
        <v>25</v>
      </c>
      <c r="G27" s="114" t="n">
        <v>25</v>
      </c>
      <c r="H27" s="114" t="n">
        <v>20</v>
      </c>
      <c r="I27" s="114" t="n">
        <v>70</v>
      </c>
      <c r="J27" s="114" t="n"/>
      <c r="K27" s="114" t="n"/>
      <c r="L27" s="114" t="n"/>
      <c r="M27" s="114" t="n"/>
      <c r="N27" s="114" t="n"/>
      <c r="O27" s="114" t="n"/>
      <c r="P27" s="114" t="n"/>
      <c r="Q27" s="34" t="n"/>
    </row>
    <row r="28" ht="26.1" customHeight="1" s="102">
      <c r="B28" s="119" t="inlineStr">
        <is>
          <t>Expenses</t>
        </is>
      </c>
      <c r="C28" s="119" t="inlineStr">
        <is>
          <t>Bus</t>
        </is>
      </c>
      <c r="D28" s="114" t="n">
        <v>30</v>
      </c>
      <c r="E28" s="114" t="n">
        <v>30</v>
      </c>
      <c r="F28" s="114" t="n">
        <v>30</v>
      </c>
      <c r="G28" s="114" t="n">
        <v>20</v>
      </c>
      <c r="H28" s="114" t="n">
        <v>30</v>
      </c>
      <c r="I28" s="114" t="n">
        <v>30</v>
      </c>
      <c r="J28" s="114" t="n"/>
      <c r="K28" s="114" t="n"/>
      <c r="L28" s="114" t="n"/>
      <c r="M28" s="114" t="n"/>
      <c r="N28" s="114" t="n"/>
      <c r="O28" s="114" t="n"/>
      <c r="P28" s="114" t="n"/>
      <c r="Q28" s="34" t="n"/>
    </row>
    <row r="29" ht="26.1" customHeight="1" s="102">
      <c r="B29" s="119" t="inlineStr">
        <is>
          <t>Expenses</t>
        </is>
      </c>
      <c r="C29" s="119" t="inlineStr">
        <is>
          <t>Other 2</t>
        </is>
      </c>
      <c r="D29" s="114" t="n">
        <v>0</v>
      </c>
      <c r="E29" s="114" t="n">
        <v>0</v>
      </c>
      <c r="F29" s="114" t="n">
        <v>0</v>
      </c>
      <c r="G29" s="114" t="n">
        <v>0</v>
      </c>
      <c r="H29" s="114" t="n">
        <v>0</v>
      </c>
      <c r="I29" s="114" t="n">
        <v>0</v>
      </c>
      <c r="J29" s="114" t="n"/>
      <c r="K29" s="114" t="n"/>
      <c r="L29" s="114" t="n"/>
      <c r="M29" s="114" t="n"/>
      <c r="N29" s="114" t="n"/>
      <c r="O29" s="114" t="n"/>
      <c r="P29" s="114" t="n"/>
      <c r="Q29" s="34" t="n"/>
    </row>
    <row r="30" ht="26.1" customHeight="1" s="102">
      <c r="B30" s="119" t="inlineStr">
        <is>
          <t>Expenses</t>
        </is>
      </c>
      <c r="C30" s="119" t="inlineStr">
        <is>
          <t>Other 3</t>
        </is>
      </c>
      <c r="D30" s="114" t="n">
        <v>0</v>
      </c>
      <c r="E30" s="114" t="n">
        <v>0</v>
      </c>
      <c r="F30" s="114" t="n">
        <v>0</v>
      </c>
      <c r="G30" s="114" t="n">
        <v>0</v>
      </c>
      <c r="H30" s="114" t="n">
        <v>0</v>
      </c>
      <c r="I30" s="114" t="n">
        <v>0</v>
      </c>
      <c r="J30" s="114" t="n"/>
      <c r="K30" s="114" t="n"/>
      <c r="L30" s="114" t="n"/>
      <c r="M30" s="114" t="n"/>
      <c r="N30" s="114" t="n"/>
      <c r="O30" s="114" t="n"/>
      <c r="P30" s="114" t="n"/>
      <c r="Q30" s="34" t="n"/>
    </row>
    <row r="31" ht="26.1" customHeight="1" s="102">
      <c r="B31" s="119" t="inlineStr">
        <is>
          <t>Expenses</t>
        </is>
      </c>
      <c r="C31" s="119" t="inlineStr">
        <is>
          <t>Other 4</t>
        </is>
      </c>
      <c r="D31" s="114" t="n">
        <v>0</v>
      </c>
      <c r="E31" s="114" t="n">
        <v>0</v>
      </c>
      <c r="F31" s="114" t="n">
        <v>0</v>
      </c>
      <c r="G31" s="114" t="n">
        <v>0</v>
      </c>
      <c r="H31" s="114" t="n">
        <v>0</v>
      </c>
      <c r="I31" s="114" t="n">
        <v>0</v>
      </c>
      <c r="J31" s="114" t="n"/>
      <c r="K31" s="114" t="n"/>
      <c r="L31" s="114" t="n"/>
      <c r="M31" s="114" t="n"/>
      <c r="N31" s="114" t="n"/>
      <c r="O31" s="114" t="n"/>
      <c r="P31" s="114" t="n"/>
      <c r="Q31" s="34" t="n"/>
    </row>
    <row r="32" ht="26.1" customHeight="1" s="102">
      <c r="B32" s="119" t="inlineStr">
        <is>
          <t>Discretionary</t>
        </is>
      </c>
      <c r="C32" s="119" t="inlineStr">
        <is>
          <t>Dining</t>
        </is>
      </c>
      <c r="D32" s="114" t="n">
        <v>50</v>
      </c>
      <c r="E32" s="114" t="n">
        <v>150</v>
      </c>
      <c r="F32" s="114" t="n">
        <v>100</v>
      </c>
      <c r="G32" s="114" t="n">
        <v>50</v>
      </c>
      <c r="H32" s="114" t="n">
        <v>150</v>
      </c>
      <c r="I32" s="114" t="n">
        <v>100</v>
      </c>
      <c r="J32" s="114" t="n"/>
      <c r="K32" s="114" t="n"/>
      <c r="L32" s="114" t="n"/>
      <c r="M32" s="114" t="n"/>
      <c r="N32" s="114" t="n"/>
      <c r="O32" s="114" t="n"/>
      <c r="P32" s="114" t="n"/>
      <c r="Q32" s="34" t="n"/>
    </row>
    <row r="33" ht="26.1" customHeight="1" s="102">
      <c r="B33" s="119" t="inlineStr">
        <is>
          <t>Discretionary</t>
        </is>
      </c>
      <c r="C33" s="119" t="inlineStr">
        <is>
          <t>Gifts</t>
        </is>
      </c>
      <c r="D33" s="114" t="n">
        <v>25</v>
      </c>
      <c r="E33" s="114" t="n">
        <v>75</v>
      </c>
      <c r="F33" s="114" t="n">
        <v>50</v>
      </c>
      <c r="G33" s="114" t="n">
        <v>25</v>
      </c>
      <c r="H33" s="114" t="n">
        <v>75</v>
      </c>
      <c r="I33" s="114" t="n">
        <v>50</v>
      </c>
      <c r="J33" s="114" t="n"/>
      <c r="K33" s="114" t="n"/>
      <c r="L33" s="114" t="n"/>
      <c r="M33" s="114" t="n"/>
      <c r="N33" s="114" t="n"/>
      <c r="O33" s="114" t="n"/>
      <c r="P33" s="114" t="n"/>
      <c r="Q33" s="34" t="n"/>
    </row>
    <row r="34" ht="26.1" customHeight="1" s="102">
      <c r="B34" s="119" t="inlineStr">
        <is>
          <t>Discretionary</t>
        </is>
      </c>
      <c r="C34" s="119" t="inlineStr">
        <is>
          <t>Travel</t>
        </is>
      </c>
      <c r="D34" s="114" t="n">
        <v>0</v>
      </c>
      <c r="E34" s="114" t="n">
        <v>0</v>
      </c>
      <c r="F34" s="114" t="n">
        <v>1000</v>
      </c>
      <c r="G34" s="114" t="n">
        <v>0</v>
      </c>
      <c r="H34" s="114" t="n">
        <v>0</v>
      </c>
      <c r="I34" s="114" t="n">
        <v>1000</v>
      </c>
      <c r="J34" s="114" t="n"/>
      <c r="K34" s="114" t="n"/>
      <c r="L34" s="114" t="n"/>
      <c r="M34" s="114" t="n"/>
      <c r="N34" s="114" t="n"/>
      <c r="O34" s="114" t="n"/>
      <c r="P34" s="114" t="n"/>
      <c r="Q34" s="34" t="n"/>
    </row>
    <row r="35" ht="26.1" customHeight="1" s="102">
      <c r="B35" s="119" t="inlineStr">
        <is>
          <t>Discretionary</t>
        </is>
      </c>
      <c r="C35" s="119" t="inlineStr">
        <is>
          <t>Entertainment</t>
        </is>
      </c>
      <c r="D35" s="114" t="n">
        <v>50</v>
      </c>
      <c r="E35" s="114" t="n">
        <v>150</v>
      </c>
      <c r="F35" s="114" t="n">
        <v>100</v>
      </c>
      <c r="G35" s="114" t="n">
        <v>50</v>
      </c>
      <c r="H35" s="114" t="n">
        <v>150</v>
      </c>
      <c r="I35" s="114" t="n">
        <v>100</v>
      </c>
      <c r="J35" s="114" t="n"/>
      <c r="K35" s="114" t="n"/>
      <c r="L35" s="114" t="n"/>
      <c r="M35" s="114" t="n"/>
      <c r="N35" s="114" t="n"/>
      <c r="O35" s="114" t="n"/>
      <c r="P35" s="114" t="n"/>
      <c r="Q35" s="34" t="n"/>
    </row>
    <row r="36" ht="26.1" customHeight="1" s="102">
      <c r="B36" s="119" t="inlineStr">
        <is>
          <t>Discretionary</t>
        </is>
      </c>
      <c r="C36" s="119" t="inlineStr">
        <is>
          <t>Personal care</t>
        </is>
      </c>
      <c r="D36" s="114" t="n">
        <v>15</v>
      </c>
      <c r="E36" s="114" t="n">
        <v>25</v>
      </c>
      <c r="F36" s="114" t="n">
        <v>35</v>
      </c>
      <c r="G36" s="114" t="n">
        <v>15</v>
      </c>
      <c r="H36" s="114" t="n">
        <v>25</v>
      </c>
      <c r="I36" s="114" t="n">
        <v>35</v>
      </c>
      <c r="J36" s="114" t="n"/>
      <c r="K36" s="114" t="n"/>
      <c r="L36" s="114" t="n"/>
      <c r="M36" s="114" t="n"/>
      <c r="N36" s="114" t="n"/>
      <c r="O36" s="114" t="n"/>
      <c r="P36" s="114" t="n"/>
      <c r="Q36" s="34" t="n"/>
    </row>
    <row r="37" ht="26.1" customHeight="1" s="102">
      <c r="B37" s="119" t="inlineStr">
        <is>
          <t>Discretionary</t>
        </is>
      </c>
      <c r="C37" s="119" t="inlineStr">
        <is>
          <t>Shopping</t>
        </is>
      </c>
      <c r="D37" s="114" t="n">
        <v>100</v>
      </c>
      <c r="E37" s="114" t="n">
        <v>200</v>
      </c>
      <c r="F37" s="114" t="n">
        <v>150</v>
      </c>
      <c r="G37" s="114" t="n">
        <v>175</v>
      </c>
      <c r="H37" s="114" t="n">
        <v>150</v>
      </c>
      <c r="I37" s="114" t="n">
        <v>175</v>
      </c>
      <c r="J37" s="114" t="n"/>
      <c r="K37" s="114" t="n"/>
      <c r="L37" s="114" t="n"/>
      <c r="M37" s="114" t="n"/>
      <c r="N37" s="114" t="n"/>
      <c r="O37" s="114" t="n"/>
      <c r="P37" s="114" t="n"/>
      <c r="Q37" s="34" t="n"/>
    </row>
    <row r="38" ht="26.1" customHeight="1" s="102">
      <c r="B38" s="119" t="inlineStr">
        <is>
          <t>Discretionary</t>
        </is>
      </c>
      <c r="C38" s="119" t="inlineStr">
        <is>
          <t>Charity</t>
        </is>
      </c>
      <c r="D38" s="114" t="n">
        <v>50</v>
      </c>
      <c r="E38" s="114" t="n">
        <v>50</v>
      </c>
      <c r="F38" s="114" t="n">
        <v>50</v>
      </c>
      <c r="G38" s="114" t="n">
        <v>50</v>
      </c>
      <c r="H38" s="114" t="n">
        <v>50</v>
      </c>
      <c r="I38" s="114" t="n">
        <v>50</v>
      </c>
      <c r="J38" s="114" t="n"/>
      <c r="K38" s="114" t="n"/>
      <c r="L38" s="114" t="n"/>
      <c r="M38" s="114" t="n"/>
      <c r="N38" s="114" t="n"/>
      <c r="O38" s="114" t="n"/>
      <c r="P38" s="114" t="n"/>
      <c r="Q38" s="34" t="n"/>
    </row>
    <row r="39" ht="26.1" customHeight="1" s="102">
      <c r="B39" s="119" t="inlineStr">
        <is>
          <t>Discretionary</t>
        </is>
      </c>
      <c r="C39" s="119" t="inlineStr">
        <is>
          <t>Club memberships</t>
        </is>
      </c>
      <c r="D39" s="114" t="n">
        <v>25</v>
      </c>
      <c r="E39" s="114" t="n">
        <v>25</v>
      </c>
      <c r="F39" s="114" t="n">
        <v>25</v>
      </c>
      <c r="G39" s="114" t="n">
        <v>25</v>
      </c>
      <c r="H39" s="114" t="n">
        <v>25</v>
      </c>
      <c r="I39" s="114" t="n">
        <v>25</v>
      </c>
      <c r="J39" s="114" t="n"/>
      <c r="K39" s="114" t="n"/>
      <c r="L39" s="114" t="n"/>
      <c r="M39" s="114" t="n"/>
      <c r="N39" s="114" t="n"/>
      <c r="O39" s="114" t="n"/>
      <c r="P39" s="114" t="n"/>
      <c r="Q39" s="34" t="n"/>
    </row>
    <row r="40" ht="26.1" customHeight="1" s="102">
      <c r="B40" s="119" t="inlineStr">
        <is>
          <t>Discretionary</t>
        </is>
      </c>
      <c r="C40" s="119" t="inlineStr">
        <is>
          <t>Home improvements</t>
        </is>
      </c>
      <c r="D40" s="114" t="n">
        <v>400</v>
      </c>
      <c r="E40" s="114" t="n">
        <v>400</v>
      </c>
      <c r="F40" s="114" t="n">
        <v>400</v>
      </c>
      <c r="G40" s="114" t="n">
        <v>400</v>
      </c>
      <c r="H40" s="114" t="n">
        <v>400</v>
      </c>
      <c r="I40" s="114" t="n">
        <v>400</v>
      </c>
      <c r="J40" s="114" t="n"/>
      <c r="K40" s="114" t="n"/>
      <c r="L40" s="114" t="n"/>
      <c r="M40" s="114" t="n"/>
      <c r="N40" s="114" t="n"/>
      <c r="O40" s="114" t="n"/>
      <c r="P40" s="114" t="n"/>
      <c r="Q40" s="34" t="n"/>
    </row>
    <row r="41" ht="26.1" customHeight="1" s="102">
      <c r="B41" s="119" t="inlineStr">
        <is>
          <t>Discretionary</t>
        </is>
      </c>
      <c r="C41" s="119" t="inlineStr">
        <is>
          <t>Other 1</t>
        </is>
      </c>
      <c r="D41" s="114" t="n">
        <v>0</v>
      </c>
      <c r="E41" s="114" t="n">
        <v>0</v>
      </c>
      <c r="F41" s="114" t="n">
        <v>0</v>
      </c>
      <c r="G41" s="114" t="n">
        <v>0</v>
      </c>
      <c r="H41" s="114" t="n">
        <v>0</v>
      </c>
      <c r="I41" s="114" t="n">
        <v>0</v>
      </c>
      <c r="J41" s="114" t="n"/>
      <c r="K41" s="114" t="n"/>
      <c r="L41" s="114" t="n"/>
      <c r="M41" s="114" t="n"/>
      <c r="N41" s="114" t="n"/>
      <c r="O41" s="114" t="n"/>
      <c r="P41" s="114" t="n"/>
      <c r="Q41" s="34" t="n"/>
    </row>
    <row r="42" ht="26.1" customHeight="1" s="102">
      <c r="B42" s="119" t="inlineStr">
        <is>
          <t>Discretionary</t>
        </is>
      </c>
      <c r="C42" s="119" t="inlineStr">
        <is>
          <t>Other 2</t>
        </is>
      </c>
      <c r="D42" s="114" t="n">
        <v>0</v>
      </c>
      <c r="E42" s="114" t="n">
        <v>0</v>
      </c>
      <c r="F42" s="114" t="n">
        <v>0</v>
      </c>
      <c r="G42" s="114" t="n">
        <v>0</v>
      </c>
      <c r="H42" s="114" t="n">
        <v>0</v>
      </c>
      <c r="I42" s="114" t="n">
        <v>0</v>
      </c>
      <c r="J42" s="114" t="n"/>
      <c r="K42" s="114" t="n"/>
      <c r="L42" s="114" t="n"/>
      <c r="M42" s="114" t="n"/>
      <c r="N42" s="114" t="n"/>
      <c r="O42" s="114" t="n"/>
      <c r="P42" s="114" t="n"/>
      <c r="Q42" s="34" t="n"/>
    </row>
    <row r="43" ht="26.1" customHeight="1" s="102">
      <c r="B43" s="119" t="inlineStr">
        <is>
          <t>Savings</t>
        </is>
      </c>
      <c r="C43" s="119" t="inlineStr">
        <is>
          <t>Cash reserves</t>
        </is>
      </c>
      <c r="D43" s="114" t="n">
        <v>416.6666666666667</v>
      </c>
      <c r="E43" s="114" t="n">
        <v>416.6666666666667</v>
      </c>
      <c r="F43" s="114" t="n">
        <v>416.6666666666667</v>
      </c>
      <c r="G43" s="114" t="n">
        <v>416.6666666666667</v>
      </c>
      <c r="H43" s="114" t="n">
        <v>416.6666666666667</v>
      </c>
      <c r="I43" s="114" t="n">
        <v>416.6666666666667</v>
      </c>
      <c r="J43" s="114" t="n"/>
      <c r="K43" s="114" t="n"/>
      <c r="L43" s="114" t="n"/>
      <c r="M43" s="114" t="n"/>
      <c r="N43" s="114" t="n"/>
      <c r="O43" s="114" t="n"/>
      <c r="P43" s="114" t="n"/>
      <c r="Q43" s="34" t="n"/>
    </row>
    <row r="44" ht="26.1" customHeight="1" s="102">
      <c r="B44" s="119" t="inlineStr">
        <is>
          <t>Savings</t>
        </is>
      </c>
      <c r="C44" s="119" t="inlineStr">
        <is>
          <t>401k etc.</t>
        </is>
      </c>
      <c r="D44" s="114" t="n">
        <v>1000</v>
      </c>
      <c r="E44" s="114" t="n">
        <v>1000</v>
      </c>
      <c r="F44" s="114" t="n">
        <v>1000</v>
      </c>
      <c r="G44" s="114" t="n">
        <v>1000</v>
      </c>
      <c r="H44" s="114" t="n">
        <v>1000</v>
      </c>
      <c r="I44" s="114" t="n">
        <v>1000</v>
      </c>
      <c r="J44" s="114" t="n"/>
      <c r="K44" s="114" t="n"/>
      <c r="L44" s="114" t="n"/>
      <c r="M44" s="114" t="n"/>
      <c r="N44" s="114" t="n"/>
      <c r="O44" s="114" t="n"/>
      <c r="P44" s="114" t="n"/>
      <c r="Q44" s="34" t="n"/>
    </row>
    <row r="45" ht="26.1" customHeight="1" s="102">
      <c r="B45" s="119" t="inlineStr">
        <is>
          <t>Savings</t>
        </is>
      </c>
      <c r="C45" s="119" t="inlineStr">
        <is>
          <t>Savings account</t>
        </is>
      </c>
      <c r="D45" s="114" t="n">
        <v>500</v>
      </c>
      <c r="E45" s="114" t="n">
        <v>500</v>
      </c>
      <c r="F45" s="114" t="n">
        <v>500</v>
      </c>
      <c r="G45" s="114" t="n">
        <v>500</v>
      </c>
      <c r="H45" s="114" t="n">
        <v>500</v>
      </c>
      <c r="I45" s="114" t="n">
        <v>500</v>
      </c>
      <c r="J45" s="114" t="n"/>
      <c r="K45" s="114" t="n"/>
      <c r="L45" s="114" t="n"/>
      <c r="M45" s="114" t="n"/>
      <c r="N45" s="114" t="n"/>
      <c r="O45" s="114" t="n"/>
      <c r="P45" s="114" t="n"/>
      <c r="Q45" s="34" t="n"/>
    </row>
    <row r="46" ht="26.1" customHeight="1" s="102">
      <c r="B46" s="119" t="inlineStr">
        <is>
          <t>Savings</t>
        </is>
      </c>
      <c r="C46" s="119" t="inlineStr">
        <is>
          <t>Other 1</t>
        </is>
      </c>
      <c r="D46" s="114" t="n">
        <v>0</v>
      </c>
      <c r="E46" s="114" t="n">
        <v>0</v>
      </c>
      <c r="F46" s="114" t="n">
        <v>0</v>
      </c>
      <c r="G46" s="114" t="n">
        <v>0</v>
      </c>
      <c r="H46" s="114" t="n">
        <v>0</v>
      </c>
      <c r="I46" s="114" t="n">
        <v>0</v>
      </c>
      <c r="J46" s="114" t="n"/>
      <c r="K46" s="114" t="n"/>
      <c r="L46" s="114" t="n"/>
      <c r="M46" s="114" t="n"/>
      <c r="N46" s="114" t="n"/>
      <c r="O46" s="114" t="n"/>
      <c r="P46" s="114" t="n"/>
      <c r="Q46" s="34" t="n"/>
    </row>
    <row r="47" ht="26.1" customHeight="1" s="102">
      <c r="B47" s="119" t="inlineStr">
        <is>
          <t>Savings</t>
        </is>
      </c>
      <c r="C47" s="119" t="inlineStr">
        <is>
          <t>Other 2</t>
        </is>
      </c>
      <c r="D47" s="114" t="n">
        <v>0</v>
      </c>
      <c r="E47" s="114" t="n">
        <v>0</v>
      </c>
      <c r="F47" s="114" t="n">
        <v>0</v>
      </c>
      <c r="G47" s="114" t="n">
        <v>0</v>
      </c>
      <c r="H47" s="114" t="n">
        <v>0</v>
      </c>
      <c r="I47" s="114" t="n">
        <v>0</v>
      </c>
      <c r="J47" s="114" t="n"/>
      <c r="K47" s="114" t="n"/>
      <c r="L47" s="114" t="n"/>
      <c r="M47" s="114" t="n"/>
      <c r="N47" s="114" t="n"/>
      <c r="O47" s="114" t="n"/>
      <c r="P47" s="114" t="n"/>
      <c r="Q47" s="34" t="n"/>
    </row>
    <row r="48" ht="26.1" customHeight="1" s="102">
      <c r="B48" s="120" t="inlineStr">
        <is>
          <t>Total</t>
        </is>
      </c>
      <c r="C48" s="115" t="n"/>
      <c r="D48" s="116" t="n"/>
      <c r="E48" s="116" t="n"/>
      <c r="F48" s="116" t="n"/>
      <c r="G48" s="116" t="n"/>
      <c r="H48" s="116" t="n"/>
      <c r="I48" s="116" t="n"/>
      <c r="J48" s="116" t="n"/>
      <c r="K48" s="116" t="n"/>
      <c r="L48" s="116" t="n"/>
      <c r="M48" s="116" t="n"/>
      <c r="N48" s="116" t="n"/>
      <c r="O48" s="116" t="n"/>
      <c r="P48" s="116" t="n"/>
    </row>
    <row r="49" ht="26.1" customHeight="1" s="102">
      <c r="B49" s="83" t="n"/>
      <c r="C49" s="83" t="n"/>
      <c r="D49" s="83" t="n"/>
      <c r="E49" s="83" t="n"/>
      <c r="F49" s="83" t="n"/>
      <c r="G49" s="83" t="n"/>
      <c r="H49" s="83" t="n"/>
      <c r="I49" s="83" t="n"/>
      <c r="J49" s="83" t="n"/>
      <c r="K49" s="83" t="n"/>
      <c r="L49" s="83" t="n"/>
      <c r="M49" s="83" t="n"/>
      <c r="N49" s="83" t="n"/>
      <c r="O49" s="83" t="n"/>
      <c r="P49" s="83" t="n"/>
    </row>
  </sheetData>
  <mergeCells count="2">
    <mergeCell ref="F2:K2"/>
    <mergeCell ref="D2:E2"/>
  </mergeCells>
  <conditionalFormatting sqref="B5:P47">
    <cfRule type="expression" priority="1" dxfId="70">
      <formula>(MOD(ROW(),2)&lt;&gt;0)*($B5="Income")</formula>
    </cfRule>
    <cfRule type="expression" priority="2" dxfId="69">
      <formula>(MOD(ROW(),2)=0)*($B5="Income")</formula>
    </cfRule>
  </conditionalFormatting>
  <dataValidations count="3">
    <dataValidation sqref="A1" showDropDown="0" showInputMessage="1" showErrorMessage="1" allowBlank="1" promptTitle="Monthly Cash Flow" prompt="_x000a_Create Monthly Cash Flow Statement in this worksheet. _x000a__x000a_Enter details in Monthly table. Total Monthly Cash flow is automatically calculated in cell D2. Tip is in cell F2."/>
    <dataValidation sqref="B4" showDropDown="0" showInputMessage="1" showErrorMessage="1" allowBlank="1" prompt="Select Type in this column under this heading. Press ALT+DOWN ARROW for options, then DOWN ARROW and ENTER to make selection. Use heading filters to find specific entries"/>
    <dataValidation sqref="C4" showDropDown="0" showInputMessage="1" showErrorMessage="1" allowBlank="1" prompt="Enter Description in this column under this heading"/>
  </dataValidations>
  <hyperlinks>
    <hyperlink ref="H1" location="Guide!A1" tooltip="Select to navigate to Guide worksheet" display="Navigation button for Guide worksheet is in this cell."/>
    <hyperlink ref="I1" location="'Annual Cash Flow'!A1" tooltip="Select to navigate to Annual Cash Flow worksheet" display="ANNUAL CASH FLOW"/>
    <hyperlink ref="J1" location="'Monthly Cash Flow'!A1" tooltip="Select to navigate to cell A1 in this worksheet" display="MONTHLY CASH FLOW"/>
    <hyperlink ref="K1" location="'Daily Summary'!A1" tooltip="Select to navigate to Daily Summary worksheet" display="DAILY SUMMARY"/>
  </hyperlinks>
  <printOptions horizontalCentered="1"/>
  <pageMargins left="0.25" right="0.25" top="0.75" bottom="0.75" header="0.3" footer="0.3"/>
  <pageSetup orientation="landscape" scale="4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theme="4" tint="-0.249977111117893"/>
    <outlinePr summaryBelow="1" summaryRight="1"/>
    <pageSetUpPr autoPageBreaks="0" fitToPage="1"/>
  </sheetPr>
  <dimension ref="A1:AC29"/>
  <sheetViews>
    <sheetView showGridLines="0" zoomScaleNormal="100" workbookViewId="0">
      <selection activeCell="A1" sqref="A1"/>
    </sheetView>
  </sheetViews>
  <sheetFormatPr baseColWidth="8" defaultColWidth="20.77734375" defaultRowHeight="13.9"/>
  <cols>
    <col width="1.77734375" customWidth="1" style="2" min="1" max="1"/>
    <col width="14.77734375" customWidth="1" style="2" min="2" max="2"/>
    <col width="12.77734375" customWidth="1" style="2" min="3" max="3"/>
    <col width="16.77734375" customWidth="1" style="2" min="4" max="4"/>
    <col width="2.6640625" customWidth="1" style="2" min="5" max="5"/>
    <col width="14.77734375" customWidth="1" style="2" min="6" max="8"/>
    <col width="2.6640625" customWidth="1" style="2" min="9" max="9"/>
    <col width="14.77734375" customWidth="1" style="2" min="10" max="12"/>
    <col width="2.6640625" customWidth="1" style="2" min="13" max="13"/>
    <col width="14.77734375" customWidth="1" style="2" min="14" max="16"/>
    <col width="1.77734375" customWidth="1" style="2" min="17" max="17"/>
    <col hidden="1" width="20.77734375" customWidth="1" style="2" min="18" max="19"/>
    <col hidden="1" width="1.77734375" customWidth="1" style="2" min="20" max="20"/>
    <col hidden="1" width="20.77734375" customWidth="1" style="2" min="21" max="22"/>
    <col hidden="1" width="1.77734375" customWidth="1" style="2" min="23" max="23"/>
    <col hidden="1" width="20.77734375" customWidth="1" style="2" min="24" max="25"/>
    <col hidden="1" width="1.77734375" customWidth="1" style="2" min="26" max="26"/>
    <col hidden="1" width="20.77734375" customWidth="1" style="2" min="27" max="28"/>
    <col width="20.77734375" customWidth="1" style="2" min="29" max="16384"/>
  </cols>
  <sheetData>
    <row r="1" ht="44.1" customFormat="1" customHeight="1" s="16">
      <c r="A1" s="18" t="n"/>
      <c r="B1" s="16" t="inlineStr">
        <is>
          <t>PERSONAL CASH FLOW</t>
        </is>
      </c>
      <c r="H1" t="inlineStr">
        <is>
          <t>'Annual Cash Flow'!A1</t>
        </is>
      </c>
      <c r="I1" t="inlineStr">
        <is>
          <t>'Annual Cash Flow'!A1</t>
        </is>
      </c>
      <c r="J1" t="inlineStr">
        <is>
          <t>Guide!A1</t>
        </is>
      </c>
      <c r="L1" t="inlineStr">
        <is>
          <t>'Monthly Cash Flow'!A1</t>
        </is>
      </c>
      <c r="Q1" s="16" t="inlineStr">
        <is>
          <t> </t>
        </is>
      </c>
    </row>
    <row r="2" ht="44.1" customFormat="1" customHeight="1" s="3">
      <c r="B2" s="87" t="n"/>
      <c r="C2" s="87" t="inlineStr">
        <is>
          <t>Total cash flow to date:</t>
        </is>
      </c>
      <c r="D2" s="121" t="n"/>
      <c r="E2" s="104" t="n"/>
      <c r="F2" s="65" t="n"/>
      <c r="G2" s="92" t="inlineStr">
        <is>
          <t>This is an annual estimation.  Use this worksheet if you wish to view annual amounts with estimated monthly values. Use income, expenses, discretionary, and savings worksheets to enter items.</t>
        </is>
      </c>
      <c r="H2" s="104" t="n"/>
      <c r="I2" s="104" t="n"/>
      <c r="J2" s="104" t="n"/>
      <c r="K2" s="104" t="n"/>
      <c r="L2" s="104" t="n"/>
      <c r="M2" s="41" t="n"/>
      <c r="N2" s="41" t="n"/>
      <c r="O2" s="23" t="n"/>
      <c r="P2" s="23" t="n"/>
    </row>
    <row r="3" ht="33.95" customFormat="1" customHeight="1" s="3">
      <c r="B3" s="19" t="n"/>
      <c r="C3" s="19" t="n"/>
      <c r="D3" s="122" t="n"/>
      <c r="E3" s="122" t="n"/>
      <c r="F3" s="122" t="n"/>
      <c r="G3" s="21" t="n"/>
      <c r="H3" s="21" t="n"/>
      <c r="I3" s="21" t="n"/>
      <c r="J3" s="21" t="n"/>
      <c r="K3" s="21" t="n"/>
      <c r="L3" s="21" t="n"/>
      <c r="M3" s="21" t="n"/>
      <c r="N3" s="21" t="n"/>
      <c r="O3" s="21" t="n"/>
      <c r="P3" s="21" t="n"/>
    </row>
    <row r="4" ht="33.95" customFormat="1" customHeight="1" s="22" thickBot="1">
      <c r="B4" s="95" t="inlineStr">
        <is>
          <t>INCOME SUMMARY</t>
        </is>
      </c>
      <c r="C4" s="123" t="n"/>
      <c r="D4" s="123" t="n"/>
      <c r="F4" s="95" t="inlineStr">
        <is>
          <t>EXPENSES SUMMARY</t>
        </is>
      </c>
      <c r="G4" s="123" t="n"/>
      <c r="H4" s="123" t="n"/>
      <c r="J4" s="95" t="inlineStr">
        <is>
          <t>DISCRETIONARY SUMMARY</t>
        </is>
      </c>
      <c r="K4" s="123" t="n"/>
      <c r="L4" s="123" t="n"/>
      <c r="N4" s="95" t="inlineStr">
        <is>
          <t>SAVINGS SUMMARY</t>
        </is>
      </c>
      <c r="O4" s="123" t="n"/>
      <c r="P4" s="123" t="n"/>
    </row>
    <row r="5" ht="33.95" customHeight="1" s="102">
      <c r="B5" s="15" t="inlineStr">
        <is>
          <t>Total annual:</t>
        </is>
      </c>
      <c r="C5" s="124" t="n"/>
      <c r="D5" s="125" t="n"/>
      <c r="F5" s="15" t="inlineStr">
        <is>
          <t>Total annual:</t>
        </is>
      </c>
      <c r="G5" s="124" t="n"/>
      <c r="H5" s="125" t="n"/>
      <c r="J5" s="15" t="inlineStr">
        <is>
          <t>Total annual:</t>
        </is>
      </c>
      <c r="K5" s="124" t="n"/>
      <c r="L5" s="125" t="n"/>
      <c r="N5" s="15" t="inlineStr">
        <is>
          <t>Total annual:</t>
        </is>
      </c>
      <c r="O5" s="126" t="n"/>
      <c r="P5" s="125" t="n"/>
    </row>
    <row r="6" ht="339.95" customHeight="1" s="102">
      <c r="B6" s="84" t="n"/>
      <c r="C6" s="84" t="n"/>
      <c r="D6" s="84" t="n"/>
      <c r="F6" s="84" t="n"/>
      <c r="G6" s="84" t="n"/>
      <c r="H6" s="84" t="n"/>
      <c r="J6" s="84" t="n"/>
      <c r="K6" s="84" t="n"/>
      <c r="L6" s="84" t="n"/>
      <c r="N6" s="84" t="n"/>
      <c r="O6" s="84" t="n"/>
      <c r="P6" s="84" t="n"/>
    </row>
    <row r="7" ht="12" customHeight="1" s="102">
      <c r="B7" s="29" t="n"/>
      <c r="C7" s="29" t="n"/>
      <c r="D7" s="29" t="n"/>
      <c r="F7" s="29" t="n"/>
      <c r="G7" s="29" t="n"/>
      <c r="H7" s="29" t="n"/>
      <c r="J7" s="29" t="n"/>
      <c r="K7" s="29" t="n"/>
      <c r="L7" s="29" t="n"/>
      <c r="N7" s="29" t="n"/>
      <c r="O7" s="29" t="n"/>
      <c r="P7" s="29" t="n"/>
    </row>
    <row r="8" ht="33.95" customHeight="1" s="102">
      <c r="B8" s="80" t="inlineStr">
        <is>
          <t>Total Monthly:</t>
        </is>
      </c>
      <c r="C8" s="127" t="n"/>
      <c r="D8" s="128" t="n"/>
      <c r="F8" s="80" t="inlineStr">
        <is>
          <t>Total Monthly:</t>
        </is>
      </c>
      <c r="G8" s="127" t="n"/>
      <c r="H8" s="128" t="n"/>
      <c r="J8" s="80" t="inlineStr">
        <is>
          <t>Total Monthly:</t>
        </is>
      </c>
      <c r="K8" s="127" t="n"/>
      <c r="L8" s="128" t="n"/>
      <c r="N8" s="81" t="inlineStr">
        <is>
          <t>Total Monthly:</t>
        </is>
      </c>
      <c r="O8" s="129" t="n"/>
      <c r="P8" s="128" t="n"/>
    </row>
    <row r="10">
      <c r="R10" s="79" t="inlineStr">
        <is>
          <t>Row Labels</t>
        </is>
      </c>
      <c r="S10" s="0" t="inlineStr">
        <is>
          <t>Annual Income</t>
        </is>
      </c>
      <c r="T10" s="0" t="n"/>
      <c r="U10" s="79" t="inlineStr">
        <is>
          <t>Row Labels</t>
        </is>
      </c>
      <c r="V10" s="0" t="inlineStr">
        <is>
          <t>Sum of Annual</t>
        </is>
      </c>
      <c r="W10" s="0" t="n"/>
      <c r="X10" s="79" t="inlineStr">
        <is>
          <t>Row Labels</t>
        </is>
      </c>
      <c r="Y10" s="0" t="inlineStr">
        <is>
          <t>Sum of Annual</t>
        </is>
      </c>
      <c r="Z10" s="0" t="n"/>
      <c r="AA10" s="79" t="inlineStr">
        <is>
          <t>Row Labels</t>
        </is>
      </c>
      <c r="AB10" s="0" t="inlineStr">
        <is>
          <t>Sum of Annual</t>
        </is>
      </c>
    </row>
    <row r="11">
      <c r="R11" s="88" t="inlineStr">
        <is>
          <t>Other 2</t>
        </is>
      </c>
      <c r="S11" s="130" t="n">
        <v>0</v>
      </c>
      <c r="T11" s="0" t="n"/>
      <c r="U11" s="88" t="inlineStr">
        <is>
          <t>Other 1</t>
        </is>
      </c>
      <c r="V11" s="131" t="n">
        <v>0</v>
      </c>
      <c r="W11" s="0" t="n"/>
      <c r="X11" s="88" t="inlineStr">
        <is>
          <t>Other 2</t>
        </is>
      </c>
      <c r="Y11" s="130" t="n">
        <v>0</v>
      </c>
      <c r="Z11" s="0" t="n"/>
      <c r="AA11" s="88" t="inlineStr">
        <is>
          <t>Other 1</t>
        </is>
      </c>
      <c r="AB11" s="130" t="n">
        <v>0</v>
      </c>
      <c r="AC11" s="0" t="n"/>
    </row>
    <row r="12">
      <c r="R12" s="88" t="inlineStr">
        <is>
          <t>Other 3</t>
        </is>
      </c>
      <c r="S12" s="130" t="n">
        <v>0</v>
      </c>
      <c r="T12" s="0" t="n"/>
      <c r="U12" s="88" t="inlineStr">
        <is>
          <t>Other 2</t>
        </is>
      </c>
      <c r="V12" s="131" t="n">
        <v>0</v>
      </c>
      <c r="W12" s="0" t="n"/>
      <c r="X12" s="88" t="inlineStr">
        <is>
          <t>Other 1</t>
        </is>
      </c>
      <c r="Y12" s="130" t="n">
        <v>0</v>
      </c>
      <c r="Z12" s="0" t="n"/>
      <c r="AA12" s="88" t="inlineStr">
        <is>
          <t>Other 2</t>
        </is>
      </c>
      <c r="AB12" s="130" t="n">
        <v>0</v>
      </c>
      <c r="AC12" s="0" t="n"/>
    </row>
    <row r="13">
      <c r="R13" s="88" t="inlineStr">
        <is>
          <t>Other 4</t>
        </is>
      </c>
      <c r="S13" s="130" t="n">
        <v>0</v>
      </c>
      <c r="T13" s="0" t="n"/>
      <c r="U13" s="88" t="inlineStr">
        <is>
          <t>Garbage</t>
        </is>
      </c>
      <c r="V13" s="131" t="n">
        <v>150</v>
      </c>
      <c r="W13" s="0" t="n"/>
      <c r="X13" s="88" t="inlineStr">
        <is>
          <t>Club/Memberships</t>
        </is>
      </c>
      <c r="Y13" s="130" t="n">
        <v>300</v>
      </c>
      <c r="Z13" s="0" t="n"/>
      <c r="AA13" s="88" t="inlineStr">
        <is>
          <t>Cash Reserves</t>
        </is>
      </c>
      <c r="AB13" s="130" t="n">
        <v>5000</v>
      </c>
      <c r="AC13" s="0" t="n"/>
    </row>
    <row r="14">
      <c r="R14" s="88" t="inlineStr">
        <is>
          <t>Commissions/bonus</t>
        </is>
      </c>
      <c r="S14" s="130" t="n">
        <v>5000</v>
      </c>
      <c r="T14" s="0" t="n"/>
      <c r="U14" s="88" t="inlineStr">
        <is>
          <t>Vehicle Tax/Fees</t>
        </is>
      </c>
      <c r="V14" s="131" t="n">
        <v>200</v>
      </c>
      <c r="W14" s="0" t="n"/>
      <c r="X14" s="88" t="inlineStr">
        <is>
          <t>Personal Care</t>
        </is>
      </c>
      <c r="Y14" s="130" t="n">
        <v>300</v>
      </c>
      <c r="Z14" s="0" t="n"/>
      <c r="AA14" s="88" t="inlineStr">
        <is>
          <t>Savings/Investment</t>
        </is>
      </c>
      <c r="AB14" s="130" t="n">
        <v>6000</v>
      </c>
      <c r="AC14" s="0" t="n"/>
    </row>
    <row r="15">
      <c r="R15" s="88" t="inlineStr">
        <is>
          <t>Other 1</t>
        </is>
      </c>
      <c r="S15" s="130" t="n">
        <v>30000</v>
      </c>
      <c r="T15" s="0" t="n"/>
      <c r="U15" s="88" t="inlineStr">
        <is>
          <t>Insurance</t>
        </is>
      </c>
      <c r="V15" s="131" t="n">
        <v>250</v>
      </c>
      <c r="W15" s="0" t="n"/>
      <c r="X15" s="88" t="inlineStr">
        <is>
          <t>Gifts</t>
        </is>
      </c>
      <c r="Y15" s="130" t="n">
        <v>600</v>
      </c>
      <c r="Z15" s="0" t="n"/>
      <c r="AA15" s="88" t="inlineStr">
        <is>
          <t>401(k)/Etc</t>
        </is>
      </c>
      <c r="AB15" s="130" t="n">
        <v>12000</v>
      </c>
      <c r="AC15" s="0" t="n"/>
    </row>
    <row r="16">
      <c r="R16" s="88" t="inlineStr">
        <is>
          <t>Salary</t>
        </is>
      </c>
      <c r="S16" s="130" t="n">
        <v>90000</v>
      </c>
      <c r="T16" s="0" t="n"/>
      <c r="U16" s="88" t="inlineStr">
        <is>
          <t>Internet</t>
        </is>
      </c>
      <c r="V16" s="131" t="n">
        <v>600</v>
      </c>
      <c r="W16" s="0" t="n"/>
      <c r="X16" s="88" t="inlineStr">
        <is>
          <t>Charity</t>
        </is>
      </c>
      <c r="Y16" s="130" t="n">
        <v>600</v>
      </c>
      <c r="Z16" s="0" t="n"/>
      <c r="AA16" s="88" t="inlineStr">
        <is>
          <t>Grand Total</t>
        </is>
      </c>
      <c r="AB16" s="130" t="n">
        <v>23000</v>
      </c>
      <c r="AC16" s="0" t="n"/>
    </row>
    <row r="17">
      <c r="R17" s="88" t="inlineStr">
        <is>
          <t>Grand Total</t>
        </is>
      </c>
      <c r="S17" s="130" t="n">
        <v>125000</v>
      </c>
      <c r="T17" s="0" t="n"/>
      <c r="U17" s="88" t="inlineStr">
        <is>
          <t>Gas</t>
        </is>
      </c>
      <c r="V17" s="131" t="n">
        <v>600</v>
      </c>
      <c r="W17" s="0" t="n"/>
      <c r="X17" s="88" t="inlineStr">
        <is>
          <t>Entertainment</t>
        </is>
      </c>
      <c r="Y17" s="130" t="n">
        <v>1200</v>
      </c>
      <c r="Z17" s="0" t="n"/>
      <c r="AC17" s="0" t="n"/>
    </row>
    <row r="18">
      <c r="R18" s="0" t="n"/>
      <c r="S18" s="0" t="n"/>
      <c r="T18" s="0" t="n"/>
      <c r="U18" s="88" t="inlineStr">
        <is>
          <t>Water/Sewer</t>
        </is>
      </c>
      <c r="V18" s="131" t="n">
        <v>600</v>
      </c>
      <c r="W18" s="0" t="n"/>
      <c r="X18" s="88" t="inlineStr">
        <is>
          <t>Dining</t>
        </is>
      </c>
      <c r="Y18" s="130" t="n">
        <v>1200</v>
      </c>
      <c r="Z18" s="0" t="n"/>
      <c r="AA18" s="0" t="n"/>
      <c r="AB18" s="0" t="n"/>
      <c r="AC18" s="0" t="n"/>
    </row>
    <row r="19">
      <c r="R19" s="0" t="n"/>
      <c r="S19" s="0" t="n"/>
      <c r="T19" s="0" t="n"/>
      <c r="U19" s="88" t="inlineStr">
        <is>
          <t>Phone</t>
        </is>
      </c>
      <c r="V19" s="131" t="n">
        <v>600</v>
      </c>
      <c r="W19" s="0" t="n"/>
      <c r="X19" s="88" t="inlineStr">
        <is>
          <t>Shopping</t>
        </is>
      </c>
      <c r="Y19" s="130" t="n">
        <v>2000</v>
      </c>
      <c r="Z19" s="0" t="n"/>
      <c r="AA19" s="0" t="n"/>
      <c r="AB19" s="0" t="n"/>
      <c r="AC19" s="0" t="n"/>
    </row>
    <row r="20">
      <c r="R20" s="0" t="n"/>
      <c r="S20" s="0" t="n"/>
      <c r="T20" s="0" t="n"/>
      <c r="U20" s="88" t="inlineStr">
        <is>
          <t>Medical/Dental/Rx</t>
        </is>
      </c>
      <c r="V20" s="131" t="n">
        <v>600</v>
      </c>
      <c r="W20" s="0" t="n"/>
      <c r="X20" s="88" t="inlineStr">
        <is>
          <t>Travel</t>
        </is>
      </c>
      <c r="Y20" s="130" t="n">
        <v>2250</v>
      </c>
      <c r="Z20" s="0" t="n"/>
      <c r="AA20" s="0" t="n"/>
      <c r="AB20" s="0" t="n"/>
      <c r="AC20" s="0" t="n"/>
    </row>
    <row r="21">
      <c r="R21" s="0" t="n"/>
      <c r="S21" s="0" t="n"/>
      <c r="T21" s="0" t="n"/>
      <c r="U21" s="88" t="inlineStr">
        <is>
          <t>Electricity</t>
        </is>
      </c>
      <c r="V21" s="131" t="n">
        <v>1200</v>
      </c>
      <c r="W21" s="0" t="n"/>
      <c r="X21" s="88" t="inlineStr">
        <is>
          <t>Home Improvements</t>
        </is>
      </c>
      <c r="Y21" s="130" t="n">
        <v>4800</v>
      </c>
      <c r="Z21" s="0" t="n"/>
      <c r="AA21" s="0" t="n"/>
      <c r="AB21" s="0" t="n"/>
      <c r="AC21" s="0" t="n"/>
    </row>
    <row r="22">
      <c r="R22" s="0" t="n"/>
      <c r="S22" s="0" t="n"/>
      <c r="T22" s="0" t="n"/>
      <c r="U22" s="88" t="inlineStr">
        <is>
          <t>Clothing</t>
        </is>
      </c>
      <c r="V22" s="131" t="n">
        <v>1200</v>
      </c>
      <c r="W22" s="0" t="n"/>
      <c r="X22" s="88" t="inlineStr">
        <is>
          <t>Grand Total</t>
        </is>
      </c>
      <c r="Y22" s="130" t="n">
        <v>13250</v>
      </c>
      <c r="Z22" s="0" t="n"/>
      <c r="AA22" s="0" t="n"/>
      <c r="AB22" s="0" t="n"/>
      <c r="AC22" s="0" t="n"/>
    </row>
    <row r="23">
      <c r="R23" s="0" t="n"/>
      <c r="S23" s="0" t="n"/>
      <c r="T23" s="0" t="n"/>
      <c r="U23" s="88" t="inlineStr">
        <is>
          <t>Disability Premiums</t>
        </is>
      </c>
      <c r="V23" s="131" t="n">
        <v>1500</v>
      </c>
      <c r="W23" s="0" t="n"/>
      <c r="X23" s="0" t="n"/>
      <c r="Y23" s="0" t="n"/>
      <c r="Z23" s="0" t="n"/>
      <c r="AA23" s="0" t="n"/>
      <c r="AB23" s="0" t="n"/>
      <c r="AC23" s="0" t="n"/>
    </row>
    <row r="24">
      <c r="R24" s="0" t="n"/>
      <c r="S24" s="0" t="n"/>
      <c r="T24" s="0" t="n"/>
      <c r="U24" s="88" t="inlineStr">
        <is>
          <t>State Income Tax</t>
        </is>
      </c>
      <c r="V24" s="131" t="n">
        <v>2500</v>
      </c>
      <c r="W24" s="0" t="n"/>
      <c r="X24" s="0" t="n"/>
      <c r="Y24" s="0" t="n"/>
      <c r="Z24" s="0" t="n"/>
      <c r="AC24" s="0" t="n"/>
    </row>
    <row r="25">
      <c r="R25" s="0" t="n"/>
      <c r="S25" s="0" t="n"/>
      <c r="T25" s="0" t="n"/>
      <c r="U25" s="88" t="inlineStr">
        <is>
          <t>Vehicle Payments</t>
        </is>
      </c>
      <c r="V25" s="131" t="n">
        <v>4000</v>
      </c>
      <c r="W25" s="0" t="n"/>
      <c r="X25" s="0" t="n"/>
      <c r="Y25" s="0" t="n"/>
      <c r="Z25" s="0" t="n"/>
      <c r="AC25" s="0" t="n"/>
    </row>
    <row r="26">
      <c r="R26" s="0" t="n"/>
      <c r="S26" s="0" t="n"/>
      <c r="T26" s="0" t="n"/>
      <c r="U26" s="88" t="inlineStr">
        <is>
          <t>Food</t>
        </is>
      </c>
      <c r="V26" s="131" t="n">
        <v>5000</v>
      </c>
      <c r="W26" s="0" t="n"/>
      <c r="X26" s="0" t="n"/>
      <c r="Y26" s="0" t="n"/>
      <c r="Z26" s="0" t="n"/>
      <c r="AC26" s="0" t="n"/>
    </row>
    <row r="27">
      <c r="R27" s="0" t="n"/>
      <c r="S27" s="0" t="n"/>
      <c r="T27" s="0" t="n"/>
      <c r="U27" s="88" t="inlineStr">
        <is>
          <t>Federal/SS/Medicare</t>
        </is>
      </c>
      <c r="V27" s="131" t="n">
        <v>12500</v>
      </c>
      <c r="W27" s="0" t="n"/>
      <c r="X27" s="0" t="n"/>
      <c r="Y27" s="0" t="n"/>
      <c r="Z27" s="0" t="n"/>
      <c r="AC27" s="0" t="n"/>
    </row>
    <row r="28">
      <c r="U28" s="88" t="inlineStr">
        <is>
          <t>Mortgage/Rent</t>
        </is>
      </c>
      <c r="V28" s="131" t="n">
        <v>15000</v>
      </c>
      <c r="AC28" s="0" t="n"/>
    </row>
    <row r="29">
      <c r="U29" s="88" t="inlineStr">
        <is>
          <t>Grand Total</t>
        </is>
      </c>
      <c r="V29" s="131" t="n">
        <v>46500</v>
      </c>
    </row>
  </sheetData>
  <mergeCells count="14">
    <mergeCell ref="G2:L2"/>
    <mergeCell ref="D2:E2"/>
    <mergeCell ref="K8:L8"/>
    <mergeCell ref="O5:P5"/>
    <mergeCell ref="B4:D4"/>
    <mergeCell ref="C5:D5"/>
    <mergeCell ref="G5:H5"/>
    <mergeCell ref="K5:L5"/>
    <mergeCell ref="F4:H4"/>
    <mergeCell ref="J4:L4"/>
    <mergeCell ref="N4:P4"/>
    <mergeCell ref="G8:H8"/>
    <mergeCell ref="C8:D8"/>
    <mergeCell ref="O8:P8"/>
  </mergeCells>
  <dataValidations count="1">
    <dataValidation sqref="B7:D7" showDropDown="0" showInputMessage="1" showErrorMessage="1" allowBlank="1" prompt="Bar chart showing income from various sources is in this cell"/>
  </dataValidations>
  <hyperlinks>
    <hyperlink ref="H1" location="'Annual Cash Flow'!A1" tooltip="Select to navigate to cell A1 in this worksheet" display="ANNUAL CASH FLOW"/>
    <hyperlink ref="I1" location="'Annual Cash Flow'!A1" tooltip="Select to navigate to cell A1 in this worksheet" display="ANNUAL CASH FLOW"/>
    <hyperlink ref="J1" location="Guide!A1" tooltip="Select to navigate to Guide worksheet" display="Navigation button for Guide worksheet is in this cell."/>
    <hyperlink ref="L1" location="'Monthly Cash Flow'!A1" tooltip="Select to navigate to Monthly Cash Flow worksheet" display="'Monthly Cash Flow'!A1"/>
  </hyperlinks>
  <printOptions horizontalCentered="1"/>
  <pageMargins left="0.25" right="0.25" top="0.75" bottom="0.75" header="0.3" footer="0.3"/>
  <pageSetup orientation="landscape" scale="57" fitToHeight="0"/>
  <headerFooter differentFirst="1">
    <oddHeader/>
    <oddFooter>&amp;L&amp;C&amp;R</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theme="4" tint="0.3999755851924192"/>
    <outlinePr summaryBelow="1" summaryRight="1"/>
    <pageSetUpPr autoPageBreaks="0" fitToPage="1"/>
  </sheetPr>
  <dimension ref="A1:I11"/>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16">
      <c r="A1" s="18" t="n"/>
      <c r="B1" s="16" t="inlineStr">
        <is>
          <t>PERSONAL CASH FLOW</t>
        </is>
      </c>
      <c r="F1" t="inlineStr">
        <is>
          <t>Guide!A1</t>
        </is>
      </c>
      <c r="G1" t="inlineStr">
        <is>
          <t>'Daily Summary'!A1</t>
        </is>
      </c>
      <c r="H1" t="inlineStr">
        <is>
          <t>Income!A1</t>
        </is>
      </c>
      <c r="I1" t="inlineStr">
        <is>
          <t>Expenses!A1</t>
        </is>
      </c>
    </row>
    <row r="2" ht="44.1" customFormat="1" customHeight="1" s="3">
      <c r="B2" s="85" t="n"/>
      <c r="C2" s="85" t="inlineStr">
        <is>
          <t>Total cash flow to date:</t>
        </is>
      </c>
      <c r="D2" s="103" t="n"/>
      <c r="F2" s="92" t="inlineStr">
        <is>
          <t>This is an annual estimation.  Use this worksheet if you wish to view annual amounts with estimated monthly values.
If you wish to add daily items to the tables, estimate their annual amount/value and place value in the annual column.</t>
        </is>
      </c>
      <c r="G2" s="104" t="n"/>
      <c r="H2" s="104" t="n"/>
      <c r="I2" s="104" t="n"/>
    </row>
    <row r="3" ht="33.95" customFormat="1" customHeight="1" s="2">
      <c r="B3" s="63" t="n"/>
      <c r="C3" s="63" t="n"/>
      <c r="D3" s="132" t="n"/>
      <c r="E3" s="132" t="n"/>
    </row>
    <row r="4" ht="33.95" customFormat="1" customHeight="1" s="38">
      <c r="B4" s="112" t="inlineStr">
        <is>
          <t>Income</t>
        </is>
      </c>
      <c r="C4" s="66" t="inlineStr">
        <is>
          <t xml:space="preserve">Annual  </t>
        </is>
      </c>
      <c r="D4" s="66" t="inlineStr">
        <is>
          <t xml:space="preserve">Monthly </t>
        </is>
      </c>
      <c r="F4" s="67" t="n"/>
      <c r="G4" s="67" t="n"/>
      <c r="H4" s="67" t="n"/>
      <c r="I4" s="67" t="n"/>
    </row>
    <row r="5" ht="30" customHeight="1" s="102">
      <c r="B5" s="133" t="inlineStr">
        <is>
          <t>Salary</t>
        </is>
      </c>
      <c r="C5" s="134" t="n">
        <v>90000</v>
      </c>
      <c r="D5" s="134" t="n"/>
    </row>
    <row r="6" ht="30" customHeight="1" s="102">
      <c r="B6" s="133" t="inlineStr">
        <is>
          <t>Commissions/bonus</t>
        </is>
      </c>
      <c r="C6" s="134" t="n">
        <v>5000</v>
      </c>
      <c r="D6" s="134" t="n"/>
    </row>
    <row r="7" ht="30" customHeight="1" s="102">
      <c r="B7" s="133" t="inlineStr">
        <is>
          <t>Other 1</t>
        </is>
      </c>
      <c r="C7" s="134" t="n">
        <v>30000</v>
      </c>
      <c r="D7" s="134" t="n"/>
    </row>
    <row r="8" ht="30" customHeight="1" s="102">
      <c r="B8" s="133" t="inlineStr">
        <is>
          <t>Other 2</t>
        </is>
      </c>
      <c r="C8" s="134" t="n">
        <v>0</v>
      </c>
      <c r="D8" s="134" t="n"/>
    </row>
    <row r="9" ht="30" customHeight="1" s="102">
      <c r="B9" s="133" t="inlineStr">
        <is>
          <t>Other 3</t>
        </is>
      </c>
      <c r="C9" s="134" t="n">
        <v>0</v>
      </c>
      <c r="D9" s="134" t="n"/>
    </row>
    <row r="10" ht="30" customHeight="1" s="102">
      <c r="B10" s="133" t="inlineStr">
        <is>
          <t>Other 4</t>
        </is>
      </c>
      <c r="C10" s="134" t="n">
        <v>0</v>
      </c>
      <c r="D10" s="134" t="n"/>
    </row>
    <row r="11" ht="30" customFormat="1" customHeight="1" s="42">
      <c r="B11" s="133" t="inlineStr">
        <is>
          <t>Total</t>
        </is>
      </c>
      <c r="C11" s="134" t="n"/>
      <c r="D11" s="134" t="n"/>
    </row>
  </sheetData>
  <mergeCells count="2">
    <mergeCell ref="D2:E2"/>
    <mergeCell ref="F2:I3"/>
  </mergeCells>
  <dataValidations xWindow="999" yWindow="322" count="1">
    <dataValidation sqref="B2:C2" showDropDown="0" showInputMessage="1" showErrorMessage="1" allowBlank="1" prompt="Total Cash Flow to Date is automatically calculated in cell at right"/>
  </dataValidations>
  <hyperlinks>
    <hyperlink ref="F1" location="Guide!A1" tooltip="Select to navigate to Guide worksheet" display="Navigation button for Guide worksheet is in this cell."/>
    <hyperlink ref="G1" location="'Daily Summary'!A1" tooltip="Select to navigate to Daily Summary worksheet" display="DAILY SUMMARY"/>
    <hyperlink ref="H1" location="Income!A1" tooltip="Select to navigate to cell A1 in this worksheet" display="INCOME"/>
    <hyperlink ref="I1" location="Expenses!A1" tooltip="Select to navigate to Expenses worksheet" display="EXPENSE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theme="4" tint="0.3999755851924192"/>
    <outlinePr summaryBelow="1" summaryRight="1"/>
    <pageSetUpPr autoPageBreaks="0" fitToPage="1"/>
  </sheetPr>
  <dimension ref="A1:I23"/>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16">
      <c r="A1" s="18" t="n"/>
      <c r="B1" s="16" t="inlineStr">
        <is>
          <t>PERSONAL CASH FLOW</t>
        </is>
      </c>
      <c r="F1" t="inlineStr">
        <is>
          <t>Guide!A1</t>
        </is>
      </c>
      <c r="G1" t="inlineStr">
        <is>
          <t>Income!A1</t>
        </is>
      </c>
      <c r="H1" t="inlineStr">
        <is>
          <t>Expenses!A1</t>
        </is>
      </c>
      <c r="I1" t="inlineStr">
        <is>
          <t>Discretionary!A1</t>
        </is>
      </c>
    </row>
    <row r="2" ht="44.1" customFormat="1" customHeight="1" s="3">
      <c r="B2" s="85" t="n"/>
      <c r="C2" s="85" t="inlineStr">
        <is>
          <t>Total cash flow to date:</t>
        </is>
      </c>
      <c r="D2" s="103" t="n"/>
      <c r="F2" s="92" t="inlineStr">
        <is>
          <t>This is an annual estimation.  Use this worksheet if you wish to view annual amounts with estimated monthly values
If you wish to add daily items to the tables, estimate their annual amount/value and place value in the annual column.</t>
        </is>
      </c>
      <c r="G2" s="104" t="n"/>
      <c r="H2" s="104" t="n"/>
      <c r="I2" s="104" t="n"/>
    </row>
    <row r="3" ht="33.95" customFormat="1" customHeight="1" s="3">
      <c r="B3" s="72" t="n"/>
      <c r="C3" s="72" t="n"/>
      <c r="D3" s="135" t="n"/>
      <c r="E3" s="135" t="n"/>
    </row>
    <row r="4" ht="33.95" customFormat="1" customHeight="1" s="39">
      <c r="B4" s="112" t="inlineStr">
        <is>
          <t>Expenses</t>
        </is>
      </c>
      <c r="C4" s="136" t="inlineStr">
        <is>
          <t xml:space="preserve">Annual  </t>
        </is>
      </c>
      <c r="D4" s="136" t="inlineStr">
        <is>
          <t xml:space="preserve">Monthly </t>
        </is>
      </c>
    </row>
    <row r="5" ht="30" customHeight="1" s="102">
      <c r="B5" s="133" t="inlineStr">
        <is>
          <t>Federal/SS/Medicare</t>
        </is>
      </c>
      <c r="C5" s="134" t="n">
        <v>12500</v>
      </c>
      <c r="D5" s="134" t="n"/>
    </row>
    <row r="6" ht="30" customHeight="1" s="102">
      <c r="B6" s="133" t="inlineStr">
        <is>
          <t>State income tax</t>
        </is>
      </c>
      <c r="C6" s="134" t="n">
        <v>2500</v>
      </c>
      <c r="D6" s="134" t="n"/>
    </row>
    <row r="7" ht="30" customHeight="1" s="102">
      <c r="B7" s="133" t="inlineStr">
        <is>
          <t>Vehicle tax/fees</t>
        </is>
      </c>
      <c r="C7" s="134" t="n">
        <v>200</v>
      </c>
      <c r="D7" s="134" t="n"/>
    </row>
    <row r="8" ht="30" customHeight="1" s="102">
      <c r="B8" s="133" t="inlineStr">
        <is>
          <t>Vehicle payments</t>
        </is>
      </c>
      <c r="C8" s="134" t="n">
        <v>4000</v>
      </c>
      <c r="D8" s="134" t="n"/>
    </row>
    <row r="9" ht="30" customHeight="1" s="102">
      <c r="B9" s="133" t="inlineStr">
        <is>
          <t>Mortgage/rent</t>
        </is>
      </c>
      <c r="C9" s="134" t="n">
        <v>15000</v>
      </c>
      <c r="D9" s="134" t="n"/>
    </row>
    <row r="10" ht="30" customHeight="1" s="102">
      <c r="B10" s="133" t="inlineStr">
        <is>
          <t>Insurance</t>
        </is>
      </c>
      <c r="C10" s="134" t="n">
        <v>250</v>
      </c>
      <c r="D10" s="134" t="n"/>
    </row>
    <row r="11" ht="30" customHeight="1" s="102">
      <c r="B11" s="133" t="inlineStr">
        <is>
          <t>Electricity</t>
        </is>
      </c>
      <c r="C11" s="134" t="n">
        <v>1200</v>
      </c>
      <c r="D11" s="134" t="n"/>
    </row>
    <row r="12" ht="30" customHeight="1" s="102">
      <c r="B12" s="133" t="inlineStr">
        <is>
          <t>Gas</t>
        </is>
      </c>
      <c r="C12" s="134" t="n">
        <v>600</v>
      </c>
      <c r="D12" s="134" t="n"/>
    </row>
    <row r="13" ht="30" customHeight="1" s="102">
      <c r="B13" s="133" t="inlineStr">
        <is>
          <t>Water/sewer</t>
        </is>
      </c>
      <c r="C13" s="134" t="n">
        <v>600</v>
      </c>
      <c r="D13" s="134" t="n"/>
    </row>
    <row r="14" ht="30" customHeight="1" s="102">
      <c r="B14" s="133" t="inlineStr">
        <is>
          <t>Garbage</t>
        </is>
      </c>
      <c r="C14" s="134" t="n">
        <v>150</v>
      </c>
      <c r="D14" s="134" t="n"/>
    </row>
    <row r="15" ht="30" customHeight="1" s="102">
      <c r="B15" s="133" t="inlineStr">
        <is>
          <t>Phone</t>
        </is>
      </c>
      <c r="C15" s="134" t="n">
        <v>600</v>
      </c>
      <c r="D15" s="134" t="n"/>
    </row>
    <row r="16" ht="30" customHeight="1" s="102">
      <c r="B16" s="133" t="inlineStr">
        <is>
          <t>Internet</t>
        </is>
      </c>
      <c r="C16" s="134" t="n">
        <v>600</v>
      </c>
      <c r="D16" s="134" t="n"/>
    </row>
    <row r="17" ht="30" customHeight="1" s="102">
      <c r="B17" s="133" t="inlineStr">
        <is>
          <t>Disability premiums</t>
        </is>
      </c>
      <c r="C17" s="134" t="n">
        <v>1500</v>
      </c>
      <c r="D17" s="134" t="n"/>
    </row>
    <row r="18" ht="30" customHeight="1" s="102">
      <c r="B18" s="133" t="inlineStr">
        <is>
          <t>Food</t>
        </is>
      </c>
      <c r="C18" s="134" t="n">
        <v>5000</v>
      </c>
      <c r="D18" s="134" t="n"/>
    </row>
    <row r="19" ht="30" customHeight="1" s="102">
      <c r="B19" s="133" t="inlineStr">
        <is>
          <t>Clothing</t>
        </is>
      </c>
      <c r="C19" s="134" t="n">
        <v>1200</v>
      </c>
      <c r="D19" s="134" t="n"/>
    </row>
    <row r="20" ht="30" customHeight="1" s="102">
      <c r="B20" s="133" t="inlineStr">
        <is>
          <t>Medical/dental/Rx</t>
        </is>
      </c>
      <c r="C20" s="134" t="n">
        <v>600</v>
      </c>
      <c r="D20" s="134" t="n"/>
    </row>
    <row r="21" ht="30" customHeight="1" s="102">
      <c r="B21" s="133" t="inlineStr">
        <is>
          <t>Other 1</t>
        </is>
      </c>
      <c r="C21" s="134" t="n">
        <v>0</v>
      </c>
      <c r="D21" s="134" t="n"/>
    </row>
    <row r="22" ht="30" customHeight="1" s="102">
      <c r="B22" s="133" t="inlineStr">
        <is>
          <t>Other 2</t>
        </is>
      </c>
      <c r="C22" s="134" t="n">
        <v>0</v>
      </c>
      <c r="D22" s="134" t="n"/>
    </row>
    <row r="23" ht="30" customHeight="1" s="102">
      <c r="B23" s="133" t="inlineStr">
        <is>
          <t>Total</t>
        </is>
      </c>
      <c r="C23" s="134" t="n"/>
      <c r="D23" s="134" t="n"/>
    </row>
  </sheetData>
  <mergeCells count="2">
    <mergeCell ref="D2:E2"/>
    <mergeCell ref="F2:I3"/>
  </mergeCells>
  <dataValidations count="1">
    <dataValidation sqref="A1" showDropDown="0" showInputMessage="1" showErrorMessage="1" allowBlank="1" prompt="Enter details in Expenses table in this worksheet. _x000a__x000a_Total Cash Flow to Date is automatically calculated in cell D2. Tip is in cell F2."/>
  </dataValidations>
  <hyperlinks>
    <hyperlink ref="F1" location="Guide!A1" tooltip="Select to navigate to Guide worksheet" display="Navigation button for Guide worksheet is in this cell."/>
    <hyperlink ref="G1" location="Income!A1" tooltip="Select to navigate to Income worksheet" display="INCOME"/>
    <hyperlink ref="H1" location="Expenses!A1" tooltip="Select to navigate to cell A1 in this worksheet" display="EXPENSES"/>
    <hyperlink ref="I1" location="Discretionary!A1" tooltip="Select to navigate to Discretionary worksheet" display="DISCRETIONARY"/>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theme="4" tint="0.3999755851924192"/>
    <outlinePr summaryBelow="1" summaryRight="1"/>
    <pageSetUpPr autoPageBreaks="0" fitToPage="1"/>
  </sheetPr>
  <dimension ref="A1:J16"/>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16">
      <c r="A1" s="18" t="n"/>
      <c r="B1" s="16" t="inlineStr">
        <is>
          <t>PERSONAL CASH FLOW</t>
        </is>
      </c>
      <c r="F1" t="inlineStr">
        <is>
          <t>Guide!A1</t>
        </is>
      </c>
      <c r="G1" t="inlineStr">
        <is>
          <t>Expenses!A1</t>
        </is>
      </c>
      <c r="H1" t="inlineStr">
        <is>
          <t>Discretionary!A1</t>
        </is>
      </c>
      <c r="I1" t="inlineStr">
        <is>
          <t>Savings!A1</t>
        </is>
      </c>
    </row>
    <row r="2" ht="44.1" customFormat="1" customHeight="1" s="3">
      <c r="B2" s="85" t="n"/>
      <c r="C2" s="85" t="inlineStr">
        <is>
          <t>Total cash flow to date:</t>
        </is>
      </c>
      <c r="D2" s="103" t="n"/>
      <c r="F2" s="91" t="inlineStr">
        <is>
          <t>This is an annual estimation.  Use this worksheet if you wish to view annual amounts with estimated monthly values
If you wish to add daily items to the tables, estimate their annual amount/value and place value in the annual column.</t>
        </is>
      </c>
      <c r="J2" s="23" t="n"/>
    </row>
    <row r="3" ht="33.95" customHeight="1" s="102">
      <c r="B3" s="75" t="n"/>
      <c r="C3" s="75" t="n"/>
      <c r="D3" s="137" t="n"/>
      <c r="E3" s="137" t="n"/>
      <c r="J3" s="74" t="n"/>
    </row>
    <row r="4" ht="33.95" customFormat="1" customHeight="1" s="40">
      <c r="B4" s="112" t="inlineStr">
        <is>
          <t>Expenses</t>
        </is>
      </c>
      <c r="C4" s="66" t="inlineStr">
        <is>
          <t xml:space="preserve">Annual  </t>
        </is>
      </c>
      <c r="D4" s="66" t="inlineStr">
        <is>
          <t xml:space="preserve">Monthly </t>
        </is>
      </c>
    </row>
    <row r="5" ht="30" customHeight="1" s="102">
      <c r="B5" s="133" t="inlineStr">
        <is>
          <t>Dining</t>
        </is>
      </c>
      <c r="C5" s="134" t="n">
        <v>1200</v>
      </c>
      <c r="D5" s="134" t="n"/>
    </row>
    <row r="6" ht="30" customHeight="1" s="102">
      <c r="B6" s="133" t="inlineStr">
        <is>
          <t>Gifts</t>
        </is>
      </c>
      <c r="C6" s="134" t="n">
        <v>600</v>
      </c>
      <c r="D6" s="134" t="n"/>
    </row>
    <row r="7" ht="30" customHeight="1" s="102">
      <c r="B7" s="133" t="inlineStr">
        <is>
          <t>Travel</t>
        </is>
      </c>
      <c r="C7" s="134" t="n">
        <v>2250</v>
      </c>
      <c r="D7" s="134" t="n"/>
    </row>
    <row r="8" ht="30" customHeight="1" s="102">
      <c r="B8" s="133" t="inlineStr">
        <is>
          <t>Entertainment</t>
        </is>
      </c>
      <c r="C8" s="134" t="n">
        <v>1200</v>
      </c>
      <c r="D8" s="134" t="n"/>
    </row>
    <row r="9" ht="30" customHeight="1" s="102">
      <c r="B9" s="133" t="inlineStr">
        <is>
          <t>Personal care</t>
        </is>
      </c>
      <c r="C9" s="134" t="n">
        <v>300</v>
      </c>
      <c r="D9" s="134" t="n"/>
    </row>
    <row r="10" ht="30" customHeight="1" s="102">
      <c r="B10" s="133" t="inlineStr">
        <is>
          <t>Shopping</t>
        </is>
      </c>
      <c r="C10" s="134" t="n">
        <v>2000</v>
      </c>
      <c r="D10" s="134" t="n"/>
    </row>
    <row r="11" ht="30" customHeight="1" s="102">
      <c r="B11" s="133" t="inlineStr">
        <is>
          <t>Charity</t>
        </is>
      </c>
      <c r="C11" s="134" t="n">
        <v>600</v>
      </c>
      <c r="D11" s="134" t="n"/>
    </row>
    <row r="12" ht="30" customHeight="1" s="102">
      <c r="B12" s="133" t="inlineStr">
        <is>
          <t>Club memberships</t>
        </is>
      </c>
      <c r="C12" s="134" t="n">
        <v>300</v>
      </c>
      <c r="D12" s="134" t="n"/>
    </row>
    <row r="13" ht="30" customHeight="1" s="102">
      <c r="B13" s="133" t="inlineStr">
        <is>
          <t>Home improvements</t>
        </is>
      </c>
      <c r="C13" s="134" t="n">
        <v>4800</v>
      </c>
      <c r="D13" s="134" t="n"/>
    </row>
    <row r="14" ht="30" customHeight="1" s="102">
      <c r="B14" s="133" t="inlineStr">
        <is>
          <t>Other 1</t>
        </is>
      </c>
      <c r="C14" s="134" t="n">
        <v>0</v>
      </c>
      <c r="D14" s="134" t="n"/>
    </row>
    <row r="15" ht="30" customHeight="1" s="102">
      <c r="B15" s="133" t="inlineStr">
        <is>
          <t>Other 2</t>
        </is>
      </c>
      <c r="C15" s="134" t="n">
        <v>0</v>
      </c>
      <c r="D15" s="134" t="n"/>
    </row>
    <row r="16" ht="30" customHeight="1" s="102">
      <c r="B16" s="133" t="inlineStr">
        <is>
          <t>Total</t>
        </is>
      </c>
      <c r="C16" s="134" t="n"/>
      <c r="D16" s="134" t="n"/>
    </row>
  </sheetData>
  <mergeCells count="2">
    <mergeCell ref="D2:E2"/>
    <mergeCell ref="F2:I3"/>
  </mergeCells>
  <hyperlinks>
    <hyperlink ref="F1" location="Guide!A1" tooltip="Select to navigate to Guide worksheet" display="Navigation button for Guide worksheet is in this cell."/>
    <hyperlink ref="G1" location="Expenses!A1" tooltip="Select to navigate to Expenses worksheet" display="EXPENSES"/>
    <hyperlink ref="H1" location="Discretionary!A1" tooltip="Select to navigate to cell A1 in this worksheet" display="DISCRETIONARY"/>
    <hyperlink ref="I1" location="Savings!A1" tooltip="Select to navigate to Saving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4" tint="0.3999755851924192"/>
    <outlinePr summaryBelow="1" summaryRight="1"/>
    <pageSetUpPr autoPageBreaks="0" fitToPage="1"/>
  </sheetPr>
  <dimension ref="A1:J10"/>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71">
      <c r="A1" s="70" t="n"/>
      <c r="B1" s="16" t="inlineStr">
        <is>
          <t>PERSONAL CASH FLOW</t>
        </is>
      </c>
      <c r="C1" s="16" t="n"/>
      <c r="D1" s="16" t="n"/>
      <c r="E1" s="16" t="n"/>
      <c r="F1" s="16" t="inlineStr">
        <is>
          <t>Guide!A1</t>
        </is>
      </c>
      <c r="G1" s="16" t="inlineStr">
        <is>
          <t>'Annual Cash Flow'!A1</t>
        </is>
      </c>
      <c r="H1" s="16" t="inlineStr">
        <is>
          <t>Savings!A1</t>
        </is>
      </c>
      <c r="I1" s="16" t="n"/>
      <c r="J1" s="71" t="inlineStr">
        <is>
          <t> </t>
        </is>
      </c>
    </row>
    <row r="2" ht="44.1" customFormat="1" customHeight="1" s="3">
      <c r="B2" s="85" t="n"/>
      <c r="C2" s="85" t="inlineStr">
        <is>
          <t>Total cash flow to date:</t>
        </is>
      </c>
      <c r="D2" s="103" t="n"/>
      <c r="F2" s="92" t="inlineStr">
        <is>
          <t>This is an annual estimation.  Use this worksheet if you wish to view annual amounts with estimated monthly values
If you wish to add daily items to the tables, estimate their annual amount/value and place value in the annual column.</t>
        </is>
      </c>
      <c r="G2" s="104" t="n"/>
      <c r="H2" s="104" t="n"/>
      <c r="I2" s="104" t="n"/>
    </row>
    <row r="3" ht="33.95" customHeight="1" s="102">
      <c r="B3" s="32" t="n"/>
      <c r="C3" s="32" t="n"/>
      <c r="D3" s="137" t="n"/>
      <c r="E3" s="137" t="n"/>
    </row>
    <row r="4" ht="33.95" customFormat="1" customHeight="1" s="39">
      <c r="B4" s="112" t="inlineStr">
        <is>
          <t>Savings</t>
        </is>
      </c>
      <c r="C4" s="66" t="inlineStr">
        <is>
          <t xml:space="preserve">Annual  </t>
        </is>
      </c>
      <c r="D4" s="66" t="inlineStr">
        <is>
          <t xml:space="preserve">Monthly </t>
        </is>
      </c>
    </row>
    <row r="5" ht="30" customHeight="1" s="102">
      <c r="B5" s="133" t="inlineStr">
        <is>
          <t>Cash reserves</t>
        </is>
      </c>
      <c r="C5" s="134" t="n">
        <v>5000</v>
      </c>
      <c r="D5" s="134" t="n"/>
    </row>
    <row r="6" ht="30" customHeight="1" s="102">
      <c r="B6" s="133" t="inlineStr">
        <is>
          <t>401k etc.</t>
        </is>
      </c>
      <c r="C6" s="134" t="n">
        <v>12000</v>
      </c>
      <c r="D6" s="134" t="n"/>
    </row>
    <row r="7" ht="30" customHeight="1" s="102">
      <c r="B7" s="133" t="inlineStr">
        <is>
          <t>Savings/investment</t>
        </is>
      </c>
      <c r="C7" s="134" t="n">
        <v>6000</v>
      </c>
      <c r="D7" s="134" t="n"/>
    </row>
    <row r="8" ht="30" customHeight="1" s="102">
      <c r="B8" s="133" t="inlineStr">
        <is>
          <t>Other 1</t>
        </is>
      </c>
      <c r="C8" s="134" t="n">
        <v>0</v>
      </c>
      <c r="D8" s="134" t="n"/>
    </row>
    <row r="9" ht="30" customHeight="1" s="102">
      <c r="B9" s="133" t="inlineStr">
        <is>
          <t>Other 2</t>
        </is>
      </c>
      <c r="C9" s="134" t="n">
        <v>0</v>
      </c>
      <c r="D9" s="134" t="n"/>
    </row>
    <row r="10" ht="30" customHeight="1" s="102">
      <c r="B10" s="133" t="inlineStr">
        <is>
          <t>Total</t>
        </is>
      </c>
      <c r="C10" s="134" t="n"/>
      <c r="D10" s="134" t="n"/>
    </row>
  </sheetData>
  <mergeCells count="2">
    <mergeCell ref="D2:E2"/>
    <mergeCell ref="F2:I3"/>
  </mergeCells>
  <hyperlinks>
    <hyperlink ref="F1" location="Guide!A1" tooltip="Select to navigate to Guide worksheet" display="Navigation button for Guide worksheet is in this cell."/>
    <hyperlink ref="G1" location="Discretionary!A1" tooltip="Select to navigate to Discretionary worksheet" display="DISCRETIONARY"/>
    <hyperlink ref="H1" location="Savings!A1" tooltip="Select to navigate to cell A1 in thi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2023-01-31T06:46:20Z</dcterms:created>
  <dcterms:modified xsi:type="dcterms:W3CDTF">2026-03-05T08:49:15Z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