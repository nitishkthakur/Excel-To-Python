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analysis" sheetId="1" state="visible" r:id="rId1"/>
  </sheets>
  <definedNames>
    <definedName name="InterestRate">'Loan analysis'!$D$3</definedName>
    <definedName name="LoanAmount">'Loan analysis'!$D$5</definedName>
    <definedName name="LoanYears">'Loan analysis'!$D$4</definedName>
    <definedName name="MonthlyPayments">'Loan analysis'!$I$3</definedName>
    <definedName name="PaymentsDue">'Loan analysis'!$D$6</definedName>
    <definedName name="RowTitleRegion1..D6">'Loan analysis'!$B$3:$C$3</definedName>
    <definedName name="RowTitleRegion2..I5">'Loan analysis'!$F$3:$H$3</definedName>
    <definedName name="Slicer_Rate">#N/A</definedName>
    <definedName name="Title1">Data[[#Headers],[RATE]]</definedName>
    <definedName name="TotalInterest">'Loan analysis'!$I$5</definedName>
    <definedName name="TotalPayments">'Loan analysis'!$I$4</definedName>
    <definedName name="_xlnm.Print_Titles" localSheetId="0">'Loan analysis'!$9:$9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;;;"/>
  </numFmts>
  <fonts count="19">
    <font>
      <name val="Source Sans Pro"/>
      <family val="2"/>
      <color theme="1" tint="0.249946592608417"/>
      <sz val="11"/>
      <scheme val="minor"/>
    </font>
    <font>
      <name val="Source Sans Pro"/>
      <family val="2"/>
      <color theme="1"/>
      <sz val="11"/>
      <scheme val="minor"/>
    </font>
    <font>
      <name val="Source Sans Pro"/>
      <family val="2"/>
      <color theme="1"/>
      <sz val="11"/>
      <scheme val="minor"/>
    </font>
    <font>
      <name val="Courier New"/>
      <family val="2"/>
      <color theme="3"/>
      <sz val="22"/>
      <scheme val="major"/>
    </font>
    <font>
      <name val="Source Sans Pro"/>
      <family val="2"/>
      <color theme="1" tint="0.249946592608417"/>
      <sz val="11"/>
      <scheme val="minor"/>
    </font>
    <font>
      <name val="Courier New"/>
      <family val="1"/>
      <color theme="1" tint="0.1499374370555742"/>
      <sz val="11"/>
      <scheme val="major"/>
    </font>
    <font>
      <name val="Source Sans Pro"/>
      <family val="2"/>
      <b val="1"/>
      <color theme="1" tint="0.249946592608417"/>
      <sz val="11"/>
      <scheme val="minor"/>
    </font>
    <font>
      <name val="Courier New"/>
      <family val="2"/>
      <color theme="0"/>
      <sz val="11"/>
      <scheme val="major"/>
    </font>
    <font>
      <name val="Courier New"/>
      <family val="1"/>
      <color theme="1" tint="0.1499679555650502"/>
      <sz val="11"/>
      <scheme val="major"/>
    </font>
    <font>
      <name val="Source Sans Pro"/>
      <family val="2"/>
      <color theme="0"/>
      <sz val="11"/>
      <scheme val="minor"/>
    </font>
    <font>
      <name val="Courier New"/>
      <family val="1"/>
      <color theme="0"/>
      <sz val="11"/>
      <scheme val="major"/>
    </font>
    <font>
      <name val="Source Sans Pro"/>
      <family val="2"/>
      <color theme="6"/>
      <sz val="11"/>
      <scheme val="minor"/>
    </font>
    <font>
      <name val="Source Sans Pro"/>
      <family val="2"/>
      <color theme="6"/>
      <sz val="12"/>
      <scheme val="minor"/>
    </font>
    <font>
      <name val="Source Sans Pro"/>
      <family val="2"/>
      <color theme="1" tint="0.1499679555650502"/>
      <sz val="12"/>
      <scheme val="minor"/>
    </font>
    <font>
      <name val="Source Sans Pro"/>
      <family val="2"/>
      <color theme="1"/>
      <sz val="12"/>
      <scheme val="minor"/>
    </font>
    <font>
      <name val="Courier New"/>
      <family val="3"/>
      <b val="1"/>
      <color theme="6"/>
      <sz val="36"/>
      <scheme val="major"/>
    </font>
    <font>
      <name val="Courier New"/>
      <family val="3"/>
      <b val="1"/>
      <color theme="6"/>
      <sz val="18"/>
      <scheme val="major"/>
    </font>
    <font>
      <name val="Source Sans Pro"/>
      <family val="2"/>
      <b val="1"/>
      <color theme="6"/>
      <sz val="12"/>
      <scheme val="minor"/>
    </font>
    <font>
      <name val="Courier New"/>
      <family val="3"/>
      <b val="1"/>
      <color theme="6"/>
      <sz val="1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0"/>
      </top>
      <bottom style="thick">
        <color theme="4" tint="0.3999450666829432"/>
      </bottom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4">
    <xf numFmtId="0" fontId="4" fillId="0" borderId="0"/>
    <xf numFmtId="0" fontId="7" fillId="3" borderId="1"/>
    <xf numFmtId="0" fontId="8" fillId="0" borderId="0"/>
    <xf numFmtId="0" fontId="5" fillId="0" borderId="0" applyAlignment="1">
      <alignment horizontal="right"/>
    </xf>
    <xf numFmtId="8" fontId="2" fillId="0" borderId="0"/>
    <xf numFmtId="0" fontId="6" fillId="2" borderId="0" applyAlignment="1">
      <alignment horizontal="right"/>
    </xf>
    <xf numFmtId="1" fontId="4" fillId="0" borderId="0"/>
    <xf numFmtId="41" fontId="4" fillId="0" borderId="0"/>
    <xf numFmtId="42" fontId="4" fillId="0" borderId="0"/>
    <xf numFmtId="10" fontId="4" fillId="0" borderId="0"/>
    <xf numFmtId="0" fontId="3" fillId="0" borderId="0" applyAlignment="1">
      <alignment vertical="center"/>
    </xf>
    <xf numFmtId="0" fontId="9" fillId="0" borderId="0" applyAlignment="1">
      <alignment wrapText="1"/>
    </xf>
    <xf numFmtId="0" fontId="10" fillId="3" borderId="0" applyAlignment="1">
      <alignment horizontal="center"/>
    </xf>
    <xf numFmtId="0" fontId="9" fillId="4" borderId="0" applyAlignment="1">
      <alignment horizontal="center"/>
    </xf>
  </cellStyleXfs>
  <cellXfs count="53">
    <xf numFmtId="0" fontId="0" fillId="0" borderId="0" pivotButton="0" quotePrefix="0" xfId="0"/>
    <xf numFmtId="0" fontId="11" fillId="5" borderId="0" pivotButton="0" quotePrefix="0" xfId="0"/>
    <xf numFmtId="0" fontId="11" fillId="6" borderId="2" pivotButton="0" quotePrefix="0" xfId="0"/>
    <xf numFmtId="0" fontId="11" fillId="0" borderId="0" pivotButton="0" quotePrefix="0" xfId="0"/>
    <xf numFmtId="0" fontId="4" fillId="0" borderId="0" pivotButton="0" quotePrefix="0" xfId="0"/>
    <xf numFmtId="0" fontId="4" fillId="6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pivotButton="0" quotePrefix="0" xfId="0"/>
    <xf numFmtId="0" fontId="12" fillId="5" borderId="0" applyAlignment="1" pivotButton="0" quotePrefix="0" xfId="2">
      <alignment horizontal="right"/>
    </xf>
    <xf numFmtId="10" fontId="12" fillId="5" borderId="3" applyAlignment="1" pivotButton="0" quotePrefix="0" xfId="9">
      <alignment horizontal="right"/>
    </xf>
    <xf numFmtId="10" fontId="12" fillId="5" borderId="0" applyAlignment="1" pivotButton="0" quotePrefix="0" xfId="9">
      <alignment horizontal="right"/>
    </xf>
    <xf numFmtId="0" fontId="12" fillId="5" borderId="0" pivotButton="0" quotePrefix="0" xfId="3"/>
    <xf numFmtId="164" fontId="11" fillId="5" borderId="3" pivotButton="0" quotePrefix="0" xfId="4"/>
    <xf numFmtId="164" fontId="11" fillId="5" borderId="0" pivotButton="0" quotePrefix="0" xfId="4"/>
    <xf numFmtId="41" fontId="12" fillId="5" borderId="5" applyAlignment="1" pivotButton="0" quotePrefix="0" xfId="7">
      <alignment horizontal="right"/>
    </xf>
    <xf numFmtId="41" fontId="12" fillId="5" borderId="0" applyAlignment="1" pivotButton="0" quotePrefix="0" xfId="7">
      <alignment horizontal="right"/>
    </xf>
    <xf numFmtId="164" fontId="11" fillId="5" borderId="4" pivotButton="0" quotePrefix="0" xfId="4"/>
    <xf numFmtId="164" fontId="11" fillId="5" borderId="0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0" fontId="12" fillId="5" borderId="4" applyAlignment="1" pivotButton="0" quotePrefix="0" xfId="5">
      <alignment horizontal="right"/>
    </xf>
    <xf numFmtId="0" fontId="12" fillId="5" borderId="0" applyAlignment="1" pivotButton="0" quotePrefix="0" xfId="5">
      <alignment horizontal="right"/>
    </xf>
    <xf numFmtId="0" fontId="13" fillId="5" borderId="0" applyAlignment="1" pivotButton="0" quotePrefix="0" xfId="2">
      <alignment vertical="center"/>
    </xf>
    <xf numFmtId="0" fontId="14" fillId="5" borderId="0" applyAlignment="1" pivotButton="0" quotePrefix="0" xfId="5">
      <alignment horizontal="right" vertical="center"/>
    </xf>
    <xf numFmtId="0" fontId="4" fillId="5" borderId="0" applyAlignment="1" pivotButton="0" quotePrefix="0" xfId="0">
      <alignment vertical="center"/>
    </xf>
    <xf numFmtId="0" fontId="1" fillId="5" borderId="0" pivotButton="0" quotePrefix="0" xfId="0"/>
    <xf numFmtId="0" fontId="4" fillId="6" borderId="0" pivotButton="0" quotePrefix="0" xfId="0"/>
    <xf numFmtId="0" fontId="1" fillId="0" borderId="0" pivotButton="0" quotePrefix="0" xfId="0"/>
    <xf numFmtId="0" fontId="17" fillId="5" borderId="3" applyAlignment="1" pivotButton="0" quotePrefix="0" xfId="2">
      <alignment horizontal="right"/>
    </xf>
    <xf numFmtId="0" fontId="17" fillId="5" borderId="5" applyAlignment="1" pivotButton="0" quotePrefix="0" xfId="2">
      <alignment horizontal="right"/>
    </xf>
    <xf numFmtId="0" fontId="17" fillId="5" borderId="4" applyAlignment="1" pivotButton="0" quotePrefix="0" xfId="2">
      <alignment horizontal="right"/>
    </xf>
    <xf numFmtId="0" fontId="17" fillId="5" borderId="3" applyAlignment="1" pivotButton="0" quotePrefix="0" xfId="3">
      <alignment horizontal="right"/>
    </xf>
    <xf numFmtId="0" fontId="17" fillId="5" borderId="5" applyAlignment="1" pivotButton="0" quotePrefix="0" xfId="3">
      <alignment horizontal="right"/>
    </xf>
    <xf numFmtId="0" fontId="18" fillId="0" borderId="0" applyAlignment="1" pivotButton="0" quotePrefix="0" xfId="13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5" borderId="0" pivotButton="0" quotePrefix="0" xfId="0"/>
    <xf numFmtId="0" fontId="16" fillId="6" borderId="2" applyAlignment="1" pivotButton="0" quotePrefix="0" xfId="12">
      <alignment horizontal="center" vertical="center"/>
    </xf>
    <xf numFmtId="0" fontId="16" fillId="6" borderId="2" applyAlignment="1" pivotButton="0" quotePrefix="0" xfId="1">
      <alignment horizontal="center" vertical="center"/>
    </xf>
    <xf numFmtId="0" fontId="15" fillId="6" borderId="0" applyAlignment="1" pivotButton="0" quotePrefix="0" xfId="10">
      <alignment horizontal="center"/>
    </xf>
    <xf numFmtId="165" fontId="1" fillId="0" borderId="0" applyAlignment="1" pivotButton="0" quotePrefix="0" xfId="11">
      <alignment wrapText="1"/>
    </xf>
    <xf numFmtId="0" fontId="0" fillId="0" borderId="2" pivotButton="0" quotePrefix="0" xfId="0"/>
    <xf numFmtId="165" fontId="1" fillId="0" borderId="0" applyAlignment="1" pivotButton="0" quotePrefix="0" xfId="11">
      <alignment wrapText="1"/>
    </xf>
    <xf numFmtId="164" fontId="11" fillId="5" borderId="3" pivotButton="0" quotePrefix="0" xfId="4"/>
    <xf numFmtId="164" fontId="11" fillId="5" borderId="0" pivotButton="0" quotePrefix="0" xfId="4"/>
    <xf numFmtId="164" fontId="11" fillId="5" borderId="4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164" fontId="4" fillId="0" borderId="0" applyAlignment="1" pivotButton="0" quotePrefix="0" xfId="4">
      <alignment horizontal="center" vertical="center"/>
    </xf>
  </cellXfs>
  <cellStyles count="14">
    <cellStyle name="Normal" xfId="0" builtinId="0"/>
    <cellStyle name="Heading 1" xfId="1" builtinId="16"/>
    <cellStyle name="Heading 2" xfId="2" builtinId="17"/>
    <cellStyle name="Heading 3" xfId="3" builtinId="18"/>
    <cellStyle name="Currency" xfId="4" builtinId="4"/>
    <cellStyle name="Heading 4" xfId="5" builtinId="19"/>
    <cellStyle name="Comma" xfId="6" builtinId="3"/>
    <cellStyle name="Comma [0]" xfId="7" builtinId="6"/>
    <cellStyle name="Currency [0]" xfId="8" builtinId="7"/>
    <cellStyle name="Percent" xfId="9" builtinId="5"/>
    <cellStyle name="Title" xfId="10" builtinId="15"/>
    <cellStyle name="Note" xfId="11" builtinId="10"/>
    <cellStyle name="Accent1" xfId="12" builtinId="29"/>
    <cellStyle name="60% - Accent1" xfId="13" builtinId="32"/>
  </cellStyles>
  <dxfs count="17"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ourier New"/>
        <family val="3"/>
        <b val="1"/>
        <strike val="0"/>
        <outline val="0"/>
        <shadow val="0"/>
        <color theme="6"/>
        <sz val="14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</dxf>
    <dxf>
      <fill>
        <patternFill>
          <bgColor theme="9" tint="0.5999633777886288"/>
        </patternFill>
      </fill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1"/>
      </font>
      <border>
        <top style="double">
          <color theme="4"/>
        </top>
      </border>
    </dxf>
    <dxf>
      <fill>
        <patternFill>
          <bgColor theme="8" tint="0.5999633777886288"/>
        </patternFill>
      </fill>
      <border>
        <left/>
        <right/>
        <bottom/>
        <vertical/>
      </border>
    </dxf>
    <dxf>
      <fill>
        <patternFill>
          <bgColor theme="8" tint="0.7999816888943144"/>
        </patternFill>
      </fill>
      <border>
        <vertical style="thin">
          <color theme="8" tint="0.3999450666829432"/>
        </vertical>
        <horizontal style="thin">
          <color theme="8" tint="0.3999450666829432"/>
        </horizontal>
      </border>
    </dxf>
  </dxfs>
  <tableStyles count="2" defaultTableStyle="Loan analysis worksheet" defaultPivotStyle="PivotStyleLight16">
    <tableStyle name="Loan analysis worksheet" pivot="0" count="3">
      <tableStyleElement type="wholeTable" dxfId="16"/>
      <tableStyleElement type="headerRow" dxfId="15"/>
      <tableStyleElement type="totalRow" dxfId="14"/>
    </tableStyle>
    <tableStyle name="Loan analysis worksheet slicer" pivot="0" table="0" count="10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B9:J66" headerRowCount="1" totalsRowShown="0" headerRowDxfId="10" dataDxfId="9" dataCellStyle="Normal">
  <autoFilter ref="B9:J6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RATE" dataDxfId="8" dataCellStyle="Percent">
      <calculatedColumnFormula>IFERROR(MAX((ROW()-ROW(Data[[#Headers],[RATE]]))*0.0025+0.0175,0.0025), "")</calculatedColumnFormula>
    </tableColumn>
    <tableColumn id="2" name="3" dataDxfId="7" dataCellStyle="Currency">
      <calculatedColumnFormula>IFERROR(PMT(INDEX(Data[],ROW()-ROW(Data[[#Headers],[3]]),1)/12,Data[[#Headers],[3]]*12,-LoanAmount,0,IF(PaymentsDue="End of Period",0,1)), "")</calculatedColumnFormula>
    </tableColumn>
    <tableColumn id="3" name="5" dataDxfId="6" dataCellStyle="Currency">
      <calculatedColumnFormula>IFERROR(PMT(INDEX(Data[],ROW()-ROW(Data[[#Headers],[5]]),1)/12,Data[[#Headers],[5]]*12,-LoanAmount,0,IF(PaymentsDue="End of Period",0,1)), "")</calculatedColumnFormula>
    </tableColumn>
    <tableColumn id="4" name="10" dataDxfId="5" dataCellStyle="Currency">
      <calculatedColumnFormula>IFERROR(PMT(INDEX(Data[],ROW()-ROW(Data[[#Headers],[10]]),1)/12,Data[[#Headers],[10]]*12,-LoanAmount,0,IF(PaymentsDue="End of Period",0,1)), "")</calculatedColumnFormula>
    </tableColumn>
    <tableColumn id="5" name="12" dataDxfId="4" dataCellStyle="Currency">
      <calculatedColumnFormula>IFERROR(PMT(INDEX(Data[],ROW()-ROW(Data[[#Headers],[12]]),1)/12,Data[[#Headers],[12]]*12,-LoanAmount,0,IF(PaymentsDue="End of Period",0,1)), "")</calculatedColumnFormula>
    </tableColumn>
    <tableColumn id="6" name="15" dataDxfId="3" dataCellStyle="Currency">
      <calculatedColumnFormula>IFERROR(PMT(INDEX(Data[],ROW()-ROW(Data[[#Headers],[15]]),1)/12,Data[[#Headers],[15]]*12,-LoanAmount,0,IF(PaymentsDue="End of Period",0,1)), "")</calculatedColumnFormula>
    </tableColumn>
    <tableColumn id="7" name="20" dataDxfId="2" dataCellStyle="Currency">
      <calculatedColumnFormula>IFERROR(PMT(INDEX(Data[],ROW()-ROW(Data[[#Headers],[20]]),1)/12,Data[[#Headers],[20]]*12,-LoanAmount,0,IF(PaymentsDue="End of Period",0,1)), "")</calculatedColumnFormula>
    </tableColumn>
    <tableColumn id="8" name="25" dataDxfId="1" dataCellStyle="Currency">
      <calculatedColumnFormula>IFERROR(PMT(INDEX(Data[],ROW()-ROW(Data[[#Headers],[25]]),1)/12,Data[[#Headers],[25]]*12,-LoanAmount,0,IF(PaymentsDue="End of Period",0,1)), "")</calculatedColumnFormula>
    </tableColumn>
    <tableColumn id="9" name="30" dataDxfId="0" dataCellStyle="Currency">
      <calculatedColumnFormula>IFERROR(PMT(INDEX(Data[],ROW()-ROW(Data[[#Headers],[30]]),1)/12,Data[[#Headers],[30]]*12,-LoanAmount,0,IF(PaymentsDue="End of Period",0,1)), "")</calculatedColumnFormula>
    </tableColumn>
  </tableColumns>
  <tableStyleInfo name="Loan analysis worksheet" showFirstColumn="0" showLastColumn="0" showRowStripes="1" showColumnStripes="0"/>
</table>
</file>

<file path=xl/theme/theme1.xml><?xml version="1.0" encoding="utf-8"?>
<a:theme xmlns:a="http://schemas.openxmlformats.org/drawingml/2006/main" name="StartupExpenses">
  <a:themeElements>
    <a:clrScheme name="Whitepape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D73A2C"/>
      </a:accent1>
      <a:accent2>
        <a:srgbClr val="FFF9F2"/>
      </a:accent2>
      <a:accent3>
        <a:srgbClr val="234756"/>
      </a:accent3>
      <a:accent4>
        <a:srgbClr val="DD933B"/>
      </a:accent4>
      <a:accent5>
        <a:srgbClr val="E3B568"/>
      </a:accent5>
      <a:accent6>
        <a:srgbClr val="96A8B4"/>
      </a:accent6>
      <a:hlink>
        <a:srgbClr val="0563C1"/>
      </a:hlink>
      <a:folHlink>
        <a:srgbClr val="954F72"/>
      </a:folHlink>
    </a:clrScheme>
    <a:fontScheme name="Custom 23">
      <a:majorFont>
        <a:latin typeface="Courier New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fitToPage="1"/>
  </sheetPr>
  <dimension ref="A1:L67"/>
  <sheetViews>
    <sheetView showGridLines="0" tabSelected="1" zoomScaleNormal="100" workbookViewId="0">
      <selection activeCell="A1" sqref="A1:K1"/>
    </sheetView>
  </sheetViews>
  <sheetFormatPr baseColWidth="8" defaultColWidth="9.140625" defaultRowHeight="15" customHeight="1"/>
  <cols>
    <col width="2.5703125" customWidth="1" style="37" min="1" max="1"/>
    <col width="16.85546875" customWidth="1" style="27" min="2" max="10"/>
    <col width="2.5703125" customWidth="1" style="37" min="11" max="11"/>
    <col width="100.85546875" customWidth="1" style="37" min="12" max="12"/>
    <col width="2.5703125" customWidth="1" style="37" min="13" max="13"/>
    <col width="9.140625" customWidth="1" style="37" min="14" max="16384"/>
  </cols>
  <sheetData>
    <row r="1" ht="79.90000000000001" customHeight="1">
      <c r="A1" s="43" t="inlineStr">
        <is>
          <t>LOAN ANALYSIS WORKSHEET</t>
        </is>
      </c>
    </row>
    <row r="2" ht="45" customFormat="1" customHeight="1" s="6" thickBot="1">
      <c r="A2" s="5" t="n"/>
      <c r="B2" s="42" t="inlineStr">
        <is>
          <t>LOAN ANALYSIS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5" t="n"/>
      <c r="L2" s="46" t="inlineStr">
        <is>
          <t>Rate slicer to filter table data based on Rates is in this cell.</t>
        </is>
      </c>
    </row>
    <row r="3" ht="43.15" customHeight="1">
      <c r="A3" s="40" t="n"/>
      <c r="B3" s="8" t="n"/>
      <c r="C3" s="28" t="inlineStr">
        <is>
          <t>INTEREST RATE</t>
        </is>
      </c>
      <c r="D3" s="9" t="n">
        <v>0.05</v>
      </c>
      <c r="E3" s="10" t="n"/>
      <c r="F3" s="11" t="n"/>
      <c r="G3" s="11" t="n"/>
      <c r="H3" s="31" t="inlineStr">
        <is>
          <t>MONTHLY PAYMENT</t>
        </is>
      </c>
      <c r="I3" s="47" t="n">
        <v>105.6254093667139</v>
      </c>
      <c r="J3" s="48" t="n"/>
      <c r="K3" s="40" t="n"/>
    </row>
    <row r="4" ht="30" customHeight="1">
      <c r="A4" s="40" t="n"/>
      <c r="B4" s="8" t="n"/>
      <c r="C4" s="29" t="inlineStr">
        <is>
          <t>YEARS OF LOAN</t>
        </is>
      </c>
      <c r="D4" s="14" t="n">
        <v>10</v>
      </c>
      <c r="E4" s="15" t="n"/>
      <c r="F4" s="11" t="n"/>
      <c r="G4" s="11" t="n"/>
      <c r="H4" s="32" t="inlineStr">
        <is>
          <t>TOTAL PAYMENT</t>
        </is>
      </c>
      <c r="I4" s="49" t="n">
        <v>12675.04912400567</v>
      </c>
      <c r="J4" s="48" t="n"/>
      <c r="K4" s="40" t="n"/>
    </row>
    <row r="5" ht="30" customHeight="1">
      <c r="A5" s="40" t="n"/>
      <c r="B5" s="8" t="n"/>
      <c r="C5" s="29" t="inlineStr">
        <is>
          <t>LOAN AMOUNT</t>
        </is>
      </c>
      <c r="D5" s="50" t="n">
        <v>10000</v>
      </c>
      <c r="E5" s="51" t="n"/>
      <c r="F5" s="11" t="n"/>
      <c r="G5" s="11" t="n"/>
      <c r="H5" s="32" t="inlineStr">
        <is>
          <t>TOTAL INTEREST</t>
        </is>
      </c>
      <c r="I5" s="49" t="n">
        <v>2675.049124005669</v>
      </c>
      <c r="J5" s="48" t="n"/>
      <c r="K5" s="40" t="n"/>
    </row>
    <row r="6" ht="30" customHeight="1">
      <c r="A6" s="40" t="n"/>
      <c r="B6" s="8" t="n"/>
      <c r="C6" s="30" t="inlineStr">
        <is>
          <t>PAYMENTS DUE</t>
        </is>
      </c>
      <c r="D6" s="20" t="inlineStr">
        <is>
          <t>Start of period</t>
        </is>
      </c>
      <c r="E6" s="21" t="n"/>
      <c r="F6" s="1" t="n"/>
      <c r="G6" s="1" t="n"/>
      <c r="H6" s="1" t="n"/>
      <c r="I6" s="1" t="n"/>
      <c r="J6" s="1" t="n"/>
      <c r="K6" s="40" t="n"/>
    </row>
    <row r="7" ht="30" customHeight="1">
      <c r="A7" s="40" t="n"/>
      <c r="B7" s="22" t="n"/>
      <c r="C7" s="22" t="n"/>
      <c r="D7" s="23" t="n"/>
      <c r="E7" s="23" t="n"/>
      <c r="F7" s="24" t="n"/>
      <c r="G7" s="24" t="n"/>
      <c r="H7" s="24" t="n"/>
      <c r="I7" s="25" t="n"/>
      <c r="J7" s="25" t="n"/>
      <c r="K7" s="40" t="n"/>
    </row>
    <row r="8" ht="45" customFormat="1" customHeight="1" s="3" thickBot="1">
      <c r="A8" s="2" t="n"/>
      <c r="B8" s="41" t="inlineStr">
        <is>
          <t>YEARS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2" t="n"/>
    </row>
    <row r="9" ht="30" customHeight="1">
      <c r="A9" s="26" t="n"/>
      <c r="B9" s="33" t="inlineStr">
        <is>
          <t>RATE</t>
        </is>
      </c>
      <c r="C9" s="33" t="inlineStr">
        <is>
          <t>3</t>
        </is>
      </c>
      <c r="D9" s="33" t="inlineStr">
        <is>
          <t>5</t>
        </is>
      </c>
      <c r="E9" s="33" t="inlineStr">
        <is>
          <t>10</t>
        </is>
      </c>
      <c r="F9" s="33" t="inlineStr">
        <is>
          <t>12</t>
        </is>
      </c>
      <c r="G9" s="33" t="inlineStr">
        <is>
          <t>15</t>
        </is>
      </c>
      <c r="H9" s="33" t="inlineStr">
        <is>
          <t>20</t>
        </is>
      </c>
      <c r="I9" s="33" t="inlineStr">
        <is>
          <t>25</t>
        </is>
      </c>
      <c r="J9" s="33" t="inlineStr">
        <is>
          <t>30</t>
        </is>
      </c>
      <c r="K9" s="26" t="n"/>
    </row>
    <row r="10" ht="19.9" customHeight="1">
      <c r="A10" s="40" t="n"/>
      <c r="B10" s="38" t="n">
        <v>0.02</v>
      </c>
      <c r="C10" s="52" t="n">
        <v>285.9492053157043</v>
      </c>
      <c r="D10" s="52" t="n">
        <v>174.9859572703266</v>
      </c>
      <c r="E10" s="52" t="n">
        <v>91.86035325380436</v>
      </c>
      <c r="F10" s="52" t="n">
        <v>78.0383053428547</v>
      </c>
      <c r="G10" s="52" t="n">
        <v>64.24379706067144</v>
      </c>
      <c r="H10" s="52" t="n">
        <v>50.5041599046706</v>
      </c>
      <c r="I10" s="52" t="n">
        <v>42.31490901604726</v>
      </c>
      <c r="J10" s="52" t="n">
        <v>36.90044652467426</v>
      </c>
      <c r="K10" s="40" t="n"/>
    </row>
    <row r="11" ht="19.9" customHeight="1">
      <c r="A11" s="40" t="n"/>
      <c r="B11" s="38" t="n">
        <v>0.0225</v>
      </c>
      <c r="C11" s="52" t="n">
        <v>286.9803869257311</v>
      </c>
      <c r="D11" s="52" t="n">
        <v>176.0433662696076</v>
      </c>
      <c r="E11" s="52" t="n">
        <v>92.96306607183222</v>
      </c>
      <c r="F11" s="52" t="n">
        <v>79.15707849309105</v>
      </c>
      <c r="G11" s="52" t="n">
        <v>65.38587846346418</v>
      </c>
      <c r="H11" s="52" t="n">
        <v>51.68392120544424</v>
      </c>
      <c r="I11" s="52" t="n">
        <v>43.53144804681021</v>
      </c>
      <c r="J11" s="52" t="n">
        <v>38.15307321516957</v>
      </c>
      <c r="K11" s="40" t="n"/>
    </row>
    <row r="12" ht="19.9" customHeight="1">
      <c r="A12" s="40" t="n"/>
      <c r="B12" s="38" t="n">
        <v>0.025</v>
      </c>
      <c r="C12" s="52" t="n">
        <v>288.0137280517017</v>
      </c>
      <c r="D12" s="52" t="n">
        <v>177.1046480380568</v>
      </c>
      <c r="E12" s="52" t="n">
        <v>94.07391438233471</v>
      </c>
      <c r="F12" s="52" t="n">
        <v>80.28567655482807</v>
      </c>
      <c r="G12" s="52" t="n">
        <v>66.54029528572006</v>
      </c>
      <c r="H12" s="52" t="n">
        <v>52.88012238159467</v>
      </c>
      <c r="I12" s="52" t="n">
        <v>44.76840589537997</v>
      </c>
      <c r="J12" s="52" t="n">
        <v>39.42994416476328</v>
      </c>
      <c r="K12" s="40" t="n"/>
    </row>
    <row r="13" ht="19.9" customHeight="1">
      <c r="A13" s="40" t="n"/>
      <c r="B13" s="38" t="n">
        <v>0.0275</v>
      </c>
      <c r="C13" s="52" t="n">
        <v>289.049226264497</v>
      </c>
      <c r="D13" s="52" t="n">
        <v>178.1697975410867</v>
      </c>
      <c r="E13" s="52" t="n">
        <v>95.1928802805532</v>
      </c>
      <c r="F13" s="52" t="n">
        <v>81.42407270166504</v>
      </c>
      <c r="G13" s="52" t="n">
        <v>67.7070018633307</v>
      </c>
      <c r="H13" s="52" t="n">
        <v>54.09266830400493</v>
      </c>
      <c r="I13" s="52" t="n">
        <v>46.0256101676169</v>
      </c>
      <c r="J13" s="52" t="n">
        <v>40.73077673652979</v>
      </c>
      <c r="K13" s="40" t="n"/>
    </row>
    <row r="14" ht="19.9" customHeight="1">
      <c r="A14" s="40" t="n"/>
      <c r="B14" s="38" t="n">
        <v>0.03</v>
      </c>
      <c r="C14" s="52" t="n">
        <v>290.0868791087514</v>
      </c>
      <c r="D14" s="52" t="n">
        <v>179.2388096165899</v>
      </c>
      <c r="E14" s="52" t="n">
        <v>96.31994483629877</v>
      </c>
      <c r="F14" s="52" t="n">
        <v>82.57223834893161</v>
      </c>
      <c r="G14" s="52" t="n">
        <v>68.88594915491173</v>
      </c>
      <c r="H14" s="52" t="n">
        <v>55.32145614502863</v>
      </c>
      <c r="I14" s="52" t="n">
        <v>47.30287420026664</v>
      </c>
      <c r="J14" s="52" t="n">
        <v>42.05526520992024</v>
      </c>
      <c r="K14" s="40" t="n"/>
    </row>
    <row r="15" ht="19.9" customHeight="1">
      <c r="A15" s="40" t="n"/>
      <c r="B15" s="38" t="n">
        <v>0.0325</v>
      </c>
      <c r="C15" s="52" t="n">
        <v>291.1266841029378</v>
      </c>
      <c r="D15" s="52" t="n">
        <v>180.3116789754352</v>
      </c>
      <c r="E15" s="52" t="n">
        <v>97.45508810157712</v>
      </c>
      <c r="F15" s="52" t="n">
        <v>83.73014317048559</v>
      </c>
      <c r="G15" s="52" t="n">
        <v>70.07708478735586</v>
      </c>
      <c r="H15" s="52" t="n">
        <v>56.5663755489894</v>
      </c>
      <c r="I15" s="52" t="n">
        <v>48.59999754066054</v>
      </c>
      <c r="J15" s="52" t="n">
        <v>43.40308189377575</v>
      </c>
      <c r="K15" s="40" t="n"/>
    </row>
    <row r="16" ht="19.9" customHeight="1">
      <c r="A16" s="40" t="n"/>
      <c r="B16" s="38" t="n">
        <v>0.035</v>
      </c>
      <c r="C16" s="52" t="n">
        <v>292.1686387394514</v>
      </c>
      <c r="D16" s="52" t="n">
        <v>181.3884002019749</v>
      </c>
      <c r="E16" s="52" t="n">
        <v>98.59828911864064</v>
      </c>
      <c r="F16" s="52" t="n">
        <v>84.89775511655137</v>
      </c>
      <c r="G16" s="52" t="n">
        <v>71.28035310442959</v>
      </c>
      <c r="H16" s="52" t="n">
        <v>57.82730881426772</v>
      </c>
      <c r="I16" s="52" t="n">
        <v>49.91676645711603</v>
      </c>
      <c r="J16" s="52" t="n">
        <v>44.77387830250016</v>
      </c>
      <c r="K16" s="40" t="n"/>
    </row>
    <row r="17" ht="19.9" customHeight="1">
      <c r="A17" s="40" t="n"/>
      <c r="B17" s="38" t="n">
        <v>0.03750000000000001</v>
      </c>
      <c r="C17" s="52" t="n">
        <v>293.2127404846966</v>
      </c>
      <c r="D17" s="52" t="n">
        <v>182.468967754567</v>
      </c>
      <c r="E17" s="52" t="n">
        <v>99.74952592846124</v>
      </c>
      <c r="F17" s="52" t="n">
        <v>86.07504043257859</v>
      </c>
      <c r="G17" s="52" t="n">
        <v>72.49569521832166</v>
      </c>
      <c r="H17" s="52" t="n">
        <v>59.10413108637731</v>
      </c>
      <c r="I17" s="52" t="n">
        <v>51.25295447749337</v>
      </c>
      <c r="J17" s="52" t="n">
        <v>46.16728638725261</v>
      </c>
      <c r="K17" s="40" t="n"/>
    </row>
    <row r="18" ht="19.9" customHeight="1">
      <c r="A18" s="40" t="n"/>
      <c r="B18" s="38" t="n">
        <v>0.04</v>
      </c>
      <c r="C18" s="52" t="n">
        <v>294.2589867791729</v>
      </c>
      <c r="D18" s="52" t="n">
        <v>183.5533759661098</v>
      </c>
      <c r="E18" s="52" t="n">
        <v>100.9087755796161</v>
      </c>
      <c r="F18" s="52" t="n">
        <v>87.26196367909674</v>
      </c>
      <c r="G18" s="52" t="n">
        <v>73.72304906404685</v>
      </c>
      <c r="H18" s="52" t="n">
        <v>60.39671056140385</v>
      </c>
      <c r="I18" s="52" t="n">
        <v>52.60832295326684</v>
      </c>
      <c r="J18" s="52" t="n">
        <v>47.58291981383317</v>
      </c>
      <c r="K18" s="40" t="n"/>
    </row>
    <row r="19" ht="19.9" customHeight="1">
      <c r="A19" s="40" t="n"/>
      <c r="B19" s="38" t="n">
        <v>0.0425</v>
      </c>
      <c r="C19" s="52" t="n">
        <v>295.3073750375634</v>
      </c>
      <c r="D19" s="52" t="n">
        <v>184.6416190445893</v>
      </c>
      <c r="E19" s="52" t="n">
        <v>102.0760141375793</v>
      </c>
      <c r="F19" s="52" t="n">
        <v>88.45848775254319</v>
      </c>
      <c r="G19" s="52" t="n">
        <v>74.96234945660363</v>
      </c>
      <c r="H19" s="52" t="n">
        <v>61.70490869915229</v>
      </c>
      <c r="I19" s="52" t="n">
        <v>53.98262164639134</v>
      </c>
      <c r="J19" s="52" t="n">
        <v>49.02037527883583</v>
      </c>
      <c r="K19" s="40" t="n"/>
    </row>
    <row r="20" ht="19.9" customHeight="1">
      <c r="A20" s="40" t="n"/>
      <c r="B20" s="38" t="n">
        <v>0.045</v>
      </c>
      <c r="C20" s="52" t="n">
        <v>296.3579026488227</v>
      </c>
      <c r="D20" s="52" t="n">
        <v>185.7336910736403</v>
      </c>
      <c r="E20" s="52" t="n">
        <v>103.2512166944113</v>
      </c>
      <c r="F20" s="52" t="n">
        <v>89.66457390703825</v>
      </c>
      <c r="G20" s="52" t="n">
        <v>76.21352815077974</v>
      </c>
      <c r="H20" s="52" t="n">
        <v>63.02858044532627</v>
      </c>
      <c r="I20" s="52" t="n">
        <v>55.37558933618819</v>
      </c>
      <c r="J20" s="52" t="n">
        <v>50.47923385562945</v>
      </c>
      <c r="K20" s="40" t="n"/>
    </row>
    <row r="21" ht="19.9" customHeight="1">
      <c r="A21" s="40" t="n"/>
      <c r="B21" s="38" t="n">
        <v>0.0475</v>
      </c>
      <c r="C21" s="52" t="n">
        <v>297.4105669762669</v>
      </c>
      <c r="D21" s="52" t="n">
        <v>186.82958601312</v>
      </c>
      <c r="E21" s="52" t="n">
        <v>104.4343573788385</v>
      </c>
      <c r="F21" s="52" t="n">
        <v>90.88018177708229</v>
      </c>
      <c r="G21" s="52" t="n">
        <v>77.4765139034964</v>
      </c>
      <c r="H21" s="52" t="n">
        <v>64.36757446204339</v>
      </c>
      <c r="I21" s="52" t="n">
        <v>56.78695444343695</v>
      </c>
      <c r="J21" s="52" t="n">
        <v>51.95906236179565</v>
      </c>
      <c r="K21" s="40" t="n"/>
    </row>
    <row r="22" ht="19.9" customHeight="1">
      <c r="A22" s="40" t="n"/>
      <c r="B22" s="38" t="n">
        <v>0.05</v>
      </c>
      <c r="C22" s="52" t="n">
        <v>298.4653653576646</v>
      </c>
      <c r="D22" s="52" t="n">
        <v>187.929297699694</v>
      </c>
      <c r="E22" s="52" t="n">
        <v>105.6254093667139</v>
      </c>
      <c r="F22" s="52" t="n">
        <v>92.10526940114713</v>
      </c>
      <c r="G22" s="52" t="n">
        <v>78.75123253857704</v>
      </c>
      <c r="H22" s="52" t="n">
        <v>65.72173336597417</v>
      </c>
      <c r="I22" s="52" t="n">
        <v>58.21643566884439</v>
      </c>
      <c r="J22" s="52" t="n">
        <v>53.45941473979808</v>
      </c>
      <c r="K22" s="40" t="n"/>
    </row>
    <row r="23" ht="19.9" customHeight="1">
      <c r="A23" s="40" t="n"/>
      <c r="B23" s="38" t="n">
        <v>0.0525</v>
      </c>
      <c r="C23" s="52" t="n">
        <v>299.5222951053262</v>
      </c>
      <c r="D23" s="52" t="n">
        <v>189.0328198474348</v>
      </c>
      <c r="E23" s="52" t="n">
        <v>106.8243448918505</v>
      </c>
      <c r="F23" s="52" t="n">
        <v>93.33979324613409</v>
      </c>
      <c r="G23" s="52" t="n">
        <v>80.03760701382407</v>
      </c>
      <c r="H23" s="52" t="n">
        <v>67.09089397337966</v>
      </c>
      <c r="I23" s="52" t="n">
        <v>59.66374264306418</v>
      </c>
      <c r="J23" s="52" t="n">
        <v>54.97983344287724</v>
      </c>
      <c r="K23" s="40" t="n"/>
    </row>
    <row r="24" ht="19.9" customHeight="1">
      <c r="A24" s="40" t="n"/>
      <c r="B24" s="38" t="n">
        <v>0.055</v>
      </c>
      <c r="C24" s="52" t="n">
        <v>300.5813535061994</v>
      </c>
      <c r="D24" s="52" t="n">
        <v>190.1401460484338</v>
      </c>
      <c r="E24" s="52" t="n">
        <v>108.0311352572185</v>
      </c>
      <c r="F24" s="52" t="n">
        <v>94.58370823267036</v>
      </c>
      <c r="G24" s="52" t="n">
        <v>81.33555749028346</v>
      </c>
      <c r="H24" s="52" t="n">
        <v>68.47488755131367</v>
      </c>
      <c r="I24" s="52" t="n">
        <v>61.12857658546365</v>
      </c>
      <c r="J24" s="52" t="n">
        <v>56.51985081844906</v>
      </c>
      <c r="K24" s="40" t="n"/>
    </row>
    <row r="25" ht="19.9" customHeight="1">
      <c r="A25" s="40" t="n"/>
      <c r="B25" s="38" t="n">
        <v>0.0575</v>
      </c>
      <c r="C25" s="52" t="n">
        <v>301.6425378219598</v>
      </c>
      <c r="D25" s="52" t="n">
        <v>191.2512697734243</v>
      </c>
      <c r="E25" s="52" t="n">
        <v>109.2457508464967</v>
      </c>
      <c r="F25" s="52" t="n">
        <v>95.83696776121339</v>
      </c>
      <c r="G25" s="52" t="n">
        <v>82.64500140357447</v>
      </c>
      <c r="H25" s="52" t="n">
        <v>69.87354007424965</v>
      </c>
      <c r="I25" s="52" t="n">
        <v>62.61063096887329</v>
      </c>
      <c r="J25" s="52" t="n">
        <v>58.07899048163082</v>
      </c>
      <c r="K25" s="40" t="n"/>
    </row>
    <row r="26" ht="19.9" customHeight="1">
      <c r="A26" s="40" t="n"/>
      <c r="B26" s="38" t="n">
        <v>0.06</v>
      </c>
      <c r="C26" s="52" t="n">
        <v>302.7058452891056</v>
      </c>
      <c r="D26" s="52" t="n">
        <v>192.3661843724171</v>
      </c>
      <c r="E26" s="52" t="n">
        <v>110.4681611359696</v>
      </c>
      <c r="F26" s="52" t="n">
        <v>97.09952373893319</v>
      </c>
      <c r="G26" s="52" t="n">
        <v>83.96585353715933</v>
      </c>
      <c r="H26" s="52" t="n">
        <v>71.28667248538953</v>
      </c>
      <c r="I26" s="52" t="n">
        <v>64.10959218761279</v>
      </c>
      <c r="J26" s="52" t="n">
        <v>59.65676867191565</v>
      </c>
      <c r="K26" s="40" t="n"/>
      <c r="L26" s="37" t="n"/>
    </row>
    <row r="27" ht="19.9" customFormat="1" customHeight="1" s="37">
      <c r="A27" s="40" t="n"/>
      <c r="B27" s="38" t="n">
        <v>0.0625</v>
      </c>
      <c r="C27" s="52" t="n">
        <v>303.7712731190534</v>
      </c>
      <c r="D27" s="52" t="n">
        <v>193.484883075349</v>
      </c>
      <c r="E27" s="52" t="n">
        <v>111.6983347067591</v>
      </c>
      <c r="F27" s="52" t="n">
        <v>98.37132660734247</v>
      </c>
      <c r="G27" s="52" t="n">
        <v>85.29802609742599</v>
      </c>
      <c r="H27" s="52" t="n">
        <v>72.71410096191359</v>
      </c>
      <c r="I27" s="52" t="n">
        <v>65.62514022615974</v>
      </c>
      <c r="J27" s="52" t="n">
        <v>61.25269558645968</v>
      </c>
      <c r="K27" s="40" t="n"/>
      <c r="L27" s="37" t="n"/>
    </row>
    <row r="28" ht="19.9" customHeight="1">
      <c r="A28" s="40" t="n"/>
      <c r="B28" s="38" t="n">
        <v>0.065</v>
      </c>
      <c r="C28" s="52" t="n">
        <v>304.8388184982324</v>
      </c>
      <c r="D28" s="52" t="n">
        <v>194.6073589927414</v>
      </c>
      <c r="E28" s="52" t="n">
        <v>112.9362392573819</v>
      </c>
      <c r="F28" s="52" t="n">
        <v>99.65232537064145</v>
      </c>
      <c r="G28" s="52" t="n">
        <v>86.64142879045453</v>
      </c>
      <c r="H28" s="52" t="n">
        <v>74.15563718343277</v>
      </c>
      <c r="I28" s="52" t="n">
        <v>67.15694932591525</v>
      </c>
      <c r="J28" s="52" t="n">
        <v>62.86627668392512</v>
      </c>
      <c r="K28" s="40" t="n"/>
      <c r="L28" s="37" t="n"/>
    </row>
    <row r="29" ht="19.9" customHeight="1">
      <c r="A29" s="40" t="n"/>
      <c r="B29" s="38" t="n">
        <v>0.0675</v>
      </c>
      <c r="C29" s="52" t="n">
        <v>305.9084785881832</v>
      </c>
      <c r="D29" s="52" t="n">
        <v>195.7336051163731</v>
      </c>
      <c r="E29" s="52" t="n">
        <v>114.1818416166223</v>
      </c>
      <c r="F29" s="52" t="n">
        <v>100.9424676247468</v>
      </c>
      <c r="G29" s="52" t="n">
        <v>87.99596890033773</v>
      </c>
      <c r="H29" s="52" t="n">
        <v>75.61108860291417</v>
      </c>
      <c r="I29" s="52" t="n">
        <v>68.70468864762181</v>
      </c>
      <c r="J29" s="52" t="n">
        <v>64.49701395333402</v>
      </c>
      <c r="K29" s="40" t="n"/>
      <c r="L29" s="37" t="n"/>
    </row>
    <row r="30" ht="19.9" customHeight="1">
      <c r="A30" s="40" t="n"/>
      <c r="B30" s="38" t="n">
        <v>0.07000000000000001</v>
      </c>
      <c r="C30" s="52" t="n">
        <v>306.9802505256531</v>
      </c>
      <c r="D30" s="52" t="n">
        <v>196.8636143199622</v>
      </c>
      <c r="E30" s="52" t="n">
        <v>115.4351077567099</v>
      </c>
      <c r="F30" s="52" t="n">
        <v>102.2416995869708</v>
      </c>
      <c r="G30" s="52" t="n">
        <v>89.36155136892397</v>
      </c>
      <c r="H30" s="52" t="n">
        <v>77.08025871935787</v>
      </c>
      <c r="I30" s="52" t="n">
        <v>70.26802292710109</v>
      </c>
      <c r="J30" s="52" t="n">
        <v>66.14440714291797</v>
      </c>
      <c r="K30" s="40" t="n"/>
      <c r="L30" s="37" t="n"/>
    </row>
    <row r="31" ht="19.9" customHeight="1">
      <c r="A31" s="40" t="n"/>
      <c r="B31" s="38" t="n">
        <v>0.07250000000000001</v>
      </c>
      <c r="C31" s="52" t="n">
        <v>308.0541314226963</v>
      </c>
      <c r="D31" s="52" t="n">
        <v>197.9973793598616</v>
      </c>
      <c r="E31" s="52" t="n">
        <v>116.6960028067916</v>
      </c>
      <c r="F31" s="52" t="n">
        <v>103.549966126318</v>
      </c>
      <c r="G31" s="52" t="n">
        <v>90.73807887685098</v>
      </c>
      <c r="H31" s="52" t="n">
        <v>78.5629473515189</v>
      </c>
      <c r="I31" s="52" t="n">
        <v>71.84661312210385</v>
      </c>
      <c r="J31" s="52" t="n">
        <v>67.80795494449619</v>
      </c>
      <c r="K31" s="40" t="n"/>
      <c r="L31" s="37" t="n"/>
    </row>
    <row r="32" ht="19.9" customHeight="1">
      <c r="A32" s="40" t="n"/>
      <c r="B32" s="38" t="n">
        <v>0.07500000000000001</v>
      </c>
      <c r="C32" s="52" t="n">
        <v>309.130118366772</v>
      </c>
      <c r="D32" s="52" t="n">
        <v>199.1348928757641</v>
      </c>
      <c r="E32" s="52" t="n">
        <v>117.9644910666874</v>
      </c>
      <c r="F32" s="52" t="n">
        <v>104.8672107943666</v>
      </c>
      <c r="G32" s="52" t="n">
        <v>92.12545192573795</v>
      </c>
      <c r="H32" s="52" t="n">
        <v>80.05895091198086</v>
      </c>
      <c r="I32" s="52" t="n">
        <v>73.44011704819474</v>
      </c>
      <c r="J32" s="52" t="n">
        <v>69.48715612946876</v>
      </c>
      <c r="K32" s="40" t="n"/>
      <c r="L32" s="37" t="n"/>
    </row>
    <row r="33" ht="19.9" customHeight="1">
      <c r="A33" s="40" t="n"/>
      <c r="B33" s="38" t="n">
        <v>0.0775</v>
      </c>
      <c r="C33" s="52" t="n">
        <v>310.2082084208446</v>
      </c>
      <c r="D33" s="52" t="n">
        <v>200.2761473914207</v>
      </c>
      <c r="E33" s="52" t="n">
        <v>119.2405360209197</v>
      </c>
      <c r="F33" s="52" t="n">
        <v>106.193375856699</v>
      </c>
      <c r="G33" s="52" t="n">
        <v>93.52356892140419</v>
      </c>
      <c r="H33" s="52" t="n">
        <v>81.56806268090793</v>
      </c>
      <c r="I33" s="52" t="n">
        <v>75.04819000173603</v>
      </c>
      <c r="J33" s="52" t="n">
        <v>71.18151063306577</v>
      </c>
      <c r="K33" s="40" t="n"/>
      <c r="L33" s="37" t="n"/>
    </row>
    <row r="34" ht="19.9" customHeight="1">
      <c r="A34" s="40" t="n"/>
      <c r="B34" s="38" t="n">
        <v>0.08</v>
      </c>
      <c r="C34" s="52" t="n">
        <v>311.2883986234853</v>
      </c>
      <c r="D34" s="52" t="n">
        <v>201.4211353153677</v>
      </c>
      <c r="E34" s="52" t="n">
        <v>120.5241003530036</v>
      </c>
      <c r="F34" s="52" t="n">
        <v>107.5284023248492</v>
      </c>
      <c r="G34" s="52" t="n">
        <v>94.93232625798193</v>
      </c>
      <c r="H34" s="52" t="n">
        <v>83.09007307882081</v>
      </c>
      <c r="I34" s="52" t="n">
        <v>76.6704853681791</v>
      </c>
      <c r="J34" s="52" t="n">
        <v>72.89052058404398</v>
      </c>
      <c r="K34" s="40" t="n"/>
    </row>
    <row r="35" ht="19.9" customHeight="1">
      <c r="A35" s="40" t="n"/>
      <c r="B35" s="38" t="n">
        <v>0.0825</v>
      </c>
      <c r="C35" s="52" t="n">
        <v>312.3706859889728</v>
      </c>
      <c r="D35" s="52" t="n">
        <v>202.5698489416666</v>
      </c>
      <c r="E35" s="52" t="n">
        <v>121.8151459599892</v>
      </c>
      <c r="F35" s="52" t="n">
        <v>108.8722299887315</v>
      </c>
      <c r="G35" s="52" t="n">
        <v>96.35161840279233</v>
      </c>
      <c r="H35" s="52" t="n">
        <v>84.62476993776498</v>
      </c>
      <c r="I35" s="52" t="n">
        <v>78.30665521402236</v>
      </c>
      <c r="J35" s="52" t="n">
        <v>74.61369127755917</v>
      </c>
      <c r="K35" s="40" t="n"/>
    </row>
    <row r="36" ht="19.9" customHeight="1">
      <c r="A36" s="40" t="n"/>
      <c r="B36" s="38" t="n">
        <v>0.08500000000000001</v>
      </c>
      <c r="C36" s="52" t="n">
        <v>313.4550675073966</v>
      </c>
      <c r="D36" s="52" t="n">
        <v>203.7222804506537</v>
      </c>
      <c r="E36" s="52" t="n">
        <v>123.1136339672432</v>
      </c>
      <c r="F36" s="52" t="n">
        <v>110.2247974495168</v>
      </c>
      <c r="G36" s="52" t="n">
        <v>97.78133798185452</v>
      </c>
      <c r="H36" s="52" t="n">
        <v>86.17193877026403</v>
      </c>
      <c r="I36" s="52" t="n">
        <v>79.95635086094808</v>
      </c>
      <c r="J36" s="52" t="n">
        <v>76.35053208946631</v>
      </c>
      <c r="K36" s="40" t="n"/>
    </row>
    <row r="37" ht="19.9" customHeight="1">
      <c r="A37" s="40" t="n"/>
      <c r="B37" s="38" t="n">
        <v>0.08750000000000001</v>
      </c>
      <c r="C37" s="52" t="n">
        <v>314.5415401447598</v>
      </c>
      <c r="D37" s="52" t="n">
        <v>204.8784219097006</v>
      </c>
      <c r="E37" s="52" t="n">
        <v>124.4195247434581</v>
      </c>
      <c r="F37" s="52" t="n">
        <v>111.5860421529205</v>
      </c>
      <c r="G37" s="52" t="n">
        <v>99.22137586589827</v>
      </c>
      <c r="H37" s="52" t="n">
        <v>87.73136303547648</v>
      </c>
      <c r="I37" s="52" t="n">
        <v>81.61922344080483</v>
      </c>
      <c r="J37" s="52" t="n">
        <v>78.1005573308001</v>
      </c>
      <c r="K37" s="40" t="n"/>
    </row>
    <row r="38" ht="19.9" customHeight="1">
      <c r="A38" s="40" t="n"/>
      <c r="B38" s="38" t="n">
        <v>0.09</v>
      </c>
      <c r="C38" s="52" t="n">
        <v>315.6301008430837</v>
      </c>
      <c r="D38" s="52" t="n">
        <v>206.0382652739852</v>
      </c>
      <c r="E38" s="52" t="n">
        <v>125.7327779158804</v>
      </c>
      <c r="F38" s="52" t="n">
        <v>112.9559004228691</v>
      </c>
      <c r="G38" s="52" t="n">
        <v>100.6716212567528</v>
      </c>
      <c r="H38" s="52" t="n">
        <v>89.30282440200227</v>
      </c>
      <c r="I38" s="52" t="n">
        <v>83.29492443025741</v>
      </c>
      <c r="J38" s="52" t="n">
        <v>79.86328704166577</v>
      </c>
      <c r="K38" s="40" t="n"/>
    </row>
    <row r="39" ht="19.9" customHeight="1">
      <c r="A39" s="40" t="n"/>
      <c r="B39" s="38" t="n">
        <v>0.0925</v>
      </c>
      <c r="C39" s="52" t="n">
        <v>316.7207465205124</v>
      </c>
      <c r="D39" s="52" t="n">
        <v>207.2018023872731</v>
      </c>
      <c r="E39" s="52" t="n">
        <v>127.0533523857421</v>
      </c>
      <c r="F39" s="52" t="n">
        <v>114.3343074955097</v>
      </c>
      <c r="G39" s="52" t="n">
        <v>102.1319617739867</v>
      </c>
      <c r="H39" s="52" t="n">
        <v>90.8861030068138</v>
      </c>
      <c r="I39" s="52" t="n">
        <v>84.98310616408062</v>
      </c>
      <c r="J39" s="52" t="n">
        <v>81.63824772422008</v>
      </c>
      <c r="K39" s="40" t="n"/>
    </row>
    <row r="40" ht="19.9" customHeight="1">
      <c r="A40" s="40" t="n"/>
      <c r="B40" s="38" t="n">
        <v>0.095</v>
      </c>
      <c r="C40" s="52" t="n">
        <v>317.8134740714181</v>
      </c>
      <c r="D40" s="52" t="n">
        <v>208.3690249827087</v>
      </c>
      <c r="E40" s="52" t="n">
        <v>128.3812063438879</v>
      </c>
      <c r="F40" s="52" t="n">
        <v>115.7211975535282</v>
      </c>
      <c r="G40" s="52" t="n">
        <v>103.6022835416737</v>
      </c>
      <c r="H40" s="52" t="n">
        <v>92.48097770981576</v>
      </c>
      <c r="I40" s="52" t="n">
        <v>86.68342232622483</v>
      </c>
      <c r="J40" s="52" t="n">
        <v>83.42497301484066</v>
      </c>
      <c r="K40" s="40" t="n"/>
    </row>
    <row r="41" ht="19.9" customHeight="1">
      <c r="A41" s="40" t="n"/>
      <c r="B41" s="38" t="n">
        <v>0.0975</v>
      </c>
      <c r="C41" s="52" t="n">
        <v>318.9082803665087</v>
      </c>
      <c r="D41" s="52" t="n">
        <v>209.5399246836167</v>
      </c>
      <c r="E41" s="52" t="n">
        <v>129.7162972865843</v>
      </c>
      <c r="F41" s="52" t="n">
        <v>117.1165037607406</v>
      </c>
      <c r="G41" s="52" t="n">
        <v>105.0824712751649</v>
      </c>
      <c r="H41" s="52" t="n">
        <v>94.08722634357015</v>
      </c>
      <c r="I41" s="52" t="n">
        <v>88.39552841793136</v>
      </c>
      <c r="J41" s="52" t="n">
        <v>85.22300429597031</v>
      </c>
      <c r="K41" s="40" t="n"/>
    </row>
    <row r="42" ht="19.9" customHeight="1">
      <c r="A42" s="40" t="n"/>
      <c r="B42" s="38" t="n">
        <v>0.1</v>
      </c>
      <c r="C42" s="52" t="n">
        <v>320.0051622529338</v>
      </c>
      <c r="D42" s="52" t="n">
        <v>210.7144930043135</v>
      </c>
      <c r="E42" s="52" t="n">
        <v>131.0585820314992</v>
      </c>
      <c r="F42" s="52" t="n">
        <v>118.5201582969257</v>
      </c>
      <c r="G42" s="52" t="n">
        <v>106.5724083677471</v>
      </c>
      <c r="H42" s="52" t="n">
        <v>95.70462595775284</v>
      </c>
      <c r="I42" s="52" t="n">
        <v>90.11908220232004</v>
      </c>
      <c r="J42" s="52" t="n">
        <v>87.03189124847592</v>
      </c>
      <c r="K42" s="40" t="n"/>
    </row>
    <row r="43" ht="19.9" customHeight="1">
      <c r="A43" s="40" t="n"/>
      <c r="B43" s="38" t="n">
        <v>0.1025</v>
      </c>
      <c r="C43" s="52" t="n">
        <v>321.1041165543931</v>
      </c>
      <c r="D43" s="52" t="n">
        <v>211.8927213509275</v>
      </c>
      <c r="E43" s="52" t="n">
        <v>132.4080167338417</v>
      </c>
      <c r="F43" s="52" t="n">
        <v>119.9320923928614</v>
      </c>
      <c r="G43" s="52" t="n">
        <v>108.0719769770721</v>
      </c>
      <c r="H43" s="52" t="n">
        <v>97.33295305794117</v>
      </c>
      <c r="I43" s="52" t="n">
        <v>91.85374412501193</v>
      </c>
      <c r="J43" s="52" t="n">
        <v>88.85119234568077</v>
      </c>
      <c r="K43" s="40" t="n"/>
    </row>
    <row r="44" ht="19.9" customHeight="1">
      <c r="A44" s="40" t="n"/>
      <c r="B44" s="38" t="n">
        <v>0.105</v>
      </c>
      <c r="C44" s="52" t="n">
        <v>322.2051400712459</v>
      </c>
      <c r="D44" s="52" t="n">
        <v>213.0746010222301</v>
      </c>
      <c r="E44" s="52" t="n">
        <v>133.7645569026488</v>
      </c>
      <c r="F44" s="52" t="n">
        <v>121.3522363655342</v>
      </c>
      <c r="G44" s="52" t="n">
        <v>109.5810581112436</v>
      </c>
      <c r="H44" s="52" t="n">
        <v>98.97198383836383</v>
      </c>
      <c r="I44" s="52" t="n">
        <v>93.59917771048471</v>
      </c>
      <c r="J44" s="52" t="n">
        <v>90.68047529051513</v>
      </c>
      <c r="K44" s="40" t="n"/>
    </row>
    <row r="45" ht="19.9" customHeight="1">
      <c r="A45" s="40" t="n"/>
      <c r="B45" s="38" t="n">
        <v>0.1075</v>
      </c>
      <c r="C45" s="52" t="n">
        <v>323.3082295806191</v>
      </c>
      <c r="D45" s="52" t="n">
        <v>214.2601232104747</v>
      </c>
      <c r="E45" s="52" t="n">
        <v>135.1281574172083</v>
      </c>
      <c r="F45" s="52" t="n">
        <v>122.7805196534862</v>
      </c>
      <c r="G45" s="52" t="n">
        <v>111.0995317144517</v>
      </c>
      <c r="H45" s="52" t="n">
        <v>100.6214944082773</v>
      </c>
      <c r="I45" s="52" t="n">
        <v>95.35504993398706</v>
      </c>
      <c r="J45" s="52" t="n">
        <v>92.51931739747884</v>
      </c>
      <c r="K45" s="40" t="n"/>
    </row>
    <row r="46" ht="19.9" customHeight="1">
      <c r="A46" s="40" t="n"/>
      <c r="B46" s="38" t="n">
        <v>0.11</v>
      </c>
      <c r="C46" s="52" t="n">
        <v>324.413381836519</v>
      </c>
      <c r="D46" s="52" t="n">
        <v>215.4492790022458</v>
      </c>
      <c r="E46" s="52" t="n">
        <v>136.4987725436061</v>
      </c>
      <c r="F46" s="52" t="n">
        <v>124.2168708522664</v>
      </c>
      <c r="G46" s="52" t="n">
        <v>112.6272767520484</v>
      </c>
      <c r="H46" s="52" t="n">
        <v>102.2812610116654</v>
      </c>
      <c r="I46" s="52" t="n">
        <v>97.12103156895945</v>
      </c>
      <c r="J46" s="52" t="n">
        <v>94.3673059213278</v>
      </c>
      <c r="K46" s="40" t="n"/>
    </row>
    <row r="47" ht="19.9" customHeight="1">
      <c r="A47" s="40" t="n"/>
      <c r="B47" s="38" t="n">
        <v>0.1125</v>
      </c>
      <c r="C47" s="52" t="n">
        <v>325.5205935699407</v>
      </c>
      <c r="D47" s="52" t="n">
        <v>216.6420593793169</v>
      </c>
      <c r="E47" s="52" t="n">
        <v>137.8763559513868</v>
      </c>
      <c r="F47" s="52" t="n">
        <v>125.6612177499557</v>
      </c>
      <c r="G47" s="52" t="n">
        <v>114.1641712949623</v>
      </c>
      <c r="H47" s="52" t="n">
        <v>103.9510602399904</v>
      </c>
      <c r="I47" s="52" t="n">
        <v>98.8967975100235</v>
      </c>
      <c r="J47" s="52" t="n">
        <v>96.22403833457855</v>
      </c>
      <c r="K47" s="40" t="n"/>
    </row>
    <row r="48" ht="19.9" customHeight="1">
      <c r="A48" s="40" t="n"/>
      <c r="B48" s="38" t="n">
        <v>0.115</v>
      </c>
      <c r="C48" s="52" t="n">
        <v>326.6298614889815</v>
      </c>
      <c r="D48" s="52" t="n">
        <v>217.8384552195169</v>
      </c>
      <c r="E48" s="52" t="n">
        <v>139.2608607303148</v>
      </c>
      <c r="F48" s="52" t="n">
        <v>127.1134873627299</v>
      </c>
      <c r="G48" s="52" t="n">
        <v>115.710092603351</v>
      </c>
      <c r="H48" s="52" t="n">
        <v>105.6306692377574</v>
      </c>
      <c r="I48" s="52" t="n">
        <v>100.6820270717092</v>
      </c>
      <c r="J48" s="52" t="n">
        <v>98.08912255607758</v>
      </c>
      <c r="K48" s="40" t="n"/>
    </row>
    <row r="49" ht="19.9" customHeight="1">
      <c r="A49" s="40" t="n"/>
      <c r="B49" s="38" t="n">
        <v>0.1175</v>
      </c>
      <c r="C49" s="52" t="n">
        <v>327.7411822789512</v>
      </c>
      <c r="D49" s="52" t="n">
        <v>219.0384572976054</v>
      </c>
      <c r="E49" s="52" t="n">
        <v>140.652239407226</v>
      </c>
      <c r="F49" s="52" t="n">
        <v>128.5736059704319</v>
      </c>
      <c r="G49" s="52" t="n">
        <v>117.2649172093978</v>
      </c>
      <c r="H49" s="52" t="n">
        <v>107.3198659006839</v>
      </c>
      <c r="I49" s="52" t="n">
        <v>102.4764042631877</v>
      </c>
      <c r="J49" s="52" t="n">
        <v>99.96217713300346</v>
      </c>
      <c r="K49" s="40" t="n"/>
    </row>
    <row r="50" ht="19.9" customHeight="1">
      <c r="A50" s="40" t="n"/>
      <c r="B50" s="38" t="n">
        <v>0.12</v>
      </c>
      <c r="C50" s="52" t="n">
        <v>328.854552602487</v>
      </c>
      <c r="D50" s="52" t="n">
        <v>220.2420562861562</v>
      </c>
      <c r="E50" s="52" t="n">
        <v>142.0504439629578</v>
      </c>
      <c r="F50" s="52" t="n">
        <v>130.04149915212</v>
      </c>
      <c r="G50" s="52" t="n">
        <v>118.8285209991598</v>
      </c>
      <c r="H50" s="52" t="n">
        <v>109.018429066298</v>
      </c>
      <c r="I50" s="52" t="n">
        <v>104.2796180393691</v>
      </c>
      <c r="J50" s="52" t="n">
        <v>101.8428313787628</v>
      </c>
      <c r="K50" s="40" t="n"/>
    </row>
    <row r="51" ht="19.9" customHeight="1">
      <c r="A51" s="40" t="n"/>
      <c r="B51" s="38" t="n">
        <v>0.1225</v>
      </c>
      <c r="C51" s="52" t="n">
        <v>329.9699690996667</v>
      </c>
      <c r="D51" s="52" t="n">
        <v>221.4492427564498</v>
      </c>
      <c r="E51" s="52" t="n">
        <v>143.4554258493456</v>
      </c>
      <c r="F51" s="52" t="n">
        <v>131.5170918215616</v>
      </c>
      <c r="G51" s="52" t="n">
        <v>120.4007792933802</v>
      </c>
      <c r="H51" s="52" t="n">
        <v>110.7261386968195</v>
      </c>
      <c r="I51" s="52" t="n">
        <v>106.0913625288074</v>
      </c>
      <c r="J51" s="52" t="n">
        <v>103.7307254693067</v>
      </c>
      <c r="K51" s="40" t="n"/>
    </row>
    <row r="52" ht="19.9" customHeight="1">
      <c r="A52" s="40" t="n"/>
      <c r="B52" s="38" t="n">
        <v>0.125</v>
      </c>
      <c r="C52" s="52" t="n">
        <v>331.0874283881223</v>
      </c>
      <c r="D52" s="52" t="n">
        <v>222.6600071793733</v>
      </c>
      <c r="E52" s="52" t="n">
        <v>144.8671360062761</v>
      </c>
      <c r="F52" s="52" t="n">
        <v>133.0003082626434</v>
      </c>
      <c r="G52" s="52" t="n">
        <v>121.9815669271816</v>
      </c>
      <c r="H52" s="52" t="n">
        <v>112.4427760542056</v>
      </c>
      <c r="I52" s="52" t="n">
        <v>107.9113372389302</v>
      </c>
      <c r="J52" s="52" t="n">
        <v>105.6255105004364</v>
      </c>
      <c r="K52" s="40" t="n"/>
    </row>
    <row r="53" ht="19.9" customHeight="1">
      <c r="A53" s="40" t="n"/>
      <c r="B53" s="38" t="n">
        <v>0.1275</v>
      </c>
      <c r="C53" s="52" t="n">
        <v>332.2069270631566</v>
      </c>
      <c r="D53" s="52" t="n">
        <v>223.8743399263282</v>
      </c>
      <c r="E53" s="52" t="n">
        <v>146.285524878785</v>
      </c>
      <c r="F53" s="52" t="n">
        <v>134.4910721646673</v>
      </c>
      <c r="G53" s="52" t="n">
        <v>123.570758328561</v>
      </c>
      <c r="H53" s="52" t="n">
        <v>114.168123867275</v>
      </c>
      <c r="I53" s="52" t="n">
        <v>109.7392472391767</v>
      </c>
      <c r="J53" s="52" t="n">
        <v>107.5268485086847</v>
      </c>
      <c r="K53" s="40" t="n"/>
    </row>
    <row r="54" ht="19.9" customHeight="1">
      <c r="A54" s="40" t="n"/>
      <c r="B54" s="38" t="n">
        <v>0.13</v>
      </c>
      <c r="C54" s="52" t="n">
        <v>333.3284616978576</v>
      </c>
      <c r="D54" s="52" t="n">
        <v>225.092231270147</v>
      </c>
      <c r="E54" s="52" t="n">
        <v>147.7105424341878</v>
      </c>
      <c r="F54" s="52" t="n">
        <v>135.9893066575033</v>
      </c>
      <c r="G54" s="52" t="n">
        <v>125.1682275956103</v>
      </c>
      <c r="H54" s="52" t="n">
        <v>115.9019664908462</v>
      </c>
      <c r="I54" s="52" t="n">
        <v>111.5748033226887</v>
      </c>
      <c r="J54" s="52" t="n">
        <v>109.4344124583572</v>
      </c>
      <c r="K54" s="40" t="n"/>
    </row>
    <row r="55" ht="19.9" customHeight="1">
      <c r="A55" s="40" t="n"/>
      <c r="B55" s="38" t="n">
        <v>0.1325</v>
      </c>
      <c r="C55" s="52" t="n">
        <v>334.4520288432161</v>
      </c>
      <c r="D55" s="52" t="n">
        <v>226.3136713860157</v>
      </c>
      <c r="E55" s="52" t="n">
        <v>149.1421381792346</v>
      </c>
      <c r="F55" s="52" t="n">
        <v>137.494934346572</v>
      </c>
      <c r="G55" s="52" t="n">
        <v>126.7738485723938</v>
      </c>
      <c r="H55" s="52" t="n">
        <v>117.6440900568586</v>
      </c>
      <c r="I55" s="52" t="n">
        <v>113.4177221472485</v>
      </c>
      <c r="J55" s="52" t="n">
        <v>111.3478861972983</v>
      </c>
      <c r="K55" s="40" t="n"/>
    </row>
    <row r="56" ht="19.9" customHeight="1">
      <c r="A56" s="40" t="n"/>
      <c r="B56" s="38" t="n">
        <v>0.135</v>
      </c>
      <c r="C56" s="52" t="n">
        <v>335.5776250282421</v>
      </c>
      <c r="D56" s="52" t="n">
        <v>227.5386503524057</v>
      </c>
      <c r="E56" s="52" t="n">
        <v>150.5802611772761</v>
      </c>
      <c r="F56" s="52" t="n">
        <v>139.0078773476283</v>
      </c>
      <c r="G56" s="52" t="n">
        <v>128.3874949234142</v>
      </c>
      <c r="H56" s="52" t="n">
        <v>119.3942826174644</v>
      </c>
      <c r="I56" s="52" t="n">
        <v>115.267726356204</v>
      </c>
      <c r="J56" s="52" t="n">
        <v>113.2669643839055</v>
      </c>
      <c r="K56" s="40" t="n"/>
    </row>
    <row r="57" ht="19.9" customHeight="1">
      <c r="A57" s="40" t="n"/>
      <c r="B57" s="38" t="n">
        <v>0.1375</v>
      </c>
      <c r="C57" s="52" t="n">
        <v>336.7052467600828</v>
      </c>
      <c r="D57" s="52" t="n">
        <v>228.7671581520114</v>
      </c>
      <c r="E57" s="52" t="n">
        <v>152.0248600654308</v>
      </c>
      <c r="F57" s="52" t="n">
        <v>140.5280573213207</v>
      </c>
      <c r="G57" s="52" t="n">
        <v>130.0090402066061</v>
      </c>
      <c r="H57" s="52" t="n">
        <v>121.1523342801065</v>
      </c>
      <c r="I57" s="52" t="n">
        <v>117.1245446801555</v>
      </c>
      <c r="J57" s="52" t="n">
        <v>115.191352387868</v>
      </c>
      <c r="K57" s="40" t="n"/>
    </row>
    <row r="58" ht="19.9" customHeight="1">
      <c r="A58" s="40" t="n"/>
      <c r="B58" s="38" t="n">
        <v>0.14</v>
      </c>
      <c r="C58" s="52" t="n">
        <v>337.8348905241412</v>
      </c>
      <c r="D58" s="52" t="n">
        <v>229.9991846726955</v>
      </c>
      <c r="E58" s="52" t="n">
        <v>153.4758830717441</v>
      </c>
      <c r="F58" s="52" t="n">
        <v>142.0553955074993</v>
      </c>
      <c r="G58" s="52" t="n">
        <v>131.6383579447994</v>
      </c>
      <c r="H58" s="52" t="n">
        <v>122.91803733462</v>
      </c>
      <c r="I58" s="52" t="n">
        <v>118.9879120202124</v>
      </c>
      <c r="J58" s="52" t="n">
        <v>117.120766167038</v>
      </c>
      <c r="K58" s="40" t="n"/>
    </row>
    <row r="59" ht="19.9" customHeight="1">
      <c r="A59" s="40" t="n"/>
      <c r="B59" s="38" t="n">
        <v>0.1425</v>
      </c>
      <c r="C59" s="52" t="n">
        <v>338.9665527841947</v>
      </c>
      <c r="D59" s="52" t="n">
        <v>231.234719708441</v>
      </c>
      <c r="E59" s="52" t="n">
        <v>154.9332780323271</v>
      </c>
      <c r="F59" s="52" t="n">
        <v>143.5898127592476</v>
      </c>
      <c r="G59" s="52" t="n">
        <v>133.275321695598</v>
      </c>
      <c r="H59" s="52" t="n">
        <v>124.6911863724146</v>
      </c>
      <c r="I59" s="52" t="n">
        <v>120.8575695136488</v>
      </c>
      <c r="J59" s="52" t="n">
        <v>119.0549321227674</v>
      </c>
      <c r="K59" s="40" t="n"/>
    </row>
    <row r="60" ht="19.9" customHeight="1">
      <c r="A60" s="40" t="n"/>
      <c r="B60" s="38" t="n">
        <v>0.145</v>
      </c>
      <c r="C60" s="52" t="n">
        <v>340.1002299825154</v>
      </c>
      <c r="D60" s="52" t="n">
        <v>232.4737529603103</v>
      </c>
      <c r="E60" s="52" t="n">
        <v>156.3969924084663</v>
      </c>
      <c r="F60" s="52" t="n">
        <v>145.1312295766147</v>
      </c>
      <c r="G60" s="52" t="n">
        <v>134.919805119627</v>
      </c>
      <c r="H60" s="52" t="n">
        <v>126.4715783978181</v>
      </c>
      <c r="I60" s="52" t="n">
        <v>122.7332645828042</v>
      </c>
      <c r="J60" s="52" t="n">
        <v>120.9935869359593</v>
      </c>
      <c r="K60" s="40" t="n"/>
    </row>
    <row r="61" ht="19.9" customHeight="1">
      <c r="A61" s="40" t="n"/>
      <c r="B61" s="38" t="n">
        <v>0.1475</v>
      </c>
      <c r="C61" s="52" t="n">
        <v>341.2359185399892</v>
      </c>
      <c r="D61" s="52" t="n">
        <v>233.7162740374102</v>
      </c>
      <c r="E61" s="52" t="n">
        <v>157.8669733036933</v>
      </c>
      <c r="F61" s="52" t="n">
        <v>146.6795661400227</v>
      </c>
      <c r="G61" s="52" t="n">
        <v>136.5716820471008</v>
      </c>
      <c r="H61" s="52" t="n">
        <v>128.2590129316756</v>
      </c>
      <c r="I61" s="52" t="n">
        <v>124.6147509680904</v>
      </c>
      <c r="J61" s="52" t="n">
        <v>122.9364773859918</v>
      </c>
      <c r="K61" s="40" t="n"/>
    </row>
    <row r="62" ht="19.9" customHeight="1">
      <c r="A62" s="40" t="n"/>
      <c r="B62" s="38" t="n">
        <v>0.15</v>
      </c>
      <c r="C62" s="52" t="n">
        <v>342.3736148562384</v>
      </c>
      <c r="D62" s="52" t="n">
        <v>234.9622724578641</v>
      </c>
      <c r="E62" s="52" t="n">
        <v>159.3431674808055</v>
      </c>
      <c r="F62" s="52" t="n">
        <v>148.2347423433294</v>
      </c>
      <c r="G62" s="52" t="n">
        <v>138.2308265426739</v>
      </c>
      <c r="H62" s="52" t="n">
        <v>130.0532921073222</v>
      </c>
      <c r="I62" s="52" t="n">
        <v>126.501788745969</v>
      </c>
      <c r="J62" s="52" t="n">
        <v>124.8833601545722</v>
      </c>
      <c r="K62" s="40" t="n"/>
    </row>
    <row r="63" ht="19.9" customHeight="1">
      <c r="A63" s="40" t="n"/>
      <c r="B63" s="38" t="n">
        <v>0.1525</v>
      </c>
      <c r="C63" s="52" t="n">
        <v>343.5133153097413</v>
      </c>
      <c r="D63" s="52" t="n">
        <v>236.211737649789</v>
      </c>
      <c r="E63" s="52" t="n">
        <v>160.825521378828</v>
      </c>
      <c r="F63" s="52" t="n">
        <v>149.796677826521</v>
      </c>
      <c r="G63" s="52" t="n">
        <v>139.8971129685371</v>
      </c>
      <c r="H63" s="52" t="n">
        <v>131.8542207590572</v>
      </c>
      <c r="I63" s="52" t="n">
        <v>128.3941443327655</v>
      </c>
      <c r="J63" s="52" t="n">
        <v>126.8340016164791</v>
      </c>
      <c r="K63" s="40" t="n"/>
    </row>
    <row r="64" ht="19.9" customHeight="1">
      <c r="A64" s="40" t="n"/>
      <c r="B64" s="38" t="n">
        <v>0.155</v>
      </c>
      <c r="C64" s="52" t="n">
        <v>344.6550162579558</v>
      </c>
      <c r="D64" s="52" t="n">
        <v>237.4646589522802</v>
      </c>
      <c r="E64" s="52" t="n">
        <v>162.3139811299062</v>
      </c>
      <c r="F64" s="52" t="n">
        <v>151.3652920080177</v>
      </c>
      <c r="G64" s="52" t="n">
        <v>141.5704160457269</v>
      </c>
      <c r="H64" s="52" t="n">
        <v>133.6616065032658</v>
      </c>
      <c r="I64" s="52" t="n">
        <v>130.291590475186</v>
      </c>
      <c r="J64" s="52" t="n">
        <v>128.7881776190451</v>
      </c>
      <c r="K64" s="40" t="n"/>
    </row>
    <row r="65" ht="19.9" customHeight="1">
      <c r="A65" s="40" t="n"/>
      <c r="B65" s="38" t="n">
        <v>0.1575</v>
      </c>
      <c r="C65" s="52" t="n">
        <v>345.7987140374411</v>
      </c>
      <c r="D65" s="52" t="n">
        <v>238.7210256164005</v>
      </c>
      <c r="E65" s="52" t="n">
        <v>163.8084925761222</v>
      </c>
      <c r="F65" s="52" t="n">
        <v>152.9405041165693</v>
      </c>
      <c r="G65" s="52" t="n">
        <v>143.25061091362</v>
      </c>
      <c r="H65" s="52" t="n">
        <v>135.475259812348</v>
      </c>
      <c r="I65" s="52" t="n">
        <v>132.1939062283899</v>
      </c>
      <c r="J65" s="52" t="n">
        <v>130.7456732521237</v>
      </c>
      <c r="K65" s="40" t="n"/>
    </row>
    <row r="66" ht="19.9" customHeight="1">
      <c r="A66" s="40" t="n"/>
      <c r="B66" s="38" t="n">
        <v>0.16</v>
      </c>
      <c r="C66" s="52" t="n">
        <v>346.9444049639811</v>
      </c>
      <c r="D66" s="52" t="n">
        <v>239.9808268061757</v>
      </c>
      <c r="E66" s="52" t="n">
        <v>165.3090012862229</v>
      </c>
      <c r="F66" s="52" t="n">
        <v>154.5222332227232</v>
      </c>
      <c r="G66" s="52" t="n">
        <v>144.937573187589</v>
      </c>
      <c r="H66" s="52" t="n">
        <v>137.2949940816232</v>
      </c>
      <c r="I66" s="52" t="n">
        <v>134.1008769224666</v>
      </c>
      <c r="J66" s="52" t="n">
        <v>132.7062826101784</v>
      </c>
      <c r="K66" s="40" t="n"/>
    </row>
    <row r="67" ht="15" customHeight="1">
      <c r="A67" s="40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40" t="n"/>
    </row>
  </sheetData>
  <mergeCells count="4">
    <mergeCell ref="L2:L16"/>
    <mergeCell ref="A1:K1"/>
    <mergeCell ref="B8:J8"/>
    <mergeCell ref="B2:J2"/>
  </mergeCells>
  <conditionalFormatting sqref="B10:J66">
    <cfRule type="expression" priority="1" dxfId="11">
      <formula>$B10=$D$3</formula>
    </cfRule>
  </conditionalFormatting>
  <dataValidations count="19">
    <dataValidation sqref="D6" showDropDown="0" showInputMessage="1" showErrorMessage="1" allowBlank="1" error="Select Payments Due option from the list. Select CANCEL, press ALT+DOWN ARROW for options, and then DOWN ARROW and ENTER to make selection" prompt="Select payments due option from the list in this cell. Press ALT+DOWN ARROW for options, then DOWN ARROW and ENTER to make selection" type="list" errorStyle="warning">
      <formula1>"End of period,Start of period"</formula1>
    </dataValidation>
    <dataValidation sqref="A1" showDropDown="0" showInputMessage="1" showErrorMessage="1" allowBlank="1" prompt="Title of this worksheet is in this cell. Rate slicer is in cell L2"/>
    <dataValidation sqref="B2:J2" showDropDown="0" showInputMessage="1" showErrorMessage="1" allowBlank="1" prompt="Enter values in cells D3 through D6. Monthly and Total Payments, and Total Interest amount are automatically calculated in cells I3 through I5"/>
    <dataValidation sqref="B9" showDropDown="0" showInputMessage="1" showErrorMessage="1" allowBlank="1" prompt="Rates are automatically calculated in this column under this heading"/>
    <dataValidation sqref="C9:J9" showDropDown="0" showInputMessage="1" showErrorMessage="1" allowBlank="1" prompt="Amounts for this year are automatically calculated in this column under this heading"/>
    <dataValidation sqref="C3" showDropDown="0" showInputMessage="1" showErrorMessage="1" allowBlank="1" prompt="Enter Interest Rate in cell at right"/>
    <dataValidation sqref="H3" showDropDown="0" showInputMessage="1" showErrorMessage="1" allowBlank="1" prompt="Monthly Payment amount is automatically calculated in cell at right"/>
    <dataValidation sqref="I3" showDropDown="0" showInputMessage="1" showErrorMessage="1" allowBlank="1" prompt="Monthly Payment amount is automatically calculated in this cell"/>
    <dataValidation sqref="H4" showDropDown="0" showInputMessage="1" showErrorMessage="1" allowBlank="1" prompt="Total Payment amount is automatically calculated in cell at right"/>
    <dataValidation sqref="I4" showDropDown="0" showInputMessage="1" showErrorMessage="1" allowBlank="1" prompt="Total Payment amount is automatically calculated in this cell"/>
    <dataValidation sqref="H5" showDropDown="0" showInputMessage="1" showErrorMessage="1" allowBlank="1" prompt="Total Interest amount is automatically calculated in cell at right"/>
    <dataValidation sqref="I5" showDropDown="0" showInputMessage="1" showErrorMessage="1" allowBlank="1" prompt="Total Interest amount is automatically calculated in this cell"/>
    <dataValidation sqref="C4" showDropDown="0" showInputMessage="1" showErrorMessage="1" allowBlank="1" prompt="Enter Years of Loan in cell at right"/>
    <dataValidation sqref="D4" showDropDown="0" showInputMessage="1" showErrorMessage="1" allowBlank="1" prompt="Enter Years of Loan in this cell"/>
    <dataValidation sqref="D3" showDropDown="0" showInputMessage="1" showErrorMessage="1" allowBlank="1" prompt="Enter Interest Rate in this cell"/>
    <dataValidation sqref="C5" showDropDown="0" showInputMessage="1" showErrorMessage="1" allowBlank="1" prompt="Enter Loan Amount in cell at right"/>
    <dataValidation sqref="D5" showDropDown="0" showInputMessage="1" showErrorMessage="1" allowBlank="1" prompt="Enter Loan Amount in this cell"/>
    <dataValidation sqref="C6" showDropDown="0" showInputMessage="1" showErrorMessage="1" allowBlank="1" prompt="Select Payments Due option in cell at right"/>
    <dataValidation sqref="B8" showDropDown="0" showInputMessage="1" showErrorMessage="1" allowBlank="1" prompt="Annual amounts are automatically calculated in columns C through J in the table below"/>
  </dataValidations>
  <printOptions horizontalCentered="1"/>
  <pageMargins left="0.4" right="0.4" top="0.4" bottom="0.4" header="0.3" footer="0.3"/>
  <pageSetup orientation="portrait" scale="49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2023-01-16T01:43:22Z</dcterms:created>
  <dcterms:modified xsi:type="dcterms:W3CDTF">2026-03-05T08:49:26Z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