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f>IF(F33="Yes",E35-(E37-E36)*(1-F28)-E38*(1-F28),F32)</f>
        <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f>IF(F25="Yes","Option Pricing Model","Discounted CF Model")</f>
        <v/>
      </c>
      <c r="G44" s="42" t="inlineStr">
        <is>
          <t>! If option pricing model, first do a DCF valuation</t>
        </is>
      </c>
    </row>
    <row r="45" ht="20" customFormat="1" customHeight="1" s="42">
      <c r="B45" s="66" t="inlineStr">
        <is>
          <t>Level of Earnings to use in model (Current, Normalized):</t>
        </is>
      </c>
      <c r="C45" s="42" t="n"/>
      <c r="D45" s="42" t="n"/>
      <c r="E45" s="42" t="n"/>
      <c r="F45" s="67">
        <f>IF(D8="No",IF(F22="Yes","Normalized Earnings",IF(F23="Yes","Normalized Earnings","Current Earnings")),"Current Earnings")</f>
        <v/>
      </c>
    </row>
    <row r="46" ht="20" customFormat="1" customHeight="1" s="42">
      <c r="B46" s="66" t="inlineStr">
        <is>
          <t>Cashflows that should be discounted (Dividends, FCFE, FCFF) :</t>
        </is>
      </c>
      <c r="C46" s="42" t="n"/>
      <c r="D46" s="42" t="n"/>
      <c r="E46" s="42" t="n"/>
      <c r="F46" s="67">
        <f>IF(F29="Yes",IF(F33="Yes","FCFF (Value firm)","Dividends (Value equity)"),IF(D8="No","FCFF(Value firm)",(IF(F32&gt;1.25*G40,"FCFE (Value equity)",(IF(F32&lt;0.9*G40,"FCFE (Value equity)","Dividends (Value equity)"))))))</f>
        <v/>
      </c>
    </row>
    <row r="47" ht="20" customFormat="1" customHeight="1" s="42">
      <c r="B47" s="66" t="inlineStr">
        <is>
          <t>Length of Growth Period (10 or more, 5 to 10, less than 5)</t>
        </is>
      </c>
      <c r="C47" s="42" t="n"/>
      <c r="D47" s="42" t="n"/>
      <c r="E47" s="42" t="n"/>
      <c r="F47" s="67">
        <f>IF(F48="Stable Growth","No high growth period",IF(F15="Yes",IF(F14&gt;(E11+E12+0.06),"10 or more years","5 to 10 years"),IF(F14&gt;(E11+E12+0.06),"5 to 10 years","5 years of less")))</f>
        <v/>
      </c>
    </row>
    <row r="48" ht="20" customFormat="1" customHeight="1" s="42">
      <c r="B48" s="68" t="inlineStr">
        <is>
          <t>Appropriate Growth Pattern (Stable, 2 stage,  3 stage):</t>
        </is>
      </c>
      <c r="C48" s="69" t="n"/>
      <c r="D48" s="69" t="n"/>
      <c r="E48" s="69" t="n"/>
      <c r="F48" s="70">
        <f>IF(D8="No",IF(F45="Normalized Earnings",IF(F14&lt;(E11+E12+0.0101),"Stable Growth",IF(F14&lt;(E11+E12+0.06),"Two-stage Growth","Three-stage Growth")),"n-stage model"),IF(F14&lt;(E11+E12+0.0101),"Stable Growth",IF(F14&lt;(E11+E12+0.06),"Two-stage Growth","Three-stage Growth")))</f>
        <v/>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2026-03-05T05:25:32Z</dcterms:modified>
  <cp:lastModifiedBy>Aswath Damodaran</cp:lastModifiedBy>
  <cp:revision>0</cp:revision>
</cp:coreProperties>
</file>