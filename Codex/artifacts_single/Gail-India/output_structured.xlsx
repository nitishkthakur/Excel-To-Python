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hidden="0" function="0" vbProcedure="0">[10]Earning_Assum!$A$513</definedName>
    <definedName name="AA" hidden="0" function="0" vbProcedure="0">[10]Earning_Assum!$A$1</definedName>
    <definedName name="aaa" hidden="0" function="0" vbProcedure="0">#REF!</definedName>
    <definedName name="ABC" hidden="0" function="0" vbProcedure="0">[2]Pulses!$A$1:$S$311</definedName>
    <definedName name="ABC___0" hidden="0" function="0" vbProcedure="0">[6]Pulses!$A$1:$S$311</definedName>
    <definedName name="Acquition" hidden="0" function="0" vbProcedure="0">#REF!</definedName>
    <definedName name="act" hidden="0" function="0" vbProcedure="0">[11]rm!$V$3</definedName>
    <definedName name="ActDepr" hidden="0" function="0" vbProcedure="0">[12]Input!$K$129:$AE$129</definedName>
    <definedName name="AdmExp" hidden="0" function="0" vbProcedure="0">[12]Input!$K$547:$AE$547</definedName>
    <definedName name="AdmExpSer" hidden="0" function="0" vbProcedure="0">[12]Profile!$AX$5:$AX$12</definedName>
    <definedName name="advertising" hidden="0" function="0" vbProcedure="0">#REF!</definedName>
    <definedName name="AFHrs" hidden="0" function="0" vbProcedure="0">#REF!</definedName>
    <definedName name="AFKW" hidden="0" function="0" vbProcedure="0">#REF!</definedName>
    <definedName name="agro1" hidden="0" function="0" vbProcedure="0">[1]Summary!$A$2305</definedName>
    <definedName name="agro2" hidden="0" function="0" vbProcedure="0">[1]Summary!$A$1</definedName>
    <definedName name="agro4" hidden="0" function="0" vbProcedure="0">[1]Summary!$A$1</definedName>
    <definedName name="Analyst" hidden="0" function="0" vbProcedure="0">#REF!</definedName>
    <definedName name="ARBL" hidden="0" function="0" vbProcedure="0">#REF!</definedName>
    <definedName name="asd" hidden="0" function="0" vbProcedure="0">#REF!</definedName>
    <definedName name="august" hidden="0" function="0" vbProcedure="0">[7]Pulses!$A$1:$S$311</definedName>
    <definedName name="AvgDebt" hidden="0" function="0" vbProcedure="0">[12]Debt!$K$153:$AE$153</definedName>
    <definedName name="AvgIntRate" hidden="0" function="0" vbProcedure="0">[12]Debt!$K$250:$AE$250</definedName>
    <definedName name="AvgNW" hidden="0" function="0" vbProcedure="0">[12]Formats!$K$64:$AE$64</definedName>
    <definedName name="AvgSellPr" hidden="0" function="0" vbProcedure="0">[12]Input!$K$161:$AE$161,[12]Input!$K$179:$AE$179,[12]Input!$K$197:$AE$197,[12]Input!$K$215:$AE$215,[12]Input!$K$233:$AE$233,[12]Input!$K$251:$AE$251,[12]Input!$K$269:$AE$269,[12]Input!$K$287:$AE$287</definedName>
    <definedName name="avg_vol_3m" hidden="0" function="0" vbProcedure="0">#REF!</definedName>
    <definedName name="B" hidden="0" function="0" vbProcedure="0">[10]Earning_Assum!$A$161</definedName>
    <definedName name="back_page" hidden="0" function="0" vbProcedure="0">[13]bp!$A$1:$X$56</definedName>
    <definedName name="bad" hidden="0" function="0" vbProcedure="0">#REF!</definedName>
    <definedName name="bae" hidden="0" function="0" vbProcedure="0">#REF!</definedName>
    <definedName name="bal" hidden="0" function="0" vbProcedure="0">#REF!</definedName>
    <definedName name="Balloon" hidden="0" function="0" vbProcedure="0">#REF!</definedName>
    <definedName name="Balloon_Amount" hidden="0" function="0" vbProcedure="0">#REF!</definedName>
    <definedName name="balsh" hidden="0" function="0" vbProcedure="0">#REF!</definedName>
    <definedName name="bao" hidden="0" function="0" vbProcedure="0">#REF!</definedName>
    <definedName name="bap" hidden="0" function="0" vbProcedure="0">#REF!</definedName>
    <definedName name="Basicshares" hidden="0" function="0" vbProcedure="0">#REF!</definedName>
    <definedName name="Basicsharesoutstanding" hidden="0" function="0" vbProcedure="0">#REF!</definedName>
    <definedName name="BasicSharesOutstandingR" hidden="0" function="0" vbProcedure="0">[4]Introduction!$E$40:$K$40</definedName>
    <definedName name="BasicYearEndEPS" hidden="0" function="0" vbProcedure="0">#REF!</definedName>
    <definedName name="BasicYearEndShares" hidden="0" function="0" vbProcedure="0">#REF!</definedName>
    <definedName name="bat" hidden="0" function="0" vbProcedure="0">#REF!</definedName>
    <definedName name="bay" hidden="0" function="0" vbProcedure="0">#REF!</definedName>
    <definedName name="BB" hidden="0" function="0" vbProcedure="0">[10]Earning_Assum!$A$2305</definedName>
    <definedName name="bca" hidden="0" function="0" vbProcedure="0">#REF!</definedName>
    <definedName name="bcb" hidden="0" function="0" vbProcedure="0">#REF!</definedName>
    <definedName name="bce" hidden="0" function="0" vbProcedure="0">#REF!</definedName>
    <definedName name="bcl" hidden="0" function="0" vbProcedure="0">#REF!</definedName>
    <definedName name="bcm" hidden="0" function="0" vbProcedure="0">#REF!</definedName>
    <definedName name="bcp" hidden="0" function="0" vbProcedure="0">#REF!</definedName>
    <definedName name="bdp" hidden="0" function="0" vbProcedure="0">#REF!</definedName>
    <definedName name="BE1_0" hidden="0" function="0" vbProcedure="0">#REF!</definedName>
    <definedName name="BE2_0" hidden="0" function="0" vbProcedure="0">#REF!,#REF!,#REF!</definedName>
    <definedName name="BE3_0" hidden="0" function="0" vbProcedure="0">#REF!,#REF!,#REF!</definedName>
    <definedName name="BE4_0" hidden="0" function="0" vbProcedure="0">#REF!,#REF!,#REF!</definedName>
    <definedName name="BE5_0" hidden="0" function="0" vbProcedure="0">#REF!,#REF!,#REF!</definedName>
    <definedName name="BESale" hidden="0" function="0" vbProcedure="0">[12]Formats!$K$143:$AE$143</definedName>
    <definedName name="BESaleVal" hidden="0" function="0" vbProcedure="0">[12]Formats!$K$144:$AE$144</definedName>
    <definedName name="bet" hidden="0" function="0" vbProcedure="0">#REF!</definedName>
    <definedName name="beta" hidden="0" function="0" vbProcedure="0">[11]main!$J$5</definedName>
    <definedName name="bfc" hidden="0" function="0" vbProcedure="0">#REF!</definedName>
    <definedName name="bia" hidden="0" function="0" vbProcedure="0">#REF!</definedName>
    <definedName name="bin" hidden="0" function="0" vbProcedure="0">#REF!</definedName>
    <definedName name="bio" hidden="0" function="0" vbProcedure="0">#REF!</definedName>
    <definedName name="bir" hidden="0" function="0" vbProcedure="0">#REF!</definedName>
    <definedName name="bit" hidden="0" function="0" vbProcedure="0">#REF!</definedName>
    <definedName name="BL1_0" hidden="0" function="0" vbProcedure="0">#REF!</definedName>
    <definedName name="BL2_0" hidden="0" function="0" vbProcedure="0">#REF!,#REF!,#REF!</definedName>
    <definedName name="BL3_0" hidden="0" function="0" vbProcedure="0">#REF!,#REF!,#REF!</definedName>
    <definedName name="BL4_0" hidden="0" function="0" vbProcedure="0">#REF!,#REF!,#REF!</definedName>
    <definedName name="BL5_0" hidden="0" function="0" vbProcedure="0">#REF!,#REF!,#REF!</definedName>
    <definedName name="bll" hidden="0" function="0" vbProcedure="0">#REF!</definedName>
    <definedName name="block_balancesheet_blue" hidden="0" function="0" vbProcedure="0">#REF!</definedName>
    <definedName name="block_businessbackground_blue" hidden="0" function="0" vbProcedure="0">#REF!</definedName>
    <definedName name="block_capitalhistory_blue" hidden="0" function="0" vbProcedure="0">#REF!</definedName>
    <definedName name="block_cashflow_blue" hidden="0" function="0" vbProcedure="0">#REF!</definedName>
    <definedName name="block_expansionplans_blue" hidden="0" function="0" vbProcedure="0">#REF!</definedName>
    <definedName name="block_forecasts_blue" hidden="0" function="0" vbProcedure="0">#REF!</definedName>
    <definedName name="block_identityblock_blue" hidden="0" function="0" vbProcedure="0">#REF!</definedName>
    <definedName name="block_incomestatement_blue" hidden="0" function="0" vbProcedure="0">#REF!</definedName>
    <definedName name="block_investmentargument_blue" hidden="0" function="0" vbProcedure="0">#REF!</definedName>
    <definedName name="block_keyassumptions2_blue" hidden="0" function="0" vbProcedure="0">#REF!</definedName>
    <definedName name="block_keyassumptions_blue" hidden="0" function="0" vbProcedure="0">#REF!</definedName>
    <definedName name="block_mainpoints_red" hidden="0" function="0" vbProcedure="0">#REF!</definedName>
    <definedName name="block_PEBANDS_none" hidden="0" function="0" vbProcedure="0">#REF!</definedName>
    <definedName name="block_perrel_none" hidden="0" function="0" vbProcedure="0">#REF!</definedName>
    <definedName name="block_pricetrends_none" hidden="0" function="0" vbProcedure="0">#REF!</definedName>
    <definedName name="block_ratioanalysis_blue" hidden="0" function="0" vbProcedure="0">#REF!</definedName>
    <definedName name="block_salesbreakdown_none" hidden="0" function="0" vbProcedure="0">#REF!</definedName>
    <definedName name="block_shareholdingpattern_blue" hidden="0" function="0" vbProcedure="0">#REF!</definedName>
    <definedName name="block_title_blue" hidden="0" function="0" vbProcedure="0">#REF!</definedName>
    <definedName name="Bloomberg" hidden="0" function="0" vbProcedure="0">#REF!</definedName>
    <definedName name="blt" hidden="0" function="0" vbProcedure="0">#REF!</definedName>
    <definedName name="bmi" hidden="0" function="0" vbProcedure="0">#REF!</definedName>
    <definedName name="bn" hidden="0" function="0" vbProcedure="0">1000000000</definedName>
    <definedName name="bnd" hidden="0" function="0" vbProcedure="0">#REF!</definedName>
    <definedName name="bnf" hidden="0" function="0" vbProcedure="0">#REF!</definedName>
    <definedName name="board" hidden="0" function="0" vbProcedure="0">[14]board!$A$1</definedName>
    <definedName name="boc" hidden="0" function="0" vbProcedure="0">#REF!</definedName>
    <definedName name="bol" hidden="0" function="0" vbProcedure="0">#REF!</definedName>
    <definedName name="BookDepr" hidden="0" function="0" vbProcedure="0">[12]CapEx!$K$77:$AE$77</definedName>
    <definedName name="Bookvalue" hidden="0" function="0" vbProcedure="0">#REF!</definedName>
    <definedName name="bor" hidden="0" function="0" vbProcedure="0">#REF!</definedName>
    <definedName name="bot" hidden="0" function="0" vbProcedure="0">#REF!</definedName>
    <definedName name="bpp" hidden="0" function="0" vbProcedure="0">#REF!</definedName>
    <definedName name="bpu" hidden="0" function="0" vbProcedure="0">#REF!</definedName>
    <definedName name="bre" hidden="0" function="0" vbProcedure="0">#REF!</definedName>
    <definedName name="Breakdown" hidden="0" function="0" vbProcedure="0">#REF!</definedName>
    <definedName name="BriefCoName" hidden="0" function="0" vbProcedure="0">#REF!</definedName>
    <definedName name="BriefDate" hidden="0" function="0" vbProcedure="0">#REF!</definedName>
    <definedName name="BriefInvPlay" hidden="0" function="0" vbProcedure="0">#REF!</definedName>
    <definedName name="BriefPrevDate" hidden="0" function="0" vbProcedure="0">#REF!</definedName>
    <definedName name="BriefPrevRecom" hidden="0" function="0" vbProcedure="0">#REF!</definedName>
    <definedName name="BriefRationale" hidden="0" function="0" vbProcedure="0">#REF!</definedName>
    <definedName name="BriefRecom" hidden="0" function="0" vbProcedure="0">#REF!</definedName>
    <definedName name="BriefSummary" hidden="0" function="0" vbProcedure="0">#REF!</definedName>
    <definedName name="BriefTime" hidden="0" function="0" vbProcedure="0">#REF!</definedName>
    <definedName name="bs" hidden="0" function="0" vbProcedure="0">#REF!</definedName>
    <definedName name="BSDiff" hidden="0" function="0" vbProcedure="0">[12]Input!$K$564:$AE$564</definedName>
    <definedName name="BSE" hidden="0" function="0" vbProcedure="0">[15]prices!$F$1:$F$404</definedName>
    <definedName name="BSE200Member" hidden="0" function="0" vbProcedure="0">#REF!</definedName>
    <definedName name="BSECode" hidden="0" function="0" vbProcedure="0">#REF!</definedName>
    <definedName name="bsf" hidden="0" function="0" vbProcedure="0">#REF!</definedName>
    <definedName name="bst" hidden="0" function="0" vbProcedure="0">#REF!</definedName>
    <definedName name="bs_jb" hidden="0" function="0" vbProcedure="0">[13]acctmod!$A$42:$Y$91</definedName>
    <definedName name="bs_ratio_jb" hidden="0" function="0" vbProcedure="0">[15]acctmod!$A$159:$Y$171</definedName>
    <definedName name="bs_sski" hidden="0" function="0" vbProcedure="0">#REF!</definedName>
    <definedName name="bt" hidden="0" function="0" vbProcedure="0">[16]EVA1!$T$11</definedName>
    <definedName name="bta" hidden="0" function="0" vbProcedure="0">#REF!</definedName>
    <definedName name="btd" hidden="0" function="0" vbProcedure="0">#REF!</definedName>
    <definedName name="bte" hidden="0" function="0" vbProcedure="0">#REF!</definedName>
    <definedName name="btl" hidden="0" function="0" vbProcedure="0">#REF!</definedName>
    <definedName name="btp" hidden="0" function="0" vbProcedure="0">#REF!</definedName>
    <definedName name="BuiltIn_Consolidate_Area___0" hidden="0" function="0" vbProcedure="0">NA()</definedName>
    <definedName name="BuiltIn_Database___0" hidden="0" function="0" vbProcedure="0">[17]Allocate!$A$1:$S$311</definedName>
    <definedName name="BuiltIn_Print_Area" hidden="0" function="0" vbProcedure="0">#REF!</definedName>
    <definedName name="BuiltIn_Print_Titles" hidden="0" function="0" vbProcedure="0">#REF!</definedName>
    <definedName name="BuiltIn_Print_Titles___0" hidden="0" function="0" vbProcedure="0">#REF!</definedName>
    <definedName name="BuiltIn_Print_Titles___0___0" hidden="0" function="0" vbProcedure="0">#REF!</definedName>
    <definedName name="BuiltIn_Print_Titles___0___0___0" hidden="0" function="0" vbProcedure="0">#REF!</definedName>
    <definedName name="BuiltIn_Print_Titles___0___0___0___0" hidden="0" function="0" vbProcedure="0">#REF!</definedName>
    <definedName name="BuiltIn_Recorder___0" hidden="0" function="0" vbProcedure="0">NA()</definedName>
    <definedName name="buyback" hidden="0" function="0" vbProcedure="0">#REF!</definedName>
    <definedName name="CA" hidden="0" function="0" vbProcedure="0">[12]Input!$K$85:$AE$85</definedName>
    <definedName name="CABLE" hidden="0" function="0" vbProcedure="0">#REF!</definedName>
    <definedName name="cac" hidden="0" function="0" vbProcedure="0">#REF!</definedName>
    <definedName name="calc" hidden="0" function="0" vbProcedure="0">[11]rm!$V$4</definedName>
    <definedName name="cam" hidden="0" function="0" vbProcedure="0">#REF!</definedName>
    <definedName name="capacity" hidden="0" function="0" vbProcedure="0">[14]sales!$A$1</definedName>
    <definedName name="Capacity_Utilisation" hidden="0" function="0" vbProcedure="0">#REF!</definedName>
    <definedName name="CapitalEmployed" hidden="0" function="0" vbProcedure="0">#REF!</definedName>
    <definedName name="CapitalExpenditure" hidden="0" function="0" vbProcedure="0">#REF!</definedName>
    <definedName name="Capitalisation" hidden="0" function="0" vbProcedure="0">#REF!</definedName>
    <definedName name="CardCoName" hidden="0" function="0" vbProcedure="0">#REF!</definedName>
    <definedName name="CardDate" hidden="0" function="0" vbProcedure="0">#REF!</definedName>
    <definedName name="CardInvPlay" hidden="0" function="0" vbProcedure="0">#REF!</definedName>
    <definedName name="CardPrevDate" hidden="0" function="0" vbProcedure="0">#REF!</definedName>
    <definedName name="CardPrevRecom" hidden="0" function="0" vbProcedure="0">#REF!</definedName>
    <definedName name="CardRationale" hidden="0" function="0" vbProcedure="0">#REF!</definedName>
    <definedName name="CardRecom" hidden="0" function="0" vbProcedure="0">#REF!</definedName>
    <definedName name="CardSummary" hidden="0" function="0" vbProcedure="0">#REF!</definedName>
    <definedName name="CardTime" hidden="0" function="0" vbProcedure="0">#REF!</definedName>
    <definedName name="Cash" hidden="0" function="0" vbProcedure="0">[12]Input!$K$83:$AE$83</definedName>
    <definedName name="CashChg" hidden="0" function="0" vbProcedure="0">[12]Input!$K$97:$AE$97</definedName>
    <definedName name="CashCr" hidden="0" function="0" vbProcedure="0">[12]Debt!$K$144:$AE$144</definedName>
    <definedName name="Cashflow" hidden="0" function="0" vbProcedure="0">#REF!</definedName>
    <definedName name="CashflowfromOperations" hidden="0" function="0" vbProcedure="0">#REF!</definedName>
    <definedName name="CashPr" hidden="0" function="0" vbProcedure="0">[12]Formats!$K$36:$AE$36</definedName>
    <definedName name="caz_bs" hidden="0" function="0" vbProcedure="0">#REF!</definedName>
    <definedName name="caz_cf" hidden="0" function="0" vbProcedure="0">#REF!</definedName>
    <definedName name="caz_pl" hidden="0" function="0" vbProcedure="0">#REF!</definedName>
    <definedName name="caz_ratio" hidden="0" function="0" vbProcedure="0">#REF!</definedName>
    <definedName name="CCC" hidden="0" function="0" vbProcedure="0">[10]Earning_Assum!$A$2305</definedName>
    <definedName name="cce" hidden="0" function="0" vbProcedure="0">#REF!</definedName>
    <definedName name="ccn" hidden="0" function="0" vbProcedure="0">#REF!</definedName>
    <definedName name="cde" hidden="0" function="0" vbProcedure="0">#REF!</definedName>
    <definedName name="cdi" hidden="0" function="0" vbProcedure="0">#REF!</definedName>
    <definedName name="cdp" hidden="0" function="0" vbProcedure="0">#REF!</definedName>
    <definedName name="ce" hidden="0" function="0" vbProcedure="0">#REF!</definedName>
    <definedName name="cell" hidden="0" function="0" vbProcedure="0">#REF!</definedName>
    <definedName name="centre_1" hidden="0" function="0" vbProcedure="0">#REF!</definedName>
    <definedName name="centre_2" hidden="0" function="0" vbProcedure="0">#REF!</definedName>
    <definedName name="cf" hidden="0" function="0" vbProcedure="0">#REF!</definedName>
    <definedName name="cfc" hidden="0" function="0" vbProcedure="0">#REF!</definedName>
    <definedName name="CFDiff" hidden="0" function="0" vbProcedure="0">[12]Input!$K$565:$AE$565</definedName>
    <definedName name="CFPS_Curr_Yr" hidden="0" function="0" vbProcedure="0">#REF!</definedName>
    <definedName name="CFPS_Lst_Yr" hidden="0" function="0" vbProcedure="0">#REF!</definedName>
    <definedName name="CFPS_Next_Yr" hidden="0" function="0" vbProcedure="0">#REF!</definedName>
    <definedName name="cfx" hidden="0" function="0" vbProcedure="0">#REF!</definedName>
    <definedName name="cf_ganesh" hidden="0" function="0" vbProcedure="0">[11]main!$A$86:$J$121</definedName>
    <definedName name="cf_jb" hidden="0" function="0" vbProcedure="0">[13]acctmod!$A$93:$Y$133</definedName>
    <definedName name="ChangesInWorkingCapital" hidden="0" function="0" vbProcedure="0">#REF!</definedName>
    <definedName name="cii" hidden="0" function="0" vbProcedure="0">#REF!</definedName>
    <definedName name="civ" hidden="0" function="0" vbProcedure="0">#REF!</definedName>
    <definedName name="CL" hidden="0" function="0" vbProcedure="0">[12]Input!$K$93:$AE$93</definedName>
    <definedName name="ClEqSh" hidden="0" function="0" vbProcedure="0">[12]Capital!$K$17:$AE$17</definedName>
    <definedName name="CMP" hidden="0" function="0" vbProcedure="0">[12]Profile!$H$14</definedName>
    <definedName name="cni" hidden="0" function="0" vbProcedure="0">#REF!</definedName>
    <definedName name="coc" hidden="0" function="0" vbProcedure="0">#REF!</definedName>
    <definedName name="Cochin" hidden="0" function="0" vbProcedure="0">#REF!</definedName>
    <definedName name="COGS" hidden="0" function="0" vbProcedure="0">[4]Old!$D$43:$O$43</definedName>
    <definedName name="coi" hidden="0" function="0" vbProcedure="0">#REF!</definedName>
    <definedName name="commerce" hidden="0" function="0" vbProcedure="0">#REF!</definedName>
    <definedName name="CommonDividendPaidOut" hidden="0" function="0" vbProcedure="0">#REF!</definedName>
    <definedName name="CommonStock" hidden="0" function="0" vbProcedure="0">#REF!</definedName>
    <definedName name="Comm_fee" hidden="0" function="0" vbProcedure="0">[19]RBS!$B$22</definedName>
    <definedName name="company" hidden="0" function="0" vbProcedure="0">#REF!</definedName>
    <definedName name="COMPANYA" hidden="0" function="0" vbProcedure="0">#REF!</definedName>
    <definedName name="company_nameh" hidden="0" function="0" vbProcedure="0">#REF!</definedName>
    <definedName name="CoName" hidden="0" function="0" vbProcedure="0">[12]Profile!$D$4</definedName>
    <definedName name="cons" hidden="0" function="0" vbProcedure="0">#REF!</definedName>
    <definedName name="consumption" hidden="0" function="0" vbProcedure="0">[20]consumption!$A$1:$E$14</definedName>
    <definedName name="ContrbUnit" hidden="0" function="0" vbProcedure="0">[12]Formats!$K$134:$AE$134</definedName>
    <definedName name="ContrbVal" hidden="0" function="0" vbProcedure="0">[12]Formats!$K$133:$AE$133</definedName>
    <definedName name="cop" hidden="0" function="0" vbProcedure="0">#REF!</definedName>
    <definedName name="COSTING_FOR_EACH__SET_OF_5__CONSISTS____POCUREMENT_BY_ADANI_LOGISTICS" hidden="0" function="0" vbProcedure="0">#REF!</definedName>
    <definedName name="cost_of_cap_growth" hidden="0" function="0" vbProcedure="0">#REF!</definedName>
    <definedName name="cot" hidden="0" function="0" vbProcedure="0">#REF!</definedName>
    <definedName name="COUNTRY" hidden="0" function="0" vbProcedure="0">#REF!</definedName>
    <definedName name="COUNTRY1" hidden="0" function="0" vbProcedure="0">#REF!</definedName>
    <definedName name="COUNTRY1a" hidden="0" function="0" vbProcedure="0">#REF!</definedName>
    <definedName name="COUNTRYa" hidden="0" function="0" vbProcedure="0">#REF!</definedName>
    <definedName name="CP" hidden="0" function="0" vbProcedure="0">[12]Debt!$K$145:$AE$145</definedName>
    <definedName name="CS" hidden="0" function="0" vbProcedure="0">'[21]Main Sheet'!$A$36865</definedName>
    <definedName name="csbs" hidden="0" function="0" vbProcedure="0">#REF!</definedName>
    <definedName name="cscf" hidden="0" function="0" vbProcedure="0">#REF!</definedName>
    <definedName name="csi" hidden="0" function="0" vbProcedure="0">#REF!</definedName>
    <definedName name="cspl" hidden="0" function="0" vbProcedure="0">#REF!</definedName>
    <definedName name="cta" hidden="0" function="0" vbProcedure="0">#REF!</definedName>
    <definedName name="CURRENCY" hidden="0" function="0" vbProcedure="0">#REF!</definedName>
    <definedName name="CurrentLiab" hidden="0" function="0" vbProcedure="0">#REF!</definedName>
    <definedName name="CurrentPortion" hidden="0" function="0" vbProcedure="0">[4]Sheet3!$J$146:$R$146</definedName>
    <definedName name="CurrentRatio" hidden="0" function="0" vbProcedure="0">[4]Introduction!$A$37121</definedName>
    <definedName name="curr_year_sales" hidden="0" function="0" vbProcedure="0">#REF!</definedName>
    <definedName name="CWIP" hidden="0" function="0" vbProcedure="0">[12]CapEx!$K$106:$AE$106</definedName>
    <definedName name="CWIPChg" hidden="0" function="0" vbProcedure="0">[12]CapEx!$K$112:$AE$112</definedName>
    <definedName name="cwo" hidden="0" function="0" vbProcedure="0">#REF!</definedName>
    <definedName name="cwt" hidden="0" function="0" vbProcedure="0">#REF!</definedName>
    <definedName name="D" hidden="0" function="0" vbProcedure="0">#REF!</definedName>
    <definedName name="daf" hidden="0" function="0" vbProcedure="0">#REF!</definedName>
    <definedName name="dai" hidden="0" function="0" vbProcedure="0">#REF!</definedName>
    <definedName name="das" hidden="0" function="0" vbProcedure="0">#REF!</definedName>
    <definedName name="DataPhone" hidden="0" function="0" vbProcedure="0">[22]MenuData!$A$1</definedName>
    <definedName name="Date" hidden="0" function="0" vbProcedure="0">'[23]BSE 200'!$A$1:$A$2906</definedName>
    <definedName name="days" hidden="0" function="0" vbProcedure="0">#REF!</definedName>
    <definedName name="daysss" hidden="0" function="0" vbProcedure="0">[25]Key_Base!$D$12</definedName>
    <definedName name="db" hidden="0" function="0" vbProcedure="0">"WIREHKPROD"</definedName>
    <definedName name="dcf_sensit" hidden="0" function="0" vbProcedure="0">#REF!</definedName>
    <definedName name="dd1___0" hidden="0" function="0" vbProcedure="0">[6]Pulses!$A$1:$S$311</definedName>
    <definedName name="dd1___6" hidden="0" function="0" vbProcedure="0">[7]Pulses!$A$1:$S$311</definedName>
    <definedName name="Debt" hidden="0" function="0" vbProcedure="0">[11]bs_related!$A$41</definedName>
    <definedName name="decfbp" hidden="0" function="0" vbProcedure="0">[26]Pulses!$A$1:$S$311</definedName>
    <definedName name="Delivery_Date" hidden="0" function="0" vbProcedure="0">#REF!</definedName>
    <definedName name="Deprecn" hidden="0" function="0" vbProcedure="0">#REF!</definedName>
    <definedName name="desktop" hidden="0" function="0" vbProcedure="0">#REF!</definedName>
    <definedName name="dfd" hidden="0" function="0" vbProcedure="0">#REF!</definedName>
    <definedName name="did" hidden="0" function="0" vbProcedure="0">#REF!</definedName>
    <definedName name="DilEqSh" hidden="0" function="0" vbProcedure="0">[12]Capital!$K$72:$AE$72</definedName>
    <definedName name="directors" hidden="0" function="0" vbProcedure="0">#REF!</definedName>
    <definedName name="dis" hidden="0" function="0" vbProcedure="0">#REF!</definedName>
    <definedName name="DispFmt" hidden="0" function="0" vbProcedure="0">[12]Input!$A$2305</definedName>
    <definedName name="Divdates" hidden="0" function="0" vbProcedure="0">#REF!</definedName>
    <definedName name="diversity" hidden="0" function="0" vbProcedure="0">#REF!</definedName>
    <definedName name="diversityss" hidden="0" function="0" vbProcedure="0">[25]Key_Base!$D$18</definedName>
    <definedName name="Dividend" hidden="0" function="0" vbProcedure="0">[11]bs_related!$A$2</definedName>
    <definedName name="division" hidden="0" function="0" vbProcedure="0">#REF!</definedName>
    <definedName name="DivOut" hidden="0" function="0" vbProcedure="0">[12]Input!$K$141:$AE$141</definedName>
    <definedName name="DivTax" hidden="0" function="0" vbProcedure="0">[12]Profile!$K$18:$AE$18</definedName>
    <definedName name="docs" hidden="0" function="0" vbProcedure="0">#REF!</definedName>
    <definedName name="dp" hidden="0" function="0" vbProcedure="0">#REF!</definedName>
    <definedName name="DPS_Curr_Yr" hidden="0" function="0" vbProcedure="0">#REF!</definedName>
    <definedName name="DPS_Lst_Yr" hidden="0" function="0" vbProcedure="0">#REF!</definedName>
    <definedName name="DPS_Next_Yr" hidden="0" function="0" vbProcedure="0">#REF!</definedName>
    <definedName name="Draft" hidden="0" function="0" vbProcedure="0">[27]Introduction!$E$7</definedName>
    <definedName name="Drawdowns" hidden="0" function="0" vbProcedure="0">#REF!</definedName>
    <definedName name="DS" hidden="0" function="0" vbProcedure="0">#REF!</definedName>
    <definedName name="dsd" hidden="0" function="0" vbProcedure="0">#REF!</definedName>
    <definedName name="dtd" hidden="0" function="0" vbProcedure="0">#REF!</definedName>
    <definedName name="E" hidden="0" function="0" vbProcedure="0">[12]Formats!$Y$9</definedName>
    <definedName name="E1E" hidden="0" function="0" vbProcedure="0">#REF!</definedName>
    <definedName name="E2E" hidden="0" function="0" vbProcedure="0">#REF!,#REF!,#REF!</definedName>
    <definedName name="E3E" hidden="0" function="0" vbProcedure="0">#REF!,#REF!,#REF!</definedName>
    <definedName name="E4E" hidden="0" function="0" vbProcedure="0">#REF!,#REF!,#REF!</definedName>
    <definedName name="E5E" hidden="0" function="0" vbProcedure="0">#REF!,#REF!,#REF!</definedName>
    <definedName name="eaa" hidden="0" function="0" vbProcedure="0">#REF!</definedName>
    <definedName name="Each_Installment" hidden="0" function="0" vbProcedure="0">#REF!</definedName>
    <definedName name="eap" hidden="0" function="0" vbProcedure="0">#REF!</definedName>
    <definedName name="EarnChk" hidden="0" function="0" vbProcedure="0">[12]Profile!$L$19:$AE$19</definedName>
    <definedName name="Earnings" hidden="0" function="0" vbProcedure="0">[10]Earning_Assum!$A$4609</definedName>
    <definedName name="eat" hidden="0" function="0" vbProcedure="0">#REF!</definedName>
    <definedName name="EBDT" hidden="0" function="0" vbProcedure="0">[12]Formats!$K$27:$AE$27</definedName>
    <definedName name="EBIT" hidden="0" function="0" vbProcedure="0">#REF!</definedName>
    <definedName name="EBITDA" hidden="0" function="0" vbProcedure="0">[12]Formats!$K$24:$AE$24</definedName>
    <definedName name="EDvTax" hidden="0" function="0" vbProcedure="0">[12]Input!$K$139:$AE$139</definedName>
    <definedName name="EEE" hidden="0" function="0" vbProcedure="0">[10]Earning_Assum!$A$35329</definedName>
    <definedName name="Effective_cost" hidden="0" function="0" vbProcedure="0">#REF!</definedName>
    <definedName name="Effective_Cost_with_witholding" hidden="0" function="0" vbProcedure="0">#REF!</definedName>
    <definedName name="Effective_Spread" hidden="0" function="0" vbProcedure="0">#REF!</definedName>
    <definedName name="Effective_Spread_without_witholding" hidden="0" function="0" vbProcedure="0">#REF!</definedName>
    <definedName name="EffEqShAd" hidden="0" function="0" vbProcedure="0">[12]Capital!$K$52:$AE$52</definedName>
    <definedName name="Employees" hidden="0" function="0" vbProcedure="0">#REF!</definedName>
    <definedName name="EnEsMode" hidden="0" function="0" vbProcedure="0">[12]Profile!$K$9</definedName>
    <definedName name="enp" hidden="0" function="0" vbProcedure="0">#REF!</definedName>
    <definedName name="EnYrRng" hidden="0" function="0" vbProcedure="0">[12]Profile!$L$11:$AE$11</definedName>
    <definedName name="epa" hidden="0" function="0" vbProcedure="0">#REF!</definedName>
    <definedName name="epc" hidden="0" function="0" vbProcedure="0">#REF!</definedName>
    <definedName name="EPS_Curr_Qtr" hidden="0" function="0" vbProcedure="0">#REF!</definedName>
    <definedName name="EPS_Curr_Yr" hidden="0" function="0" vbProcedure="0">#REF!</definedName>
    <definedName name="EPS_Growth_Rate" hidden="0" function="0" vbProcedure="0">#REF!</definedName>
    <definedName name="EPS_Lst_Yr" hidden="0" function="0" vbProcedure="0">#REF!</definedName>
    <definedName name="EPS_Next_Yr" hidden="0" function="0" vbProcedure="0">#REF!</definedName>
    <definedName name="EPS_Qtr_Date" hidden="0" function="0" vbProcedure="0">#REF!</definedName>
    <definedName name="epw" hidden="0" function="0" vbProcedure="0">#REF!</definedName>
    <definedName name="epx" hidden="0" function="0" vbProcedure="0">#REF!</definedName>
    <definedName name="EqDiv" hidden="0" function="0" vbProcedure="0">[12]Input!$K$136:$AE$136</definedName>
    <definedName name="EqMult" hidden="0" function="0" vbProcedure="0">[12]Capital!$K$18:$AE$18</definedName>
    <definedName name="Equity" hidden="0" function="0" vbProcedure="0">[11]bs_related!$A$11</definedName>
    <definedName name="Equity_Del_Item" hidden="0" function="0" vbProcedure="0">[29]!Equity_Del_Item</definedName>
    <definedName name="Equity_Ins_Item" hidden="0" function="0" vbProcedure="0">[29]!Equity_Ins_Item</definedName>
    <definedName name="Equity_Ticker" hidden="0" function="0" vbProcedure="0">#REF!</definedName>
    <definedName name="er" hidden="0" function="0" vbProcedure="0">#REF!</definedName>
    <definedName name="EstInt" hidden="0" function="0" vbProcedure="0">[12]Debt!$K$245:$AE$245</definedName>
    <definedName name="EstRef" hidden="0" function="0" vbProcedure="0">[12]Profile!$K$13:$AE$13</definedName>
    <definedName name="EsYrRng" hidden="0" function="0" vbProcedure="0">[12]Profile!$L$12:$AE$12</definedName>
    <definedName name="EVA" hidden="0" function="0" vbProcedure="0">[12]Formats!$K$175:$AE$175</definedName>
    <definedName name="Exc" hidden="0" function="0" vbProcedure="0">[12]Input!$K$303:$AE$303</definedName>
    <definedName name="Excel_BuiltIn_Database" hidden="0" function="0" vbProcedure="0">[2]Pulses!$A$1:$S$311</definedName>
    <definedName name="Excel_BuiltIn_Database_0" hidden="0" function="0" vbProcedure="0">#REF!</definedName>
    <definedName name="Excel_BuiltIn_Database_1" hidden="0" function="0" vbProcedure="0">#REF!</definedName>
    <definedName name="Excel_BuiltIn_Database_4" hidden="0" function="0" vbProcedure="0">[6]Pulses!$A$1:$S$311</definedName>
    <definedName name="Excel_BuiltIn_Database_5" hidden="0" function="0" vbProcedure="0">[6]Pulses!$A$1:$S$311</definedName>
    <definedName name="Excel_BuiltIn_Database_6" hidden="0" function="0" vbProcedure="0">#REF!</definedName>
    <definedName name="Excel_BuiltIn_Recorder" hidden="0" function="0" vbProcedure="0">[16]Macro1!$A$1:$A$1048576</definedName>
    <definedName name="ExchangeRates" hidden="0" function="0" vbProcedure="0">#REF!</definedName>
    <definedName name="excise" hidden="0" function="0" vbProcedure="0">[20]excise!$A$1:$G$7</definedName>
    <definedName name="exc_assn" hidden="0" function="0" vbProcedure="0">'[30]Inc Mod cigs'!$A$1:$P$16</definedName>
    <definedName name="exc_rate" hidden="0" function="0" vbProcedure="0">#REF!</definedName>
    <definedName name="exc_Rsmn" hidden="0" function="0" vbProcedure="0">#REF!</definedName>
    <definedName name="exec_board" hidden="0" function="0" vbProcedure="0">#REF!</definedName>
    <definedName name="ExItem" hidden="0" function="0" vbProcedure="0">[12]Input!$K$131:$AE$131</definedName>
    <definedName name="ExpAdmDmy" hidden="0" function="0" vbProcedure="0">[12]Input!$A$546:$XFD$546</definedName>
    <definedName name="ExpensesCap" hidden="0" function="0" vbProcedure="0">[12]Input!$K$558:$AE$558</definedName>
    <definedName name="ExpMfgDmy" hidden="0" function="0" vbProcedure="0">[12]Input!$A$496:$XFD$499</definedName>
    <definedName name="Export" hidden="0" function="0" vbProcedure="0">#REF!</definedName>
    <definedName name="ExpPerDmy" hidden="0" function="0" vbProcedure="0">[12]Input!$A$530:$XFD$530</definedName>
    <definedName name="ExpPr" hidden="0" function="0" vbProcedure="0">[12]Input!$K$310:$AE$310</definedName>
    <definedName name="ExpSaleDmy" hidden="0" function="0" vbProcedure="0">[12]Input!$A$514:$XFD$514</definedName>
    <definedName name="ext" hidden="0" function="0" vbProcedure="0">#REF!</definedName>
    <definedName name="FaceVal" hidden="0" function="0" vbProcedure="0">[12]Profile!$K$15:$AE$15</definedName>
    <definedName name="Factor" hidden="0" function="0" vbProcedure="0">#REF!</definedName>
    <definedName name="FAIncr" hidden="0" function="0" vbProcedure="0">[12]CapEx!$K$32:$AE$32</definedName>
    <definedName name="FAMERangeDJ_BALAL28" hidden="0" function="0" vbProcedure="0">[16]EVA1!$A$1</definedName>
    <definedName name="FAMERangeDJ_BALAM28" hidden="0" function="0" vbProcedure="0">[16]EVA1!$AF$1</definedName>
    <definedName name="FAMERangeDJ_BALAN28" hidden="0" function="0" vbProcedure="0">[16]EVA1!$A$7937</definedName>
    <definedName name="FAMERangeGCI_BALD62" hidden="0" function="0" vbProcedure="0">[16]EVA1!$A$32</definedName>
    <definedName name="FAMERangeGCI_BALD63" hidden="0" function="0" vbProcedure="0">[16]EVA1!$A$1</definedName>
    <definedName name="FAMERangeKRI_BALAL99" hidden="0" function="0" vbProcedure="0">[16]EVA1!$U$93</definedName>
    <definedName name="FAMERangeKRI_BALAM99" hidden="0" function="0" vbProcedure="0">[16]EVA1!$V$93</definedName>
    <definedName name="FAMERangeKRI_BALAN99" hidden="0" function="0" vbProcedure="0">[16]EVA1!$W$93</definedName>
    <definedName name="FARedc" hidden="0" function="0" vbProcedure="0">[12]CapEx!$K$43:$AE$43</definedName>
    <definedName name="FASer" hidden="0" function="0" vbProcedure="0">[12]Profile!$BX$5:$BX$12</definedName>
    <definedName name="fcf" hidden="0" function="0" vbProcedure="0">#REF!</definedName>
    <definedName name="FD" hidden="0" function="0" vbProcedure="0">[12]Debt!$K$143:$AE$143</definedName>
    <definedName name="FDafan" hidden="0" function="0" vbProcedure="0">#REF!</definedName>
    <definedName name="FDEPS" hidden="0" function="0" vbProcedure="0">[12]Capital!$K$11:$AE$11</definedName>
    <definedName name="FDEqSh" hidden="0" function="0" vbProcedure="0">[12]Capital!$K$10:$AE$10</definedName>
    <definedName name="FDFumigation" hidden="0" function="0" vbProcedure="0">#REF!</definedName>
    <definedName name="FDtemp" hidden="0" function="0" vbProcedure="0">#REF!</definedName>
    <definedName name="fdvfan" hidden="0" function="0" vbProcedure="0">#REF!</definedName>
    <definedName name="ffg" hidden="0" function="0" vbProcedure="0">#REF!</definedName>
    <definedName name="fg" hidden="0" function="0" vbProcedure="0">[11]fg!$A$1:$AL$47</definedName>
    <definedName name="FinancialActivities" hidden="0" function="0" vbProcedure="0">#REF!</definedName>
    <definedName name="Financials" hidden="0" function="0" vbProcedure="0">#REF!</definedName>
    <definedName name="FinInc" hidden="0" function="0" vbProcedure="0">[12]Input!$K$125:$AE$125</definedName>
    <definedName name="FinInd" hidden="0" function="0" vbProcedure="0">[12]Input!$AC$127</definedName>
    <definedName name="FirstYear" hidden="0" function="0" vbProcedure="0">[27]Introduction!$E$14</definedName>
    <definedName name="FixExp" hidden="0" function="0" vbProcedure="0">[12]Formats!$K$141:$AE$141</definedName>
    <definedName name="Flag1" hidden="0" function="0" vbProcedure="0">[10]Earning_Assum!$A$35841</definedName>
    <definedName name="fninc" hidden="0" function="0" vbProcedure="0">[12]Input!$AA$449</definedName>
    <definedName name="FORMIII_COM" hidden="0" function="0" vbProcedure="0">'[32]EXIS-COMBINED'!$A$1</definedName>
    <definedName name="formii_com" hidden="0" function="0" vbProcedure="0">'[32]EXIS-COMBINED'!$A$6657</definedName>
    <definedName name="FORMIV_COM" hidden="0" function="0" vbProcedure="0">'[32]EXIS-COMBINED'!$A$1</definedName>
    <definedName name="FORMVI_COM" hidden="0" function="0" vbProcedure="0">'[32]EXIS-COMBINED'!$A$1</definedName>
    <definedName name="FORMV_COM" hidden="0" function="0" vbProcedure="0">'[32]EXIS-COMBINED'!$A$1</definedName>
    <definedName name="FreeFloat" hidden="0" function="0" vbProcedure="0">#REF!</definedName>
    <definedName name="front_page" hidden="0" function="0" vbProcedure="0">[13]fp!$B$11:$R$33</definedName>
    <definedName name="FSAKW" hidden="0" function="0" vbProcedure="0">#REF!</definedName>
    <definedName name="FSOne" hidden="0" function="0" vbProcedure="0">#REF!</definedName>
    <definedName name="FSTwo" hidden="0" function="0" vbProcedure="0">#REF!</definedName>
    <definedName name="FullyDilutedYearEndEPS" hidden="0" function="0" vbProcedure="0">#REF!</definedName>
    <definedName name="FullyDilutedYearEndShares" hidden="0" function="0" vbProcedure="0">#REF!</definedName>
    <definedName name="FumigationKW" hidden="0" function="0" vbProcedure="0">#REF!</definedName>
    <definedName name="fv" hidden="0" function="0" vbProcedure="0">#REF!</definedName>
    <definedName name="fxa" hidden="0" function="0" vbProcedure="0">#REF!</definedName>
    <definedName name="fxe" hidden="0" function="0" vbProcedure="0">#REF!</definedName>
    <definedName name="FY" hidden="0" function="0" vbProcedure="0">[33]PBDIT_Char!$W$4</definedName>
    <definedName name="FY1991_" hidden="0" function="0" vbProcedure="0">#REF!</definedName>
    <definedName name="FY1992_" hidden="0" function="0" vbProcedure="0">#REF!</definedName>
    <definedName name="FY1993_" hidden="0" function="0" vbProcedure="0">#REF!</definedName>
    <definedName name="FY1994_" hidden="0" function="0" vbProcedure="0">#REF!</definedName>
    <definedName name="FY1995_" hidden="0" function="0" vbProcedure="0">#REF!</definedName>
    <definedName name="FY1996_" hidden="0" function="0" vbProcedure="0">#REF!</definedName>
    <definedName name="FY1997_" hidden="0" function="0" vbProcedure="0">#REF!</definedName>
    <definedName name="FY1998_" hidden="0" function="0" vbProcedure="0">#REF!</definedName>
    <definedName name="FY1999_" hidden="0" function="0" vbProcedure="0">#REF!</definedName>
    <definedName name="FY2000_" hidden="0" function="0" vbProcedure="0">#REF!</definedName>
    <definedName name="FY2001_" hidden="0" function="0" vbProcedure="0">#REF!</definedName>
    <definedName name="FY2002_" hidden="0" function="0" vbProcedure="0">#REF!</definedName>
    <definedName name="FY2003_" hidden="0" function="0" vbProcedure="0">#REF!</definedName>
    <definedName name="FY2004_" hidden="0" function="0" vbProcedure="0">#REF!</definedName>
    <definedName name="FY2005_" hidden="0" function="0" vbProcedure="0">#REF!</definedName>
    <definedName name="FYEND" hidden="0" function="0" vbProcedure="0">#REF!</definedName>
    <definedName name="FYENDA" hidden="0" function="0" vbProcedure="0">#REF!</definedName>
    <definedName name="F_AFLCFM1" hidden="0" function="0" vbProcedure="0">#REF!</definedName>
    <definedName name="F_AFLCFM2" hidden="0" function="0" vbProcedure="0">#REF!</definedName>
    <definedName name="F_AFLPEM3" hidden="0" function="0" vbProcedure="0">#REF!</definedName>
    <definedName name="F_AFLPEM4" hidden="0" function="0" vbProcedure="0">#REF!</definedName>
    <definedName name="F_AFLPEMb" hidden="0" function="0" vbProcedure="0">#REF!</definedName>
    <definedName name="F_AFLSD1" hidden="0" function="0" vbProcedure="0">#REF!</definedName>
    <definedName name="F_AFLSD2" hidden="0" function="0" vbProcedure="0">#REF!</definedName>
    <definedName name="F_Book_value_per_share" hidden="0" function="0" vbProcedure="0">'[31]Calculation (2)'!$A$2305</definedName>
    <definedName name="g" hidden="0" function="0" vbProcedure="0">#REF!</definedName>
    <definedName name="GDRParity" hidden="0" function="0" vbProcedure="0">#REF!</definedName>
    <definedName name="GDRPriceRs" hidden="0" function="0" vbProcedure="0">#REF!</definedName>
    <definedName name="GDRPriceUSD" hidden="0" function="0" vbProcedure="0">#REF!</definedName>
    <definedName name="GDRRsPrice" hidden="0" function="0" vbProcedure="0">#REF!</definedName>
    <definedName name="geog" hidden="0" function="0" vbProcedure="0">#REF!</definedName>
    <definedName name="geogsp" hidden="0" function="0" vbProcedure="0">"Chart 2"</definedName>
    <definedName name="GI" hidden="0" function="0" vbProcedure="0">[12]Formats!$K$7:$AE$7</definedName>
    <definedName name="GrossProfit" hidden="0" function="0" vbProcedure="0">#REF!</definedName>
    <definedName name="Grossrevenue" hidden="0" function="0" vbProcedure="0">[4]Old!$D$15:$O$15</definedName>
    <definedName name="growth_period" hidden="0" function="0" vbProcedure="0">#REF!</definedName>
    <definedName name="GrPbtIt" hidden="0" function="0" vbProcedure="0">[12]Tax!$K$33:$AE$33</definedName>
    <definedName name="GS" hidden="0" function="0" vbProcedure="0">[12]Input!$K$299:$AE$299</definedName>
    <definedName name="H199RESULT" hidden="0" function="0" vbProcedure="0">#REF!</definedName>
    <definedName name="H1Rec" hidden="0" function="0" vbProcedure="0">#REF!</definedName>
    <definedName name="H1_1" hidden="0" function="0" vbProcedure="0">#REF!</definedName>
    <definedName name="H1_2" hidden="0" function="0" vbProcedure="0">#REF!,#REF!,#REF!</definedName>
    <definedName name="H2Tra" hidden="0" function="0" vbProcedure="0">#REF!</definedName>
    <definedName name="H2_1" hidden="0" function="0" vbProcedure="0">#REF!,#REF!,#REF!</definedName>
    <definedName name="H2_2" hidden="0" function="0" vbProcedure="0">#REF!,#REF!,#REF!</definedName>
    <definedName name="H4recl" hidden="0" function="0" vbProcedure="0">#REF!</definedName>
    <definedName name="h4swe" hidden="0" function="0" vbProcedure="0">#REF!</definedName>
    <definedName name="H5Bag" hidden="0" function="0" vbProcedure="0">#REF!</definedName>
    <definedName name="H6Shi" hidden="0" function="0" vbProcedure="0">#REF!</definedName>
    <definedName name="H7cir" hidden="0" function="0" vbProcedure="0">#REF!</definedName>
    <definedName name="half" hidden="0" function="0" vbProcedure="0">#REF!</definedName>
    <definedName name="half_yearly" hidden="0" function="0" vbProcedure="0">'[11]res 2002'!$A$4:$M$56</definedName>
    <definedName name="HE1_0" hidden="0" function="0" vbProcedure="0">#REF!</definedName>
    <definedName name="HE2_0" hidden="0" function="0" vbProcedure="0">#REF!,#REF!,#REF!</definedName>
    <definedName name="HE3_0" hidden="0" function="0" vbProcedure="0">#REF!,#REF!,#REF!</definedName>
    <definedName name="HE4_0" hidden="0" function="0" vbProcedure="0">#REF!,#REF!,#REF!</definedName>
    <definedName name="HE5_0" hidden="0" function="0" vbProcedure="0">#REF!,#REF!,#REF!</definedName>
    <definedName name="Headers" hidden="0" function="0" vbProcedure="0">#REF!</definedName>
    <definedName name="hfhfh" hidden="0" function="0" vbProcedure="0">[19]RBS!$B$19</definedName>
    <definedName name="hh" hidden="0" function="0" vbProcedure="0">#REF!</definedName>
    <definedName name="hhh" hidden="0" function="0" vbProcedure="0">[10]Earning_Assum!$A$7937</definedName>
    <definedName name="hhhhh" hidden="0" function="0" vbProcedure="0">[10]Earning_Assum!$A$1</definedName>
    <definedName name="hhhhhhhhhh" hidden="0" function="0" vbProcedure="0">[10]Earning_Assum!$A$1</definedName>
    <definedName name="hhhhhhhhhhhhhhh" hidden="0" function="0" vbProcedure="0">[10]Earning_Assum!$A$1</definedName>
    <definedName name="hhhhhhhhhhhhhhhhhhhh" hidden="0" function="0" vbProcedure="0">[19]RBS!$B$22</definedName>
    <definedName name="hhhhhhhhhhhhhhhhhhhhhhh" hidden="0" function="0" vbProcedure="0">[10]Earning_Assum!$A$257</definedName>
    <definedName name="HighLow" hidden="0" function="0" vbProcedure="0">#REF!</definedName>
    <definedName name="hj" hidden="0" function="0" vbProcedure="0">#REF!,#REF!,#REF!</definedName>
    <definedName name="hjggj" hidden="0" function="0" vbProcedure="0">#REF!,#REF!,#REF!</definedName>
    <definedName name="HL1_0" hidden="0" function="0" vbProcedure="0">#REF!</definedName>
    <definedName name="HL1_1" hidden="0" function="0" vbProcedure="0">#REF!</definedName>
    <definedName name="HL1_2" hidden="0" function="0" vbProcedure="0">#REF!,#REF!</definedName>
    <definedName name="HL2_0" hidden="0" function="0" vbProcedure="0">#REF!,#REF!,#REF!</definedName>
    <definedName name="HL2_1" hidden="0" function="0" vbProcedure="0">#REF!,#REF!</definedName>
    <definedName name="HL2_2" hidden="0" function="0" vbProcedure="0">#REF!,#REF!</definedName>
    <definedName name="HL3_0" hidden="0" function="0" vbProcedure="0">#REF!,#REF!,#REF!</definedName>
    <definedName name="HL4_0" hidden="0" function="0" vbProcedure="0">#REF!,#REF!,#REF!</definedName>
    <definedName name="HL5_0" hidden="0" function="0" vbProcedure="0">#REF!,#REF!,#REF!</definedName>
    <definedName name="HLCL" hidden="0" function="0" vbProcedure="0">#REF!</definedName>
    <definedName name="hll_pond" hidden="0" function="0" vbProcedure="0">#REF!</definedName>
    <definedName name="hour1" hidden="0" function="0" vbProcedure="0">#REF!</definedName>
    <definedName name="hour10" hidden="0" function="0" vbProcedure="0">#REF!</definedName>
    <definedName name="hour11" hidden="0" function="0" vbProcedure="0">#REF!</definedName>
    <definedName name="Hour12" hidden="0" function="0" vbProcedure="0">#REF!</definedName>
    <definedName name="Hour13" hidden="0" function="0" vbProcedure="0">#REF!</definedName>
    <definedName name="hour14" hidden="0" function="0" vbProcedure="0">#REF!</definedName>
    <definedName name="Hour15" hidden="0" function="0" vbProcedure="0">#REF!</definedName>
    <definedName name="hour2" hidden="0" function="0" vbProcedure="0">#REF!</definedName>
    <definedName name="hour3" hidden="0" function="0" vbProcedure="0">#REF!</definedName>
    <definedName name="hour4" hidden="0" function="0" vbProcedure="0">#REF!</definedName>
    <definedName name="hour5" hidden="0" function="0" vbProcedure="0">#REF!</definedName>
    <definedName name="Hour6" hidden="0" function="0" vbProcedure="0">#REF!</definedName>
    <definedName name="hour7" hidden="0" function="0" vbProcedure="0">#REF!</definedName>
    <definedName name="Hour8" hidden="0" function="0" vbProcedure="0">#REF!</definedName>
    <definedName name="hour9" hidden="0" function="0" vbProcedure="0">#REF!</definedName>
    <definedName name="hours14" hidden="0" function="0" vbProcedure="0">#REF!</definedName>
    <definedName name="house_groups" hidden="0" function="0" vbProcedure="0">[20]demo!$A$1:$K$11</definedName>
    <definedName name="ian" hidden="0" function="0" vbProcedure="0">#REF!</definedName>
    <definedName name="ibc" hidden="0" function="0" vbProcedure="0">#REF!</definedName>
    <definedName name="ibf" hidden="0" function="0" vbProcedure="0">#REF!</definedName>
    <definedName name="ICD" hidden="0" function="0" vbProcedure="0">[12]Debt!$K$146:$AE$146</definedName>
    <definedName name="ICDInv" hidden="0" function="0" vbProcedure="0">[12]Input!$K$54:$AE$54</definedName>
    <definedName name="ict" hidden="0" function="0" vbProcedure="0">#REF!</definedName>
    <definedName name="icu" hidden="0" function="0" vbProcedure="0">#REF!</definedName>
    <definedName name="ida" hidden="0" function="0" vbProcedure="0">#REF!</definedName>
    <definedName name="iex" hidden="0" function="0" vbProcedure="0">#REF!</definedName>
    <definedName name="ifd" hidden="0" function="0" vbProcedure="0">#REF!</definedName>
    <definedName name="iff" hidden="0" function="0" vbProcedure="0">#REF!</definedName>
    <definedName name="ifl" hidden="0" function="0" vbProcedure="0">#REF!</definedName>
    <definedName name="ifn" hidden="0" function="0" vbProcedure="0">#REF!</definedName>
    <definedName name="ifo" hidden="0" function="0" vbProcedure="0">#REF!</definedName>
    <definedName name="ihd" hidden="0" function="0" vbProcedure="0">#REF!</definedName>
    <definedName name="ime" hidden="0" function="0" vbProcedure="0">#REF!</definedName>
    <definedName name="IncomeTax" hidden="0" function="0" vbProcedure="0">#REF!</definedName>
    <definedName name="IncomeTaxPaidOut" hidden="0" function="0" vbProcedure="0">#REF!</definedName>
    <definedName name="inc_model" hidden="0" function="0" vbProcedure="0">#REF!</definedName>
    <definedName name="IndexC" hidden="0" function="0" vbProcedure="0">#REF!</definedName>
    <definedName name="IndexCs" hidden="0" function="0" vbProcedure="0">#REF!</definedName>
    <definedName name="industry" hidden="0" function="0" vbProcedure="0">#REF!</definedName>
    <definedName name="inm" hidden="0" function="0" vbProcedure="0">#REF!</definedName>
    <definedName name="INR_per_USD" hidden="0" function="0" vbProcedure="0">#REF!</definedName>
    <definedName name="Installments_peryear" hidden="0" function="0" vbProcedure="0">#REF!</definedName>
    <definedName name="InstCap" hidden="0" function="0" vbProcedure="0">[12]Input!$K$148:$AE$148,[12]Input!$K$166:$AE$166,[12]Input!$K$184:$AE$184,[12]Input!$K$202:$AE$202,[12]Input!$K$220:$AE$220,[12]Input!$K$238:$AE$238,[12]Input!$K$256:$AE$256,[12]Input!$K$274:$AE$274</definedName>
    <definedName name="IntCap" hidden="0" function="0" vbProcedure="0">[12]Debt!$K$246:$AE$246</definedName>
    <definedName name="IntCost" hidden="0" function="0" vbProcedure="0">[12]Input!$K$130:$AE$130</definedName>
    <definedName name="IntDivTrf" hidden="0" function="0" vbProcedure="0">[12]Input!$K$559:$AE$559</definedName>
    <definedName name="Interest" hidden="0" function="0" vbProcedure="0">#REF!</definedName>
    <definedName name="InterestExpense" hidden="0" function="0" vbProcedure="0">#REF!</definedName>
    <definedName name="InterestIncome" hidden="0" function="0" vbProcedure="0">'[4]Operating Statistics'!$J$18:$R$18</definedName>
    <definedName name="Interests" hidden="0" function="0" vbProcedure="0">#REF!</definedName>
    <definedName name="Interestss" hidden="0" function="0" vbProcedure="0">[34]Key_Assume_Common!$D$8</definedName>
    <definedName name="Inv" hidden="0" function="0" vbProcedure="0">[12]Input!$K$58:$AE$58</definedName>
    <definedName name="InvChg" hidden="0" function="0" vbProcedure="0">[12]Input!$K$99:$AE$99</definedName>
    <definedName name="inventory" hidden="0" function="0" vbProcedure="0">[30]bs_related!$A$89</definedName>
    <definedName name="investment" hidden="0" function="0" vbProcedure="0">[11]bs_related!$A$78</definedName>
    <definedName name="Investments" hidden="0" function="0" vbProcedure="0">#REF!</definedName>
    <definedName name="Invt" hidden="0" function="0" vbProcedure="0">[12]Formats!$W$76</definedName>
    <definedName name="ip1_" hidden="0" function="0" vbProcedure="0">#REF!</definedName>
    <definedName name="ip2_" hidden="0" function="0" vbProcedure="0">#REF!</definedName>
    <definedName name="ip3_" hidden="0" function="0" vbProcedure="0">#REF!</definedName>
    <definedName name="ip4_" hidden="0" function="0" vbProcedure="0">#REF!</definedName>
    <definedName name="ip5_" hidden="0" function="0" vbProcedure="0">#REF!</definedName>
    <definedName name="ipr" hidden="0" function="0" vbProcedure="0">#REF!</definedName>
    <definedName name="ipu" hidden="0" function="0" vbProcedure="0">#REF!</definedName>
    <definedName name="ipv" hidden="0" function="0" vbProcedure="0">#REF!</definedName>
    <definedName name="irc" hidden="0" function="0" vbProcedure="0">#REF!</definedName>
    <definedName name="ire" hidden="0" function="0" vbProcedure="0">#REF!</definedName>
    <definedName name="irf" hidden="0" function="0" vbProcedure="0">#REF!</definedName>
    <definedName name="irg" hidden="0" function="0" vbProcedure="0">#REF!</definedName>
    <definedName name="irp" hidden="0" function="0" vbProcedure="0">#REF!</definedName>
    <definedName name="is1_" hidden="0" function="0" vbProcedure="0">#REF!</definedName>
    <definedName name="is2_" hidden="0" function="0" vbProcedure="0">#REF!</definedName>
    <definedName name="is3_" hidden="0" function="0" vbProcedure="0">#REF!</definedName>
    <definedName name="is4_" hidden="0" function="0" vbProcedure="0">#REF!</definedName>
    <definedName name="is5_" hidden="0" function="0" vbProcedure="0">#REF!</definedName>
    <definedName name="isb" hidden="0" function="0" vbProcedure="0">#REF!</definedName>
    <definedName name="isc" hidden="0" function="0" vbProcedure="0">#REF!</definedName>
    <definedName name="ise" hidden="0" function="0" vbProcedure="0">#REF!</definedName>
    <definedName name="isf" hidden="0" function="0" vbProcedure="0">#REF!</definedName>
    <definedName name="isi" hidden="0" function="0" vbProcedure="0">#REF!</definedName>
    <definedName name="isl" hidden="0" function="0" vbProcedure="0">#REF!</definedName>
    <definedName name="ist" hidden="0" function="0" vbProcedure="0">#REF!</definedName>
    <definedName name="ITAX" hidden="0" function="0" vbProcedure="0">#REF!</definedName>
    <definedName name="ITAXs" hidden="0" function="0" vbProcedure="0">#REF!</definedName>
    <definedName name="ITAXss" hidden="0" function="0" vbProcedure="0">[34]Key_Assume_Common!$D$11</definedName>
    <definedName name="ITDepr" hidden="0" function="0" vbProcedure="0">[12]Tax!$K$22:$AE$22</definedName>
    <definedName name="ITDepRt" hidden="0" function="0" vbProcedure="0">[12]Profile!$K$16:$AE$16</definedName>
    <definedName name="iva" hidden="0" function="0" vbProcedure="0">#REF!</definedName>
    <definedName name="Ivnt" hidden="0" function="0" vbProcedure="0">[12]Input!$K$63:$AE$63</definedName>
    <definedName name="IvntDays" hidden="0" function="0" vbProcedure="0">[12]Input!$K$64:$AE$64</definedName>
    <definedName name="janimpo" hidden="0" function="0" vbProcedure="0">#REF!</definedName>
    <definedName name="jkk" hidden="0" function="0" vbProcedure="0">[19]RBS!$F$15</definedName>
    <definedName name="kew" hidden="0" function="0" vbProcedure="0">#REF!</definedName>
    <definedName name="klll" hidden="0" function="0" vbProcedure="0">#REF!,#REF!,#REF!</definedName>
    <definedName name="L" hidden="0" function="0" vbProcedure="0">#REF!</definedName>
    <definedName name="L1L" hidden="0" function="0" vbProcedure="0">#REF!,#REF!</definedName>
    <definedName name="L2L" hidden="0" function="0" vbProcedure="0">#REF!,#REF!</definedName>
    <definedName name="L3L" hidden="0" function="0" vbProcedure="0">#REF!,#REF!</definedName>
    <definedName name="L4L" hidden="0" function="0" vbProcedure="0">#REF!,#REF!</definedName>
    <definedName name="L5L" hidden="0" function="0" vbProcedure="0">#REF!,#REF!</definedName>
    <definedName name="labor_annual_increase" hidden="0" function="0" vbProcedure="0">#REF!</definedName>
    <definedName name="Labour_cost_per__TEU" hidden="0" function="0" vbProcedure="0">#REF!</definedName>
    <definedName name="Last_Installment_Date" hidden="0" function="0" vbProcedure="0">#REF!</definedName>
    <definedName name="Lawyer_Fee" hidden="0" function="0" vbProcedure="0">#REF!</definedName>
    <definedName name="Layup_02\03" hidden="0" function="0" vbProcedure="0">[10]Earning_Assum!$A$2305</definedName>
    <definedName name="Layup_03\04" hidden="0" function="0" vbProcedure="0">[10]Earning_Assum!$J$2314</definedName>
    <definedName name="Layup_04\05" hidden="0" function="0" vbProcedure="0">[10]Earning_Assum!$J$2314</definedName>
    <definedName name="LeaseAdj" hidden="0" function="0" vbProcedure="0">[12]Input!$J$2314</definedName>
    <definedName name="ll" hidden="0" function="0" vbProcedure="0">[19]RBS!$B$21</definedName>
    <definedName name="LLLL" hidden="0" function="0" vbProcedure="0">#REF!</definedName>
    <definedName name="Loan" hidden="0" function="0" vbProcedure="0">[12]Debt!$K$149:$AE$149</definedName>
    <definedName name="LongTermDebt" hidden="0" function="0" vbProcedure="0">[35]Financials!$J$146:$R$146</definedName>
    <definedName name="LTDebt" hidden="0" function="0" vbProcedure="0">[12]Debt!$K$139:$AE$139</definedName>
    <definedName name="LtDebtChg" hidden="0" function="0" vbProcedure="0">[12]Debt!$K$257:$AE$257</definedName>
    <definedName name="LtDebtDmy" hidden="0" function="0" vbProcedure="0">[12]Debt!$A$46:$XFD$46,[12]Debt!$A$92:$XFD$92,[12]Debt!$A$138:$XFD$138,[12]Debt!$A$187:$XFD$187,[12]Debt!$A$231:$XFD$231</definedName>
    <definedName name="LtDebtInt" hidden="0" function="0" vbProcedure="0">[12]Profile!$BJ$5:$BJ$35</definedName>
    <definedName name="LTDebtSer" hidden="0" function="0" vbProcedure="0">[12]Profile!$BI$5:$BI$35</definedName>
    <definedName name="LtInt" hidden="0" function="0" vbProcedure="0">[12]Debt!$K$232:$AE$232</definedName>
    <definedName name="L_and_A" hidden="0" function="0" vbProcedure="0">[11]bs_related!$A$99</definedName>
    <definedName name="macre1" hidden="0" function="0" vbProcedure="0">NA()</definedName>
    <definedName name="mastertemplatelookup" hidden="0" function="0" vbProcedure="0">[36]Master!$A$2:$BA$607</definedName>
    <definedName name="MAT" hidden="0" function="0" vbProcedure="0">#REF!</definedName>
    <definedName name="MATs" hidden="0" function="0" vbProcedure="0">#REF!</definedName>
    <definedName name="MATss" hidden="0" function="0" vbProcedure="0">[34]Key_Assume_Common!$D$12</definedName>
    <definedName name="Maximum_loan_available" hidden="0" function="0" vbProcedure="0">#REF!</definedName>
    <definedName name="mc_ms" hidden="0" function="0" vbProcedure="0">#REF!</definedName>
    <definedName name="mergers" hidden="0" function="0" vbProcedure="0">[37]mna!$A$3:$B$22</definedName>
    <definedName name="MfgExp" hidden="0" function="0" vbProcedure="0">[12]Input!$K$500:$AE$500</definedName>
    <definedName name="MfgExpSer" hidden="0" function="0" vbProcedure="0">[12]Profile!$AU$5:$AU$12</definedName>
    <definedName name="Mico" hidden="0" function="0" vbProcedure="0">[38]Mico!$A$2817</definedName>
    <definedName name="MIMPORT" hidden="0" function="0" vbProcedure="0">#REF!</definedName>
    <definedName name="MinGraph" hidden="0" function="0" vbProcedure="0">#REF!</definedName>
    <definedName name="mkt_strength" hidden="0" function="0" vbProcedure="0">#REF!</definedName>
    <definedName name="mmnote" hidden="0" function="0" vbProcedure="0">#REF!</definedName>
    <definedName name="mn" hidden="0" function="0" vbProcedure="0">1000000</definedName>
    <definedName name="ModeName" hidden="0" function="0" vbProcedure="0">[12]Profile!$K$8</definedName>
    <definedName name="Months" hidden="0" function="0" vbProcedure="0">#REF!</definedName>
    <definedName name="MrgnTax" hidden="0" function="0" vbProcedure="0">[12]Profile!$A$3585</definedName>
    <definedName name="nas" hidden="0" function="0" vbProcedure="0">#REF!</definedName>
    <definedName name="NationalMember" hidden="0" function="0" vbProcedure="0">#REF!</definedName>
    <definedName name="nbd" hidden="0" function="0" vbProcedure="0">#REF!</definedName>
    <definedName name="nbn" hidden="0" function="0" vbProcedure="0">#REF!</definedName>
    <definedName name="NetCA" hidden="0" function="0" vbProcedure="0">[12]Input!$K$95:$AE$95</definedName>
    <definedName name="NetCAChg" hidden="0" function="0" vbProcedure="0">[12]Input!$K$100:$AE$100</definedName>
    <definedName name="NetCashGenerated" hidden="0" function="0" vbProcedure="0">#REF!</definedName>
    <definedName name="NetDebt" hidden="0" function="0" vbProcedure="0">[12]Formats!$K$115:$AE$115</definedName>
    <definedName name="NetDebtChg" hidden="0" function="0" vbProcedure="0">[12]Formats!$K$109:$AE$109</definedName>
    <definedName name="NetDebtToEquity" hidden="0" function="0" vbProcedure="0">#REF!</definedName>
    <definedName name="NetEq" hidden="0" function="0" vbProcedure="0">[12]Input!$K$29:$AE$29</definedName>
    <definedName name="NetEqChg" hidden="0" function="0" vbProcedure="0">[12]Input!$K$45:$AE$45</definedName>
    <definedName name="NetEstInt" hidden="0" function="0" vbProcedure="0">[12]Debt!$K$247:$AE$247</definedName>
    <definedName name="NetFixedAssets" hidden="0" function="0" vbProcedure="0">#REF!</definedName>
    <definedName name="NetInterest" hidden="0" function="0" vbProcedure="0">InterestIncome-InterestExpense</definedName>
    <definedName name="NetProfitMargin" hidden="0" function="0" vbProcedure="0">#REF!</definedName>
    <definedName name="NetRsrv" hidden="0" function="0" vbProcedure="0">[12]Input!$K$41:$AE$41</definedName>
    <definedName name="NFA" hidden="0" function="0" vbProcedure="0">[12]CapEx!$K$100:$AE$100</definedName>
    <definedName name="NFAChg" hidden="0" function="0" vbProcedure="0">[12]CapEx!$K$111:$AE$111</definedName>
    <definedName name="NI" hidden="0" function="0" vbProcedure="0">[12]Formats!$K$11:$AE$11</definedName>
    <definedName name="NRItem" hidden="0" function="0" vbProcedure="0">[12]Input!$K$132:$AE$132</definedName>
    <definedName name="NS" hidden="0" function="0" vbProcedure="0">[12]Input!$K$307:$AE$307</definedName>
    <definedName name="NtnlPr" hidden="0" function="0" vbProcedure="0">[12]Capital!$K$77:$AE$77</definedName>
    <definedName name="Num_of_plots" hidden="0" function="0" vbProcedure="0">#REF!</definedName>
    <definedName name="NW" hidden="0" function="0" vbProcedure="0">[12]Formats!$K$63:$AE$63</definedName>
    <definedName name="OCA" hidden="0" function="0" vbProcedure="0">[30]bs_related!$A$109</definedName>
    <definedName name="OI" hidden="0" function="0" vbProcedure="0">#REF!</definedName>
    <definedName name="OnePager" hidden="0" function="0" vbProcedure="0">#REF!</definedName>
    <definedName name="OpEqSh" hidden="0" function="0" vbProcedure="0">[12]Capital!$K$15:$AE$15</definedName>
    <definedName name="OperatingCashflow" hidden="0" function="0" vbProcedure="0">[4]Introduction!$A$3585</definedName>
    <definedName name="OperatingProfit" hidden="0" function="0" vbProcedure="0">#REF!</definedName>
    <definedName name="OperatingProfitMargin" hidden="0" function="0" vbProcedure="0">#REF!</definedName>
    <definedName name="OperatingStatistics" hidden="0" function="0" vbProcedure="0">[4]Old!$A$1:$P$66</definedName>
    <definedName name="OpIncDmy" hidden="0" function="0" vbProcedure="0">[12]Input!$A$114:$XFD$114</definedName>
    <definedName name="OpIncSer" hidden="0" function="0" vbProcedure="0">[12]Profile!$BT$5:$BT$12</definedName>
    <definedName name="ops" hidden="0" function="0" vbProcedure="0">#REF!+#REF!</definedName>
    <definedName name="opss" hidden="0" function="0" vbProcedure="0">[40]Key_Base!$D$20+[40]Key_Base!$E$20</definedName>
    <definedName name="opsss" hidden="0" function="0" vbProcedure="0">[25]Key_Base!$D$20+[25]Key_Base!$E$20</definedName>
    <definedName name="OthCFItem" hidden="0" function="0" vbProcedure="0">[12]Input!$K$566:$AE$566</definedName>
    <definedName name="OTHER" hidden="0" function="0" vbProcedure="0">#REF!</definedName>
    <definedName name="OtherIncome" hidden="0" function="0" vbProcedure="0">#REF!</definedName>
    <definedName name="OtherLTAssets" hidden="0" function="0" vbProcedure="0">#REF!</definedName>
    <definedName name="OtherLTLiabilities" hidden="0" function="0" vbProcedure="0">#REF!</definedName>
    <definedName name="others" hidden="0" function="0" vbProcedure="0">#REF!</definedName>
    <definedName name="other_inc" hidden="0" function="0" vbProcedure="0">#REF!</definedName>
    <definedName name="other_income" hidden="0" function="0" vbProcedure="0">[41]pl_related!$A$74</definedName>
    <definedName name="OthOpInc" hidden="0" function="0" vbProcedure="0">[12]Input!$K$115:$AE$115</definedName>
    <definedName name="OutputGrowthEstimates" hidden="0" function="0" vbProcedure="0">[4]Old!$A$29185</definedName>
    <definedName name="ownership" hidden="0" function="0" vbProcedure="0">#REF!</definedName>
    <definedName name="page1" hidden="0" function="0" vbProcedure="0">#REF!</definedName>
    <definedName name="page2" hidden="0" function="0" vbProcedure="0">#REF!</definedName>
    <definedName name="pai" hidden="0" function="0" vbProcedure="0">#REF!</definedName>
    <definedName name="pandl" hidden="0" function="0" vbProcedure="0">#REF!</definedName>
    <definedName name="ParValue" hidden="0" function="0" vbProcedure="0">#REF!</definedName>
    <definedName name="PAT" hidden="0" function="0" vbProcedure="0">[12]Formats!$K$34:$AE$34</definedName>
    <definedName name="PBT" hidden="0" function="0" vbProcedure="0">[12]Formats!$K$32:$AE$32</definedName>
    <definedName name="pco" hidden="0" function="0" vbProcedure="0">#REF!</definedName>
    <definedName name="pde" hidden="0" function="0" vbProcedure="0">#REF!</definedName>
    <definedName name="pdp" hidden="0" function="0" vbProcedure="0">#REF!</definedName>
    <definedName name="PDvTax" hidden="0" function="0" vbProcedure="0">[12]Input!$K$140:$AE$140</definedName>
    <definedName name="pe" hidden="0" function="0" vbProcedure="0">#REF!</definedName>
    <definedName name="peb" hidden="0" function="0" vbProcedure="0">#REF!</definedName>
    <definedName name="pebanddata" hidden="0" function="0" vbProcedure="0">#REF!</definedName>
    <definedName name="pei" hidden="0" function="0" vbProcedure="0">#REF!</definedName>
    <definedName name="PEMultiplesFirstyear" hidden="0" function="0" vbProcedure="0">#REF!</definedName>
    <definedName name="PEMultiplesLastyear" hidden="0" function="0" vbProcedure="0">#REF!</definedName>
    <definedName name="pereldata" hidden="0" function="0" vbProcedure="0">#REF!</definedName>
    <definedName name="per_capita" hidden="0" function="0" vbProcedure="0">[20]global!$A$1:$K$9</definedName>
    <definedName name="pet" hidden="0" function="0" vbProcedure="0">#REF!</definedName>
    <definedName name="pe_to_pop" hidden="0" function="0" vbProcedure="0">#REF!</definedName>
    <definedName name="pfx" hidden="0" function="0" vbProcedure="0">#REF!</definedName>
    <definedName name="pga" hidden="0" function="0" vbProcedure="0">#REF!</definedName>
    <definedName name="pgp" hidden="0" function="0" vbProcedure="0">#REF!</definedName>
    <definedName name="pie" hidden="0" function="0" vbProcedure="0">#REF!</definedName>
    <definedName name="pii" hidden="0" function="0" vbProcedure="0">#REF!</definedName>
    <definedName name="pin" hidden="0" function="0" vbProcedure="0">#REF!</definedName>
    <definedName name="PivotData" hidden="0" function="0" vbProcedure="0">OFFSET(#REF!,0,0,COUNTA(#REF!),COUNTA(#REF!))</definedName>
    <definedName name="PJCapex" hidden="0" function="0" vbProcedure="0">#REF!</definedName>
    <definedName name="PJInterestIncome" hidden="0" function="0" vbProcedure="0">#REF!</definedName>
    <definedName name="pjlongtermdebtchanges" hidden="0" function="0" vbProcedure="0">#REF!</definedName>
    <definedName name="pjlongterminterestexpense" hidden="0" function="0" vbProcedure="0">#REF!</definedName>
    <definedName name="pjnetcashflow" hidden="0" function="0" vbProcedure="0">#REF!</definedName>
    <definedName name="pjshorttermdebtchanges" hidden="0" function="0" vbProcedure="0">#REF!</definedName>
    <definedName name="pjshortterminterestexpense" hidden="0" function="0" vbProcedure="0">#REF!</definedName>
    <definedName name="PJYears" hidden="0" function="0" vbProcedure="0">#REF!</definedName>
    <definedName name="pl" hidden="0" function="0" vbProcedure="0">#REF!</definedName>
    <definedName name="pl_ganesh" hidden="0" function="0" vbProcedure="0">[11]main!$A$10:$J$42</definedName>
    <definedName name="pl_jb" hidden="0" function="0" vbProcedure="0">[13]acctmod!$A$1:$Y$40</definedName>
    <definedName name="pl_ratio_jb" hidden="0" function="0" vbProcedure="0">[15]acctmod!$A$138:$Y$157</definedName>
    <definedName name="pl_sski" hidden="0" function="0" vbProcedure="0">#REF!</definedName>
    <definedName name="pmi" hidden="0" function="0" vbProcedure="0">#REF!</definedName>
    <definedName name="pnp" hidden="0" function="0" vbProcedure="0">#REF!</definedName>
    <definedName name="poi" hidden="0" function="0" vbProcedure="0">#REF!</definedName>
    <definedName name="pop" hidden="0" function="0" vbProcedure="0">#REF!</definedName>
    <definedName name="pop_growth" hidden="0" function="0" vbProcedure="0">#REF!</definedName>
    <definedName name="ppr" hidden="0" function="0" vbProcedure="0">#REF!</definedName>
    <definedName name="ppt" hidden="0" function="0" vbProcedure="0">#REF!</definedName>
    <definedName name="PrDiv" hidden="0" function="0" vbProcedure="0">[12]Input!$K$137:$AE$137</definedName>
    <definedName name="pre" hidden="0" function="0" vbProcedure="0">#REF!</definedName>
    <definedName name="pres" hidden="0" function="0" vbProcedure="0">[40]Key_Base!$D$19+[40]Key_Base!$E$19</definedName>
    <definedName name="press" hidden="0" function="0" vbProcedure="0">[25]Key_Base!$D$19+[25]Key_Base!$E$19</definedName>
    <definedName name="PretaxProfit" hidden="0" function="0" vbProcedure="0">#REF!</definedName>
    <definedName name="PrfDmy" hidden="0" function="0" vbProcedure="0">[12]Input!$A$26:$XFD$26</definedName>
    <definedName name="PrfShSer" hidden="0" function="0" vbProcedure="0">[12]Profile!$BB$5:$BB$12</definedName>
    <definedName name="prg" hidden="0" function="0" vbProcedure="0">#REF!</definedName>
    <definedName name="pri" hidden="0" function="0" vbProcedure="0">#REF!</definedName>
    <definedName name="price" hidden="0" function="0" vbProcedure="0">#REF!</definedName>
    <definedName name="PriceChg1" hidden="0" function="0" vbProcedure="0">#REF!</definedName>
    <definedName name="PriceChg12" hidden="0" function="0" vbProcedure="0">#REF!</definedName>
    <definedName name="PriceChg3" hidden="0" function="0" vbProcedure="0">#REF!</definedName>
    <definedName name="priceh" hidden="0" function="0" vbProcedure="0">#REF!</definedName>
    <definedName name="PricesFYEnd" hidden="0" function="0" vbProcedure="0">#REF!</definedName>
    <definedName name="PricesIndexed" hidden="0" function="0" vbProcedure="0">#REF!</definedName>
    <definedName name="Print_Area_MI" hidden="0" function="0" vbProcedure="0">#REF!</definedName>
    <definedName name="PRINT_TITLES_MI" hidden="0" function="0" vbProcedure="0">#REF!</definedName>
    <definedName name="ProdDmy" hidden="0" function="0" vbProcedure="0">[12]Input!$A$273:$AI$290</definedName>
    <definedName name="Product" hidden="0" function="0" vbProcedure="0">[12]Profile!$AI$5:$AI$12</definedName>
    <definedName name="production" hidden="0" function="0" vbProcedure="0">#REF!</definedName>
    <definedName name="ProdUnit" hidden="0" function="0" vbProcedure="0">[12]Profile!$AJ$5:$AJ$12</definedName>
    <definedName name="profits" hidden="0" function="0" vbProcedure="0">[13]quant!$W$5:$Z$13</definedName>
    <definedName name="Project" hidden="0" function="0" vbProcedure="0">[27]Introduction!$E$5</definedName>
    <definedName name="PrsExp" hidden="0" function="0" vbProcedure="0">[12]Input!$K$531:$AE$531</definedName>
    <definedName name="PrsExpSer" hidden="0" function="0" vbProcedure="0">[12]Profile!$AW$5:$AW$12</definedName>
    <definedName name="PrsVar" hidden="0" function="0" vbProcedure="0">[12]Input!$K$537:$AE$537</definedName>
    <definedName name="PrTax" hidden="0" function="0" vbProcedure="0">[12]Profile!$K$17:$AE$17</definedName>
    <definedName name="pryear" hidden="0" function="0" vbProcedure="0">[12]Profile!$K$16:$AE$16</definedName>
    <definedName name="PrYears" hidden="0" function="0" vbProcedure="0">[12]Profile!$K$5:$AE$5</definedName>
    <definedName name="pse" hidden="0" function="0" vbProcedure="0">#REF!</definedName>
    <definedName name="PSV" hidden="0" function="0" vbProcedure="0">#REF!</definedName>
    <definedName name="pta" hidden="0" function="0" vbProcedure="0">#REF!</definedName>
    <definedName name="pto" hidden="0" function="0" vbProcedure="0">#REF!</definedName>
    <definedName name="pxd" hidden="0" function="0" vbProcedure="0">#REF!</definedName>
    <definedName name="Q1_1" hidden="0" function="0" vbProcedure="0">#REF!</definedName>
    <definedName name="Q1_2" hidden="0" function="0" vbProcedure="0">#REF!,#REF!,#REF!</definedName>
    <definedName name="Q1_3" hidden="0" function="0" vbProcedure="0">#REF!,#REF!,#REF!</definedName>
    <definedName name="Q1_4" hidden="0" function="0" vbProcedure="0">#REF!,#REF!,#REF!</definedName>
    <definedName name="Q2_1" hidden="0" function="0" vbProcedure="0">#REF!,#REF!,#REF!</definedName>
    <definedName name="Q2_2" hidden="0" function="0" vbProcedure="0">#REF!,#REF!,#REF!</definedName>
    <definedName name="Q2_3" hidden="0" function="0" vbProcedure="0">#REF!,#REF!,#REF!</definedName>
    <definedName name="Q2_4" hidden="0" function="0" vbProcedure="0">#REF!,#REF!,#REF!</definedName>
    <definedName name="Q3_1" hidden="0" function="0" vbProcedure="0">#REF!,#REF!,#REF!</definedName>
    <definedName name="QL1_1" hidden="0" function="0" vbProcedure="0">#REF!,#REF!</definedName>
    <definedName name="QL1_2" hidden="0" function="0" vbProcedure="0">#REF!,#REF!</definedName>
    <definedName name="QL1_3" hidden="0" function="0" vbProcedure="0">#REF!,#REF!</definedName>
    <definedName name="QL1_4" hidden="0" function="0" vbProcedure="0">#REF!,#REF!</definedName>
    <definedName name="QL2_1" hidden="0" function="0" vbProcedure="0">#REF!,#REF!</definedName>
    <definedName name="QL2_2" hidden="0" function="0" vbProcedure="0">#REF!,#REF!</definedName>
    <definedName name="QL2_3" hidden="0" function="0" vbProcedure="0">#REF!,#REF!</definedName>
    <definedName name="QL2_4" hidden="0" function="0" vbProcedure="0">#REF!,#REF!</definedName>
    <definedName name="QL3_1" hidden="0" function="0" vbProcedure="0">#REF!,#REF!</definedName>
    <definedName name="QuanOpDmy" hidden="0" function="0" vbProcedure="0">[12]QuanOP!$A$15:$XFD$15,[12]QuanOP!$A$25:$XFD$25,[12]QuanOP!$A$35:$XFD$35,[12]QuanOP!$A$45:$XFD$45,[12]QuanOP!$A$55:$XFD$55,[12]QuanOP!$A$65:$XFD$65</definedName>
    <definedName name="Quarters" hidden="0" function="0" vbProcedure="0">'[42]General Assumptions'!$C$16:$AT$17</definedName>
    <definedName name="ra" hidden="0" function="0" vbProcedure="0">#REF!</definedName>
    <definedName name="rad" hidden="0" function="0" vbProcedure="0">#REF!</definedName>
    <definedName name="RATIO" hidden="0" function="0" vbProcedure="0">'[21]Main Sheet'!$A$2305</definedName>
    <definedName name="ratios" hidden="0" function="0" vbProcedure="0">[11]main!$A$164:$O$212</definedName>
    <definedName name="ratio_jb" hidden="0" function="0" vbProcedure="0">[13]acctmod!$A$135:$Y$180</definedName>
    <definedName name="RawMat" hidden="0" function="0" vbProcedure="0">[12]Profile!$AO$5:$AO$12</definedName>
    <definedName name="Raw_Materials" hidden="0" function="0" vbProcedure="0">#REF!</definedName>
    <definedName name="rce" hidden="0" function="0" vbProcedure="0">#REF!</definedName>
    <definedName name="rcr" hidden="0" function="0" vbProcedure="0">#REF!</definedName>
    <definedName name="rde" hidden="0" function="0" vbProcedure="0">#REF!</definedName>
    <definedName name="read_area" hidden="0" function="0" vbProcedure="0">#REF!</definedName>
    <definedName name="reco" hidden="0" function="0" vbProcedure="0">#REF!</definedName>
    <definedName name="recommendation" hidden="0" function="0" vbProcedure="0">#REF!</definedName>
    <definedName name="recommendationH" hidden="0" function="0" vbProcedure="0">#REF!</definedName>
    <definedName name="ReductInInvestments" hidden="0" function="0" vbProcedure="0">#REF!</definedName>
    <definedName name="relperfdata" hidden="0" function="0" vbProcedure="0">#REF!</definedName>
    <definedName name="Repayment_period" hidden="0" function="0" vbProcedure="0">#REF!</definedName>
    <definedName name="Repayment_Starts_on" hidden="0" function="0" vbProcedure="0">#REF!</definedName>
    <definedName name="RES" hidden="0" function="0" vbProcedure="0">#REF!</definedName>
    <definedName name="reserves" hidden="0" function="0" vbProcedure="0">[11]bs_related!$A$24</definedName>
    <definedName name="ReservesAndPremium" hidden="0" function="0" vbProcedure="0">#REF!</definedName>
    <definedName name="Residential" hidden="0" function="0" vbProcedure="0">#REF!</definedName>
    <definedName name="RetainedEarnings" hidden="0" function="0" vbProcedure="0">#REF!</definedName>
    <definedName name="RetEarn" hidden="0" function="0" vbProcedure="0">[12]Formats!$K$39:$AE$39</definedName>
    <definedName name="ReturnOnAssets" hidden="0" function="0" vbProcedure="0">[4]Introduction!$A$9729</definedName>
    <definedName name="ReturnOnEquity" hidden="0" function="0" vbProcedure="0">[4]Introduction!$A$1</definedName>
    <definedName name="ret_ratios_jb" hidden="0" function="0" vbProcedure="0">[15]acctmod!$A$175:$Y$185</definedName>
    <definedName name="reuters" hidden="0" function="0" vbProcedure="0">#REF!</definedName>
    <definedName name="ReutersCode" hidden="0" function="0" vbProcedure="0">#REF!</definedName>
    <definedName name="reuters_codeh" hidden="0" function="0" vbProcedure="0">#REF!</definedName>
    <definedName name="rev" hidden="0" function="0" vbProcedure="0">#REF!</definedName>
    <definedName name="RevalRsrv" hidden="0" function="0" vbProcedure="0">[12]Input!$K$43:$AE$43</definedName>
    <definedName name="Revenue" hidden="0" function="0" vbProcedure="0">[4]Old!$A$10753</definedName>
    <definedName name="RevenueGrowth" hidden="0" function="0" vbProcedure="0">#REF!</definedName>
    <definedName name="rfa" hidden="0" function="0" vbProcedure="0">#REF!</definedName>
    <definedName name="rfs" hidden="0" function="0" vbProcedure="0">#REF!</definedName>
    <definedName name="RM" hidden="0" function="0" vbProcedure="0">[12]Input!$K$456:$AE$456</definedName>
    <definedName name="RMconsumed" hidden="0" function="0" vbProcedure="0">[4]Old!$A$3329</definedName>
    <definedName name="RMDmy" hidden="0" function="0" vbProcedure="0">[12]Input!$A$423:$AJ$437</definedName>
    <definedName name="RMUnit" hidden="0" function="0" vbProcedure="0">[12]Profile!$AP$5:$AP$12</definedName>
    <definedName name="rm_price" hidden="0" function="0" vbProcedure="0">#REF!</definedName>
    <definedName name="rnf" hidden="0" function="0" vbProcedure="0">#REF!</definedName>
    <definedName name="rns" hidden="0" function="0" vbProcedure="0">#REF!</definedName>
    <definedName name="roce" hidden="0" function="0" vbProcedure="0">#REF!</definedName>
    <definedName name="roce1" hidden="0" function="0" vbProcedure="0">'[8]agrops&amp;ce'!$M$6:$M$44</definedName>
    <definedName name="roe" hidden="0" function="0" vbProcedure="0">#REF!</definedName>
    <definedName name="ROIC" hidden="0" function="0" vbProcedure="0">[12]Formats!$K$165:$AE$165</definedName>
    <definedName name="rot" hidden="0" function="0" vbProcedure="0">#REF!</definedName>
    <definedName name="rre" hidden="0" function="0" vbProcedure="0">#REF!</definedName>
    <definedName name="RSBasicShares" hidden="0" function="0" vbProcedure="0">[4]Sheet2!$A$41985</definedName>
    <definedName name="RSDepreciation" hidden="0" function="0" vbProcedure="0">[4]Sheet3!$A$1</definedName>
    <definedName name="RSNPAT" hidden="0" function="0" vbProcedure="0">[4]Sheet3!$A$1</definedName>
    <definedName name="RSOperatingProfit" hidden="0" function="0" vbProcedure="0">[4]Sheet3!$A$1</definedName>
    <definedName name="RSOtherEquity" hidden="0" function="0" vbProcedure="0">[4]Sheet3!$A$1</definedName>
    <definedName name="RSOtherLTAssets" hidden="0" function="0" vbProcedure="0">[4]Sheet3!$A$1</definedName>
    <definedName name="RSOtherLTLiabilities" hidden="0" function="0" vbProcedure="0">[4]Sheet3!$A$1</definedName>
    <definedName name="RSRetainedEarnings" hidden="0" function="0" vbProcedure="0">[4]Sheet3!$A$1</definedName>
    <definedName name="RSWeightedaverageeps" hidden="0" function="0" vbProcedure="0">[4]Sheet3!$A$1</definedName>
    <definedName name="RSweightedaverageshares" hidden="0" function="0" vbProcedure="0">[4]Sheet3!$A$1</definedName>
    <definedName name="rty" hidden="0" function="0" vbProcedure="0">[19]RBS!$B$23</definedName>
    <definedName name="rural" hidden="0" function="0" vbProcedure="0">[20]rural!$A$16:$C$26</definedName>
    <definedName name="rural_urban" hidden="0" function="0" vbProcedure="0">[20]rural!$A$1:$C$13</definedName>
    <definedName name="rus" hidden="0" function="0" vbProcedure="0">#REF!</definedName>
    <definedName name="rwc" hidden="0" function="0" vbProcedure="0">#REF!</definedName>
    <definedName name="rwt" hidden="0" function="0" vbProcedure="0">#REF!</definedName>
    <definedName name="R_" hidden="0" function="0" vbProcedure="0">'[21]Main Sheet'!$A$4097</definedName>
    <definedName name="R_M_Breakdown" hidden="0" function="0" vbProcedure="0">#REF!</definedName>
    <definedName name="sad" hidden="0" function="0" vbProcedure="0">#REF!</definedName>
    <definedName name="saf" hidden="0" function="0" vbProcedure="0">#REF!</definedName>
    <definedName name="sal" hidden="0" function="0" vbProcedure="0">#REF!</definedName>
    <definedName name="sales" hidden="0" function="0" vbProcedure="0">#REF!</definedName>
    <definedName name="SalesTax" hidden="0" function="0" vbProcedure="0">[4]Old!$D$17:$O$17</definedName>
    <definedName name="Sales_Breakdown" hidden="0" function="0" vbProcedure="0">#REF!</definedName>
    <definedName name="Sales_Data" hidden="0" function="0" vbProcedure="0">#REF!</definedName>
    <definedName name="sales_realisation" hidden="0" function="0" vbProcedure="0">#REF!</definedName>
    <definedName name="sales_real_growth" hidden="0" function="0" vbProcedure="0">#REF!</definedName>
    <definedName name="sales_value" hidden="0" function="0" vbProcedure="0">#REF!</definedName>
    <definedName name="sales_val_growth" hidden="0" function="0" vbProcedure="0">#REF!</definedName>
    <definedName name="sales_vol" hidden="0" function="0" vbProcedure="0">#REF!</definedName>
    <definedName name="sales_vol_growth" hidden="0" function="0" vbProcedure="0">#REF!</definedName>
    <definedName name="SaleUnit" hidden="0" function="0" vbProcedure="0">[12]Input!$K$155:$AE$155,[12]Input!$K$173:$AE$173,[12]Input!$K$191:$AE$191,[12]Input!$K$209:$AE$209,[12]Input!$K$227:$AE$227,[12]Input!$K$245:$AE$245,[12]Input!$K$263:$AE$263,[12]Input!$K$281:$AE$281</definedName>
    <definedName name="SaleVal" hidden="0" function="0" vbProcedure="0">[12]Input!$K$293:$AE$293</definedName>
    <definedName name="SaleValue" hidden="0" function="0" vbProcedure="0">[12]Input!$K$158:$AE$158,[12]Input!$K$176:$AE$176,[12]Input!$K$194:$AE$194,[12]Input!$K$212:$AE$212,[12]Input!$K$230:$AE$230,[12]Input!$K$248:$AE$248,[12]Input!$K$266:$AE$266,[12]Input!$K$284:$AE$284</definedName>
    <definedName name="SaleVol" hidden="0" function="0" vbProcedure="0">[12]Input!$K$292:$AE$292</definedName>
    <definedName name="sas" hidden="0" function="0" vbProcedure="0">#REF!</definedName>
    <definedName name="scale" hidden="0" function="0" vbProcedure="0">'[42]General Assumptions'!$C$5</definedName>
    <definedName name="SCI_Afra" hidden="0" function="0" vbProcedure="0">#REF!</definedName>
    <definedName name="SCi_Loan" hidden="0" function="0" vbProcedure="0">#REF!</definedName>
    <definedName name="SCI_Suez" hidden="0" function="0" vbProcedure="0">#REF!</definedName>
    <definedName name="SCrt" hidden="0" function="0" vbProcedure="0">[12]Input!$K$87:$AE$87</definedName>
    <definedName name="ScrtDays" hidden="0" function="0" vbProcedure="0">[12]Input!$K$88:$AE$88</definedName>
    <definedName name="sd" hidden="0" function="0" vbProcedure="0">[10]Earning_Assum!$A$22273</definedName>
    <definedName name="SDbt" hidden="0" function="0" vbProcedure="0">[12]Input!$K$80:$AE$80</definedName>
    <definedName name="SdbtDays" hidden="0" function="0" vbProcedure="0">[12]Input!$K$81:$AE$81</definedName>
    <definedName name="secsplit" hidden="0" function="0" vbProcedure="0">"Chart 3"</definedName>
    <definedName name="sector" hidden="0" function="0" vbProcedure="0">#REF!</definedName>
    <definedName name="SECTORa" hidden="0" function="0" vbProcedure="0">#REF!</definedName>
    <definedName name="seg" hidden="0" function="0" vbProcedure="0">[41]sales!B$2305</definedName>
    <definedName name="SelExp" hidden="0" function="0" vbProcedure="0">[12]Input!$K$516:$AE$516</definedName>
    <definedName name="SelExpSer" hidden="0" function="0" vbProcedure="0">[12]Profile!$AV$5:$AV$12</definedName>
    <definedName name="SENSE" hidden="0" function="0" vbProcedure="0">#REF!</definedName>
    <definedName name="sensex" hidden="0" function="0" vbProcedure="0">#REF!</definedName>
    <definedName name="SENSEXIndexed" hidden="0" function="0" vbProcedure="0">#REF!</definedName>
    <definedName name="SENSEXMember" hidden="0" function="0" vbProcedure="0">#REF!</definedName>
    <definedName name="SENSEXPrices" hidden="0" function="0" vbProcedure="0">#REF!</definedName>
    <definedName name="sensit_analysis" hidden="0" function="0" vbProcedure="0">[30]sensity!$B$2:$D$15</definedName>
    <definedName name="SGA" hidden="0" function="0" vbProcedure="0">[4]Old!$D$59:$O$59</definedName>
    <definedName name="SGandA" hidden="0" function="0" vbProcedure="0">#REF!</definedName>
    <definedName name="SGCInv" hidden="0" function="0" vbProcedure="0">[12]Input!$K$57:$AE$57</definedName>
    <definedName name="SGCInvChg" hidden="0" function="0" vbProcedure="0">[12]Input!$K$98:$AE$98</definedName>
    <definedName name="ShareholdersEquity" hidden="0" function="0" vbProcedure="0">#REF!</definedName>
    <definedName name="shares" hidden="0" function="0" vbProcedure="0">#REF!</definedName>
    <definedName name="SharesPerGDR" hidden="0" function="0" vbProcedure="0">#REF!</definedName>
    <definedName name="Share_Data" hidden="0" function="0" vbProcedure="0">#REF!</definedName>
    <definedName name="share_premium" hidden="0" function="0" vbProcedure="0">[30]bs_related!$A$18</definedName>
    <definedName name="Share_price" hidden="0" function="0" vbProcedure="0">#REF!</definedName>
    <definedName name="share_vol" hidden="0" function="0" vbProcedure="0">[11]sales!$N86:$N64928</definedName>
    <definedName name="ShortTermDebt" hidden="0" function="0" vbProcedure="0">[35]Financials!$J$148:$R$148</definedName>
    <definedName name="ShOutst" hidden="0" function="0" vbProcedure="0">[12]Capital!$K$7:$AE$7</definedName>
    <definedName name="ShPrm" hidden="0" function="0" vbProcedure="0">[12]Input!$K$35:$AE$35</definedName>
    <definedName name="ShPrmChg" hidden="0" function="0" vbProcedure="0">[12]Input!$K$46:$AE$46</definedName>
    <definedName name="sh_pri" hidden="0" function="0" vbProcedure="0">#REF!</definedName>
    <definedName name="sh_pti" hidden="0" function="0" vbProcedure="0">#REF!</definedName>
    <definedName name="Simplex" hidden="0" function="0" vbProcedure="0">#REF!</definedName>
    <definedName name="sk" hidden="0" function="0" vbProcedure="0">[43]TR!$A$1:$AR$125</definedName>
    <definedName name="small_cap" hidden="0" function="0" vbProcedure="0">#REF!</definedName>
    <definedName name="SNAP" hidden="0" function="0" vbProcedure="0">#REF!</definedName>
    <definedName name="software" hidden="0" function="0" vbProcedure="0">#REF!</definedName>
    <definedName name="speciality_chem" hidden="0" function="0" vbProcedure="0">#REF!</definedName>
    <definedName name="Spread" hidden="0" function="0" vbProcedure="0">#REF!</definedName>
    <definedName name="sps" hidden="0" function="0" vbProcedure="0">#REF!</definedName>
    <definedName name="stable_growth_rate" hidden="0" function="0" vbProcedure="0">#REF!</definedName>
    <definedName name="Start_Detail" hidden="0" function="0" vbProcedure="0">#REF!</definedName>
    <definedName name="Start_Header" hidden="0" function="0" vbProcedure="0">#REF!</definedName>
    <definedName name="state_luxury_tax" hidden="0" function="0" vbProcedure="0">[44]Sheet1!$A$271</definedName>
    <definedName name="state_mktsh" hidden="0" function="0" vbProcedure="0">#REF!</definedName>
    <definedName name="StDebt" hidden="0" function="0" vbProcedure="0">[12]Debt!$K$150:$AE$150</definedName>
    <definedName name="StDebtChg" hidden="0" function="0" vbProcedure="0">[12]Debt!$K$258:$AE$258</definedName>
    <definedName name="StDebtDmy" hidden="0" function="0" vbProcedure="0">[12]Debt!$A$57:$XFD$57,[12]Debt!$A$103:$XFD$103,[12]Debt!$A$149:$XFD$149,[12]Debt!$A$197:$XFD$197,[12]Debt!$A$242:$XFD$242</definedName>
    <definedName name="STDebtSer" hidden="0" function="0" vbProcedure="0">[12]Profile!$BO$5:$BO$12</definedName>
    <definedName name="StInt" hidden="0" function="0" vbProcedure="0">[12]Debt!$K$243:$AE$243</definedName>
    <definedName name="summary" hidden="0" function="0" vbProcedure="0">[11]main!$B$164:$J$215</definedName>
    <definedName name="Summary_Date" hidden="0" function="0" vbProcedure="0">#REF!</definedName>
    <definedName name="swa" hidden="0" function="0" vbProcedure="0">#REF!</definedName>
    <definedName name="swap" hidden="0" function="0" vbProcedure="0">#REF!</definedName>
    <definedName name="Sweep_Hours" hidden="0" function="0" vbProcedure="0">#REF!</definedName>
    <definedName name="Sweep_KW" hidden="0" function="0" vbProcedure="0">#REF!</definedName>
    <definedName name="swl" hidden="0" function="0" vbProcedure="0">#REF!</definedName>
    <definedName name="sws" hidden="0" function="0" vbProcedure="0">#REF!</definedName>
    <definedName name="t" hidden="0" function="0" vbProcedure="0">[19]RBS!$F$24</definedName>
    <definedName name="Table" hidden="0" function="0" vbProcedure="0">#REF!</definedName>
    <definedName name="target_pri" hidden="0" function="0" vbProcedure="0">#REF!</definedName>
    <definedName name="tariff_incr" hidden="0" function="0" vbProcedure="0">'[45]P&amp;L Depots C1'!$A$2305</definedName>
    <definedName name="tariff_incr1" hidden="0" function="0" vbProcedure="0">'[46]P&amp;L Depots C1'!$A$1</definedName>
    <definedName name="Tax" hidden="0" function="0" vbProcedure="0">[12]Tax!$K$40:$AE$40</definedName>
    <definedName name="tci" hidden="0" function="0" vbProcedure="0">#REF!</definedName>
    <definedName name="tcs" hidden="0" function="0" vbProcedure="0">#REF!</definedName>
    <definedName name="tea_estates" hidden="0" function="0" vbProcedure="0">[41]shareholding!$A$9985</definedName>
    <definedName name="Technical" hidden="0" function="0" vbProcedure="0">#REF!</definedName>
    <definedName name="tetley" hidden="0" function="0" vbProcedure="0">#REF!</definedName>
    <definedName name="tev" hidden="0" function="0" vbProcedure="0">#REF!</definedName>
    <definedName name="tfc" hidden="0" function="0" vbProcedure="0">#REF!</definedName>
    <definedName name="tfd" hidden="0" function="0" vbProcedure="0">#REF!</definedName>
    <definedName name="tfo" hidden="0" function="0" vbProcedure="0">#REF!</definedName>
    <definedName name="tfr" hidden="0" function="0" vbProcedure="0">#REF!</definedName>
    <definedName name="THC_incr" hidden="0" function="0" vbProcedure="0">'[45]P&amp;L Depots C1'!$A$2305</definedName>
    <definedName name="tin" hidden="0" function="0" vbProcedure="0">#REF!</definedName>
    <definedName name="TMKW" hidden="0" function="0" vbProcedure="0">#REF!</definedName>
    <definedName name="tnd" hidden="0" function="0" vbProcedure="0">#REF!</definedName>
    <definedName name="tobacco_prices_at_auctions" hidden="0" function="0" vbProcedure="0">[44]Sheet1!$A$88:$E$102</definedName>
    <definedName name="today" hidden="0" function="0" vbProcedure="0">#REF!</definedName>
    <definedName name="total" hidden="0" function="0" vbProcedure="0">#REF!</definedName>
    <definedName name="TotalAssets" hidden="0" function="0" vbProcedure="0">CapitalEmployed+CurrentLiab</definedName>
    <definedName name="TotalAssetsNet" hidden="0" function="0" vbProcedure="0">#REF!</definedName>
    <definedName name="TotalChangesInWorkingCapital" hidden="0" function="0" vbProcedure="0">#REF!</definedName>
    <definedName name="TotalCurrentAssets" hidden="0" function="0" vbProcedure="0">#REF!</definedName>
    <definedName name="TotalCurrentLiabilities" hidden="0" function="0" vbProcedure="0">#REF!</definedName>
    <definedName name="TotalDebt" hidden="0" function="0" vbProcedure="0">LongTermDebt+ShortTermDebt+CurrentPortion</definedName>
    <definedName name="totalss" hidden="0" function="0" vbProcedure="0">[25]Key_Base!$D$7</definedName>
    <definedName name="Total_Installments" hidden="0" function="0" vbProcedure="0">#REF!</definedName>
    <definedName name="TotAst" hidden="0" function="0" vbProcedure="0">[12]Formats!$K$82:$AE$82</definedName>
    <definedName name="TotDebt" hidden="0" function="0" vbProcedure="0">[12]Debt!$K$152:$AE$152</definedName>
    <definedName name="TotEqShAd" hidden="0" function="0" vbProcedure="0">[12]Capital!$K$51:$AE$51</definedName>
    <definedName name="TotLia" hidden="0" function="0" vbProcedure="0">[12]Formats!$K$69:$AE$69</definedName>
    <definedName name="tr" hidden="0" function="0" vbProcedure="0">[4]Sheet2!$A$17409</definedName>
    <definedName name="trade" hidden="0" function="0" vbProcedure="0">'[11]Inc Mod cigs'!$B$181</definedName>
    <definedName name="tre" hidden="0" function="0" vbProcedure="0">#REF!</definedName>
    <definedName name="TS" hidden="0" function="0" vbProcedure="0">#REF!</definedName>
    <definedName name="tt_subsidiaries" hidden="0" function="0" vbProcedure="0">[41]shareholding!$A$46081</definedName>
    <definedName name="unilever" hidden="0" function="0" vbProcedure="0">#REF!</definedName>
    <definedName name="UniqueRange_0" hidden="0" function="0" vbProcedure="0">[16]EVA1!B$2305</definedName>
    <definedName name="UniqueRange_1" hidden="0" function="0" vbProcedure="0">[16]EVA1!$CE$10</definedName>
    <definedName name="Units" hidden="0" function="0" vbProcedure="0">[27]Introduction!$E$13</definedName>
    <definedName name="Update" hidden="0" function="0" vbProcedure="0">[27]Introduction!$E$8</definedName>
    <definedName name="Upfront_Fee" hidden="0" function="0" vbProcedure="0">#REF!</definedName>
    <definedName name="USD_Libor_Swap_rate" hidden="0" function="0" vbProcedure="0">#REF!</definedName>
    <definedName name="UtilCap" hidden="0" function="0" vbProcedure="0">[12]Input!$K$152:$AE$152,[12]Input!$K$170:$AE$170,[12]Input!$K$188:$AE$188,[12]Input!$K$206:$AE$206,[12]Input!$K$224:$AE$224,[12]Input!$K$242:$AE$242,[12]Input!$K$260:$AE$260,[12]Input!$K$278:$AE$278</definedName>
    <definedName name="UtilProd" hidden="0" function="0" vbProcedure="0">[12]Input!$K$151:$AE$151,[12]Input!$K$169:$AE$169,[12]Input!$K$187:$AE$187,[12]Input!$K$205:$AE$205,[12]Input!$K$223:$AE$223,[12]Input!$K$241:$AE$241,[12]Input!$K$259:$AE$259,[12]Input!$K$277:$AE$277</definedName>
    <definedName name="vae" hidden="0" function="0" vbProcedure="0">#REF!</definedName>
    <definedName name="validate_Equity_Data" hidden="0" function="0" vbProcedure="0">[29]!validate_Equity_Data</definedName>
    <definedName name="valn_jb" hidden="0" function="0" vbProcedure="0">[13]acctmod!$A$182:$Y$198</definedName>
    <definedName name="VarExp" hidden="0" function="0" vbProcedure="0">[12]Formats!$K$131:$AE$131</definedName>
    <definedName name="VarNames" hidden="0" function="0" vbProcedure="0">[12]VarName!$C$3:$D$104</definedName>
    <definedName name="vay" hidden="0" function="0" vbProcedure="0">#REF!</definedName>
    <definedName name="vbv" hidden="0" function="0" vbProcedure="0">#REF!</definedName>
    <definedName name="vcf" hidden="0" function="0" vbProcedure="0">#REF!</definedName>
    <definedName name="vdp" hidden="0" function="0" vbProcedure="0">#REF!</definedName>
    <definedName name="veb" hidden="0" function="0" vbProcedure="0">#REF!</definedName>
    <definedName name="veg" hidden="0" function="0" vbProcedure="0">#REF!</definedName>
    <definedName name="vep" hidden="0" function="0" vbProcedure="0">#REF!</definedName>
    <definedName name="Version" hidden="0" function="0" vbProcedure="0">[12]Profile!$H$12</definedName>
    <definedName name="Vessel_Cost" hidden="0" function="0" vbProcedure="0">#REF!</definedName>
    <definedName name="vev" hidden="0" function="0" vbProcedure="0">#REF!</definedName>
    <definedName name="vey" hidden="0" function="0" vbProcedure="0">#REF!</definedName>
    <definedName name="vfa" hidden="0" function="0" vbProcedure="0">#REF!</definedName>
    <definedName name="VFHrs" hidden="0" function="0" vbProcedure="0">#REF!</definedName>
    <definedName name="VFKW" hidden="0" function="0" vbProcedure="0">#REF!</definedName>
    <definedName name="via" hidden="0" function="0" vbProcedure="0">#REF!</definedName>
    <definedName name="vio" hidden="0" function="0" vbProcedure="0">#REF!</definedName>
    <definedName name="vmv" hidden="0" function="0" vbProcedure="0">#REF!</definedName>
    <definedName name="vnd" hidden="0" function="0" vbProcedure="0">#REF!</definedName>
    <definedName name="vol" hidden="0" function="0" vbProcedure="0">[41]sales!$A$2305</definedName>
    <definedName name="Volume_Growth" hidden="0" function="0" vbProcedure="0">#REF!</definedName>
    <definedName name="vpx" hidden="0" function="0" vbProcedure="0">#REF!</definedName>
    <definedName name="vrn" hidden="0" function="0" vbProcedure="0">#REF!</definedName>
    <definedName name="vsp" hidden="0" function="0" vbProcedure="0">#REF!</definedName>
    <definedName name="vva" hidden="0" function="0" vbProcedure="0">#REF!</definedName>
    <definedName name="WACC" hidden="0" function="0" vbProcedure="0">[12]Formats!$K$173:$AE$173</definedName>
    <definedName name="WAEqSh" hidden="0" function="0" vbProcedure="0">[12]Capital!$K$19:$AE$19</definedName>
    <definedName name="WCDays" hidden="0" function="0" vbProcedure="0">[12]Debt!$K$255:$AE$255</definedName>
    <definedName name="WDV" hidden="0" function="0" vbProcedure="0">#REF!</definedName>
    <definedName name="WeightedAverageEPS" hidden="0" function="0" vbProcedure="0">#REF!</definedName>
    <definedName name="wrn_All_"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hidden="0" function="0" vbProcedure="0">{#N/A,#N/A,TRUE,"Financials";#N/A,#N/A,TRUE,"Operating Statistics";#N/A,#N/A,TRUE,"Capex &amp; Depreciation";#N/A,#N/A,TRUE,"Debt"}</definedName>
    <definedName name="wrn_One___Pager___plus___Technicals_" hidden="0" function="0" vbProcedure="0">{#N/A,#N/A,FALSE,"One Pager";#N/A,#N/A,FALSE,"Technical"}</definedName>
    <definedName name="xer" hidden="0" function="0" vbProcedure="0">#REF!</definedName>
    <definedName name="xfx" hidden="0" function="0" vbProcedure="0">#REF!</definedName>
    <definedName name="xitem" hidden="0" function="0" vbProcedure="0">#REF!</definedName>
    <definedName name="xoe" hidden="0" function="0" vbProcedure="0">#REF!</definedName>
    <definedName name="xpr" hidden="0" function="0" vbProcedure="0">#REF!</definedName>
    <definedName name="xunits" hidden="0" function="0" vbProcedure="0">#REF!</definedName>
    <definedName name="year" hidden="0" function="0" vbProcedure="0">[37]dcf!$B$129</definedName>
    <definedName name="YearEnd" hidden="0" function="0" vbProcedure="0">'[4]#REF'!$D$11</definedName>
    <definedName name="yearone" hidden="0" function="0" vbProcedure="0">[48]Introduction!$E$16</definedName>
    <definedName name="YeEq" hidden="0" function="0" vbProcedure="0">[12]Capital!$K$8:$AE$8</definedName>
    <definedName name="YrRange" hidden="0" function="0" vbProcedure="0">[12]Profile!$K$10:$AE$10</definedName>
    <definedName name="yyy" hidden="0" function="0" vbProcedure="0">[19]RBS!$B$15</definedName>
    <definedName name="yyyy" hidden="0" function="0" vbProcedure="0">[19]RBS!$F$14</definedName>
    <definedName name="Y_Y_Growth" hidden="0" function="0" vbProcedure="0">'[47]Model (Not Merged)'!$A$2305</definedName>
    <definedName name="Z" hidden="0" function="0" vbProcedure="0">[10]Earning_Assum!$A$1281</definedName>
    <definedName name="ZZ_AAA_BSControl" hidden="0" function="0" vbProcedure="0">#REF!</definedName>
    <definedName name="ZZ_AAA_IncludeManual" hidden="0" function="0" vbProcedure="0">#REF!</definedName>
    <definedName name="ZZ_AAA_ISControl" hidden="0" function="0" vbProcedure="0">#REF!</definedName>
    <definedName name="ZZ_AAA_TerminalStartTest1" hidden="0" function="0" vbProcedure="0">#REF!</definedName>
    <definedName name="ZZ_AAA_TerminalStartTest2" hidden="0" function="0" vbProcedure="0">#REF!</definedName>
    <definedName name="ZZ_AAA_TerminalStartTest3" hidden="0" function="0" vbProcedure="0">#REF!</definedName>
    <definedName name="ZZ_AAA_TerminalStartTest4" hidden="0" function="0" vbProcedure="0">#REF!</definedName>
    <definedName name="ZZ_AAA_TerminalStartTest5" hidden="0" function="0" vbProcedure="0">#REF!</definedName>
    <definedName name="ZZ_AAA_YearCount" hidden="0" function="0" vbProcedure="0">#REF!</definedName>
    <definedName name="ZZ_AAA_YearEndManual" hidden="0" function="0" vbProcedure="0">#REF!</definedName>
    <definedName name="ZZ_AAA_YearEnds" hidden="0" function="0" vbProcedure="0">#REF!</definedName>
    <definedName name="ZZ_AA_User1" hidden="0" function="0" vbProcedure="0">#REF!</definedName>
    <definedName name="ZZ_AA_User2" hidden="0" function="0" vbProcedure="0">#REF!</definedName>
    <definedName name="ZZ_AA_User3" hidden="0" function="0" vbProcedure="0">#REF!</definedName>
    <definedName name="ZZ_AA_User4" hidden="0" function="0" vbProcedure="0">#REF!</definedName>
    <definedName name="ZZ_AA_User5" hidden="0" function="0" vbProcedure="0">#REF!</definedName>
    <definedName name="ZZ_BAL_AccountsPayable" hidden="0" function="0" vbProcedure="0">#REF!</definedName>
    <definedName name="ZZ_BAL_AccountsReceivable" hidden="0" function="0" vbProcedure="0">#REF!</definedName>
    <definedName name="ZZ_BAL_AverageTotalDebt" hidden="0" function="0" vbProcedure="0">#REF!</definedName>
    <definedName name="ZZ_BAL_Balance" hidden="0" function="0" vbProcedure="0">#REF!</definedName>
    <definedName name="ZZ_BAL_CapitalizedAssets" hidden="0" function="0" vbProcedure="0">#REF!</definedName>
    <definedName name="ZZ_BAL_ConstructionInProgress" hidden="0" function="0" vbProcedure="0">#REF!</definedName>
    <definedName name="ZZ_BAL_DebtNet" hidden="0" function="0" vbProcedure="0">#REF!</definedName>
    <definedName name="ZZ_BAL_DebtTotal" hidden="0" function="0" vbProcedure="0">#REF!</definedName>
    <definedName name="ZZ_BAL_DeferredTaxes" hidden="0" function="0" vbProcedure="0">#REF!</definedName>
    <definedName name="ZZ_BAL_Goodwill" hidden="0" function="0" vbProcedure="0">#REF!</definedName>
    <definedName name="ZZ_BAL_Inventories" hidden="0" function="0" vbProcedure="0">#REF!</definedName>
    <definedName name="ZZ_BAL_LongTermDebt" hidden="0" function="0" vbProcedure="0">#REF!</definedName>
    <definedName name="ZZ_BAL_LongTermInterestAssets" hidden="0" function="0" vbProcedure="0">#REF!</definedName>
    <definedName name="ZZ_BAL_LongTermNonInterestLiabilities" hidden="0" function="0" vbProcedure="0">#REF!</definedName>
    <definedName name="ZZ_BAL_LongTermNonOperatingAssets" hidden="0" function="0" vbProcedure="0">#REF!</definedName>
    <definedName name="ZZ_BAL_MinorityInterest" hidden="0" function="0" vbProcedure="0">#REF!</definedName>
    <definedName name="ZZ_BAL_NetAssets" hidden="0" function="0" vbProcedure="0">#REF!</definedName>
    <definedName name="ZZ_BAL_NetAssetsAverage" hidden="0" function="0" vbProcedure="0">#REF!</definedName>
    <definedName name="ZZ_BAL_NetCurrentAssets" hidden="0" function="0" vbProcedure="0">#REF!</definedName>
    <definedName name="ZZ_BAL_NetFixedAssets" hidden="0" function="0" vbProcedure="0">#REF!</definedName>
    <definedName name="ZZ_BAL_NetWorkingCapital" hidden="0" function="0" vbProcedure="0">#REF!</definedName>
    <definedName name="ZZ_BAL_OBSILeases" hidden="0" function="0" vbProcedure="0">#REF!</definedName>
    <definedName name="ZZ_BAL_OBSIOther" hidden="0" function="0" vbProcedure="0">#REF!</definedName>
    <definedName name="ZZ_BAL_OperatingCash" hidden="0" function="0" vbProcedure="0">#REF!</definedName>
    <definedName name="ZZ_BAL_OtherCurrentAssets" hidden="0" function="0" vbProcedure="0">#REF!</definedName>
    <definedName name="ZZ_BAL_OtherCurrentLiabilities" hidden="0" function="0" vbProcedure="0">#REF!</definedName>
    <definedName name="ZZ_BAL_OtherReserves" hidden="0" function="0" vbProcedure="0">#REF!</definedName>
    <definedName name="ZZ_BAL_PreferredStock" hidden="0" function="0" vbProcedure="0">#REF!</definedName>
    <definedName name="ZZ_BAL_RetainedEarnings" hidden="0" function="0" vbProcedure="0">#REF!</definedName>
    <definedName name="ZZ_BAL_RevaluationReserve" hidden="0" function="0" vbProcedure="0">#REF!</definedName>
    <definedName name="ZZ_BAL_ShareCapital" hidden="0" function="0" vbProcedure="0">#REF!</definedName>
    <definedName name="ZZ_BAL_SharePremium" hidden="0" function="0" vbProcedure="0">#REF!</definedName>
    <definedName name="ZZ_BAL_StatutoryReserves" hidden="0" function="0" vbProcedure="0">#REF!</definedName>
    <definedName name="ZZ_BAL_STDebt" hidden="0" function="0" vbProcedure="0">#REF!</definedName>
    <definedName name="ZZ_BAL_STInvestments" hidden="0" function="0" vbProcedure="0">#REF!</definedName>
    <definedName name="ZZ_BAL_TotalAssets" hidden="0" function="0" vbProcedure="0">#REF!</definedName>
    <definedName name="ZZ_BAL_TotalAssetsAverage" hidden="0" function="0" vbProcedure="0">#REF!</definedName>
    <definedName name="ZZ_BAL_TotalCommonEquity" hidden="0" function="0" vbProcedure="0">#REF!</definedName>
    <definedName name="ZZ_BAL_TotalCurrentAssets" hidden="0" function="0" vbProcedure="0">#REF!</definedName>
    <definedName name="ZZ_BAL_TotalCurrentLiabilities" hidden="0" function="0" vbProcedure="0">#REF!</definedName>
    <definedName name="ZZ_BAL_TotalEquity" hidden="0" function="0" vbProcedure="0">#REF!</definedName>
    <definedName name="ZZ_BAL_TotalEquityAverage" hidden="0" function="0" vbProcedure="0">#REF!</definedName>
    <definedName name="ZZ_BAL_TotalLiabilities" hidden="0" function="0" vbProcedure="0">#REF!</definedName>
    <definedName name="ZZ_BAL_TotalLiabilitiesPlusEquity" hidden="0" function="0" vbProcedure="0">#REF!</definedName>
    <definedName name="ZZ_BAL_TotalLongTermLiabilities" hidden="0" function="0" vbProcedure="0">#REF!</definedName>
    <definedName name="ZZ_BAL_TotalReserves" hidden="0" function="0" vbProcedure="0">#REF!</definedName>
    <definedName name="ZZ_CAP_AccumulatedGoodwillAmort" hidden="0" function="0" vbProcedure="0">#REF!</definedName>
    <definedName name="ZZ_CAP_AccumulatedGoodwillAmortManual" hidden="0" function="0" vbProcedure="0">#REF!</definedName>
    <definedName name="ZZ_CAP_AdjToOperatingCapital" hidden="0" function="0" vbProcedure="0">#REF!</definedName>
    <definedName name="ZZ_CAP_AdjustedCommonEquity" hidden="0" function="0" vbProcedure="0">#REF!</definedName>
    <definedName name="ZZ_CAP_Balance" hidden="0" function="0" vbProcedure="0">#REF!</definedName>
    <definedName name="ZZ_CAP_ChangeInOperatingCapital" hidden="0" function="0" vbProcedure="0">#REF!</definedName>
    <definedName name="ZZ_CAP_EquityEquivalents" hidden="0" function="0" vbProcedure="0">#REF!</definedName>
    <definedName name="ZZ_CAP_LIFOReserve" hidden="0" function="0" vbProcedure="0">#REF!</definedName>
    <definedName name="ZZ_CAP_NetWorkingCapitalAdj" hidden="0" function="0" vbProcedure="0">#REF!</definedName>
    <definedName name="ZZ_CAP_NonOperatingCapital" hidden="0" function="0" vbProcedure="0">#REF!</definedName>
    <definedName name="ZZ_CAP_OperatingCapital" hidden="0" function="0" vbProcedure="0">#REF!</definedName>
    <definedName name="ZZ_CAP_OperatingCapitalAverage" hidden="0" function="0" vbProcedure="0">#REF!</definedName>
    <definedName name="ZZ_CAP_TotalCapital" hidden="0" function="0" vbProcedure="0">#REF!</definedName>
    <definedName name="ZZ_CAP_TotalCapitalAverage" hidden="0" function="0" vbProcedure="0">#REF!</definedName>
    <definedName name="ZZ_CAP_TotalCapitalRecon" hidden="0" function="0" vbProcedure="0">#REF!</definedName>
    <definedName name="ZZ_CAP_TotalDebtAdj" hidden="0" function="0" vbProcedure="0">#REF!</definedName>
    <definedName name="ZZ_CAP_ValueOfOperatingLeases" hidden="0" function="0" vbProcedure="0">#REF!</definedName>
    <definedName name="ZZ_CAS_Balance" hidden="0" function="0" vbProcedure="0">#REF!</definedName>
    <definedName name="ZZ_CAS_CashFlowFinancing" hidden="0" function="0" vbProcedure="0">#REF!</definedName>
    <definedName name="ZZ_CAS_CashFlowInvestment" hidden="0" function="0" vbProcedure="0">#REF!</definedName>
    <definedName name="ZZ_CAS_CashFlowOperational" hidden="0" function="0" vbProcedure="0">#REF!</definedName>
    <definedName name="ZZ_CAS_CashSTInvestments" hidden="0" function="0" vbProcedure="0">#REF!</definedName>
    <definedName name="ZZ_CAS_ChangeInCapitalizedAssets" hidden="0" function="0" vbProcedure="0">#REF!</definedName>
    <definedName name="ZZ_CAS_ChangeInCIP" hidden="0" function="0" vbProcedure="0">#REF!</definedName>
    <definedName name="ZZ_CAS_ChangeInCommonEquity" hidden="0" function="0" vbProcedure="0">#REF!</definedName>
    <definedName name="ZZ_CAS_ChangeInGoodwill" hidden="0" function="0" vbProcedure="0">#REF!</definedName>
    <definedName name="ZZ_CAS_ChangeInInvestmentsAssets" hidden="0" function="0" vbProcedure="0">#REF!</definedName>
    <definedName name="ZZ_CAS_ChangeInLTDebt" hidden="0" function="0" vbProcedure="0">#REF!</definedName>
    <definedName name="ZZ_CAS_ChangeInMinorityInterest" hidden="0" function="0" vbProcedure="0">#REF!</definedName>
    <definedName name="ZZ_CAS_ChangeInNetFixedAssets" hidden="0" function="0" vbProcedure="0">#REF!</definedName>
    <definedName name="ZZ_CAS_ChangeInOtherLTLiabilities" hidden="0" function="0" vbProcedure="0">#REF!</definedName>
    <definedName name="ZZ_CAS_ChangeInOtherNonOperatingAssets" hidden="0" function="0" vbProcedure="0">#REF!</definedName>
    <definedName name="ZZ_CAS_ChangeInOtherReserves" hidden="0" function="0" vbProcedure="0">#REF!</definedName>
    <definedName name="ZZ_CAS_ChangeInPreferredEquity" hidden="0" function="0" vbProcedure="0">#REF!</definedName>
    <definedName name="ZZ_CAS_ChangeInRevaluationReserve" hidden="0" function="0" vbProcedure="0">#REF!</definedName>
    <definedName name="ZZ_CAS_ChangeInSharePremium" hidden="0" function="0" vbProcedure="0">#REF!</definedName>
    <definedName name="ZZ_CAS_ChangeInStatutoryReserves" hidden="0" function="0" vbProcedure="0">#REF!</definedName>
    <definedName name="ZZ_CAS_ChangeInSTDebt" hidden="0" function="0" vbProcedure="0">#REF!</definedName>
    <definedName name="ZZ_CAS_ChangeInWC" hidden="0" function="0" vbProcedure="0">#REF!</definedName>
    <definedName name="ZZ_CAS_TotalCashFlow" hidden="0" function="0" vbProcedure="0">#REF!</definedName>
    <definedName name="ZZ_CAS_TotalCashFlowRecon" hidden="0" function="0" vbProcedure="0">#REF!</definedName>
    <definedName name="ZZ_COM_Assets" hidden="0" function="0" vbProcedure="0">#REF!</definedName>
    <definedName name="ZZ_COM_Switch1" hidden="0" function="0" vbProcedure="0">#REF!</definedName>
    <definedName name="ZZ_COS_BetaManual" hidden="0" function="0" vbProcedure="0">#REF!</definedName>
    <definedName name="ZZ_COS_BVCommonEquity" hidden="0" function="0" vbProcedure="0">#REF!</definedName>
    <definedName name="ZZ_COS_BVPreferredEquity" hidden="0" function="0" vbProcedure="0">#REF!</definedName>
    <definedName name="ZZ_COS_BVTotalCapital" hidden="0" function="0" vbProcedure="0">#REF!</definedName>
    <definedName name="ZZ_COS_BVTotalDebt" hidden="0" function="0" vbProcedure="0">#REF!</definedName>
    <definedName name="ZZ_COS_CostOfCommonEquity" hidden="0" function="0" vbProcedure="0">#REF!</definedName>
    <definedName name="ZZ_COS_CostOfDebtPostTax" hidden="0" function="0" vbProcedure="0">#REF!</definedName>
    <definedName name="ZZ_COS_CostOfDebtPreTaxManual" hidden="0" function="0" vbProcedure="0">#REF!</definedName>
    <definedName name="ZZ_COS_CostOfPreferredEquityManual" hidden="0" function="0" vbProcedure="0">#REF!</definedName>
    <definedName name="ZZ_COS_EquityRiskPremiumManual" hidden="0" function="0" vbProcedure="0">#REF!</definedName>
    <definedName name="ZZ_COS_MVCommonEquity" hidden="0" function="0" vbProcedure="0">#REF!</definedName>
    <definedName name="ZZ_COS_MVPreferredEquity" hidden="0" function="0" vbProcedure="0">#REF!</definedName>
    <definedName name="ZZ_COS_MVTotalCapital" hidden="0" function="0" vbProcedure="0">#REF!</definedName>
    <definedName name="ZZ_COS_MVTotalDebt" hidden="0" function="0" vbProcedure="0">#REF!</definedName>
    <definedName name="ZZ_COS_RequiredReturnCAPM" hidden="0" function="0" vbProcedure="0">#REF!</definedName>
    <definedName name="ZZ_COS_RequiredReturnManual" hidden="0" function="0" vbProcedure="0">#REF!</definedName>
    <definedName name="ZZ_COS_RiskFreeRateManual" hidden="0" function="0" vbProcedure="0">#REF!</definedName>
    <definedName name="ZZ_COS_Switch1" hidden="0" function="0" vbProcedure="0">#REF!</definedName>
    <definedName name="ZZ_COS_TargetDebtToCapitalManual" hidden="0" function="0" vbProcedure="0">#REF!</definedName>
    <definedName name="ZZ_COS_UnleveragedCostOfCapital" hidden="0" function="0" vbProcedure="0">#REF!</definedName>
    <definedName name="ZZ_COS_WACC" hidden="0" function="0" vbProcedure="0">#REF!</definedName>
    <definedName name="ZZ_COS_WACCActual" hidden="0" function="0" vbProcedure="0">#REF!</definedName>
    <definedName name="ZZ_COS_WACCManual" hidden="0" function="0" vbProcedure="0">#REF!</definedName>
    <definedName name="ZZ_COS_WGTCommonEquity" hidden="0" function="0" vbProcedure="0">#REF!</definedName>
    <definedName name="ZZ_COS_WGTPreferredEquity" hidden="0" function="0" vbProcedure="0">#REF!</definedName>
    <definedName name="ZZ_COS_WGTTotalDebt" hidden="0" function="0" vbProcedure="0">#REF!</definedName>
    <definedName name="ZZ_COV_Cover" hidden="0" function="0" vbProcedure="0">[4]Financials!$A$1</definedName>
    <definedName name="ZZ_DCF_Balance" hidden="0" function="0" vbProcedure="0">#REF!</definedName>
    <definedName name="ZZ_DCF_EVA_Discounted" hidden="0" function="0" vbProcedure="0">#REF!</definedName>
    <definedName name="ZZ_DCF_EVA_DiscountedTotal" hidden="0" function="0" vbProcedure="0">#REF!</definedName>
    <definedName name="ZZ_DCF_EVA_DiscountFactor" hidden="0" function="0" vbProcedure="0">#REF!</definedName>
    <definedName name="ZZ_DCF_EVA_EconomicValueAdded" hidden="0" function="0" vbProcedure="0">#REF!</definedName>
    <definedName name="ZZ_DCF_EVA_EconomicValueAddedManual" hidden="0" function="0" vbProcedure="0">#REF!</definedName>
    <definedName name="ZZ_DCF_EVA_ImpliedEquityValue" hidden="0" function="0" vbProcedure="0">#REF!</definedName>
    <definedName name="ZZ_DCF_EVA_ImpliedEquityValuePerShare" hidden="0" function="0" vbProcedure="0">#REF!</definedName>
    <definedName name="ZZ_DCF_EVA_MidYearAdjustmentFactor" hidden="0" function="0" vbProcedure="0">#REF!</definedName>
    <definedName name="ZZ_DCF_EVA_OperatingValue" hidden="0" function="0" vbProcedure="0">#REF!</definedName>
    <definedName name="ZZ_DCF_EVA_OperatingValueAdj" hidden="0" function="0" vbProcedure="0">#REF!</definedName>
    <definedName name="ZZ_DCF_EVA_TotalValue" hidden="0" function="0" vbProcedure="0">#REF!</definedName>
    <definedName name="ZZ_DCF_EVA_WACC" hidden="0" function="0" vbProcedure="0">#REF!</definedName>
    <definedName name="ZZ_DCF_FCF_Discounted" hidden="0" function="0" vbProcedure="0">#REF!</definedName>
    <definedName name="ZZ_DCF_FCF_DiscountFactor" hidden="0" function="0" vbProcedure="0">#REF!</definedName>
    <definedName name="ZZ_DCF_FCF_FreeCashFlow" hidden="0" function="0" vbProcedure="0">#REF!</definedName>
    <definedName name="ZZ_DCF_FCF_FreeCashFlowManual" hidden="0" function="0" vbProcedure="0">#REF!</definedName>
    <definedName name="ZZ_DCF_FCF_ImpliedEquityValue" hidden="0" function="0" vbProcedure="0">#REF!</definedName>
    <definedName name="ZZ_DCF_FCF_ImpliedEquityValuePerShare" hidden="0" function="0" vbProcedure="0">#REF!</definedName>
    <definedName name="ZZ_DCF_FCF_MidYearAdjustmentFactor" hidden="0" function="0" vbProcedure="0">#REF!</definedName>
    <definedName name="ZZ_DCF_FCF_NetInvestment" hidden="0" function="0" vbProcedure="0">#REF!</definedName>
    <definedName name="ZZ_DCF_FCF_NOPAT" hidden="0" function="0" vbProcedure="0">#REF!</definedName>
    <definedName name="ZZ_DCF_FCF_OperatingValue" hidden="0" function="0" vbProcedure="0">#REF!</definedName>
    <definedName name="ZZ_DCF_FCF_OperatingValueAdj" hidden="0" function="0" vbProcedure="0">#REF!</definedName>
    <definedName name="ZZ_DCF_FCF_SharePremiumDiscount" hidden="0" function="0" vbProcedure="0">#REF!</definedName>
    <definedName name="ZZ_DCF_FCF_TotalValue" hidden="0" function="0" vbProcedure="0">#REF!</definedName>
    <definedName name="ZZ_DCF_FCF_WACC" hidden="0" function="0" vbProcedure="0">#REF!</definedName>
    <definedName name="ZZ_DCF_LTGrowthRate" hidden="0" function="0" vbProcedure="0">#REF!</definedName>
    <definedName name="ZZ_DCF_LTGrowthRateManual" hidden="0" function="0" vbProcedure="0">#REF!</definedName>
    <definedName name="ZZ_DCF_NON_TotalNonCommonEquity" hidden="0" function="0" vbProcedure="0">#REF!</definedName>
    <definedName name="ZZ_EPS_BookValuePS" hidden="0" function="0" vbProcedure="0">#REF!</definedName>
    <definedName name="ZZ_EPS_CFPSFree" hidden="0" function="0" vbProcedure="0">#REF!</definedName>
    <definedName name="ZZ_EPS_CFPSGross" hidden="0" function="0" vbProcedure="0">#REF!</definedName>
    <definedName name="ZZ_EPS_DPS" hidden="0" function="0" vbProcedure="0">#REF!</definedName>
    <definedName name="ZZ_EPS_DPSManual" hidden="0" function="0" vbProcedure="0">#REF!</definedName>
    <definedName name="ZZ_EPS_EPSBasic" hidden="0" function="0" vbProcedure="0">#REF!</definedName>
    <definedName name="ZZ_EPS_EPSBasicManual" hidden="0" function="0" vbProcedure="0">#REF!</definedName>
    <definedName name="ZZ_EPS_EPSBFullyDiluted" hidden="0" function="0" vbProcedure="0">#REF!</definedName>
    <definedName name="ZZ_EPS_EPSBFullyDilutedManual" hidden="0" function="0" vbProcedure="0">#REF!</definedName>
    <definedName name="ZZ_EPS_EPSPrimary" hidden="0" function="0" vbProcedure="0">#REF!</definedName>
    <definedName name="ZZ_EPS_EPSPrimaryManual" hidden="0" function="0" vbProcedure="0">#REF!</definedName>
    <definedName name="ZZ_EPS_MarketCapCurrent" hidden="0" function="0" vbProcedure="0">#REF!</definedName>
    <definedName name="ZZ_EPS_PriorYearAdjAnnual" hidden="0" function="0" vbProcedure="0">#REF!</definedName>
    <definedName name="ZZ_EPS_PriorYearAdjCumulative" hidden="0" function="0" vbProcedure="0">#REF!</definedName>
    <definedName name="ZZ_EPS_SharePriceAtYE" hidden="0" function="0" vbProcedure="0">#REF!</definedName>
    <definedName name="ZZ_EPS_SharePriceAtYEManual" hidden="0" function="0" vbProcedure="0">#REF!</definedName>
    <definedName name="ZZ_EPS_SharesAtYE" hidden="0" function="0" vbProcedure="0">#REF!</definedName>
    <definedName name="ZZ_EPS_SharesAtYEManual" hidden="0" function="0" vbProcedure="0">#REF!</definedName>
    <definedName name="ZZ_EPS_SharesFullyDiluted" hidden="0" function="0" vbProcedure="0">#REF!</definedName>
    <definedName name="ZZ_EPS_SharesFullyDilutedManual" hidden="0" function="0" vbProcedure="0">#REF!</definedName>
    <definedName name="ZZ_EPS_SharesPrimary" hidden="0" function="0" vbProcedure="0">#REF!</definedName>
    <definedName name="ZZ_EPS_SharesPrimaryManual" hidden="0" function="0" vbProcedure="0">#REF!</definedName>
    <definedName name="ZZ_EPS_SharesWgtAvg" hidden="0" function="0" vbProcedure="0">#REF!</definedName>
    <definedName name="ZZ_EPS_SharesWgtAvgManual" hidden="0" function="0" vbProcedure="0">#REF!</definedName>
    <definedName name="ZZ_FRE_Amortization" hidden="0" function="0" vbProcedure="0">#REF!</definedName>
    <definedName name="ZZ_FRE_Balance1" hidden="0" function="0" vbProcedure="0">#REF!</definedName>
    <definedName name="ZZ_FRE_Balance2" hidden="0" function="0" vbProcedure="0">#REF!</definedName>
    <definedName name="ZZ_FRE_CapitalNetAdditions" hidden="0" function="0" vbProcedure="0">#REF!</definedName>
    <definedName name="ZZ_FRE_ChangeInAdjToOperatingInvestedCapital" hidden="0" function="0" vbProcedure="0">#REF!</definedName>
    <definedName name="ZZ_FRE_Depreciation" hidden="0" function="0" vbProcedure="0">#REF!</definedName>
    <definedName name="ZZ_FRE_FreeCashFlow" hidden="0" function="0" vbProcedure="0">#REF!</definedName>
    <definedName name="ZZ_FRE_FreeCashFlowRecon1" hidden="0" function="0" vbProcedure="0">#REF!</definedName>
    <definedName name="ZZ_FRE_FreeCashFlowRecon2" hidden="0" function="0" vbProcedure="0">#REF!</definedName>
    <definedName name="ZZ_FRE_GrossCashFlow" hidden="0" function="0" vbProcedure="0">#REF!</definedName>
    <definedName name="ZZ_FRE_GrossInvestment" hidden="0" function="0" vbProcedure="0">#REF!</definedName>
    <definedName name="ZZ_FRE_NetInvestment" hidden="0" function="0" vbProcedure="0">#REF!</definedName>
    <definedName name="ZZ_FRE_NetInvestmentRate" hidden="0" function="0" vbProcedure="0">#REF!</definedName>
    <definedName name="ZZ_FRE_NOPAT" hidden="0" function="0" vbProcedure="0">#REF!</definedName>
    <definedName name="ZZ_FRE_PaymentsToInvestors" hidden="0" function="0" vbProcedure="0">#REF!</definedName>
    <definedName name="ZZ_GRO_BasicEPS" hidden="0" function="0" vbProcedure="0">#REF!</definedName>
    <definedName name="ZZ_GRO_NetIncome" hidden="0" function="0" vbProcedure="0">#REF!</definedName>
    <definedName name="ZZ_GRO_NOPAT" hidden="0" function="0" vbProcedure="0">#REF!</definedName>
    <definedName name="ZZ_GRO_Revenue" hidden="0" function="0" vbProcedure="0">#REF!</definedName>
    <definedName name="ZZ_INC_AdjToRetainedEarnings" hidden="0" function="0" vbProcedure="0">#REF!</definedName>
    <definedName name="ZZ_INC_AdminExpense" hidden="0" function="0" vbProcedure="0">#REF!</definedName>
    <definedName name="ZZ_INC_Amortization" hidden="0" function="0" vbProcedure="0">#REF!</definedName>
    <definedName name="ZZ_INC_AmortizationGoodwill" hidden="0" function="0" vbProcedure="0">#REF!</definedName>
    <definedName name="ZZ_INC_Associates" hidden="0" function="0" vbProcedure="0">#REF!</definedName>
    <definedName name="ZZ_INC_BeginningRetainedEarnings" hidden="0" function="0" vbProcedure="0">#REF!</definedName>
    <definedName name="ZZ_INC_CashDividends" hidden="0" function="0" vbProcedure="0">#REF!</definedName>
    <definedName name="ZZ_INC_CGS" hidden="0" function="0" vbProcedure="0">#REF!</definedName>
    <definedName name="ZZ_INC_Depreciation" hidden="0" function="0" vbProcedure="0">#REF!</definedName>
    <definedName name="ZZ_INC_EAT" hidden="0" function="0" vbProcedure="0">#REF!</definedName>
    <definedName name="ZZ_INC_EBIT" hidden="0" function="0" vbProcedure="0">#REF!</definedName>
    <definedName name="ZZ_INC_EBITDA" hidden="0" function="0" vbProcedure="0">#REF!</definedName>
    <definedName name="ZZ_INC_EBT" hidden="0" function="0" vbProcedure="0">#REF!</definedName>
    <definedName name="ZZ_INC_EffectiveTaxRate" hidden="0" function="0" vbProcedure="0">#REF!</definedName>
    <definedName name="ZZ_INC_Exceptionals" hidden="0" function="0" vbProcedure="0">#REF!</definedName>
    <definedName name="ZZ_INC_Extraordinaries" hidden="0" function="0" vbProcedure="0">#REF!</definedName>
    <definedName name="ZZ_INC_GrossProfit" hidden="0" function="0" vbProcedure="0">#REF!</definedName>
    <definedName name="ZZ_INC_IncomeTax" hidden="0" function="0" vbProcedure="0">#REF!</definedName>
    <definedName name="ZZ_INC_InterestExpense" hidden="0" function="0" vbProcedure="0">#REF!</definedName>
    <definedName name="ZZ_INC_InterestIncome" hidden="0" function="0" vbProcedure="0">#REF!</definedName>
    <definedName name="ZZ_INC_Minorities" hidden="0" function="0" vbProcedure="0">#REF!</definedName>
    <definedName name="ZZ_INC_NetIncome" hidden="0" function="0" vbProcedure="0">#REF!</definedName>
    <definedName name="ZZ_INC_NonOperatingIncome" hidden="0" function="0" vbProcedure="0">#REF!</definedName>
    <definedName name="ZZ_INC_OperatingIncome" hidden="0" function="0" vbProcedure="0">#REF!</definedName>
    <definedName name="ZZ_INC_OtherAfterTaxIncome" hidden="0" function="0" vbProcedure="0">#REF!</definedName>
    <definedName name="ZZ_INC_OtherIncome" hidden="0" function="0" vbProcedure="0">#REF!</definedName>
    <definedName name="ZZ_INC_OtherOperatingIncome" hidden="0" function="0" vbProcedure="0">#REF!</definedName>
    <definedName name="ZZ_INC_PreferredDividends" hidden="0" function="0" vbProcedure="0">#REF!</definedName>
    <definedName name="ZZ_INC_RetainedProfit" hidden="0" function="0" vbProcedure="0">#REF!</definedName>
    <definedName name="ZZ_INC_Revenue" hidden="0" function="0" vbProcedure="0">#REF!</definedName>
    <definedName name="ZZ_INC_StatutoryAppropriations" hidden="0" function="0" vbProcedure="0">#REF!</definedName>
    <definedName name="ZZ_NOP_AdjToOperatingIncome" hidden="0" function="0" vbProcedure="0">#REF!</definedName>
    <definedName name="ZZ_NOP_ATInterestExpense" hidden="0" function="0" vbProcedure="0">#REF!</definedName>
    <definedName name="ZZ_NOP_ATInterestOnNonCapitalizedLeases" hidden="0" function="0" vbProcedure="0">#REF!</definedName>
    <definedName name="ZZ_NOP_ATNonOperatingIncome" hidden="0" function="0" vbProcedure="0">#REF!</definedName>
    <definedName name="ZZ_NOP_Balance" hidden="0" function="0" vbProcedure="0">#REF!</definedName>
    <definedName name="ZZ_NOP_CashTaxesPaid" hidden="0" function="0" vbProcedure="0">#REF!</definedName>
    <definedName name="ZZ_NOP_ChangeInDeferredTaxes" hidden="0" function="0" vbProcedure="0">#REF!</definedName>
    <definedName name="ZZ_NOP_ChangeInLIFOReserve" hidden="0" function="0" vbProcedure="0">#REF!</definedName>
    <definedName name="ZZ_NOP_EquityEquivalents" hidden="0" function="0" vbProcedure="0">#REF!</definedName>
    <definedName name="ZZ_NOP_IncomeAvailableToInvestors" hidden="0" function="0" vbProcedure="0">#REF!</definedName>
    <definedName name="ZZ_NOP_LeaseAdjustment" hidden="0" function="0" vbProcedure="0">#REF!</definedName>
    <definedName name="ZZ_NOP_MarginalTaxRate" hidden="0" function="0" vbProcedure="0">#REF!</definedName>
    <definedName name="ZZ_NOP_MarginalTaxRateManual" hidden="0" function="0" vbProcedure="0">#REF!</definedName>
    <definedName name="ZZ_NOP_NOPAT" hidden="0" function="0" vbProcedure="0">#REF!</definedName>
    <definedName name="ZZ_NOP_NOPATRecon" hidden="0" function="0" vbProcedure="0">#REF!</definedName>
    <definedName name="ZZ_NOP_NOPBT" hidden="0" function="0" vbProcedure="0">#REF!</definedName>
    <definedName name="ZZ_NOP_TaxesOnOperatingIncomeAdj" hidden="0" function="0" vbProcedure="0">#REF!</definedName>
    <definedName name="ZZ_NOP_TaxOnNonOperatingIncome" hidden="0" function="0" vbProcedure="0">#REF!</definedName>
    <definedName name="ZZ_NOP_TaxShieldOnInterestExpense" hidden="0" function="0" vbProcedure="0">#REF!</definedName>
    <definedName name="ZZ_OTH_AverageAccountsPayable" hidden="0" function="0" vbProcedure="0">#REF!</definedName>
    <definedName name="ZZ_OTH_AverageAccountsReceivable" hidden="0" function="0" vbProcedure="0">#REF!</definedName>
    <definedName name="ZZ_OTH_AverageCapitalizedAssets" hidden="0" function="0" vbProcedure="0">#REF!</definedName>
    <definedName name="ZZ_OTH_AverageInventories" hidden="0" function="0" vbProcedure="0">#REF!</definedName>
    <definedName name="ZZ_OTH_AverageNetFixedAssets" hidden="0" function="0" vbProcedure="0">#REF!</definedName>
    <definedName name="ZZ_OTH_AverageNWC" hidden="0" function="0" vbProcedure="0">#REF!</definedName>
    <definedName name="ZZ_OTH_CashTaxRate" hidden="0" function="0" vbProcedure="0">#REF!</definedName>
    <definedName name="ZZ_OTH_DaysInInventory" hidden="0" function="0" vbProcedure="0">#REF!</definedName>
    <definedName name="ZZ_OTH_DaysPayable" hidden="0" function="0" vbProcedure="0">#REF!</definedName>
    <definedName name="ZZ_OTH_DaysReceivable" hidden="0" function="0" vbProcedure="0">#REF!</definedName>
    <definedName name="ZZ_OTH_DividendPayoutRatio" hidden="0" function="0" vbProcedure="0">#REF!</definedName>
    <definedName name="ZZ_OTH_RetentionRate" hidden="0" function="0" vbProcedure="0">#REF!</definedName>
    <definedName name="ZZ_PRI_BAL_All" hidden="0" function="0" vbProcedure="0">#REF!</definedName>
    <definedName name="ZZ_PRI_CAS_All" hidden="0" function="0" vbProcedure="0">#REF!</definedName>
    <definedName name="ZZ_PRI_COM_All" hidden="0" function="0" vbProcedure="0">#REF!</definedName>
    <definedName name="ZZ_PRI_COS_All" hidden="0" function="0" vbProcedure="0">#REF!</definedName>
    <definedName name="ZZ_PRI_DCF_All" hidden="0" function="0" vbProcedure="0">#REF!</definedName>
    <definedName name="ZZ_PRI_EPS_All" hidden="0" function="0" vbProcedure="0">#REF!</definedName>
    <definedName name="ZZ_PRI_FRE_All" hidden="0" function="0" vbProcedure="0">#REF!</definedName>
    <definedName name="ZZ_PRI_GRO_All" hidden="0" function="0" vbProcedure="0">#REF!</definedName>
    <definedName name="ZZ_PRI_INC_All" hidden="0" function="0" vbProcedure="0">#REF!</definedName>
    <definedName name="ZZ_PRI_INV_All" hidden="0" function="0" vbProcedure="0">#REF!</definedName>
    <definedName name="ZZ_PRI_NOP_All" hidden="0" function="0" vbProcedure="0">#REF!</definedName>
    <definedName name="ZZ_PRI_OTH_All" hidden="0" function="0" vbProcedure="0">#REF!</definedName>
    <definedName name="ZZ_PRI_RET_All" hidden="0" function="0" vbProcedure="0">#REF!</definedName>
    <definedName name="ZZ_PRI_SUM_All" hidden="0" function="0" vbProcedure="0">#REF!</definedName>
    <definedName name="ZZ_PRI_VAL_0" hidden="0" function="0" vbProcedure="0">#REF!</definedName>
    <definedName name="ZZ_PRI_VAL_1" hidden="0" function="0" vbProcedure="0">#REF!</definedName>
    <definedName name="ZZ_RET_DuPont1" hidden="0" function="0" vbProcedure="0">#REF!</definedName>
    <definedName name="ZZ_RET_DuPont10" hidden="0" function="0" vbProcedure="0">#REF!</definedName>
    <definedName name="ZZ_RET_DuPont11" hidden="0" function="0" vbProcedure="0">#REF!</definedName>
    <definedName name="ZZ_RET_DuPont12" hidden="0" function="0" vbProcedure="0">#REF!</definedName>
    <definedName name="ZZ_RET_DuPont2" hidden="0" function="0" vbProcedure="0">#REF!</definedName>
    <definedName name="ZZ_RET_DuPont3" hidden="0" function="0" vbProcedure="0">#REF!</definedName>
    <definedName name="ZZ_RET_DuPont4" hidden="0" function="0" vbProcedure="0">#REF!</definedName>
    <definedName name="ZZ_RET_DuPont5" hidden="0" function="0" vbProcedure="0">#REF!</definedName>
    <definedName name="ZZ_RET_DuPont6" hidden="0" function="0" vbProcedure="0">#REF!</definedName>
    <definedName name="ZZ_RET_DuPont7" hidden="0" function="0" vbProcedure="0">#REF!</definedName>
    <definedName name="ZZ_RET_DuPont8" hidden="0" function="0" vbProcedure="0">#REF!</definedName>
    <definedName name="ZZ_RET_DuPont9" hidden="0" function="0" vbProcedure="0">#REF!</definedName>
    <definedName name="ZZ_RET_InternalGrowth" hidden="0" function="0" vbProcedure="0">#REF!</definedName>
    <definedName name="ZZ_RET_ROEAfterTax" hidden="0" function="0" vbProcedure="0">#REF!</definedName>
    <definedName name="ZZ_RET_ROEPreTax" hidden="0" function="0" vbProcedure="0">#REF!</definedName>
    <definedName name="ZZ_RET_Switch1" hidden="0" function="0" vbProcedure="0">#REF!</definedName>
    <definedName name="ZZ_RET_TotalAssets" hidden="0" function="0" vbProcedure="0">#REF!</definedName>
    <definedName name="ZZ_RET_TotalCapital" hidden="0" function="0" vbProcedure="0">#REF!</definedName>
    <definedName name="ZZ_RET_TotalEquity" hidden="0" function="0" vbProcedure="0">#REF!</definedName>
    <definedName name="ZZ_RET_TotalOperatingInvestedCapital" hidden="0" function="0" vbProcedure="0">#REF!</definedName>
    <definedName name="ZZ_SUM_AdjBVPS" hidden="0" function="0" vbProcedure="0">#REF!</definedName>
    <definedName name="ZZ_SUM_BegOperatingCapital" hidden="0" function="0" vbProcedure="0">#REF!</definedName>
    <definedName name="ZZ_SUM_CapitalCharge" hidden="0" function="0" vbProcedure="0">#REF!</definedName>
    <definedName name="ZZ_SUM_ChangeInEVA" hidden="0" function="0" vbProcedure="0">#REF!</definedName>
    <definedName name="ZZ_SUM_ChangeInMVA" hidden="0" function="0" vbProcedure="0">#REF!</definedName>
    <definedName name="ZZ_SUM_EVA" hidden="0" function="0" vbProcedure="0">#REF!</definedName>
    <definedName name="ZZ_SUM_EVASpread" hidden="0" function="0" vbProcedure="0">#REF!</definedName>
    <definedName name="ZZ_SUM_MVA" hidden="0" function="0" vbProcedure="0">#REF!</definedName>
    <definedName name="ZZ_SUM_MVAPS" hidden="0" function="0" vbProcedure="0">#REF!</definedName>
    <definedName name="ZZ_SUM_OperatingGrowth" hidden="0" function="0" vbProcedure="0">#REF!</definedName>
    <definedName name="ZZ_SUM_ReturnOnCapital" hidden="0" function="0" vbProcedure="0">#REF!</definedName>
    <definedName name="ZZ_SUM_TotalCapital" hidden="0" function="0" vbProcedure="0">#REF!</definedName>
    <definedName name="ZZ_SYS_AnalystName" hidden="0" function="0" vbProcedure="0">#REF!</definedName>
    <definedName name="ZZ_SYS_AutomaticData" hidden="0" function="0" vbProcedure="0">#REF!</definedName>
    <definedName name="ZZ_SYS_AvailableToForeigners" hidden="0" function="0" vbProcedure="0">#REF!</definedName>
    <definedName name="ZZ_SYS_Beta" hidden="0" function="0" vbProcedure="0">#REF!</definedName>
    <definedName name="ZZ_SYS_CodeBloomberg" hidden="0" function="0" vbProcedure="0">#REF!</definedName>
    <definedName name="ZZ_SYS_CodeDatastream" hidden="0" function="0" vbProcedure="0">#REF!</definedName>
    <definedName name="ZZ_SYS_CodeFileName" hidden="0" function="0" vbProcedure="0">#REF!</definedName>
    <definedName name="ZZ_SYS_CodeFilePath" hidden="0" function="0" vbProcedure="0">#REF!</definedName>
    <definedName name="ZZ_SYS_CodeFilePathTemp" hidden="0" function="0" vbProcedure="0">#REF!</definedName>
    <definedName name="ZZ_SYS_CodeLocal" hidden="0" function="0" vbProcedure="0">#REF!</definedName>
    <definedName name="ZZ_SYS_CodeReuters" hidden="0" function="0" vbProcedure="0">#REF!</definedName>
    <definedName name="ZZ_SYS_CompanyName" hidden="0" function="0" vbProcedure="0">#REF!</definedName>
    <definedName name="ZZ_SYS_CostOfDebt" hidden="0" function="0" vbProcedure="0">#REF!</definedName>
    <definedName name="ZZ_SYS_Country" hidden="0" function="0" vbProcedure="0">#REF!</definedName>
    <definedName name="ZZ_SYS_Currency" hidden="0" function="0" vbProcedure="0">#REF!</definedName>
    <definedName name="ZZ_SYS_CurrencyManual" hidden="0" function="0" vbProcedure="0">#REF!</definedName>
    <definedName name="ZZ_SYS_CurrentDateManual" hidden="0" function="0" vbProcedure="0">#REF!</definedName>
    <definedName name="ZZ_SYS_CurrentFreeFloatLocalManual" hidden="0" function="0" vbProcedure="0">#REF!</definedName>
    <definedName name="ZZ_SYS_CurrentMarketCapIssuedForeignManual" hidden="0" function="0" vbProcedure="0">#REF!</definedName>
    <definedName name="ZZ_SYS_CurrentMarketCapIssuedLocalAuto" hidden="0" function="0" vbProcedure="0">#REF!</definedName>
    <definedName name="ZZ_SYS_CurrentMarketCapIssuedLocalManual" hidden="0" function="0" vbProcedure="0">#REF!</definedName>
    <definedName name="ZZ_SYS_CurrentMonthNo" hidden="0" function="0" vbProcedure="0">#REF!</definedName>
    <definedName name="ZZ_SYS_CurrentPriceForeignAuto" hidden="0" function="0" vbProcedure="0">#REF!</definedName>
    <definedName name="ZZ_SYS_CurrentPriceForeignManual" hidden="0" function="0" vbProcedure="0">#REF!</definedName>
    <definedName name="ZZ_SYS_CurrentPriceLocalAuto" hidden="0" function="0" vbProcedure="0">#REF!</definedName>
    <definedName name="ZZ_SYS_CurrentPriceLocalManual" hidden="0" function="0" vbProcedure="0">#REF!</definedName>
    <definedName name="ZZ_SYS_CurrentSharesFreeFloatLocalManual" hidden="0" function="0" vbProcedure="0">#REF!</definedName>
    <definedName name="ZZ_SYS_CurrentSharesIssuedLocalAuto" hidden="0" function="0" vbProcedure="0">#REF!</definedName>
    <definedName name="ZZ_SYS_CurrentSharesIssuedLocalManual" hidden="0" function="0" vbProcedure="0">#REF!</definedName>
    <definedName name="ZZ_SYS_CurrentYearEnd" hidden="0" function="0" vbProcedure="0">#REF!</definedName>
    <definedName name="ZZ_SYS_Customize" hidden="0" function="0" vbProcedure="0">#REF!</definedName>
    <definedName name="ZZ_SYS_CustomPassword" hidden="0" function="0" vbProcedure="0">#REF!</definedName>
    <definedName name="ZZ_SYS_DecimalPlacesChoices" hidden="0" function="0" vbProcedure="0">#REF!</definedName>
    <definedName name="ZZ_SYS_DecimalPlacesMainIndex" hidden="0" function="0" vbProcedure="0">#REF!</definedName>
    <definedName name="ZZ_SYS_DecimalPlacesMultiplesIndex" hidden="0" function="0" vbProcedure="0">#REF!</definedName>
    <definedName name="ZZ_SYS_DecimalPlacesOtherIndex" hidden="0" function="0" vbProcedure="0">#REF!</definedName>
    <definedName name="ZZ_SYS_DecimalPlacesPercentIndex" hidden="0" function="0" vbProcedure="0">#REF!</definedName>
    <definedName name="ZZ_SYS_DecimalPlacesPriceIndex" hidden="0" function="0" vbProcedure="0">#REF!</definedName>
    <definedName name="ZZ_SYS_EquityRiskPremium" hidden="0" function="0" vbProcedure="0">#REF!</definedName>
    <definedName name="ZZ_SYS_Error1" hidden="0" function="0" vbProcedure="0">#REF!</definedName>
    <definedName name="ZZ_SYS_ExcludeMidYearAdj" hidden="0" function="0" vbProcedure="0">#REF!</definedName>
    <definedName name="ZZ_SYS_ExcludeTerminalValues" hidden="0" function="0" vbProcedure="0">#REF!</definedName>
    <definedName name="ZZ_SYS_ExpiryDate" hidden="0" function="0" vbProcedure="0">#REF!</definedName>
    <definedName name="ZZ_SYS_ExpiryStatus" hidden="0" function="0" vbProcedure="0">#REF!</definedName>
    <definedName name="ZZ_SYS_HideLicenseAgreement" hidden="0" function="0" vbProcedure="0">#REF!</definedName>
    <definedName name="ZZ_SYS_Installed" hidden="0" function="0" vbProcedure="0">#REF!</definedName>
    <definedName name="ZZ_SYS_InstalledBy" hidden="0" function="0" vbProcedure="0">#REF!</definedName>
    <definedName name="ZZ_SYS_InstalledDate" hidden="0" function="0" vbProcedure="0">#REF!</definedName>
    <definedName name="ZZ_SYS_LatestModelUpdate" hidden="0" function="0" vbProcedure="0">#REF!</definedName>
    <definedName name="ZZ_SYS_LatestModelUpdateAuto" hidden="0" function="0" vbProcedure="0">#REF!</definedName>
    <definedName name="ZZ_SYS_LatestModelUpdateManual" hidden="0" function="0" vbProcedure="0">#REF!</definedName>
    <definedName name="ZZ_SYS_LatestPriceUpdate" hidden="0" function="0" vbProcedure="0">#REF!</definedName>
    <definedName name="ZZ_SYS_LatestPriceUpdateAuto" hidden="0" function="0" vbProcedure="0">#REF!</definedName>
    <definedName name="ZZ_SYS_LatestPriceUpdateManual" hidden="0" function="0" vbProcedure="0">#REF!</definedName>
    <definedName name="ZZ_SYS_LocalCodeName" hidden="0" function="0" vbProcedure="0">#REF!</definedName>
    <definedName name="ZZ_SYS_MarketCapIssued" hidden="0" function="0" vbProcedure="0">#REF!</definedName>
    <definedName name="ZZ_SYS_MarketCode" hidden="0" function="0" vbProcedure="0">#REF!</definedName>
    <definedName name="ZZ_SYS_MarketCodeUsed" hidden="0" function="0" vbProcedure="0">#REF!</definedName>
    <definedName name="ZZ_SYS_MarketEPSGrowth" hidden="0" function="0" vbProcedure="0">#REF!</definedName>
    <definedName name="ZZ_SYS_MarketID" hidden="0" function="0" vbProcedure="0">#REF!</definedName>
    <definedName name="ZZ_SYS_MarketIDUsed" hidden="0" function="0" vbProcedure="0">#REF!</definedName>
    <definedName name="ZZ_SYS_MarketName" hidden="0" function="0" vbProcedure="0">#REF!</definedName>
    <definedName name="ZZ_SYS_MarketNameUsed" hidden="0" function="0" vbProcedure="0">#REF!</definedName>
    <definedName name="ZZ_SYS_MarketPE" hidden="0" function="0" vbProcedure="0">#REF!</definedName>
    <definedName name="ZZ_SYS_ModelID" hidden="0" function="0" vbProcedure="0">#REF!</definedName>
    <definedName name="ZZ_SYS_ModelType" hidden="0" function="0" vbProcedure="0">#REF!</definedName>
    <definedName name="ZZ_SYS_PRI_Activity" hidden="0" function="0" vbProcedure="0">#REF!</definedName>
    <definedName name="ZZ_SYS_PRI_BAL_All" hidden="0" function="0" vbProcedure="0">#REF!</definedName>
    <definedName name="ZZ_SYS_PRI_CAS_All" hidden="0" function="0" vbProcedure="0">#REF!</definedName>
    <definedName name="ZZ_SYS_PRI_COM_All" hidden="0" function="0" vbProcedure="0">#REF!</definedName>
    <definedName name="ZZ_SYS_PRI_COS_All" hidden="0" function="0" vbProcedure="0">#REF!</definedName>
    <definedName name="ZZ_SYS_PRI_DCF_All" hidden="0" function="0" vbProcedure="0">#REF!</definedName>
    <definedName name="ZZ_SYS_PRI_EPS_All" hidden="0" function="0" vbProcedure="0">#REF!</definedName>
    <definedName name="ZZ_SYS_PRI_Favourites" hidden="0" function="0" vbProcedure="0">#REF!</definedName>
    <definedName name="ZZ_SYS_PRI_FRE_All" hidden="0" function="0" vbProcedure="0">#REF!</definedName>
    <definedName name="ZZ_SYS_PRI_GRO_All" hidden="0" function="0" vbProcedure="0">#REF!</definedName>
    <definedName name="ZZ_SYS_PRI_INC_All" hidden="0" function="0" vbProcedure="0">#REF!</definedName>
    <definedName name="ZZ_SYS_PRI_INV_All" hidden="0" function="0" vbProcedure="0">#REF!</definedName>
    <definedName name="ZZ_SYS_PRI_NOP_All" hidden="0" function="0" vbProcedure="0">#REF!</definedName>
    <definedName name="ZZ_SYS_PRI_OTH_All" hidden="0" function="0" vbProcedure="0">#REF!</definedName>
    <definedName name="ZZ_SYS_PRI_RangeNames" hidden="0" function="0" vbProcedure="0">#REF!</definedName>
    <definedName name="ZZ_SYS_PRI_RangeTitles" hidden="0" function="0" vbProcedure="0">#REF!</definedName>
    <definedName name="ZZ_SYS_PRI_RET_All" hidden="0" function="0" vbProcedure="0">#REF!</definedName>
    <definedName name="ZZ_SYS_PRI_SUM_All" hidden="0" function="0" vbProcedure="0">#REF!</definedName>
    <definedName name="ZZ_SYS_PRI_VAL0" hidden="0" function="0" vbProcedure="0">#REF!</definedName>
    <definedName name="ZZ_SYS_PRI_VAL1" hidden="0" function="0" vbProcedure="0">#REF!</definedName>
    <definedName name="ZZ_SYS_Recommendation" hidden="0" function="0" vbProcedure="0">#REF!</definedName>
    <definedName name="ZZ_SYS_RecommendationDate" hidden="0" function="0" vbProcedure="0">#REF!</definedName>
    <definedName name="ZZ_SYS_RiskFreeRate" hidden="0" function="0" vbProcedure="0">#REF!</definedName>
    <definedName name="ZZ_SYS_Rounding" hidden="0" function="0" vbProcedure="0">#REF!</definedName>
    <definedName name="ZZ_SYS_RoundingIndex" hidden="0" function="0" vbProcedure="0">#REF!</definedName>
    <definedName name="ZZ_SYS_SectionName01" hidden="0" function="0" vbProcedure="0">#REF!</definedName>
    <definedName name="ZZ_SYS_SectionName02" hidden="0" function="0" vbProcedure="0">#REF!</definedName>
    <definedName name="ZZ_SYS_SectionName03" hidden="0" function="0" vbProcedure="0">#REF!</definedName>
    <definedName name="ZZ_SYS_SectionName04" hidden="0" function="0" vbProcedure="0">#REF!</definedName>
    <definedName name="ZZ_SYS_SectionName05" hidden="0" function="0" vbProcedure="0">#REF!</definedName>
    <definedName name="ZZ_SYS_SectionName06" hidden="0" function="0" vbProcedure="0">#REF!</definedName>
    <definedName name="ZZ_SYS_SectionName07" hidden="0" function="0" vbProcedure="0">#REF!</definedName>
    <definedName name="ZZ_SYS_SectionName08" hidden="0" function="0" vbProcedure="0">#REF!</definedName>
    <definedName name="ZZ_SYS_SectionName09" hidden="0" function="0" vbProcedure="0">#REF!</definedName>
    <definedName name="ZZ_SYS_SectionName10" hidden="0" function="0" vbProcedure="0">#REF!</definedName>
    <definedName name="ZZ_SYS_SectionName11" hidden="0" function="0" vbProcedure="0">#REF!</definedName>
    <definedName name="ZZ_SYS_SectionName12" hidden="0" function="0" vbProcedure="0">#REF!</definedName>
    <definedName name="ZZ_SYS_SectionName13" hidden="0" function="0" vbProcedure="0">#REF!</definedName>
    <definedName name="ZZ_SYS_SectionName14" hidden="0" function="0" vbProcedure="0">#REF!</definedName>
    <definedName name="ZZ_SYS_SectionName15" hidden="0" function="0" vbProcedure="0">#REF!</definedName>
    <definedName name="ZZ_SYS_SectionName16" hidden="0" function="0" vbProcedure="0">#REF!</definedName>
    <definedName name="ZZ_SYS_SectorCode" hidden="0" function="0" vbProcedure="0">#REF!</definedName>
    <definedName name="ZZ_SYS_SectorCodeUsed" hidden="0" function="0" vbProcedure="0">#REF!</definedName>
    <definedName name="ZZ_SYS_SectorID" hidden="0" function="0" vbProcedure="0">#REF!</definedName>
    <definedName name="ZZ_SYS_SectorIDUsed" hidden="0" function="0" vbProcedure="0">#REF!</definedName>
    <definedName name="ZZ_SYS_SectorName" hidden="0" function="0" vbProcedure="0">#REF!</definedName>
    <definedName name="ZZ_SYS_SectorNameUsed" hidden="0" function="0" vbProcedure="0">#REF!</definedName>
    <definedName name="ZZ_SYS_SharePrice" hidden="0" function="0" vbProcedure="0">#REF!</definedName>
    <definedName name="ZZ_SYS_SharesIssued" hidden="0" function="0" vbProcedure="0">#REF!</definedName>
    <definedName name="ZZ_SYS_SheetNames" hidden="0" function="0" vbProcedure="0">#REF!</definedName>
    <definedName name="ZZ_SYS_ShowPercents" hidden="0" function="0" vbProcedure="0">#REF!</definedName>
    <definedName name="ZZ_SYS_ShowXs" hidden="0" function="0" vbProcedure="0">#REF!</definedName>
    <definedName name="ZZ_SYS_Units" hidden="0" function="0" vbProcedure="0">#REF!</definedName>
    <definedName name="ZZ_SYS_UnitsManual" hidden="0" function="0" vbProcedure="0">#REF!</definedName>
    <definedName name="ZZ_SYS_UseCalculationHandling" hidden="0" function="0" vbProcedure="0">#REF!</definedName>
    <definedName name="ZZ_SYS_UseForeignPrice" hidden="0" function="0" vbProcedure="0">#REF!</definedName>
    <definedName name="ZZ_SYS_UsePrintRangeHandling" hidden="0" function="0" vbProcedure="0">#REF!</definedName>
    <definedName name="ZZ_SYS_UserMode" hidden="0" function="0" vbProcedure="0">#REF!</definedName>
    <definedName name="ZZ_SYS_UseTaxDeductibleGoodwillAmort" hidden="0" function="0" vbProcedure="0">#REF!</definedName>
    <definedName name="ZZ_SYS_VersionDate" hidden="0" function="0" vbProcedure="0">#REF!</definedName>
    <definedName name="ZZ_SYS_VersionNo" hidden="0" function="0" vbProcedure="0">#REF!</definedName>
    <definedName name="ZZ_SYS_YearCodeForecast" hidden="0" function="0" vbProcedure="0">#REF!</definedName>
    <definedName name="ZZ_SYS_YearCodeHistoric" hidden="0" function="0" vbProcedure="0">#REF!</definedName>
    <definedName name="ZZ_VAL_DDM_DiscountedDividends" hidden="0" function="0" vbProcedure="0">#REF!</definedName>
    <definedName name="ZZ_VAL_DDM_DiscountFactor" hidden="0" function="0" vbProcedure="0">#REF!</definedName>
    <definedName name="ZZ_VAL_DDM_DiscountRate" hidden="0" function="0" vbProcedure="0">#REF!</definedName>
    <definedName name="ZZ_VAL_DDM_DiscountRateManual" hidden="0" function="0" vbProcedure="0">#REF!</definedName>
    <definedName name="ZZ_VAL_DDM_Dividends" hidden="0" function="0" vbProcedure="0">#REF!</definedName>
    <definedName name="ZZ_VAL_DDM_DividendsManual" hidden="0" function="0" vbProcedure="0">#REF!</definedName>
    <definedName name="ZZ_VAL_DDM_ImpliedEquityValue" hidden="0" function="0" vbProcedure="0">#REF!</definedName>
    <definedName name="ZZ_VAL_DDM_ImpliedEquityValuePerShare" hidden="0" function="0" vbProcedure="0">#REF!</definedName>
    <definedName name="ZZ_VAL_DDM_LTGrowthRate" hidden="0" function="0" vbProcedure="0">#REF!</definedName>
    <definedName name="ZZ_VAL_DDM_LTGrowthRateManual" hidden="0" function="0" vbProcedure="0">#REF!</definedName>
    <definedName name="ZZ_VAL_DDM_TotalValue" hidden="0" function="0" vbProcedure="0">#REF!</definedName>
    <definedName name="ZZ_VAL_ENT_AdjToEquityValue" hidden="0" function="0" vbProcedure="0">#REF!</definedName>
    <definedName name="ZZ_VAL_ENT_EBITDA" hidden="0" function="0" vbProcedure="0">#REF!</definedName>
    <definedName name="ZZ_VAL_ENT_EnterpriseValue" hidden="0" function="0" vbProcedure="0">#REF!</definedName>
    <definedName name="ZZ_VAL_ENT_EquityValue" hidden="0" function="0" vbProcedure="0">#REF!</definedName>
    <definedName name="ZZ_VAL_IRR_FreeCashFlow" hidden="0" function="0" vbProcedure="0">#REF!</definedName>
    <definedName name="ZZ_VAL_IRR_FreeCashFlowManual" hidden="0" function="0" vbProcedure="0">#REF!</definedName>
    <definedName name="ZZ_VAL_PER_MarketCapActual" hidden="0" function="0" vbProcedure="0">#REF!</definedName>
    <definedName name="ZZ_VAL_PER_NetIncome" hidden="0" function="0" vbProcedure="0">#REF!</definedName>
    <definedName name="ZZ_VAL_PER_PEMultiple" hidden="0" function="0" vbProcedure="0">#REF!</definedName>
    <definedName name="ZZ_VAL_PER_PriceActual" hidden="0" function="0" vbProcedure="0">#REF!</definedName>
    <definedName name="\agro" hidden="0" function="0" vbProcedure="0">[1]Summary!$A$1</definedName>
    <definedName name="\agro2" hidden="0" function="0" vbProcedure="0">[1]Summary!$A$1</definedName>
    <definedName name="\B" hidden="0" function="0" vbProcedure="0">[2]Pulses!$A$1</definedName>
    <definedName name="\D" hidden="0" function="0" vbProcedure="0">[2]Pulses!$A$1</definedName>
    <definedName name="\P" hidden="0" function="0" vbProcedure="0">[2]Pulses!$A$1</definedName>
    <definedName name="\Q" hidden="0" function="0" vbProcedure="0">'[3]#REF'!$IK$6512</definedName>
    <definedName name="\S" hidden="0" function="0" vbProcedure="0">[2]Pulses!$A$62465</definedName>
    <definedName name="_3_" hidden="0" function="0" vbProcedure="0">[4]Sheet2!$A$1</definedName>
    <definedName name="_6_0RMconsu" hidden="0" function="0" vbProcedure="0">[5]Old!$A$1</definedName>
    <definedName name="_B" hidden="0" function="0" vbProcedure="0">[6]Pulses!$A$1</definedName>
    <definedName name="_B___0" hidden="0" function="0" vbProcedure="0">[6]Pulses!$A$1</definedName>
    <definedName name="_B___6" hidden="0" function="0" vbProcedure="0">[7]Pulses!$A$1</definedName>
    <definedName name="_ce1" hidden="0" function="0" vbProcedure="0">'[8]agrops&amp;ce'!$L$6:$L$44</definedName>
    <definedName name="_D" hidden="0" function="0" vbProcedure="0">[6]Pulses!$A$11009</definedName>
    <definedName name="_day1" hidden="0" function="0" vbProcedure="0">#REF!</definedName>
    <definedName name="_day2" hidden="0" function="0" vbProcedure="0">#REF!</definedName>
    <definedName name="_day3" hidden="0" function="0" vbProcedure="0">#REF!</definedName>
    <definedName name="_dd1" hidden="0" function="0" vbProcedure="0">[2]Pulses!$A$1:$S$311</definedName>
    <definedName name="_dd2" hidden="0" function="0" vbProcedure="0">[7]Pulses!$A$1:$S$311</definedName>
    <definedName name="_D___0" hidden="0" function="0" vbProcedure="0">[6]Pulses!$A$1</definedName>
    <definedName name="_D___6" hidden="0" function="0" vbProcedure="0">[7]Pulses!$A$1</definedName>
    <definedName name="_Key2" hidden="0" function="0" vbProcedure="0">'[3]#REF'!$D$1:$D$266</definedName>
    <definedName name="_Order1" hidden="0" function="0" vbProcedure="0">255</definedName>
    <definedName name="_Order2" hidden="0" function="0" vbProcedure="0">255</definedName>
    <definedName name="_P" hidden="0" function="0" vbProcedure="0">[6]Pulses!$B$2305</definedName>
    <definedName name="_P___0" hidden="0" function="0" vbProcedure="0">[6]Pulses!$A$1</definedName>
    <definedName name="_P___6" hidden="0" function="0" vbProcedure="0">[7]Pulses!$A$1</definedName>
    <definedName name="_Regression_Int" hidden="0" function="0" vbProcedure="0">1</definedName>
    <definedName name="_Regression_Out" hidden="0" function="0" vbProcedure="0">[9]Internet!$A$1</definedName>
    <definedName name="_S" hidden="0" function="0" vbProcedure="0">[6]Pulses!$A$1</definedName>
    <definedName name="_Sort" hidden="0" function="0" vbProcedure="0">'[3]#REF'!$A$1:$AC$265</definedName>
    <definedName name="_S___0" hidden="0" function="0" vbProcedure="0">[6]Pulses!$A$1</definedName>
    <definedName name="_S___6" hidden="0" function="0" vbProcedure="0">[7]Pulses!$A$1</definedName>
    <definedName name="_Table2_In1" hidden="0" function="0" vbProcedure="0">#REF!</definedName>
    <definedName name="_Table2_In2" hidden="0" function="0" vbProcedure="0">#REF!</definedName>
    <definedName name="_Table2_Out" hidden="0" function="0" vbProcedure="0">#REF!</definedName>
    <definedName name="__123Graph_A" hidden="0" function="0" vbProcedure="0">[3]MSI9920B!$A$1</definedName>
    <definedName name="__123Graph_B" hidden="0" function="0" vbProcedure="0">[3]MSI9920B!$A$1</definedName>
    <definedName name="__123Graph_C" hidden="0" function="0" vbProcedure="0">[3]MSI9920B!$A$1</definedName>
    <definedName name="__123Graph_D" hidden="0" function="0" vbProcedure="0">[3]MSI9920B!$A$1</definedName>
    <definedName name="__123Graph_E" hidden="0" function="0" vbProcedure="0">[3]MSI9920B!$A$1</definedName>
    <definedName name="__123Graph_X" hidden="0" function="0" vbProcedure="0">[3]MSI9920B!$A$1</definedName>
    <definedName name="_xlnm.Print_Area" localSheetId="5">'INCOME STATEMENT'!$A$1:$A$49</definedName>
    <definedName name="a" localSheetId="6" hidden="0" function="0" vbProcedure="0">[10]Earning_Assum!$A$2305</definedName>
    <definedName name="AA" localSheetId="6" hidden="0" function="0" vbProcedure="0">[10]Earning_Assum!$A$3</definedName>
    <definedName name="aaa" localSheetId="6" hidden="0" function="0" vbProcedure="0">#REF!</definedName>
    <definedName name="Acquition" localSheetId="6" hidden="0" function="0" vbProcedure="0">#REF!</definedName>
    <definedName name="advertising" localSheetId="6" hidden="0" function="0" vbProcedure="0">#REF!</definedName>
    <definedName name="AFHrs" localSheetId="6" hidden="0" function="0" vbProcedure="0">#REF!</definedName>
    <definedName name="AFKW" localSheetId="6" hidden="0" function="0" vbProcedure="0">#REF!</definedName>
    <definedName name="agro1" localSheetId="6" hidden="0" function="0" vbProcedure="0">[1]Summary!$A$2305</definedName>
    <definedName name="agro2" localSheetId="6" hidden="0" function="0" vbProcedure="0">[1]Summary!$A$10</definedName>
    <definedName name="agro4" localSheetId="6" hidden="0" function="0" vbProcedure="0">[1]Summary!$A$1</definedName>
    <definedName name="Analyst" localSheetId="6" hidden="0" function="0" vbProcedure="0">#REF!</definedName>
    <definedName name="ARBL" localSheetId="6" hidden="0" function="0" vbProcedure="0">#REF!</definedName>
    <definedName name="asd" localSheetId="6" hidden="0" function="0" vbProcedure="0">#REF!</definedName>
    <definedName name="avg_vol_3m" localSheetId="6" hidden="0" function="0" vbProcedure="0">#REF!</definedName>
    <definedName name="B" localSheetId="6" hidden="0" function="0" vbProcedure="0">[10]Earning_Assum!$FE$14</definedName>
    <definedName name="bal" localSheetId="6" hidden="0" function="0" vbProcedure="0">#REF!</definedName>
    <definedName name="Balloon" localSheetId="6" hidden="0" function="0" vbProcedure="0">#REF!</definedName>
    <definedName name="Balloon_Amount" localSheetId="6" hidden="0" function="0" vbProcedure="0">#REF!</definedName>
    <definedName name="Basicshares" localSheetId="6" hidden="0" function="0" vbProcedure="0">#REF!</definedName>
    <definedName name="Basicsharesoutstanding" localSheetId="6" hidden="0" function="0" vbProcedure="0">#REF!</definedName>
    <definedName name="BasicYearEndEPS" localSheetId="6" hidden="0" function="0" vbProcedure="0">#REF!</definedName>
    <definedName name="BasicYearEndShares" localSheetId="6" hidden="0" function="0" vbProcedure="0">#REF!</definedName>
    <definedName name="BB" localSheetId="6" hidden="0" function="0" vbProcedure="0">[10]Earning_Assum!$A$2305</definedName>
    <definedName name="BE1_0" localSheetId="6" hidden="0" function="0" vbProcedure="0">#REF!</definedName>
    <definedName name="BE2_0" localSheetId="6" hidden="0" function="0" vbProcedure="0">#REF!,#REF!,#REF!</definedName>
    <definedName name="BE3_0" localSheetId="6" hidden="0" function="0" vbProcedure="0">#REF!,#REF!,#REF!</definedName>
    <definedName name="BE4_0" localSheetId="6" hidden="0" function="0" vbProcedure="0">#REF!,#REF!,#REF!</definedName>
    <definedName name="BE5_0" localSheetId="6" hidden="0" function="0" vbProcedure="0">#REF!,#REF!,#REF!</definedName>
    <definedName name="BL1_0" localSheetId="6" hidden="0" function="0" vbProcedure="0">#REF!</definedName>
    <definedName name="BL2_0" localSheetId="6" hidden="0" function="0" vbProcedure="0">#REF!,#REF!,#REF!</definedName>
    <definedName name="BL3_0" localSheetId="6" hidden="0" function="0" vbProcedure="0">#REF!,#REF!,#REF!</definedName>
    <definedName name="BL4_0" localSheetId="6" hidden="0" function="0" vbProcedure="0">#REF!,#REF!,#REF!</definedName>
    <definedName name="BL5_0" localSheetId="6" hidden="0" function="0" vbProcedure="0">#REF!,#REF!,#REF!</definedName>
    <definedName name="block_balancesheet_blue" localSheetId="6" hidden="0" function="0" vbProcedure="0">#REF!</definedName>
    <definedName name="block_businessbackground_blue" localSheetId="6" hidden="0" function="0" vbProcedure="0">#REF!</definedName>
    <definedName name="block_capitalhistory_blue" localSheetId="6" hidden="0" function="0" vbProcedure="0">#REF!</definedName>
    <definedName name="block_cashflow_blue" localSheetId="6" hidden="0" function="0" vbProcedure="0">#REF!</definedName>
    <definedName name="block_expansionplans_blue" localSheetId="6" hidden="0" function="0" vbProcedure="0">#REF!</definedName>
    <definedName name="block_forecasts_blue" localSheetId="6" hidden="0" function="0" vbProcedure="0">#REF!</definedName>
    <definedName name="block_identityblock_blue" localSheetId="6" hidden="0" function="0" vbProcedure="0">#REF!</definedName>
    <definedName name="block_incomestatement_blue" localSheetId="6" hidden="0" function="0" vbProcedure="0">#REF!</definedName>
    <definedName name="block_investmentargument_blue" localSheetId="6" hidden="0" function="0" vbProcedure="0">#REF!</definedName>
    <definedName name="block_keyassumptions2_blue" localSheetId="6" hidden="0" function="0" vbProcedure="0">#REF!</definedName>
    <definedName name="block_keyassumptions_blue" localSheetId="6" hidden="0" function="0" vbProcedure="0">#REF!</definedName>
    <definedName name="block_mainpoints_red" localSheetId="6" hidden="0" function="0" vbProcedure="0">#REF!</definedName>
    <definedName name="block_PEBANDS_none" localSheetId="6" hidden="0" function="0" vbProcedure="0">#REF!</definedName>
    <definedName name="block_perrel_none" localSheetId="6" hidden="0" function="0" vbProcedure="0">#REF!</definedName>
    <definedName name="block_pricetrends_none" localSheetId="6" hidden="0" function="0" vbProcedure="0">#REF!</definedName>
    <definedName name="block_ratioanalysis_blue" localSheetId="6" hidden="0" function="0" vbProcedure="0">#REF!</definedName>
    <definedName name="block_salesbreakdown_none" localSheetId="6" hidden="0" function="0" vbProcedure="0">#REF!</definedName>
    <definedName name="block_shareholdingpattern_blue" localSheetId="6" hidden="0" function="0" vbProcedure="0">#REF!</definedName>
    <definedName name="block_title_blue" localSheetId="6" hidden="0" function="0" vbProcedure="0">#REF!</definedName>
    <definedName name="Bloomberg" localSheetId="6" hidden="0" function="0" vbProcedure="0">#REF!</definedName>
    <definedName name="Bookvalue" localSheetId="6" hidden="0" function="0" vbProcedure="0">#REF!</definedName>
    <definedName name="bs" localSheetId="6" hidden="0" function="0" vbProcedure="0">#REF!</definedName>
    <definedName name="BSE200Member" localSheetId="6" hidden="0" function="0" vbProcedure="0">#REF!</definedName>
    <definedName name="BSECode" localSheetId="6" hidden="0" function="0" vbProcedure="0">#REF!</definedName>
    <definedName name="bs_sski" localSheetId="6" hidden="0" function="0" vbProcedure="0">#REF!</definedName>
    <definedName name="BuiltIn_Print_Area" localSheetId="6" hidden="0" function="0" vbProcedure="0">#REF!</definedName>
    <definedName name="BuiltIn_Print_Titles" localSheetId="6" hidden="0" function="0" vbProcedure="0">#REF!</definedName>
    <definedName name="BuiltIn_Print_Titles___0" localSheetId="6" hidden="0" function="0" vbProcedure="0">#REF!</definedName>
    <definedName name="BuiltIn_Print_Titles___0___0" localSheetId="6" hidden="0" function="0" vbProcedure="0">#REF!</definedName>
    <definedName name="BuiltIn_Print_Titles___0___0___0" localSheetId="6" hidden="0" function="0" vbProcedure="0">#REF!</definedName>
    <definedName name="BuiltIn_Print_Titles___0___0___0___0" localSheetId="6" hidden="0" function="0" vbProcedure="0">#REF!</definedName>
    <definedName name="buyback" localSheetId="6" hidden="0" function="0" vbProcedure="0">#REF!</definedName>
    <definedName name="CABLE" localSheetId="6" hidden="0" function="0" vbProcedure="0">#REF!</definedName>
    <definedName name="capacity" localSheetId="6" hidden="0" function="0" vbProcedure="0">[14]sales!$A$769</definedName>
    <definedName name="CapitalEmployed" localSheetId="6" hidden="0" function="0" vbProcedure="0">#REF!</definedName>
    <definedName name="CapitalExpenditure" localSheetId="6" hidden="0" function="0" vbProcedure="0">#REF!</definedName>
    <definedName name="Capitalisation" localSheetId="6" hidden="0" function="0" vbProcedure="0">#REF!</definedName>
    <definedName name="CashflowfromOperations" localSheetId="6" hidden="0" function="0" vbProcedure="0">#REF!</definedName>
    <definedName name="caz_bs" localSheetId="6" hidden="0" function="0" vbProcedure="0">#REF!</definedName>
    <definedName name="caz_cf" localSheetId="6" hidden="0" function="0" vbProcedure="0">#REF!</definedName>
    <definedName name="caz_pl" localSheetId="6" hidden="0" function="0" vbProcedure="0">#REF!</definedName>
    <definedName name="caz_ratio" localSheetId="6" hidden="0" function="0" vbProcedure="0">#REF!</definedName>
    <definedName name="CCC" localSheetId="6" hidden="0" function="0" vbProcedure="0">[10]Earning_Assum!$A$2305</definedName>
    <definedName name="ce" localSheetId="6" hidden="0" function="0" vbProcedure="0">#REF!</definedName>
    <definedName name="cell" localSheetId="6" hidden="0" function="0" vbProcedure="0">#REF!</definedName>
    <definedName name="centre_1" localSheetId="6" hidden="0" function="0" vbProcedure="0">#REF!</definedName>
    <definedName name="centre_2" localSheetId="6" hidden="0" function="0" vbProcedure="0">#REF!</definedName>
    <definedName name="cf" localSheetId="6" hidden="0" function="0" vbProcedure="0">#REF!</definedName>
    <definedName name="CFPS_Curr_Yr" localSheetId="6" hidden="0" function="0" vbProcedure="0">#REF!</definedName>
    <definedName name="CFPS_Lst_Yr" localSheetId="6" hidden="0" function="0" vbProcedure="0">#REF!</definedName>
    <definedName name="CFPS_Next_Yr" localSheetId="6" hidden="0" function="0" vbProcedure="0">#REF!</definedName>
    <definedName name="ChangesInWorkingCapital" localSheetId="6" hidden="0" function="0" vbProcedure="0">#REF!</definedName>
    <definedName name="Cochin" localSheetId="6" hidden="0" function="0" vbProcedure="0">#REF!</definedName>
    <definedName name="commerce" localSheetId="6" hidden="0" function="0" vbProcedure="0">#REF!</definedName>
    <definedName name="CommonDividendPaidOut" localSheetId="6" hidden="0" function="0" vbProcedure="0">#REF!</definedName>
    <definedName name="CommonStock" localSheetId="6" hidden="0" function="0" vbProcedure="0">#REF!</definedName>
    <definedName name="company" localSheetId="6" hidden="0" function="0" vbProcedure="0">#REF!</definedName>
    <definedName name="company_nameh" localSheetId="6" hidden="0" function="0" vbProcedure="0">#REF!</definedName>
    <definedName name="cons" localSheetId="6" hidden="0" function="0" vbProcedure="0">#REF!</definedName>
    <definedName name="COSTING_FOR_EACH__SET_OF_5__CONSISTS____POCUREMENT_BY_ADANI_LOGISTICS" localSheetId="6" hidden="0" function="0" vbProcedure="0">#REF!</definedName>
    <definedName name="cost_of_cap_growth" localSheetId="6" hidden="0" function="0" vbProcedure="0">#REF!</definedName>
    <definedName name="CS" localSheetId="6" hidden="0" function="0" vbProcedure="0">'[21]Main Sheet'!$A2</definedName>
    <definedName name="csbs" localSheetId="6" hidden="0" function="0" vbProcedure="0">#REF!</definedName>
    <definedName name="cscf" localSheetId="6" hidden="0" function="0" vbProcedure="0">#REF!</definedName>
    <definedName name="cspl" localSheetId="6" hidden="0" function="0" vbProcedure="0">#REF!</definedName>
    <definedName name="CurrentLiab" localSheetId="6" hidden="0" function="0" vbProcedure="0">#REF!</definedName>
    <definedName name="CurrentRatio" localSheetId="6" hidden="0" function="0" vbProcedure="0">[4]Introduction!$A2</definedName>
    <definedName name="curr_year_sales" localSheetId="6" hidden="0" function="0" vbProcedure="0">#REF!</definedName>
    <definedName name="days" localSheetId="6" hidden="0" function="0" vbProcedure="0">#REF!</definedName>
    <definedName name="daysss" localSheetId="6" hidden="0" function="0" vbProcedure="0">[24]Key_Base!$D$12</definedName>
    <definedName name="dcf_sensit" localSheetId="6" hidden="0" function="0" vbProcedure="0">#REF!</definedName>
    <definedName name="Delivery_Date" localSheetId="6" hidden="0" function="0" vbProcedure="0">#REF!</definedName>
    <definedName name="Deprecn" localSheetId="6" hidden="0" function="0" vbProcedure="0">#REF!</definedName>
    <definedName name="desktop" localSheetId="6" hidden="0" function="0" vbProcedure="0">#REF!</definedName>
    <definedName name="directors" localSheetId="6" hidden="0" function="0" vbProcedure="0">#REF!</definedName>
    <definedName name="dis" localSheetId="6" hidden="0" function="0" vbProcedure="0">#REF!</definedName>
    <definedName name="DispFmt" localSheetId="6" hidden="0" function="0" vbProcedure="0">[12]Input!$A$2305</definedName>
    <definedName name="diversity" localSheetId="6" hidden="0" function="0" vbProcedure="0">#REF!</definedName>
    <definedName name="diversityss" localSheetId="6" hidden="0" function="0" vbProcedure="0">[24]Key_Base!$D$18</definedName>
    <definedName name="docs" localSheetId="6" hidden="0" function="0" vbProcedure="0">#REF!</definedName>
    <definedName name="dp" localSheetId="6" hidden="0" function="0" vbProcedure="0">#REF!</definedName>
    <definedName name="DPS_Curr_Yr" localSheetId="6" hidden="0" function="0" vbProcedure="0">#REF!</definedName>
    <definedName name="DPS_Lst_Yr" localSheetId="6" hidden="0" function="0" vbProcedure="0">#REF!</definedName>
    <definedName name="DPS_Next_Yr" localSheetId="6" hidden="0" function="0" vbProcedure="0">#REF!</definedName>
    <definedName name="Drawdowns" localSheetId="6" hidden="0" function="0" vbProcedure="0">#REF!</definedName>
    <definedName name="E1E" localSheetId="6" hidden="0" function="0" vbProcedure="0">#REF!</definedName>
    <definedName name="E2E" localSheetId="6" hidden="0" function="0" vbProcedure="0">#REF!,#REF!,#REF!</definedName>
    <definedName name="E3E" localSheetId="6" hidden="0" function="0" vbProcedure="0">#REF!,#REF!,#REF!</definedName>
    <definedName name="E4E" localSheetId="6" hidden="0" function="0" vbProcedure="0">#REF!,#REF!,#REF!</definedName>
    <definedName name="E5E" localSheetId="6" hidden="0" function="0" vbProcedure="0">#REF!,#REF!,#REF!</definedName>
    <definedName name="Each_Installment" localSheetId="6" hidden="0" function="0" vbProcedure="0">#REF!</definedName>
    <definedName name="Earnings" localSheetId="6" hidden="0" function="0" vbProcedure="0">[10]Earning_Assum!$A$1</definedName>
    <definedName name="EBIT" localSheetId="6" hidden="0" function="0" vbProcedure="0">#REF!</definedName>
    <definedName name="EEE" localSheetId="6" hidden="0" function="0" vbProcedure="0">[10]Earning_Assum!$A2</definedName>
    <definedName name="Effective_cost" localSheetId="6" hidden="0" function="0" vbProcedure="0">#REF!</definedName>
    <definedName name="Effective_Cost_with_witholding" localSheetId="6" hidden="0" function="0" vbProcedure="0">#REF!</definedName>
    <definedName name="Effective_Spread" localSheetId="6" hidden="0" function="0" vbProcedure="0">#REF!</definedName>
    <definedName name="Effective_Spread_without_witholding" localSheetId="6" hidden="0" function="0" vbProcedure="0">#REF!</definedName>
    <definedName name="Employees" localSheetId="6" hidden="0" function="0" vbProcedure="0">#REF!</definedName>
    <definedName name="EPS_Curr_Qtr" localSheetId="6" hidden="0" function="0" vbProcedure="0">#REF!</definedName>
    <definedName name="EPS_Curr_Yr" localSheetId="6" hidden="0" function="0" vbProcedure="0">#REF!</definedName>
    <definedName name="EPS_Growth_Rate" localSheetId="6" hidden="0" function="0" vbProcedure="0">#REF!</definedName>
    <definedName name="EPS_Lst_Yr" localSheetId="6" hidden="0" function="0" vbProcedure="0">#REF!</definedName>
    <definedName name="EPS_Next_Yr" localSheetId="6" hidden="0" function="0" vbProcedure="0">#REF!</definedName>
    <definedName name="EPS_Qtr_Date" localSheetId="6" hidden="0" function="0" vbProcedure="0">#REF!</definedName>
    <definedName name="Equity_Ticker" localSheetId="6" hidden="0" function="0" vbProcedure="0">#REF!</definedName>
    <definedName name="er" localSheetId="6" hidden="0" function="0" vbProcedure="0">#REF!</definedName>
    <definedName name="Excel_BuiltIn_Database_0" localSheetId="6" hidden="0" function="0" vbProcedure="0">#REF!</definedName>
    <definedName name="Excel_BuiltIn_Database_1" localSheetId="6" hidden="0" function="0" vbProcedure="0">#REF!</definedName>
    <definedName name="Excel_BuiltIn_Database_6" localSheetId="6" hidden="0" function="0" vbProcedure="0">#REF!</definedName>
    <definedName name="ExchangeRates" localSheetId="6" hidden="0" function="0" vbProcedure="0">#REF!</definedName>
    <definedName name="exc_rate" localSheetId="6" hidden="0" function="0" vbProcedure="0">#REF!</definedName>
    <definedName name="exc_Rsmn" localSheetId="6" hidden="0" function="0" vbProcedure="0">#REF!</definedName>
    <definedName name="exec_board" localSheetId="6" hidden="0" function="0" vbProcedure="0">#REF!</definedName>
    <definedName name="Export" localSheetId="6" hidden="0" function="0" vbProcedure="0">#REF!</definedName>
    <definedName name="Factor" localSheetId="6" hidden="0" function="0" vbProcedure="0">#REF!</definedName>
    <definedName name="fcf" localSheetId="6" hidden="0" function="0" vbProcedure="0">#REF!</definedName>
    <definedName name="FDafan" localSheetId="6" hidden="0" function="0" vbProcedure="0">#REF!</definedName>
    <definedName name="FDFumigation" localSheetId="6" hidden="0" function="0" vbProcedure="0">#REF!</definedName>
    <definedName name="FDtemp" localSheetId="6" hidden="0" function="0" vbProcedure="0">#REF!</definedName>
    <definedName name="fdvfan" localSheetId="6" hidden="0" function="0" vbProcedure="0">#REF!</definedName>
    <definedName name="ffg" localSheetId="6" hidden="0" function="0" vbProcedure="0">#REF!</definedName>
    <definedName name="FinancialActivities" localSheetId="6" hidden="0" function="0" vbProcedure="0">#REF!</definedName>
    <definedName name="Financials" localSheetId="6" hidden="0" function="0" vbProcedure="0">#REF!</definedName>
    <definedName name="Flag1" localSheetId="6" hidden="0" function="0" vbProcedure="0">[10]Earning_Assum!$A2</definedName>
    <definedName name="FORMIII_COM" localSheetId="6" hidden="0" function="0" vbProcedure="0">'[32]EXIS-COMBINED'!$A$27</definedName>
    <definedName name="formii_com" localSheetId="6" hidden="0" function="0" vbProcedure="0">'[32]EXIS-COMBINED'!$A$2</definedName>
    <definedName name="FORMIV_COM" localSheetId="6" hidden="0" function="0" vbProcedure="0">'[32]EXIS-COMBINED'!$A$1</definedName>
    <definedName name="FORMVI_COM" localSheetId="6" hidden="0" function="0" vbProcedure="0">'[32]EXIS-COMBINED'!$A$1</definedName>
    <definedName name="FORMV_COM" localSheetId="6" hidden="0" function="0" vbProcedure="0">'[32]EXIS-COMBINED'!$A$1</definedName>
    <definedName name="FreeFloat" localSheetId="6" hidden="0" function="0" vbProcedure="0">#REF!</definedName>
    <definedName name="FSAKW" localSheetId="6" hidden="0" function="0" vbProcedure="0">#REF!</definedName>
    <definedName name="FSOne" localSheetId="6" hidden="0" function="0" vbProcedure="0">#REF!</definedName>
    <definedName name="FSTwo" localSheetId="6" hidden="0" function="0" vbProcedure="0">#REF!</definedName>
    <definedName name="FullyDilutedYearEndEPS" localSheetId="6" hidden="0" function="0" vbProcedure="0">#REF!</definedName>
    <definedName name="FullyDilutedYearEndShares" localSheetId="6" hidden="0" function="0" vbProcedure="0">#REF!</definedName>
    <definedName name="FumigationKW" localSheetId="6" hidden="0" function="0" vbProcedure="0">#REF!</definedName>
    <definedName name="fv" localSheetId="6" hidden="0" function="0" vbProcedure="0">#REF!</definedName>
    <definedName name="FY2004_" localSheetId="6" hidden="0" function="0" vbProcedure="0">#REF!</definedName>
    <definedName name="FY2005_" localSheetId="6" hidden="0" function="0" vbProcedure="0">#REF!</definedName>
    <definedName name="g" localSheetId="6" hidden="0" function="0" vbProcedure="0">#REF!</definedName>
    <definedName name="GDRParity" localSheetId="6" hidden="0" function="0" vbProcedure="0">#REF!</definedName>
    <definedName name="GDRPriceRs" localSheetId="6" hidden="0" function="0" vbProcedure="0">#REF!</definedName>
    <definedName name="GDRPriceUSD" localSheetId="6" hidden="0" function="0" vbProcedure="0">#REF!</definedName>
    <definedName name="GDRRsPrice" localSheetId="6" hidden="0" function="0" vbProcedure="0">#REF!</definedName>
    <definedName name="GrossProfit" localSheetId="6" hidden="0" function="0" vbProcedure="0">#REF!</definedName>
    <definedName name="growth_period" localSheetId="6" hidden="0" function="0" vbProcedure="0">#REF!</definedName>
    <definedName name="H1Rec" localSheetId="6" hidden="0" function="0" vbProcedure="0">#REF!</definedName>
    <definedName name="H1_1" localSheetId="6" hidden="0" function="0" vbProcedure="0">#REF!</definedName>
    <definedName name="H1_2" localSheetId="6" hidden="0" function="0" vbProcedure="0">#REF!,#REF!,#REF!</definedName>
    <definedName name="H2Tra" localSheetId="6" hidden="0" function="0" vbProcedure="0">#REF!</definedName>
    <definedName name="H2_1" localSheetId="6" hidden="0" function="0" vbProcedure="0">#REF!,#REF!,#REF!</definedName>
    <definedName name="H2_2" localSheetId="6" hidden="0" function="0" vbProcedure="0">#REF!,#REF!,#REF!</definedName>
    <definedName name="H4recl" localSheetId="6" hidden="0" function="0" vbProcedure="0">#REF!</definedName>
    <definedName name="h4swe" localSheetId="6" hidden="0" function="0" vbProcedure="0">#REF!</definedName>
    <definedName name="H5Bag" localSheetId="6" hidden="0" function="0" vbProcedure="0">#REF!</definedName>
    <definedName name="H6Shi" localSheetId="6" hidden="0" function="0" vbProcedure="0">#REF!</definedName>
    <definedName name="H7cir" localSheetId="6" hidden="0" function="0" vbProcedure="0">#REF!</definedName>
    <definedName name="HE1_0" localSheetId="6" hidden="0" function="0" vbProcedure="0">#REF!</definedName>
    <definedName name="HE2_0" localSheetId="6" hidden="0" function="0" vbProcedure="0">#REF!,#REF!,#REF!</definedName>
    <definedName name="HE3_0" localSheetId="6" hidden="0" function="0" vbProcedure="0">#REF!,#REF!,#REF!</definedName>
    <definedName name="HE4_0" localSheetId="6" hidden="0" function="0" vbProcedure="0">#REF!,#REF!,#REF!</definedName>
    <definedName name="HE5_0" localSheetId="6" hidden="0" function="0" vbProcedure="0">#REF!,#REF!,#REF!</definedName>
    <definedName name="Headers" localSheetId="6" hidden="0" function="0" vbProcedure="0">#REF!</definedName>
    <definedName name="hh" localSheetId="6" hidden="0" function="0" vbProcedure="0">#REF!</definedName>
    <definedName name="hhh" localSheetId="6" hidden="0" function="0" vbProcedure="0">[10]Earning_Assum!$A$2305</definedName>
    <definedName name="hhhhh" localSheetId="6" hidden="0" function="0" vbProcedure="0">[10]Earning_Assum!$A$32</definedName>
    <definedName name="hhhhhhhhhh" localSheetId="6" hidden="0" function="0" vbProcedure="0">[10]Earning_Assum!$A$1</definedName>
    <definedName name="hhhhhhhhhhhhhhh" localSheetId="6" hidden="0" function="0" vbProcedure="0">[10]Earning_Assum!$A$1</definedName>
    <definedName name="hhhhhhhhhhhhhhhhhhhhhhh" localSheetId="6" hidden="0" function="0" vbProcedure="0">[10]Earning_Assum!$A$1</definedName>
    <definedName name="HighLow" localSheetId="6" hidden="0" function="0" vbProcedure="0">#REF!</definedName>
    <definedName name="hj" localSheetId="6" hidden="0" function="0" vbProcedure="0">#REF!,#REF!,#REF!</definedName>
    <definedName name="hjggj" localSheetId="6" hidden="0" function="0" vbProcedure="0">#REF!,#REF!,#REF!</definedName>
    <definedName name="HL1_0" localSheetId="6" hidden="0" function="0" vbProcedure="0">#REF!</definedName>
    <definedName name="HL1_1" localSheetId="6" hidden="0" function="0" vbProcedure="0">#REF!</definedName>
    <definedName name="HL1_2" localSheetId="6" hidden="0" function="0" vbProcedure="0">#REF!,#REF!</definedName>
    <definedName name="HL2_0" localSheetId="6" hidden="0" function="0" vbProcedure="0">#REF!,#REF!,#REF!</definedName>
    <definedName name="HL2_1" localSheetId="6" hidden="0" function="0" vbProcedure="0">#REF!,#REF!</definedName>
    <definedName name="HL2_2" localSheetId="6" hidden="0" function="0" vbProcedure="0">#REF!,#REF!</definedName>
    <definedName name="HL3_0" localSheetId="6" hidden="0" function="0" vbProcedure="0">#REF!,#REF!,#REF!</definedName>
    <definedName name="HL4_0" localSheetId="6" hidden="0" function="0" vbProcedure="0">#REF!,#REF!,#REF!</definedName>
    <definedName name="HL5_0" localSheetId="6" hidden="0" function="0" vbProcedure="0">#REF!,#REF!,#REF!</definedName>
    <definedName name="HLCL" localSheetId="6" hidden="0" function="0" vbProcedure="0">#REF!</definedName>
    <definedName name="hll_pond" localSheetId="6" hidden="0" function="0" vbProcedure="0">#REF!</definedName>
    <definedName name="hour1" localSheetId="6" hidden="0" function="0" vbProcedure="0">#REF!</definedName>
    <definedName name="hour10" localSheetId="6" hidden="0" function="0" vbProcedure="0">#REF!</definedName>
    <definedName name="hour11" localSheetId="6" hidden="0" function="0" vbProcedure="0">#REF!</definedName>
    <definedName name="Hour12" localSheetId="6" hidden="0" function="0" vbProcedure="0">#REF!</definedName>
    <definedName name="Hour13" localSheetId="6" hidden="0" function="0" vbProcedure="0">#REF!</definedName>
    <definedName name="hour14" localSheetId="6" hidden="0" function="0" vbProcedure="0">#REF!</definedName>
    <definedName name="Hour15" localSheetId="6" hidden="0" function="0" vbProcedure="0">#REF!</definedName>
    <definedName name="hour2" localSheetId="6" hidden="0" function="0" vbProcedure="0">#REF!</definedName>
    <definedName name="hour3" localSheetId="6" hidden="0" function="0" vbProcedure="0">#REF!</definedName>
    <definedName name="hour4" localSheetId="6" hidden="0" function="0" vbProcedure="0">#REF!</definedName>
    <definedName name="hour5" localSheetId="6" hidden="0" function="0" vbProcedure="0">#REF!</definedName>
    <definedName name="Hour6" localSheetId="6" hidden="0" function="0" vbProcedure="0">#REF!</definedName>
    <definedName name="hour7" localSheetId="6" hidden="0" function="0" vbProcedure="0">#REF!</definedName>
    <definedName name="Hour8" localSheetId="6" hidden="0" function="0" vbProcedure="0">#REF!</definedName>
    <definedName name="hour9" localSheetId="6" hidden="0" function="0" vbProcedure="0">#REF!</definedName>
    <definedName name="hours14" localSheetId="6" hidden="0" function="0" vbProcedure="0">#REF!</definedName>
    <definedName name="IncomeTax" localSheetId="6" hidden="0" function="0" vbProcedure="0">#REF!</definedName>
    <definedName name="IncomeTaxPaidOut" localSheetId="6" hidden="0" function="0" vbProcedure="0">#REF!</definedName>
    <definedName name="inc_model" localSheetId="6" hidden="0" function="0" vbProcedure="0">#REF!</definedName>
    <definedName name="IndexC" localSheetId="6" hidden="0" function="0" vbProcedure="0">#REF!</definedName>
    <definedName name="IndexCs" localSheetId="6" hidden="0" function="0" vbProcedure="0">#REF!</definedName>
    <definedName name="industry" localSheetId="6" hidden="0" function="0" vbProcedure="0">#REF!</definedName>
    <definedName name="INR_per_USD" localSheetId="6" hidden="0" function="0" vbProcedure="0">#REF!</definedName>
    <definedName name="Installments_peryear" localSheetId="6" hidden="0" function="0" vbProcedure="0">#REF!</definedName>
    <definedName name="Interest" localSheetId="6" hidden="0" function="0" vbProcedure="0">#REF!</definedName>
    <definedName name="InterestExpense" localSheetId="6" hidden="0" function="0" vbProcedure="0">#REF!</definedName>
    <definedName name="Interests" localSheetId="6" hidden="0" function="0" vbProcedure="0">#REF!</definedName>
    <definedName name="Investments" localSheetId="6" hidden="0" function="0" vbProcedure="0">#REF!</definedName>
    <definedName name="ITAX" localSheetId="6" hidden="0" function="0" vbProcedure="0">#REF!</definedName>
    <definedName name="ITAXs" localSheetId="6" hidden="0" function="0" vbProcedure="0">#REF!</definedName>
    <definedName name="kew" localSheetId="6" hidden="0" function="0" vbProcedure="0">#REF!</definedName>
    <definedName name="klll" localSheetId="6" hidden="0" function="0" vbProcedure="0">#REF!,#REF!,#REF!</definedName>
    <definedName name="L" localSheetId="6" hidden="0" function="0" vbProcedure="0">#REF!</definedName>
    <definedName name="L1L" localSheetId="6" hidden="0" function="0" vbProcedure="0">#REF!,#REF!</definedName>
    <definedName name="L2L" localSheetId="6" hidden="0" function="0" vbProcedure="0">#REF!,#REF!</definedName>
    <definedName name="L3L" localSheetId="6" hidden="0" function="0" vbProcedure="0">#REF!,#REF!</definedName>
    <definedName name="L4L" localSheetId="6" hidden="0" function="0" vbProcedure="0">#REF!,#REF!</definedName>
    <definedName name="L5L" localSheetId="6" hidden="0" function="0" vbProcedure="0">#REF!,#REF!</definedName>
    <definedName name="labor_annual_increase" localSheetId="6" hidden="0" function="0" vbProcedure="0">#REF!</definedName>
    <definedName name="Labour_cost_per__TEU" localSheetId="6" hidden="0" function="0" vbProcedure="0">#REF!</definedName>
    <definedName name="Last_Installment_Date" localSheetId="6" hidden="0" function="0" vbProcedure="0">#REF!</definedName>
    <definedName name="Lawyer_Fee" localSheetId="6" hidden="0" function="0" vbProcedure="0">#REF!</definedName>
    <definedName name="Layup_02\03" localSheetId="6" hidden="0" function="0" vbProcedure="0">[10]Earning_Assum!$A$2305</definedName>
    <definedName name="Layup_03\04" localSheetId="6" hidden="0" function="0" vbProcedure="0">[10]Earning_Assum!$J$10</definedName>
    <definedName name="Layup_04\05" localSheetId="6" hidden="0" function="0" vbProcedure="0">[10]Earning_Assum!$J$2314</definedName>
    <definedName name="LeaseAdj" localSheetId="6" hidden="0" function="0" vbProcedure="0">[12]Input!$J$2314</definedName>
    <definedName name="MAT" localSheetId="6" hidden="0" function="0" vbProcedure="0">#REF!</definedName>
    <definedName name="MATs" localSheetId="6" hidden="0" function="0" vbProcedure="0">#REF!</definedName>
    <definedName name="Maximum_loan_available" localSheetId="6" hidden="0" function="0" vbProcedure="0">#REF!</definedName>
    <definedName name="mc_ms" localSheetId="6" hidden="0" function="0" vbProcedure="0">#REF!</definedName>
    <definedName name="Mico" localSheetId="6" hidden="0" function="0" vbProcedure="0">[38]Mico!$A$1</definedName>
    <definedName name="MinGraph" localSheetId="6" hidden="0" function="0" vbProcedure="0">#REF!</definedName>
    <definedName name="mkt_strength" localSheetId="6" hidden="0" function="0" vbProcedure="0">#REF!</definedName>
    <definedName name="Months" localSheetId="6" hidden="0" function="0" vbProcedure="0">#REF!</definedName>
    <definedName name="MrgnTax" localSheetId="6" hidden="0" function="0" vbProcedure="0">[12]Profile!$A$2305</definedName>
    <definedName name="NationalMember" localSheetId="6" hidden="0" function="0" vbProcedure="0">#REF!</definedName>
    <definedName name="NetCashGenerated" localSheetId="6" hidden="0" function="0" vbProcedure="0">#REF!</definedName>
    <definedName name="NetDebtToEquity" localSheetId="6" hidden="0" function="0" vbProcedure="0">#REF!</definedName>
    <definedName name="NetFixedAssets" localSheetId="6" hidden="0" function="0" vbProcedure="0">#REF!</definedName>
    <definedName name="NetInterest" localSheetId="6" hidden="0" function="0" vbProcedure="0">InterestIncome-'CASH FOW STATEMENT'!InterestExpense</definedName>
    <definedName name="NetProfitMargin" localSheetId="6" hidden="0" function="0" vbProcedure="0">#REF!</definedName>
    <definedName name="Num_of_plots" localSheetId="6" hidden="0" function="0" vbProcedure="0">#REF!</definedName>
    <definedName name="OnePager" localSheetId="6" hidden="0" function="0" vbProcedure="0">#REF!</definedName>
    <definedName name="OperatingCashflow" localSheetId="6" hidden="0" function="0" vbProcedure="0">[4]Introduction!$A$1</definedName>
    <definedName name="OperatingProfit" localSheetId="6" hidden="0" function="0" vbProcedure="0">#REF!</definedName>
    <definedName name="OperatingProfitMargin" localSheetId="6" hidden="0" function="0" vbProcedure="0">#REF!</definedName>
    <definedName name="ops" localSheetId="6" hidden="0" function="0" vbProcedure="0">#REF!+#REF!</definedName>
    <definedName name="opss" localSheetId="6" hidden="0" function="0" vbProcedure="0">[39]Key_Base!$D$20+[39]Key_Base!$E$20</definedName>
    <definedName name="opsss" localSheetId="6" hidden="0" function="0" vbProcedure="0">[24]Key_Base!$D$20+[24]Key_Base!$E$20</definedName>
    <definedName name="OTHER" localSheetId="6" hidden="0" function="0" vbProcedure="0">#REF!</definedName>
    <definedName name="OtherIncome" localSheetId="6" hidden="0" function="0" vbProcedure="0">#REF!</definedName>
    <definedName name="OtherLTAssets" localSheetId="6" hidden="0" function="0" vbProcedure="0">#REF!</definedName>
    <definedName name="OtherLTLiabilities" localSheetId="6" hidden="0" function="0" vbProcedure="0">#REF!</definedName>
    <definedName name="others" localSheetId="6" hidden="0" function="0" vbProcedure="0">#REF!</definedName>
    <definedName name="other_inc" localSheetId="6" hidden="0" function="0" vbProcedure="0">#REF!</definedName>
    <definedName name="OutputGrowthEstimates" localSheetId="6" hidden="0" function="0" vbProcedure="0">[4]Old!B$1</definedName>
    <definedName name="ownership" localSheetId="6" hidden="0" function="0" vbProcedure="0">#REF!</definedName>
    <definedName name="page1" localSheetId="6" hidden="0" function="0" vbProcedure="0">#REF!</definedName>
    <definedName name="page2" localSheetId="6" hidden="0" function="0" vbProcedure="0">#REF!</definedName>
    <definedName name="ParValue" localSheetId="6" hidden="0" function="0" vbProcedure="0">#REF!</definedName>
    <definedName name="pe" localSheetId="6" hidden="0" function="0" vbProcedure="0">#REF!</definedName>
    <definedName name="pebanddata" localSheetId="6" hidden="0" function="0" vbProcedure="0">#REF!</definedName>
    <definedName name="PEMultiplesFirstyear" localSheetId="6" hidden="0" function="0" vbProcedure="0">#REF!</definedName>
    <definedName name="PEMultiplesLastyear" localSheetId="6" hidden="0" function="0" vbProcedure="0">#REF!</definedName>
    <definedName name="pereldata" localSheetId="6" hidden="0" function="0" vbProcedure="0">#REF!</definedName>
    <definedName name="pe_to_pop" localSheetId="6" hidden="0" function="0" vbProcedure="0">#REF!</definedName>
    <definedName name="PivotData" localSheetId="6" hidden="0" function="0" vbProcedure="0">OFFSET(#REF!,0,0,COUNTA(#REF!),COUNTA(#REF!))</definedName>
    <definedName name="PJCapex" localSheetId="6" hidden="0" function="0" vbProcedure="0">#REF!</definedName>
    <definedName name="PJInterestIncome" localSheetId="6" hidden="0" function="0" vbProcedure="0">#REF!</definedName>
    <definedName name="pjlongtermdebtchanges" localSheetId="6" hidden="0" function="0" vbProcedure="0">#REF!</definedName>
    <definedName name="pjlongterminterestexpense" localSheetId="6" hidden="0" function="0" vbProcedure="0">#REF!</definedName>
    <definedName name="pjnetcashflow" localSheetId="6" hidden="0" function="0" vbProcedure="0">#REF!</definedName>
    <definedName name="pjshorttermdebtchanges" localSheetId="6" hidden="0" function="0" vbProcedure="0">#REF!</definedName>
    <definedName name="pjshortterminterestexpense" localSheetId="6" hidden="0" function="0" vbProcedure="0">#REF!</definedName>
    <definedName name="PJYears" localSheetId="6" hidden="0" function="0" vbProcedure="0">#REF!</definedName>
    <definedName name="pl" localSheetId="6" hidden="0" function="0" vbProcedure="0">#REF!</definedName>
    <definedName name="pl_sski" localSheetId="6" hidden="0" function="0" vbProcedure="0">#REF!</definedName>
    <definedName name="pop_growth" localSheetId="6" hidden="0" function="0" vbProcedure="0">#REF!</definedName>
    <definedName name="pres" localSheetId="6" hidden="0" function="0" vbProcedure="0">[39]Key_Base!$D$19+[39]Key_Base!$E$19</definedName>
    <definedName name="press" localSheetId="6" hidden="0" function="0" vbProcedure="0">[24]Key_Base!$D$19+[24]Key_Base!$E$19</definedName>
    <definedName name="PretaxProfit" localSheetId="6" hidden="0" function="0" vbProcedure="0">#REF!</definedName>
    <definedName name="pri" localSheetId="6" hidden="0" function="0" vbProcedure="0">#REF!</definedName>
    <definedName name="price" localSheetId="6" hidden="0" function="0" vbProcedure="0">#REF!</definedName>
    <definedName name="PriceChg1" localSheetId="6" hidden="0" function="0" vbProcedure="0">#REF!</definedName>
    <definedName name="PriceChg12" localSheetId="6" hidden="0" function="0" vbProcedure="0">#REF!</definedName>
    <definedName name="PriceChg3" localSheetId="6" hidden="0" function="0" vbProcedure="0">#REF!</definedName>
    <definedName name="priceh" localSheetId="6" hidden="0" function="0" vbProcedure="0">#REF!</definedName>
    <definedName name="PricesFYEnd" localSheetId="6" hidden="0" function="0" vbProcedure="0">#REF!</definedName>
    <definedName name="PricesIndexed" localSheetId="6" hidden="0" function="0" vbProcedure="0">#REF!</definedName>
    <definedName name="production" localSheetId="6" hidden="0" function="0" vbProcedure="0">#REF!</definedName>
    <definedName name="PSV" localSheetId="6" hidden="0" function="0" vbProcedure="0">#REF!</definedName>
    <definedName name="Q1_1" localSheetId="6" hidden="0" function="0" vbProcedure="0">#REF!</definedName>
    <definedName name="Q1_2" localSheetId="6" hidden="0" function="0" vbProcedure="0">#REF!,#REF!,#REF!</definedName>
    <definedName name="Q1_3" localSheetId="6" hidden="0" function="0" vbProcedure="0">#REF!,#REF!,#REF!</definedName>
    <definedName name="Q1_4" localSheetId="6" hidden="0" function="0" vbProcedure="0">#REF!,#REF!,#REF!</definedName>
    <definedName name="Q2_1" localSheetId="6" hidden="0" function="0" vbProcedure="0">#REF!,#REF!,#REF!</definedName>
    <definedName name="Q2_2" localSheetId="6" hidden="0" function="0" vbProcedure="0">#REF!,#REF!,#REF!</definedName>
    <definedName name="Q2_3" localSheetId="6" hidden="0" function="0" vbProcedure="0">#REF!,#REF!,#REF!</definedName>
    <definedName name="Q2_4" localSheetId="6" hidden="0" function="0" vbProcedure="0">#REF!,#REF!,#REF!</definedName>
    <definedName name="Q3_1" localSheetId="6" hidden="0" function="0" vbProcedure="0">#REF!,#REF!,#REF!</definedName>
    <definedName name="QL1_1" localSheetId="6" hidden="0" function="0" vbProcedure="0">#REF!,#REF!</definedName>
    <definedName name="QL1_2" localSheetId="6" hidden="0" function="0" vbProcedure="0">#REF!,#REF!</definedName>
    <definedName name="QL1_3" localSheetId="6" hidden="0" function="0" vbProcedure="0">#REF!,#REF!</definedName>
    <definedName name="QL1_4" localSheetId="6" hidden="0" function="0" vbProcedure="0">#REF!,#REF!</definedName>
    <definedName name="QL2_1" localSheetId="6" hidden="0" function="0" vbProcedure="0">#REF!,#REF!</definedName>
    <definedName name="QL2_2" localSheetId="6" hidden="0" function="0" vbProcedure="0">#REF!,#REF!</definedName>
    <definedName name="QL2_3" localSheetId="6" hidden="0" function="0" vbProcedure="0">#REF!,#REF!</definedName>
    <definedName name="QL2_4" localSheetId="6" hidden="0" function="0" vbProcedure="0">#REF!,#REF!</definedName>
    <definedName name="QL3_1" localSheetId="6" hidden="0" function="0" vbProcedure="0">#REF!,#REF!</definedName>
    <definedName name="ra" localSheetId="6" hidden="0" function="0" vbProcedure="0">#REF!</definedName>
    <definedName name="RATIO" localSheetId="6" hidden="0" function="0" vbProcedure="0">'[21]Main Sheet'!$A$2305</definedName>
    <definedName name="read_area" localSheetId="6" hidden="0" function="0" vbProcedure="0">#REF!</definedName>
    <definedName name="reco" localSheetId="6" hidden="0" function="0" vbProcedure="0">#REF!</definedName>
    <definedName name="recommendation" localSheetId="6" hidden="0" function="0" vbProcedure="0">#REF!</definedName>
    <definedName name="recommendationH" localSheetId="6" hidden="0" function="0" vbProcedure="0">#REF!</definedName>
    <definedName name="ReductInInvestments" localSheetId="6" hidden="0" function="0" vbProcedure="0">#REF!</definedName>
    <definedName name="relperfdata" localSheetId="6" hidden="0" function="0" vbProcedure="0">#REF!</definedName>
    <definedName name="Repayment_period" localSheetId="6" hidden="0" function="0" vbProcedure="0">#REF!</definedName>
    <definedName name="Repayment_Starts_on" localSheetId="6" hidden="0" function="0" vbProcedure="0">#REF!</definedName>
    <definedName name="ReservesAndPremium" localSheetId="6" hidden="0" function="0" vbProcedure="0">#REF!</definedName>
    <definedName name="Residential" localSheetId="6" hidden="0" function="0" vbProcedure="0">#REF!</definedName>
    <definedName name="RetainedEarnings" localSheetId="6" hidden="0" function="0" vbProcedure="0">#REF!</definedName>
    <definedName name="ReturnOnAssets" localSheetId="6" hidden="0" function="0" vbProcedure="0">[4]Introduction!$A$1</definedName>
    <definedName name="ReturnOnEquity" localSheetId="6" hidden="0" function="0" vbProcedure="0">[4]Introduction!$A$39</definedName>
    <definedName name="reuters" localSheetId="6" hidden="0" function="0" vbProcedure="0">#REF!</definedName>
    <definedName name="ReutersCode" localSheetId="6" hidden="0" function="0" vbProcedure="0">#REF!</definedName>
    <definedName name="reuters_codeh" localSheetId="6" hidden="0" function="0" vbProcedure="0">#REF!</definedName>
    <definedName name="Revenue" localSheetId="6" hidden="0" function="0" vbProcedure="0">[4]Old!$A$1</definedName>
    <definedName name="RevenueGrowth" localSheetId="6" hidden="0" function="0" vbProcedure="0">#REF!</definedName>
    <definedName name="RMconsumed" localSheetId="6" hidden="0" function="0" vbProcedure="0">[4]Old!$A$2305</definedName>
    <definedName name="rm_price" localSheetId="6" hidden="0" function="0" vbProcedure="0">#REF!</definedName>
    <definedName name="roce" localSheetId="6" hidden="0" function="0" vbProcedure="0">#REF!</definedName>
    <definedName name="roe" localSheetId="6" hidden="0" function="0" vbProcedure="0">#REF!</definedName>
    <definedName name="RSBasicShares" localSheetId="6" hidden="0" function="0" vbProcedure="0">[4]Sheet2!$A4098</definedName>
    <definedName name="RSDepreciation" localSheetId="6" hidden="0" function="0" vbProcedure="0">[4]Sheet3!$A$165</definedName>
    <definedName name="RSNPAT" localSheetId="6" hidden="0" function="0" vbProcedure="0">[4]Sheet3!$A$1</definedName>
    <definedName name="RSOperatingProfit" localSheetId="6" hidden="0" function="0" vbProcedure="0">[4]Sheet3!$A$1</definedName>
    <definedName name="RSOtherEquity" localSheetId="6" hidden="0" function="0" vbProcedure="0">[4]Sheet3!$A$1</definedName>
    <definedName name="RSOtherLTAssets" localSheetId="6" hidden="0" function="0" vbProcedure="0">[4]Sheet3!$A$1</definedName>
    <definedName name="RSOtherLTLiabilities" localSheetId="6" hidden="0" function="0" vbProcedure="0">[4]Sheet3!$A$1</definedName>
    <definedName name="RSRetainedEarnings" localSheetId="6" hidden="0" function="0" vbProcedure="0">[4]Sheet3!$A$1</definedName>
    <definedName name="RSWeightedaverageeps" localSheetId="6" hidden="0" function="0" vbProcedure="0">[4]Sheet3!$A$1</definedName>
    <definedName name="RSweightedaverageshares" localSheetId="6" hidden="0" function="0" vbProcedure="0">[4]Sheet3!$A$1</definedName>
    <definedName name="R_" localSheetId="6" hidden="0" function="0" vbProcedure="0">'[21]Main Sheet'!$A$1</definedName>
    <definedName name="R_M_Breakdown" localSheetId="6" hidden="0" function="0" vbProcedure="0">#REF!</definedName>
    <definedName name="sales" localSheetId="6" hidden="0" function="0" vbProcedure="0">#REF!</definedName>
    <definedName name="Sales_Breakdown" localSheetId="6" hidden="0" function="0" vbProcedure="0">#REF!</definedName>
    <definedName name="sales_realisation" localSheetId="6" hidden="0" function="0" vbProcedure="0">#REF!</definedName>
    <definedName name="sales_real_growth" localSheetId="6" hidden="0" function="0" vbProcedure="0">#REF!</definedName>
    <definedName name="sales_value" localSheetId="6" hidden="0" function="0" vbProcedure="0">#REF!</definedName>
    <definedName name="sales_val_growth" localSheetId="6" hidden="0" function="0" vbProcedure="0">#REF!</definedName>
    <definedName name="sales_vol" localSheetId="6" hidden="0" function="0" vbProcedure="0">#REF!</definedName>
    <definedName name="sales_vol_growth" localSheetId="6" hidden="0" function="0" vbProcedure="0">#REF!</definedName>
    <definedName name="SCI_Afra" localSheetId="6" hidden="0" function="0" vbProcedure="0">#REF!</definedName>
    <definedName name="SCi_Loan" localSheetId="6" hidden="0" function="0" vbProcedure="0">#REF!</definedName>
    <definedName name="SCI_Suez" localSheetId="6" hidden="0" function="0" vbProcedure="0">#REF!</definedName>
    <definedName name="sd" localSheetId="6" hidden="0" function="0" vbProcedure="0">[10]Earning_Assum!B$1</definedName>
    <definedName name="sector" localSheetId="6" hidden="0" function="0" vbProcedure="0">#REF!</definedName>
    <definedName name="seg" localSheetId="6" hidden="0" function="0" vbProcedure="0">[41]sales!$A$2305</definedName>
    <definedName name="sensex" localSheetId="6" hidden="0" function="0" vbProcedure="0">#REF!</definedName>
    <definedName name="SENSEXIndexed" localSheetId="6" hidden="0" function="0" vbProcedure="0">#REF!</definedName>
    <definedName name="SENSEXMember" localSheetId="6" hidden="0" function="0" vbProcedure="0">#REF!</definedName>
    <definedName name="SENSEXPrices" localSheetId="6" hidden="0" function="0" vbProcedure="0">#REF!</definedName>
    <definedName name="SGandA" localSheetId="6" hidden="0" function="0" vbProcedure="0">#REF!</definedName>
    <definedName name="ShareholdersEquity" localSheetId="6" hidden="0" function="0" vbProcedure="0">#REF!</definedName>
    <definedName name="shares" localSheetId="6" hidden="0" function="0" vbProcedure="0">#REF!</definedName>
    <definedName name="SharesPerGDR" localSheetId="6" hidden="0" function="0" vbProcedure="0">#REF!</definedName>
    <definedName name="sh_pri" localSheetId="6" hidden="0" function="0" vbProcedure="0">#REF!</definedName>
    <definedName name="sh_pti" localSheetId="6" hidden="0" function="0" vbProcedure="0">#REF!</definedName>
    <definedName name="Simplex" localSheetId="6" hidden="0" function="0" vbProcedure="0">#REF!</definedName>
    <definedName name="small_cap" localSheetId="6" hidden="0" function="0" vbProcedure="0">#REF!</definedName>
    <definedName name="software" localSheetId="6" hidden="0" function="0" vbProcedure="0">#REF!</definedName>
    <definedName name="speciality_chem" localSheetId="6" hidden="0" function="0" vbProcedure="0">#REF!</definedName>
    <definedName name="Spread" localSheetId="6" hidden="0" function="0" vbProcedure="0">#REF!</definedName>
    <definedName name="stable_growth_rate" localSheetId="6" hidden="0" function="0" vbProcedure="0">#REF!</definedName>
    <definedName name="Start_Detail" localSheetId="6" hidden="0" function="0" vbProcedure="0">#REF!</definedName>
    <definedName name="Start_Header" localSheetId="6" hidden="0" function="0" vbProcedure="0">#REF!</definedName>
    <definedName name="state_mktsh" localSheetId="6" hidden="0" function="0" vbProcedure="0">#REF!</definedName>
    <definedName name="Summary_Date" localSheetId="6" hidden="0" function="0" vbProcedure="0">#REF!</definedName>
    <definedName name="swap" localSheetId="6" hidden="0" function="0" vbProcedure="0">#REF!</definedName>
    <definedName name="Sweep_Hours" localSheetId="6" hidden="0" function="0" vbProcedure="0">#REF!</definedName>
    <definedName name="Sweep_KW" localSheetId="6" hidden="0" function="0" vbProcedure="0">#REF!</definedName>
    <definedName name="Table" localSheetId="6" hidden="0" function="0" vbProcedure="0">#REF!</definedName>
    <definedName name="target_pri" localSheetId="6" hidden="0" function="0" vbProcedure="0">#REF!</definedName>
    <definedName name="tariff_incr" localSheetId="6" hidden="0" function="0" vbProcedure="0">'[45]P&amp;L Depots C1'!$A$2305</definedName>
    <definedName name="tariff_incr1" localSheetId="6" hidden="0" function="0" vbProcedure="0">'[46]P&amp;L Depots C1'!$A$10</definedName>
    <definedName name="tea_estates" localSheetId="6" hidden="0" function="0" vbProcedure="0">[41]shareholding!$A$13313</definedName>
    <definedName name="Technical" localSheetId="6" hidden="0" function="0" vbProcedure="0">#REF!</definedName>
    <definedName name="tetley" localSheetId="6" hidden="0" function="0" vbProcedure="0">#REF!</definedName>
    <definedName name="THC_incr" localSheetId="6" hidden="0" function="0" vbProcedure="0">'[45]P&amp;L Depots C1'!$A$2305</definedName>
    <definedName name="TMKW" localSheetId="6" hidden="0" function="0" vbProcedure="0">#REF!</definedName>
    <definedName name="today" localSheetId="6" hidden="0" function="0" vbProcedure="0">#REF!</definedName>
    <definedName name="total" localSheetId="6" hidden="0" function="0" vbProcedure="0">#REF!</definedName>
    <definedName name="TotalAssets" localSheetId="6" hidden="0" function="0" vbProcedure="0">'CASH FOW STATEMENT'!CapitalEmployed+'CASH FOW STATEMENT'!CurrentLiab</definedName>
    <definedName name="TotalAssetsNet" localSheetId="6" hidden="0" function="0" vbProcedure="0">#REF!</definedName>
    <definedName name="TotalChangesInWorkingCapital" localSheetId="6" hidden="0" function="0" vbProcedure="0">#REF!</definedName>
    <definedName name="TotalCurrentAssets" localSheetId="6" hidden="0" function="0" vbProcedure="0">#REF!</definedName>
    <definedName name="TotalCurrentLiabilities" localSheetId="6" hidden="0" function="0" vbProcedure="0">#REF!</definedName>
    <definedName name="TotalDebt" localSheetId="6" hidden="0" function="0" vbProcedure="0">LongTermDebt+ShortTermDebt+CurrentPortion</definedName>
    <definedName name="totalss" localSheetId="6" hidden="0" function="0" vbProcedure="0">[24]Key_Base!$D$7</definedName>
    <definedName name="Total_Installments" localSheetId="6" hidden="0" function="0" vbProcedure="0">#REF!</definedName>
    <definedName name="tr" localSheetId="6" hidden="0" function="0" vbProcedure="0">[4]Sheet2!B$1</definedName>
    <definedName name="tt_subsidiaries" localSheetId="6" hidden="0" function="0" vbProcedure="0">[41]shareholding!$A21250</definedName>
    <definedName name="unilever" localSheetId="6" hidden="0" function="0" vbProcedure="0">#REF!</definedName>
    <definedName name="Upfront_Fee" localSheetId="6" hidden="0" function="0" vbProcedure="0">#REF!</definedName>
    <definedName name="USD_Libor_Swap_rate" localSheetId="6" hidden="0" function="0" vbProcedure="0">#REF!</definedName>
    <definedName name="Vessel_Cost" localSheetId="6" hidden="0" function="0" vbProcedure="0">#REF!</definedName>
    <definedName name="VFHrs" localSheetId="6" hidden="0" function="0" vbProcedure="0">#REF!</definedName>
    <definedName name="VFKW" localSheetId="6" hidden="0" function="0" vbProcedure="0">#REF!</definedName>
    <definedName name="vol" localSheetId="6" hidden="0" function="0" vbProcedure="0">[41]sales!$A$2305</definedName>
    <definedName name="Volume_Growth" localSheetId="6" hidden="0" function="0" vbProcedure="0">#REF!</definedName>
    <definedName name="WDV" localSheetId="6" hidden="0" function="0" vbProcedure="0">#REF!</definedName>
    <definedName name="WeightedAverageEPS" localSheetId="6" hidden="0" function="0" vbProcedure="0">#REF!</definedName>
    <definedName name="wrn_All_" localSheetId="6"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6" hidden="0" function="0" vbProcedure="0">{#N/A,#N/A,TRUE,"Financials";#N/A,#N/A,TRUE,"Operating Statistics";#N/A,#N/A,TRUE,"Capex &amp; Depreciation";#N/A,#N/A,TRUE,"Debt"}</definedName>
    <definedName name="wrn_One___Pager___plus___Technicals_" localSheetId="6" hidden="0" function="0" vbProcedure="0">{#N/A,#N/A,FALSE,"One Pager";#N/A,#N/A,FALSE,"Technical"}</definedName>
    <definedName name="Y_Y_Growth" localSheetId="6" hidden="0" function="0" vbProcedure="0">'[47]Model (Not Merged)'!$A$2305</definedName>
    <definedName name="Z" localSheetId="6" hidden="0" function="0" vbProcedure="0">[10]Earning_Assum!$A$1</definedName>
    <definedName name="ZZ_AAA_BSControl" localSheetId="6" hidden="0" function="0" vbProcedure="0">#REF!</definedName>
    <definedName name="ZZ_AAA_IncludeManual" localSheetId="6" hidden="0" function="0" vbProcedure="0">#REF!</definedName>
    <definedName name="ZZ_AAA_ISControl" localSheetId="6" hidden="0" function="0" vbProcedure="0">#REF!</definedName>
    <definedName name="ZZ_AAA_TerminalStartTest1" localSheetId="6" hidden="0" function="0" vbProcedure="0">#REF!</definedName>
    <definedName name="ZZ_AAA_TerminalStartTest2" localSheetId="6" hidden="0" function="0" vbProcedure="0">#REF!</definedName>
    <definedName name="ZZ_AAA_TerminalStartTest3" localSheetId="6" hidden="0" function="0" vbProcedure="0">#REF!</definedName>
    <definedName name="ZZ_AAA_TerminalStartTest4" localSheetId="6" hidden="0" function="0" vbProcedure="0">#REF!</definedName>
    <definedName name="ZZ_AAA_TerminalStartTest5" localSheetId="6" hidden="0" function="0" vbProcedure="0">#REF!</definedName>
    <definedName name="ZZ_AAA_YearCount" localSheetId="6" hidden="0" function="0" vbProcedure="0">#REF!</definedName>
    <definedName name="ZZ_AAA_YearEndManual" localSheetId="6" hidden="0" function="0" vbProcedure="0">#REF!</definedName>
    <definedName name="ZZ_AAA_YearEnds" localSheetId="6" hidden="0" function="0" vbProcedure="0">#REF!</definedName>
    <definedName name="ZZ_AA_User1" localSheetId="6" hidden="0" function="0" vbProcedure="0">#REF!</definedName>
    <definedName name="ZZ_AA_User2" localSheetId="6" hidden="0" function="0" vbProcedure="0">#REF!</definedName>
    <definedName name="ZZ_AA_User3" localSheetId="6" hidden="0" function="0" vbProcedure="0">#REF!</definedName>
    <definedName name="ZZ_AA_User4" localSheetId="6" hidden="0" function="0" vbProcedure="0">#REF!</definedName>
    <definedName name="ZZ_AA_User5" localSheetId="6" hidden="0" function="0" vbProcedure="0">#REF!</definedName>
    <definedName name="ZZ_BAL_AccountsPayable" localSheetId="6" hidden="0" function="0" vbProcedure="0">#REF!</definedName>
    <definedName name="ZZ_BAL_AccountsReceivable" localSheetId="6" hidden="0" function="0" vbProcedure="0">#REF!</definedName>
    <definedName name="ZZ_BAL_AverageTotalDebt" localSheetId="6" hidden="0" function="0" vbProcedure="0">#REF!</definedName>
    <definedName name="ZZ_BAL_Balance" localSheetId="6" hidden="0" function="0" vbProcedure="0">#REF!</definedName>
    <definedName name="ZZ_BAL_CapitalizedAssets" localSheetId="6" hidden="0" function="0" vbProcedure="0">#REF!</definedName>
    <definedName name="ZZ_BAL_ConstructionInProgress" localSheetId="6" hidden="0" function="0" vbProcedure="0">#REF!</definedName>
    <definedName name="ZZ_BAL_DebtNet" localSheetId="6" hidden="0" function="0" vbProcedure="0">#REF!</definedName>
    <definedName name="ZZ_BAL_DebtTotal" localSheetId="6" hidden="0" function="0" vbProcedure="0">#REF!</definedName>
    <definedName name="ZZ_BAL_DeferredTaxes" localSheetId="6" hidden="0" function="0" vbProcedure="0">#REF!</definedName>
    <definedName name="ZZ_BAL_Goodwill" localSheetId="6" hidden="0" function="0" vbProcedure="0">#REF!</definedName>
    <definedName name="ZZ_BAL_Inventories" localSheetId="6" hidden="0" function="0" vbProcedure="0">#REF!</definedName>
    <definedName name="ZZ_BAL_LongTermDebt" localSheetId="6" hidden="0" function="0" vbProcedure="0">#REF!</definedName>
    <definedName name="ZZ_BAL_LongTermInterestAssets" localSheetId="6" hidden="0" function="0" vbProcedure="0">#REF!</definedName>
    <definedName name="ZZ_BAL_LongTermNonInterestLiabilities" localSheetId="6" hidden="0" function="0" vbProcedure="0">#REF!</definedName>
    <definedName name="ZZ_BAL_LongTermNonOperatingAssets" localSheetId="6" hidden="0" function="0" vbProcedure="0">#REF!</definedName>
    <definedName name="ZZ_BAL_MinorityInterest" localSheetId="6" hidden="0" function="0" vbProcedure="0">#REF!</definedName>
    <definedName name="ZZ_BAL_NetAssets" localSheetId="6" hidden="0" function="0" vbProcedure="0">#REF!</definedName>
    <definedName name="ZZ_BAL_NetAssetsAverage" localSheetId="6" hidden="0" function="0" vbProcedure="0">#REF!</definedName>
    <definedName name="ZZ_BAL_NetCurrentAssets" localSheetId="6" hidden="0" function="0" vbProcedure="0">#REF!</definedName>
    <definedName name="ZZ_BAL_NetFixedAssets" localSheetId="6" hidden="0" function="0" vbProcedure="0">#REF!</definedName>
    <definedName name="ZZ_BAL_NetWorkingCapital" localSheetId="6" hidden="0" function="0" vbProcedure="0">#REF!</definedName>
    <definedName name="ZZ_BAL_OBSILeases" localSheetId="6" hidden="0" function="0" vbProcedure="0">#REF!</definedName>
    <definedName name="ZZ_BAL_OBSIOther" localSheetId="6" hidden="0" function="0" vbProcedure="0">#REF!</definedName>
    <definedName name="ZZ_BAL_OperatingCash" localSheetId="6" hidden="0" function="0" vbProcedure="0">#REF!</definedName>
    <definedName name="ZZ_BAL_OtherCurrentAssets" localSheetId="6" hidden="0" function="0" vbProcedure="0">#REF!</definedName>
    <definedName name="ZZ_BAL_OtherCurrentLiabilities" localSheetId="6" hidden="0" function="0" vbProcedure="0">#REF!</definedName>
    <definedName name="ZZ_BAL_OtherReserves" localSheetId="6" hidden="0" function="0" vbProcedure="0">#REF!</definedName>
    <definedName name="ZZ_BAL_PreferredStock" localSheetId="6" hidden="0" function="0" vbProcedure="0">#REF!</definedName>
    <definedName name="ZZ_BAL_RetainedEarnings" localSheetId="6" hidden="0" function="0" vbProcedure="0">#REF!</definedName>
    <definedName name="ZZ_BAL_RevaluationReserve" localSheetId="6" hidden="0" function="0" vbProcedure="0">#REF!</definedName>
    <definedName name="ZZ_BAL_ShareCapital" localSheetId="6" hidden="0" function="0" vbProcedure="0">#REF!</definedName>
    <definedName name="ZZ_BAL_SharePremium" localSheetId="6" hidden="0" function="0" vbProcedure="0">#REF!</definedName>
    <definedName name="ZZ_BAL_StatutoryReserves" localSheetId="6" hidden="0" function="0" vbProcedure="0">#REF!</definedName>
    <definedName name="ZZ_BAL_STDebt" localSheetId="6" hidden="0" function="0" vbProcedure="0">#REF!</definedName>
    <definedName name="ZZ_BAL_STInvestments" localSheetId="6" hidden="0" function="0" vbProcedure="0">#REF!</definedName>
    <definedName name="ZZ_BAL_TotalAssets" localSheetId="6" hidden="0" function="0" vbProcedure="0">#REF!</definedName>
    <definedName name="ZZ_BAL_TotalAssetsAverage" localSheetId="6" hidden="0" function="0" vbProcedure="0">#REF!</definedName>
    <definedName name="ZZ_BAL_TotalCommonEquity" localSheetId="6" hidden="0" function="0" vbProcedure="0">#REF!</definedName>
    <definedName name="ZZ_BAL_TotalCurrentAssets" localSheetId="6" hidden="0" function="0" vbProcedure="0">#REF!</definedName>
    <definedName name="ZZ_BAL_TotalCurrentLiabilities" localSheetId="6" hidden="0" function="0" vbProcedure="0">#REF!</definedName>
    <definedName name="ZZ_BAL_TotalEquity" localSheetId="6" hidden="0" function="0" vbProcedure="0">#REF!</definedName>
    <definedName name="ZZ_BAL_TotalEquityAverage" localSheetId="6" hidden="0" function="0" vbProcedure="0">#REF!</definedName>
    <definedName name="ZZ_BAL_TotalLiabilities" localSheetId="6" hidden="0" function="0" vbProcedure="0">#REF!</definedName>
    <definedName name="ZZ_BAL_TotalLiabilitiesPlusEquity" localSheetId="6" hidden="0" function="0" vbProcedure="0">#REF!</definedName>
    <definedName name="ZZ_BAL_TotalLongTermLiabilities" localSheetId="6" hidden="0" function="0" vbProcedure="0">#REF!</definedName>
    <definedName name="ZZ_BAL_TotalReserves" localSheetId="6" hidden="0" function="0" vbProcedure="0">#REF!</definedName>
    <definedName name="ZZ_CAP_AccumulatedGoodwillAmort" localSheetId="6" hidden="0" function="0" vbProcedure="0">#REF!</definedName>
    <definedName name="ZZ_CAP_AccumulatedGoodwillAmortManual" localSheetId="6" hidden="0" function="0" vbProcedure="0">#REF!</definedName>
    <definedName name="ZZ_CAP_AdjToOperatingCapital" localSheetId="6" hidden="0" function="0" vbProcedure="0">#REF!</definedName>
    <definedName name="ZZ_CAP_AdjustedCommonEquity" localSheetId="6" hidden="0" function="0" vbProcedure="0">#REF!</definedName>
    <definedName name="ZZ_CAP_Balance" localSheetId="6" hidden="0" function="0" vbProcedure="0">#REF!</definedName>
    <definedName name="ZZ_CAP_ChangeInOperatingCapital" localSheetId="6" hidden="0" function="0" vbProcedure="0">#REF!</definedName>
    <definedName name="ZZ_CAP_EquityEquivalents" localSheetId="6" hidden="0" function="0" vbProcedure="0">#REF!</definedName>
    <definedName name="ZZ_CAP_LIFOReserve" localSheetId="6" hidden="0" function="0" vbProcedure="0">#REF!</definedName>
    <definedName name="ZZ_CAP_NetWorkingCapitalAdj" localSheetId="6" hidden="0" function="0" vbProcedure="0">#REF!</definedName>
    <definedName name="ZZ_CAP_NonOperatingCapital" localSheetId="6" hidden="0" function="0" vbProcedure="0">#REF!</definedName>
    <definedName name="ZZ_CAP_OperatingCapital" localSheetId="6" hidden="0" function="0" vbProcedure="0">#REF!</definedName>
    <definedName name="ZZ_CAP_OperatingCapitalAverage" localSheetId="6" hidden="0" function="0" vbProcedure="0">#REF!</definedName>
    <definedName name="ZZ_CAP_TotalCapital" localSheetId="6" hidden="0" function="0" vbProcedure="0">#REF!</definedName>
    <definedName name="ZZ_CAP_TotalCapitalAverage" localSheetId="6" hidden="0" function="0" vbProcedure="0">#REF!</definedName>
    <definedName name="ZZ_CAP_TotalCapitalRecon" localSheetId="6" hidden="0" function="0" vbProcedure="0">#REF!</definedName>
    <definedName name="ZZ_CAP_TotalDebtAdj" localSheetId="6" hidden="0" function="0" vbProcedure="0">#REF!</definedName>
    <definedName name="ZZ_CAP_ValueOfOperatingLeases" localSheetId="6" hidden="0" function="0" vbProcedure="0">#REF!</definedName>
    <definedName name="ZZ_CAS_Balance" localSheetId="6" hidden="0" function="0" vbProcedure="0">#REF!</definedName>
    <definedName name="ZZ_CAS_CashFlowFinancing" localSheetId="6" hidden="0" function="0" vbProcedure="0">#REF!</definedName>
    <definedName name="ZZ_CAS_CashFlowInvestment" localSheetId="6" hidden="0" function="0" vbProcedure="0">#REF!</definedName>
    <definedName name="ZZ_CAS_CashFlowOperational" localSheetId="6" hidden="0" function="0" vbProcedure="0">#REF!</definedName>
    <definedName name="ZZ_CAS_CashSTInvestments" localSheetId="6" hidden="0" function="0" vbProcedure="0">#REF!</definedName>
    <definedName name="ZZ_CAS_ChangeInCapitalizedAssets" localSheetId="6" hidden="0" function="0" vbProcedure="0">#REF!</definedName>
    <definedName name="ZZ_CAS_ChangeInCIP" localSheetId="6" hidden="0" function="0" vbProcedure="0">#REF!</definedName>
    <definedName name="ZZ_CAS_ChangeInCommonEquity" localSheetId="6" hidden="0" function="0" vbProcedure="0">#REF!</definedName>
    <definedName name="ZZ_CAS_ChangeInGoodwill" localSheetId="6" hidden="0" function="0" vbProcedure="0">#REF!</definedName>
    <definedName name="ZZ_CAS_ChangeInInvestmentsAssets" localSheetId="6" hidden="0" function="0" vbProcedure="0">#REF!</definedName>
    <definedName name="ZZ_CAS_ChangeInLTDebt" localSheetId="6" hidden="0" function="0" vbProcedure="0">#REF!</definedName>
    <definedName name="ZZ_CAS_ChangeInMinorityInterest" localSheetId="6" hidden="0" function="0" vbProcedure="0">#REF!</definedName>
    <definedName name="ZZ_CAS_ChangeInNetFixedAssets" localSheetId="6" hidden="0" function="0" vbProcedure="0">#REF!</definedName>
    <definedName name="ZZ_CAS_ChangeInOtherLTLiabilities" localSheetId="6" hidden="0" function="0" vbProcedure="0">#REF!</definedName>
    <definedName name="ZZ_CAS_ChangeInOtherNonOperatingAssets" localSheetId="6" hidden="0" function="0" vbProcedure="0">#REF!</definedName>
    <definedName name="ZZ_CAS_ChangeInOtherReserves" localSheetId="6" hidden="0" function="0" vbProcedure="0">#REF!</definedName>
    <definedName name="ZZ_CAS_ChangeInPreferredEquity" localSheetId="6" hidden="0" function="0" vbProcedure="0">#REF!</definedName>
    <definedName name="ZZ_CAS_ChangeInRevaluationReserve" localSheetId="6" hidden="0" function="0" vbProcedure="0">#REF!</definedName>
    <definedName name="ZZ_CAS_ChangeInSharePremium" localSheetId="6" hidden="0" function="0" vbProcedure="0">#REF!</definedName>
    <definedName name="ZZ_CAS_ChangeInStatutoryReserves" localSheetId="6" hidden="0" function="0" vbProcedure="0">#REF!</definedName>
    <definedName name="ZZ_CAS_ChangeInSTDebt" localSheetId="6" hidden="0" function="0" vbProcedure="0">#REF!</definedName>
    <definedName name="ZZ_CAS_ChangeInWC" localSheetId="6" hidden="0" function="0" vbProcedure="0">#REF!</definedName>
    <definedName name="ZZ_CAS_TotalCashFlow" localSheetId="6" hidden="0" function="0" vbProcedure="0">#REF!</definedName>
    <definedName name="ZZ_CAS_TotalCashFlowRecon" localSheetId="6" hidden="0" function="0" vbProcedure="0">#REF!</definedName>
    <definedName name="ZZ_COM_Assets" localSheetId="6" hidden="0" function="0" vbProcedure="0">#REF!</definedName>
    <definedName name="ZZ_COM_Switch1" localSheetId="6" hidden="0" function="0" vbProcedure="0">#REF!</definedName>
    <definedName name="ZZ_COS_BetaManual" localSheetId="6" hidden="0" function="0" vbProcedure="0">#REF!</definedName>
    <definedName name="ZZ_COS_BVCommonEquity" localSheetId="6" hidden="0" function="0" vbProcedure="0">#REF!</definedName>
    <definedName name="ZZ_COS_BVPreferredEquity" localSheetId="6" hidden="0" function="0" vbProcedure="0">#REF!</definedName>
    <definedName name="ZZ_COS_BVTotalCapital" localSheetId="6" hidden="0" function="0" vbProcedure="0">#REF!</definedName>
    <definedName name="ZZ_COS_BVTotalDebt" localSheetId="6" hidden="0" function="0" vbProcedure="0">#REF!</definedName>
    <definedName name="ZZ_COS_CostOfCommonEquity" localSheetId="6" hidden="0" function="0" vbProcedure="0">#REF!</definedName>
    <definedName name="ZZ_COS_CostOfDebtPostTax" localSheetId="6" hidden="0" function="0" vbProcedure="0">#REF!</definedName>
    <definedName name="ZZ_COS_CostOfDebtPreTaxManual" localSheetId="6" hidden="0" function="0" vbProcedure="0">#REF!</definedName>
    <definedName name="ZZ_COS_CostOfPreferredEquityManual" localSheetId="6" hidden="0" function="0" vbProcedure="0">#REF!</definedName>
    <definedName name="ZZ_COS_EquityRiskPremiumManual" localSheetId="6" hidden="0" function="0" vbProcedure="0">#REF!</definedName>
    <definedName name="ZZ_COS_MVCommonEquity" localSheetId="6" hidden="0" function="0" vbProcedure="0">#REF!</definedName>
    <definedName name="ZZ_COS_MVPreferredEquity" localSheetId="6" hidden="0" function="0" vbProcedure="0">#REF!</definedName>
    <definedName name="ZZ_COS_MVTotalCapital" localSheetId="6" hidden="0" function="0" vbProcedure="0">#REF!</definedName>
    <definedName name="ZZ_COS_MVTotalDebt" localSheetId="6" hidden="0" function="0" vbProcedure="0">#REF!</definedName>
    <definedName name="ZZ_COS_RequiredReturnCAPM" localSheetId="6" hidden="0" function="0" vbProcedure="0">#REF!</definedName>
    <definedName name="ZZ_COS_RequiredReturnManual" localSheetId="6" hidden="0" function="0" vbProcedure="0">#REF!</definedName>
    <definedName name="ZZ_COS_RiskFreeRateManual" localSheetId="6" hidden="0" function="0" vbProcedure="0">#REF!</definedName>
    <definedName name="ZZ_COS_Switch1" localSheetId="6" hidden="0" function="0" vbProcedure="0">#REF!</definedName>
    <definedName name="ZZ_COS_TargetDebtToCapitalManual" localSheetId="6" hidden="0" function="0" vbProcedure="0">#REF!</definedName>
    <definedName name="ZZ_COS_UnleveragedCostOfCapital" localSheetId="6" hidden="0" function="0" vbProcedure="0">#REF!</definedName>
    <definedName name="ZZ_COS_WACC" localSheetId="6" hidden="0" function="0" vbProcedure="0">#REF!</definedName>
    <definedName name="ZZ_COS_WACCActual" localSheetId="6" hidden="0" function="0" vbProcedure="0">#REF!</definedName>
    <definedName name="ZZ_COS_WACCManual" localSheetId="6" hidden="0" function="0" vbProcedure="0">#REF!</definedName>
    <definedName name="ZZ_COS_WGTCommonEquity" localSheetId="6" hidden="0" function="0" vbProcedure="0">#REF!</definedName>
    <definedName name="ZZ_COS_WGTPreferredEquity" localSheetId="6" hidden="0" function="0" vbProcedure="0">#REF!</definedName>
    <definedName name="ZZ_COS_WGTTotalDebt" localSheetId="6" hidden="0" function="0" vbProcedure="0">#REF!</definedName>
    <definedName name="ZZ_DCF_Balance" localSheetId="6" hidden="0" function="0" vbProcedure="0">#REF!</definedName>
    <definedName name="ZZ_DCF_EVA_Discounted" localSheetId="6" hidden="0" function="0" vbProcedure="0">#REF!</definedName>
    <definedName name="ZZ_DCF_EVA_DiscountedTotal" localSheetId="6" hidden="0" function="0" vbProcedure="0">#REF!</definedName>
    <definedName name="ZZ_DCF_EVA_DiscountFactor" localSheetId="6" hidden="0" function="0" vbProcedure="0">#REF!</definedName>
    <definedName name="ZZ_DCF_EVA_EconomicValueAdded" localSheetId="6" hidden="0" function="0" vbProcedure="0">#REF!</definedName>
    <definedName name="ZZ_DCF_EVA_EconomicValueAddedManual" localSheetId="6" hidden="0" function="0" vbProcedure="0">#REF!</definedName>
    <definedName name="ZZ_DCF_EVA_ImpliedEquityValue" localSheetId="6" hidden="0" function="0" vbProcedure="0">#REF!</definedName>
    <definedName name="ZZ_DCF_EVA_ImpliedEquityValuePerShare" localSheetId="6" hidden="0" function="0" vbProcedure="0">#REF!</definedName>
    <definedName name="ZZ_DCF_EVA_MidYearAdjustmentFactor" localSheetId="6" hidden="0" function="0" vbProcedure="0">#REF!</definedName>
    <definedName name="ZZ_DCF_EVA_OperatingValue" localSheetId="6" hidden="0" function="0" vbProcedure="0">#REF!</definedName>
    <definedName name="ZZ_DCF_EVA_OperatingValueAdj" localSheetId="6" hidden="0" function="0" vbProcedure="0">#REF!</definedName>
    <definedName name="ZZ_DCF_EVA_TotalValue" localSheetId="6" hidden="0" function="0" vbProcedure="0">#REF!</definedName>
    <definedName name="ZZ_DCF_EVA_WACC" localSheetId="6" hidden="0" function="0" vbProcedure="0">#REF!</definedName>
    <definedName name="ZZ_DCF_FCF_Discounted" localSheetId="6" hidden="0" function="0" vbProcedure="0">#REF!</definedName>
    <definedName name="ZZ_DCF_FCF_DiscountFactor" localSheetId="6" hidden="0" function="0" vbProcedure="0">#REF!</definedName>
    <definedName name="ZZ_DCF_FCF_FreeCashFlow" localSheetId="6" hidden="0" function="0" vbProcedure="0">#REF!</definedName>
    <definedName name="ZZ_DCF_FCF_FreeCashFlowManual" localSheetId="6" hidden="0" function="0" vbProcedure="0">#REF!</definedName>
    <definedName name="ZZ_DCF_FCF_ImpliedEquityValue" localSheetId="6" hidden="0" function="0" vbProcedure="0">#REF!</definedName>
    <definedName name="ZZ_DCF_FCF_ImpliedEquityValuePerShare" localSheetId="6" hidden="0" function="0" vbProcedure="0">#REF!</definedName>
    <definedName name="ZZ_DCF_FCF_MidYearAdjustmentFactor" localSheetId="6" hidden="0" function="0" vbProcedure="0">#REF!</definedName>
    <definedName name="ZZ_DCF_FCF_NetInvestment" localSheetId="6" hidden="0" function="0" vbProcedure="0">#REF!</definedName>
    <definedName name="ZZ_DCF_FCF_NOPAT" localSheetId="6" hidden="0" function="0" vbProcedure="0">#REF!</definedName>
    <definedName name="ZZ_DCF_FCF_OperatingValue" localSheetId="6" hidden="0" function="0" vbProcedure="0">#REF!</definedName>
    <definedName name="ZZ_DCF_FCF_OperatingValueAdj" localSheetId="6" hidden="0" function="0" vbProcedure="0">#REF!</definedName>
    <definedName name="ZZ_DCF_FCF_SharePremiumDiscount" localSheetId="6" hidden="0" function="0" vbProcedure="0">#REF!</definedName>
    <definedName name="ZZ_DCF_FCF_TotalValue" localSheetId="6" hidden="0" function="0" vbProcedure="0">#REF!</definedName>
    <definedName name="ZZ_DCF_FCF_WACC" localSheetId="6" hidden="0" function="0" vbProcedure="0">#REF!</definedName>
    <definedName name="ZZ_DCF_LTGrowthRate" localSheetId="6" hidden="0" function="0" vbProcedure="0">#REF!</definedName>
    <definedName name="ZZ_DCF_LTGrowthRateManual" localSheetId="6" hidden="0" function="0" vbProcedure="0">#REF!</definedName>
    <definedName name="ZZ_DCF_NON_TotalNonCommonEquity" localSheetId="6" hidden="0" function="0" vbProcedure="0">#REF!</definedName>
    <definedName name="ZZ_EPS_BookValuePS" localSheetId="6" hidden="0" function="0" vbProcedure="0">#REF!</definedName>
    <definedName name="ZZ_EPS_CFPSFree" localSheetId="6" hidden="0" function="0" vbProcedure="0">#REF!</definedName>
    <definedName name="ZZ_EPS_CFPSGross" localSheetId="6" hidden="0" function="0" vbProcedure="0">#REF!</definedName>
    <definedName name="ZZ_EPS_DPS" localSheetId="6" hidden="0" function="0" vbProcedure="0">#REF!</definedName>
    <definedName name="ZZ_EPS_DPSManual" localSheetId="6" hidden="0" function="0" vbProcedure="0">#REF!</definedName>
    <definedName name="ZZ_EPS_EPSBasic" localSheetId="6" hidden="0" function="0" vbProcedure="0">#REF!</definedName>
    <definedName name="ZZ_EPS_EPSBasicManual" localSheetId="6" hidden="0" function="0" vbProcedure="0">#REF!</definedName>
    <definedName name="ZZ_EPS_EPSBFullyDiluted" localSheetId="6" hidden="0" function="0" vbProcedure="0">#REF!</definedName>
    <definedName name="ZZ_EPS_EPSBFullyDilutedManual" localSheetId="6" hidden="0" function="0" vbProcedure="0">#REF!</definedName>
    <definedName name="ZZ_EPS_EPSPrimary" localSheetId="6" hidden="0" function="0" vbProcedure="0">#REF!</definedName>
    <definedName name="ZZ_EPS_EPSPrimaryManual" localSheetId="6" hidden="0" function="0" vbProcedure="0">#REF!</definedName>
    <definedName name="ZZ_EPS_MarketCapCurrent" localSheetId="6" hidden="0" function="0" vbProcedure="0">#REF!</definedName>
    <definedName name="ZZ_EPS_PriorYearAdjAnnual" localSheetId="6" hidden="0" function="0" vbProcedure="0">#REF!</definedName>
    <definedName name="ZZ_EPS_PriorYearAdjCumulative" localSheetId="6" hidden="0" function="0" vbProcedure="0">#REF!</definedName>
    <definedName name="ZZ_EPS_SharePriceAtYE" localSheetId="6" hidden="0" function="0" vbProcedure="0">#REF!</definedName>
    <definedName name="ZZ_EPS_SharePriceAtYEManual" localSheetId="6" hidden="0" function="0" vbProcedure="0">#REF!</definedName>
    <definedName name="ZZ_EPS_SharesAtYE" localSheetId="6" hidden="0" function="0" vbProcedure="0">#REF!</definedName>
    <definedName name="ZZ_EPS_SharesAtYEManual" localSheetId="6" hidden="0" function="0" vbProcedure="0">#REF!</definedName>
    <definedName name="ZZ_EPS_SharesFullyDiluted" localSheetId="6" hidden="0" function="0" vbProcedure="0">#REF!</definedName>
    <definedName name="ZZ_EPS_SharesFullyDilutedManual" localSheetId="6" hidden="0" function="0" vbProcedure="0">#REF!</definedName>
    <definedName name="ZZ_EPS_SharesPrimary" localSheetId="6" hidden="0" function="0" vbProcedure="0">#REF!</definedName>
    <definedName name="ZZ_EPS_SharesPrimaryManual" localSheetId="6" hidden="0" function="0" vbProcedure="0">#REF!</definedName>
    <definedName name="ZZ_EPS_SharesWgtAvg" localSheetId="6" hidden="0" function="0" vbProcedure="0">#REF!</definedName>
    <definedName name="ZZ_EPS_SharesWgtAvgManual" localSheetId="6" hidden="0" function="0" vbProcedure="0">#REF!</definedName>
    <definedName name="ZZ_FRE_Amortization" localSheetId="6" hidden="0" function="0" vbProcedure="0">#REF!</definedName>
    <definedName name="ZZ_FRE_Balance1" localSheetId="6" hidden="0" function="0" vbProcedure="0">#REF!</definedName>
    <definedName name="ZZ_FRE_Balance2" localSheetId="6" hidden="0" function="0" vbProcedure="0">#REF!</definedName>
    <definedName name="ZZ_FRE_CapitalNetAdditions" localSheetId="6" hidden="0" function="0" vbProcedure="0">#REF!</definedName>
    <definedName name="ZZ_FRE_ChangeInAdjToOperatingInvestedCapital" localSheetId="6" hidden="0" function="0" vbProcedure="0">#REF!</definedName>
    <definedName name="ZZ_FRE_Depreciation" localSheetId="6" hidden="0" function="0" vbProcedure="0">#REF!</definedName>
    <definedName name="ZZ_FRE_FreeCashFlow" localSheetId="6" hidden="0" function="0" vbProcedure="0">#REF!</definedName>
    <definedName name="ZZ_FRE_FreeCashFlowRecon1" localSheetId="6" hidden="0" function="0" vbProcedure="0">#REF!</definedName>
    <definedName name="ZZ_FRE_FreeCashFlowRecon2" localSheetId="6" hidden="0" function="0" vbProcedure="0">#REF!</definedName>
    <definedName name="ZZ_FRE_GrossCashFlow" localSheetId="6" hidden="0" function="0" vbProcedure="0">#REF!</definedName>
    <definedName name="ZZ_FRE_GrossInvestment" localSheetId="6" hidden="0" function="0" vbProcedure="0">#REF!</definedName>
    <definedName name="ZZ_FRE_NetInvestment" localSheetId="6" hidden="0" function="0" vbProcedure="0">#REF!</definedName>
    <definedName name="ZZ_FRE_NetInvestmentRate" localSheetId="6" hidden="0" function="0" vbProcedure="0">#REF!</definedName>
    <definedName name="ZZ_FRE_NOPAT" localSheetId="6" hidden="0" function="0" vbProcedure="0">#REF!</definedName>
    <definedName name="ZZ_FRE_PaymentsToInvestors" localSheetId="6" hidden="0" function="0" vbProcedure="0">#REF!</definedName>
    <definedName name="ZZ_GRO_BasicEPS" localSheetId="6" hidden="0" function="0" vbProcedure="0">#REF!</definedName>
    <definedName name="ZZ_GRO_NetIncome" localSheetId="6" hidden="0" function="0" vbProcedure="0">#REF!</definedName>
    <definedName name="ZZ_GRO_NOPAT" localSheetId="6" hidden="0" function="0" vbProcedure="0">#REF!</definedName>
    <definedName name="ZZ_GRO_Revenue" localSheetId="6" hidden="0" function="0" vbProcedure="0">#REF!</definedName>
    <definedName name="ZZ_INC_AdjToRetainedEarnings" localSheetId="6" hidden="0" function="0" vbProcedure="0">#REF!</definedName>
    <definedName name="ZZ_INC_AdminExpense" localSheetId="6" hidden="0" function="0" vbProcedure="0">#REF!</definedName>
    <definedName name="ZZ_INC_Amortization" localSheetId="6" hidden="0" function="0" vbProcedure="0">#REF!</definedName>
    <definedName name="ZZ_INC_AmortizationGoodwill" localSheetId="6" hidden="0" function="0" vbProcedure="0">#REF!</definedName>
    <definedName name="ZZ_INC_Associates" localSheetId="6" hidden="0" function="0" vbProcedure="0">#REF!</definedName>
    <definedName name="ZZ_INC_BeginningRetainedEarnings" localSheetId="6" hidden="0" function="0" vbProcedure="0">#REF!</definedName>
    <definedName name="ZZ_INC_CashDividends" localSheetId="6" hidden="0" function="0" vbProcedure="0">#REF!</definedName>
    <definedName name="ZZ_INC_CGS" localSheetId="6" hidden="0" function="0" vbProcedure="0">#REF!</definedName>
    <definedName name="ZZ_INC_Depreciation" localSheetId="6" hidden="0" function="0" vbProcedure="0">#REF!</definedName>
    <definedName name="ZZ_INC_EAT" localSheetId="6" hidden="0" function="0" vbProcedure="0">#REF!</definedName>
    <definedName name="ZZ_INC_EBIT" localSheetId="6" hidden="0" function="0" vbProcedure="0">#REF!</definedName>
    <definedName name="ZZ_INC_EBITDA" localSheetId="6" hidden="0" function="0" vbProcedure="0">#REF!</definedName>
    <definedName name="ZZ_INC_EBT" localSheetId="6" hidden="0" function="0" vbProcedure="0">#REF!</definedName>
    <definedName name="ZZ_INC_EffectiveTaxRate" localSheetId="6" hidden="0" function="0" vbProcedure="0">#REF!</definedName>
    <definedName name="ZZ_INC_Exceptionals" localSheetId="6" hidden="0" function="0" vbProcedure="0">#REF!</definedName>
    <definedName name="ZZ_INC_Extraordinaries" localSheetId="6" hidden="0" function="0" vbProcedure="0">#REF!</definedName>
    <definedName name="ZZ_INC_GrossProfit" localSheetId="6" hidden="0" function="0" vbProcedure="0">#REF!</definedName>
    <definedName name="ZZ_INC_IncomeTax" localSheetId="6" hidden="0" function="0" vbProcedure="0">#REF!</definedName>
    <definedName name="ZZ_INC_InterestExpense" localSheetId="6" hidden="0" function="0" vbProcedure="0">#REF!</definedName>
    <definedName name="ZZ_INC_InterestIncome" localSheetId="6" hidden="0" function="0" vbProcedure="0">#REF!</definedName>
    <definedName name="ZZ_INC_Minorities" localSheetId="6" hidden="0" function="0" vbProcedure="0">#REF!</definedName>
    <definedName name="ZZ_INC_NetIncome" localSheetId="6" hidden="0" function="0" vbProcedure="0">#REF!</definedName>
    <definedName name="ZZ_INC_NonOperatingIncome" localSheetId="6" hidden="0" function="0" vbProcedure="0">#REF!</definedName>
    <definedName name="ZZ_INC_OperatingIncome" localSheetId="6" hidden="0" function="0" vbProcedure="0">#REF!</definedName>
    <definedName name="ZZ_INC_OtherAfterTaxIncome" localSheetId="6" hidden="0" function="0" vbProcedure="0">#REF!</definedName>
    <definedName name="ZZ_INC_OtherIncome" localSheetId="6" hidden="0" function="0" vbProcedure="0">#REF!</definedName>
    <definedName name="ZZ_INC_OtherOperatingIncome" localSheetId="6" hidden="0" function="0" vbProcedure="0">#REF!</definedName>
    <definedName name="ZZ_INC_PreferredDividends" localSheetId="6" hidden="0" function="0" vbProcedure="0">#REF!</definedName>
    <definedName name="ZZ_INC_RetainedProfit" localSheetId="6" hidden="0" function="0" vbProcedure="0">#REF!</definedName>
    <definedName name="ZZ_INC_Revenue" localSheetId="6" hidden="0" function="0" vbProcedure="0">#REF!</definedName>
    <definedName name="ZZ_INC_StatutoryAppropriations" localSheetId="6" hidden="0" function="0" vbProcedure="0">#REF!</definedName>
    <definedName name="ZZ_NOP_AdjToOperatingIncome" localSheetId="6" hidden="0" function="0" vbProcedure="0">#REF!</definedName>
    <definedName name="ZZ_NOP_ATInterestExpense" localSheetId="6" hidden="0" function="0" vbProcedure="0">#REF!</definedName>
    <definedName name="ZZ_NOP_ATInterestOnNonCapitalizedLeases" localSheetId="6" hidden="0" function="0" vbProcedure="0">#REF!</definedName>
    <definedName name="ZZ_NOP_ATNonOperatingIncome" localSheetId="6" hidden="0" function="0" vbProcedure="0">#REF!</definedName>
    <definedName name="ZZ_NOP_Balance" localSheetId="6" hidden="0" function="0" vbProcedure="0">#REF!</definedName>
    <definedName name="ZZ_NOP_CashTaxesPaid" localSheetId="6" hidden="0" function="0" vbProcedure="0">#REF!</definedName>
    <definedName name="ZZ_NOP_ChangeInDeferredTaxes" localSheetId="6" hidden="0" function="0" vbProcedure="0">#REF!</definedName>
    <definedName name="ZZ_NOP_ChangeInLIFOReserve" localSheetId="6" hidden="0" function="0" vbProcedure="0">#REF!</definedName>
    <definedName name="ZZ_NOP_EquityEquivalents" localSheetId="6" hidden="0" function="0" vbProcedure="0">#REF!</definedName>
    <definedName name="ZZ_NOP_IncomeAvailableToInvestors" localSheetId="6" hidden="0" function="0" vbProcedure="0">#REF!</definedName>
    <definedName name="ZZ_NOP_LeaseAdjustment" localSheetId="6" hidden="0" function="0" vbProcedure="0">#REF!</definedName>
    <definedName name="ZZ_NOP_MarginalTaxRate" localSheetId="6" hidden="0" function="0" vbProcedure="0">#REF!</definedName>
    <definedName name="ZZ_NOP_MarginalTaxRateManual" localSheetId="6" hidden="0" function="0" vbProcedure="0">#REF!</definedName>
    <definedName name="ZZ_NOP_NOPAT" localSheetId="6" hidden="0" function="0" vbProcedure="0">#REF!</definedName>
    <definedName name="ZZ_NOP_NOPATRecon" localSheetId="6" hidden="0" function="0" vbProcedure="0">#REF!</definedName>
    <definedName name="ZZ_NOP_NOPBT" localSheetId="6" hidden="0" function="0" vbProcedure="0">#REF!</definedName>
    <definedName name="ZZ_NOP_TaxesOnOperatingIncomeAdj" localSheetId="6" hidden="0" function="0" vbProcedure="0">#REF!</definedName>
    <definedName name="ZZ_NOP_TaxOnNonOperatingIncome" localSheetId="6" hidden="0" function="0" vbProcedure="0">#REF!</definedName>
    <definedName name="ZZ_NOP_TaxShieldOnInterestExpense" localSheetId="6" hidden="0" function="0" vbProcedure="0">#REF!</definedName>
    <definedName name="ZZ_OTH_AverageAccountsPayable" localSheetId="6" hidden="0" function="0" vbProcedure="0">#REF!</definedName>
    <definedName name="ZZ_OTH_AverageAccountsReceivable" localSheetId="6" hidden="0" function="0" vbProcedure="0">#REF!</definedName>
    <definedName name="ZZ_OTH_AverageCapitalizedAssets" localSheetId="6" hidden="0" function="0" vbProcedure="0">#REF!</definedName>
    <definedName name="ZZ_OTH_AverageInventories" localSheetId="6" hidden="0" function="0" vbProcedure="0">#REF!</definedName>
    <definedName name="ZZ_OTH_AverageNetFixedAssets" localSheetId="6" hidden="0" function="0" vbProcedure="0">#REF!</definedName>
    <definedName name="ZZ_OTH_AverageNWC" localSheetId="6" hidden="0" function="0" vbProcedure="0">#REF!</definedName>
    <definedName name="ZZ_OTH_CashTaxRate" localSheetId="6" hidden="0" function="0" vbProcedure="0">#REF!</definedName>
    <definedName name="ZZ_OTH_DaysInInventory" localSheetId="6" hidden="0" function="0" vbProcedure="0">#REF!</definedName>
    <definedName name="ZZ_OTH_DaysPayable" localSheetId="6" hidden="0" function="0" vbProcedure="0">#REF!</definedName>
    <definedName name="ZZ_OTH_DaysReceivable" localSheetId="6" hidden="0" function="0" vbProcedure="0">#REF!</definedName>
    <definedName name="ZZ_OTH_DividendPayoutRatio" localSheetId="6" hidden="0" function="0" vbProcedure="0">#REF!</definedName>
    <definedName name="ZZ_OTH_RetentionRate" localSheetId="6" hidden="0" function="0" vbProcedure="0">#REF!</definedName>
    <definedName name="ZZ_PRI_BAL_All" localSheetId="6" hidden="0" function="0" vbProcedure="0">#REF!</definedName>
    <definedName name="ZZ_PRI_CAS_All" localSheetId="6" hidden="0" function="0" vbProcedure="0">#REF!</definedName>
    <definedName name="ZZ_PRI_COM_All" localSheetId="6" hidden="0" function="0" vbProcedure="0">#REF!</definedName>
    <definedName name="ZZ_PRI_COS_All" localSheetId="6" hidden="0" function="0" vbProcedure="0">#REF!</definedName>
    <definedName name="ZZ_PRI_DCF_All" localSheetId="6" hidden="0" function="0" vbProcedure="0">#REF!</definedName>
    <definedName name="ZZ_PRI_EPS_All" localSheetId="6" hidden="0" function="0" vbProcedure="0">#REF!</definedName>
    <definedName name="ZZ_PRI_FRE_All" localSheetId="6" hidden="0" function="0" vbProcedure="0">#REF!</definedName>
    <definedName name="ZZ_PRI_GRO_All" localSheetId="6" hidden="0" function="0" vbProcedure="0">#REF!</definedName>
    <definedName name="ZZ_PRI_INC_All" localSheetId="6" hidden="0" function="0" vbProcedure="0">#REF!</definedName>
    <definedName name="ZZ_PRI_INV_All" localSheetId="6" hidden="0" function="0" vbProcedure="0">#REF!</definedName>
    <definedName name="ZZ_PRI_NOP_All" localSheetId="6" hidden="0" function="0" vbProcedure="0">#REF!</definedName>
    <definedName name="ZZ_PRI_OTH_All" localSheetId="6" hidden="0" function="0" vbProcedure="0">#REF!</definedName>
    <definedName name="ZZ_PRI_RET_All" localSheetId="6" hidden="0" function="0" vbProcedure="0">#REF!</definedName>
    <definedName name="ZZ_PRI_SUM_All" localSheetId="6" hidden="0" function="0" vbProcedure="0">#REF!</definedName>
    <definedName name="ZZ_PRI_VAL_0" localSheetId="6" hidden="0" function="0" vbProcedure="0">#REF!</definedName>
    <definedName name="ZZ_PRI_VAL_1" localSheetId="6" hidden="0" function="0" vbProcedure="0">#REF!</definedName>
    <definedName name="ZZ_RET_DuPont1" localSheetId="6" hidden="0" function="0" vbProcedure="0">#REF!</definedName>
    <definedName name="ZZ_RET_DuPont10" localSheetId="6" hidden="0" function="0" vbProcedure="0">#REF!</definedName>
    <definedName name="ZZ_RET_DuPont11" localSheetId="6" hidden="0" function="0" vbProcedure="0">#REF!</definedName>
    <definedName name="ZZ_RET_DuPont12" localSheetId="6" hidden="0" function="0" vbProcedure="0">#REF!</definedName>
    <definedName name="ZZ_RET_DuPont2" localSheetId="6" hidden="0" function="0" vbProcedure="0">#REF!</definedName>
    <definedName name="ZZ_RET_DuPont3" localSheetId="6" hidden="0" function="0" vbProcedure="0">#REF!</definedName>
    <definedName name="ZZ_RET_DuPont4" localSheetId="6" hidden="0" function="0" vbProcedure="0">#REF!</definedName>
    <definedName name="ZZ_RET_DuPont5" localSheetId="6" hidden="0" function="0" vbProcedure="0">#REF!</definedName>
    <definedName name="ZZ_RET_DuPont6" localSheetId="6" hidden="0" function="0" vbProcedure="0">#REF!</definedName>
    <definedName name="ZZ_RET_DuPont7" localSheetId="6" hidden="0" function="0" vbProcedure="0">#REF!</definedName>
    <definedName name="ZZ_RET_DuPont8" localSheetId="6" hidden="0" function="0" vbProcedure="0">#REF!</definedName>
    <definedName name="ZZ_RET_DuPont9" localSheetId="6" hidden="0" function="0" vbProcedure="0">#REF!</definedName>
    <definedName name="ZZ_RET_InternalGrowth" localSheetId="6" hidden="0" function="0" vbProcedure="0">#REF!</definedName>
    <definedName name="ZZ_RET_ROEAfterTax" localSheetId="6" hidden="0" function="0" vbProcedure="0">#REF!</definedName>
    <definedName name="ZZ_RET_ROEPreTax" localSheetId="6" hidden="0" function="0" vbProcedure="0">#REF!</definedName>
    <definedName name="ZZ_RET_Switch1" localSheetId="6" hidden="0" function="0" vbProcedure="0">#REF!</definedName>
    <definedName name="ZZ_RET_TotalAssets" localSheetId="6" hidden="0" function="0" vbProcedure="0">#REF!</definedName>
    <definedName name="ZZ_RET_TotalCapital" localSheetId="6" hidden="0" function="0" vbProcedure="0">#REF!</definedName>
    <definedName name="ZZ_RET_TotalEquity" localSheetId="6" hidden="0" function="0" vbProcedure="0">#REF!</definedName>
    <definedName name="ZZ_RET_TotalOperatingInvestedCapital" localSheetId="6" hidden="0" function="0" vbProcedure="0">#REF!</definedName>
    <definedName name="ZZ_SUM_AdjBVPS" localSheetId="6" hidden="0" function="0" vbProcedure="0">#REF!</definedName>
    <definedName name="ZZ_SUM_BegOperatingCapital" localSheetId="6" hidden="0" function="0" vbProcedure="0">#REF!</definedName>
    <definedName name="ZZ_SUM_CapitalCharge" localSheetId="6" hidden="0" function="0" vbProcedure="0">#REF!</definedName>
    <definedName name="ZZ_SUM_ChangeInEVA" localSheetId="6" hidden="0" function="0" vbProcedure="0">#REF!</definedName>
    <definedName name="ZZ_SUM_ChangeInMVA" localSheetId="6" hidden="0" function="0" vbProcedure="0">#REF!</definedName>
    <definedName name="ZZ_SUM_EVA" localSheetId="6" hidden="0" function="0" vbProcedure="0">#REF!</definedName>
    <definedName name="ZZ_SUM_EVASpread" localSheetId="6" hidden="0" function="0" vbProcedure="0">#REF!</definedName>
    <definedName name="ZZ_SUM_MVA" localSheetId="6" hidden="0" function="0" vbProcedure="0">#REF!</definedName>
    <definedName name="ZZ_SUM_MVAPS" localSheetId="6" hidden="0" function="0" vbProcedure="0">#REF!</definedName>
    <definedName name="ZZ_SUM_OperatingGrowth" localSheetId="6" hidden="0" function="0" vbProcedure="0">#REF!</definedName>
    <definedName name="ZZ_SUM_ReturnOnCapital" localSheetId="6" hidden="0" function="0" vbProcedure="0">#REF!</definedName>
    <definedName name="ZZ_SUM_TotalCapital" localSheetId="6" hidden="0" function="0" vbProcedure="0">#REF!</definedName>
    <definedName name="ZZ_SYS_AnalystName" localSheetId="6" hidden="0" function="0" vbProcedure="0">#REF!</definedName>
    <definedName name="ZZ_SYS_AutomaticData" localSheetId="6" hidden="0" function="0" vbProcedure="0">#REF!</definedName>
    <definedName name="ZZ_SYS_AvailableToForeigners" localSheetId="6" hidden="0" function="0" vbProcedure="0">#REF!</definedName>
    <definedName name="ZZ_SYS_Beta" localSheetId="6" hidden="0" function="0" vbProcedure="0">#REF!</definedName>
    <definedName name="ZZ_SYS_CodeBloomberg" localSheetId="6" hidden="0" function="0" vbProcedure="0">#REF!</definedName>
    <definedName name="ZZ_SYS_CodeDatastream" localSheetId="6" hidden="0" function="0" vbProcedure="0">#REF!</definedName>
    <definedName name="ZZ_SYS_CodeFileName" localSheetId="6" hidden="0" function="0" vbProcedure="0">#REF!</definedName>
    <definedName name="ZZ_SYS_CodeFilePath" localSheetId="6" hidden="0" function="0" vbProcedure="0">#REF!</definedName>
    <definedName name="ZZ_SYS_CodeFilePathTemp" localSheetId="6" hidden="0" function="0" vbProcedure="0">#REF!</definedName>
    <definedName name="ZZ_SYS_CodeLocal" localSheetId="6" hidden="0" function="0" vbProcedure="0">#REF!</definedName>
    <definedName name="ZZ_SYS_CodeReuters" localSheetId="6" hidden="0" function="0" vbProcedure="0">#REF!</definedName>
    <definedName name="ZZ_SYS_CompanyName" localSheetId="6" hidden="0" function="0" vbProcedure="0">#REF!</definedName>
    <definedName name="ZZ_SYS_CostOfDebt" localSheetId="6" hidden="0" function="0" vbProcedure="0">#REF!</definedName>
    <definedName name="ZZ_SYS_Country" localSheetId="6" hidden="0" function="0" vbProcedure="0">#REF!</definedName>
    <definedName name="ZZ_SYS_Currency" localSheetId="6" hidden="0" function="0" vbProcedure="0">#REF!</definedName>
    <definedName name="ZZ_SYS_CurrencyManual" localSheetId="6" hidden="0" function="0" vbProcedure="0">#REF!</definedName>
    <definedName name="ZZ_SYS_CurrentDateManual" localSheetId="6" hidden="0" function="0" vbProcedure="0">#REF!</definedName>
    <definedName name="ZZ_SYS_CurrentFreeFloatLocalManual" localSheetId="6" hidden="0" function="0" vbProcedure="0">#REF!</definedName>
    <definedName name="ZZ_SYS_CurrentMarketCapIssuedForeignManual" localSheetId="6" hidden="0" function="0" vbProcedure="0">#REF!</definedName>
    <definedName name="ZZ_SYS_CurrentMarketCapIssuedLocalAuto" localSheetId="6" hidden="0" function="0" vbProcedure="0">#REF!</definedName>
    <definedName name="ZZ_SYS_CurrentMarketCapIssuedLocalManual" localSheetId="6" hidden="0" function="0" vbProcedure="0">#REF!</definedName>
    <definedName name="ZZ_SYS_CurrentMonthNo" localSheetId="6" hidden="0" function="0" vbProcedure="0">#REF!</definedName>
    <definedName name="ZZ_SYS_CurrentPriceForeignAuto" localSheetId="6" hidden="0" function="0" vbProcedure="0">#REF!</definedName>
    <definedName name="ZZ_SYS_CurrentPriceForeignManual" localSheetId="6" hidden="0" function="0" vbProcedure="0">#REF!</definedName>
    <definedName name="ZZ_SYS_CurrentPriceLocalAuto" localSheetId="6" hidden="0" function="0" vbProcedure="0">#REF!</definedName>
    <definedName name="ZZ_SYS_CurrentPriceLocalManual" localSheetId="6" hidden="0" function="0" vbProcedure="0">#REF!</definedName>
    <definedName name="ZZ_SYS_CurrentSharesFreeFloatLocalManual" localSheetId="6" hidden="0" function="0" vbProcedure="0">#REF!</definedName>
    <definedName name="ZZ_SYS_CurrentSharesIssuedLocalAuto" localSheetId="6" hidden="0" function="0" vbProcedure="0">#REF!</definedName>
    <definedName name="ZZ_SYS_CurrentSharesIssuedLocalManual" localSheetId="6" hidden="0" function="0" vbProcedure="0">#REF!</definedName>
    <definedName name="ZZ_SYS_CurrentYearEnd" localSheetId="6" hidden="0" function="0" vbProcedure="0">#REF!</definedName>
    <definedName name="ZZ_SYS_Customize" localSheetId="6" hidden="0" function="0" vbProcedure="0">#REF!</definedName>
    <definedName name="ZZ_SYS_CustomPassword" localSheetId="6" hidden="0" function="0" vbProcedure="0">#REF!</definedName>
    <definedName name="ZZ_SYS_DecimalPlacesChoices" localSheetId="6" hidden="0" function="0" vbProcedure="0">#REF!</definedName>
    <definedName name="ZZ_SYS_DecimalPlacesMainIndex" localSheetId="6" hidden="0" function="0" vbProcedure="0">#REF!</definedName>
    <definedName name="ZZ_SYS_DecimalPlacesMultiplesIndex" localSheetId="6" hidden="0" function="0" vbProcedure="0">#REF!</definedName>
    <definedName name="ZZ_SYS_DecimalPlacesOtherIndex" localSheetId="6" hidden="0" function="0" vbProcedure="0">#REF!</definedName>
    <definedName name="ZZ_SYS_DecimalPlacesPercentIndex" localSheetId="6" hidden="0" function="0" vbProcedure="0">#REF!</definedName>
    <definedName name="ZZ_SYS_DecimalPlacesPriceIndex" localSheetId="6" hidden="0" function="0" vbProcedure="0">#REF!</definedName>
    <definedName name="ZZ_SYS_EquityRiskPremium" localSheetId="6" hidden="0" function="0" vbProcedure="0">#REF!</definedName>
    <definedName name="ZZ_SYS_Error1" localSheetId="6" hidden="0" function="0" vbProcedure="0">#REF!</definedName>
    <definedName name="ZZ_SYS_ExcludeMidYearAdj" localSheetId="6" hidden="0" function="0" vbProcedure="0">#REF!</definedName>
    <definedName name="ZZ_SYS_ExcludeTerminalValues" localSheetId="6" hidden="0" function="0" vbProcedure="0">#REF!</definedName>
    <definedName name="ZZ_SYS_ExpiryDate" localSheetId="6" hidden="0" function="0" vbProcedure="0">#REF!</definedName>
    <definedName name="ZZ_SYS_ExpiryStatus" localSheetId="6" hidden="0" function="0" vbProcedure="0">#REF!</definedName>
    <definedName name="ZZ_SYS_HideLicenseAgreement" localSheetId="6" hidden="0" function="0" vbProcedure="0">#REF!</definedName>
    <definedName name="ZZ_SYS_Installed" localSheetId="6" hidden="0" function="0" vbProcedure="0">#REF!</definedName>
    <definedName name="ZZ_SYS_InstalledBy" localSheetId="6" hidden="0" function="0" vbProcedure="0">#REF!</definedName>
    <definedName name="ZZ_SYS_InstalledDate" localSheetId="6" hidden="0" function="0" vbProcedure="0">#REF!</definedName>
    <definedName name="ZZ_SYS_LatestModelUpdate" localSheetId="6" hidden="0" function="0" vbProcedure="0">#REF!</definedName>
    <definedName name="ZZ_SYS_LatestModelUpdateAuto" localSheetId="6" hidden="0" function="0" vbProcedure="0">#REF!</definedName>
    <definedName name="ZZ_SYS_LatestModelUpdateManual" localSheetId="6" hidden="0" function="0" vbProcedure="0">#REF!</definedName>
    <definedName name="ZZ_SYS_LatestPriceUpdate" localSheetId="6" hidden="0" function="0" vbProcedure="0">#REF!</definedName>
    <definedName name="ZZ_SYS_LatestPriceUpdateAuto" localSheetId="6" hidden="0" function="0" vbProcedure="0">#REF!</definedName>
    <definedName name="ZZ_SYS_LatestPriceUpdateManual" localSheetId="6" hidden="0" function="0" vbProcedure="0">#REF!</definedName>
    <definedName name="ZZ_SYS_LocalCodeName" localSheetId="6" hidden="0" function="0" vbProcedure="0">#REF!</definedName>
    <definedName name="ZZ_SYS_MarketCapIssued" localSheetId="6" hidden="0" function="0" vbProcedure="0">#REF!</definedName>
    <definedName name="ZZ_SYS_MarketCode" localSheetId="6" hidden="0" function="0" vbProcedure="0">#REF!</definedName>
    <definedName name="ZZ_SYS_MarketCodeUsed" localSheetId="6" hidden="0" function="0" vbProcedure="0">#REF!</definedName>
    <definedName name="ZZ_SYS_MarketEPSGrowth" localSheetId="6" hidden="0" function="0" vbProcedure="0">#REF!</definedName>
    <definedName name="ZZ_SYS_MarketID" localSheetId="6" hidden="0" function="0" vbProcedure="0">#REF!</definedName>
    <definedName name="ZZ_SYS_MarketIDUsed" localSheetId="6" hidden="0" function="0" vbProcedure="0">#REF!</definedName>
    <definedName name="ZZ_SYS_MarketName" localSheetId="6" hidden="0" function="0" vbProcedure="0">#REF!</definedName>
    <definedName name="ZZ_SYS_MarketNameUsed" localSheetId="6" hidden="0" function="0" vbProcedure="0">#REF!</definedName>
    <definedName name="ZZ_SYS_MarketPE" localSheetId="6" hidden="0" function="0" vbProcedure="0">#REF!</definedName>
    <definedName name="ZZ_SYS_ModelID" localSheetId="6" hidden="0" function="0" vbProcedure="0">#REF!</definedName>
    <definedName name="ZZ_SYS_ModelType" localSheetId="6" hidden="0" function="0" vbProcedure="0">#REF!</definedName>
    <definedName name="ZZ_SYS_PRI_Activity" localSheetId="6" hidden="0" function="0" vbProcedure="0">#REF!</definedName>
    <definedName name="ZZ_SYS_PRI_BAL_All" localSheetId="6" hidden="0" function="0" vbProcedure="0">#REF!</definedName>
    <definedName name="ZZ_SYS_PRI_CAS_All" localSheetId="6" hidden="0" function="0" vbProcedure="0">#REF!</definedName>
    <definedName name="ZZ_SYS_PRI_COM_All" localSheetId="6" hidden="0" function="0" vbProcedure="0">#REF!</definedName>
    <definedName name="ZZ_SYS_PRI_COS_All" localSheetId="6" hidden="0" function="0" vbProcedure="0">#REF!</definedName>
    <definedName name="ZZ_SYS_PRI_DCF_All" localSheetId="6" hidden="0" function="0" vbProcedure="0">#REF!</definedName>
    <definedName name="ZZ_SYS_PRI_EPS_All" localSheetId="6" hidden="0" function="0" vbProcedure="0">#REF!</definedName>
    <definedName name="ZZ_SYS_PRI_Favourites" localSheetId="6" hidden="0" function="0" vbProcedure="0">#REF!</definedName>
    <definedName name="ZZ_SYS_PRI_FRE_All" localSheetId="6" hidden="0" function="0" vbProcedure="0">#REF!</definedName>
    <definedName name="ZZ_SYS_PRI_GRO_All" localSheetId="6" hidden="0" function="0" vbProcedure="0">#REF!</definedName>
    <definedName name="ZZ_SYS_PRI_INC_All" localSheetId="6" hidden="0" function="0" vbProcedure="0">#REF!</definedName>
    <definedName name="ZZ_SYS_PRI_INV_All" localSheetId="6" hidden="0" function="0" vbProcedure="0">#REF!</definedName>
    <definedName name="ZZ_SYS_PRI_NOP_All" localSheetId="6" hidden="0" function="0" vbProcedure="0">#REF!</definedName>
    <definedName name="ZZ_SYS_PRI_OTH_All" localSheetId="6" hidden="0" function="0" vbProcedure="0">#REF!</definedName>
    <definedName name="ZZ_SYS_PRI_RangeNames" localSheetId="6" hidden="0" function="0" vbProcedure="0">#REF!</definedName>
    <definedName name="ZZ_SYS_PRI_RangeTitles" localSheetId="6" hidden="0" function="0" vbProcedure="0">#REF!</definedName>
    <definedName name="ZZ_SYS_PRI_RET_All" localSheetId="6" hidden="0" function="0" vbProcedure="0">#REF!</definedName>
    <definedName name="ZZ_SYS_PRI_SUM_All" localSheetId="6" hidden="0" function="0" vbProcedure="0">#REF!</definedName>
    <definedName name="ZZ_SYS_PRI_VAL0" localSheetId="6" hidden="0" function="0" vbProcedure="0">#REF!</definedName>
    <definedName name="ZZ_SYS_PRI_VAL1" localSheetId="6" hidden="0" function="0" vbProcedure="0">#REF!</definedName>
    <definedName name="ZZ_SYS_Recommendation" localSheetId="6" hidden="0" function="0" vbProcedure="0">#REF!</definedName>
    <definedName name="ZZ_SYS_RecommendationDate" localSheetId="6" hidden="0" function="0" vbProcedure="0">#REF!</definedName>
    <definedName name="ZZ_SYS_RiskFreeRate" localSheetId="6" hidden="0" function="0" vbProcedure="0">#REF!</definedName>
    <definedName name="ZZ_SYS_Rounding" localSheetId="6" hidden="0" function="0" vbProcedure="0">#REF!</definedName>
    <definedName name="ZZ_SYS_RoundingIndex" localSheetId="6" hidden="0" function="0" vbProcedure="0">#REF!</definedName>
    <definedName name="ZZ_SYS_SectionName01" localSheetId="6" hidden="0" function="0" vbProcedure="0">#REF!</definedName>
    <definedName name="ZZ_SYS_SectionName02" localSheetId="6" hidden="0" function="0" vbProcedure="0">#REF!</definedName>
    <definedName name="ZZ_SYS_SectionName03" localSheetId="6" hidden="0" function="0" vbProcedure="0">#REF!</definedName>
    <definedName name="ZZ_SYS_SectionName04" localSheetId="6" hidden="0" function="0" vbProcedure="0">#REF!</definedName>
    <definedName name="ZZ_SYS_SectionName05" localSheetId="6" hidden="0" function="0" vbProcedure="0">#REF!</definedName>
    <definedName name="ZZ_SYS_SectionName06" localSheetId="6" hidden="0" function="0" vbProcedure="0">#REF!</definedName>
    <definedName name="ZZ_SYS_SectionName07" localSheetId="6" hidden="0" function="0" vbProcedure="0">#REF!</definedName>
    <definedName name="ZZ_SYS_SectionName08" localSheetId="6" hidden="0" function="0" vbProcedure="0">#REF!</definedName>
    <definedName name="ZZ_SYS_SectionName09" localSheetId="6" hidden="0" function="0" vbProcedure="0">#REF!</definedName>
    <definedName name="ZZ_SYS_SectionName10" localSheetId="6" hidden="0" function="0" vbProcedure="0">#REF!</definedName>
    <definedName name="ZZ_SYS_SectionName11" localSheetId="6" hidden="0" function="0" vbProcedure="0">#REF!</definedName>
    <definedName name="ZZ_SYS_SectionName12" localSheetId="6" hidden="0" function="0" vbProcedure="0">#REF!</definedName>
    <definedName name="ZZ_SYS_SectionName13" localSheetId="6" hidden="0" function="0" vbProcedure="0">#REF!</definedName>
    <definedName name="ZZ_SYS_SectionName14" localSheetId="6" hidden="0" function="0" vbProcedure="0">#REF!</definedName>
    <definedName name="ZZ_SYS_SectionName15" localSheetId="6" hidden="0" function="0" vbProcedure="0">#REF!</definedName>
    <definedName name="ZZ_SYS_SectionName16" localSheetId="6" hidden="0" function="0" vbProcedure="0">#REF!</definedName>
    <definedName name="ZZ_SYS_SectorCode" localSheetId="6" hidden="0" function="0" vbProcedure="0">#REF!</definedName>
    <definedName name="ZZ_SYS_SectorCodeUsed" localSheetId="6" hidden="0" function="0" vbProcedure="0">#REF!</definedName>
    <definedName name="ZZ_SYS_SectorID" localSheetId="6" hidden="0" function="0" vbProcedure="0">#REF!</definedName>
    <definedName name="ZZ_SYS_SectorIDUsed" localSheetId="6" hidden="0" function="0" vbProcedure="0">#REF!</definedName>
    <definedName name="ZZ_SYS_SectorName" localSheetId="6" hidden="0" function="0" vbProcedure="0">#REF!</definedName>
    <definedName name="ZZ_SYS_SectorNameUsed" localSheetId="6" hidden="0" function="0" vbProcedure="0">#REF!</definedName>
    <definedName name="ZZ_SYS_SharePrice" localSheetId="6" hidden="0" function="0" vbProcedure="0">#REF!</definedName>
    <definedName name="ZZ_SYS_SharesIssued" localSheetId="6" hidden="0" function="0" vbProcedure="0">#REF!</definedName>
    <definedName name="ZZ_SYS_SheetNames" localSheetId="6" hidden="0" function="0" vbProcedure="0">#REF!</definedName>
    <definedName name="ZZ_SYS_ShowPercents" localSheetId="6" hidden="0" function="0" vbProcedure="0">#REF!</definedName>
    <definedName name="ZZ_SYS_ShowXs" localSheetId="6" hidden="0" function="0" vbProcedure="0">#REF!</definedName>
    <definedName name="ZZ_SYS_Units" localSheetId="6" hidden="0" function="0" vbProcedure="0">#REF!</definedName>
    <definedName name="ZZ_SYS_UnitsManual" localSheetId="6" hidden="0" function="0" vbProcedure="0">#REF!</definedName>
    <definedName name="ZZ_SYS_UseCalculationHandling" localSheetId="6" hidden="0" function="0" vbProcedure="0">#REF!</definedName>
    <definedName name="ZZ_SYS_UseForeignPrice" localSheetId="6" hidden="0" function="0" vbProcedure="0">#REF!</definedName>
    <definedName name="ZZ_SYS_UsePrintRangeHandling" localSheetId="6" hidden="0" function="0" vbProcedure="0">#REF!</definedName>
    <definedName name="ZZ_SYS_UserMode" localSheetId="6" hidden="0" function="0" vbProcedure="0">#REF!</definedName>
    <definedName name="ZZ_SYS_UseTaxDeductibleGoodwillAmort" localSheetId="6" hidden="0" function="0" vbProcedure="0">#REF!</definedName>
    <definedName name="ZZ_SYS_VersionDate" localSheetId="6" hidden="0" function="0" vbProcedure="0">#REF!</definedName>
    <definedName name="ZZ_SYS_VersionNo" localSheetId="6" hidden="0" function="0" vbProcedure="0">#REF!</definedName>
    <definedName name="ZZ_SYS_YearCodeForecast" localSheetId="6" hidden="0" function="0" vbProcedure="0">#REF!</definedName>
    <definedName name="ZZ_SYS_YearCodeHistoric" localSheetId="6" hidden="0" function="0" vbProcedure="0">#REF!</definedName>
    <definedName name="ZZ_VAL_DDM_DiscountedDividends" localSheetId="6" hidden="0" function="0" vbProcedure="0">#REF!</definedName>
    <definedName name="ZZ_VAL_DDM_DiscountFactor" localSheetId="6" hidden="0" function="0" vbProcedure="0">#REF!</definedName>
    <definedName name="ZZ_VAL_DDM_DiscountRate" localSheetId="6" hidden="0" function="0" vbProcedure="0">#REF!</definedName>
    <definedName name="ZZ_VAL_DDM_DiscountRateManual" localSheetId="6" hidden="0" function="0" vbProcedure="0">#REF!</definedName>
    <definedName name="ZZ_VAL_DDM_Dividends" localSheetId="6" hidden="0" function="0" vbProcedure="0">#REF!</definedName>
    <definedName name="ZZ_VAL_DDM_DividendsManual" localSheetId="6" hidden="0" function="0" vbProcedure="0">#REF!</definedName>
    <definedName name="ZZ_VAL_DDM_ImpliedEquityValue" localSheetId="6" hidden="0" function="0" vbProcedure="0">#REF!</definedName>
    <definedName name="ZZ_VAL_DDM_ImpliedEquityValuePerShare" localSheetId="6" hidden="0" function="0" vbProcedure="0">#REF!</definedName>
    <definedName name="ZZ_VAL_DDM_LTGrowthRate" localSheetId="6" hidden="0" function="0" vbProcedure="0">#REF!</definedName>
    <definedName name="ZZ_VAL_DDM_LTGrowthRateManual" localSheetId="6" hidden="0" function="0" vbProcedure="0">#REF!</definedName>
    <definedName name="ZZ_VAL_DDM_TotalValue" localSheetId="6" hidden="0" function="0" vbProcedure="0">#REF!</definedName>
    <definedName name="ZZ_VAL_ENT_AdjToEquityValue" localSheetId="6" hidden="0" function="0" vbProcedure="0">#REF!</definedName>
    <definedName name="ZZ_VAL_ENT_EBITDA" localSheetId="6" hidden="0" function="0" vbProcedure="0">#REF!</definedName>
    <definedName name="ZZ_VAL_ENT_EnterpriseValue" localSheetId="6" hidden="0" function="0" vbProcedure="0">#REF!</definedName>
    <definedName name="ZZ_VAL_ENT_EquityValue" localSheetId="6" hidden="0" function="0" vbProcedure="0">#REF!</definedName>
    <definedName name="ZZ_VAL_IRR_FreeCashFlow" localSheetId="6" hidden="0" function="0" vbProcedure="0">#REF!</definedName>
    <definedName name="ZZ_VAL_IRR_FreeCashFlowManual" localSheetId="6" hidden="0" function="0" vbProcedure="0">#REF!</definedName>
    <definedName name="ZZ_VAL_PER_MarketCapActual" localSheetId="6" hidden="0" function="0" vbProcedure="0">#REF!</definedName>
    <definedName name="ZZ_VAL_PER_NetIncome" localSheetId="6" hidden="0" function="0" vbProcedure="0">#REF!</definedName>
    <definedName name="ZZ_VAL_PER_PEMultiple" localSheetId="6" hidden="0" function="0" vbProcedure="0">#REF!</definedName>
    <definedName name="ZZ_VAL_PER_PriceActual" localSheetId="6" hidden="0" function="0" vbProcedure="0">#REF!</definedName>
    <definedName name="\agro" localSheetId="6" hidden="0" function="0" vbProcedure="0">[1]Summary!$A$1</definedName>
    <definedName name="\agro2" localSheetId="6" hidden="0" function="0" vbProcedure="0">[1]Summary!$A$1</definedName>
    <definedName name="\B" localSheetId="6" hidden="0" function="0" vbProcedure="0">[2]Pulses!$A$1</definedName>
    <definedName name="\D" localSheetId="6" hidden="0" function="0" vbProcedure="0">[2]Pulses!$A$1</definedName>
    <definedName name="\P" localSheetId="6" hidden="0" function="0" vbProcedure="0">[2]Pulses!$A$1</definedName>
    <definedName name="\S" localSheetId="6" hidden="0" function="0" vbProcedure="0">[2]Pulses!B27</definedName>
    <definedName name="_1_" localSheetId="6" hidden="0" function="0" vbProcedure="0">[4]Sheet2!$A$1</definedName>
    <definedName name="_4_0RMconsu" localSheetId="6" hidden="0" function="0" vbProcedure="0">[5]Old!$A$1</definedName>
    <definedName name="_B" localSheetId="6" hidden="0" function="0" vbProcedure="0">[6]Pulses!$A$1</definedName>
    <definedName name="_B___0" localSheetId="6" hidden="0" function="0" vbProcedure="0">[6]Pulses!$A$1</definedName>
    <definedName name="_B___6" localSheetId="6" hidden="0" function="0" vbProcedure="0">[7]Pulses!$A$1</definedName>
    <definedName name="_D" localSheetId="6" hidden="0" function="0" vbProcedure="0">[6]Pulses!$A$1</definedName>
    <definedName name="_day1" localSheetId="6" hidden="0" function="0" vbProcedure="0">#REF!</definedName>
    <definedName name="_day2" localSheetId="6" hidden="0" function="0" vbProcedure="0">#REF!</definedName>
    <definedName name="_day3" localSheetId="6" hidden="0" function="0" vbProcedure="0">#REF!</definedName>
    <definedName name="_D___0" localSheetId="6" hidden="0" function="0" vbProcedure="0">[6]Pulses!$A$44</definedName>
    <definedName name="_D___6" localSheetId="6" hidden="0" function="0" vbProcedure="0">[7]Pulses!$A$1</definedName>
    <definedName name="_P" localSheetId="6" hidden="0" function="0" vbProcedure="0">[6]Pulses!$A$1</definedName>
    <definedName name="_P___0" localSheetId="6" hidden="0" function="0" vbProcedure="0">[6]Pulses!$A$266</definedName>
    <definedName name="_P___6" localSheetId="6" hidden="0" function="0" vbProcedure="0">[7]Pulses!$A$1</definedName>
    <definedName name="_Regression_Out" localSheetId="6" hidden="0" function="0" vbProcedure="0">[9]Internet!$A$1</definedName>
    <definedName name="_S" localSheetId="6" hidden="0" function="0" vbProcedure="0">[6]Pulses!$A$1</definedName>
    <definedName name="_S___0" localSheetId="6" hidden="0" function="0" vbProcedure="0">[6]Pulses!$A$1</definedName>
    <definedName name="_S___6" localSheetId="6" hidden="0" function="0" vbProcedure="0">[7]Pulses!$A$1</definedName>
    <definedName name="__123Graph_A" localSheetId="6" hidden="0" function="0" vbProcedure="0">[3]MSI9920B!$A$245</definedName>
    <definedName name="__123Graph_B" localSheetId="6" hidden="0" function="0" vbProcedure="0">[3]MSI9920B!$A$1</definedName>
    <definedName name="__123Graph_C" localSheetId="6" hidden="0" function="0" vbProcedure="0">[3]MSI9920B!$A$1</definedName>
    <definedName name="__123Graph_D" localSheetId="6" hidden="0" function="0" vbProcedure="0">[3]MSI9920B!$A$1</definedName>
    <definedName name="__123Graph_E" localSheetId="6" hidden="0" function="0" vbProcedure="0">[3]MSI9920B!$A$1</definedName>
    <definedName name="__123Graph_X" localSheetId="6" hidden="0" function="0" vbProcedure="0">[3]MSI9920B!$A$1</definedName>
    <definedName name="a" localSheetId="8" hidden="0" function="0" vbProcedure="0">[10]Earning_Assum!$C$10</definedName>
    <definedName name="AA" localSheetId="8" hidden="0" function="0" vbProcedure="0">[10]Earning_Assum!$A$1</definedName>
    <definedName name="aaa" localSheetId="8" hidden="0" function="0" vbProcedure="0">#REF!</definedName>
    <definedName name="Acquition" localSheetId="8" hidden="0" function="0" vbProcedure="0">#REF!</definedName>
    <definedName name="advertising" localSheetId="8" hidden="0" function="0" vbProcedure="0">#REF!</definedName>
    <definedName name="AFHrs" localSheetId="8" hidden="0" function="0" vbProcedure="0">#REF!</definedName>
    <definedName name="AFKW" localSheetId="8" hidden="0" function="0" vbProcedure="0">#REF!</definedName>
    <definedName name="agro1" localSheetId="8" hidden="0" function="0" vbProcedure="0">[1]Summary!$J$10</definedName>
    <definedName name="agro2" localSheetId="8" hidden="0" function="0" vbProcedure="0">[1]Summary!$A$1</definedName>
    <definedName name="agro4" localSheetId="8" hidden="0" function="0" vbProcedure="0">[1]Summary!$A$1</definedName>
    <definedName name="Analyst" localSheetId="8" hidden="0" function="0" vbProcedure="0">#REF!</definedName>
    <definedName name="ARBL" localSheetId="8" hidden="0" function="0" vbProcedure="0">#REF!</definedName>
    <definedName name="asd" localSheetId="8" hidden="0" function="0" vbProcedure="0">#REF!</definedName>
    <definedName name="avg_vol_3m" localSheetId="8" hidden="0" function="0" vbProcedure="0">#REF!</definedName>
    <definedName name="B" localSheetId="8" hidden="0" function="0" vbProcedure="0">[10]Earning_Assum!$A$40961</definedName>
    <definedName name="bal" localSheetId="8" hidden="0" function="0" vbProcedure="0">#REF!</definedName>
    <definedName name="Balloon" localSheetId="8" hidden="0" function="0" vbProcedure="0">#REF!</definedName>
    <definedName name="Balloon_Amount" localSheetId="8" hidden="0" function="0" vbProcedure="0">#REF!</definedName>
    <definedName name="Basicshares" localSheetId="8" hidden="0" function="0" vbProcedure="0">#REF!</definedName>
    <definedName name="Basicsharesoutstanding" localSheetId="8" hidden="0" function="0" vbProcedure="0">#REF!</definedName>
    <definedName name="BasicYearEndEPS" localSheetId="8" hidden="0" function="0" vbProcedure="0">#REF!</definedName>
    <definedName name="BasicYearEndShares" localSheetId="8" hidden="0" function="0" vbProcedure="0">#REF!</definedName>
    <definedName name="BB" localSheetId="8" hidden="0" function="0" vbProcedure="0">[10]Earning_Assum!$J$10</definedName>
    <definedName name="BE1_0" localSheetId="8" hidden="0" function="0" vbProcedure="0">#REF!</definedName>
    <definedName name="BE2_0" localSheetId="8" hidden="0" function="0" vbProcedure="0">#REF!,#REF!,#REF!</definedName>
    <definedName name="BE3_0" localSheetId="8" hidden="0" function="0" vbProcedure="0">#REF!,#REF!,#REF!</definedName>
    <definedName name="BE4_0" localSheetId="8" hidden="0" function="0" vbProcedure="0">#REF!,#REF!,#REF!</definedName>
    <definedName name="BE5_0" localSheetId="8" hidden="0" function="0" vbProcedure="0">#REF!,#REF!,#REF!</definedName>
    <definedName name="BL1_0" localSheetId="8" hidden="0" function="0" vbProcedure="0">#REF!</definedName>
    <definedName name="BL2_0" localSheetId="8" hidden="0" function="0" vbProcedure="0">#REF!,#REF!,#REF!</definedName>
    <definedName name="BL3_0" localSheetId="8" hidden="0" function="0" vbProcedure="0">#REF!,#REF!,#REF!</definedName>
    <definedName name="BL4_0" localSheetId="8" hidden="0" function="0" vbProcedure="0">#REF!,#REF!,#REF!</definedName>
    <definedName name="BL5_0" localSheetId="8" hidden="0" function="0" vbProcedure="0">#REF!,#REF!,#REF!</definedName>
    <definedName name="block_balancesheet_blue" localSheetId="8" hidden="0" function="0" vbProcedure="0">#REF!</definedName>
    <definedName name="block_businessbackground_blue" localSheetId="8" hidden="0" function="0" vbProcedure="0">#REF!</definedName>
    <definedName name="block_capitalhistory_blue" localSheetId="8" hidden="0" function="0" vbProcedure="0">#REF!</definedName>
    <definedName name="block_cashflow_blue" localSheetId="8" hidden="0" function="0" vbProcedure="0">#REF!</definedName>
    <definedName name="block_expansionplans_blue" localSheetId="8" hidden="0" function="0" vbProcedure="0">#REF!</definedName>
    <definedName name="block_forecasts_blue" localSheetId="8" hidden="0" function="0" vbProcedure="0">#REF!</definedName>
    <definedName name="block_identityblock_blue" localSheetId="8" hidden="0" function="0" vbProcedure="0">#REF!</definedName>
    <definedName name="block_incomestatement_blue" localSheetId="8" hidden="0" function="0" vbProcedure="0">#REF!</definedName>
    <definedName name="block_investmentargument_blue" localSheetId="8" hidden="0" function="0" vbProcedure="0">#REF!</definedName>
    <definedName name="block_keyassumptions2_blue" localSheetId="8" hidden="0" function="0" vbProcedure="0">#REF!</definedName>
    <definedName name="block_keyassumptions_blue" localSheetId="8" hidden="0" function="0" vbProcedure="0">#REF!</definedName>
    <definedName name="block_mainpoints_red" localSheetId="8" hidden="0" function="0" vbProcedure="0">#REF!</definedName>
    <definedName name="block_PEBANDS_none" localSheetId="8" hidden="0" function="0" vbProcedure="0">#REF!</definedName>
    <definedName name="block_perrel_none" localSheetId="8" hidden="0" function="0" vbProcedure="0">#REF!</definedName>
    <definedName name="block_pricetrends_none" localSheetId="8" hidden="0" function="0" vbProcedure="0">#REF!</definedName>
    <definedName name="block_ratioanalysis_blue" localSheetId="8" hidden="0" function="0" vbProcedure="0">#REF!</definedName>
    <definedName name="block_salesbreakdown_none" localSheetId="8" hidden="0" function="0" vbProcedure="0">#REF!</definedName>
    <definedName name="block_shareholdingpattern_blue" localSheetId="8" hidden="0" function="0" vbProcedure="0">#REF!</definedName>
    <definedName name="block_title_blue" localSheetId="8" hidden="0" function="0" vbProcedure="0">#REF!</definedName>
    <definedName name="Bloomberg" localSheetId="8" hidden="0" function="0" vbProcedure="0">#REF!</definedName>
    <definedName name="Bookvalue" localSheetId="8" hidden="0" function="0" vbProcedure="0">#REF!</definedName>
    <definedName name="bs" localSheetId="8" hidden="0" function="0" vbProcedure="0">#REF!</definedName>
    <definedName name="BSE200Member" localSheetId="8" hidden="0" function="0" vbProcedure="0">#REF!</definedName>
    <definedName name="BSECode" localSheetId="8" hidden="0" function="0" vbProcedure="0">#REF!</definedName>
    <definedName name="bs_sski" localSheetId="8" hidden="0" function="0" vbProcedure="0">#REF!</definedName>
    <definedName name="BuiltIn_Print_Area" localSheetId="8" hidden="0" function="0" vbProcedure="0">#REF!</definedName>
    <definedName name="BuiltIn_Print_Titles" localSheetId="8" hidden="0" function="0" vbProcedure="0">#REF!</definedName>
    <definedName name="BuiltIn_Print_Titles___0" localSheetId="8" hidden="0" function="0" vbProcedure="0">#REF!</definedName>
    <definedName name="BuiltIn_Print_Titles___0___0" localSheetId="8" hidden="0" function="0" vbProcedure="0">#REF!</definedName>
    <definedName name="BuiltIn_Print_Titles___0___0___0" localSheetId="8" hidden="0" function="0" vbProcedure="0">#REF!</definedName>
    <definedName name="BuiltIn_Print_Titles___0___0___0___0" localSheetId="8" hidden="0" function="0" vbProcedure="0">#REF!</definedName>
    <definedName name="buyback" localSheetId="8" hidden="0" function="0" vbProcedure="0">#REF!</definedName>
    <definedName name="CABLE" localSheetId="8" hidden="0" function="0" vbProcedure="0">#REF!</definedName>
    <definedName name="capacity" localSheetId="8" hidden="0" function="0" vbProcedure="0">[14]sales!$A$4</definedName>
    <definedName name="CapitalEmployed" localSheetId="8" hidden="0" function="0" vbProcedure="0">#REF!</definedName>
    <definedName name="CapitalExpenditure" localSheetId="8" hidden="0" function="0" vbProcedure="0">#REF!</definedName>
    <definedName name="Capitalisation" localSheetId="8" hidden="0" function="0" vbProcedure="0">#REF!</definedName>
    <definedName name="CashflowfromOperations" localSheetId="8" hidden="0" function="0" vbProcedure="0">#REF!</definedName>
    <definedName name="caz_bs" localSheetId="8" hidden="0" function="0" vbProcedure="0">#REF!</definedName>
    <definedName name="caz_cf" localSheetId="8" hidden="0" function="0" vbProcedure="0">#REF!</definedName>
    <definedName name="caz_pl" localSheetId="8" hidden="0" function="0" vbProcedure="0">#REF!</definedName>
    <definedName name="caz_ratio" localSheetId="8" hidden="0" function="0" vbProcedure="0">#REF!</definedName>
    <definedName name="CCC" localSheetId="8" hidden="0" function="0" vbProcedure="0">[10]Earning_Assum!$J$10</definedName>
    <definedName name="ce" localSheetId="8" hidden="0" function="0" vbProcedure="0">#REF!</definedName>
    <definedName name="cell" localSheetId="8" hidden="0" function="0" vbProcedure="0">#REF!</definedName>
    <definedName name="centre_1" localSheetId="8" hidden="0" function="0" vbProcedure="0">#REF!</definedName>
    <definedName name="centre_2" localSheetId="8" hidden="0" function="0" vbProcedure="0">#REF!</definedName>
    <definedName name="cf" localSheetId="8" hidden="0" function="0" vbProcedure="0">[18]Financials!$A$2305</definedName>
    <definedName name="CFPS_Curr_Yr" localSheetId="8" hidden="0" function="0" vbProcedure="0">#REF!</definedName>
    <definedName name="CFPS_Lst_Yr" localSheetId="8" hidden="0" function="0" vbProcedure="0">#REF!</definedName>
    <definedName name="CFPS_Next_Yr" localSheetId="8" hidden="0" function="0" vbProcedure="0">#REF!</definedName>
    <definedName name="ChangesInWorkingCapital" localSheetId="8" hidden="0" function="0" vbProcedure="0">#REF!</definedName>
    <definedName name="Cochin" localSheetId="8" hidden="0" function="0" vbProcedure="0">#REF!</definedName>
    <definedName name="commerce" localSheetId="8" hidden="0" function="0" vbProcedure="0">#REF!</definedName>
    <definedName name="CommonDividendPaidOut" localSheetId="8" hidden="0" function="0" vbProcedure="0">#REF!</definedName>
    <definedName name="CommonStock" localSheetId="8" hidden="0" function="0" vbProcedure="0">#REF!</definedName>
    <definedName name="company" localSheetId="8" hidden="0" function="0" vbProcedure="0">#REF!</definedName>
    <definedName name="company_nameh" localSheetId="8" hidden="0" function="0" vbProcedure="0">#REF!</definedName>
    <definedName name="cons" localSheetId="8" hidden="0" function="0" vbProcedure="0">#REF!</definedName>
    <definedName name="COSTING_FOR_EACH__SET_OF_5__CONSISTS____POCUREMENT_BY_ADANI_LOGISTICS" localSheetId="8" hidden="0" function="0" vbProcedure="0">#REF!</definedName>
    <definedName name="cost_of_cap_growth" localSheetId="8" hidden="0" function="0" vbProcedure="0">#REF!</definedName>
    <definedName name="CS" localSheetId="8" hidden="0" function="0" vbProcedure="0">'[21]Main Sheet'!$EO$1</definedName>
    <definedName name="csbs" localSheetId="8" hidden="0" function="0" vbProcedure="0">[18]Financials!$EO$1</definedName>
    <definedName name="cscf" localSheetId="8" hidden="0" function="0" vbProcedure="0">[18]Financials!$A$7169</definedName>
    <definedName name="cspl" localSheetId="8" hidden="0" function="0" vbProcedure="0">[18]Financials!$A$2305</definedName>
    <definedName name="CurrentLiab" localSheetId="8" hidden="0" function="0" vbProcedure="0">#REF!</definedName>
    <definedName name="CurrentRatio" localSheetId="8" hidden="0" function="0" vbProcedure="0">[4]Introduction!$EP$1</definedName>
    <definedName name="curr_year_sales" localSheetId="8" hidden="0" function="0" vbProcedure="0">#REF!</definedName>
    <definedName name="days" localSheetId="8" hidden="0" function="0" vbProcedure="0">#REF!</definedName>
    <definedName name="daysss" localSheetId="8" hidden="0" function="0" vbProcedure="0">[24]Key_Base!$D$12</definedName>
    <definedName name="dcf_sensit" localSheetId="8" hidden="0" function="0" vbProcedure="0">#REF!</definedName>
    <definedName name="Delivery_Date" localSheetId="8" hidden="0" function="0" vbProcedure="0">#REF!</definedName>
    <definedName name="Deprecn" localSheetId="8" hidden="0" function="0" vbProcedure="0">#REF!</definedName>
    <definedName name="desktop" localSheetId="8" hidden="0" function="0" vbProcedure="0">#REF!</definedName>
    <definedName name="directors" localSheetId="8" hidden="0" function="0" vbProcedure="0">#REF!</definedName>
    <definedName name="dis" localSheetId="8" hidden="0" function="0" vbProcedure="0">#REF!</definedName>
    <definedName name="DispFmt" localSheetId="8" hidden="0" function="0" vbProcedure="0">[12]Input!$J$10</definedName>
    <definedName name="diversity" localSheetId="8" hidden="0" function="0" vbProcedure="0">#REF!</definedName>
    <definedName name="diversityss" localSheetId="8" hidden="0" function="0" vbProcedure="0">[24]Key_Base!$D$18</definedName>
    <definedName name="docs" localSheetId="8" hidden="0" function="0" vbProcedure="0">[18]Financials!$A$4353</definedName>
    <definedName name="dp" localSheetId="8" hidden="0" function="0" vbProcedure="0">[18]Financials!$A$7169</definedName>
    <definedName name="DPS_Curr_Yr" localSheetId="8" hidden="0" function="0" vbProcedure="0">#REF!</definedName>
    <definedName name="DPS_Lst_Yr" localSheetId="8" hidden="0" function="0" vbProcedure="0">#REF!</definedName>
    <definedName name="DPS_Next_Yr" localSheetId="8" hidden="0" function="0" vbProcedure="0">#REF!</definedName>
    <definedName name="Drawdowns" localSheetId="8" hidden="0" function="0" vbProcedure="0">#REF!</definedName>
    <definedName name="E1E" localSheetId="8" hidden="0" function="0" vbProcedure="0">#REF!</definedName>
    <definedName name="E2E" localSheetId="8" hidden="0" function="0" vbProcedure="0">#REF!,#REF!,#REF!</definedName>
    <definedName name="E3E" localSheetId="8" hidden="0" function="0" vbProcedure="0">#REF!,#REF!,#REF!</definedName>
    <definedName name="E4E" localSheetId="8" hidden="0" function="0" vbProcedure="0">#REF!,#REF!,#REF!</definedName>
    <definedName name="E5E" localSheetId="8" hidden="0" function="0" vbProcedure="0">#REF!,#REF!,#REF!</definedName>
    <definedName name="Each_Installment" localSheetId="8" hidden="0" function="0" vbProcedure="0">#REF!</definedName>
    <definedName name="Earnings" localSheetId="8" hidden="0" function="0" vbProcedure="0">[10]Earning_Assum!$S$1</definedName>
    <definedName name="EBIT" localSheetId="8" hidden="0" function="0" vbProcedure="0">#REF!</definedName>
    <definedName name="EEE" localSheetId="8" hidden="0" function="0" vbProcedure="0">[10]Earning_Assum!$EI$1</definedName>
    <definedName name="Effective_cost" localSheetId="8" hidden="0" function="0" vbProcedure="0">#REF!</definedName>
    <definedName name="Effective_Cost_with_witholding" localSheetId="8" hidden="0" function="0" vbProcedure="0">#REF!</definedName>
    <definedName name="Effective_Spread" localSheetId="8" hidden="0" function="0" vbProcedure="0">#REF!</definedName>
    <definedName name="Effective_Spread_without_witholding" localSheetId="8" hidden="0" function="0" vbProcedure="0">#REF!</definedName>
    <definedName name="Employees" localSheetId="8" hidden="0" function="0" vbProcedure="0">#REF!</definedName>
    <definedName name="EPS_Curr_Qtr" localSheetId="8" hidden="0" function="0" vbProcedure="0">#REF!</definedName>
    <definedName name="EPS_Curr_Yr" localSheetId="8" hidden="0" function="0" vbProcedure="0">#REF!</definedName>
    <definedName name="EPS_Growth_Rate" localSheetId="8" hidden="0" function="0" vbProcedure="0">#REF!</definedName>
    <definedName name="EPS_Lst_Yr" localSheetId="8" hidden="0" function="0" vbProcedure="0">#REF!</definedName>
    <definedName name="EPS_Next_Yr" localSheetId="8" hidden="0" function="0" vbProcedure="0">#REF!</definedName>
    <definedName name="EPS_Qtr_Date" localSheetId="8" hidden="0" function="0" vbProcedure="0">#REF!</definedName>
    <definedName name="Equity_Ticker" localSheetId="8" hidden="0" function="0" vbProcedure="0">#REF!</definedName>
    <definedName name="er" localSheetId="8" hidden="0" function="0" vbProcedure="0">#REF!</definedName>
    <definedName name="Excel_BuiltIn_Database_0" localSheetId="8" hidden="0" function="0" vbProcedure="0">#REF!</definedName>
    <definedName name="Excel_BuiltIn_Database_1" localSheetId="8" hidden="0" function="0" vbProcedure="0">#REF!</definedName>
    <definedName name="Excel_BuiltIn_Database_6" localSheetId="8" hidden="0" function="0" vbProcedure="0">#REF!</definedName>
    <definedName name="ExchangeRates" localSheetId="8" hidden="0" function="0" vbProcedure="0">#REF!</definedName>
    <definedName name="exc_rate" localSheetId="8" hidden="0" function="0" vbProcedure="0">#REF!</definedName>
    <definedName name="exc_Rsmn" localSheetId="8" hidden="0" function="0" vbProcedure="0">#REF!</definedName>
    <definedName name="exec_board" localSheetId="8" hidden="0" function="0" vbProcedure="0">#REF!</definedName>
    <definedName name="Export" localSheetId="8" hidden="0" function="0" vbProcedure="0">#REF!</definedName>
    <definedName name="Factor" localSheetId="8" hidden="0" function="0" vbProcedure="0">#REF!</definedName>
    <definedName name="fcf" localSheetId="8" hidden="0" function="0" vbProcedure="0">[18]Financials!$A$1025</definedName>
    <definedName name="FDafan" localSheetId="8" hidden="0" function="0" vbProcedure="0">#REF!</definedName>
    <definedName name="FDFumigation" localSheetId="8" hidden="0" function="0" vbProcedure="0">#REF!</definedName>
    <definedName name="FDtemp" localSheetId="8" hidden="0" function="0" vbProcedure="0">#REF!</definedName>
    <definedName name="fdvfan" localSheetId="8" hidden="0" function="0" vbProcedure="0">#REF!</definedName>
    <definedName name="ffg" localSheetId="8" hidden="0" function="0" vbProcedure="0">#REF!</definedName>
    <definedName name="FinancialActivities" localSheetId="8" hidden="0" function="0" vbProcedure="0">#REF!</definedName>
    <definedName name="Financials" localSheetId="8" hidden="0" function="0" vbProcedure="0">#REF!</definedName>
    <definedName name="Flag1" localSheetId="8" hidden="0" function="0" vbProcedure="0">[10]Earning_Assum!$EK$1</definedName>
    <definedName name="FORMIII_COM" localSheetId="8" hidden="0" function="0" vbProcedure="0">'[32]EXIS-COMBINED'!$A$1</definedName>
    <definedName name="formii_com" localSheetId="8" hidden="0" function="0" vbProcedure="0">'[32]EXIS-COMBINED'!$AA$1</definedName>
    <definedName name="FORMIV_COM" localSheetId="8" hidden="0" function="0" vbProcedure="0">'[32]EXIS-COMBINED'!$A$1</definedName>
    <definedName name="FORMVI_COM" localSheetId="8" hidden="0" function="0" vbProcedure="0">'[32]EXIS-COMBINED'!$A$1</definedName>
    <definedName name="FORMV_COM" localSheetId="8" hidden="0" function="0" vbProcedure="0">'[32]EXIS-COMBINED'!$A$1</definedName>
    <definedName name="FreeFloat" localSheetId="8" hidden="0" function="0" vbProcedure="0">#REF!</definedName>
    <definedName name="FSAKW" localSheetId="8" hidden="0" function="0" vbProcedure="0">#REF!</definedName>
    <definedName name="FSOne" localSheetId="8" hidden="0" function="0" vbProcedure="0">#REF!</definedName>
    <definedName name="FSTwo" localSheetId="8" hidden="0" function="0" vbProcedure="0">#REF!</definedName>
    <definedName name="FullyDilutedYearEndEPS" localSheetId="8" hidden="0" function="0" vbProcedure="0">#REF!</definedName>
    <definedName name="FullyDilutedYearEndShares" localSheetId="8" hidden="0" function="0" vbProcedure="0">#REF!</definedName>
    <definedName name="FumigationKW" localSheetId="8" hidden="0" function="0" vbProcedure="0">#REF!</definedName>
    <definedName name="fv" localSheetId="8" hidden="0" function="0" vbProcedure="0">[18]Financials!$A$2305</definedName>
    <definedName name="FY2004_" localSheetId="8" hidden="0" function="0" vbProcedure="0">#REF!</definedName>
    <definedName name="FY2005_" localSheetId="8" hidden="0" function="0" vbProcedure="0">#REF!</definedName>
    <definedName name="g" localSheetId="8" hidden="0" function="0" vbProcedure="0">#REF!</definedName>
    <definedName name="GDRParity" localSheetId="8" hidden="0" function="0" vbProcedure="0">#REF!</definedName>
    <definedName name="GDRPriceRs" localSheetId="8" hidden="0" function="0" vbProcedure="0">#REF!</definedName>
    <definedName name="GDRPriceUSD" localSheetId="8" hidden="0" function="0" vbProcedure="0">#REF!</definedName>
    <definedName name="GDRRsPrice" localSheetId="8" hidden="0" function="0" vbProcedure="0">#REF!</definedName>
    <definedName name="GrossProfit" localSheetId="8" hidden="0" function="0" vbProcedure="0">#REF!</definedName>
    <definedName name="growth_period" localSheetId="8" hidden="0" function="0" vbProcedure="0">#REF!</definedName>
    <definedName name="H1Rec" localSheetId="8" hidden="0" function="0" vbProcedure="0">#REF!</definedName>
    <definedName name="H1_1" localSheetId="8" hidden="0" function="0" vbProcedure="0">#REF!</definedName>
    <definedName name="H1_2" localSheetId="8" hidden="0" function="0" vbProcedure="0">#REF!,#REF!,#REF!</definedName>
    <definedName name="H2Tra" localSheetId="8" hidden="0" function="0" vbProcedure="0">#REF!</definedName>
    <definedName name="H2_1" localSheetId="8" hidden="0" function="0" vbProcedure="0">#REF!,#REF!,#REF!</definedName>
    <definedName name="H2_2" localSheetId="8" hidden="0" function="0" vbProcedure="0">#REF!,#REF!,#REF!</definedName>
    <definedName name="H4recl" localSheetId="8" hidden="0" function="0" vbProcedure="0">#REF!</definedName>
    <definedName name="h4swe" localSheetId="8" hidden="0" function="0" vbProcedure="0">#REF!</definedName>
    <definedName name="H5Bag" localSheetId="8" hidden="0" function="0" vbProcedure="0">#REF!</definedName>
    <definedName name="H6Shi" localSheetId="8" hidden="0" function="0" vbProcedure="0">#REF!</definedName>
    <definedName name="H7cir" localSheetId="8" hidden="0" function="0" vbProcedure="0">#REF!</definedName>
    <definedName name="HE1_0" localSheetId="8" hidden="0" function="0" vbProcedure="0">#REF!</definedName>
    <definedName name="HE2_0" localSheetId="8" hidden="0" function="0" vbProcedure="0">#REF!,#REF!,#REF!</definedName>
    <definedName name="HE3_0" localSheetId="8" hidden="0" function="0" vbProcedure="0">#REF!,#REF!,#REF!</definedName>
    <definedName name="HE4_0" localSheetId="8" hidden="0" function="0" vbProcedure="0">#REF!,#REF!,#REF!</definedName>
    <definedName name="HE5_0" localSheetId="8" hidden="0" function="0" vbProcedure="0">#REF!,#REF!,#REF!</definedName>
    <definedName name="Headers" localSheetId="8" hidden="0" function="0" vbProcedure="0">#REF!</definedName>
    <definedName name="hh" localSheetId="8" hidden="0" function="0" vbProcedure="0">#REF!</definedName>
    <definedName name="hhh" localSheetId="8" hidden="0" function="0" vbProcedure="0">[10]Earning_Assum!$AF$10</definedName>
    <definedName name="hhhhh" localSheetId="8" hidden="0" function="0" vbProcedure="0">[10]Earning_Assum!$A$1</definedName>
    <definedName name="hhhhhhhhhh" localSheetId="8" hidden="0" function="0" vbProcedure="0">[10]Earning_Assum!$A$1</definedName>
    <definedName name="hhhhhhhhhhhhhhh" localSheetId="8" hidden="0" function="0" vbProcedure="0">[10]Earning_Assum!$A$1</definedName>
    <definedName name="hhhhhhhhhhhhhhhhhhhhhhh" localSheetId="8" hidden="0" function="0" vbProcedure="0">[10]Earning_Assum!$B$1</definedName>
    <definedName name="HighLow" localSheetId="8" hidden="0" function="0" vbProcedure="0">#REF!</definedName>
    <definedName name="hj" localSheetId="8" hidden="0" function="0" vbProcedure="0">#REF!,#REF!,#REF!</definedName>
    <definedName name="hjggj" localSheetId="8" hidden="0" function="0" vbProcedure="0">#REF!,#REF!,#REF!</definedName>
    <definedName name="HL1_0" localSheetId="8" hidden="0" function="0" vbProcedure="0">#REF!</definedName>
    <definedName name="HL1_1" localSheetId="8" hidden="0" function="0" vbProcedure="0">#REF!</definedName>
    <definedName name="HL1_2" localSheetId="8" hidden="0" function="0" vbProcedure="0">#REF!,#REF!</definedName>
    <definedName name="HL2_0" localSheetId="8" hidden="0" function="0" vbProcedure="0">#REF!,#REF!,#REF!</definedName>
    <definedName name="HL2_1" localSheetId="8" hidden="0" function="0" vbProcedure="0">#REF!,#REF!</definedName>
    <definedName name="HL2_2" localSheetId="8" hidden="0" function="0" vbProcedure="0">#REF!,#REF!</definedName>
    <definedName name="HL3_0" localSheetId="8" hidden="0" function="0" vbProcedure="0">#REF!,#REF!,#REF!</definedName>
    <definedName name="HL4_0" localSheetId="8" hidden="0" function="0" vbProcedure="0">#REF!,#REF!,#REF!</definedName>
    <definedName name="HL5_0" localSheetId="8" hidden="0" function="0" vbProcedure="0">#REF!,#REF!,#REF!</definedName>
    <definedName name="HLCL" localSheetId="8" hidden="0" function="0" vbProcedure="0">#REF!</definedName>
    <definedName name="hll_pond" localSheetId="8" hidden="0" function="0" vbProcedure="0">#REF!</definedName>
    <definedName name="hour1" localSheetId="8" hidden="0" function="0" vbProcedure="0">#REF!</definedName>
    <definedName name="hour10" localSheetId="8" hidden="0" function="0" vbProcedure="0">#REF!</definedName>
    <definedName name="hour11" localSheetId="8" hidden="0" function="0" vbProcedure="0">#REF!</definedName>
    <definedName name="Hour12" localSheetId="8" hidden="0" function="0" vbProcedure="0">#REF!</definedName>
    <definedName name="Hour13" localSheetId="8" hidden="0" function="0" vbProcedure="0">#REF!</definedName>
    <definedName name="hour14" localSheetId="8" hidden="0" function="0" vbProcedure="0">#REF!</definedName>
    <definedName name="Hour15" localSheetId="8" hidden="0" function="0" vbProcedure="0">#REF!</definedName>
    <definedName name="hour2" localSheetId="8" hidden="0" function="0" vbProcedure="0">#REF!</definedName>
    <definedName name="hour3" localSheetId="8" hidden="0" function="0" vbProcedure="0">#REF!</definedName>
    <definedName name="hour4" localSheetId="8" hidden="0" function="0" vbProcedure="0">#REF!</definedName>
    <definedName name="hour5" localSheetId="8" hidden="0" function="0" vbProcedure="0">#REF!</definedName>
    <definedName name="Hour6" localSheetId="8" hidden="0" function="0" vbProcedure="0">#REF!</definedName>
    <definedName name="hour7" localSheetId="8" hidden="0" function="0" vbProcedure="0">#REF!</definedName>
    <definedName name="Hour8" localSheetId="8" hidden="0" function="0" vbProcedure="0">#REF!</definedName>
    <definedName name="hour9" localSheetId="8" hidden="0" function="0" vbProcedure="0">#REF!</definedName>
    <definedName name="hours14" localSheetId="8" hidden="0" function="0" vbProcedure="0">#REF!</definedName>
    <definedName name="IncomeTax" localSheetId="8" hidden="0" function="0" vbProcedure="0">#REF!</definedName>
    <definedName name="IncomeTaxPaidOut" localSheetId="8" hidden="0" function="0" vbProcedure="0">#REF!</definedName>
    <definedName name="inc_model" localSheetId="8" hidden="0" function="0" vbProcedure="0">#REF!</definedName>
    <definedName name="IndexC" localSheetId="8" hidden="0" function="0" vbProcedure="0">#REF!</definedName>
    <definedName name="IndexCs" localSheetId="8" hidden="0" function="0" vbProcedure="0">#REF!</definedName>
    <definedName name="industry" localSheetId="8" hidden="0" function="0" vbProcedure="0">#REF!</definedName>
    <definedName name="INR_per_USD" localSheetId="8" hidden="0" function="0" vbProcedure="0">#REF!</definedName>
    <definedName name="Installments_peryear" localSheetId="8" hidden="0" function="0" vbProcedure="0">#REF!</definedName>
    <definedName name="Interest" localSheetId="8" hidden="0" function="0" vbProcedure="0">#REF!</definedName>
    <definedName name="InterestExpense" localSheetId="8" hidden="0" function="0" vbProcedure="0">#REF!</definedName>
    <definedName name="Interests" localSheetId="8" hidden="0" function="0" vbProcedure="0">#REF!</definedName>
    <definedName name="Investments" localSheetId="8" hidden="0" function="0" vbProcedure="0">#REF!</definedName>
    <definedName name="ITAX" localSheetId="8" hidden="0" function="0" vbProcedure="0">#REF!</definedName>
    <definedName name="ITAXs" localSheetId="8" hidden="0" function="0" vbProcedure="0">#REF!</definedName>
    <definedName name="kew" localSheetId="8" hidden="0" function="0" vbProcedure="0">#REF!</definedName>
    <definedName name="klll" localSheetId="8" hidden="0" function="0" vbProcedure="0">#REF!,#REF!,#REF!</definedName>
    <definedName name="L" localSheetId="8" hidden="0" function="0" vbProcedure="0">#REF!</definedName>
    <definedName name="L1L" localSheetId="8" hidden="0" function="0" vbProcedure="0">#REF!,#REF!</definedName>
    <definedName name="L2L" localSheetId="8" hidden="0" function="0" vbProcedure="0">#REF!,#REF!</definedName>
    <definedName name="L3L" localSheetId="8" hidden="0" function="0" vbProcedure="0">#REF!,#REF!</definedName>
    <definedName name="L4L" localSheetId="8" hidden="0" function="0" vbProcedure="0">#REF!,#REF!</definedName>
    <definedName name="L5L" localSheetId="8" hidden="0" function="0" vbProcedure="0">#REF!,#REF!</definedName>
    <definedName name="labor_annual_increase" localSheetId="8" hidden="0" function="0" vbProcedure="0">#REF!</definedName>
    <definedName name="Labour_cost_per__TEU" localSheetId="8" hidden="0" function="0" vbProcedure="0">#REF!</definedName>
    <definedName name="Last_Installment_Date" localSheetId="8" hidden="0" function="0" vbProcedure="0">#REF!</definedName>
    <definedName name="Lawyer_Fee" localSheetId="8" hidden="0" function="0" vbProcedure="0">#REF!</definedName>
    <definedName name="Layup_02\03" localSheetId="8" hidden="0" function="0" vbProcedure="0">[10]Earning_Assum!$J$10</definedName>
    <definedName name="Layup_03\04" localSheetId="8" hidden="0" function="0" vbProcedure="0">[10]Earning_Assum!$J$2305</definedName>
    <definedName name="Layup_04\05" localSheetId="8" hidden="0" function="0" vbProcedure="0">[10]Earning_Assum!$J$2314</definedName>
    <definedName name="LeaseAdj" localSheetId="8" hidden="0" function="0" vbProcedure="0">[12]Input!$J$2314</definedName>
    <definedName name="MAT" localSheetId="8" hidden="0" function="0" vbProcedure="0">#REF!</definedName>
    <definedName name="MATs" localSheetId="8" hidden="0" function="0" vbProcedure="0">#REF!</definedName>
    <definedName name="Maximum_loan_available" localSheetId="8" hidden="0" function="0" vbProcedure="0">#REF!</definedName>
    <definedName name="mc_ms" localSheetId="8" hidden="0" function="0" vbProcedure="0">#REF!</definedName>
    <definedName name="Mico" localSheetId="8" hidden="0" function="0" vbProcedure="0">[38]Mico!$L$1</definedName>
    <definedName name="MinGraph" localSheetId="8" hidden="0" function="0" vbProcedure="0">#REF!</definedName>
    <definedName name="mkt_strength" localSheetId="8" hidden="0" function="0" vbProcedure="0">#REF!</definedName>
    <definedName name="Months" localSheetId="8" hidden="0" function="0" vbProcedure="0">#REF!</definedName>
    <definedName name="MrgnTax" localSheetId="8" hidden="0" function="0" vbProcedure="0">[12]Profile!$O$10</definedName>
    <definedName name="NationalMember" localSheetId="8" hidden="0" function="0" vbProcedure="0">#REF!</definedName>
    <definedName name="NetCashGenerated" localSheetId="8" hidden="0" function="0" vbProcedure="0">#REF!</definedName>
    <definedName name="NetDebtToEquity" localSheetId="8" hidden="0" function="0" vbProcedure="0">#REF!</definedName>
    <definedName name="NetFixedAssets" localSheetId="8" hidden="0" function="0" vbProcedure="0">#REF!</definedName>
    <definedName name="NetInterest" localSheetId="8" hidden="0" function="0" vbProcedure="0">InterestIncome-'Debt Schedule'!InterestExpense</definedName>
    <definedName name="NetProfitMargin" localSheetId="8" hidden="0" function="0" vbProcedure="0">#REF!</definedName>
    <definedName name="Num_of_plots" localSheetId="8" hidden="0" function="0" vbProcedure="0">#REF!</definedName>
    <definedName name="OnePager" localSheetId="8" hidden="0" function="0" vbProcedure="0">#REF!</definedName>
    <definedName name="OperatingCashflow" localSheetId="8" hidden="0" function="0" vbProcedure="0">[4]Introduction!$O$1</definedName>
    <definedName name="OperatingProfit" localSheetId="8" hidden="0" function="0" vbProcedure="0">#REF!</definedName>
    <definedName name="OperatingProfitMargin" localSheetId="8" hidden="0" function="0" vbProcedure="0">#REF!</definedName>
    <definedName name="ops" localSheetId="8" hidden="0" function="0" vbProcedure="0">#REF!+#REF!</definedName>
    <definedName name="opss" localSheetId="8" hidden="0" function="0" vbProcedure="0">[39]Key_Base!$D$20+[39]Key_Base!$E$20</definedName>
    <definedName name="opsss" localSheetId="8" hidden="0" function="0" vbProcedure="0">[24]Key_Base!$D$20+[24]Key_Base!$E$20</definedName>
    <definedName name="OTHER" localSheetId="8" hidden="0" function="0" vbProcedure="0">#REF!</definedName>
    <definedName name="OtherIncome" localSheetId="8" hidden="0" function="0" vbProcedure="0">#REF!</definedName>
    <definedName name="OtherLTAssets" localSheetId="8" hidden="0" function="0" vbProcedure="0">#REF!</definedName>
    <definedName name="OtherLTLiabilities" localSheetId="8" hidden="0" function="0" vbProcedure="0">#REF!</definedName>
    <definedName name="others" localSheetId="8" hidden="0" function="0" vbProcedure="0">#REF!</definedName>
    <definedName name="other_inc" localSheetId="8" hidden="0" function="0" vbProcedure="0">#REF!</definedName>
    <definedName name="OutputGrowthEstimates" localSheetId="8" hidden="0" function="0" vbProcedure="0">[4]Old!$DK$1</definedName>
    <definedName name="ownership" localSheetId="8" hidden="0" function="0" vbProcedure="0">#REF!</definedName>
    <definedName name="page1" localSheetId="8" hidden="0" function="0" vbProcedure="0">#REF!</definedName>
    <definedName name="page2" localSheetId="8" hidden="0" function="0" vbProcedure="0">#REF!</definedName>
    <definedName name="ParValue" localSheetId="8" hidden="0" function="0" vbProcedure="0">#REF!</definedName>
    <definedName name="pe" localSheetId="8" hidden="0" function="0" vbProcedure="0">[18]Financials!$A$35585</definedName>
    <definedName name="pebanddata" localSheetId="8" hidden="0" function="0" vbProcedure="0">#REF!</definedName>
    <definedName name="PEMultiplesFirstyear" localSheetId="8" hidden="0" function="0" vbProcedure="0">#REF!</definedName>
    <definedName name="PEMultiplesLastyear" localSheetId="8" hidden="0" function="0" vbProcedure="0">#REF!</definedName>
    <definedName name="pereldata" localSheetId="8" hidden="0" function="0" vbProcedure="0">#REF!</definedName>
    <definedName name="pe_to_pop" localSheetId="8" hidden="0" function="0" vbProcedure="0">#REF!</definedName>
    <definedName name="PivotData" localSheetId="8" hidden="0" function="0" vbProcedure="0">OFFSET(#REF!,0,0,COUNTA(#REF!),COUNTA(#REF!))</definedName>
    <definedName name="PJCapex" localSheetId="8" hidden="0" function="0" vbProcedure="0">#REF!</definedName>
    <definedName name="PJInterestIncome" localSheetId="8" hidden="0" function="0" vbProcedure="0">#REF!</definedName>
    <definedName name="pjlongtermdebtchanges" localSheetId="8" hidden="0" function="0" vbProcedure="0">#REF!</definedName>
    <definedName name="pjlongterminterestexpense" localSheetId="8" hidden="0" function="0" vbProcedure="0">#REF!</definedName>
    <definedName name="pjnetcashflow" localSheetId="8" hidden="0" function="0" vbProcedure="0">#REF!</definedName>
    <definedName name="pjshorttermdebtchanges" localSheetId="8" hidden="0" function="0" vbProcedure="0">#REF!</definedName>
    <definedName name="pjshortterminterestexpense" localSheetId="8" hidden="0" function="0" vbProcedure="0">#REF!</definedName>
    <definedName name="PJYears" localSheetId="8" hidden="0" function="0" vbProcedure="0">#REF!</definedName>
    <definedName name="pl" localSheetId="8" hidden="0" function="0" vbProcedure="0">#REF!</definedName>
    <definedName name="pl_sski" localSheetId="8" hidden="0" function="0" vbProcedure="0">#REF!</definedName>
    <definedName name="pop_growth" localSheetId="8" hidden="0" function="0" vbProcedure="0">#REF!</definedName>
    <definedName name="pres" localSheetId="8" hidden="0" function="0" vbProcedure="0">[39]Key_Base!$D$19+[39]Key_Base!$E$19</definedName>
    <definedName name="press" localSheetId="8" hidden="0" function="0" vbProcedure="0">[24]Key_Base!$D$19+[24]Key_Base!$E$19</definedName>
    <definedName name="PretaxProfit" localSheetId="8" hidden="0" function="0" vbProcedure="0">#REF!</definedName>
    <definedName name="pri" localSheetId="8" hidden="0" function="0" vbProcedure="0">#REF!</definedName>
    <definedName name="price" localSheetId="8" hidden="0" function="0" vbProcedure="0">#REF!</definedName>
    <definedName name="PriceChg1" localSheetId="8" hidden="0" function="0" vbProcedure="0">#REF!</definedName>
    <definedName name="PriceChg12" localSheetId="8" hidden="0" function="0" vbProcedure="0">#REF!</definedName>
    <definedName name="PriceChg3" localSheetId="8" hidden="0" function="0" vbProcedure="0">#REF!</definedName>
    <definedName name="priceh" localSheetId="8" hidden="0" function="0" vbProcedure="0">#REF!</definedName>
    <definedName name="PricesFYEnd" localSheetId="8" hidden="0" function="0" vbProcedure="0">#REF!</definedName>
    <definedName name="PricesIndexed" localSheetId="8" hidden="0" function="0" vbProcedure="0">#REF!</definedName>
    <definedName name="production" localSheetId="8" hidden="0" function="0" vbProcedure="0">#REF!</definedName>
    <definedName name="PSV" localSheetId="8" hidden="0" function="0" vbProcedure="0">#REF!</definedName>
    <definedName name="Q1_1" localSheetId="8" hidden="0" function="0" vbProcedure="0">#REF!</definedName>
    <definedName name="Q1_2" localSheetId="8" hidden="0" function="0" vbProcedure="0">#REF!,#REF!,#REF!</definedName>
    <definedName name="Q1_3" localSheetId="8" hidden="0" function="0" vbProcedure="0">#REF!,#REF!,#REF!</definedName>
    <definedName name="Q1_4" localSheetId="8" hidden="0" function="0" vbProcedure="0">#REF!,#REF!,#REF!</definedName>
    <definedName name="Q2_1" localSheetId="8" hidden="0" function="0" vbProcedure="0">#REF!,#REF!,#REF!</definedName>
    <definedName name="Q2_2" localSheetId="8" hidden="0" function="0" vbProcedure="0">#REF!,#REF!,#REF!</definedName>
    <definedName name="Q2_3" localSheetId="8" hidden="0" function="0" vbProcedure="0">#REF!,#REF!,#REF!</definedName>
    <definedName name="Q2_4" localSheetId="8" hidden="0" function="0" vbProcedure="0">#REF!,#REF!,#REF!</definedName>
    <definedName name="Q3_1" localSheetId="8" hidden="0" function="0" vbProcedure="0">#REF!,#REF!,#REF!</definedName>
    <definedName name="QL1_1" localSheetId="8" hidden="0" function="0" vbProcedure="0">#REF!,#REF!</definedName>
    <definedName name="QL1_2" localSheetId="8" hidden="0" function="0" vbProcedure="0">#REF!,#REF!</definedName>
    <definedName name="QL1_3" localSheetId="8" hidden="0" function="0" vbProcedure="0">#REF!,#REF!</definedName>
    <definedName name="QL1_4" localSheetId="8" hidden="0" function="0" vbProcedure="0">#REF!,#REF!</definedName>
    <definedName name="QL2_1" localSheetId="8" hidden="0" function="0" vbProcedure="0">#REF!,#REF!</definedName>
    <definedName name="QL2_2" localSheetId="8" hidden="0" function="0" vbProcedure="0">#REF!,#REF!</definedName>
    <definedName name="QL2_3" localSheetId="8" hidden="0" function="0" vbProcedure="0">#REF!,#REF!</definedName>
    <definedName name="QL2_4" localSheetId="8" hidden="0" function="0" vbProcedure="0">#REF!,#REF!</definedName>
    <definedName name="QL3_1" localSheetId="8" hidden="0" function="0" vbProcedure="0">#REF!,#REF!</definedName>
    <definedName name="ra" localSheetId="8" hidden="0" function="0" vbProcedure="0">#REF!</definedName>
    <definedName name="RATIO" localSheetId="8" hidden="0" function="0" vbProcedure="0">'[21]Main Sheet'!$J$10</definedName>
    <definedName name="read_area" localSheetId="8" hidden="0" function="0" vbProcedure="0">#REF!</definedName>
    <definedName name="reco" localSheetId="8" hidden="0" function="0" vbProcedure="0">#REF!</definedName>
    <definedName name="recommendation" localSheetId="8" hidden="0" function="0" vbProcedure="0">#REF!</definedName>
    <definedName name="recommendationH" localSheetId="8" hidden="0" function="0" vbProcedure="0">#REF!</definedName>
    <definedName name="ReductInInvestments" localSheetId="8" hidden="0" function="0" vbProcedure="0">#REF!</definedName>
    <definedName name="relperfdata" localSheetId="8" hidden="0" function="0" vbProcedure="0">#REF!</definedName>
    <definedName name="Repayment_period" localSheetId="8" hidden="0" function="0" vbProcedure="0">#REF!</definedName>
    <definedName name="Repayment_Starts_on" localSheetId="8" hidden="0" function="0" vbProcedure="0">#REF!</definedName>
    <definedName name="ReservesAndPremium" localSheetId="8" hidden="0" function="0" vbProcedure="0">#REF!</definedName>
    <definedName name="Residential" localSheetId="8" hidden="0" function="0" vbProcedure="0">#REF!</definedName>
    <definedName name="RetainedEarnings" localSheetId="8" hidden="0" function="0" vbProcedure="0">#REF!</definedName>
    <definedName name="ReturnOnAssets" localSheetId="8" hidden="0" function="0" vbProcedure="0">[4]Introduction!$AM$1</definedName>
    <definedName name="ReturnOnEquity" localSheetId="8" hidden="0" function="0" vbProcedure="0">[4]Introduction!$A$1</definedName>
    <definedName name="reuters" localSheetId="8" hidden="0" function="0" vbProcedure="0">#REF!</definedName>
    <definedName name="ReutersCode" localSheetId="8" hidden="0" function="0" vbProcedure="0">#REF!</definedName>
    <definedName name="reuters_codeh" localSheetId="8" hidden="0" function="0" vbProcedure="0">#REF!</definedName>
    <definedName name="Revenue" localSheetId="8" hidden="0" function="0" vbProcedure="0">[4]Old!$AQ$1</definedName>
    <definedName name="RevenueGrowth" localSheetId="8" hidden="0" function="0" vbProcedure="0">#REF!</definedName>
    <definedName name="RMconsumed" localSheetId="8" hidden="0" function="0" vbProcedure="0">[4]Old!$N$10</definedName>
    <definedName name="rm_price" localSheetId="8" hidden="0" function="0" vbProcedure="0">#REF!</definedName>
    <definedName name="roce" localSheetId="8" hidden="0" function="0" vbProcedure="0">[18]Financials!$A$2305</definedName>
    <definedName name="roe" localSheetId="8" hidden="0" function="0" vbProcedure="0">[18]Financials!$A$1281</definedName>
    <definedName name="RSBasicShares" localSheetId="8" hidden="0" function="0" vbProcedure="0">[4]Sheet2!$FI$17</definedName>
    <definedName name="RSDepreciation" localSheetId="8" hidden="0" function="0" vbProcedure="0">[4]Sheet3!$A$1</definedName>
    <definedName name="RSNPAT" localSheetId="8" hidden="0" function="0" vbProcedure="0">[4]Sheet3!$A$1</definedName>
    <definedName name="RSOperatingProfit" localSheetId="8" hidden="0" function="0" vbProcedure="0">[4]Sheet3!$A$1</definedName>
    <definedName name="RSOtherEquity" localSheetId="8" hidden="0" function="0" vbProcedure="0">[4]Sheet3!$A$1</definedName>
    <definedName name="RSOtherLTAssets" localSheetId="8" hidden="0" function="0" vbProcedure="0">[4]Sheet3!$A$1</definedName>
    <definedName name="RSOtherLTLiabilities" localSheetId="8" hidden="0" function="0" vbProcedure="0">[4]Sheet3!$A$1</definedName>
    <definedName name="RSRetainedEarnings" localSheetId="8" hidden="0" function="0" vbProcedure="0">[4]Sheet3!$A$1</definedName>
    <definedName name="RSWeightedaverageeps" localSheetId="8" hidden="0" function="0" vbProcedure="0">[4]Sheet3!$A$1</definedName>
    <definedName name="RSweightedaverageshares" localSheetId="8" hidden="0" function="0" vbProcedure="0">[4]Sheet3!$A$1</definedName>
    <definedName name="R_" localSheetId="8" hidden="0" function="0" vbProcedure="0">'[21]Main Sheet'!$Q$1</definedName>
    <definedName name="R_M_Breakdown" localSheetId="8" hidden="0" function="0" vbProcedure="0">#REF!</definedName>
    <definedName name="sales" localSheetId="8" hidden="0" function="0" vbProcedure="0">#REF!</definedName>
    <definedName name="Sales_Breakdown" localSheetId="8" hidden="0" function="0" vbProcedure="0">#REF!</definedName>
    <definedName name="sales_realisation" localSheetId="8" hidden="0" function="0" vbProcedure="0">#REF!</definedName>
    <definedName name="sales_real_growth" localSheetId="8" hidden="0" function="0" vbProcedure="0">#REF!</definedName>
    <definedName name="sales_value" localSheetId="8" hidden="0" function="0" vbProcedure="0">#REF!</definedName>
    <definedName name="sales_val_growth" localSheetId="8" hidden="0" function="0" vbProcedure="0">#REF!</definedName>
    <definedName name="sales_vol" localSheetId="8" hidden="0" function="0" vbProcedure="0">#REF!</definedName>
    <definedName name="sales_vol_growth" localSheetId="8" hidden="0" function="0" vbProcedure="0">#REF!</definedName>
    <definedName name="SCI_Afra" localSheetId="8" hidden="0" function="0" vbProcedure="0">#REF!</definedName>
    <definedName name="SCi_Loan" localSheetId="8" hidden="0" function="0" vbProcedure="0">#REF!</definedName>
    <definedName name="SCI_Suez" localSheetId="8" hidden="0" function="0" vbProcedure="0">#REF!</definedName>
    <definedName name="sd" localSheetId="8" hidden="0" function="0" vbProcedure="0">[10]Earning_Assum!$CJ$1</definedName>
    <definedName name="sector" localSheetId="8" hidden="0" function="0" vbProcedure="0">#REF!</definedName>
    <definedName name="seg" localSheetId="8" hidden="0" function="0" vbProcedure="0">[41]sales!$J$10</definedName>
    <definedName name="sensex" localSheetId="8" hidden="0" function="0" vbProcedure="0">#REF!</definedName>
    <definedName name="SENSEXIndexed" localSheetId="8" hidden="0" function="0" vbProcedure="0">#REF!</definedName>
    <definedName name="SENSEXMember" localSheetId="8" hidden="0" function="0" vbProcedure="0">#REF!</definedName>
    <definedName name="SENSEXPrices" localSheetId="8" hidden="0" function="0" vbProcedure="0">#REF!</definedName>
    <definedName name="SGandA" localSheetId="8" hidden="0" function="0" vbProcedure="0">#REF!</definedName>
    <definedName name="ShareholdersEquity" localSheetId="8" hidden="0" function="0" vbProcedure="0">#REF!</definedName>
    <definedName name="shares" localSheetId="8" hidden="0" function="0" vbProcedure="0">#REF!</definedName>
    <definedName name="SharesPerGDR" localSheetId="8" hidden="0" function="0" vbProcedure="0">#REF!</definedName>
    <definedName name="sh_pri" localSheetId="8" hidden="0" function="0" vbProcedure="0">#REF!</definedName>
    <definedName name="sh_pti" localSheetId="8" hidden="0" function="0" vbProcedure="0">#REF!</definedName>
    <definedName name="Simplex" localSheetId="8" hidden="0" function="0" vbProcedure="0">#REF!</definedName>
    <definedName name="small_cap" localSheetId="8" hidden="0" function="0" vbProcedure="0">#REF!</definedName>
    <definedName name="software" localSheetId="8" hidden="0" function="0" vbProcedure="0">#REF!</definedName>
    <definedName name="speciality_chem" localSheetId="8" hidden="0" function="0" vbProcedure="0">#REF!</definedName>
    <definedName name="Spread" localSheetId="8" hidden="0" function="0" vbProcedure="0">#REF!</definedName>
    <definedName name="stable_growth_rate" localSheetId="8" hidden="0" function="0" vbProcedure="0">#REF!</definedName>
    <definedName name="Start_Detail" localSheetId="8" hidden="0" function="0" vbProcedure="0">#REF!</definedName>
    <definedName name="Start_Header" localSheetId="8" hidden="0" function="0" vbProcedure="0">#REF!</definedName>
    <definedName name="state_mktsh" localSheetId="8" hidden="0" function="0" vbProcedure="0">#REF!</definedName>
    <definedName name="Summary_Date" localSheetId="8" hidden="0" function="0" vbProcedure="0">#REF!</definedName>
    <definedName name="swap" localSheetId="8" hidden="0" function="0" vbProcedure="0">#REF!</definedName>
    <definedName name="Sweep_Hours" localSheetId="8" hidden="0" function="0" vbProcedure="0">#REF!</definedName>
    <definedName name="Sweep_KW" localSheetId="8" hidden="0" function="0" vbProcedure="0">#REF!</definedName>
    <definedName name="Table" localSheetId="8" hidden="0" function="0" vbProcedure="0">#REF!</definedName>
    <definedName name="target_pri" localSheetId="8" hidden="0" function="0" vbProcedure="0">#REF!</definedName>
    <definedName name="tariff_incr" localSheetId="8" hidden="0" function="0" vbProcedure="0">'[45]P&amp;L Depots C1'!$J$10</definedName>
    <definedName name="tariff_incr1" localSheetId="8" hidden="0" function="0" vbProcedure="0">'[46]P&amp;L Depots C1'!$A$1</definedName>
    <definedName name="tea_estates" localSheetId="8" hidden="0" function="0" vbProcedure="0">[41]shareholding!$AN$53</definedName>
    <definedName name="Technical" localSheetId="8" hidden="0" function="0" vbProcedure="0">#REF!</definedName>
    <definedName name="tetley" localSheetId="8" hidden="0" function="0" vbProcedure="0">#REF!</definedName>
    <definedName name="THC_incr" localSheetId="8" hidden="0" function="0" vbProcedure="0">'[45]P&amp;L Depots C1'!$J$10</definedName>
    <definedName name="TMKW" localSheetId="8" hidden="0" function="0" vbProcedure="0">#REF!</definedName>
    <definedName name="today" localSheetId="8" hidden="0" function="0" vbProcedure="0">#REF!</definedName>
    <definedName name="total" localSheetId="8" hidden="0" function="0" vbProcedure="0">#REF!</definedName>
    <definedName name="TotalAssets" localSheetId="8" hidden="0" function="0" vbProcedure="0">'Debt Schedule'!CapitalEmployed+'Debt Schedule'!CurrentLiab</definedName>
    <definedName name="TotalAssetsNet" localSheetId="8" hidden="0" function="0" vbProcedure="0">#REF!</definedName>
    <definedName name="TotalChangesInWorkingCapital" localSheetId="8" hidden="0" function="0" vbProcedure="0">#REF!</definedName>
    <definedName name="TotalCurrentAssets" localSheetId="8" hidden="0" function="0" vbProcedure="0">#REF!</definedName>
    <definedName name="TotalCurrentLiabilities" localSheetId="8" hidden="0" function="0" vbProcedure="0">#REF!</definedName>
    <definedName name="TotalDebt" localSheetId="8" hidden="0" function="0" vbProcedure="0">LongTermDebt+ShortTermDebt+CurrentPortion</definedName>
    <definedName name="totalss" localSheetId="8" hidden="0" function="0" vbProcedure="0">[24]Key_Base!$D$7</definedName>
    <definedName name="Total_Installments" localSheetId="8" hidden="0" function="0" vbProcedure="0">#REF!</definedName>
    <definedName name="tr" localSheetId="8" hidden="0" function="0" vbProcedure="0">[4]Sheet2!$BQ$1</definedName>
    <definedName name="tt_subsidiaries" localSheetId="8" hidden="0" function="0" vbProcedure="0">[41]shareholding!$FY$84</definedName>
    <definedName name="unilever" localSheetId="8" hidden="0" function="0" vbProcedure="0">#REF!</definedName>
    <definedName name="Upfront_Fee" localSheetId="8" hidden="0" function="0" vbProcedure="0">#REF!</definedName>
    <definedName name="USD_Libor_Swap_rate" localSheetId="8" hidden="0" function="0" vbProcedure="0">#REF!</definedName>
    <definedName name="Vessel_Cost" localSheetId="8" hidden="0" function="0" vbProcedure="0">#REF!</definedName>
    <definedName name="VFHrs" localSheetId="8" hidden="0" function="0" vbProcedure="0">#REF!</definedName>
    <definedName name="VFKW" localSheetId="8" hidden="0" function="0" vbProcedure="0">#REF!</definedName>
    <definedName name="vol" localSheetId="8" hidden="0" function="0" vbProcedure="0">[41]sales!$J$10</definedName>
    <definedName name="Volume_Growth" localSheetId="8" hidden="0" function="0" vbProcedure="0">#REF!</definedName>
    <definedName name="WDV" localSheetId="8" hidden="0" function="0" vbProcedure="0">#REF!</definedName>
    <definedName name="WeightedAverageEPS" localSheetId="8" hidden="0" function="0" vbProcedure="0">#REF!</definedName>
    <definedName name="wrn_All_" localSheetId="8"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8" hidden="0" function="0" vbProcedure="0">{#N/A,#N/A,TRUE,"Financials";#N/A,#N/A,TRUE,"Operating Statistics";#N/A,#N/A,TRUE,"Capex &amp; Depreciation";#N/A,#N/A,TRUE,"Debt"}</definedName>
    <definedName name="wrn_One___Pager___plus___Technicals_" localSheetId="8" hidden="0" function="0" vbProcedure="0">{#N/A,#N/A,FALSE,"One Pager";#N/A,#N/A,FALSE,"Technical"}</definedName>
    <definedName name="Y_Y_Growth" localSheetId="8" hidden="0" function="0" vbProcedure="0">'[47]Model (Not Merged)'!$J$10</definedName>
    <definedName name="Z" localSheetId="8" hidden="0" function="0" vbProcedure="0">[10]Earning_Assum!$F$1</definedName>
    <definedName name="ZZ_AAA_BSControl" localSheetId="8" hidden="0" function="0" vbProcedure="0">#REF!</definedName>
    <definedName name="ZZ_AAA_IncludeManual" localSheetId="8" hidden="0" function="0" vbProcedure="0">#REF!</definedName>
    <definedName name="ZZ_AAA_ISControl" localSheetId="8" hidden="0" function="0" vbProcedure="0">#REF!</definedName>
    <definedName name="ZZ_AAA_TerminalStartTest1" localSheetId="8" hidden="0" function="0" vbProcedure="0">#REF!</definedName>
    <definedName name="ZZ_AAA_TerminalStartTest2" localSheetId="8" hidden="0" function="0" vbProcedure="0">#REF!</definedName>
    <definedName name="ZZ_AAA_TerminalStartTest3" localSheetId="8" hidden="0" function="0" vbProcedure="0">#REF!</definedName>
    <definedName name="ZZ_AAA_TerminalStartTest4" localSheetId="8" hidden="0" function="0" vbProcedure="0">#REF!</definedName>
    <definedName name="ZZ_AAA_TerminalStartTest5" localSheetId="8" hidden="0" function="0" vbProcedure="0">#REF!</definedName>
    <definedName name="ZZ_AAA_YearCount" localSheetId="8" hidden="0" function="0" vbProcedure="0">#REF!</definedName>
    <definedName name="ZZ_AAA_YearEndManual" localSheetId="8" hidden="0" function="0" vbProcedure="0">#REF!</definedName>
    <definedName name="ZZ_AAA_YearEnds" localSheetId="8" hidden="0" function="0" vbProcedure="0">#REF!</definedName>
    <definedName name="ZZ_AA_User1" localSheetId="8" hidden="0" function="0" vbProcedure="0">#REF!</definedName>
    <definedName name="ZZ_AA_User2" localSheetId="8" hidden="0" function="0" vbProcedure="0">#REF!</definedName>
    <definedName name="ZZ_AA_User3" localSheetId="8" hidden="0" function="0" vbProcedure="0">#REF!</definedName>
    <definedName name="ZZ_AA_User4" localSheetId="8" hidden="0" function="0" vbProcedure="0">#REF!</definedName>
    <definedName name="ZZ_AA_User5" localSheetId="8" hidden="0" function="0" vbProcedure="0">#REF!</definedName>
    <definedName name="ZZ_BAL_AccountsPayable" localSheetId="8" hidden="0" function="0" vbProcedure="0">#REF!</definedName>
    <definedName name="ZZ_BAL_AccountsReceivable" localSheetId="8" hidden="0" function="0" vbProcedure="0">#REF!</definedName>
    <definedName name="ZZ_BAL_AverageTotalDebt" localSheetId="8" hidden="0" function="0" vbProcedure="0">#REF!</definedName>
    <definedName name="ZZ_BAL_Balance" localSheetId="8" hidden="0" function="0" vbProcedure="0">#REF!</definedName>
    <definedName name="ZZ_BAL_CapitalizedAssets" localSheetId="8" hidden="0" function="0" vbProcedure="0">#REF!</definedName>
    <definedName name="ZZ_BAL_ConstructionInProgress" localSheetId="8" hidden="0" function="0" vbProcedure="0">#REF!</definedName>
    <definedName name="ZZ_BAL_DebtNet" localSheetId="8" hidden="0" function="0" vbProcedure="0">#REF!</definedName>
    <definedName name="ZZ_BAL_DebtTotal" localSheetId="8" hidden="0" function="0" vbProcedure="0">#REF!</definedName>
    <definedName name="ZZ_BAL_DeferredTaxes" localSheetId="8" hidden="0" function="0" vbProcedure="0">#REF!</definedName>
    <definedName name="ZZ_BAL_Goodwill" localSheetId="8" hidden="0" function="0" vbProcedure="0">#REF!</definedName>
    <definedName name="ZZ_BAL_Inventories" localSheetId="8" hidden="0" function="0" vbProcedure="0">#REF!</definedName>
    <definedName name="ZZ_BAL_LongTermDebt" localSheetId="8" hidden="0" function="0" vbProcedure="0">#REF!</definedName>
    <definedName name="ZZ_BAL_LongTermInterestAssets" localSheetId="8" hidden="0" function="0" vbProcedure="0">#REF!</definedName>
    <definedName name="ZZ_BAL_LongTermNonInterestLiabilities" localSheetId="8" hidden="0" function="0" vbProcedure="0">#REF!</definedName>
    <definedName name="ZZ_BAL_LongTermNonOperatingAssets" localSheetId="8" hidden="0" function="0" vbProcedure="0">#REF!</definedName>
    <definedName name="ZZ_BAL_MinorityInterest" localSheetId="8" hidden="0" function="0" vbProcedure="0">#REF!</definedName>
    <definedName name="ZZ_BAL_NetAssets" localSheetId="8" hidden="0" function="0" vbProcedure="0">#REF!</definedName>
    <definedName name="ZZ_BAL_NetAssetsAverage" localSheetId="8" hidden="0" function="0" vbProcedure="0">#REF!</definedName>
    <definedName name="ZZ_BAL_NetCurrentAssets" localSheetId="8" hidden="0" function="0" vbProcedure="0">#REF!</definedName>
    <definedName name="ZZ_BAL_NetFixedAssets" localSheetId="8" hidden="0" function="0" vbProcedure="0">#REF!</definedName>
    <definedName name="ZZ_BAL_NetWorkingCapital" localSheetId="8" hidden="0" function="0" vbProcedure="0">#REF!</definedName>
    <definedName name="ZZ_BAL_OBSILeases" localSheetId="8" hidden="0" function="0" vbProcedure="0">#REF!</definedName>
    <definedName name="ZZ_BAL_OBSIOther" localSheetId="8" hidden="0" function="0" vbProcedure="0">#REF!</definedName>
    <definedName name="ZZ_BAL_OperatingCash" localSheetId="8" hidden="0" function="0" vbProcedure="0">#REF!</definedName>
    <definedName name="ZZ_BAL_OtherCurrentAssets" localSheetId="8" hidden="0" function="0" vbProcedure="0">#REF!</definedName>
    <definedName name="ZZ_BAL_OtherCurrentLiabilities" localSheetId="8" hidden="0" function="0" vbProcedure="0">#REF!</definedName>
    <definedName name="ZZ_BAL_OtherReserves" localSheetId="8" hidden="0" function="0" vbProcedure="0">#REF!</definedName>
    <definedName name="ZZ_BAL_PreferredStock" localSheetId="8" hidden="0" function="0" vbProcedure="0">#REF!</definedName>
    <definedName name="ZZ_BAL_RetainedEarnings" localSheetId="8" hidden="0" function="0" vbProcedure="0">#REF!</definedName>
    <definedName name="ZZ_BAL_RevaluationReserve" localSheetId="8" hidden="0" function="0" vbProcedure="0">#REF!</definedName>
    <definedName name="ZZ_BAL_ShareCapital" localSheetId="8" hidden="0" function="0" vbProcedure="0">#REF!</definedName>
    <definedName name="ZZ_BAL_SharePremium" localSheetId="8" hidden="0" function="0" vbProcedure="0">#REF!</definedName>
    <definedName name="ZZ_BAL_StatutoryReserves" localSheetId="8" hidden="0" function="0" vbProcedure="0">#REF!</definedName>
    <definedName name="ZZ_BAL_STDebt" localSheetId="8" hidden="0" function="0" vbProcedure="0">#REF!</definedName>
    <definedName name="ZZ_BAL_STInvestments" localSheetId="8" hidden="0" function="0" vbProcedure="0">#REF!</definedName>
    <definedName name="ZZ_BAL_TotalAssets" localSheetId="8" hidden="0" function="0" vbProcedure="0">#REF!</definedName>
    <definedName name="ZZ_BAL_TotalAssetsAverage" localSheetId="8" hidden="0" function="0" vbProcedure="0">#REF!</definedName>
    <definedName name="ZZ_BAL_TotalCommonEquity" localSheetId="8" hidden="0" function="0" vbProcedure="0">#REF!</definedName>
    <definedName name="ZZ_BAL_TotalCurrentAssets" localSheetId="8" hidden="0" function="0" vbProcedure="0">#REF!</definedName>
    <definedName name="ZZ_BAL_TotalCurrentLiabilities" localSheetId="8" hidden="0" function="0" vbProcedure="0">#REF!</definedName>
    <definedName name="ZZ_BAL_TotalEquity" localSheetId="8" hidden="0" function="0" vbProcedure="0">#REF!</definedName>
    <definedName name="ZZ_BAL_TotalEquityAverage" localSheetId="8" hidden="0" function="0" vbProcedure="0">#REF!</definedName>
    <definedName name="ZZ_BAL_TotalLiabilities" localSheetId="8" hidden="0" function="0" vbProcedure="0">#REF!</definedName>
    <definedName name="ZZ_BAL_TotalLiabilitiesPlusEquity" localSheetId="8" hidden="0" function="0" vbProcedure="0">#REF!</definedName>
    <definedName name="ZZ_BAL_TotalLongTermLiabilities" localSheetId="8" hidden="0" function="0" vbProcedure="0">#REF!</definedName>
    <definedName name="ZZ_BAL_TotalReserves" localSheetId="8" hidden="0" function="0" vbProcedure="0">#REF!</definedName>
    <definedName name="ZZ_CAP_AccumulatedGoodwillAmort" localSheetId="8" hidden="0" function="0" vbProcedure="0">#REF!</definedName>
    <definedName name="ZZ_CAP_AccumulatedGoodwillAmortManual" localSheetId="8" hidden="0" function="0" vbProcedure="0">#REF!</definedName>
    <definedName name="ZZ_CAP_AdjToOperatingCapital" localSheetId="8" hidden="0" function="0" vbProcedure="0">#REF!</definedName>
    <definedName name="ZZ_CAP_AdjustedCommonEquity" localSheetId="8" hidden="0" function="0" vbProcedure="0">#REF!</definedName>
    <definedName name="ZZ_CAP_Balance" localSheetId="8" hidden="0" function="0" vbProcedure="0">#REF!</definedName>
    <definedName name="ZZ_CAP_ChangeInOperatingCapital" localSheetId="8" hidden="0" function="0" vbProcedure="0">#REF!</definedName>
    <definedName name="ZZ_CAP_EquityEquivalents" localSheetId="8" hidden="0" function="0" vbProcedure="0">#REF!</definedName>
    <definedName name="ZZ_CAP_LIFOReserve" localSheetId="8" hidden="0" function="0" vbProcedure="0">#REF!</definedName>
    <definedName name="ZZ_CAP_NetWorkingCapitalAdj" localSheetId="8" hidden="0" function="0" vbProcedure="0">#REF!</definedName>
    <definedName name="ZZ_CAP_NonOperatingCapital" localSheetId="8" hidden="0" function="0" vbProcedure="0">#REF!</definedName>
    <definedName name="ZZ_CAP_OperatingCapital" localSheetId="8" hidden="0" function="0" vbProcedure="0">#REF!</definedName>
    <definedName name="ZZ_CAP_OperatingCapitalAverage" localSheetId="8" hidden="0" function="0" vbProcedure="0">#REF!</definedName>
    <definedName name="ZZ_CAP_TotalCapital" localSheetId="8" hidden="0" function="0" vbProcedure="0">#REF!</definedName>
    <definedName name="ZZ_CAP_TotalCapitalAverage" localSheetId="8" hidden="0" function="0" vbProcedure="0">#REF!</definedName>
    <definedName name="ZZ_CAP_TotalCapitalRecon" localSheetId="8" hidden="0" function="0" vbProcedure="0">#REF!</definedName>
    <definedName name="ZZ_CAP_TotalDebtAdj" localSheetId="8" hidden="0" function="0" vbProcedure="0">#REF!</definedName>
    <definedName name="ZZ_CAP_ValueOfOperatingLeases" localSheetId="8" hidden="0" function="0" vbProcedure="0">#REF!</definedName>
    <definedName name="ZZ_CAS_Balance" localSheetId="8" hidden="0" function="0" vbProcedure="0">#REF!</definedName>
    <definedName name="ZZ_CAS_CashFlowFinancing" localSheetId="8" hidden="0" function="0" vbProcedure="0">#REF!</definedName>
    <definedName name="ZZ_CAS_CashFlowInvestment" localSheetId="8" hidden="0" function="0" vbProcedure="0">#REF!</definedName>
    <definedName name="ZZ_CAS_CashFlowOperational" localSheetId="8" hidden="0" function="0" vbProcedure="0">#REF!</definedName>
    <definedName name="ZZ_CAS_CashSTInvestments" localSheetId="8" hidden="0" function="0" vbProcedure="0">#REF!</definedName>
    <definedName name="ZZ_CAS_ChangeInCapitalizedAssets" localSheetId="8" hidden="0" function="0" vbProcedure="0">#REF!</definedName>
    <definedName name="ZZ_CAS_ChangeInCIP" localSheetId="8" hidden="0" function="0" vbProcedure="0">#REF!</definedName>
    <definedName name="ZZ_CAS_ChangeInCommonEquity" localSheetId="8" hidden="0" function="0" vbProcedure="0">#REF!</definedName>
    <definedName name="ZZ_CAS_ChangeInGoodwill" localSheetId="8" hidden="0" function="0" vbProcedure="0">#REF!</definedName>
    <definedName name="ZZ_CAS_ChangeInInvestmentsAssets" localSheetId="8" hidden="0" function="0" vbProcedure="0">#REF!</definedName>
    <definedName name="ZZ_CAS_ChangeInLTDebt" localSheetId="8" hidden="0" function="0" vbProcedure="0">#REF!</definedName>
    <definedName name="ZZ_CAS_ChangeInMinorityInterest" localSheetId="8" hidden="0" function="0" vbProcedure="0">#REF!</definedName>
    <definedName name="ZZ_CAS_ChangeInNetFixedAssets" localSheetId="8" hidden="0" function="0" vbProcedure="0">#REF!</definedName>
    <definedName name="ZZ_CAS_ChangeInOtherLTLiabilities" localSheetId="8" hidden="0" function="0" vbProcedure="0">#REF!</definedName>
    <definedName name="ZZ_CAS_ChangeInOtherNonOperatingAssets" localSheetId="8" hidden="0" function="0" vbProcedure="0">#REF!</definedName>
    <definedName name="ZZ_CAS_ChangeInOtherReserves" localSheetId="8" hidden="0" function="0" vbProcedure="0">#REF!</definedName>
    <definedName name="ZZ_CAS_ChangeInPreferredEquity" localSheetId="8" hidden="0" function="0" vbProcedure="0">#REF!</definedName>
    <definedName name="ZZ_CAS_ChangeInRevaluationReserve" localSheetId="8" hidden="0" function="0" vbProcedure="0">#REF!</definedName>
    <definedName name="ZZ_CAS_ChangeInSharePremium" localSheetId="8" hidden="0" function="0" vbProcedure="0">#REF!</definedName>
    <definedName name="ZZ_CAS_ChangeInStatutoryReserves" localSheetId="8" hidden="0" function="0" vbProcedure="0">#REF!</definedName>
    <definedName name="ZZ_CAS_ChangeInSTDebt" localSheetId="8" hidden="0" function="0" vbProcedure="0">#REF!</definedName>
    <definedName name="ZZ_CAS_ChangeInWC" localSheetId="8" hidden="0" function="0" vbProcedure="0">#REF!</definedName>
    <definedName name="ZZ_CAS_TotalCashFlow" localSheetId="8" hidden="0" function="0" vbProcedure="0">#REF!</definedName>
    <definedName name="ZZ_CAS_TotalCashFlowRecon" localSheetId="8" hidden="0" function="0" vbProcedure="0">#REF!</definedName>
    <definedName name="ZZ_COM_Assets" localSheetId="8" hidden="0" function="0" vbProcedure="0">#REF!</definedName>
    <definedName name="ZZ_COM_Switch1" localSheetId="8" hidden="0" function="0" vbProcedure="0">#REF!</definedName>
    <definedName name="ZZ_COS_BetaManual" localSheetId="8" hidden="0" function="0" vbProcedure="0">#REF!</definedName>
    <definedName name="ZZ_COS_BVCommonEquity" localSheetId="8" hidden="0" function="0" vbProcedure="0">#REF!</definedName>
    <definedName name="ZZ_COS_BVPreferredEquity" localSheetId="8" hidden="0" function="0" vbProcedure="0">#REF!</definedName>
    <definedName name="ZZ_COS_BVTotalCapital" localSheetId="8" hidden="0" function="0" vbProcedure="0">#REF!</definedName>
    <definedName name="ZZ_COS_BVTotalDebt" localSheetId="8" hidden="0" function="0" vbProcedure="0">#REF!</definedName>
    <definedName name="ZZ_COS_CostOfCommonEquity" localSheetId="8" hidden="0" function="0" vbProcedure="0">#REF!</definedName>
    <definedName name="ZZ_COS_CostOfDebtPostTax" localSheetId="8" hidden="0" function="0" vbProcedure="0">#REF!</definedName>
    <definedName name="ZZ_COS_CostOfDebtPreTaxManual" localSheetId="8" hidden="0" function="0" vbProcedure="0">#REF!</definedName>
    <definedName name="ZZ_COS_CostOfPreferredEquityManual" localSheetId="8" hidden="0" function="0" vbProcedure="0">#REF!</definedName>
    <definedName name="ZZ_COS_EquityRiskPremiumManual" localSheetId="8" hidden="0" function="0" vbProcedure="0">#REF!</definedName>
    <definedName name="ZZ_COS_MVCommonEquity" localSheetId="8" hidden="0" function="0" vbProcedure="0">#REF!</definedName>
    <definedName name="ZZ_COS_MVPreferredEquity" localSheetId="8" hidden="0" function="0" vbProcedure="0">#REF!</definedName>
    <definedName name="ZZ_COS_MVTotalCapital" localSheetId="8" hidden="0" function="0" vbProcedure="0">#REF!</definedName>
    <definedName name="ZZ_COS_MVTotalDebt" localSheetId="8" hidden="0" function="0" vbProcedure="0">#REF!</definedName>
    <definedName name="ZZ_COS_RequiredReturnCAPM" localSheetId="8" hidden="0" function="0" vbProcedure="0">#REF!</definedName>
    <definedName name="ZZ_COS_RequiredReturnManual" localSheetId="8" hidden="0" function="0" vbProcedure="0">#REF!</definedName>
    <definedName name="ZZ_COS_RiskFreeRateManual" localSheetId="8" hidden="0" function="0" vbProcedure="0">#REF!</definedName>
    <definedName name="ZZ_COS_Switch1" localSheetId="8" hidden="0" function="0" vbProcedure="0">#REF!</definedName>
    <definedName name="ZZ_COS_TargetDebtToCapitalManual" localSheetId="8" hidden="0" function="0" vbProcedure="0">#REF!</definedName>
    <definedName name="ZZ_COS_UnleveragedCostOfCapital" localSheetId="8" hidden="0" function="0" vbProcedure="0">#REF!</definedName>
    <definedName name="ZZ_COS_WACC" localSheetId="8" hidden="0" function="0" vbProcedure="0">#REF!</definedName>
    <definedName name="ZZ_COS_WACCActual" localSheetId="8" hidden="0" function="0" vbProcedure="0">#REF!</definedName>
    <definedName name="ZZ_COS_WACCManual" localSheetId="8" hidden="0" function="0" vbProcedure="0">#REF!</definedName>
    <definedName name="ZZ_COS_WGTCommonEquity" localSheetId="8" hidden="0" function="0" vbProcedure="0">#REF!</definedName>
    <definedName name="ZZ_COS_WGTPreferredEquity" localSheetId="8" hidden="0" function="0" vbProcedure="0">#REF!</definedName>
    <definedName name="ZZ_COS_WGTTotalDebt" localSheetId="8" hidden="0" function="0" vbProcedure="0">#REF!</definedName>
    <definedName name="ZZ_DCF_Balance" localSheetId="8" hidden="0" function="0" vbProcedure="0">#REF!</definedName>
    <definedName name="ZZ_DCF_EVA_Discounted" localSheetId="8" hidden="0" function="0" vbProcedure="0">#REF!</definedName>
    <definedName name="ZZ_DCF_EVA_DiscountedTotal" localSheetId="8" hidden="0" function="0" vbProcedure="0">#REF!</definedName>
    <definedName name="ZZ_DCF_EVA_DiscountFactor" localSheetId="8" hidden="0" function="0" vbProcedure="0">#REF!</definedName>
    <definedName name="ZZ_DCF_EVA_EconomicValueAdded" localSheetId="8" hidden="0" function="0" vbProcedure="0">#REF!</definedName>
    <definedName name="ZZ_DCF_EVA_EconomicValueAddedManual" localSheetId="8" hidden="0" function="0" vbProcedure="0">#REF!</definedName>
    <definedName name="ZZ_DCF_EVA_ImpliedEquityValue" localSheetId="8" hidden="0" function="0" vbProcedure="0">#REF!</definedName>
    <definedName name="ZZ_DCF_EVA_ImpliedEquityValuePerShare" localSheetId="8" hidden="0" function="0" vbProcedure="0">#REF!</definedName>
    <definedName name="ZZ_DCF_EVA_MidYearAdjustmentFactor" localSheetId="8" hidden="0" function="0" vbProcedure="0">#REF!</definedName>
    <definedName name="ZZ_DCF_EVA_OperatingValue" localSheetId="8" hidden="0" function="0" vbProcedure="0">#REF!</definedName>
    <definedName name="ZZ_DCF_EVA_OperatingValueAdj" localSheetId="8" hidden="0" function="0" vbProcedure="0">#REF!</definedName>
    <definedName name="ZZ_DCF_EVA_TotalValue" localSheetId="8" hidden="0" function="0" vbProcedure="0">#REF!</definedName>
    <definedName name="ZZ_DCF_EVA_WACC" localSheetId="8" hidden="0" function="0" vbProcedure="0">#REF!</definedName>
    <definedName name="ZZ_DCF_FCF_Discounted" localSheetId="8" hidden="0" function="0" vbProcedure="0">#REF!</definedName>
    <definedName name="ZZ_DCF_FCF_DiscountFactor" localSheetId="8" hidden="0" function="0" vbProcedure="0">#REF!</definedName>
    <definedName name="ZZ_DCF_FCF_FreeCashFlow" localSheetId="8" hidden="0" function="0" vbProcedure="0">#REF!</definedName>
    <definedName name="ZZ_DCF_FCF_FreeCashFlowManual" localSheetId="8" hidden="0" function="0" vbProcedure="0">#REF!</definedName>
    <definedName name="ZZ_DCF_FCF_ImpliedEquityValue" localSheetId="8" hidden="0" function="0" vbProcedure="0">#REF!</definedName>
    <definedName name="ZZ_DCF_FCF_ImpliedEquityValuePerShare" localSheetId="8" hidden="0" function="0" vbProcedure="0">#REF!</definedName>
    <definedName name="ZZ_DCF_FCF_MidYearAdjustmentFactor" localSheetId="8" hidden="0" function="0" vbProcedure="0">#REF!</definedName>
    <definedName name="ZZ_DCF_FCF_NetInvestment" localSheetId="8" hidden="0" function="0" vbProcedure="0">#REF!</definedName>
    <definedName name="ZZ_DCF_FCF_NOPAT" localSheetId="8" hidden="0" function="0" vbProcedure="0">#REF!</definedName>
    <definedName name="ZZ_DCF_FCF_OperatingValue" localSheetId="8" hidden="0" function="0" vbProcedure="0">#REF!</definedName>
    <definedName name="ZZ_DCF_FCF_OperatingValueAdj" localSheetId="8" hidden="0" function="0" vbProcedure="0">#REF!</definedName>
    <definedName name="ZZ_DCF_FCF_SharePremiumDiscount" localSheetId="8" hidden="0" function="0" vbProcedure="0">#REF!</definedName>
    <definedName name="ZZ_DCF_FCF_TotalValue" localSheetId="8" hidden="0" function="0" vbProcedure="0">#REF!</definedName>
    <definedName name="ZZ_DCF_FCF_WACC" localSheetId="8" hidden="0" function="0" vbProcedure="0">#REF!</definedName>
    <definedName name="ZZ_DCF_LTGrowthRate" localSheetId="8" hidden="0" function="0" vbProcedure="0">#REF!</definedName>
    <definedName name="ZZ_DCF_LTGrowthRateManual" localSheetId="8" hidden="0" function="0" vbProcedure="0">#REF!</definedName>
    <definedName name="ZZ_DCF_NON_TotalNonCommonEquity" localSheetId="8" hidden="0" function="0" vbProcedure="0">#REF!</definedName>
    <definedName name="ZZ_EPS_BookValuePS" localSheetId="8" hidden="0" function="0" vbProcedure="0">#REF!</definedName>
    <definedName name="ZZ_EPS_CFPSFree" localSheetId="8" hidden="0" function="0" vbProcedure="0">#REF!</definedName>
    <definedName name="ZZ_EPS_CFPSGross" localSheetId="8" hidden="0" function="0" vbProcedure="0">#REF!</definedName>
    <definedName name="ZZ_EPS_DPS" localSheetId="8" hidden="0" function="0" vbProcedure="0">#REF!</definedName>
    <definedName name="ZZ_EPS_DPSManual" localSheetId="8" hidden="0" function="0" vbProcedure="0">#REF!</definedName>
    <definedName name="ZZ_EPS_EPSBasic" localSheetId="8" hidden="0" function="0" vbProcedure="0">#REF!</definedName>
    <definedName name="ZZ_EPS_EPSBasicManual" localSheetId="8" hidden="0" function="0" vbProcedure="0">#REF!</definedName>
    <definedName name="ZZ_EPS_EPSBFullyDiluted" localSheetId="8" hidden="0" function="0" vbProcedure="0">#REF!</definedName>
    <definedName name="ZZ_EPS_EPSBFullyDilutedManual" localSheetId="8" hidden="0" function="0" vbProcedure="0">#REF!</definedName>
    <definedName name="ZZ_EPS_EPSPrimary" localSheetId="8" hidden="0" function="0" vbProcedure="0">#REF!</definedName>
    <definedName name="ZZ_EPS_EPSPrimaryManual" localSheetId="8" hidden="0" function="0" vbProcedure="0">#REF!</definedName>
    <definedName name="ZZ_EPS_MarketCapCurrent" localSheetId="8" hidden="0" function="0" vbProcedure="0">#REF!</definedName>
    <definedName name="ZZ_EPS_PriorYearAdjAnnual" localSheetId="8" hidden="0" function="0" vbProcedure="0">#REF!</definedName>
    <definedName name="ZZ_EPS_PriorYearAdjCumulative" localSheetId="8" hidden="0" function="0" vbProcedure="0">#REF!</definedName>
    <definedName name="ZZ_EPS_SharePriceAtYE" localSheetId="8" hidden="0" function="0" vbProcedure="0">#REF!</definedName>
    <definedName name="ZZ_EPS_SharePriceAtYEManual" localSheetId="8" hidden="0" function="0" vbProcedure="0">#REF!</definedName>
    <definedName name="ZZ_EPS_SharesAtYE" localSheetId="8" hidden="0" function="0" vbProcedure="0">#REF!</definedName>
    <definedName name="ZZ_EPS_SharesAtYEManual" localSheetId="8" hidden="0" function="0" vbProcedure="0">#REF!</definedName>
    <definedName name="ZZ_EPS_SharesFullyDiluted" localSheetId="8" hidden="0" function="0" vbProcedure="0">#REF!</definedName>
    <definedName name="ZZ_EPS_SharesFullyDilutedManual" localSheetId="8" hidden="0" function="0" vbProcedure="0">#REF!</definedName>
    <definedName name="ZZ_EPS_SharesPrimary" localSheetId="8" hidden="0" function="0" vbProcedure="0">#REF!</definedName>
    <definedName name="ZZ_EPS_SharesPrimaryManual" localSheetId="8" hidden="0" function="0" vbProcedure="0">#REF!</definedName>
    <definedName name="ZZ_EPS_SharesWgtAvg" localSheetId="8" hidden="0" function="0" vbProcedure="0">#REF!</definedName>
    <definedName name="ZZ_EPS_SharesWgtAvgManual" localSheetId="8" hidden="0" function="0" vbProcedure="0">#REF!</definedName>
    <definedName name="ZZ_FRE_Amortization" localSheetId="8" hidden="0" function="0" vbProcedure="0">#REF!</definedName>
    <definedName name="ZZ_FRE_Balance1" localSheetId="8" hidden="0" function="0" vbProcedure="0">#REF!</definedName>
    <definedName name="ZZ_FRE_Balance2" localSheetId="8" hidden="0" function="0" vbProcedure="0">#REF!</definedName>
    <definedName name="ZZ_FRE_CapitalNetAdditions" localSheetId="8" hidden="0" function="0" vbProcedure="0">#REF!</definedName>
    <definedName name="ZZ_FRE_ChangeInAdjToOperatingInvestedCapital" localSheetId="8" hidden="0" function="0" vbProcedure="0">#REF!</definedName>
    <definedName name="ZZ_FRE_Depreciation" localSheetId="8" hidden="0" function="0" vbProcedure="0">#REF!</definedName>
    <definedName name="ZZ_FRE_FreeCashFlow" localSheetId="8" hidden="0" function="0" vbProcedure="0">#REF!</definedName>
    <definedName name="ZZ_FRE_FreeCashFlowRecon1" localSheetId="8" hidden="0" function="0" vbProcedure="0">#REF!</definedName>
    <definedName name="ZZ_FRE_FreeCashFlowRecon2" localSheetId="8" hidden="0" function="0" vbProcedure="0">#REF!</definedName>
    <definedName name="ZZ_FRE_GrossCashFlow" localSheetId="8" hidden="0" function="0" vbProcedure="0">#REF!</definedName>
    <definedName name="ZZ_FRE_GrossInvestment" localSheetId="8" hidden="0" function="0" vbProcedure="0">#REF!</definedName>
    <definedName name="ZZ_FRE_NetInvestment" localSheetId="8" hidden="0" function="0" vbProcedure="0">#REF!</definedName>
    <definedName name="ZZ_FRE_NetInvestmentRate" localSheetId="8" hidden="0" function="0" vbProcedure="0">#REF!</definedName>
    <definedName name="ZZ_FRE_NOPAT" localSheetId="8" hidden="0" function="0" vbProcedure="0">#REF!</definedName>
    <definedName name="ZZ_FRE_PaymentsToInvestors" localSheetId="8" hidden="0" function="0" vbProcedure="0">#REF!</definedName>
    <definedName name="ZZ_GRO_BasicEPS" localSheetId="8" hidden="0" function="0" vbProcedure="0">#REF!</definedName>
    <definedName name="ZZ_GRO_NetIncome" localSheetId="8" hidden="0" function="0" vbProcedure="0">#REF!</definedName>
    <definedName name="ZZ_GRO_NOPAT" localSheetId="8" hidden="0" function="0" vbProcedure="0">#REF!</definedName>
    <definedName name="ZZ_GRO_Revenue" localSheetId="8" hidden="0" function="0" vbProcedure="0">#REF!</definedName>
    <definedName name="ZZ_INC_AdjToRetainedEarnings" localSheetId="8" hidden="0" function="0" vbProcedure="0">#REF!</definedName>
    <definedName name="ZZ_INC_AdminExpense" localSheetId="8" hidden="0" function="0" vbProcedure="0">#REF!</definedName>
    <definedName name="ZZ_INC_Amortization" localSheetId="8" hidden="0" function="0" vbProcedure="0">#REF!</definedName>
    <definedName name="ZZ_INC_AmortizationGoodwill" localSheetId="8" hidden="0" function="0" vbProcedure="0">#REF!</definedName>
    <definedName name="ZZ_INC_Associates" localSheetId="8" hidden="0" function="0" vbProcedure="0">#REF!</definedName>
    <definedName name="ZZ_INC_BeginningRetainedEarnings" localSheetId="8" hidden="0" function="0" vbProcedure="0">#REF!</definedName>
    <definedName name="ZZ_INC_CashDividends" localSheetId="8" hidden="0" function="0" vbProcedure="0">#REF!</definedName>
    <definedName name="ZZ_INC_CGS" localSheetId="8" hidden="0" function="0" vbProcedure="0">#REF!</definedName>
    <definedName name="ZZ_INC_Depreciation" localSheetId="8" hidden="0" function="0" vbProcedure="0">#REF!</definedName>
    <definedName name="ZZ_INC_EAT" localSheetId="8" hidden="0" function="0" vbProcedure="0">#REF!</definedName>
    <definedName name="ZZ_INC_EBIT" localSheetId="8" hidden="0" function="0" vbProcedure="0">#REF!</definedName>
    <definedName name="ZZ_INC_EBITDA" localSheetId="8" hidden="0" function="0" vbProcedure="0">#REF!</definedName>
    <definedName name="ZZ_INC_EBT" localSheetId="8" hidden="0" function="0" vbProcedure="0">#REF!</definedName>
    <definedName name="ZZ_INC_EffectiveTaxRate" localSheetId="8" hidden="0" function="0" vbProcedure="0">#REF!</definedName>
    <definedName name="ZZ_INC_Exceptionals" localSheetId="8" hidden="0" function="0" vbProcedure="0">#REF!</definedName>
    <definedName name="ZZ_INC_Extraordinaries" localSheetId="8" hidden="0" function="0" vbProcedure="0">#REF!</definedName>
    <definedName name="ZZ_INC_GrossProfit" localSheetId="8" hidden="0" function="0" vbProcedure="0">#REF!</definedName>
    <definedName name="ZZ_INC_IncomeTax" localSheetId="8" hidden="0" function="0" vbProcedure="0">#REF!</definedName>
    <definedName name="ZZ_INC_InterestExpense" localSheetId="8" hidden="0" function="0" vbProcedure="0">#REF!</definedName>
    <definedName name="ZZ_INC_InterestIncome" localSheetId="8" hidden="0" function="0" vbProcedure="0">#REF!</definedName>
    <definedName name="ZZ_INC_Minorities" localSheetId="8" hidden="0" function="0" vbProcedure="0">#REF!</definedName>
    <definedName name="ZZ_INC_NetIncome" localSheetId="8" hidden="0" function="0" vbProcedure="0">#REF!</definedName>
    <definedName name="ZZ_INC_NonOperatingIncome" localSheetId="8" hidden="0" function="0" vbProcedure="0">#REF!</definedName>
    <definedName name="ZZ_INC_OperatingIncome" localSheetId="8" hidden="0" function="0" vbProcedure="0">#REF!</definedName>
    <definedName name="ZZ_INC_OtherAfterTaxIncome" localSheetId="8" hidden="0" function="0" vbProcedure="0">#REF!</definedName>
    <definedName name="ZZ_INC_OtherIncome" localSheetId="8" hidden="0" function="0" vbProcedure="0">#REF!</definedName>
    <definedName name="ZZ_INC_OtherOperatingIncome" localSheetId="8" hidden="0" function="0" vbProcedure="0">#REF!</definedName>
    <definedName name="ZZ_INC_PreferredDividends" localSheetId="8" hidden="0" function="0" vbProcedure="0">#REF!</definedName>
    <definedName name="ZZ_INC_RetainedProfit" localSheetId="8" hidden="0" function="0" vbProcedure="0">#REF!</definedName>
    <definedName name="ZZ_INC_Revenue" localSheetId="8" hidden="0" function="0" vbProcedure="0">#REF!</definedName>
    <definedName name="ZZ_INC_StatutoryAppropriations" localSheetId="8" hidden="0" function="0" vbProcedure="0">#REF!</definedName>
    <definedName name="ZZ_NOP_AdjToOperatingIncome" localSheetId="8" hidden="0" function="0" vbProcedure="0">#REF!</definedName>
    <definedName name="ZZ_NOP_ATInterestExpense" localSheetId="8" hidden="0" function="0" vbProcedure="0">#REF!</definedName>
    <definedName name="ZZ_NOP_ATInterestOnNonCapitalizedLeases" localSheetId="8" hidden="0" function="0" vbProcedure="0">#REF!</definedName>
    <definedName name="ZZ_NOP_ATNonOperatingIncome" localSheetId="8" hidden="0" function="0" vbProcedure="0">#REF!</definedName>
    <definedName name="ZZ_NOP_Balance" localSheetId="8" hidden="0" function="0" vbProcedure="0">#REF!</definedName>
    <definedName name="ZZ_NOP_CashTaxesPaid" localSheetId="8" hidden="0" function="0" vbProcedure="0">#REF!</definedName>
    <definedName name="ZZ_NOP_ChangeInDeferredTaxes" localSheetId="8" hidden="0" function="0" vbProcedure="0">#REF!</definedName>
    <definedName name="ZZ_NOP_ChangeInLIFOReserve" localSheetId="8" hidden="0" function="0" vbProcedure="0">#REF!</definedName>
    <definedName name="ZZ_NOP_EquityEquivalents" localSheetId="8" hidden="0" function="0" vbProcedure="0">#REF!</definedName>
    <definedName name="ZZ_NOP_IncomeAvailableToInvestors" localSheetId="8" hidden="0" function="0" vbProcedure="0">#REF!</definedName>
    <definedName name="ZZ_NOP_LeaseAdjustment" localSheetId="8" hidden="0" function="0" vbProcedure="0">#REF!</definedName>
    <definedName name="ZZ_NOP_MarginalTaxRate" localSheetId="8" hidden="0" function="0" vbProcedure="0">#REF!</definedName>
    <definedName name="ZZ_NOP_MarginalTaxRateManual" localSheetId="8" hidden="0" function="0" vbProcedure="0">#REF!</definedName>
    <definedName name="ZZ_NOP_NOPAT" localSheetId="8" hidden="0" function="0" vbProcedure="0">#REF!</definedName>
    <definedName name="ZZ_NOP_NOPATRecon" localSheetId="8" hidden="0" function="0" vbProcedure="0">#REF!</definedName>
    <definedName name="ZZ_NOP_NOPBT" localSheetId="8" hidden="0" function="0" vbProcedure="0">#REF!</definedName>
    <definedName name="ZZ_NOP_TaxesOnOperatingIncomeAdj" localSheetId="8" hidden="0" function="0" vbProcedure="0">#REF!</definedName>
    <definedName name="ZZ_NOP_TaxOnNonOperatingIncome" localSheetId="8" hidden="0" function="0" vbProcedure="0">#REF!</definedName>
    <definedName name="ZZ_NOP_TaxShieldOnInterestExpense" localSheetId="8" hidden="0" function="0" vbProcedure="0">#REF!</definedName>
    <definedName name="ZZ_OTH_AverageAccountsPayable" localSheetId="8" hidden="0" function="0" vbProcedure="0">#REF!</definedName>
    <definedName name="ZZ_OTH_AverageAccountsReceivable" localSheetId="8" hidden="0" function="0" vbProcedure="0">#REF!</definedName>
    <definedName name="ZZ_OTH_AverageCapitalizedAssets" localSheetId="8" hidden="0" function="0" vbProcedure="0">#REF!</definedName>
    <definedName name="ZZ_OTH_AverageInventories" localSheetId="8" hidden="0" function="0" vbProcedure="0">#REF!</definedName>
    <definedName name="ZZ_OTH_AverageNetFixedAssets" localSheetId="8" hidden="0" function="0" vbProcedure="0">#REF!</definedName>
    <definedName name="ZZ_OTH_AverageNWC" localSheetId="8" hidden="0" function="0" vbProcedure="0">#REF!</definedName>
    <definedName name="ZZ_OTH_CashTaxRate" localSheetId="8" hidden="0" function="0" vbProcedure="0">#REF!</definedName>
    <definedName name="ZZ_OTH_DaysInInventory" localSheetId="8" hidden="0" function="0" vbProcedure="0">#REF!</definedName>
    <definedName name="ZZ_OTH_DaysPayable" localSheetId="8" hidden="0" function="0" vbProcedure="0">#REF!</definedName>
    <definedName name="ZZ_OTH_DaysReceivable" localSheetId="8" hidden="0" function="0" vbProcedure="0">#REF!</definedName>
    <definedName name="ZZ_OTH_DividendPayoutRatio" localSheetId="8" hidden="0" function="0" vbProcedure="0">#REF!</definedName>
    <definedName name="ZZ_OTH_RetentionRate" localSheetId="8" hidden="0" function="0" vbProcedure="0">#REF!</definedName>
    <definedName name="ZZ_PRI_BAL_All" localSheetId="8" hidden="0" function="0" vbProcedure="0">#REF!</definedName>
    <definedName name="ZZ_PRI_CAS_All" localSheetId="8" hidden="0" function="0" vbProcedure="0">#REF!</definedName>
    <definedName name="ZZ_PRI_COM_All" localSheetId="8" hidden="0" function="0" vbProcedure="0">#REF!</definedName>
    <definedName name="ZZ_PRI_COS_All" localSheetId="8" hidden="0" function="0" vbProcedure="0">#REF!</definedName>
    <definedName name="ZZ_PRI_DCF_All" localSheetId="8" hidden="0" function="0" vbProcedure="0">#REF!</definedName>
    <definedName name="ZZ_PRI_EPS_All" localSheetId="8" hidden="0" function="0" vbProcedure="0">#REF!</definedName>
    <definedName name="ZZ_PRI_FRE_All" localSheetId="8" hidden="0" function="0" vbProcedure="0">#REF!</definedName>
    <definedName name="ZZ_PRI_GRO_All" localSheetId="8" hidden="0" function="0" vbProcedure="0">#REF!</definedName>
    <definedName name="ZZ_PRI_INC_All" localSheetId="8" hidden="0" function="0" vbProcedure="0">#REF!</definedName>
    <definedName name="ZZ_PRI_INV_All" localSheetId="8" hidden="0" function="0" vbProcedure="0">#REF!</definedName>
    <definedName name="ZZ_PRI_NOP_All" localSheetId="8" hidden="0" function="0" vbProcedure="0">#REF!</definedName>
    <definedName name="ZZ_PRI_OTH_All" localSheetId="8" hidden="0" function="0" vbProcedure="0">#REF!</definedName>
    <definedName name="ZZ_PRI_RET_All" localSheetId="8" hidden="0" function="0" vbProcedure="0">#REF!</definedName>
    <definedName name="ZZ_PRI_SUM_All" localSheetId="8" hidden="0" function="0" vbProcedure="0">#REF!</definedName>
    <definedName name="ZZ_PRI_VAL_0" localSheetId="8" hidden="0" function="0" vbProcedure="0">#REF!</definedName>
    <definedName name="ZZ_PRI_VAL_1" localSheetId="8" hidden="0" function="0" vbProcedure="0">#REF!</definedName>
    <definedName name="ZZ_RET_DuPont1" localSheetId="8" hidden="0" function="0" vbProcedure="0">#REF!</definedName>
    <definedName name="ZZ_RET_DuPont10" localSheetId="8" hidden="0" function="0" vbProcedure="0">#REF!</definedName>
    <definedName name="ZZ_RET_DuPont11" localSheetId="8" hidden="0" function="0" vbProcedure="0">#REF!</definedName>
    <definedName name="ZZ_RET_DuPont12" localSheetId="8" hidden="0" function="0" vbProcedure="0">#REF!</definedName>
    <definedName name="ZZ_RET_DuPont2" localSheetId="8" hidden="0" function="0" vbProcedure="0">#REF!</definedName>
    <definedName name="ZZ_RET_DuPont3" localSheetId="8" hidden="0" function="0" vbProcedure="0">#REF!</definedName>
    <definedName name="ZZ_RET_DuPont4" localSheetId="8" hidden="0" function="0" vbProcedure="0">#REF!</definedName>
    <definedName name="ZZ_RET_DuPont5" localSheetId="8" hidden="0" function="0" vbProcedure="0">#REF!</definedName>
    <definedName name="ZZ_RET_DuPont6" localSheetId="8" hidden="0" function="0" vbProcedure="0">#REF!</definedName>
    <definedName name="ZZ_RET_DuPont7" localSheetId="8" hidden="0" function="0" vbProcedure="0">#REF!</definedName>
    <definedName name="ZZ_RET_DuPont8" localSheetId="8" hidden="0" function="0" vbProcedure="0">#REF!</definedName>
    <definedName name="ZZ_RET_DuPont9" localSheetId="8" hidden="0" function="0" vbProcedure="0">#REF!</definedName>
    <definedName name="ZZ_RET_InternalGrowth" localSheetId="8" hidden="0" function="0" vbProcedure="0">#REF!</definedName>
    <definedName name="ZZ_RET_ROEAfterTax" localSheetId="8" hidden="0" function="0" vbProcedure="0">#REF!</definedName>
    <definedName name="ZZ_RET_ROEPreTax" localSheetId="8" hidden="0" function="0" vbProcedure="0">#REF!</definedName>
    <definedName name="ZZ_RET_Switch1" localSheetId="8" hidden="0" function="0" vbProcedure="0">#REF!</definedName>
    <definedName name="ZZ_RET_TotalAssets" localSheetId="8" hidden="0" function="0" vbProcedure="0">#REF!</definedName>
    <definedName name="ZZ_RET_TotalCapital" localSheetId="8" hidden="0" function="0" vbProcedure="0">#REF!</definedName>
    <definedName name="ZZ_RET_TotalEquity" localSheetId="8" hidden="0" function="0" vbProcedure="0">#REF!</definedName>
    <definedName name="ZZ_RET_TotalOperatingInvestedCapital" localSheetId="8" hidden="0" function="0" vbProcedure="0">#REF!</definedName>
    <definedName name="ZZ_SUM_AdjBVPS" localSheetId="8" hidden="0" function="0" vbProcedure="0">#REF!</definedName>
    <definedName name="ZZ_SUM_BegOperatingCapital" localSheetId="8" hidden="0" function="0" vbProcedure="0">#REF!</definedName>
    <definedName name="ZZ_SUM_CapitalCharge" localSheetId="8" hidden="0" function="0" vbProcedure="0">#REF!</definedName>
    <definedName name="ZZ_SUM_ChangeInEVA" localSheetId="8" hidden="0" function="0" vbProcedure="0">#REF!</definedName>
    <definedName name="ZZ_SUM_ChangeInMVA" localSheetId="8" hidden="0" function="0" vbProcedure="0">#REF!</definedName>
    <definedName name="ZZ_SUM_EVA" localSheetId="8" hidden="0" function="0" vbProcedure="0">#REF!</definedName>
    <definedName name="ZZ_SUM_EVASpread" localSheetId="8" hidden="0" function="0" vbProcedure="0">#REF!</definedName>
    <definedName name="ZZ_SUM_MVA" localSheetId="8" hidden="0" function="0" vbProcedure="0">#REF!</definedName>
    <definedName name="ZZ_SUM_MVAPS" localSheetId="8" hidden="0" function="0" vbProcedure="0">#REF!</definedName>
    <definedName name="ZZ_SUM_OperatingGrowth" localSheetId="8" hidden="0" function="0" vbProcedure="0">#REF!</definedName>
    <definedName name="ZZ_SUM_ReturnOnCapital" localSheetId="8" hidden="0" function="0" vbProcedure="0">#REF!</definedName>
    <definedName name="ZZ_SUM_TotalCapital" localSheetId="8" hidden="0" function="0" vbProcedure="0">#REF!</definedName>
    <definedName name="ZZ_SYS_AnalystName" localSheetId="8" hidden="0" function="0" vbProcedure="0">#REF!</definedName>
    <definedName name="ZZ_SYS_AutomaticData" localSheetId="8" hidden="0" function="0" vbProcedure="0">#REF!</definedName>
    <definedName name="ZZ_SYS_AvailableToForeigners" localSheetId="8" hidden="0" function="0" vbProcedure="0">#REF!</definedName>
    <definedName name="ZZ_SYS_Beta" localSheetId="8" hidden="0" function="0" vbProcedure="0">#REF!</definedName>
    <definedName name="ZZ_SYS_CodeBloomberg" localSheetId="8" hidden="0" function="0" vbProcedure="0">#REF!</definedName>
    <definedName name="ZZ_SYS_CodeDatastream" localSheetId="8" hidden="0" function="0" vbProcedure="0">#REF!</definedName>
    <definedName name="ZZ_SYS_CodeFileName" localSheetId="8" hidden="0" function="0" vbProcedure="0">#REF!</definedName>
    <definedName name="ZZ_SYS_CodeFilePath" localSheetId="8" hidden="0" function="0" vbProcedure="0">#REF!</definedName>
    <definedName name="ZZ_SYS_CodeFilePathTemp" localSheetId="8" hidden="0" function="0" vbProcedure="0">#REF!</definedName>
    <definedName name="ZZ_SYS_CodeLocal" localSheetId="8" hidden="0" function="0" vbProcedure="0">#REF!</definedName>
    <definedName name="ZZ_SYS_CodeReuters" localSheetId="8" hidden="0" function="0" vbProcedure="0">#REF!</definedName>
    <definedName name="ZZ_SYS_CompanyName" localSheetId="8" hidden="0" function="0" vbProcedure="0">#REF!</definedName>
    <definedName name="ZZ_SYS_CostOfDebt" localSheetId="8" hidden="0" function="0" vbProcedure="0">#REF!</definedName>
    <definedName name="ZZ_SYS_Country" localSheetId="8" hidden="0" function="0" vbProcedure="0">#REF!</definedName>
    <definedName name="ZZ_SYS_Currency" localSheetId="8" hidden="0" function="0" vbProcedure="0">#REF!</definedName>
    <definedName name="ZZ_SYS_CurrencyManual" localSheetId="8" hidden="0" function="0" vbProcedure="0">#REF!</definedName>
    <definedName name="ZZ_SYS_CurrentDateManual" localSheetId="8" hidden="0" function="0" vbProcedure="0">#REF!</definedName>
    <definedName name="ZZ_SYS_CurrentFreeFloatLocalManual" localSheetId="8" hidden="0" function="0" vbProcedure="0">#REF!</definedName>
    <definedName name="ZZ_SYS_CurrentMarketCapIssuedForeignManual" localSheetId="8" hidden="0" function="0" vbProcedure="0">#REF!</definedName>
    <definedName name="ZZ_SYS_CurrentMarketCapIssuedLocalAuto" localSheetId="8" hidden="0" function="0" vbProcedure="0">#REF!</definedName>
    <definedName name="ZZ_SYS_CurrentMarketCapIssuedLocalManual" localSheetId="8" hidden="0" function="0" vbProcedure="0">#REF!</definedName>
    <definedName name="ZZ_SYS_CurrentMonthNo" localSheetId="8" hidden="0" function="0" vbProcedure="0">#REF!</definedName>
    <definedName name="ZZ_SYS_CurrentPriceForeignAuto" localSheetId="8" hidden="0" function="0" vbProcedure="0">#REF!</definedName>
    <definedName name="ZZ_SYS_CurrentPriceForeignManual" localSheetId="8" hidden="0" function="0" vbProcedure="0">#REF!</definedName>
    <definedName name="ZZ_SYS_CurrentPriceLocalAuto" localSheetId="8" hidden="0" function="0" vbProcedure="0">#REF!</definedName>
    <definedName name="ZZ_SYS_CurrentPriceLocalManual" localSheetId="8" hidden="0" function="0" vbProcedure="0">#REF!</definedName>
    <definedName name="ZZ_SYS_CurrentSharesFreeFloatLocalManual" localSheetId="8" hidden="0" function="0" vbProcedure="0">#REF!</definedName>
    <definedName name="ZZ_SYS_CurrentSharesIssuedLocalAuto" localSheetId="8" hidden="0" function="0" vbProcedure="0">#REF!</definedName>
    <definedName name="ZZ_SYS_CurrentSharesIssuedLocalManual" localSheetId="8" hidden="0" function="0" vbProcedure="0">#REF!</definedName>
    <definedName name="ZZ_SYS_CurrentYearEnd" localSheetId="8" hidden="0" function="0" vbProcedure="0">#REF!</definedName>
    <definedName name="ZZ_SYS_Customize" localSheetId="8" hidden="0" function="0" vbProcedure="0">#REF!</definedName>
    <definedName name="ZZ_SYS_CustomPassword" localSheetId="8" hidden="0" function="0" vbProcedure="0">#REF!</definedName>
    <definedName name="ZZ_SYS_DecimalPlacesChoices" localSheetId="8" hidden="0" function="0" vbProcedure="0">#REF!</definedName>
    <definedName name="ZZ_SYS_DecimalPlacesMainIndex" localSheetId="8" hidden="0" function="0" vbProcedure="0">#REF!</definedName>
    <definedName name="ZZ_SYS_DecimalPlacesMultiplesIndex" localSheetId="8" hidden="0" function="0" vbProcedure="0">#REF!</definedName>
    <definedName name="ZZ_SYS_DecimalPlacesOtherIndex" localSheetId="8" hidden="0" function="0" vbProcedure="0">#REF!</definedName>
    <definedName name="ZZ_SYS_DecimalPlacesPercentIndex" localSheetId="8" hidden="0" function="0" vbProcedure="0">#REF!</definedName>
    <definedName name="ZZ_SYS_DecimalPlacesPriceIndex" localSheetId="8" hidden="0" function="0" vbProcedure="0">#REF!</definedName>
    <definedName name="ZZ_SYS_EquityRiskPremium" localSheetId="8" hidden="0" function="0" vbProcedure="0">#REF!</definedName>
    <definedName name="ZZ_SYS_Error1" localSheetId="8" hidden="0" function="0" vbProcedure="0">#REF!</definedName>
    <definedName name="ZZ_SYS_ExcludeMidYearAdj" localSheetId="8" hidden="0" function="0" vbProcedure="0">#REF!</definedName>
    <definedName name="ZZ_SYS_ExcludeTerminalValues" localSheetId="8" hidden="0" function="0" vbProcedure="0">#REF!</definedName>
    <definedName name="ZZ_SYS_ExpiryDate" localSheetId="8" hidden="0" function="0" vbProcedure="0">#REF!</definedName>
    <definedName name="ZZ_SYS_ExpiryStatus" localSheetId="8" hidden="0" function="0" vbProcedure="0">#REF!</definedName>
    <definedName name="ZZ_SYS_HideLicenseAgreement" localSheetId="8" hidden="0" function="0" vbProcedure="0">#REF!</definedName>
    <definedName name="ZZ_SYS_Installed" localSheetId="8" hidden="0" function="0" vbProcedure="0">#REF!</definedName>
    <definedName name="ZZ_SYS_InstalledBy" localSheetId="8" hidden="0" function="0" vbProcedure="0">#REF!</definedName>
    <definedName name="ZZ_SYS_InstalledDate" localSheetId="8" hidden="0" function="0" vbProcedure="0">#REF!</definedName>
    <definedName name="ZZ_SYS_LatestModelUpdate" localSheetId="8" hidden="0" function="0" vbProcedure="0">#REF!</definedName>
    <definedName name="ZZ_SYS_LatestModelUpdateAuto" localSheetId="8" hidden="0" function="0" vbProcedure="0">#REF!</definedName>
    <definedName name="ZZ_SYS_LatestModelUpdateManual" localSheetId="8" hidden="0" function="0" vbProcedure="0">#REF!</definedName>
    <definedName name="ZZ_SYS_LatestPriceUpdate" localSheetId="8" hidden="0" function="0" vbProcedure="0">#REF!</definedName>
    <definedName name="ZZ_SYS_LatestPriceUpdateAuto" localSheetId="8" hidden="0" function="0" vbProcedure="0">#REF!</definedName>
    <definedName name="ZZ_SYS_LatestPriceUpdateManual" localSheetId="8" hidden="0" function="0" vbProcedure="0">#REF!</definedName>
    <definedName name="ZZ_SYS_LocalCodeName" localSheetId="8" hidden="0" function="0" vbProcedure="0">#REF!</definedName>
    <definedName name="ZZ_SYS_MarketCapIssued" localSheetId="8" hidden="0" function="0" vbProcedure="0">#REF!</definedName>
    <definedName name="ZZ_SYS_MarketCode" localSheetId="8" hidden="0" function="0" vbProcedure="0">#REF!</definedName>
    <definedName name="ZZ_SYS_MarketCodeUsed" localSheetId="8" hidden="0" function="0" vbProcedure="0">#REF!</definedName>
    <definedName name="ZZ_SYS_MarketEPSGrowth" localSheetId="8" hidden="0" function="0" vbProcedure="0">#REF!</definedName>
    <definedName name="ZZ_SYS_MarketID" localSheetId="8" hidden="0" function="0" vbProcedure="0">#REF!</definedName>
    <definedName name="ZZ_SYS_MarketIDUsed" localSheetId="8" hidden="0" function="0" vbProcedure="0">#REF!</definedName>
    <definedName name="ZZ_SYS_MarketName" localSheetId="8" hidden="0" function="0" vbProcedure="0">#REF!</definedName>
    <definedName name="ZZ_SYS_MarketNameUsed" localSheetId="8" hidden="0" function="0" vbProcedure="0">#REF!</definedName>
    <definedName name="ZZ_SYS_MarketPE" localSheetId="8" hidden="0" function="0" vbProcedure="0">#REF!</definedName>
    <definedName name="ZZ_SYS_ModelID" localSheetId="8" hidden="0" function="0" vbProcedure="0">#REF!</definedName>
    <definedName name="ZZ_SYS_ModelType" localSheetId="8" hidden="0" function="0" vbProcedure="0">#REF!</definedName>
    <definedName name="ZZ_SYS_PRI_Activity" localSheetId="8" hidden="0" function="0" vbProcedure="0">#REF!</definedName>
    <definedName name="ZZ_SYS_PRI_BAL_All" localSheetId="8" hidden="0" function="0" vbProcedure="0">#REF!</definedName>
    <definedName name="ZZ_SYS_PRI_CAS_All" localSheetId="8" hidden="0" function="0" vbProcedure="0">#REF!</definedName>
    <definedName name="ZZ_SYS_PRI_COM_All" localSheetId="8" hidden="0" function="0" vbProcedure="0">#REF!</definedName>
    <definedName name="ZZ_SYS_PRI_COS_All" localSheetId="8" hidden="0" function="0" vbProcedure="0">#REF!</definedName>
    <definedName name="ZZ_SYS_PRI_DCF_All" localSheetId="8" hidden="0" function="0" vbProcedure="0">#REF!</definedName>
    <definedName name="ZZ_SYS_PRI_EPS_All" localSheetId="8" hidden="0" function="0" vbProcedure="0">#REF!</definedName>
    <definedName name="ZZ_SYS_PRI_Favourites" localSheetId="8" hidden="0" function="0" vbProcedure="0">#REF!</definedName>
    <definedName name="ZZ_SYS_PRI_FRE_All" localSheetId="8" hidden="0" function="0" vbProcedure="0">#REF!</definedName>
    <definedName name="ZZ_SYS_PRI_GRO_All" localSheetId="8" hidden="0" function="0" vbProcedure="0">#REF!</definedName>
    <definedName name="ZZ_SYS_PRI_INC_All" localSheetId="8" hidden="0" function="0" vbProcedure="0">#REF!</definedName>
    <definedName name="ZZ_SYS_PRI_INV_All" localSheetId="8" hidden="0" function="0" vbProcedure="0">#REF!</definedName>
    <definedName name="ZZ_SYS_PRI_NOP_All" localSheetId="8" hidden="0" function="0" vbProcedure="0">#REF!</definedName>
    <definedName name="ZZ_SYS_PRI_OTH_All" localSheetId="8" hidden="0" function="0" vbProcedure="0">#REF!</definedName>
    <definedName name="ZZ_SYS_PRI_RangeNames" localSheetId="8" hidden="0" function="0" vbProcedure="0">#REF!</definedName>
    <definedName name="ZZ_SYS_PRI_RangeTitles" localSheetId="8" hidden="0" function="0" vbProcedure="0">#REF!</definedName>
    <definedName name="ZZ_SYS_PRI_RET_All" localSheetId="8" hidden="0" function="0" vbProcedure="0">#REF!</definedName>
    <definedName name="ZZ_SYS_PRI_SUM_All" localSheetId="8" hidden="0" function="0" vbProcedure="0">#REF!</definedName>
    <definedName name="ZZ_SYS_PRI_VAL0" localSheetId="8" hidden="0" function="0" vbProcedure="0">#REF!</definedName>
    <definedName name="ZZ_SYS_PRI_VAL1" localSheetId="8" hidden="0" function="0" vbProcedure="0">#REF!</definedName>
    <definedName name="ZZ_SYS_Recommendation" localSheetId="8" hidden="0" function="0" vbProcedure="0">#REF!</definedName>
    <definedName name="ZZ_SYS_RecommendationDate" localSheetId="8" hidden="0" function="0" vbProcedure="0">#REF!</definedName>
    <definedName name="ZZ_SYS_RiskFreeRate" localSheetId="8" hidden="0" function="0" vbProcedure="0">#REF!</definedName>
    <definedName name="ZZ_SYS_Rounding" localSheetId="8" hidden="0" function="0" vbProcedure="0">#REF!</definedName>
    <definedName name="ZZ_SYS_RoundingIndex" localSheetId="8" hidden="0" function="0" vbProcedure="0">#REF!</definedName>
    <definedName name="ZZ_SYS_SectionName01" localSheetId="8" hidden="0" function="0" vbProcedure="0">#REF!</definedName>
    <definedName name="ZZ_SYS_SectionName02" localSheetId="8" hidden="0" function="0" vbProcedure="0">#REF!</definedName>
    <definedName name="ZZ_SYS_SectionName03" localSheetId="8" hidden="0" function="0" vbProcedure="0">#REF!</definedName>
    <definedName name="ZZ_SYS_SectionName04" localSheetId="8" hidden="0" function="0" vbProcedure="0">#REF!</definedName>
    <definedName name="ZZ_SYS_SectionName05" localSheetId="8" hidden="0" function="0" vbProcedure="0">#REF!</definedName>
    <definedName name="ZZ_SYS_SectionName06" localSheetId="8" hidden="0" function="0" vbProcedure="0">#REF!</definedName>
    <definedName name="ZZ_SYS_SectionName07" localSheetId="8" hidden="0" function="0" vbProcedure="0">#REF!</definedName>
    <definedName name="ZZ_SYS_SectionName08" localSheetId="8" hidden="0" function="0" vbProcedure="0">#REF!</definedName>
    <definedName name="ZZ_SYS_SectionName09" localSheetId="8" hidden="0" function="0" vbProcedure="0">#REF!</definedName>
    <definedName name="ZZ_SYS_SectionName10" localSheetId="8" hidden="0" function="0" vbProcedure="0">#REF!</definedName>
    <definedName name="ZZ_SYS_SectionName11" localSheetId="8" hidden="0" function="0" vbProcedure="0">#REF!</definedName>
    <definedName name="ZZ_SYS_SectionName12" localSheetId="8" hidden="0" function="0" vbProcedure="0">#REF!</definedName>
    <definedName name="ZZ_SYS_SectionName13" localSheetId="8" hidden="0" function="0" vbProcedure="0">#REF!</definedName>
    <definedName name="ZZ_SYS_SectionName14" localSheetId="8" hidden="0" function="0" vbProcedure="0">#REF!</definedName>
    <definedName name="ZZ_SYS_SectionName15" localSheetId="8" hidden="0" function="0" vbProcedure="0">#REF!</definedName>
    <definedName name="ZZ_SYS_SectionName16" localSheetId="8" hidden="0" function="0" vbProcedure="0">#REF!</definedName>
    <definedName name="ZZ_SYS_SectorCode" localSheetId="8" hidden="0" function="0" vbProcedure="0">#REF!</definedName>
    <definedName name="ZZ_SYS_SectorCodeUsed" localSheetId="8" hidden="0" function="0" vbProcedure="0">#REF!</definedName>
    <definedName name="ZZ_SYS_SectorID" localSheetId="8" hidden="0" function="0" vbProcedure="0">#REF!</definedName>
    <definedName name="ZZ_SYS_SectorIDUsed" localSheetId="8" hidden="0" function="0" vbProcedure="0">#REF!</definedName>
    <definedName name="ZZ_SYS_SectorName" localSheetId="8" hidden="0" function="0" vbProcedure="0">#REF!</definedName>
    <definedName name="ZZ_SYS_SectorNameUsed" localSheetId="8" hidden="0" function="0" vbProcedure="0">#REF!</definedName>
    <definedName name="ZZ_SYS_SharePrice" localSheetId="8" hidden="0" function="0" vbProcedure="0">#REF!</definedName>
    <definedName name="ZZ_SYS_SharesIssued" localSheetId="8" hidden="0" function="0" vbProcedure="0">#REF!</definedName>
    <definedName name="ZZ_SYS_SheetNames" localSheetId="8" hidden="0" function="0" vbProcedure="0">#REF!</definedName>
    <definedName name="ZZ_SYS_ShowPercents" localSheetId="8" hidden="0" function="0" vbProcedure="0">#REF!</definedName>
    <definedName name="ZZ_SYS_ShowXs" localSheetId="8" hidden="0" function="0" vbProcedure="0">#REF!</definedName>
    <definedName name="ZZ_SYS_Units" localSheetId="8" hidden="0" function="0" vbProcedure="0">#REF!</definedName>
    <definedName name="ZZ_SYS_UnitsManual" localSheetId="8" hidden="0" function="0" vbProcedure="0">#REF!</definedName>
    <definedName name="ZZ_SYS_UseCalculationHandling" localSheetId="8" hidden="0" function="0" vbProcedure="0">#REF!</definedName>
    <definedName name="ZZ_SYS_UseForeignPrice" localSheetId="8" hidden="0" function="0" vbProcedure="0">#REF!</definedName>
    <definedName name="ZZ_SYS_UsePrintRangeHandling" localSheetId="8" hidden="0" function="0" vbProcedure="0">#REF!</definedName>
    <definedName name="ZZ_SYS_UserMode" localSheetId="8" hidden="0" function="0" vbProcedure="0">#REF!</definedName>
    <definedName name="ZZ_SYS_UseTaxDeductibleGoodwillAmort" localSheetId="8" hidden="0" function="0" vbProcedure="0">#REF!</definedName>
    <definedName name="ZZ_SYS_VersionDate" localSheetId="8" hidden="0" function="0" vbProcedure="0">#REF!</definedName>
    <definedName name="ZZ_SYS_VersionNo" localSheetId="8" hidden="0" function="0" vbProcedure="0">#REF!</definedName>
    <definedName name="ZZ_SYS_YearCodeForecast" localSheetId="8" hidden="0" function="0" vbProcedure="0">#REF!</definedName>
    <definedName name="ZZ_SYS_YearCodeHistoric" localSheetId="8" hidden="0" function="0" vbProcedure="0">#REF!</definedName>
    <definedName name="ZZ_VAL_DDM_DiscountedDividends" localSheetId="8" hidden="0" function="0" vbProcedure="0">#REF!</definedName>
    <definedName name="ZZ_VAL_DDM_DiscountFactor" localSheetId="8" hidden="0" function="0" vbProcedure="0">#REF!</definedName>
    <definedName name="ZZ_VAL_DDM_DiscountRate" localSheetId="8" hidden="0" function="0" vbProcedure="0">#REF!</definedName>
    <definedName name="ZZ_VAL_DDM_DiscountRateManual" localSheetId="8" hidden="0" function="0" vbProcedure="0">#REF!</definedName>
    <definedName name="ZZ_VAL_DDM_Dividends" localSheetId="8" hidden="0" function="0" vbProcedure="0">#REF!</definedName>
    <definedName name="ZZ_VAL_DDM_DividendsManual" localSheetId="8" hidden="0" function="0" vbProcedure="0">#REF!</definedName>
    <definedName name="ZZ_VAL_DDM_ImpliedEquityValue" localSheetId="8" hidden="0" function="0" vbProcedure="0">#REF!</definedName>
    <definedName name="ZZ_VAL_DDM_ImpliedEquityValuePerShare" localSheetId="8" hidden="0" function="0" vbProcedure="0">#REF!</definedName>
    <definedName name="ZZ_VAL_DDM_LTGrowthRate" localSheetId="8" hidden="0" function="0" vbProcedure="0">#REF!</definedName>
    <definedName name="ZZ_VAL_DDM_LTGrowthRateManual" localSheetId="8" hidden="0" function="0" vbProcedure="0">#REF!</definedName>
    <definedName name="ZZ_VAL_DDM_TotalValue" localSheetId="8" hidden="0" function="0" vbProcedure="0">#REF!</definedName>
    <definedName name="ZZ_VAL_ENT_AdjToEquityValue" localSheetId="8" hidden="0" function="0" vbProcedure="0">#REF!</definedName>
    <definedName name="ZZ_VAL_ENT_EBITDA" localSheetId="8" hidden="0" function="0" vbProcedure="0">#REF!</definedName>
    <definedName name="ZZ_VAL_ENT_EnterpriseValue" localSheetId="8" hidden="0" function="0" vbProcedure="0">#REF!</definedName>
    <definedName name="ZZ_VAL_ENT_EquityValue" localSheetId="8" hidden="0" function="0" vbProcedure="0">#REF!</definedName>
    <definedName name="ZZ_VAL_IRR_FreeCashFlow" localSheetId="8" hidden="0" function="0" vbProcedure="0">#REF!</definedName>
    <definedName name="ZZ_VAL_IRR_FreeCashFlowManual" localSheetId="8" hidden="0" function="0" vbProcedure="0">#REF!</definedName>
    <definedName name="ZZ_VAL_PER_MarketCapActual" localSheetId="8" hidden="0" function="0" vbProcedure="0">#REF!</definedName>
    <definedName name="ZZ_VAL_PER_NetIncome" localSheetId="8" hidden="0" function="0" vbProcedure="0">#REF!</definedName>
    <definedName name="ZZ_VAL_PER_PEMultiple" localSheetId="8" hidden="0" function="0" vbProcedure="0">#REF!</definedName>
    <definedName name="ZZ_VAL_PER_PriceActual" localSheetId="8" hidden="0" function="0" vbProcedure="0">#REF!</definedName>
    <definedName name="\agro" localSheetId="8" hidden="0" function="0" vbProcedure="0">[1]Summary!$A$1</definedName>
    <definedName name="\agro2" localSheetId="8" hidden="0" function="0" vbProcedure="0">[1]Summary!$A$1</definedName>
    <definedName name="\B" localSheetId="8" hidden="0" function="0" vbProcedure="0">[2]Pulses!$A$1</definedName>
    <definedName name="\D" localSheetId="8" hidden="0" function="0" vbProcedure="0">[2]Pulses!$A$1</definedName>
    <definedName name="\P" localSheetId="8" hidden="0" function="0" vbProcedure="0">[2]Pulses!$A$1</definedName>
    <definedName name="\S" localSheetId="8" hidden="0" function="0" vbProcedure="0">[2]Pulses!$IK$1</definedName>
    <definedName name="_2_" localSheetId="8" hidden="0" function="0" vbProcedure="0">[4]Sheet2!$A$1</definedName>
    <definedName name="_5_0RMconsu" localSheetId="8" hidden="0" function="0" vbProcedure="0">[5]Old!$A$1</definedName>
    <definedName name="_B" localSheetId="8" hidden="0" function="0" vbProcedure="0">[6]Pulses!$A$1</definedName>
    <definedName name="_B___0" localSheetId="8" hidden="0" function="0" vbProcedure="0">[6]Pulses!$A$1</definedName>
    <definedName name="_B___6" localSheetId="8" hidden="0" function="0" vbProcedure="0">[7]Pulses!$A$1</definedName>
    <definedName name="_D" localSheetId="8" hidden="0" function="0" vbProcedure="0">[6]Pulses!$AR$1</definedName>
    <definedName name="_day1" localSheetId="8" hidden="0" function="0" vbProcedure="0">#REF!</definedName>
    <definedName name="_day2" localSheetId="8" hidden="0" function="0" vbProcedure="0">#REF!</definedName>
    <definedName name="_day3" localSheetId="8" hidden="0" function="0" vbProcedure="0">#REF!</definedName>
    <definedName name="_D___0" localSheetId="8" hidden="0" function="0" vbProcedure="0">[6]Pulses!$A$1</definedName>
    <definedName name="_D___6" localSheetId="8" hidden="0" function="0" vbProcedure="0">[7]Pulses!$A$1</definedName>
    <definedName name="_P" localSheetId="8" hidden="0" function="0" vbProcedure="0">[6]Pulses!$J$1</definedName>
    <definedName name="_P___0" localSheetId="8" hidden="0" function="0" vbProcedure="0">[6]Pulses!$A$2</definedName>
    <definedName name="_P___6" localSheetId="8" hidden="0" function="0" vbProcedure="0">[7]Pulses!$A$1</definedName>
    <definedName name="_Regression_Out" localSheetId="8" hidden="0" function="0" vbProcedure="0">[9]Internet!$A$1</definedName>
    <definedName name="_S" localSheetId="8" hidden="0" function="0" vbProcedure="0">[6]Pulses!$A$1</definedName>
    <definedName name="_S___0" localSheetId="8" hidden="0" function="0" vbProcedure="0">[6]Pulses!$A$1</definedName>
    <definedName name="_S___6" localSheetId="8" hidden="0" function="0" vbProcedure="0">[7]Pulses!$A$1</definedName>
    <definedName name="__123Graph_A" localSheetId="8" hidden="0" function="0" vbProcedure="0">[3]MSI9920B!$A$1</definedName>
    <definedName name="__123Graph_B" localSheetId="8" hidden="0" function="0" vbProcedure="0">[3]MSI9920B!$A$1</definedName>
    <definedName name="__123Graph_C" localSheetId="8" hidden="0" function="0" vbProcedure="0">[3]MSI9920B!$A$1</definedName>
    <definedName name="__123Graph_D" localSheetId="8" hidden="0" function="0" vbProcedure="0">[3]MSI9920B!$A$1</definedName>
    <definedName name="__123Graph_E" localSheetId="8" hidden="0" function="0" vbProcedure="0">[3]MSI9920B!$A$1</definedName>
    <definedName name="__123Graph_X" localSheetId="8" hidden="0" function="0" vbProcedure="0">[3]MSI9920B!$A$1</definedName>
  </definedNames>
  <calcPr calcId="124519" fullCalcOnLoad="1" refMode="A1" iterate="0" iterateCount="100" iterateDelta="0.001"/>
</workbook>
</file>

<file path=xl/styles.xml><?xml version="1.0" encoding="utf-8"?>
<styleSheet xmlns="http://schemas.openxmlformats.org/spreadsheetml/2006/main">
  <numFmts count="36">
    <numFmt numFmtId="164" formatCode="_(* #,##0_);_(* \(#,##0\);_(* \-??_);_(@_)"/>
    <numFmt numFmtId="165" formatCode="\$#,##0.00_);&quot;($&quot;#,##0.00\)"/>
    <numFmt numFmtId="166" formatCode="_(* #,##0.0_);_(* \(#,##0.0\);_(* \-??_);_(@_)"/>
    <numFmt numFmtId="167" formatCode="[$-409]d\-mmm;@"/>
    <numFmt numFmtId="168" formatCode="#,##0.0;\(#,##0.0\)"/>
    <numFmt numFmtId="169" formatCode="#,##0.00;\(#,##0.00\)"/>
    <numFmt numFmtId="170" formatCode="0.0000%"/>
    <numFmt numFmtId="171" formatCode="[$-409]mmm\-yy"/>
    <numFmt numFmtId="172" formatCode="[$-809]dd\ mmmm\ yyyy;@"/>
    <numFmt numFmtId="173" formatCode="0.0"/>
    <numFmt numFmtId="174" formatCode="_ [$रु-439]\ * #,##0.00_ ;_ [$रु-439]\ * \-#,##0.00_ ;_ [$रु-439]\ * \-??_ ;_ @_ "/>
    <numFmt numFmtId="175" formatCode="0.0%"/>
    <numFmt numFmtId="176" formatCode="_(* #,##0.00_);_(* \(#,##0.00\);_(* \-??_);_(@_)"/>
    <numFmt numFmtId="177" formatCode="0.000%"/>
    <numFmt numFmtId="178" formatCode="[$-409]#,##0.00_);\(#,##0.00\)"/>
    <numFmt numFmtId="179" formatCode="0.000"/>
    <numFmt numFmtId="180" formatCode="0.00_)"/>
    <numFmt numFmtId="181" formatCode="_(* #,##0_);_(* \(#,##0\);_(* &quot;&quot;_);_(@_)"/>
    <numFmt numFmtId="182" formatCode="0.00_);\(0.00\);0.00"/>
    <numFmt numFmtId="183" formatCode="d/mmm/yy"/>
    <numFmt numFmtId="184" formatCode="_([$€-2]* #,##0.00_);_([$€-2]* \(#,##0.00\);_([$€-2]* \-??_)"/>
    <numFmt numFmtId="185" formatCode="#,##0.0000\ ;\(#,##0.0000\)"/>
    <numFmt numFmtId="186" formatCode="[$-409]#,##0_);\(#,##0\)"/>
    <numFmt numFmtId="187" formatCode="General_)"/>
    <numFmt numFmtId="188" formatCode="#,##0.0_);\(#,##0.0\)"/>
    <numFmt numFmtId="189" formatCode="#,##0_);[MAGENTA]\(#,##0\)"/>
    <numFmt numFmtId="190" formatCode="0.00_);\(0.00\);0.00_)"/>
    <numFmt numFmtId="191" formatCode="[$-409]#,##0.00_);[RED]\(#,##0.00\)"/>
    <numFmt numFmtId="192" formatCode="[$-409]#,##0_);[RED]\(#,##0\)"/>
    <numFmt numFmtId="193" formatCode="0.00\%;\-0.00\%;0.00\%"/>
    <numFmt numFmtId="194" formatCode="0.00;\-0.00;0.00"/>
    <numFmt numFmtId="195" formatCode="0.00\x;\-0.00\x;0.00\x"/>
    <numFmt numFmtId="196" formatCode="##0.00000"/>
    <numFmt numFmtId="197" formatCode="General;\-General;General"/>
    <numFmt numFmtId="198" formatCode="#,##0.000\ ;\(#,##0.000\)"/>
    <numFmt numFmtId="199" formatCode="#,##0.00\ ;\(#,##0.00\)"/>
  </numFmts>
  <fonts count="172">
    <font>
      <name val="Calibri"/>
      <family val="2"/>
      <color rgb="FF000000"/>
      <sz val="11"/>
    </font>
    <font>
      <name val="Arial"/>
      <family val="0"/>
      <sz val="10"/>
    </font>
    <font>
      <name val="Arial"/>
      <family val="0"/>
      <sz val="10"/>
    </font>
    <font>
      <name val="Arial"/>
      <family val="0"/>
      <sz val="10"/>
    </font>
    <font>
      <name val="Arial"/>
      <family val="2"/>
      <sz val="10"/>
    </font>
    <font>
      <name val="Courier New"/>
      <family val="3"/>
      <sz val="10"/>
    </font>
    <font>
      <name val="Arial"/>
      <family val="2"/>
      <b val="1"/>
      <sz val="10"/>
    </font>
    <font>
      <name val="Arial"/>
      <family val="2"/>
      <b val="1"/>
      <sz val="6"/>
    </font>
    <font>
      <name val="Arial"/>
      <family val="2"/>
      <b val="1"/>
      <sz val="8"/>
    </font>
    <font>
      <name val="Arial"/>
      <family val="2"/>
      <i val="1"/>
      <sz val="8"/>
    </font>
    <font>
      <name val="Arial"/>
      <family val="2"/>
      <sz val="8"/>
    </font>
    <font>
      <name val="Times New Roman"/>
      <family val="1"/>
      <color rgb="FF0000FF"/>
      <sz val="8"/>
    </font>
    <font>
      <name val="Times New Roman"/>
      <family val="1"/>
      <color rgb="FF000080"/>
      <sz val="10"/>
    </font>
    <font>
      <name val="Arial"/>
      <family val="2"/>
      <sz val="16"/>
    </font>
    <font>
      <name val="MS Sans Serif"/>
      <family val="2"/>
      <sz val="10"/>
    </font>
    <font>
      <name val="MS Sans Serif"/>
      <family val="2"/>
      <sz val="24"/>
    </font>
    <font>
      <name val="Century Schoolbook"/>
      <family val="1"/>
      <color rgb="FF993366"/>
      <sz val="16"/>
    </font>
    <font>
      <name val="Arial"/>
      <family val="0"/>
      <sz val="12"/>
    </font>
    <font>
      <name val="Times New Roman"/>
      <family val="0"/>
      <sz val="12"/>
    </font>
    <font>
      <name val="Times New Roman"/>
      <family val="1"/>
      <sz val="8"/>
    </font>
    <font>
      <name val="Arial"/>
      <family val="2"/>
      <b val="1"/>
      <color rgb="FF0000FF"/>
      <sz val="10"/>
    </font>
    <font>
      <name val="Arial"/>
      <family val="2"/>
      <color rgb="FF008000"/>
      <sz val="10"/>
    </font>
    <font>
      <name val="Times New Roman"/>
      <family val="1"/>
      <color rgb="FFFF00FF"/>
      <sz val="8"/>
    </font>
    <font>
      <name val="Arial"/>
      <family val="2"/>
      <sz val="11"/>
    </font>
    <font>
      <name val="Arial"/>
      <family val="2"/>
      <i val="1"/>
      <sz val="10"/>
    </font>
    <font>
      <name val="Arial"/>
      <family val="2"/>
      <sz val="9"/>
    </font>
    <font>
      <name val="MS Sans Serif"/>
      <family val="2"/>
      <b val="1"/>
      <sz val="10"/>
    </font>
    <font>
      <name val="Arial"/>
      <family val="0"/>
      <b val="1"/>
      <sz val="14"/>
    </font>
    <font>
      <name val="Times New Roman"/>
      <family val="1"/>
      <sz val="10"/>
    </font>
    <font>
      <name val="Times New Roman"/>
      <family val="1"/>
      <color rgb="FF0000FF"/>
      <sz val="9"/>
    </font>
    <font>
      <name val="Arial"/>
      <family val="0"/>
      <b val="1"/>
      <i val="1"/>
      <sz val="16"/>
    </font>
    <font>
      <name val="Arial"/>
      <family val="2"/>
      <b val="1"/>
      <sz val="9"/>
    </font>
    <font>
      <name val="Arial"/>
      <family val="2"/>
      <i val="1"/>
      <sz val="14"/>
    </font>
    <font>
      <name val="Arial"/>
      <family val="2"/>
      <sz val="12"/>
    </font>
    <font>
      <name val="Arial"/>
      <family val="2"/>
      <i val="1"/>
      <sz val="11"/>
    </font>
    <font>
      <name val="Arial"/>
      <family val="2"/>
      <b val="1"/>
      <color rgb="FF000000"/>
      <sz val="10"/>
    </font>
    <font>
      <name val="Arial"/>
      <family val="2"/>
      <color rgb="FF000000"/>
      <sz val="10"/>
    </font>
    <font>
      <name val="Arial"/>
      <family val="2"/>
      <b val="1"/>
      <color rgb="FF808080"/>
      <sz val="16"/>
    </font>
    <font>
      <name val="MS Sans Serif"/>
      <family val="2"/>
      <color rgb="FF0000FF"/>
      <sz val="10"/>
    </font>
    <font>
      <name val="MS Sans Serif"/>
      <family val="2"/>
      <b val="1"/>
      <sz val="12"/>
    </font>
    <font>
      <name val="Helvetica 45 Light"/>
      <family val="2"/>
      <sz val="10"/>
    </font>
    <font>
      <name val="Symbol"/>
      <charset val="2"/>
      <family val="1"/>
      <b val="1"/>
      <color rgb="FF000080"/>
      <sz val="10"/>
    </font>
    <font>
      <name val="Arial Narrow"/>
      <family val="2"/>
      <b val="1"/>
      <sz val="10"/>
      <u val="single"/>
    </font>
    <font>
      <name val="Arial"/>
      <family val="0"/>
      <color rgb="FFFFFF00"/>
      <sz val="24"/>
    </font>
    <font>
      <name val="Arial"/>
      <family val="0"/>
      <color rgb="FFFFFF00"/>
      <sz val="12"/>
    </font>
    <font>
      <name val="Arial"/>
      <family val="2"/>
      <b val="1"/>
      <color rgb="FF333399"/>
      <sz val="13"/>
    </font>
    <font>
      <name val="Arial"/>
      <family val="0"/>
      <b val="1"/>
      <sz val="12"/>
    </font>
    <font>
      <name val="Wingdings"/>
      <charset val="2"/>
      <family val="0"/>
      <b val="1"/>
      <color rgb="FF000000"/>
      <sz val="8"/>
    </font>
    <font>
      <name val="Wingdings"/>
      <charset val="2"/>
      <family val="0"/>
      <b val="1"/>
      <color rgb="FFFF0000"/>
      <sz val="8"/>
    </font>
    <font>
      <name val="Wingdings"/>
      <charset val="2"/>
      <family val="0"/>
      <b val="1"/>
      <color rgb="FFFFFFFF"/>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Trebuchet MS"/>
      <family val="2"/>
      <b val="1"/>
      <sz val="12"/>
      <u val="single"/>
    </font>
    <font>
      <name val="Trebuchet MS"/>
      <family val="2"/>
      <b val="1"/>
      <sz val="10"/>
    </font>
    <font>
      <name val="Trebuchet MS"/>
      <family val="2"/>
      <sz val="10"/>
    </font>
    <font>
      <name val="Calibri"/>
      <family val="2"/>
      <b val="1"/>
      <color rgb="FF000000"/>
      <sz val="10"/>
    </font>
    <font>
      <name val="Trebuchet MS"/>
      <family val="2"/>
      <b val="1"/>
      <color rgb="FFFFFFFF"/>
      <sz val="10"/>
    </font>
    <font>
      <name val="Calibri"/>
      <family val="2"/>
      <b val="1"/>
      <sz val="10"/>
    </font>
    <font>
      <name val="Trebuchet MS"/>
      <family val="2"/>
      <b val="1"/>
      <sz val="8"/>
    </font>
    <font>
      <name val="Calibri"/>
      <family val="2"/>
      <b val="1"/>
      <sz val="8"/>
    </font>
    <font>
      <name val="Georgia"/>
      <family val="1"/>
      <color rgb="FF000000"/>
      <sz val="11"/>
    </font>
    <font>
      <name val="Calibri"/>
      <family val="2"/>
      <color rgb="FF000000"/>
      <sz val="8"/>
    </font>
    <font>
      <name val="Arial Unicode MS"/>
      <family val="2"/>
      <b val="1"/>
      <color rgb="FF000000"/>
      <sz val="8"/>
    </font>
    <font>
      <name val="Arial Unicode MS"/>
      <family val="2"/>
      <color rgb="FF000000"/>
      <sz val="11"/>
    </font>
    <font>
      <name val="Calibri"/>
      <family val="2"/>
      <b val="1"/>
      <color rgb="FF0000FF"/>
      <sz val="8"/>
    </font>
    <font>
      <name val="Calibri"/>
      <family val="2"/>
      <b val="1"/>
      <sz val="10"/>
      <u val="single"/>
    </font>
    <font>
      <name val="Arial Unicode MS"/>
      <family val="2"/>
      <color rgb="FF000000"/>
      <sz val="8"/>
    </font>
    <font>
      <name val="Calibri"/>
      <family val="2"/>
      <sz val="8"/>
    </font>
    <font>
      <name val="Calibri"/>
      <family val="2"/>
      <b val="1"/>
      <sz val="9"/>
    </font>
    <font>
      <name val="Calibri"/>
      <family val="2"/>
      <b val="1"/>
      <color rgb="FFFFFFFF"/>
      <sz val="8"/>
    </font>
    <font>
      <name val="Arial"/>
      <family val="2"/>
      <color rgb="FF003366"/>
      <sz val="8"/>
    </font>
    <font>
      <name val="Calibri"/>
      <family val="2"/>
      <b val="1"/>
      <color rgb="FF000000"/>
      <sz val="8"/>
    </font>
    <font>
      <name val="Arial"/>
      <family val="2"/>
      <b val="1"/>
      <color rgb="FF003366"/>
      <sz val="8"/>
    </font>
    <font>
      <name val="Calibri"/>
      <family val="2"/>
      <b val="1"/>
      <color rgb="FF000000"/>
      <sz val="11"/>
    </font>
    <font>
      <name val="Calibri"/>
      <family val="2"/>
      <color rgb="FF003366"/>
      <sz val="8"/>
    </font>
    <font>
      <name val="Calibri"/>
      <family val="2"/>
      <b val="1"/>
      <color rgb="FF003366"/>
      <sz val="8"/>
    </font>
    <font>
      <name val="Georgia"/>
      <family val="1"/>
      <color rgb="FF000000"/>
      <sz val="8"/>
    </font>
    <font>
      <name val="Calibri"/>
      <family val="2"/>
      <b val="1"/>
      <color rgb="FFCCFFFF"/>
      <sz val="10"/>
    </font>
    <font>
      <name val="Trebuchet MS"/>
      <family val="2"/>
      <b val="1"/>
      <sz val="16"/>
      <u val="single"/>
    </font>
    <font>
      <name val="Calibri"/>
      <family val="2"/>
      <b val="1"/>
      <sz val="11"/>
    </font>
    <font>
      <name val="Calibri"/>
      <family val="2"/>
      <b val="1"/>
      <sz val="12"/>
    </font>
    <font>
      <name val="Trebuchet MS"/>
      <family val="2"/>
      <b val="1"/>
      <sz val="9"/>
    </font>
    <font>
      <name val="Calibri"/>
      <family val="2"/>
      <sz val="9"/>
    </font>
    <font>
      <name val="Cambria"/>
      <family val="1"/>
      <color rgb="FF000000"/>
      <sz val="8"/>
    </font>
    <font>
      <name val="Arial Unicode MS"/>
      <family val="2"/>
      <color rgb="FF000000"/>
      <sz val="9"/>
    </font>
    <font>
      <name val="Calibri"/>
      <family val="2"/>
      <color rgb="FF0066CC"/>
      <sz val="9"/>
    </font>
    <font>
      <name val="Calibri"/>
      <family val="2"/>
      <color rgb="FF000000"/>
      <sz val="9"/>
    </font>
    <font>
      <name val="Trebuchet MS"/>
      <family val="2"/>
      <b val="1"/>
      <sz val="18"/>
    </font>
    <font>
      <name val="Trebuchet MS"/>
      <family val="2"/>
      <b val="1"/>
      <sz val="16"/>
    </font>
    <font>
      <name val="Trebuchet MS"/>
      <family val="2"/>
      <b val="1"/>
      <sz val="9"/>
      <u val="single"/>
    </font>
    <font>
      <name val="Trebuchet MS"/>
      <family val="2"/>
      <b val="1"/>
      <color rgb="FF000000"/>
      <sz val="9"/>
      <u val="single"/>
    </font>
    <font>
      <name val="Trebuchet MS"/>
      <family val="2"/>
      <b val="1"/>
      <i val="1"/>
      <sz val="9"/>
    </font>
    <font>
      <name val="Trebuchet MS"/>
      <family val="2"/>
      <b val="1"/>
      <color rgb="FF000000"/>
      <sz val="9"/>
    </font>
    <font>
      <name val="Trebuchet MS"/>
      <family val="2"/>
      <sz val="9"/>
    </font>
    <font>
      <name val="Calibri"/>
      <family val="2"/>
      <sz val="11"/>
    </font>
    <font>
      <name val="Arial Unicode MS"/>
      <family val="2"/>
      <b val="1"/>
      <sz val="12"/>
      <u val="single"/>
    </font>
    <font>
      <name val="Calibri"/>
      <family val="2"/>
      <b val="1"/>
      <color rgb="FFFFFFCC"/>
      <sz val="8"/>
    </font>
    <font>
      <name val="Tahoma"/>
      <family val="2"/>
      <b val="1"/>
      <color rgb="FF000000"/>
      <sz val="8"/>
    </font>
    <font>
      <name val="Tahoma"/>
      <family val="2"/>
      <color rgb="FF000000"/>
      <sz val="9"/>
    </font>
    <font>
      <name val="Tahoma"/>
      <family val="2"/>
      <b val="1"/>
      <color rgb="FF000000"/>
      <sz val="9"/>
    </font>
    <font>
      <name val="Trebuchet MS"/>
      <family val="2"/>
      <i val="1"/>
      <sz val="9"/>
    </font>
    <font>
      <name val="Calibri"/>
      <family val="2"/>
      <color rgb="FF000000"/>
      <sz val="10"/>
    </font>
    <font>
      <name val="바탕"/>
      <family val="1"/>
      <b val="1"/>
      <sz val="10"/>
    </font>
    <font>
      <name val="Trebuchet MS"/>
      <family val="2"/>
      <color rgb="FF000000"/>
      <sz val="9"/>
    </font>
    <font>
      <name val="Baskerville Old Face"/>
      <family val="1"/>
      <b val="1"/>
      <sz val="8"/>
      <u val="single"/>
    </font>
    <font>
      <name val="Baskerville Old Face"/>
      <family val="1"/>
      <b val="1"/>
      <sz val="9"/>
    </font>
    <font>
      <name val="Cambria"/>
      <family val="1"/>
      <b val="1"/>
      <sz val="9"/>
    </font>
    <font>
      <name val="Cambria"/>
      <family val="1"/>
      <b val="1"/>
      <color rgb="FF000000"/>
      <sz val="9"/>
    </font>
    <font>
      <name val="Baskerville Old Face"/>
      <family val="1"/>
      <color rgb="FF0000FF"/>
      <sz val="9"/>
    </font>
    <font>
      <name val="Cambria"/>
      <family val="1"/>
      <color rgb="FF0000FF"/>
      <sz val="9"/>
    </font>
    <font>
      <name val="Trebuchet MS"/>
      <family val="2"/>
      <color rgb="FF0000FF"/>
      <sz val="9"/>
    </font>
    <font>
      <name val="Baskerville Old Face"/>
      <family val="1"/>
      <sz val="9"/>
    </font>
    <font>
      <name val="Cambria"/>
      <family val="1"/>
      <sz val="9"/>
    </font>
    <font>
      <name val="Baskerville Old Face"/>
      <family val="1"/>
      <i val="1"/>
      <color rgb="FFFF0000"/>
      <sz val="9"/>
    </font>
    <font>
      <name val="Cambria"/>
      <family val="1"/>
      <i val="1"/>
      <color rgb="FFFF0000"/>
      <sz val="9"/>
    </font>
    <font>
      <name val="Trebuchet MS"/>
      <family val="2"/>
      <b val="1"/>
      <i val="1"/>
      <color rgb="FFFF0000"/>
      <sz val="9"/>
    </font>
    <font>
      <name val="Trebuchet MS"/>
      <family val="2"/>
      <color rgb="FFFF0000"/>
      <sz val="9"/>
    </font>
    <font>
      <name val="Baskerville Old Face"/>
      <family val="1"/>
      <b val="1"/>
      <i val="1"/>
      <sz val="9"/>
    </font>
    <font>
      <name val="Cambria"/>
      <family val="1"/>
      <b val="1"/>
      <i val="1"/>
      <sz val="9"/>
    </font>
    <font>
      <name val="Cambria"/>
      <family val="1"/>
      <i val="1"/>
      <sz val="9"/>
    </font>
    <font>
      <name val="Cambria"/>
      <family val="1"/>
      <b val="1"/>
      <sz val="12"/>
    </font>
    <font>
      <name val="Arial Unicode MS"/>
      <family val="2"/>
      <b val="1"/>
      <sz val="11"/>
    </font>
    <font>
      <name val="Cambria"/>
      <family val="1"/>
      <b val="1"/>
      <color rgb="FF000000"/>
      <sz val="9"/>
      <u val="single"/>
    </font>
    <font>
      <name val="Calibri"/>
      <family val="2"/>
      <b val="1"/>
      <sz val="9"/>
      <u val="single"/>
    </font>
    <font>
      <name val="Arial Unicode MS"/>
      <family val="2"/>
      <b val="1"/>
      <color rgb="FF000000"/>
      <sz val="8"/>
      <vertAlign val="superscript"/>
    </font>
    <font>
      <name val="Times New Roman"/>
      <family val="1"/>
      <b val="1"/>
      <sz val="10"/>
    </font>
    <font>
      <name val="Baskerville Old Face"/>
      <family val="1"/>
      <sz val="8"/>
    </font>
    <font>
      <name val="Cambria"/>
      <family val="1"/>
      <sz val="8"/>
    </font>
    <font>
      <name val="Baskerville Old Face"/>
      <family val="1"/>
      <b val="1"/>
      <sz val="8"/>
    </font>
    <font>
      <name val="Cambria"/>
      <family val="1"/>
      <b val="1"/>
      <sz val="8"/>
    </font>
    <font>
      <name val="Cambria"/>
      <family val="1"/>
      <color rgb="FFFF0000"/>
      <sz val="8"/>
    </font>
    <font>
      <name val="Times New Roman"/>
      <family val="1"/>
      <color rgb="FFFF0000"/>
      <sz val="10"/>
    </font>
    <font>
      <name val="Cambria"/>
      <family val="1"/>
      <b val="1"/>
      <color rgb="FFFF0000"/>
      <sz val="8"/>
    </font>
    <font>
      <name val="Times New Roman"/>
      <family val="1"/>
      <b val="1"/>
      <color rgb="FFFF0000"/>
      <sz val="10"/>
    </font>
    <font>
      <name val="Times New Roman"/>
      <family val="1"/>
      <b val="1"/>
      <i val="1"/>
      <color rgb="FFFF0000"/>
      <sz val="10"/>
    </font>
    <font>
      <name val="Times New Roman"/>
      <family val="1"/>
      <b val="1"/>
      <i val="1"/>
      <sz val="10"/>
    </font>
    <font>
      <name val="Arial Unicode MS"/>
      <family val="2"/>
      <b val="1"/>
      <color rgb="FF008000"/>
      <sz val="14"/>
    </font>
    <font>
      <name val="Calibri"/>
      <family val="2"/>
      <b val="1"/>
      <color rgb="FF000000"/>
      <sz val="9"/>
    </font>
    <font>
      <name val="Calibri"/>
      <family val="2"/>
      <b val="1"/>
      <color rgb="FF000000"/>
      <sz val="11"/>
      <u val="single"/>
    </font>
    <font>
      <name val="Arial Unicode MS"/>
      <family val="2"/>
      <color rgb="FF000000"/>
      <sz val="10"/>
    </font>
    <font>
      <name val="Arial Unicode MS"/>
      <family val="2"/>
      <b val="1"/>
      <color rgb="FF000000"/>
      <sz val="9"/>
    </font>
    <font>
      <name val="Calibri"/>
      <family val="2"/>
      <b val="1"/>
      <color rgb="FF000000"/>
      <sz val="10"/>
      <u val="single"/>
    </font>
    <font>
      <name val="Calibri"/>
      <family val="2"/>
      <b val="1"/>
      <color rgb="FF000000"/>
      <sz val="9"/>
      <u val="single"/>
    </font>
    <font>
      <name val="Calibri"/>
      <family val="2"/>
      <color rgb="FF000000"/>
      <sz val="9"/>
      <u val="single"/>
    </font>
    <font>
      <name val="Tahoma"/>
      <family val="2"/>
      <b val="1"/>
      <color rgb="FF000000"/>
      <sz val="10"/>
    </font>
    <font>
      <name val="Trebuchet MS"/>
      <family val="2"/>
      <b val="1"/>
      <color rgb="FFFF0000"/>
      <sz val="10"/>
      <u val="single"/>
    </font>
    <font>
      <name val="Trebuchet MS"/>
      <family val="2"/>
      <color rgb="FFFFFFFF"/>
      <sz val="10"/>
    </font>
    <font>
      <name val="Trebuchet MS"/>
      <family val="2"/>
      <b val="1"/>
      <i val="1"/>
      <sz val="10"/>
      <u val="single"/>
    </font>
    <font>
      <name val="Baskerville Old Face"/>
      <family val="1"/>
      <b val="1"/>
      <sz val="10"/>
      <u val="single"/>
    </font>
    <font>
      <name val="Trebuchet MS"/>
      <family val="2"/>
      <sz val="8"/>
    </font>
    <font>
      <name val="Trebuchet MS"/>
      <family val="2"/>
      <b val="1"/>
      <sz val="10"/>
      <u val="single"/>
    </font>
    <font>
      <name val="Baskerville Old Face"/>
      <family val="1"/>
      <sz val="10"/>
    </font>
    <font>
      <name val="Trebuchet MS"/>
      <family val="2"/>
      <b val="1"/>
      <color rgb="FFFF0000"/>
      <sz val="10"/>
    </font>
    <font>
      <name val="Trebuchet MS"/>
      <family val="2"/>
      <b val="1"/>
      <i val="1"/>
      <sz val="10"/>
    </font>
    <font>
      <name val="Trebuchet MS"/>
      <family val="2"/>
      <i val="1"/>
      <sz val="10"/>
    </font>
    <font>
      <name val="Trebuchet MS"/>
      <family val="2"/>
      <b val="1"/>
      <i val="1"/>
      <color rgb="FFFF0000"/>
      <sz val="10"/>
    </font>
    <font>
      <name val="Trebuchet MS"/>
      <family val="2"/>
      <color rgb="FFFF0000"/>
      <sz val="10"/>
    </font>
    <font>
      <name val="Tahoma"/>
      <family val="2"/>
      <color rgb="FF000000"/>
      <sz val="8"/>
    </font>
    <font>
      <name val="Arial Unicode MS"/>
      <family val="2"/>
      <b val="1"/>
      <sz val="14"/>
    </font>
    <font>
      <name val="Calibri"/>
      <family val="2"/>
      <color rgb="FFFF0000"/>
      <sz val="8"/>
    </font>
    <font>
      <name val="Calibri"/>
      <family val="2"/>
      <b val="1"/>
      <color rgb="FFFFFFFF"/>
      <sz val="8"/>
      <u val="single"/>
    </font>
    <font>
      <name val="Calibri"/>
      <family val="2"/>
      <b val="1"/>
      <color rgb="FF000000"/>
      <sz val="8"/>
      <u val="single"/>
    </font>
    <font>
      <name val="Calibri"/>
      <family val="2"/>
      <color rgb="FFFFFFFF"/>
      <sz val="8"/>
    </font>
    <font>
      <name val="Cambria"/>
      <family val="1"/>
      <b val="1"/>
      <color rgb="FF000000"/>
      <sz val="11"/>
    </font>
    <font>
      <name val="Calibri"/>
      <family val="2"/>
      <b val="1"/>
      <sz val="11"/>
      <u val="single"/>
    </font>
    <font>
      <name val="Calibri"/>
      <family val="2"/>
      <b val="1"/>
      <color rgb="FF000000"/>
      <sz val="12"/>
    </font>
  </fonts>
  <fills count="20">
    <fill>
      <patternFill/>
    </fill>
    <fill>
      <patternFill patternType="gray125"/>
    </fill>
    <fill>
      <patternFill patternType="solid">
        <fgColor rgb="FFCCFFFF"/>
        <bgColor rgb="FFCCFFFF"/>
      </patternFill>
    </fill>
    <fill>
      <patternFill patternType="solid">
        <fgColor rgb="FFBFBFFF"/>
        <bgColor rgb="FFCCCCFF"/>
      </patternFill>
    </fill>
    <fill>
      <patternFill patternType="solid">
        <fgColor rgb="FF800000"/>
        <bgColor rgb="FF800000"/>
      </patternFill>
    </fill>
    <fill>
      <patternFill patternType="solid">
        <fgColor rgb="FFFFFF00"/>
        <bgColor rgb="FFFFFF00"/>
      </patternFill>
    </fill>
    <fill>
      <patternFill patternType="solid">
        <fgColor rgb="FFC0C0C0"/>
        <bgColor rgb="FFBFBFFF"/>
      </patternFill>
    </fill>
    <fill>
      <patternFill patternType="solid">
        <fgColor rgb="FFCCCCFF"/>
        <bgColor rgb="FFBFBFFF"/>
      </patternFill>
    </fill>
    <fill>
      <patternFill patternType="solid">
        <fgColor rgb="FF30EFEF"/>
        <bgColor rgb="FF33CCCC"/>
      </patternFill>
    </fill>
    <fill>
      <patternFill patternType="solid">
        <fgColor rgb="FF00FFFF"/>
        <bgColor rgb="FF30EFEF"/>
      </patternFill>
    </fill>
    <fill>
      <patternFill patternType="solid">
        <fgColor rgb="FF808080"/>
        <bgColor rgb="FF969696"/>
      </patternFill>
    </fill>
    <fill>
      <patternFill patternType="solid">
        <fgColor rgb="FF969696"/>
        <bgColor rgb="FF808080"/>
      </patternFill>
    </fill>
    <fill>
      <patternFill patternType="solid">
        <fgColor rgb="FF0000FF"/>
        <bgColor rgb="FF0000FF"/>
      </patternFill>
    </fill>
    <fill>
      <patternFill patternType="solid">
        <fgColor rgb="FFFFCC00"/>
        <bgColor rgb="FFFFFF00"/>
      </patternFill>
    </fill>
    <fill>
      <patternFill patternType="solid">
        <fgColor rgb="FFFFFFFF"/>
        <bgColor rgb="FFFFFFCC"/>
      </patternFill>
    </fill>
    <fill>
      <patternFill patternType="solid">
        <fgColor rgb="FF00FF00"/>
        <bgColor rgb="FF33CCCC"/>
      </patternFill>
    </fill>
    <fill>
      <patternFill patternType="solid">
        <fgColor rgb="FF339966"/>
        <bgColor rgb="FF008080"/>
      </patternFill>
    </fill>
    <fill>
      <patternFill patternType="solid">
        <fgColor rgb="FF00CCFF"/>
        <bgColor rgb="FF33CCCC"/>
      </patternFill>
    </fill>
    <fill>
      <patternFill patternType="solid">
        <fgColor rgb="FFFFCC99"/>
        <bgColor rgb="FFC0C0C0"/>
      </patternFill>
    </fill>
    <fill>
      <patternFill patternType="solid">
        <fgColor rgb="FFCCFFCC"/>
        <bgColor rgb="FFCCFFFF"/>
      </patternFill>
    </fill>
  </fills>
  <borders count="137">
    <border>
      <left/>
      <right/>
      <top/>
      <bottom/>
      <diagonal/>
    </border>
    <border>
      <left style="thin">
        <color rgb="FFFFFFFF"/>
      </left>
      <right style="thin">
        <color rgb="FFFFFFFF"/>
      </right>
      <top style="thin">
        <color rgb="FFFFFFFF"/>
      </top>
      <bottom style="thin">
        <color rgb="FFFFFFFF"/>
      </bottom>
      <diagonal/>
    </border>
    <border>
      <left style="double"/>
      <right style="double"/>
      <top style="double"/>
      <bottom style="double"/>
      <diagonal/>
    </border>
    <border>
      <left/>
      <right/>
      <top/>
      <bottom style="medium">
        <color rgb="FF993366"/>
      </bottom>
      <diagonal/>
    </border>
    <border>
      <left style="thin"/>
      <right style="thin"/>
      <top style="thin"/>
      <bottom style="thin"/>
      <diagonal/>
    </border>
    <border>
      <left/>
      <right/>
      <top/>
      <bottom style="medium"/>
      <diagonal/>
    </border>
    <border>
      <left/>
      <right/>
      <top style="medium"/>
      <bottom style="medium"/>
      <diagonal/>
    </border>
    <border>
      <left/>
      <right/>
      <top/>
      <bottom style="thin"/>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style="thin"/>
      <bottom style="thin">
        <color rgb="FF333333"/>
      </bottom>
      <diagonal/>
    </border>
    <border>
      <left/>
      <right/>
      <top style="thin"/>
      <bottom style="thin"/>
      <diagonal/>
    </border>
    <border>
      <left/>
      <right/>
      <top style="thin"/>
      <bottom style="double"/>
      <diagonal/>
    </border>
    <border>
      <left/>
      <right/>
      <top style="thin"/>
      <bottom style="medium"/>
      <diagonal/>
    </border>
    <border>
      <left/>
      <right/>
      <top style="medium"/>
      <bottom/>
      <diagonal/>
    </border>
    <border>
      <left/>
      <right/>
      <top/>
      <bottom style="double"/>
      <diagonal/>
    </border>
    <border>
      <left style="thin"/>
      <right style="thin"/>
      <top/>
      <bottom style="thin"/>
      <diagonal/>
    </border>
    <border>
      <left style="thin"/>
      <right/>
      <top/>
      <bottom style="thin"/>
      <diagonal/>
    </border>
    <border>
      <left/>
      <right style="thin"/>
      <top/>
      <bottom style="thin"/>
      <diagonal/>
    </border>
    <border>
      <left style="thin"/>
      <right/>
      <top style="thin"/>
      <bottom style="thin"/>
      <diagonal/>
    </border>
    <border>
      <left/>
      <right style="thin"/>
      <top style="thin"/>
      <bottom style="thin"/>
      <diagonal/>
    </border>
    <border>
      <left style="thin"/>
      <right/>
      <top style="thin"/>
      <bottom/>
      <diagonal/>
    </border>
    <border>
      <left/>
      <right style="thin"/>
      <top style="thin"/>
      <bottom/>
      <diagonal/>
    </border>
    <border>
      <left style="thin"/>
      <right style="thin"/>
      <top/>
      <bottom/>
      <diagonal/>
    </border>
    <border>
      <left style="thin"/>
      <right style="thin"/>
      <top style="thin"/>
      <bottom/>
      <diagonal/>
    </border>
    <border>
      <left style="thin"/>
      <right style="thin"/>
      <top style="thin"/>
      <bottom style="double"/>
      <diagonal/>
    </border>
    <border>
      <left/>
      <right/>
      <top/>
      <bottom style="medium">
        <color rgb="FF333399"/>
      </bottom>
      <diagonal/>
    </border>
    <border>
      <left style="thin"/>
      <right style="thin"/>
      <top style="double"/>
      <bottom style="thin"/>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style="medium"/>
      <right/>
      <top style="medium"/>
      <bottom/>
      <diagonal/>
    </border>
    <border>
      <left/>
      <right style="medium"/>
      <top style="medium"/>
      <bottom/>
      <diagonal/>
    </border>
    <border>
      <left/>
      <right/>
      <top/>
      <bottom style="medium">
        <color rgb="FF0000FF"/>
      </bottom>
      <diagonal/>
    </border>
    <border>
      <left/>
      <right/>
      <top/>
      <bottom style="medium">
        <color rgb="FF0066CC"/>
      </bottom>
      <diagonal/>
    </border>
    <border>
      <left style="medium">
        <color rgb="FF0066CC"/>
      </left>
      <right style="medium">
        <color rgb="FF0066CC"/>
      </right>
      <top style="medium">
        <color rgb="FF0066CC"/>
      </top>
      <bottom style="medium">
        <color rgb="FF0066CC"/>
      </bottom>
      <diagonal/>
    </border>
    <border>
      <left style="medium">
        <color rgb="FF0066CC"/>
      </left>
      <right style="medium">
        <color rgb="FF0066CC"/>
      </right>
      <top style="medium">
        <color rgb="FF0066CC"/>
      </top>
      <bottom/>
      <diagonal/>
    </border>
    <border>
      <left/>
      <right/>
      <top/>
      <bottom style="medium">
        <color rgb="FF9999FF"/>
      </bottom>
      <diagonal/>
    </border>
    <border>
      <left style="medium"/>
      <right style="thin">
        <color rgb="FF0066CC"/>
      </right>
      <top style="medium"/>
      <bottom style="thin">
        <color rgb="FF0066CC"/>
      </bottom>
      <diagonal/>
    </border>
    <border>
      <left style="thin">
        <color rgb="FF0066CC"/>
      </left>
      <right style="thin">
        <color rgb="FF0066CC"/>
      </right>
      <top style="thin">
        <color rgb="FF0066CC"/>
      </top>
      <bottom style="thin">
        <color rgb="FF0066CC"/>
      </bottom>
      <diagonal/>
    </border>
    <border>
      <left style="thin">
        <color rgb="FF0066CC"/>
      </left>
      <right style="thin">
        <color rgb="FF0066CC"/>
      </right>
      <top style="thin">
        <color rgb="FF0066CC"/>
      </top>
      <bottom/>
      <diagonal/>
    </border>
    <border>
      <left style="thin">
        <color rgb="FF0066CC"/>
      </left>
      <right/>
      <top style="thin">
        <color rgb="FF0066CC"/>
      </top>
      <bottom style="thin">
        <color rgb="FF0066CC"/>
      </bottom>
      <diagonal/>
    </border>
    <border>
      <left style="thin">
        <color rgb="FF0066CC"/>
      </left>
      <right style="thin">
        <color rgb="FF0066CC"/>
      </right>
      <top/>
      <bottom style="thin">
        <color rgb="FF0066CC"/>
      </bottom>
      <diagonal/>
    </border>
    <border>
      <left style="medium">
        <color rgb="FF0066CC"/>
      </left>
      <right style="medium">
        <color rgb="FF0066CC"/>
      </right>
      <top style="medium">
        <color rgb="FF0066CC"/>
      </top>
      <bottom style="thin"/>
      <diagonal/>
    </border>
    <border>
      <left style="medium">
        <color rgb="FF0066CC"/>
      </left>
      <right style="medium">
        <color rgb="FF0066CC"/>
      </right>
      <top style="thin"/>
      <bottom style="thin"/>
      <diagonal/>
    </border>
    <border>
      <left style="medium">
        <color rgb="FF0066CC"/>
      </left>
      <right style="medium">
        <color rgb="FF0066CC"/>
      </right>
      <top/>
      <bottom/>
      <diagonal/>
    </border>
    <border>
      <left style="medium">
        <color rgb="FF0066CC"/>
      </left>
      <right style="medium">
        <color rgb="FF0066CC"/>
      </right>
      <top style="thin"/>
      <bottom style="medium">
        <color rgb="FF0066CC"/>
      </bottom>
      <diagonal/>
    </border>
    <border>
      <left style="medium">
        <color rgb="FF0066CC"/>
      </left>
      <right style="medium">
        <color rgb="FF0066CC"/>
      </right>
      <top/>
      <bottom style="medium">
        <color rgb="FF0066CC"/>
      </bottom>
      <diagonal/>
    </border>
    <border>
      <left style="medium"/>
      <right/>
      <top style="thin"/>
      <bottom style="thin"/>
      <diagonal/>
    </border>
    <border>
      <left style="medium"/>
      <right style="medium"/>
      <top style="medium"/>
      <bottom style="medium"/>
      <diagonal/>
    </border>
    <border>
      <left style="medium"/>
      <right style="thin"/>
      <top style="medium"/>
      <bottom style="thin"/>
      <diagonal/>
    </border>
    <border>
      <left style="thin"/>
      <right style="thin"/>
      <top style="medium"/>
      <bottom style="thin"/>
      <diagonal/>
    </border>
    <border>
      <left style="thin"/>
      <right style="medium"/>
      <top style="medium"/>
      <bottom/>
      <diagonal/>
    </border>
    <border>
      <left style="medium"/>
      <right style="thin"/>
      <top style="thin"/>
      <bottom style="medium"/>
      <diagonal/>
    </border>
    <border>
      <left style="thin"/>
      <right style="thin"/>
      <top style="thin"/>
      <bottom style="medium"/>
      <diagonal/>
    </border>
    <border>
      <left style="thin"/>
      <right/>
      <top style="thin"/>
      <bottom style="medium"/>
      <diagonal/>
    </border>
    <border>
      <left style="medium"/>
      <right style="medium"/>
      <top style="medium"/>
      <bottom/>
      <diagonal/>
    </border>
    <border>
      <left style="medium"/>
      <right/>
      <top style="medium"/>
      <bottom style="medium">
        <color rgb="FF9999FF"/>
      </bottom>
      <diagonal/>
    </border>
    <border>
      <left/>
      <right/>
      <top style="medium"/>
      <bottom style="medium">
        <color rgb="FF9999FF"/>
      </bottom>
      <diagonal/>
    </border>
    <border>
      <left/>
      <right style="medium"/>
      <top style="medium"/>
      <bottom style="medium">
        <color rgb="FF9999FF"/>
      </bottom>
      <diagonal/>
    </border>
    <border>
      <left style="medium"/>
      <right style="medium"/>
      <top style="thin"/>
      <bottom style="thin"/>
      <diagonal/>
    </border>
    <border>
      <left style="medium"/>
      <right/>
      <top/>
      <bottom/>
      <diagonal/>
    </border>
    <border>
      <left/>
      <right style="medium"/>
      <top/>
      <bottom/>
      <diagonal/>
    </border>
    <border>
      <left style="medium"/>
      <right style="medium"/>
      <top/>
      <bottom/>
      <diagonal/>
    </border>
    <border>
      <left style="medium"/>
      <right/>
      <top style="thin"/>
      <bottom/>
      <diagonal/>
    </border>
    <border>
      <left/>
      <right/>
      <top style="thin"/>
      <bottom/>
      <diagonal/>
    </border>
    <border>
      <left/>
      <right style="medium"/>
      <top style="thin"/>
      <bottom/>
      <diagonal/>
    </border>
    <border>
      <left style="medium"/>
      <right style="medium"/>
      <top style="thin"/>
      <bottom/>
      <diagonal/>
    </border>
    <border>
      <left style="medium"/>
      <right style="medium"/>
      <top style="thin"/>
      <bottom style="medium"/>
      <diagonal/>
    </border>
    <border>
      <left style="medium"/>
      <right/>
      <top style="thin"/>
      <bottom style="medium"/>
      <diagonal/>
    </border>
    <border>
      <left/>
      <right style="medium"/>
      <top style="thin"/>
      <bottom style="medium"/>
      <diagonal/>
    </border>
    <border>
      <left style="medium"/>
      <right style="thin"/>
      <top style="medium"/>
      <bottom/>
      <diagonal/>
    </border>
    <border>
      <left style="thin"/>
      <right style="thin"/>
      <top style="medium"/>
      <bottom/>
      <diagonal/>
    </border>
    <border>
      <left style="thin"/>
      <right style="medium"/>
      <top style="medium"/>
      <bottom style="thin"/>
      <diagonal/>
    </border>
    <border>
      <left style="medium"/>
      <right style="thin"/>
      <top/>
      <bottom style="medium"/>
      <diagonal/>
    </border>
    <border>
      <left style="thin"/>
      <right style="thin"/>
      <top/>
      <bottom style="medium"/>
      <diagonal/>
    </border>
    <border>
      <left style="thin"/>
      <right style="medium"/>
      <top/>
      <bottom style="medium"/>
      <diagonal/>
    </border>
    <border>
      <left style="thin"/>
      <right style="medium"/>
      <top style="thin"/>
      <bottom style="medium"/>
      <diagonal/>
    </border>
    <border>
      <left style="medium"/>
      <right style="medium"/>
      <top/>
      <bottom style="thin"/>
      <diagonal/>
    </border>
    <border>
      <left style="medium">
        <color rgb="FF0066CC"/>
      </left>
      <right style="medium">
        <color rgb="FF0066CC"/>
      </right>
      <top style="medium">
        <color rgb="FF0066CC"/>
      </top>
      <bottom style="medium"/>
      <diagonal/>
    </border>
    <border>
      <left style="medium">
        <color rgb="FF0066CC"/>
      </left>
      <right style="medium">
        <color rgb="FF0066CC"/>
      </right>
      <top style="medium"/>
      <bottom style="medium"/>
      <diagonal/>
    </border>
    <border>
      <left style="medium">
        <color rgb="FF0066CC"/>
      </left>
      <right style="medium">
        <color rgb="FF0066CC"/>
      </right>
      <top style="medium"/>
      <bottom style="medium">
        <color rgb="FF0066CC"/>
      </bottom>
      <diagonal/>
    </border>
    <border>
      <left/>
      <right/>
      <top/>
      <bottom style="medium">
        <color rgb="FF00CCFF"/>
      </bottom>
      <diagonal/>
    </border>
    <border>
      <left/>
      <right/>
      <top style="medium">
        <color rgb="FF00CCFF"/>
      </top>
      <bottom/>
      <diagonal/>
    </border>
    <border>
      <left style="thin">
        <color rgb="FF0066CC"/>
      </left>
      <right style="thin">
        <color rgb="FF0066CC"/>
      </right>
      <top style="medium"/>
      <bottom style="thin">
        <color rgb="FF0066CC"/>
      </bottom>
      <diagonal/>
    </border>
    <border>
      <left style="thin">
        <color rgb="FF0066CC"/>
      </left>
      <right style="medium"/>
      <top style="medium"/>
      <bottom style="thin">
        <color rgb="FF0066CC"/>
      </bottom>
      <diagonal/>
    </border>
    <border>
      <left style="medium"/>
      <right style="thin">
        <color rgb="FF0066CC"/>
      </right>
      <top style="thin">
        <color rgb="FF0066CC"/>
      </top>
      <bottom style="medium"/>
      <diagonal/>
    </border>
    <border>
      <left style="thin">
        <color rgb="FF0066CC"/>
      </left>
      <right style="thin">
        <color rgb="FF0066CC"/>
      </right>
      <top style="thin">
        <color rgb="FF0066CC"/>
      </top>
      <bottom style="medium"/>
      <diagonal/>
    </border>
    <border>
      <left style="thin">
        <color rgb="FF0066CC"/>
      </left>
      <right style="medium"/>
      <top style="thin">
        <color rgb="FF0066CC"/>
      </top>
      <bottom style="medium"/>
      <diagonal/>
    </border>
    <border>
      <left style="medium">
        <color rgb="FF0066CC"/>
      </left>
      <right style="thin">
        <color rgb="FF0066CC"/>
      </right>
      <top style="medium">
        <color rgb="FF0066CC"/>
      </top>
      <bottom style="thin">
        <color rgb="FF0066CC"/>
      </bottom>
      <diagonal/>
    </border>
    <border>
      <left style="thin">
        <color rgb="FF0066CC"/>
      </left>
      <right style="thin">
        <color rgb="FF0066CC"/>
      </right>
      <top style="medium">
        <color rgb="FF0066CC"/>
      </top>
      <bottom style="thin">
        <color rgb="FF0066CC"/>
      </bottom>
      <diagonal/>
    </border>
    <border>
      <left style="thin">
        <color rgb="FF0066CC"/>
      </left>
      <right style="medium">
        <color rgb="FF0066CC"/>
      </right>
      <top style="medium">
        <color rgb="FF0066CC"/>
      </top>
      <bottom style="thin">
        <color rgb="FF0066CC"/>
      </bottom>
      <diagonal/>
    </border>
    <border>
      <left style="medium">
        <color rgb="FF0066CC"/>
      </left>
      <right style="thin">
        <color rgb="FF0066CC"/>
      </right>
      <top style="thin">
        <color rgb="FF0066CC"/>
      </top>
      <bottom style="thin">
        <color rgb="FF0066CC"/>
      </bottom>
      <diagonal/>
    </border>
    <border>
      <left style="thin">
        <color rgb="FF0066CC"/>
      </left>
      <right style="medium">
        <color rgb="FF0066CC"/>
      </right>
      <top style="thin">
        <color rgb="FF0066CC"/>
      </top>
      <bottom style="thin">
        <color rgb="FF0066CC"/>
      </bottom>
      <diagonal/>
    </border>
    <border>
      <left style="medium">
        <color rgb="FF0066CC"/>
      </left>
      <right style="thin">
        <color rgb="FF0066CC"/>
      </right>
      <top style="thin">
        <color rgb="FF0066CC"/>
      </top>
      <bottom style="medium">
        <color rgb="FF0066CC"/>
      </bottom>
      <diagonal/>
    </border>
    <border>
      <left style="thin">
        <color rgb="FF0066CC"/>
      </left>
      <right style="thin">
        <color rgb="FF0066CC"/>
      </right>
      <top style="thin">
        <color rgb="FF0066CC"/>
      </top>
      <bottom style="medium">
        <color rgb="FF0066CC"/>
      </bottom>
      <diagonal/>
    </border>
    <border>
      <left style="thin">
        <color rgb="FF0066CC"/>
      </left>
      <right style="medium">
        <color rgb="FF0066CC"/>
      </right>
      <top style="thin">
        <color rgb="FF0066CC"/>
      </top>
      <bottom style="medium">
        <color rgb="FF0066CC"/>
      </bottom>
      <diagonal/>
    </border>
    <border>
      <left/>
      <right/>
      <top/>
      <bottom style="thin">
        <color rgb="FFFF6600"/>
      </bottom>
      <diagonal/>
    </border>
    <border>
      <left style="medium"/>
      <right style="medium"/>
      <top style="medium"/>
      <bottom style="thin"/>
      <diagonal/>
    </border>
    <border>
      <left style="medium"/>
      <right style="medium"/>
      <top/>
      <bottom style="medium"/>
      <diagonal/>
    </border>
    <border>
      <left style="medium"/>
      <right/>
      <top style="medium"/>
      <bottom style="thin"/>
      <diagonal/>
    </border>
    <border>
      <left style="thin"/>
      <right style="medium"/>
      <top style="thin"/>
      <bottom style="thin"/>
      <diagonal/>
    </border>
    <border>
      <left style="thin"/>
      <right style="medium"/>
      <top style="thin"/>
      <bottom/>
      <diagonal/>
    </border>
    <border>
      <left style="medium"/>
      <right/>
      <top/>
      <bottom style="medium"/>
      <diagonal/>
    </border>
    <border>
      <left style="medium"/>
      <right/>
      <top/>
      <bottom style="thin">
        <color rgb="FF00CCFF"/>
      </bottom>
      <diagonal/>
    </border>
    <border>
      <left style="medium"/>
      <right style="thin"/>
      <top style="thin"/>
      <bottom style="thin">
        <color rgb="FF00CCFF"/>
      </bottom>
      <diagonal/>
    </border>
    <border>
      <left style="thin"/>
      <right style="thin"/>
      <top style="thin"/>
      <bottom style="thin">
        <color rgb="FF00CCFF"/>
      </bottom>
      <diagonal/>
    </border>
    <border>
      <left style="thin"/>
      <right style="medium"/>
      <top style="thin"/>
      <bottom style="thin">
        <color rgb="FF00CCFF"/>
      </bottom>
      <diagonal/>
    </border>
    <border>
      <left/>
      <right/>
      <top style="thin"/>
      <bottom style="thin">
        <color rgb="FF00CCFF"/>
      </bottom>
      <diagonal/>
    </border>
    <border>
      <left/>
      <right style="medium"/>
      <top/>
      <bottom style="medium"/>
      <diagonal/>
    </border>
    <border>
      <left style="medium"/>
      <right/>
      <top style="medium"/>
      <bottom style="medium"/>
      <diagonal/>
    </border>
    <border>
      <left style="thin">
        <color rgb="FF00CCFF"/>
      </left>
      <right style="thin">
        <color rgb="FF00CCFF"/>
      </right>
      <top style="thin">
        <color rgb="FF00CCFF"/>
      </top>
      <bottom style="thin">
        <color rgb="FF00CCFF"/>
      </botto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right style="medium"/>
      <top style="medium"/>
      <bottom style="medium"/>
      <diagonal/>
    </border>
    <border>
      <left/>
      <right/>
      <top style="medium">
        <color rgb="FF9999FF"/>
      </top>
      <bottom/>
      <diagonal/>
    </border>
    <border>
      <left/>
      <right style="thick">
        <color rgb="FFFFFFFF"/>
      </right>
      <top style="medium">
        <color rgb="FF9999FF"/>
      </top>
      <bottom/>
      <diagonal/>
    </border>
    <border>
      <left style="thick">
        <color rgb="FFFFFFFF"/>
      </left>
      <right style="thick">
        <color rgb="FFFFFFFF"/>
      </right>
      <top style="medium">
        <color rgb="FF9999FF"/>
      </top>
      <bottom/>
      <diagonal/>
    </border>
    <border>
      <left style="thick">
        <color rgb="FFFFFFFF"/>
      </left>
      <right/>
      <top style="medium">
        <color rgb="FF9999FF"/>
      </top>
      <bottom/>
      <diagonal/>
    </border>
    <border>
      <left/>
      <right/>
      <top/>
      <bottom style="thin">
        <color rgb="FF808080"/>
      </bottom>
      <diagonal/>
    </border>
    <border>
      <left style="thin">
        <color rgb="FF0000FF"/>
      </left>
      <right/>
      <top/>
      <bottom/>
      <diagonal/>
    </border>
    <border>
      <left/>
      <right/>
      <top/>
      <bottom style="thin">
        <color rgb="FF0000FF"/>
      </bottom>
      <diagonal/>
    </border>
    <border>
      <left style="thin">
        <color rgb="FF0000FF"/>
      </left>
      <right/>
      <top/>
      <bottom style="thin">
        <color rgb="FF0000FF"/>
      </bottom>
      <diagonal/>
    </border>
    <border>
      <left style="medium">
        <color rgb="FF0066CC"/>
      </left>
      <right style="thin"/>
      <top style="medium">
        <color rgb="FF0066CC"/>
      </top>
      <bottom style="medium">
        <color rgb="FF0066CC"/>
      </bottom>
      <diagonal/>
    </border>
    <border>
      <left style="thin"/>
      <right style="thin"/>
      <top style="medium">
        <color rgb="FF0066CC"/>
      </top>
      <bottom style="medium">
        <color rgb="FF0066CC"/>
      </bottom>
      <diagonal/>
    </border>
    <border>
      <left style="thin"/>
      <right style="medium">
        <color rgb="FF0066CC"/>
      </right>
      <top style="medium">
        <color rgb="FF0066CC"/>
      </top>
      <bottom style="medium">
        <color rgb="FF0066CC"/>
      </bottom>
      <diagonal/>
    </border>
    <border>
      <left/>
      <right/>
      <top style="medium">
        <color rgb="FF0066CC"/>
      </top>
      <bottom/>
      <diagonal/>
    </border>
    <border>
      <left/>
      <right style="medium">
        <color rgb="FF0066CC"/>
      </right>
      <top style="medium">
        <color rgb="FF0066CC"/>
      </top>
      <bottom/>
      <diagonal/>
    </border>
    <border>
      <left/>
      <right style="medium">
        <color rgb="FF0066CC"/>
      </right>
      <top style="medium">
        <color rgb="FF0066CC"/>
      </top>
      <bottom style="medium">
        <color rgb="FF0066CC"/>
      </bottom>
      <diagonal/>
    </border>
    <border>
      <left/>
      <right/>
      <top style="medium">
        <color rgb="FF0066CC"/>
      </top>
      <bottom style="medium">
        <color rgb="FF0066CC"/>
      </bottom>
      <diagonal/>
    </border>
    <border>
      <left style="medium">
        <color rgb="FF0066CC"/>
      </left>
      <right/>
      <top/>
      <bottom/>
      <diagonal/>
    </border>
    <border>
      <left/>
      <right style="medium">
        <color rgb="FF0066CC"/>
      </right>
      <top/>
      <bottom/>
      <diagonal/>
    </border>
    <border>
      <left style="medium">
        <color rgb="FF0066CC"/>
      </left>
      <right/>
      <top/>
      <bottom style="medium">
        <color rgb="FF0066CC"/>
      </bottom>
      <diagonal/>
    </border>
    <border>
      <left/>
      <right style="medium">
        <color rgb="FF0066CC"/>
      </right>
      <top/>
      <bottom style="medium">
        <color rgb="FF0066CC"/>
      </bottom>
      <diagonal/>
    </border>
    <border>
      <left style="medium"/>
      <right style="thin">
        <color rgb="FF0066CC"/>
      </right>
      <top/>
      <bottom/>
      <diagonal/>
    </border>
    <border>
      <left style="medium"/>
      <right style="thin">
        <color rgb="FF0066CC"/>
      </right>
      <top/>
      <bottom style="thin">
        <color rgb="FF0066CC"/>
      </bottom>
      <diagonal/>
    </border>
    <border>
      <left style="medium"/>
      <right style="thin"/>
      <top/>
      <bottom/>
      <diagonal/>
    </border>
  </borders>
  <cellStyleXfs count="152">
    <xf numFmtId="0" fontId="0" fillId="0" borderId="0" applyAlignment="1">
      <alignment horizontal="general" vertical="bottom"/>
    </xf>
    <xf numFmtId="176" fontId="0" fillId="0" borderId="0"/>
    <xf numFmtId="41" fontId="3" fillId="0" borderId="0"/>
    <xf numFmtId="44" fontId="3" fillId="0" borderId="0"/>
    <xf numFmtId="42" fontId="3" fillId="0" borderId="0"/>
    <xf numFmtId="9" fontId="0" fillId="0" borderId="0"/>
    <xf numFmtId="0" fontId="53" fillId="0" borderId="0"/>
    <xf numFmtId="0" fontId="4" fillId="0" borderId="0"/>
    <xf numFmtId="0" fontId="4" fillId="0" borderId="0" applyAlignment="1">
      <alignment horizontal="general" vertical="bottom"/>
    </xf>
    <xf numFmtId="0" fontId="4" fillId="0" borderId="0"/>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0" fontId="4" fillId="0" borderId="0"/>
    <xf numFmtId="0" fontId="4" fillId="0" borderId="0"/>
    <xf numFmtId="180" fontId="5" fillId="0" borderId="0" applyAlignment="1">
      <alignment horizontal="general" vertical="bottom"/>
    </xf>
    <xf numFmtId="0" fontId="4" fillId="0" borderId="0"/>
    <xf numFmtId="0" fontId="6" fillId="0" borderId="0" applyAlignment="1">
      <alignment horizontal="right" vertical="bottom"/>
    </xf>
    <xf numFmtId="0" fontId="7" fillId="0" borderId="0"/>
    <xf numFmtId="0" fontId="8" fillId="0" borderId="0"/>
    <xf numFmtId="0" fontId="9" fillId="0" borderId="0"/>
    <xf numFmtId="0" fontId="10" fillId="0" borderId="1"/>
    <xf numFmtId="181" fontId="0" fillId="0" borderId="0"/>
    <xf numFmtId="0" fontId="11" fillId="0" borderId="0"/>
    <xf numFmtId="1" fontId="12" fillId="0" borderId="0" applyAlignment="1">
      <alignment horizontal="general" vertical="bottom"/>
    </xf>
    <xf numFmtId="0" fontId="13" fillId="2" borderId="2" applyAlignment="1">
      <alignment horizontal="left" vertical="center"/>
    </xf>
    <xf numFmtId="0" fontId="14" fillId="0" borderId="0" applyAlignment="1" applyProtection="1">
      <alignment horizontal="center" vertical="bottom" wrapText="1"/>
      <protection locked="1" hidden="1"/>
    </xf>
    <xf numFmtId="176" fontId="0" fillId="0" borderId="0"/>
    <xf numFmtId="0" fontId="15" fillId="3" borderId="0" applyAlignment="1">
      <alignment horizontal="center" vertical="center" wrapText="1"/>
    </xf>
    <xf numFmtId="0" fontId="16" fillId="4" borderId="3" applyAlignment="1">
      <alignment horizontal="general" vertical="center"/>
    </xf>
    <xf numFmtId="182" fontId="14" fillId="0" borderId="0" applyAlignment="1" applyProtection="1">
      <alignment horizontal="right" vertical="bottom"/>
      <protection locked="0" hidden="0"/>
    </xf>
    <xf numFmtId="0" fontId="0" fillId="0" borderId="0" applyProtection="1">
      <protection locked="0" hidden="0"/>
    </xf>
    <xf numFmtId="0" fontId="17" fillId="0" borderId="0" applyAlignment="1">
      <alignment horizontal="general" vertical="bottom"/>
    </xf>
    <xf numFmtId="0" fontId="18" fillId="0" borderId="0" applyAlignment="1">
      <alignment horizontal="general" vertical="bottom"/>
    </xf>
    <xf numFmtId="0" fontId="18" fillId="0" borderId="4" applyAlignment="1">
      <alignment horizontal="general" vertical="bottom"/>
    </xf>
    <xf numFmtId="0" fontId="0" fillId="0" borderId="0" applyAlignment="1">
      <alignment horizontal="general" vertical="bottom"/>
    </xf>
    <xf numFmtId="183" fontId="0" fillId="0" borderId="0"/>
    <xf numFmtId="49" fontId="0" fillId="0" borderId="0" applyAlignment="1">
      <alignment horizontal="right" vertical="bottom"/>
    </xf>
    <xf numFmtId="49" fontId="0" fillId="0" borderId="0"/>
    <xf numFmtId="184" fontId="0" fillId="0" borderId="0"/>
    <xf numFmtId="2" fontId="4" fillId="0" borderId="0" applyAlignment="1">
      <alignment horizontal="general" vertical="bottom"/>
    </xf>
    <xf numFmtId="185" fontId="8" fillId="0" borderId="0" applyAlignment="1">
      <alignment horizontal="general" vertical="bottom"/>
    </xf>
    <xf numFmtId="0" fontId="19" fillId="0" borderId="0" applyAlignment="1">
      <alignment horizontal="right" vertical="bottom"/>
    </xf>
    <xf numFmtId="186" fontId="17" fillId="0" borderId="0" applyAlignment="1">
      <alignment horizontal="general" vertical="bottom"/>
    </xf>
    <xf numFmtId="187" fontId="20" fillId="0" borderId="0" applyAlignment="1" applyProtection="1">
      <alignment horizontal="left" vertical="bottom"/>
      <protection locked="0" hidden="0"/>
    </xf>
    <xf numFmtId="188" fontId="21" fillId="0" borderId="0" applyAlignment="1">
      <alignment horizontal="general" vertical="bottom"/>
    </xf>
    <xf numFmtId="189" fontId="22" fillId="0" borderId="0" applyAlignment="1">
      <alignment horizontal="general" vertical="bottom"/>
    </xf>
    <xf numFmtId="1" fontId="0" fillId="0" borderId="0"/>
    <xf numFmtId="190" fontId="14" fillId="0" borderId="0" applyAlignment="1" applyProtection="1">
      <alignment horizontal="right" vertical="bottom"/>
      <protection locked="0" hidden="0"/>
    </xf>
    <xf numFmtId="0" fontId="23" fillId="0" borderId="0" applyAlignment="1">
      <alignment horizontal="general" vertical="bottom"/>
    </xf>
    <xf numFmtId="0" fontId="24" fillId="0" borderId="0" applyAlignment="1">
      <alignment horizontal="general" vertical="bottom"/>
    </xf>
    <xf numFmtId="0" fontId="25" fillId="0" borderId="0" applyAlignment="1">
      <alignment horizontal="general" vertical="bottom"/>
    </xf>
    <xf numFmtId="0" fontId="24" fillId="0" borderId="0" applyAlignment="1">
      <alignment horizontal="right" vertical="bottom"/>
    </xf>
    <xf numFmtId="0" fontId="26" fillId="5" borderId="4" applyAlignment="1">
      <alignment horizontal="left" vertical="center" wrapText="1"/>
    </xf>
    <xf numFmtId="0" fontId="27" fillId="5" borderId="4" applyAlignment="1">
      <alignment horizontal="general" vertical="bottom"/>
    </xf>
    <xf numFmtId="0" fontId="28" fillId="0" borderId="0"/>
    <xf numFmtId="0" fontId="29" fillId="0" borderId="0"/>
    <xf numFmtId="0" fontId="0" fillId="0" borderId="5"/>
    <xf numFmtId="0" fontId="0" fillId="0" borderId="6"/>
    <xf numFmtId="180" fontId="30"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10" fillId="0" borderId="0" applyAlignment="1">
      <alignment horizontal="general" vertical="bottom"/>
    </xf>
    <xf numFmtId="0" fontId="0" fillId="0" borderId="0"/>
    <xf numFmtId="191" fontId="24" fillId="0" borderId="0" applyAlignment="1">
      <alignment horizontal="right" vertical="bottom"/>
    </xf>
    <xf numFmtId="192" fontId="0" fillId="0" borderId="0"/>
    <xf numFmtId="191" fontId="0" fillId="0" borderId="0" applyAlignment="1">
      <alignment horizontal="right" vertical="bottom"/>
    </xf>
    <xf numFmtId="0" fontId="6" fillId="6" borderId="4" applyAlignment="1">
      <alignment horizontal="general" vertical="bottom"/>
    </xf>
    <xf numFmtId="9" fontId="0" fillId="0" borderId="0"/>
    <xf numFmtId="9" fontId="0" fillId="0" borderId="0"/>
    <xf numFmtId="193" fontId="14" fillId="0" borderId="0" applyAlignment="1" applyProtection="1">
      <alignment horizontal="right" vertical="bottom"/>
      <protection locked="0" hidden="0"/>
    </xf>
    <xf numFmtId="0" fontId="31" fillId="4" borderId="7" applyAlignment="1">
      <alignment horizontal="center" vertical="center"/>
    </xf>
    <xf numFmtId="194" fontId="14" fillId="0" borderId="0" applyAlignment="1" applyProtection="1">
      <alignment horizontal="right" vertical="bottom"/>
      <protection locked="0" hidden="0"/>
    </xf>
    <xf numFmtId="195" fontId="14" fillId="0" borderId="0" applyAlignment="1" applyProtection="1">
      <alignment horizontal="right" vertical="bottom"/>
      <protection locked="0" hidden="0"/>
    </xf>
    <xf numFmtId="0" fontId="17" fillId="0" borderId="0" applyAlignment="1">
      <alignment horizontal="general" vertical="bottom"/>
    </xf>
    <xf numFmtId="0" fontId="18" fillId="0" borderId="0" applyAlignment="1">
      <alignment horizontal="general" vertical="bottom"/>
    </xf>
    <xf numFmtId="0" fontId="4" fillId="0" borderId="5" applyAlignment="1">
      <alignment horizontal="general" vertical="bottom"/>
    </xf>
    <xf numFmtId="0" fontId="4" fillId="0" borderId="0" applyAlignment="1">
      <alignment horizontal="general" vertical="bottom"/>
    </xf>
    <xf numFmtId="0" fontId="24" fillId="0" borderId="0" applyAlignment="1">
      <alignment horizontal="right" vertical="bottom"/>
    </xf>
    <xf numFmtId="0" fontId="13" fillId="0" borderId="6" applyAlignment="1">
      <alignment horizontal="left" vertical="center"/>
    </xf>
    <xf numFmtId="0" fontId="32" fillId="0" borderId="0" applyAlignment="1">
      <alignment horizontal="general" vertical="bottom"/>
    </xf>
    <xf numFmtId="0" fontId="33" fillId="0" borderId="0" applyAlignment="1">
      <alignment horizontal="general" vertical="bottom"/>
    </xf>
    <xf numFmtId="0" fontId="34" fillId="0" borderId="0" applyAlignment="1">
      <alignment horizontal="general" vertical="bottom"/>
    </xf>
    <xf numFmtId="0" fontId="4" fillId="0" borderId="0" applyAlignment="1">
      <alignment horizontal="right" vertical="bottom"/>
    </xf>
    <xf numFmtId="0" fontId="24" fillId="0" borderId="0" applyAlignment="1">
      <alignment horizontal="right" vertical="bottom"/>
    </xf>
    <xf numFmtId="0" fontId="4" fillId="7" borderId="8" applyAlignment="1">
      <alignment horizontal="left" vertical="center" indent="1"/>
    </xf>
    <xf numFmtId="0" fontId="35" fillId="8" borderId="8" applyAlignment="1">
      <alignment horizontal="left" vertical="center" indent="1"/>
    </xf>
    <xf numFmtId="0" fontId="36" fillId="9" borderId="9" applyAlignment="1">
      <alignment horizontal="left" vertical="center" indent="1"/>
    </xf>
    <xf numFmtId="0" fontId="36" fillId="9" borderId="8" applyAlignment="1">
      <alignment horizontal="left" vertical="center" indent="1"/>
    </xf>
    <xf numFmtId="0" fontId="36" fillId="10" borderId="8" applyAlignment="1">
      <alignment horizontal="left" vertical="center" indent="1"/>
    </xf>
    <xf numFmtId="0" fontId="4" fillId="10" borderId="8" applyAlignment="1">
      <alignment horizontal="left" vertical="center" indent="1"/>
    </xf>
    <xf numFmtId="0" fontId="4" fillId="11" borderId="8" applyAlignment="1">
      <alignment horizontal="left" vertical="center" indent="1"/>
    </xf>
    <xf numFmtId="0" fontId="4" fillId="6" borderId="8" applyAlignment="1">
      <alignment horizontal="left" vertical="center" indent="1"/>
    </xf>
    <xf numFmtId="0" fontId="4" fillId="7" borderId="8" applyAlignment="1">
      <alignment horizontal="left" vertical="center" indent="1"/>
    </xf>
    <xf numFmtId="0" fontId="36" fillId="9" borderId="8" applyAlignment="1">
      <alignment horizontal="right" vertical="center"/>
    </xf>
    <xf numFmtId="0" fontId="4" fillId="7" borderId="8" applyAlignment="1">
      <alignment horizontal="left" vertical="center" indent="1"/>
    </xf>
    <xf numFmtId="0" fontId="4" fillId="7" borderId="8" applyAlignment="1">
      <alignment horizontal="left" vertical="center" indent="1"/>
    </xf>
    <xf numFmtId="0" fontId="37" fillId="0" borderId="0" applyAlignment="1">
      <alignment horizontal="general" vertical="bottom"/>
    </xf>
    <xf numFmtId="196" fontId="38" fillId="0" borderId="0" applyAlignment="1">
      <alignment horizontal="right" vertical="bottom"/>
    </xf>
    <xf numFmtId="0" fontId="39" fillId="3" borderId="4" applyAlignment="1" applyProtection="1">
      <alignment horizontal="center" vertical="center" wrapText="1"/>
      <protection locked="1" hidden="1"/>
    </xf>
    <xf numFmtId="197" fontId="14" fillId="0" borderId="0" applyAlignment="1" applyProtection="1">
      <alignment horizontal="general" vertical="bottom"/>
      <protection locked="0" hidden="0"/>
    </xf>
    <xf numFmtId="0" fontId="40" fillId="0" borderId="0"/>
    <xf numFmtId="0" fontId="4" fillId="0" borderId="0"/>
    <xf numFmtId="186" fontId="17" fillId="0" borderId="0" applyAlignment="1">
      <alignment horizontal="general" vertical="bottom"/>
    </xf>
    <xf numFmtId="0" fontId="4" fillId="0" borderId="10" applyAlignment="1">
      <alignment horizontal="general" vertical="bottom"/>
    </xf>
    <xf numFmtId="0" fontId="4" fillId="0" borderId="11" applyAlignment="1">
      <alignment horizontal="general" vertical="bottom"/>
    </xf>
    <xf numFmtId="0" fontId="4" fillId="0" borderId="12" applyAlignment="1">
      <alignment horizontal="general" vertical="bottom"/>
    </xf>
    <xf numFmtId="0" fontId="41" fillId="0" borderId="0"/>
    <xf numFmtId="0" fontId="17" fillId="0" borderId="4" applyAlignment="1">
      <alignment horizontal="general" vertical="bottom"/>
    </xf>
    <xf numFmtId="0" fontId="18" fillId="0" borderId="4" applyAlignment="1">
      <alignment horizontal="general" vertical="bottom"/>
    </xf>
    <xf numFmtId="0" fontId="0" fillId="0" borderId="5"/>
    <xf numFmtId="0" fontId="42" fillId="0" borderId="13"/>
    <xf numFmtId="0" fontId="0" fillId="0" borderId="14"/>
    <xf numFmtId="0" fontId="0" fillId="0" borderId="15"/>
    <xf numFmtId="0" fontId="0" fillId="0" borderId="7"/>
    <xf numFmtId="0" fontId="0" fillId="0" borderId="16"/>
    <xf numFmtId="0" fontId="0" fillId="0" borderId="4"/>
    <xf numFmtId="0" fontId="0" fillId="0" borderId="17"/>
    <xf numFmtId="0" fontId="0" fillId="0" borderId="18"/>
    <xf numFmtId="0" fontId="0" fillId="0" borderId="19"/>
    <xf numFmtId="0" fontId="0" fillId="0" borderId="10"/>
    <xf numFmtId="0" fontId="0" fillId="0" borderId="20"/>
    <xf numFmtId="0" fontId="0" fillId="0" borderId="21"/>
    <xf numFmtId="0" fontId="0" fillId="0" borderId="22"/>
    <xf numFmtId="0" fontId="0" fillId="0" borderId="23"/>
    <xf numFmtId="0" fontId="0" fillId="0" borderId="11"/>
    <xf numFmtId="0" fontId="0" fillId="0" borderId="24"/>
    <xf numFmtId="198" fontId="8" fillId="0" borderId="0" applyAlignment="1">
      <alignment horizontal="right" vertical="bottom"/>
    </xf>
    <xf numFmtId="0" fontId="43" fillId="12" borderId="0" applyAlignment="1">
      <alignment horizontal="general" vertical="bottom"/>
    </xf>
    <xf numFmtId="0" fontId="44" fillId="12" borderId="0" applyAlignment="1">
      <alignment horizontal="general" vertical="bottom"/>
    </xf>
    <xf numFmtId="0" fontId="45" fillId="4" borderId="25" applyAlignment="1">
      <alignment horizontal="left" vertical="center"/>
    </xf>
    <xf numFmtId="0" fontId="14" fillId="0" borderId="0" applyAlignment="1">
      <alignment horizontal="general" vertical="bottom"/>
    </xf>
    <xf numFmtId="0" fontId="27" fillId="0" borderId="26" applyAlignment="1">
      <alignment horizontal="general" vertical="bottom"/>
    </xf>
    <xf numFmtId="0" fontId="46" fillId="0" borderId="26" applyAlignment="1">
      <alignment horizontal="general" vertical="bottom"/>
    </xf>
    <xf numFmtId="0" fontId="27" fillId="0" borderId="4" applyAlignment="1">
      <alignment horizontal="general" vertical="bottom"/>
    </xf>
    <xf numFmtId="0" fontId="46" fillId="0" borderId="4" applyAlignment="1">
      <alignment horizontal="general" vertical="bottom"/>
    </xf>
    <xf numFmtId="199" fontId="10" fillId="0" borderId="0" applyAlignment="1">
      <alignment horizontal="right" vertical="bottom"/>
    </xf>
    <xf numFmtId="0" fontId="47" fillId="0" borderId="0"/>
    <xf numFmtId="0" fontId="48" fillId="0" borderId="0"/>
    <xf numFmtId="0" fontId="49" fillId="0" borderId="0"/>
    <xf numFmtId="0" fontId="6" fillId="0" borderId="0" applyAlignment="1">
      <alignment horizontal="right" vertical="bottom"/>
    </xf>
    <xf numFmtId="0" fontId="23" fillId="0" borderId="0" applyAlignment="1">
      <alignment horizontal="left" vertical="bottom"/>
    </xf>
    <xf numFmtId="0" fontId="0" fillId="0" borderId="0"/>
    <xf numFmtId="0" fontId="0" fillId="0" borderId="0"/>
  </cellStyleXfs>
  <cellXfs count="16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0" fillId="0" borderId="0"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67" fillId="0" borderId="34" applyAlignment="1" pivotButton="0" quotePrefix="0" xfId="0">
      <alignment horizontal="justify" vertical="top" wrapText="1"/>
    </xf>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0" fillId="0" borderId="0" applyAlignment="1" pivotButton="0" quotePrefix="0" xfId="0">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67" fillId="0" borderId="0" applyAlignment="1" pivotButton="0" quotePrefix="0" xfId="0">
      <alignment horizontal="general" vertical="bottom"/>
    </xf>
    <xf numFmtId="0" fontId="67" fillId="0" borderId="0" applyAlignment="1" pivotButton="0" quotePrefix="0" xfId="0">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3" fontId="91" fillId="0" borderId="0" applyAlignment="1" pivotButton="0" quotePrefix="0" xfId="0">
      <alignment horizontal="general" vertical="bottom"/>
    </xf>
    <xf numFmtId="0"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3"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73" fillId="0" borderId="32" applyAlignment="1" pivotButton="0" quotePrefix="0" xfId="0">
      <alignment horizontal="general" vertical="bottom"/>
    </xf>
    <xf numFmtId="1" fontId="67" fillId="0" borderId="0" applyAlignment="1" pivotButton="0" quotePrefix="0" xfId="0">
      <alignment horizontal="general" vertical="bottom"/>
    </xf>
    <xf numFmtId="0" fontId="67" fillId="0" borderId="0" applyAlignment="1" pivotButton="0" quotePrefix="0" xfId="0">
      <alignment horizontal="general"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87" fillId="0" borderId="0" applyAlignment="1" pivotButton="0" quotePrefix="0" xfId="83">
      <alignment horizontal="general" vertical="bottom"/>
    </xf>
    <xf numFmtId="0" fontId="0" fillId="0" borderId="81" applyAlignment="1" pivotButton="0" quotePrefix="0" xfId="0">
      <alignment horizontal="general" vertical="bottom"/>
    </xf>
    <xf numFmtId="0" fontId="0" fillId="0" borderId="7"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8" applyAlignment="1" pivotButton="0" quotePrefix="0" xfId="0">
      <alignment horizontal="right"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0" fontId="0" fillId="0" borderId="38" applyAlignment="1" pivotButton="0" quotePrefix="0" xfId="0">
      <alignment horizontal="general" vertical="bottom"/>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0"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0" fontId="92" fillId="0" borderId="13" applyAlignment="1" pivotButton="0" quotePrefix="0" xfId="0">
      <alignment horizontal="general" vertical="bottom"/>
    </xf>
    <xf numFmtId="4" fontId="88" fillId="5" borderId="31" applyAlignment="1" pivotButton="0" quotePrefix="0" xfId="0">
      <alignment horizontal="center" vertical="top" wrapText="1"/>
    </xf>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0" fontId="92" fillId="0" borderId="98" applyAlignment="1" pivotButton="0" quotePrefix="0" xfId="0">
      <alignment horizontal="general" vertical="bottom"/>
    </xf>
    <xf numFmtId="0" fontId="92" fillId="0" borderId="0"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0" fontId="92" fillId="0"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0" fontId="92" fillId="0"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0" borderId="30"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5" borderId="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0" borderId="64"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0"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0" fontId="99" fillId="0" borderId="0" applyAlignment="1" pivotButton="0" quotePrefix="0" xfId="83">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95" fillId="15" borderId="48" applyAlignment="1" pivotButton="0" quotePrefix="0" xfId="83">
      <alignment horizontal="center" vertical="center"/>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0"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87" fillId="0" borderId="7" applyAlignment="1" pivotButton="0" quotePrefix="0" xfId="83">
      <alignment horizontal="center" vertical="bottom"/>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6" fillId="0" borderId="0" applyAlignment="1" pivotButton="0" quotePrefix="0" xfId="83">
      <alignment horizontal="general"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0" fontId="114" fillId="0" borderId="59" applyAlignment="1" pivotButton="0" quotePrefix="0" xfId="83">
      <alignment horizontal="general"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0" fontId="118" fillId="0" borderId="0" applyAlignment="1" pivotButton="0" quotePrefix="0" xfId="83">
      <alignment horizontal="center" vertical="bottom"/>
    </xf>
    <xf numFmtId="0" fontId="114" fillId="0" borderId="66"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 fontId="87" fillId="0" borderId="0" applyAlignment="1" pivotButton="0" quotePrefix="0" xfId="83">
      <alignment horizontal="general"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0" fontId="117" fillId="0" borderId="77" applyAlignment="1" pivotButton="0" quotePrefix="0" xfId="83">
      <alignment horizontal="general" vertical="bottom"/>
    </xf>
    <xf numFmtId="1" fontId="118" fillId="5" borderId="62" applyAlignment="1" pivotButton="0" quotePrefix="0" xfId="83">
      <alignment horizontal="center" vertical="bottom"/>
    </xf>
    <xf numFmtId="0" fontId="117" fillId="0" borderId="59"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1"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0" fontId="122" fillId="0" borderId="0" applyAlignment="1" pivotButton="0" quotePrefix="0" xfId="83">
      <alignment horizontal="general"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0" fontId="97" fillId="0" borderId="0" applyAlignment="1" pivotButton="0" quotePrefix="0" xfId="83">
      <alignment horizontal="general"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1" fontId="117" fillId="0" borderId="66" applyAlignment="1" pivotButton="0" quotePrefix="0" xfId="83">
      <alignment horizontal="general"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1" fontId="99" fillId="0" borderId="0"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3">
      <alignment horizontal="center"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7" fillId="0" borderId="0" applyAlignment="1" pivotButton="0" quotePrefix="0" xfId="81">
      <alignment horizontal="general"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1" fontId="138" fillId="0" borderId="62" applyAlignment="1" pivotButton="0" quotePrefix="0" xfId="81">
      <alignment horizontal="center" vertical="bottom"/>
    </xf>
    <xf numFmtId="0" fontId="139" fillId="0" borderId="0" applyAlignment="1" pivotButton="0" quotePrefix="0" xfId="81">
      <alignment horizontal="general"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1" fontId="133" fillId="0" borderId="98" applyAlignment="1" pivotButton="0" quotePrefix="0" xfId="81">
      <alignment horizontal="center" vertical="bottom"/>
    </xf>
    <xf numFmtId="0" fontId="4" fillId="0" borderId="0" applyAlignment="1" pivotButton="0" quotePrefix="0" xfId="81">
      <alignment horizontal="general"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0"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62" applyAlignment="1" pivotButton="0" quotePrefix="0" xfId="0">
      <alignment horizontal="left"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92" fillId="0" borderId="0" applyAlignment="1" pivotButton="0" quotePrefix="0" xfId="0">
      <alignment horizontal="center" vertical="bottom"/>
    </xf>
    <xf numFmtId="0" fontId="148" fillId="16" borderId="55" applyAlignment="1" pivotButton="0" quotePrefix="0" xfId="0">
      <alignment horizontal="left" vertical="bottom"/>
    </xf>
    <xf numFmtId="0" fontId="92" fillId="0" borderId="64" applyAlignment="1" pivotButton="0" quotePrefix="0" xfId="0">
      <alignment horizontal="center" vertical="bottom"/>
    </xf>
    <xf numFmtId="0" fontId="149" fillId="0" borderId="4" applyAlignment="1" pivotButton="0" quotePrefix="0" xfId="0">
      <alignment horizontal="left" vertical="top" wrapText="1"/>
    </xf>
    <xf numFmtId="0" fontId="92" fillId="0" borderId="0" applyAlignment="1" pivotButton="0" quotePrefix="0" xfId="0">
      <alignment horizontal="general" vertical="bottom"/>
    </xf>
    <xf numFmtId="0" fontId="92" fillId="0" borderId="0" applyAlignment="1" pivotButton="0" quotePrefix="0" xfId="0">
      <alignment horizontal="general" vertical="bottom"/>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0" fontId="0" fillId="0" borderId="0" applyAlignment="1" pivotButton="0" quotePrefix="0" xfId="0">
      <alignment horizontal="general" vertical="bottom"/>
    </xf>
    <xf numFmtId="2" fontId="60" fillId="0" borderId="0" applyAlignment="1" pivotButton="0" quotePrefix="0" xfId="81">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2" fontId="152" fillId="0" borderId="0" applyAlignment="1" pivotButton="0" quotePrefix="0" xfId="81">
      <alignment horizontal="general"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2" fontId="59" fillId="0" borderId="0" applyAlignment="1" pivotButton="0" quotePrefix="0" xfId="81">
      <alignment horizontal="general"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1" fontId="60" fillId="0" borderId="55"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1" fontId="60" fillId="0" borderId="62" applyAlignment="1" pivotButton="0" quotePrefix="0" xfId="81">
      <alignment horizontal="general" vertical="bottom"/>
    </xf>
    <xf numFmtId="2" fontId="60" fillId="0" borderId="62" applyAlignment="1" pivotButton="0" quotePrefix="0" xfId="81">
      <alignment horizontal="general" vertical="bottom"/>
    </xf>
    <xf numFmtId="1" fontId="60" fillId="0" borderId="62" applyAlignment="1" pivotButton="0" quotePrefix="0" xfId="81">
      <alignment horizontal="center" vertical="bottom"/>
    </xf>
    <xf numFmtId="1" fontId="60" fillId="0" borderId="60" applyAlignment="1" pivotButton="0" quotePrefix="0" xfId="81">
      <alignment horizontal="center" vertical="bottom"/>
    </xf>
    <xf numFmtId="2" fontId="60" fillId="0" borderId="62" applyAlignment="1" pivotButton="0" quotePrefix="0" xfId="81">
      <alignment horizontal="center" vertical="bottom"/>
    </xf>
    <xf numFmtId="0" fontId="0" fillId="0" borderId="62" applyAlignment="1" pivotButton="0" quotePrefix="0" xfId="0">
      <alignment horizontal="center" vertical="bottom"/>
    </xf>
    <xf numFmtId="2" fontId="60" fillId="0" borderId="62" applyAlignment="1" pivotButton="0" quotePrefix="0" xfId="81">
      <alignment horizontal="general"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59" fillId="0" borderId="0" applyAlignment="1" pivotButton="0" quotePrefix="0" xfId="81">
      <alignment horizontal="general" vertical="bottom"/>
    </xf>
    <xf numFmtId="2" fontId="160"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2" fontId="158" fillId="0"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86" fillId="0" borderId="0" applyAlignment="1" pivotButton="0" quotePrefix="0" xfId="0">
      <alignment horizontal="center"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0" fontId="73" fillId="0" borderId="0" applyAlignment="1" pivotButton="0" quotePrefix="0" xfId="81">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73" fillId="0" borderId="0" applyAlignment="1" pivotButton="0" quotePrefix="0" xfId="81">
      <alignment horizontal="general" vertical="bottom"/>
    </xf>
    <xf numFmtId="0" fontId="166" fillId="15" borderId="116" applyAlignment="1" pivotButton="0" quotePrefix="0" xfId="81">
      <alignment horizontal="center" vertical="bottom"/>
    </xf>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0" fontId="73" fillId="0" borderId="0"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0" fontId="73" fillId="0" borderId="0" applyAlignment="1" pivotButton="0" quotePrefix="0" xfId="81">
      <alignment horizontal="left" vertical="bottom" indent="1"/>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164" fontId="73" fillId="0" borderId="0" applyAlignment="1" pivotButton="0" quotePrefix="0" xfId="81">
      <alignment horizontal="general"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68" fillId="0" borderId="4" applyAlignment="1" pivotButton="0" quotePrefix="0" xfId="0">
      <alignment horizontal="center" vertical="bottom"/>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0" fontId="107" fillId="0" borderId="18" applyAlignment="1" pivotButton="0" quotePrefix="0" xfId="0">
      <alignment horizontal="general"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0" fillId="0" borderId="27" pivotButton="0" quotePrefix="0" xfId="0"/>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60" fillId="0" borderId="0" applyAlignment="1" pivotButton="0" quotePrefix="0" xfId="83">
      <alignment horizontal="general" vertical="bottom"/>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0" fontId="0" fillId="0" borderId="128" pivotButton="0" quotePrefix="0" xfId="0"/>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0" fillId="0" borderId="127" pivotButton="0" quotePrefix="0" xfId="0"/>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0" fillId="0" borderId="129" pivotButton="0" quotePrefix="0" xfId="0"/>
    <xf numFmtId="0" fontId="67" fillId="0" borderId="34" applyAlignment="1" pivotButton="0" quotePrefix="0" xfId="0">
      <alignment horizontal="justify" vertical="top" wrapText="1"/>
    </xf>
    <xf numFmtId="0" fontId="0" fillId="0" borderId="126" pivotButton="0" quotePrefix="0" xfId="0"/>
    <xf numFmtId="0" fontId="0" fillId="0" borderId="130" pivotButton="0" quotePrefix="0" xfId="0"/>
    <xf numFmtId="0" fontId="0" fillId="0" borderId="131" pivotButton="0" quotePrefix="0" xfId="0"/>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0" fontId="0" fillId="0" borderId="132" pivotButton="0" quotePrefix="0" xfId="0"/>
    <xf numFmtId="0" fontId="0" fillId="0" borderId="33" pivotButton="0" quotePrefix="0" xfId="0"/>
    <xf numFmtId="0" fontId="0" fillId="0" borderId="133" pivotButton="0" quotePrefix="0" xfId="0"/>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0" fontId="0" fillId="0" borderId="36" pivotButton="0" quotePrefix="0" xfId="0"/>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0" fontId="0" fillId="0" borderId="135" pivotButton="0" quotePrefix="0" xfId="0"/>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0" fillId="0" borderId="6" pivotButton="0" quotePrefix="0" xfId="0"/>
    <xf numFmtId="0" fontId="0" fillId="0" borderId="114" pivotButton="0" quotePrefix="0" xfId="0"/>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0" fontId="87" fillId="0" borderId="0" applyAlignment="1" pivotButton="0" quotePrefix="0" xfId="83">
      <alignment horizontal="general"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0" fillId="0" borderId="7" applyAlignment="1" pivotButton="0" quotePrefix="0" xfId="0">
      <alignment horizontal="general" vertical="bottom"/>
    </xf>
    <xf numFmtId="0" fontId="0" fillId="0" borderId="81"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4" fontId="88" fillId="5" borderId="31" applyAlignment="1" pivotButton="0" quotePrefix="0" xfId="0">
      <alignment horizontal="center" vertical="top" wrapText="1"/>
    </xf>
    <xf numFmtId="0" fontId="0" fillId="0" borderId="60" pivotButton="0" quotePrefix="0" xfId="0"/>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0" fillId="0" borderId="13" pivotButton="0" quotePrefix="0" xfId="0"/>
    <xf numFmtId="0" fontId="0" fillId="0" borderId="31" pivotButton="0" quotePrefix="0" xfId="0"/>
    <xf numFmtId="0" fontId="95" fillId="15" borderId="48" applyAlignment="1" pivotButton="0" quotePrefix="0" xfId="83">
      <alignment horizontal="center" vertical="center"/>
    </xf>
    <xf numFmtId="0" fontId="87" fillId="0" borderId="0" applyAlignment="1" pivotButton="0" quotePrefix="0" xfId="83">
      <alignment horizontal="center" vertical="bottom"/>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7"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6" fillId="0" borderId="0" applyAlignment="1" pivotButton="0" quotePrefix="0" xfId="83">
      <alignment horizontal="general"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1" fontId="87" fillId="0" borderId="0"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1" fontId="118" fillId="5" borderId="62" applyAlignment="1" pivotButton="0" quotePrefix="0" xfId="83">
      <alignment horizontal="center" vertical="bottom"/>
    </xf>
    <xf numFmtId="0" fontId="121" fillId="0" borderId="0"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2"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97" fillId="0" borderId="0" applyAlignment="1" pivotButton="0" quotePrefix="0" xfId="83">
      <alignment horizontal="general"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0" fillId="0" borderId="64" pivotButton="0" quotePrefix="0" xfId="0"/>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0" fillId="0" borderId="102" pivotButton="0" quotePrefix="0" xfId="0"/>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1" fontId="133" fillId="0" borderId="62" applyAlignment="1" pivotButton="0" quotePrefix="0" xfId="83">
      <alignment horizontal="center" vertical="bottom"/>
    </xf>
    <xf numFmtId="0" fontId="137" fillId="0" borderId="0" applyAlignment="1" pivotButton="0" quotePrefix="0" xfId="81">
      <alignment horizontal="general"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0" fontId="139" fillId="0" borderId="0" applyAlignment="1" pivotButton="0" quotePrefix="0" xfId="81">
      <alignment horizontal="general" vertical="bottom"/>
    </xf>
    <xf numFmtId="1" fontId="138" fillId="0" borderId="62" applyAlignment="1" pivotButton="0" quotePrefix="0" xfId="81">
      <alignment horizontal="center"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0" fillId="0" borderId="73" pivotButton="0" quotePrefix="0" xfId="0"/>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148" fillId="16" borderId="55" applyAlignment="1" pivotButton="0" quotePrefix="0" xfId="0">
      <alignment horizontal="left" vertical="bottom"/>
    </xf>
    <xf numFmtId="0" fontId="149" fillId="0" borderId="4" applyAlignment="1" pivotButton="0" quotePrefix="0" xfId="0">
      <alignment horizontal="left" vertical="top" wrapText="1"/>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52"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2" fontId="60" fillId="0" borderId="62" applyAlignment="1" pivotButton="0" quotePrefix="0" xfId="81">
      <alignment horizontal="general" vertical="bottom"/>
    </xf>
    <xf numFmtId="1" fontId="60" fillId="0" borderId="60" applyAlignment="1" pivotButton="0" quotePrefix="0" xfId="81">
      <alignment horizontal="center" vertical="bottom"/>
    </xf>
    <xf numFmtId="0" fontId="0" fillId="0" borderId="62" applyAlignment="1" pivotButton="0" quotePrefix="0" xfId="0">
      <alignment horizontal="center"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166" fillId="15" borderId="116" applyAlignment="1" pivotButton="0" quotePrefix="0" xfId="81">
      <alignment horizontal="center" vertical="bottom"/>
    </xf>
    <xf numFmtId="0" fontId="0" fillId="0" borderId="115" pivotButton="0" quotePrefix="0" xfId="0"/>
    <xf numFmtId="0" fontId="0" fillId="0" borderId="116" pivotButton="0" quotePrefix="0" xfId="0"/>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cellXfs>
  <cellStyles count="152">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 " xfId="7"/>
    <cellStyle name="=C:\WINNT35\SYSTEM32\COMMAND.COM" xfId="8"/>
    <cellStyle name="_Adani Power EM" xfId="9"/>
    <cellStyle name="_Ashapura - Earnings Model" xfId="10"/>
    <cellStyle name="_belekeri" xfId="11"/>
    <cellStyle name="_Consolidated Model - June 2007_revised figs_Dec07V3" xfId="12"/>
    <cellStyle name="_cost_dre_final_tally_sch5_011" xfId="13"/>
    <cellStyle name="_Five years Projections" xfId="14"/>
    <cellStyle name="_iRONORE" xfId="15"/>
    <cellStyle name="_Patel-em" xfId="16"/>
    <cellStyle name="_Power Trading" xfId="17"/>
    <cellStyle name="_Projections 2012-13 AEL V6" xfId="18"/>
    <cellStyle name="_Snapshot" xfId="19"/>
    <cellStyle name="_TBBOM(~2 (2)" xfId="20"/>
    <cellStyle name="_Tbc_03_2001final" xfId="21"/>
    <cellStyle name="_Valuation V2" xfId="22"/>
    <cellStyle name="_~9736082" xfId="23"/>
    <cellStyle name="Analyst Name" xfId="24"/>
    <cellStyle name="Arial6Bold" xfId="25"/>
    <cellStyle name="Arial8Bold" xfId="26"/>
    <cellStyle name="Arial8Italic" xfId="27"/>
    <cellStyle name="ArialNormal" xfId="28"/>
    <cellStyle name="Blank" xfId="29"/>
    <cellStyle name="Blue" xfId="30"/>
    <cellStyle name="Changeable" xfId="31"/>
    <cellStyle name="Co Name" xfId="32"/>
    <cellStyle name="ColHeading" xfId="33"/>
    <cellStyle name="Comma 2" xfId="34"/>
    <cellStyle name="Company" xfId="35"/>
    <cellStyle name="CoTitle" xfId="36"/>
    <cellStyle name="CurRatio" xfId="37"/>
    <cellStyle name="CUS.Work.Area" xfId="38"/>
    <cellStyle name="Custom - Style1" xfId="39"/>
    <cellStyle name="Custom - Style8" xfId="40"/>
    <cellStyle name="Data   - Style2" xfId="41"/>
    <cellStyle name="DataSheet Style" xfId="42"/>
    <cellStyle name="Date" xfId="43"/>
    <cellStyle name="EsText" xfId="44"/>
    <cellStyle name="Estimate" xfId="45"/>
    <cellStyle name="Euro" xfId="46"/>
    <cellStyle name="Figure" xfId="47"/>
    <cellStyle name="fourdecplace" xfId="48"/>
    <cellStyle name="General" xfId="49"/>
    <cellStyle name="Head - Style2" xfId="50"/>
    <cellStyle name="Head1" xfId="51"/>
    <cellStyle name="Input1dp" xfId="52"/>
    <cellStyle name="InputSheet" xfId="53"/>
    <cellStyle name="Integer" xfId="54"/>
    <cellStyle name="Item" xfId="55"/>
    <cellStyle name="Item1" xfId="56"/>
    <cellStyle name="Item2" xfId="57"/>
    <cellStyle name="Item3" xfId="58"/>
    <cellStyle name="ItemTot" xfId="59"/>
    <cellStyle name="ItemTypeClass" xfId="60"/>
    <cellStyle name="Labels - Style3" xfId="61"/>
    <cellStyle name="LEVERS69" xfId="62"/>
    <cellStyle name="mahesh" xfId="63"/>
    <cellStyle name="MedLine(B)" xfId="64"/>
    <cellStyle name="MedLines(2)" xfId="65"/>
    <cellStyle name="Normal - Style1" xfId="66"/>
    <cellStyle name="Normal 2" xfId="67"/>
    <cellStyle name="Normal 2 2" xfId="68"/>
    <cellStyle name="Normal 3" xfId="69"/>
    <cellStyle name="Normal_RtN Datapage sample" xfId="70"/>
    <cellStyle name="NumGen" xfId="71"/>
    <cellStyle name="NumPcnt(2)" xfId="72"/>
    <cellStyle name="NumTh(0)" xfId="73"/>
    <cellStyle name="NumThRed(2)" xfId="74"/>
    <cellStyle name="ParaHead" xfId="75"/>
    <cellStyle name="Percent 2" xfId="76"/>
    <cellStyle name="Percent 3" xfId="77"/>
    <cellStyle name="PercentChange" xfId="78"/>
    <cellStyle name="ProfileTitle" xfId="79"/>
    <cellStyle name="Ratio" xfId="80"/>
    <cellStyle name="RatioX" xfId="81"/>
    <cellStyle name="Reset  - Style4" xfId="82"/>
    <cellStyle name="Reset  - Style7" xfId="83"/>
    <cellStyle name="Result F1" xfId="84"/>
    <cellStyle name="Result Item" xfId="85"/>
    <cellStyle name="Result Item Total" xfId="86"/>
    <cellStyle name="Result T1" xfId="87"/>
    <cellStyle name="Result T2" xfId="88"/>
    <cellStyle name="Result T3" xfId="89"/>
    <cellStyle name="Result T4" xfId="90"/>
    <cellStyle name="Result Total" xfId="91"/>
    <cellStyle name="Rs Notation" xfId="92"/>
    <cellStyle name="SAPBEXchaText" xfId="93"/>
    <cellStyle name="SAPBEXfilterDrill" xfId="94"/>
    <cellStyle name="SAPBEXfilterItem" xfId="95"/>
    <cellStyle name="SAPBEXheaderItem" xfId="96"/>
    <cellStyle name="SAPBEXheaderText" xfId="97"/>
    <cellStyle name="SAPBEXHLevel0" xfId="98"/>
    <cellStyle name="SAPBEXHLevel1" xfId="99"/>
    <cellStyle name="SAPBEXHLevel2" xfId="100"/>
    <cellStyle name="SAPBEXHLevel3" xfId="101"/>
    <cellStyle name="SAPBEXstdData" xfId="102"/>
    <cellStyle name="SAPBEXstdItem" xfId="103"/>
    <cellStyle name="SAPBEXstdItemX" xfId="104"/>
    <cellStyle name="SAPBEXtitle" xfId="105"/>
    <cellStyle name="ScripFactor" xfId="106"/>
    <cellStyle name="SectionHeading" xfId="107"/>
    <cellStyle name="Standard" xfId="108"/>
    <cellStyle name="Style 1" xfId="109"/>
    <cellStyle name="Style 2" xfId="110"/>
    <cellStyle name="Sub - Style3" xfId="111"/>
    <cellStyle name="SubTot 1" xfId="112"/>
    <cellStyle name="SubTot 2" xfId="113"/>
    <cellStyle name="SubTot 3" xfId="114"/>
    <cellStyle name="SymbolBlue" xfId="115"/>
    <cellStyle name="Table  - Style5" xfId="116"/>
    <cellStyle name="Table  - Style6" xfId="117"/>
    <cellStyle name="Table Footer" xfId="118"/>
    <cellStyle name="Table Header" xfId="119"/>
    <cellStyle name="Thin2Lines(B)" xfId="120"/>
    <cellStyle name="ThinBotRow" xfId="121"/>
    <cellStyle name="ThinLine(B)" xfId="122"/>
    <cellStyle name="ThinLine(BL)" xfId="123"/>
    <cellStyle name="ThinLine(Box)" xfId="124"/>
    <cellStyle name="ThinLine(BR)" xfId="125"/>
    <cellStyle name="ThinLine(LBox)" xfId="126"/>
    <cellStyle name="ThinLine(RBox)" xfId="127"/>
    <cellStyle name="ThinLine(TB)" xfId="128"/>
    <cellStyle name="ThinLine(TL)" xfId="129"/>
    <cellStyle name="ThinLine(TR)" xfId="130"/>
    <cellStyle name="ThinMidRow" xfId="131"/>
    <cellStyle name="ThinTopRow" xfId="132"/>
    <cellStyle name="ThinTotLine" xfId="133"/>
    <cellStyle name="ThinTotLine(Box)" xfId="134"/>
    <cellStyle name="threedecplace" xfId="135"/>
    <cellStyle name="Title  - Style1" xfId="136"/>
    <cellStyle name="Title  - Style6" xfId="137"/>
    <cellStyle name="Title1" xfId="138"/>
    <cellStyle name="Titles" xfId="139"/>
    <cellStyle name="TotCol - Style5" xfId="140"/>
    <cellStyle name="TotCol - Style7" xfId="141"/>
    <cellStyle name="TotRow - Style4" xfId="142"/>
    <cellStyle name="TotRow - Style8" xfId="143"/>
    <cellStyle name="twodecplace" xfId="144"/>
    <cellStyle name="WingdingsBlack" xfId="145"/>
    <cellStyle name="WingdingsRed" xfId="146"/>
    <cellStyle name="WingdingsWhite" xfId="147"/>
    <cellStyle name="YE Num" xfId="148"/>
    <cellStyle name="YE String" xfId="149"/>
    <cellStyle name="Œ…‹æØ‚è [0.00]_GE 3 MINIMUM" xfId="150"/>
    <cellStyle name="Œ…‹æØ‚è_GE 3 MINIMUM" xfId="15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30EFEF"/>
      <rgbColor rgb="FF800080"/>
      <rgbColor rgb="FF800000"/>
      <rgbColor rgb="FF008080"/>
      <rgbColor rgb="FF0000FF"/>
      <rgbColor rgb="FF00CCFF"/>
      <rgbColor rgb="FFCCFFFF"/>
      <rgbColor rgb="FFCCFFCC"/>
      <rgbColor rgb="FFFFFF99"/>
      <rgbColor rgb="FF99CCFF"/>
      <rgbColor rgb="FFFF99CC"/>
      <rgbColor rgb="FFBFBF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externalLink" Target="/xl/externalLinks/externalLink3.xml" Id="rId14" /><Relationship Type="http://schemas.openxmlformats.org/officeDocument/2006/relationships/externalLink" Target="/xl/externalLinks/externalLink4.xml" Id="rId15" /><Relationship Type="http://schemas.openxmlformats.org/officeDocument/2006/relationships/externalLink" Target="/xl/externalLinks/externalLink5.xml" Id="rId16" /><Relationship Type="http://schemas.openxmlformats.org/officeDocument/2006/relationships/externalLink" Target="/xl/externalLinks/externalLink6.xml" Id="rId17" /><Relationship Type="http://schemas.openxmlformats.org/officeDocument/2006/relationships/externalLink" Target="/xl/externalLinks/externalLink7.xml" Id="rId18" /><Relationship Type="http://schemas.openxmlformats.org/officeDocument/2006/relationships/externalLink" Target="/xl/externalLinks/externalLink8.xml" Id="rId19" /><Relationship Type="http://schemas.openxmlformats.org/officeDocument/2006/relationships/externalLink" Target="/xl/externalLinks/externalLink9.xml" Id="rId20" /><Relationship Type="http://schemas.openxmlformats.org/officeDocument/2006/relationships/externalLink" Target="/xl/externalLinks/externalLink10.xml" Id="rId21" /><Relationship Type="http://schemas.openxmlformats.org/officeDocument/2006/relationships/externalLink" Target="/xl/externalLinks/externalLink11.xml" Id="rId22" /><Relationship Type="http://schemas.openxmlformats.org/officeDocument/2006/relationships/externalLink" Target="/xl/externalLinks/externalLink12.xml" Id="rId23" /><Relationship Type="http://schemas.openxmlformats.org/officeDocument/2006/relationships/externalLink" Target="/xl/externalLinks/externalLink13.xml" Id="rId24" /><Relationship Type="http://schemas.openxmlformats.org/officeDocument/2006/relationships/externalLink" Target="/xl/externalLinks/externalLink14.xml" Id="rId25" /><Relationship Type="http://schemas.openxmlformats.org/officeDocument/2006/relationships/externalLink" Target="/xl/externalLinks/externalLink15.xml" Id="rId26" /><Relationship Type="http://schemas.openxmlformats.org/officeDocument/2006/relationships/externalLink" Target="/xl/externalLinks/externalLink16.xml" Id="rId27" /><Relationship Type="http://schemas.openxmlformats.org/officeDocument/2006/relationships/externalLink" Target="/xl/externalLinks/externalLink17.xml" Id="rId28" /><Relationship Type="http://schemas.openxmlformats.org/officeDocument/2006/relationships/externalLink" Target="/xl/externalLinks/externalLink18.xml" Id="rId29" /><Relationship Type="http://schemas.openxmlformats.org/officeDocument/2006/relationships/externalLink" Target="/xl/externalLinks/externalLink19.xml" Id="rId30" /><Relationship Type="http://schemas.openxmlformats.org/officeDocument/2006/relationships/externalLink" Target="/xl/externalLinks/externalLink20.xml" Id="rId31" /><Relationship Type="http://schemas.openxmlformats.org/officeDocument/2006/relationships/externalLink" Target="/xl/externalLinks/externalLink21.xml" Id="rId32" /><Relationship Type="http://schemas.openxmlformats.org/officeDocument/2006/relationships/externalLink" Target="/xl/externalLinks/externalLink22.xml" Id="rId33" /><Relationship Type="http://schemas.openxmlformats.org/officeDocument/2006/relationships/externalLink" Target="/xl/externalLinks/externalLink23.xml" Id="rId34" /><Relationship Type="http://schemas.openxmlformats.org/officeDocument/2006/relationships/externalLink" Target="/xl/externalLinks/externalLink24.xml" Id="rId35" /><Relationship Type="http://schemas.openxmlformats.org/officeDocument/2006/relationships/externalLink" Target="/xl/externalLinks/externalLink25.xml" Id="rId36" /><Relationship Type="http://schemas.openxmlformats.org/officeDocument/2006/relationships/externalLink" Target="/xl/externalLinks/externalLink26.xml" Id="rId37" /><Relationship Type="http://schemas.openxmlformats.org/officeDocument/2006/relationships/externalLink" Target="/xl/externalLinks/externalLink27.xml" Id="rId38" /><Relationship Type="http://schemas.openxmlformats.org/officeDocument/2006/relationships/externalLink" Target="/xl/externalLinks/externalLink28.xml" Id="rId39" /><Relationship Type="http://schemas.openxmlformats.org/officeDocument/2006/relationships/externalLink" Target="/xl/externalLinks/externalLink29.xml" Id="rId40" /><Relationship Type="http://schemas.openxmlformats.org/officeDocument/2006/relationships/externalLink" Target="/xl/externalLinks/externalLink30.xml" Id="rId41" /><Relationship Type="http://schemas.openxmlformats.org/officeDocument/2006/relationships/externalLink" Target="/xl/externalLinks/externalLink31.xml" Id="rId42" /><Relationship Type="http://schemas.openxmlformats.org/officeDocument/2006/relationships/externalLink" Target="/xl/externalLinks/externalLink32.xml" Id="rId43" /><Relationship Type="http://schemas.openxmlformats.org/officeDocument/2006/relationships/externalLink" Target="/xl/externalLinks/externalLink33.xml" Id="rId44" /><Relationship Type="http://schemas.openxmlformats.org/officeDocument/2006/relationships/externalLink" Target="/xl/externalLinks/externalLink34.xml" Id="rId45" /><Relationship Type="http://schemas.openxmlformats.org/officeDocument/2006/relationships/externalLink" Target="/xl/externalLinks/externalLink35.xml" Id="rId46" /><Relationship Type="http://schemas.openxmlformats.org/officeDocument/2006/relationships/externalLink" Target="/xl/externalLinks/externalLink36.xml" Id="rId47" /><Relationship Type="http://schemas.openxmlformats.org/officeDocument/2006/relationships/externalLink" Target="/xl/externalLinks/externalLink37.xml" Id="rId48" /><Relationship Type="http://schemas.openxmlformats.org/officeDocument/2006/relationships/externalLink" Target="/xl/externalLinks/externalLink38.xml" Id="rId49" /><Relationship Type="http://schemas.openxmlformats.org/officeDocument/2006/relationships/externalLink" Target="/xl/externalLinks/externalLink39.xml" Id="rId50" /><Relationship Type="http://schemas.openxmlformats.org/officeDocument/2006/relationships/externalLink" Target="/xl/externalLinks/externalLink40.xml" Id="rId51" /><Relationship Type="http://schemas.openxmlformats.org/officeDocument/2006/relationships/externalLink" Target="/xl/externalLinks/externalLink41.xml" Id="rId52" /><Relationship Type="http://schemas.openxmlformats.org/officeDocument/2006/relationships/externalLink" Target="/xl/externalLinks/externalLink42.xml" Id="rId53" /><Relationship Type="http://schemas.openxmlformats.org/officeDocument/2006/relationships/externalLink" Target="/xl/externalLinks/externalLink43.xml" Id="rId54" /><Relationship Type="http://schemas.openxmlformats.org/officeDocument/2006/relationships/externalLink" Target="/xl/externalLinks/externalLink44.xml" Id="rId55" /><Relationship Type="http://schemas.openxmlformats.org/officeDocument/2006/relationships/externalLink" Target="/xl/externalLinks/externalLink45.xml" Id="rId56" /><Relationship Type="http://schemas.openxmlformats.org/officeDocument/2006/relationships/externalLink" Target="/xl/externalLinks/externalLink46.xml" Id="rId57" /><Relationship Type="http://schemas.openxmlformats.org/officeDocument/2006/relationships/externalLink" Target="/xl/externalLinks/externalLink47.xml" Id="rId58" /><Relationship Type="http://schemas.openxmlformats.org/officeDocument/2006/relationships/styles" Target="styles.xml" Id="rId59" /><Relationship Type="http://schemas.openxmlformats.org/officeDocument/2006/relationships/theme" Target="theme/theme1.xml" Id="rId60"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131383519837233"/>
          <y val="0.111864876090267"/>
          <w val="0.373804679552391"/>
          <h val="0.852831233559463"/>
        </manualLayout>
      </layout>
      <doughnutChart>
        <varyColors val="1"/>
        <ser>
          <idx val="0"/>
          <order val="0"/>
          <spPr>
            <a:gradFill>
              <a:gsLst>
                <a:gs pos="0">
                  <a:srgbClr val="333399"/>
                </a:gs>
                <a:gs pos="100000">
                  <a:srgbClr val="0066cc"/>
                </a:gs>
              </a:gsLst>
              <a:lin ang="16200000"/>
            </a:gradFill>
            <a:ln w="0">
              <a:noFill/>
              <a:prstDash val="solid"/>
            </a:ln>
          </spPr>
          <explosion val="0"/>
          <dPt>
            <idx val="0"/>
            <spPr>
              <a:gradFill>
                <a:gsLst>
                  <a:gs pos="0">
                    <a:srgbClr val="333399"/>
                  </a:gs>
                  <a:gs pos="100000">
                    <a:srgbClr val="0066cc"/>
                  </a:gs>
                </a:gsLst>
                <a:lin ang="16200000"/>
              </a:gradFill>
              <a:ln w="0">
                <a:noFill/>
                <a:prstDash val="solid"/>
              </a:ln>
            </spPr>
          </dPt>
          <dPt>
            <idx val="1"/>
            <spPr>
              <a:ln w="0">
                <a:noFill/>
                <a:prstDash val="solid"/>
              </a:ln>
            </spPr>
          </dPt>
          <dPt>
            <idx val="2"/>
            <spPr>
              <a:gradFill>
                <a:gsLst>
                  <a:gs pos="0">
                    <a:srgbClr val="808000"/>
                  </a:gs>
                  <a:gs pos="100000">
                    <a:srgbClr val="99cc00"/>
                  </a:gs>
                </a:gsLst>
                <a:lin ang="16200000"/>
              </a:gradFill>
              <a:ln w="0">
                <a:noFill/>
                <a:prstDash val="solid"/>
              </a:ln>
            </spPr>
          </dPt>
          <dPt>
            <idx val="3"/>
            <spPr>
              <a:gradFill>
                <a:gsLst>
                  <a:gs pos="0">
                    <a:srgbClr val="333399"/>
                  </a:gs>
                  <a:gs pos="100000">
                    <a:srgbClr val="666699"/>
                  </a:gs>
                </a:gsLst>
                <a:lin ang="16200000"/>
              </a:gradFill>
              <a:ln w="0">
                <a:noFill/>
                <a:prstDash val="solid"/>
              </a:ln>
            </spPr>
          </dPt>
          <dPt>
            <idx val="4"/>
            <spPr>
              <a:gradFill>
                <a:gsLst>
                  <a:gs pos="0">
                    <a:srgbClr val="008080"/>
                  </a:gs>
                  <a:gs pos="100000">
                    <a:srgbClr val="33cccc"/>
                  </a:gs>
                </a:gsLst>
                <a:lin ang="16200000"/>
              </a:gradFill>
              <a:ln w="0">
                <a:noFill/>
                <a:prstDash val="solid"/>
              </a:ln>
            </spPr>
          </dPt>
          <dPt>
            <idx val="5"/>
            <spPr>
              <a:gradFill>
                <a:gsLst>
                  <a:gs pos="0">
                    <a:srgbClr val="993300"/>
                  </a:gs>
                  <a:gs pos="100000">
                    <a:srgbClr val="ff6600"/>
                  </a:gs>
                </a:gsLst>
                <a:lin ang="16200000"/>
              </a:gradFill>
              <a:ln w="0">
                <a:noFill/>
                <a:prstDash val="solid"/>
              </a:ln>
            </spPr>
          </dPt>
          <dPt>
            <idx val="6"/>
            <spPr>
              <a:gradFill>
                <a:gsLst>
                  <a:gs pos="0">
                    <a:srgbClr val="666699"/>
                  </a:gs>
                  <a:gs pos="100000">
                    <a:srgbClr val="9999ff"/>
                  </a:gs>
                </a:gsLst>
                <a:lin ang="16200000"/>
              </a:gradFill>
              <a:ln w="0">
                <a:noFill/>
                <a:prstDash val="solid"/>
              </a:ln>
            </spPr>
          </dPt>
          <dLbls>
            <dLbl>
              <idx val="0"/>
              <txPr>
                <a:bodyPr/>
                <a:lstStyle/>
                <a:p>
                  <a:pPr>
                    <a:defRPr sz="1000" b="1" strike="noStrike" spc="-1">
                      <a:solidFill>
                        <a:srgbClr val="ccffff"/>
                      </a:solidFill>
                      <a:latin typeface="Calibri"/>
                    </a:defRPr>
                  </a:pPr>
                  <a:r>
                    <a:t/>
                  </a:r>
                </a:p>
              </txPr>
              <showLegendKey val="0"/>
              <showVal val="1"/>
              <showCatName val="0"/>
              <showSerName val="0"/>
              <showPercent val="0"/>
            </dLbl>
            <dLbl>
              <idx val="1"/>
              <txPr>
                <a:bodyPr/>
                <a:lstStyle/>
                <a:p>
                  <a:pPr>
                    <a:defRPr sz="1000" b="1" strike="noStrike" spc="-1">
                      <a:solidFill>
                        <a:srgbClr val="ccffff"/>
                      </a:solidFill>
                      <a:latin typeface="Calibri"/>
                    </a:defRPr>
                  </a:pPr>
                  <a:r>
                    <a:t/>
                  </a:r>
                </a:p>
              </txPr>
              <showLegendKey val="0"/>
              <showVal val="1"/>
              <showCatName val="0"/>
              <showSerName val="0"/>
              <showPercent val="0"/>
            </dLbl>
            <dLbl>
              <idx val="2"/>
              <txPr>
                <a:bodyPr/>
                <a:lstStyle/>
                <a:p>
                  <a:pPr>
                    <a:defRPr sz="1000" b="1" strike="noStrike" spc="-1">
                      <a:solidFill>
                        <a:srgbClr val="ccffff"/>
                      </a:solidFill>
                      <a:latin typeface="Calibri"/>
                    </a:defRPr>
                  </a:pPr>
                  <a:r>
                    <a:t/>
                  </a:r>
                </a:p>
              </txPr>
              <showLegendKey val="0"/>
              <showVal val="1"/>
              <showCatName val="0"/>
              <showSerName val="0"/>
              <showPercent val="0"/>
            </dLbl>
            <dLbl>
              <idx val="3"/>
              <txPr>
                <a:bodyPr/>
                <a:lstStyle/>
                <a:p>
                  <a:pPr>
                    <a:defRPr sz="1000" b="1" strike="noStrike" spc="-1">
                      <a:solidFill>
                        <a:srgbClr val="ccffff"/>
                      </a:solidFill>
                      <a:latin typeface="Calibri"/>
                    </a:defRPr>
                  </a:pPr>
                  <a:r>
                    <a:t/>
                  </a:r>
                </a:p>
              </txPr>
              <showLegendKey val="0"/>
              <showVal val="1"/>
              <showCatName val="0"/>
              <showSerName val="0"/>
              <showPercent val="0"/>
            </dLbl>
            <dLbl>
              <idx val="4"/>
              <txPr>
                <a:bodyPr/>
                <a:lstStyle/>
                <a:p>
                  <a:pPr>
                    <a:defRPr sz="1000" b="1" strike="noStrike" spc="-1">
                      <a:solidFill>
                        <a:srgbClr val="ccffff"/>
                      </a:solidFill>
                      <a:latin typeface="Calibri"/>
                    </a:defRPr>
                  </a:pPr>
                  <a:r>
                    <a:t/>
                  </a:r>
                </a:p>
              </txPr>
              <showLegendKey val="0"/>
              <showVal val="1"/>
              <showCatName val="0"/>
              <showSerName val="0"/>
              <showPercent val="0"/>
            </dLbl>
            <dLbl>
              <idx val="5"/>
              <txPr>
                <a:bodyPr/>
                <a:lstStyle/>
                <a:p>
                  <a:pPr>
                    <a:defRPr sz="1000" b="0" strike="noStrike" spc="-1">
                      <a:latin typeface="Arial"/>
                    </a:defRPr>
                  </a:pPr>
                  <a:r>
                    <a:t/>
                  </a:r>
                </a:p>
              </txPr>
              <showLegendKey val="0"/>
              <showVal val="0"/>
              <showCatName val="0"/>
              <showSerName val="0"/>
              <showPercent val="0"/>
            </dLbl>
            <dLbl>
              <idx val="6"/>
              <txPr>
                <a:bodyPr/>
                <a:lstStyle/>
                <a:p>
                  <a:pPr>
                    <a:defRPr sz="1000" b="1" strike="noStrike" spc="-1">
                      <a:solidFill>
                        <a:srgbClr val="ccffff"/>
                      </a:solidFill>
                      <a:latin typeface="Calibri"/>
                    </a:defRPr>
                  </a:pPr>
                  <a:r>
                    <a:t/>
                  </a:r>
                </a:p>
              </txPr>
              <showLegendKey val="0"/>
              <showVal val="1"/>
              <showCatName val="0"/>
              <showSerName val="0"/>
              <showPercent val="0"/>
            </dLbl>
            <txPr>
              <a:bodyPr/>
              <a:lstStyle/>
              <a:p>
                <a:pPr>
                  <a:defRPr sz="1000" b="0" strike="noStrike" spc="-1">
                    <a:latin typeface="Arial"/>
                  </a:defRPr>
                </a:pPr>
                <a:r>
                  <a:t/>
                </a:r>
              </a:p>
            </txPr>
            <showLegendKey val="0"/>
            <showVal val="0"/>
            <showCatName val="0"/>
            <showSerName val="0"/>
            <showPercent val="0"/>
            <showLeaderLines val="1"/>
          </dLbls>
          <cat>
            <strRef>
              <f>'COMPANY OVERVIEW'!$A$32:$A$38</f>
              <strCache>
                <ptCount val="7"/>
                <pt idx="0">
                  <v>Natural Gas Trading</v>
                </pt>
                <pt idx="1">
                  <v>Transmission Services - Natural Gas</v>
                </pt>
                <pt idx="2">
                  <v>Petrochemicals</v>
                </pt>
                <pt idx="3">
                  <v>LPG &amp; Liquid Hydrocarbons</v>
                </pt>
                <pt idx="4">
                  <v>Transmission Services - LPG</v>
                </pt>
                <pt idx="5">
                  <v>Gailtel</v>
                </pt>
                <pt idx="6">
                  <v>Others</v>
                </pt>
              </strCache>
            </strRef>
          </cat>
          <val>
            <numRef>
              <f>'COMPANY OVERVIEW'!$B$32:$B$38</f>
              <numCache>
                <formatCode>_(* #,##0_);_(* \(#,##0\);_(* \-??_);_(@_)</formatCode>
                <ptCount val="7"/>
                <pt idx="0">
                  <v>183084</v>
                </pt>
                <pt idx="1">
                  <v>25081</v>
                </pt>
                <pt idx="2">
                  <v>27335</v>
                </pt>
                <pt idx="3">
                  <v>29900</v>
                </pt>
                <pt idx="4">
                  <v>3819</v>
                </pt>
                <pt idx="5">
                  <v>243</v>
                </pt>
                <pt idx="6">
                  <v>5749</v>
                </pt>
              </numCache>
            </numRef>
          </val>
        </ser>
        <firstSliceAng val="0"/>
        <holeSize val="50"/>
      </doughnutChart>
    </plotArea>
    <legend>
      <legendPos val="r"/>
      <layout>
        <manualLayout>
          <xMode val="edge"/>
          <yMode val="edge"/>
          <wMode val="factor"/>
          <hMode val="factor"/>
          <x val="0.586266531027467"/>
          <y val="0.0639623425169597"/>
          <w val="0.321210579857579"/>
          <h val="0.976879412986294"/>
        </manualLayout>
      </layout>
      <overlay val="0"/>
      <spPr>
        <a:noFill/>
        <a:ln w="0">
          <a:noFill/>
          <a:prstDash val="solid"/>
        </a:ln>
      </spPr>
      <txPr>
        <a:bodyPr/>
        <a:lstStyle/>
        <a:p>
          <a:pPr>
            <a:defRPr sz="1000" b="1" strike="noStrike" spc="-1">
              <a:solidFill>
                <a:srgbClr val="ccffff"/>
              </a:solidFill>
              <a:latin typeface="Calibri"/>
            </a:defRPr>
          </a:pPr>
          <a:r>
            <a:t/>
          </a:r>
        </a:p>
      </txPr>
    </legend>
    <plotVisOnly val="1"/>
    <dispBlanksAs val="zero"/>
  </chart>
  <spPr>
    <a:solidFill>
      <a:srgbClr val="000000"/>
    </a:solidFill>
    <a:ln w="0">
      <a:noFill/>
      <a:prstDash val="solid"/>
    </a:ln>
  </spPr>
</chartSpace>
</file>

<file path=xl/comments/comment1.xml><?xml version="1.0" encoding="utf-8"?>
<comments xmlns="http://schemas.openxmlformats.org/spreadsheetml/2006/main">
  <authors>
    <author>Unknown Author</author>
  </authors>
  <commentList>
    <comment ref="B51" authorId="0" shapeId="0">
      <text>
        <t xml:space="preserve">Amount includes , 
Both 'Natural Gas Trading' &amp; 'Transmission Services - Natural Gas'.
</t>
      </text>
    </comment>
    <comment ref="G51" authorId="0" shapeId="0">
      <text>
        <t xml:space="preserve">Amount includes , 
Both 'Natural Gas Trading' &amp; 'Transmission Services - Natural Gas'.
</t>
      </text>
    </comment>
    <comment ref="H51" authorId="0" shapeId="0">
      <text>
        <t>Amount includes , 
Both 'Natural Gas Trading' &amp; 'Transmission Services - Natural Gas'.</t>
      </text>
    </comment>
    <comment ref="I51" authorId="0" shapeId="0">
      <text>
        <t xml:space="preserve">TOTAL = 4543.3
</t>
      </text>
    </comment>
    <comment ref="J51" authorId="0" shapeId="0">
      <text>
        <t xml:space="preserve">TOTAL = 44467
</t>
      </text>
    </comment>
    <comment ref="B65" authorId="0" shapeId="0">
      <text>
        <t>Amount includes , Natural Gas Trading + Natural Gas Transmission , values 
together.
Therefore Transmission Services-Natural Gas is shown as "0".</t>
      </text>
    </comment>
    <comment ref="G65" authorId="0" shapeId="0">
      <text>
        <t xml:space="preserve">Amount includes , Natural Gas Trading + Natural Gas Transmission , values 
together.
Therefore Transmission Services-Natural Gas is shown as "0".
</t>
      </text>
    </comment>
    <comment ref="H65" authorId="0" shapeId="0">
      <text>
        <t>Amount includes , Natural Gas Trading + Natural Gas Transmission , values 
together.
Therefore Transmission Services-Natural Gas is shown as "0".</t>
      </text>
    </comment>
  </commentList>
</comments>
</file>

<file path=xl/comments/comment2.xml><?xml version="1.0" encoding="utf-8"?>
<comments xmlns="http://schemas.openxmlformats.org/spreadsheetml/2006/main">
  <authors>
    <author>Unknown Author</author>
  </authors>
  <commentList>
    <comment ref="F43" authorId="0" shapeId="0">
      <text>
        <t xml:space="preserve">The Figures here are total of Current Liabilities &amp; Provisions.
</t>
      </text>
    </comment>
  </commentList>
</comments>
</file>

<file path=xl/comments/comment3.xml><?xml version="1.0" encoding="utf-8"?>
<comments xmlns="http://schemas.openxmlformats.org/spreadsheetml/2006/main">
  <authors>
    <author>Unknown Author</author>
  </authors>
  <commentList>
    <comment ref="A50" authorId="0" shapeId="0">
      <text>
        <t>psec:
balancing figure</t>
      </text>
    </comment>
  </commentList>
</comments>
</file>

<file path=xl/comments/comment4.xml><?xml version="1.0" encoding="utf-8"?>
<comments xmlns="http://schemas.openxmlformats.org/spreadsheetml/2006/main">
  <authors>
    <author>Unknown Author</author>
  </authors>
  <commentList>
    <comment ref="B12" authorId="0" shapeId="0">
      <text>
        <t>Hp:
Value taken from finance.yahoo.com</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3</col>
      <colOff>392400</colOff>
      <row>33</row>
      <rowOff>57240</rowOff>
    </from>
    <to>
      <col>13</col>
      <colOff>280800</colOff>
      <row>45</row>
      <rowOff>171360</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PIFS/Research%20Group/SUNIL/office_data/Projects/Revenue%20model/FY%2003-04/Business%20Plan/office_data/Projects/Revenue%20model/FY%2003-04/Rev%20model%20main%20-%201.xls" TargetMode="External" Id="rId1" /></Relationships>
</file>

<file path=xl/externalLinks/_rels/externalLink2.xml.rels><Relationships xmlns="http://schemas.openxmlformats.org/package/2006/relationships"><Relationship Type="http://schemas.openxmlformats.org/officeDocument/2006/relationships/externalLinkPath" Target="file://Internet/f/June07_JJ/Documents%20and%20Settings/hiren/Local%20Settings/Temporary%20Internet%20Files/Content.IE5/GG87HUS9/2004-05/Treasury/PCL.xls" TargetMode="External" Id="rId1" /></Relationships>
</file>

<file path=xl/externalLinks/_rels/externalLink3.xml.rels><Relationships xmlns="http://schemas.openxmlformats.org/package/2006/relationships"><Relationship Type="http://schemas.openxmlformats.org/officeDocument/2006/relationships/externalLinkPath" Target="file://Internet/f/June07_JJ/USER/ACCOUNT/PRANAV/COD/CODMARCH/DOCUME~1/kgshah/LOCALS~1/Temp/PCL.xls" TargetMode="External" Id="rId1" /></Relationships>
</file>

<file path=xl/externalLinks/_rels/externalLink4.xml.rels><Relationships xmlns="http://schemas.openxmlformats.org/package/2006/relationships"><Relationship Type="http://schemas.openxmlformats.org/officeDocument/2006/relationships/externalLinkPath" Target="file://Moslnp/Inquire%20Research/ar/fmcg/company%20itc/ITC%20model.xls" TargetMode="External" Id="rId1" /></Relationships>
</file>

<file path=xl/externalLinks/_rels/externalLink5.xml.rels><Relationships xmlns="http://schemas.openxmlformats.org/package/2006/relationships"><Relationship Type="http://schemas.openxmlformats.org/officeDocument/2006/relationships/externalLinkPath" Target="file://tanuj/Desktop/WINDOWS/Temporary%20Internet%20Files/Content.IE5/0TGJ0RO5/CIPLA-pl.xls" TargetMode="External" Id="rId1" /></Relationships>
</file>

<file path=xl/externalLinks/_rels/externalLink6.xml.rels><Relationships xmlns="http://schemas.openxmlformats.org/package/2006/relationships"><Relationship Type="http://schemas.openxmlformats.org/officeDocument/2006/relationships/externalLinkPath" Target="../../ExcelFiles/Budget.xls" TargetMode="External" Id="rId1" /></Relationships>
</file>

<file path=xl/externalLinks/_rels/externalLink7.xml.rels><Relationships xmlns="http://schemas.openxmlformats.org/package/2006/relationships"><Relationship Type="http://schemas.openxmlformats.org/officeDocument/2006/relationships/externalLinkPath" Target="file://Internet/f/June07_JJ/USER/ACCOUNT/PRANAV/COD/CODMARCH/Ankit%20shah/c/My%20Documents/2004/Treasury/PCL.xls" TargetMode="External" Id="rId1" /></Relationships>
</file>

<file path=xl/externalLinks/_rels/externalLink8.xml.rels><Relationships xmlns="http://schemas.openxmlformats.org/package/2006/relationships"><Relationship Type="http://schemas.openxmlformats.org/officeDocument/2006/relationships/externalLinkPath" Target="file://PIFS/Research%20Group/TEMP/hll%20askrj.xls" TargetMode="External" Id="rId1" /></Relationships>
</file>

<file path=xl/externalLinks/_rels/externalLink9.xml.rels><Relationships xmlns="http://schemas.openxmlformats.org/package/2006/relationships"><Relationship Type="http://schemas.openxmlformats.org/officeDocument/2006/relationships/externalLinkPath" Target="file://Internet/f/My%20Documents/70%2525%20stake.xls" TargetMode="External" Id="rId1" /></Relationships>
</file>

<file path=xl/externalLinks/_rels/externalLink10.xml.rels><Relationships xmlns="http://schemas.openxmlformats.org/package/2006/relationships"><Relationship Type="http://schemas.openxmlformats.org/officeDocument/2006/relationships/externalLinkPath" Target="file://server/Public/Research/fmcg/company%20hll/hll%20model.xls" TargetMode="External" Id="rId1" /></Relationships>
</file>

<file path=xl/externalLinks/_rels/externalLink11.xml.rels><Relationships xmlns="http://schemas.openxmlformats.org/package/2006/relationships"><Relationship Type="http://schemas.openxmlformats.org/officeDocument/2006/relationships/externalLinkPath" Target="file://Nt4/G/FMCG/company%20sb/sb%20askrj.xls" TargetMode="External" Id="rId1" /></Relationships>
</file>

<file path=xl/externalLinks/_rels/externalLink12.xml.rels><Relationships xmlns="http://schemas.openxmlformats.org/package/2006/relationships"><Relationship Type="http://schemas.openxmlformats.org/officeDocument/2006/relationships/externalLinkPath" Target="file://IRESHK01D/Projects/GENERAL/TELECOMS/THAILAND/TAC/EM-TAC.xls" TargetMode="External" Id="rId1" /></Relationships>
</file>

<file path=xl/externalLinks/_rels/externalLink13.xml.rels><Relationships xmlns="http://schemas.openxmlformats.org/package/2006/relationships"><Relationship Type="http://schemas.openxmlformats.org/officeDocument/2006/relationships/externalLinkPath" Target="../../ExcelFiles/Apr.xls" TargetMode="External" Id="rId1" /></Relationships>
</file>

<file path=xl/externalLinks/_rels/externalLink14.xml.rels><Relationships xmlns="http://schemas.openxmlformats.org/package/2006/relationships"><Relationship Type="http://schemas.openxmlformats.org/officeDocument/2006/relationships/externalLinkPath" Target="file://PIFS/Research%20Group/SUNIL/office_data/Projects/Revenue%20model/FY%2003-04/Business%20Plan/office_data/Projects/Samho%20Hull%20S-150/Proposal%20Analysis.xls" TargetMode="External" Id="rId1" /></Relationships>
</file>

<file path=xl/externalLinks/_rels/externalLink15.xml.rels><Relationships xmlns="http://schemas.openxmlformats.org/package/2006/relationships"><Relationship Type="http://schemas.openxmlformats.org/officeDocument/2006/relationships/externalLinkPath" Target="file://Satisht/d/My%20Documents/sski/general/fmcg%20market.xls" TargetMode="External" Id="rId1" /></Relationships>
</file>

<file path=xl/externalLinks/_rels/externalLink16.xml.rels><Relationships xmlns="http://schemas.openxmlformats.org/package/2006/relationships"><Relationship Type="http://schemas.openxmlformats.org/officeDocument/2006/relationships/externalLinkPath" Target="file://PIFS/Research%20Group/Harish/Infosys/infosys-1Q-03-A.xls" TargetMode="External" Id="rId1" /></Relationships>
</file>

<file path=xl/externalLinks/_rels/externalLink17.xml.rels><Relationships xmlns="http://schemas.openxmlformats.org/package/2006/relationships"><Relationship Type="http://schemas.openxmlformats.org/officeDocument/2006/relationships/externalLinkPath" Target="file://vartharajan/MOSL%20O&amp;G/Varatha/O&amp;G-petrochem/MOSL%20O&amp;G/Oil/BPCL%20consolidated.xls" TargetMode="External" Id="rId1" /></Relationships>
</file>

<file path=xl/externalLinks/_rels/externalLink18.xml.rels><Relationships xmlns="http://schemas.openxmlformats.org/package/2006/relationships"><Relationship Type="http://schemas.openxmlformats.org/officeDocument/2006/relationships/externalLinkPath" Target="file://server/database/Krishan/Price_data_B&amp;K.xls" TargetMode="External" Id="rId1" /></Relationships>
</file>

<file path=xl/externalLinks/_rels/externalLink19.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py_of_%20FCI_Chennai_silo.xls" TargetMode="External" Id="rId1" /></Relationships>
</file>

<file path=xl/externalLinks/_rels/externalLink20.xml.rels><Relationships xmlns="http://schemas.openxmlformats.org/package/2006/relationships"><Relationship Type="http://schemas.openxmlformats.org/officeDocument/2006/relationships/externalLinkPath" Target="file://Internet/f/June07_JJ/ACCOUNT/PRANAV/COD/CODDEC/DOCUME~1/kgshah/LOCALS~1/Temp/PCL.xls" TargetMode="External" Id="rId1" /></Relationships>
</file>

<file path=xl/externalLinks/_rels/externalLink21.xml.rels><Relationships xmlns="http://schemas.openxmlformats.org/package/2006/relationships"><Relationship Type="http://schemas.openxmlformats.org/officeDocument/2006/relationships/externalLinkPath" Target="file://Internet/f/Research/srini/L&amp;t/LART-00.xls" TargetMode="External" Id="rId1" /></Relationships>
</file>

<file path=xl/externalLinks/_rels/externalLink22.xml.rels><Relationships xmlns="http://schemas.openxmlformats.org/package/2006/relationships"><Relationship Type="http://schemas.openxmlformats.org/officeDocument/2006/relationships/externalLinkPath" Target="../../ExcelFiles/%08DDIC.XLS" TargetMode="External" Id="rId1" /></Relationships>
</file>

<file path=xl/externalLinks/_rels/externalLink23.xml.rels><Relationships xmlns="http://schemas.openxmlformats.org/package/2006/relationships"><Relationship Type="http://schemas.openxmlformats.org/officeDocument/2006/relationships/externalLinkPath" Target="file://satisht/D/ar/fmcg/company%20itc/ITC%20model.xls" TargetMode="External" Id="rId1" /></Relationships>
</file>

<file path=xl/externalLinks/_rels/externalLink24.xml.rels><Relationships xmlns="http://schemas.openxmlformats.org/package/2006/relationships"><Relationship Type="http://schemas.openxmlformats.org/officeDocument/2006/relationships/externalLinkPath" Target="../../ExcelFiles/GAEL-12mach_68cr_24INSTALLMENT.xls" TargetMode="External" Id="rId1" /></Relationships>
</file>

<file path=xl/externalLinks/_rels/externalLink25.xml.rels><Relationships xmlns="http://schemas.openxmlformats.org/package/2006/relationships"><Relationship Type="http://schemas.openxmlformats.org/officeDocument/2006/relationships/externalLinkPath" Target="file://Anand/c/SCI/Latest%20Files_May18/Latest%20Internal/SCI_Char.xls" TargetMode="External" Id="rId1" /></Relationships>
</file>

<file path=xl/externalLinks/_rels/externalLink26.xml.rels><Relationships xmlns="http://schemas.openxmlformats.org/package/2006/relationships"><Relationship Type="http://schemas.openxmlformats.org/officeDocument/2006/relationships/externalLinkPath" Target="file://IRESHK01D/PROJECTS/GENERAL/TELECOMS/VALUATION/valuation/New%20valuation/WEEKLYxls.xls" TargetMode="External" Id="rId1" /></Relationships>
</file>

<file path=xl/externalLinks/_rels/externalLink27.xml.rels><Relationships xmlns="http://schemas.openxmlformats.org/package/2006/relationships"><Relationship Type="http://schemas.openxmlformats.org/officeDocument/2006/relationships/externalLinkPath" Target="file://Idiotbox/krutik/Documents%20and%20Settings/sunny/Local%20Settings/Temporary%20Internet%20Files/Content.IE5/4XEJ0PAF/SILOS.xls" TargetMode="External" Id="rId1" /></Relationships>
</file>

<file path=xl/externalLinks/_rels/externalLink28.xml.rels><Relationships xmlns="http://schemas.openxmlformats.org/package/2006/relationships"><Relationship Type="http://schemas.openxmlformats.org/officeDocument/2006/relationships/externalLinkPath" Target="file://Internet/f/My%20Documents/70%2525%20stake_revised.xls" TargetMode="External" Id="rId1" /></Relationships>
</file>

<file path=xl/externalLinks/_rels/externalLink29.xml.rels><Relationships xmlns="http://schemas.openxmlformats.org/package/2006/relationships"><Relationship Type="http://schemas.openxmlformats.org/officeDocument/2006/relationships/externalLinkPath" Target="../../../../../../../../S:/GROUP/Publications/EDM%20Project/RNetTemplateTools/ResNetUpdate%201a.xls" TargetMode="External" Id="rId1" /></Relationships>
</file>

<file path=xl/externalLinks/_rels/externalLink30.xml.rels><Relationships xmlns="http://schemas.openxmlformats.org/package/2006/relationships"><Relationship Type="http://schemas.openxmlformats.org/officeDocument/2006/relationships/externalLinkPath" Target="file://satisht/D/ar/fmcg/company%20hll/hll%20model.xls" TargetMode="External" Id="rId1" /></Relationships>
</file>

<file path=xl/externalLinks/_rels/externalLink31.xml.rels><Relationships xmlns="http://schemas.openxmlformats.org/package/2006/relationships"><Relationship Type="http://schemas.openxmlformats.org/officeDocument/2006/relationships/externalLinkPath" Target="file://Taher/TAHER_C/TEMP/TAHER/AUTOMAS.XLS" TargetMode="External" Id="rId1" /></Relationships>
</file>

<file path=xl/externalLinks/_rels/externalLink32.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mbined%20FCI_%20Model_COSTING.xls" TargetMode="External" Id="rId1" /></Relationships>
</file>

<file path=xl/externalLinks/_rels/externalLink33.xml.rels><Relationships xmlns="http://schemas.openxmlformats.org/package/2006/relationships"><Relationship Type="http://schemas.openxmlformats.org/officeDocument/2006/relationships/externalLinkPath" Target="file://satisht/D/ar/fmcg/company%20britannia/brit%20model.xls" TargetMode="External" Id="rId1" /></Relationships>
</file>

<file path=xl/externalLinks/_rels/externalLink34.xml.rels><Relationships xmlns="http://schemas.openxmlformats.org/package/2006/relationships"><Relationship Type="http://schemas.openxmlformats.org/officeDocument/2006/relationships/externalLinkPath" Target="file://PIFS/Research%20Group/Finance/Projects/infrastructure/Consolidated%20Model%20-%20June%202007_revised%20figs_Dec07.xls" TargetMode="External" Id="rId1" /></Relationships>
</file>

<file path=xl/externalLinks/_rels/externalLink35.xml.rels><Relationships xmlns="http://schemas.openxmlformats.org/package/2006/relationships"><Relationship Type="http://schemas.openxmlformats.org/officeDocument/2006/relationships/externalLinkPath" Target="file://Internet/f/June07_JJ/Documents%20and%20Settings/sunny/My%20Documents/budget_ael/budget_new%20era/Budget_Desks_agro.xls" TargetMode="External" Id="rId1" /></Relationships>
</file>

<file path=xl/externalLinks/_rels/externalLink36.xml.rels><Relationships xmlns="http://schemas.openxmlformats.org/package/2006/relationships"><Relationship Type="http://schemas.openxmlformats.org/officeDocument/2006/relationships/externalLinkPath" Target="../../ExcelFiles/EXP0405.xls" TargetMode="External" Id="rId1" /></Relationships>
</file>

<file path=xl/externalLinks/_rels/externalLink37.xml.rels><Relationships xmlns="http://schemas.openxmlformats.org/package/2006/relationships"><Relationship Type="http://schemas.openxmlformats.org/officeDocument/2006/relationships/externalLinkPath" Target="file://PIFS/Research%20Group/sat/UTI/fmcg/company%20itc/industry%20data.xls" TargetMode="External" Id="rId1" /></Relationships>
</file>

<file path=xl/externalLinks/_rels/externalLink38.xml.rels><Relationships xmlns="http://schemas.openxmlformats.org/package/2006/relationships"><Relationship Type="http://schemas.openxmlformats.org/officeDocument/2006/relationships/externalLinkPath" Target="file://PIFS/Research%20Group/Finance/Projects/agrilogistics/AALL_Fin_model_v%204.1.xls" TargetMode="External" Id="rId1" /></Relationships>
</file>

<file path=xl/externalLinks/_rels/externalLink39.xml.rels><Relationships xmlns="http://schemas.openxmlformats.org/package/2006/relationships"><Relationship Type="http://schemas.openxmlformats.org/officeDocument/2006/relationships/externalLinkPath" Target="file://PIFS/Research%20Group/Rattina/Desktop/AALL/business%20model.xls" TargetMode="External" Id="rId1" /></Relationships>
</file>

<file path=xl/externalLinks/_rels/externalLink40.xml.rels><Relationships xmlns="http://schemas.openxmlformats.org/package/2006/relationships"><Relationship Type="http://schemas.openxmlformats.org/officeDocument/2006/relationships/externalLinkPath" Target="file://BNPEQU/RESEARCH/1MATHUR/STEEL/TISCO/RYMD.XLS" TargetMode="External" Id="rId1" /></Relationships>
</file>

<file path=xl/externalLinks/_rels/externalLink41.xml.rels><Relationships xmlns="http://schemas.openxmlformats.org/package/2006/relationships"><Relationship Type="http://schemas.openxmlformats.org/officeDocument/2006/relationships/externalLinkPath" Target="file://Internet/f/DOCUME~1/SIDHAR~1/LOCALS~1/Temp/notes758E9C/Pendrive/Textiles/welspunmoti.xls" TargetMode="External" Id="rId1" /></Relationships>
</file>

<file path=xl/externalLinks/_rels/externalLink42.xml.rels><Relationships xmlns="http://schemas.openxmlformats.org/package/2006/relationships"><Relationship Type="http://schemas.openxmlformats.org/officeDocument/2006/relationships/externalLinkPath" Target="file://Kewal/2004/2004/Treasury/PCL.xls" TargetMode="External" Id="rId1" /></Relationships>
</file>

<file path=xl/externalLinks/_rels/externalLink43.xml.rels><Relationships xmlns="http://schemas.openxmlformats.org/package/2006/relationships"><Relationship Type="http://schemas.openxmlformats.org/officeDocument/2006/relationships/externalLinkPath" Target="file://server/Public/My%20Documents/70%2525%20stake.xls" TargetMode="External" Id="rId1" /></Relationships>
</file>

<file path=xl/externalLinks/_rels/externalLink44.xml.rels><Relationships xmlns="http://schemas.openxmlformats.org/package/2006/relationships"><Relationship Type="http://schemas.openxmlformats.org/officeDocument/2006/relationships/externalLinkPath" Target="file://Abhay/c/USERS/NEELESH/TELECOM/VSNL/VSNL.XLS" TargetMode="External" Id="rId1" /></Relationships>
</file>

<file path=xl/externalLinks/_rels/externalLink45.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py_of_%20FCI_Chennai_silo.xls" TargetMode="External" Id="rId1" /></Relationships>
</file>

<file path=xl/externalLinks/_rels/externalLink46.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mbined%20FCI_%20Model_COSTING.xls" TargetMode="External" Id="rId1" /></Relationships>
</file>

<file path=xl/externalLinks/_rels/externalLink47.xml.rels><Relationships xmlns="http://schemas.openxmlformats.org/package/2006/relationships"><Relationship Type="http://schemas.openxmlformats.org/officeDocument/2006/relationships/externalLinkPath" Target="file://Capita/c/My%20Documents/Project/ITC%20Lt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sheetName val="Assumptions"/>
      <sheetName val="Crisil_Assumptions"/>
      <sheetName val="NB_GE"/>
      <sheetName val="Cpx"/>
      <sheetName val="WIP"/>
      <sheetName val="Earning_Assum"/>
      <sheetName val="PBDIT"/>
      <sheetName val="P&amp;L_Ship"/>
      <sheetName val="P&amp;L_Offshore"/>
      <sheetName val="Cashflow"/>
      <sheetName val="P&amp;L_Corporate"/>
      <sheetName val="P&amp;L_Company"/>
      <sheetName val="Dep_BV"/>
      <sheetName val="Overhead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harts"/>
      <sheetName val="Sheet1"/>
      <sheetName val="summ"/>
      <sheetName val="fp"/>
      <sheetName val="update"/>
      <sheetName val="Header"/>
      <sheetName val="Charts-FMCG"/>
      <sheetName val="main"/>
      <sheetName val="qtr"/>
      <sheetName val="qtr05"/>
      <sheetName val="qtr04"/>
      <sheetName val="2003"/>
      <sheetName val="res 2002"/>
      <sheetName val="sales"/>
      <sheetName val="Lux tax effect"/>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Profile"/>
      <sheetName val="Key Nos"/>
      <sheetName val="Earnings Sheet"/>
      <sheetName val="Formats"/>
      <sheetName val="Sales"/>
      <sheetName val="Results"/>
      <sheetName val="Input"/>
      <sheetName val="Calc"/>
      <sheetName val="Omeprazole"/>
      <sheetName val="DMFs"/>
      <sheetName val="CFC Inhaler"/>
      <sheetName val="GG"/>
      <sheetName val="Q-format"/>
      <sheetName val="Capital"/>
      <sheetName val="Charts"/>
      <sheetName val="Debt"/>
      <sheetName val="Tax"/>
      <sheetName val="CapEx"/>
      <sheetName val="QuanOP"/>
      <sheetName val="VarNa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Summary"/>
      <sheetName val="Coal"/>
      <sheetName val="FRM"/>
      <sheetName val="POL"/>
      <sheetName val="Textiles"/>
      <sheetName val="Agro"/>
      <sheetName val="Budget"/>
      <sheetName val="#REF"/>
      <sheetName val="Pulses"/>
      <sheetName val="P&amp;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acctmod"/>
      <sheetName val="prices"/>
      <sheetName val="quant"/>
      <sheetName val="fp"/>
      <sheetName val="bp"/>
    </sheetNames>
    <sheetDataSet>
      <sheetData sheetId="0"/>
      <sheetData sheetId="1"/>
      <sheetData sheetId="2"/>
      <sheetData sheetId="3"/>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Header"/>
      <sheetName val="update"/>
      <sheetName val="Comparative Table"/>
      <sheetName val="Financial Summary"/>
      <sheetName val="main"/>
      <sheetName val="pl_related"/>
      <sheetName val="bs_related"/>
      <sheetName val="Charts"/>
      <sheetName val="qtr"/>
      <sheetName val="QTR2005"/>
      <sheetName val="Price Hikes"/>
      <sheetName val="charts and tables"/>
      <sheetName val="QTR2004"/>
      <sheetName val="qtr2003"/>
      <sheetName val="2002"/>
      <sheetName val="2001"/>
      <sheetName val="segmental"/>
      <sheetName val="sales"/>
      <sheetName val="fg"/>
      <sheetName val="rm"/>
      <sheetName val="dcf"/>
      <sheetName val="FA"/>
      <sheetName val="mna"/>
      <sheetName val="subs"/>
      <sheetName val="board"/>
      <sheetName val="H+P"/>
      <sheetName val="proj Bharat"/>
      <sheetName val="branded staples"/>
      <sheetName val="det price cut"/>
      <sheetName val="dcf2"/>
      <sheetName val="debenture"/>
      <sheetName val="valuation"/>
      <sheetName val="PS &amp; 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acctmod"/>
      <sheetName val="per share"/>
      <sheetName val="owners"/>
      <sheetName val="cap hist"/>
      <sheetName val="prices"/>
      <sheetName val="quant"/>
      <sheetName val="front page"/>
      <sheetName val="last page"/>
    </sheetNames>
    <sheetDataSet>
      <sheetData sheetId="0"/>
      <sheetData sheetId="1"/>
      <sheetData sheetId="2"/>
      <sheetData sheetId="3"/>
      <sheetData sheetId="4"/>
      <sheetData sheetId="5"/>
      <sheetData sheetId="6"/>
      <sheetData sheetId="7"/>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EVA1"/>
      <sheetName val="Factsheet"/>
      <sheetName val="Quarterly "/>
      <sheetName val="PNL"/>
      <sheetName val="Revenues"/>
      <sheetName val="Costs"/>
      <sheetName val="Depreciation"/>
      <sheetName val="Balance Sheet"/>
      <sheetName val="Cash Flow"/>
      <sheetName val="DCF"/>
      <sheetName val="Sensitivities"/>
      <sheetName val="v.data"/>
      <sheetName val="EVA 2 "/>
      <sheetName val="sample NV_data"/>
      <sheetName val="GS PNL-F"/>
      <sheetName val="GS Balance"/>
      <sheetName val="GS Cashflow"/>
      <sheetName val="GS Assumptions"/>
      <sheetName val="GS- WACC"/>
      <sheetName val="GS- DCF"/>
      <sheetName val="Macro1"/>
      <sheetName val="NV-data"/>
      <sheetName val="CF"/>
      <sheetName val="BS"/>
      <sheetName val="F-Assumptions"/>
      <sheetName val="WACC"/>
      <sheetName val="DCF-F1"/>
      <sheetName val="EVA"/>
      <sheetName val="EM-TAC"/>
      <sheetName val="DCF &amp; WACC"/>
      <sheetName val="GS Assumptions-F"/>
      <sheetName val="NotesXpress"/>
      <sheetName val="#REF"/>
      <sheetName val="DATA"/>
      <sheetName val="margin cht"/>
      <sheetName val="Facts &amp; Audit"/>
      <sheetName val="Changes"/>
      <sheetName val="Interim"/>
      <sheetName val="Capital Structure"/>
      <sheetName val="Net add cht"/>
      <sheetName val="GS-Capex"/>
      <sheetName val="GS BS-F"/>
      <sheetName val="GS-CF"/>
      <sheetName val="GS-DCF-F1"/>
      <sheetName val="F-data"/>
      <sheetName val="Report"/>
      <sheetName val="Old Qtly Sheet"/>
      <sheetName val="Quarterly"/>
      <sheetName val="EVA 2"/>
      <sheetName val="Concession Conversion"/>
      <sheetName val="Company profile"/>
      <sheetName val="GS data"/>
      <sheetName val="ROIC"/>
      <sheetName val="GEM"/>
      <sheetName val="GEMS"/>
      <sheetName val="EROCE"/>
      <sheetName val="GS Assumes"/>
      <sheetName val="Sheet1"/>
      <sheetName val="Comps"/>
      <sheetName val="CROCI"/>
      <sheetName val="Company profile back-up"/>
      <sheetName val="Company profile "/>
      <sheetName val="GS data back-up"/>
      <sheetName val="Summary"/>
      <sheetName val="External"/>
      <sheetName val="Assoc"/>
      <sheetName val="Detailed DCF"/>
      <sheetName val="Qtly"/>
      <sheetName val="F-Qtly"/>
      <sheetName val="tables"/>
      <sheetName val="Oaktree"/>
      <sheetName val="GQ"/>
      <sheetName val="DCF Template"/>
      <sheetName val="DCF Sensitivity"/>
      <sheetName val="Q-PreARPU"/>
      <sheetName val="Q-PostARPU"/>
      <sheetName val="Q-EBITD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Allocate"/>
      <sheetName val="Overall"/>
      <sheetName val="Exports"/>
      <sheetName val="Fze"/>
      <sheetName val="Pte"/>
      <sheetName val="AAgro"/>
      <sheetName val="Inter"/>
      <sheetName val="Crown"/>
      <sheetName val="Advance"/>
      <sheetName val="Impex"/>
      <sheetName val="Prior"/>
      <sheetName val="Sundr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Scenario Summary"/>
      <sheetName val="Scenario Summary 2"/>
      <sheetName val="RBS"/>
      <sheetName val="RBS (2)"/>
    </sheetNames>
    <sheetDataSet>
      <sheetData sheetId="0"/>
      <sheetData sheetId="1"/>
      <sheetData sheetId="2"/>
      <sheetData sheetId="3"/>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growth vs size"/>
      <sheetName val="market"/>
      <sheetName val="excise"/>
      <sheetName val="rural"/>
      <sheetName val="global"/>
      <sheetName val="prices"/>
      <sheetName val="demo"/>
      <sheetName val="consumption"/>
    </sheetNames>
    <sheetDataSet>
      <sheetData sheetId="0"/>
      <sheetData sheetId="1"/>
      <sheetData sheetId="2"/>
      <sheetData sheetId="3"/>
      <sheetData sheetId="4"/>
      <sheetData sheetId="5"/>
      <sheetData sheetId="6"/>
      <sheetData sheetId="7"/>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Conference"/>
      <sheetName val="guidance"/>
      <sheetName val="Detailed-DCF"/>
      <sheetName val="Main Sheet"/>
      <sheetName val="Daily"/>
      <sheetName val="Rupee-P&amp;L"/>
      <sheetName val="P&amp;L"/>
      <sheetName val="Bill-rates"/>
      <sheetName val="Billrt-margin"/>
      <sheetName val="DCF (2)"/>
      <sheetName val="Assumptions"/>
      <sheetName val="Results"/>
      <sheetName val="Sales(%)"/>
      <sheetName val="Sales(Rsm)"/>
      <sheetName val="SalesIncr(%)"/>
      <sheetName val="Profitability"/>
      <sheetName val="Dummy"/>
      <sheetName val="EVA"/>
      <sheetName val="Qtrly"/>
      <sheetName val="HY-Analysis"/>
      <sheetName val="Ques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price table"/>
      <sheetName val="summary"/>
      <sheetName val="P &amp; L"/>
      <sheetName val="bs &amp; cf"/>
      <sheetName val="working"/>
      <sheetName val="hly"/>
      <sheetName val="Qtr Link"/>
      <sheetName val="Fdeps"/>
      <sheetName val="Sheet1"/>
      <sheetName val="scenarios"/>
      <sheetName val="product slate etc"/>
      <sheetName val="ecoprft"/>
      <sheetName val="Sheet2"/>
      <sheetName val="replacement"/>
      <sheetName val="GRD"/>
      <sheetName val="capex"/>
      <sheetName val="compendium"/>
      <sheetName val="Module1"/>
      <sheetName val="StdXRef"/>
      <sheetName val="Buffer"/>
      <sheetName val="Menu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U R Bhat"/>
      <sheetName val="Perf-Cmdy"/>
      <sheetName val="Perf_Intl_Indices"/>
      <sheetName val="Perf-B&amp;K"/>
      <sheetName val="Perf-Sectoral"/>
      <sheetName val="Perf_others"/>
      <sheetName val="Mkt_cap"/>
      <sheetName val="Pharma"/>
      <sheetName val="Perf-BSE 200"/>
      <sheetName val="BSE 200"/>
      <sheetName val="B&amp;K"/>
      <sheetName val="Others"/>
      <sheetName val="Index"/>
      <sheetName val="Sector_Indices"/>
      <sheetName val="EMTK"/>
      <sheetName val="EMTK(USD)"/>
      <sheetName val="cmd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20.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21.xml><?xml version="1.0" encoding="utf-8"?>
<externalLink xmlns:r="http://schemas.openxmlformats.org/officeDocument/2006/relationships" xmlns="http://schemas.openxmlformats.org/spreadsheetml/2006/main">
  <externalBook r:id="rId1">
    <sheetNames>
      <sheetName val="Introduction"/>
      <sheetName val="Earnings Monitor"/>
      <sheetName val="Operating Statistics"/>
      <sheetName val="Old"/>
      <sheetName val="Capital History"/>
      <sheetName val="Income Tax"/>
      <sheetName val="Other inc"/>
      <sheetName val="Business"/>
      <sheetName val="Orderbook"/>
      <sheetName val="Demerged"/>
      <sheetName val="Financials"/>
      <sheetName val="Capex &amp; Depreciation"/>
      <sheetName val="Debt (2)"/>
      <sheetName val="First Page"/>
      <sheetName val="Range Names"/>
      <sheetName val="Cover"/>
      <sheetName val="XXXXXX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r="http://schemas.openxmlformats.org/officeDocument/2006/relationships" xmlns="http://schemas.openxmlformats.org/spreadsheetml/2006/main">
  <externalBook r:id="rId1">
    <sheetNames>
      <sheetName val="Sheet1"/>
      <sheetName val="EquityTemplate"/>
      <sheetName val="EconTemplate"/>
      <sheetName val="RowName"/>
      <sheetName val="AbsMandatory"/>
      <sheetName val="EqDDic"/>
      <sheetName val="EconDDic"/>
      <sheetName val="SectorRange"/>
      <sheetName val="ReplaceNameDlg"/>
      <sheetName val="NewItemDlg"/>
      <sheetName val="UpdateDlg"/>
      <sheetName val="UpgdDlg"/>
      <sheetName val="ErrorListDlg"/>
      <sheetName val="UtilMod"/>
      <sheetName val="InsItemMod"/>
      <sheetName val="GlobalMod"/>
      <sheetName val="ValidateMod"/>
      <sheetName val="MaintenanceMod"/>
      <sheetName val="EquityTemplate_BK"/>
      <sheetName val="RowName_BK"/>
      <sheetName val="EqDDic_BK"/>
      <sheetName val="Upg3Dialog"/>
      <sheetName val="ReplaceFormulaDlg"/>
      <sheetName val="ddic"/>
    </sheetNames>
    <definedNames>
      <definedName name="Equity_Del_Item"/>
      <definedName name="Equity_Ins_Item"/>
      <definedName name="validate_Equity_Dat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3.xml><?xml version="1.0" encoding="utf-8"?>
<externalLink xmlns:r="http://schemas.openxmlformats.org/officeDocument/2006/relationships" xmlns="http://schemas.openxmlformats.org/spreadsheetml/2006/main">
  <externalBook r:id="rId1">
    <sheetNames>
      <sheetName val="Sheet1"/>
      <sheetName val="summ"/>
      <sheetName val="fp"/>
      <sheetName val="update"/>
      <sheetName val="Header"/>
      <sheetName val="qtr"/>
      <sheetName val="qtr05"/>
      <sheetName val="qtr04"/>
      <sheetName val="charts"/>
      <sheetName val="2003"/>
      <sheetName val="res 2002"/>
      <sheetName val="main"/>
      <sheetName val="sales"/>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Charts-FMCG"/>
      <sheetName val="Lux tax effect"/>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4.xml><?xml version="1.0" encoding="utf-8"?>
<externalLink xmlns:r="http://schemas.openxmlformats.org/officeDocument/2006/relationships" xmlns="http://schemas.openxmlformats.org/spreadsheetml/2006/main">
  <externalBook r:id="rId1">
    <sheetNames>
      <sheetName val="PRESENT"/>
      <sheetName val="LASSER-4"/>
      <sheetName val="GARMENT"/>
      <sheetName val="LASS-GAR"/>
      <sheetName val="EXIS-COMBINED"/>
      <sheetName val="EMBR-PROJECT"/>
      <sheetName val="COMBINE"/>
      <sheetName val="final_in_millions"/>
    </sheetNames>
    <sheetDataSet>
      <sheetData sheetId="0"/>
      <sheetData sheetId="1"/>
      <sheetData sheetId="2"/>
      <sheetData sheetId="3"/>
      <sheetData sheetId="4"/>
      <sheetData sheetId="5"/>
      <sheetData sheetId="6"/>
      <sheetData sheetId="7"/>
    </sheetDataSet>
  </externalBook>
</externalLink>
</file>

<file path=xl/externalLinks/externalLink25.xml><?xml version="1.0" encoding="utf-8"?>
<externalLink xmlns:r="http://schemas.openxmlformats.org/officeDocument/2006/relationships" xmlns="http://schemas.openxmlformats.org/spreadsheetml/2006/main">
  <externalBook r:id="rId1">
    <sheetNames>
      <sheetName val="Sheet1"/>
      <sheetName val="DETAIL"/>
      <sheetName val="SUMMARY"/>
      <sheetName val="Earning_Char"/>
      <sheetName val="Asset_Char"/>
      <sheetName val="PBDIT_Char"/>
      <sheetName val="Final_Char"/>
      <sheetName val="Earning_Assum (2)"/>
      <sheetName val="Sheet3"/>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6.xml><?xml version="1.0" encoding="utf-8"?>
<externalLink xmlns:r="http://schemas.openxmlformats.org/officeDocument/2006/relationships" xmlns="http://schemas.openxmlformats.org/spreadsheetml/2006/main">
  <externalBook r:id="rId1">
    <sheetNames>
      <sheetName val="Calculation (2)"/>
      <sheetName val="Sheet1"/>
      <sheetName val="Cell Input"/>
      <sheetName val="C_1"/>
      <sheetName val="F_1"/>
      <sheetName val="Fixed Input"/>
      <sheetName val="C_Cal"/>
      <sheetName val="Calculation"/>
      <sheetName val="Price Performance"/>
      <sheetName val="Earnings Estimates"/>
      <sheetName val="EV Estimates"/>
      <sheetName val="Demand Multiples"/>
      <sheetName val="Bal Multiples"/>
      <sheetName val="Earnings Multiples"/>
      <sheetName val="Output"/>
      <sheetName val="Sheet2"/>
      <sheetName val="Sheet3"/>
      <sheetName val="Summary"/>
      <sheetName val="Profit&amp;Loss"/>
      <sheetName val="Quarterly"/>
      <sheetName val="DCF detailed"/>
      <sheetName val="Revenue"/>
      <sheetName val="Demand"/>
      <sheetName val="Other rev"/>
      <sheetName val="Int'l Revenue"/>
      <sheetName val="Celcom"/>
      <sheetName val="Mobile"/>
      <sheetName val="Balance Sheet"/>
      <sheetName val="Cash Flow"/>
      <sheetName val="External"/>
      <sheetName val="Associates"/>
      <sheetName val="Depreciation"/>
      <sheetName val="Costs"/>
      <sheetName val="GS_PNL"/>
      <sheetName val="GS_Cash "/>
      <sheetName val="GS_Balance"/>
      <sheetName val="GS Assumptions-F"/>
      <sheetName val="Company profile"/>
      <sheetName val="CROCI"/>
      <sheetName val="GS data"/>
      <sheetName val="GEM"/>
      <sheetName val="F-data"/>
      <sheetName val="Comps-Celcom"/>
      <sheetName val="Com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7.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SUMMARYPC"/>
      <sheetName val="Project Cost"/>
      <sheetName val="FieldDepot-Chen( CKT 1)"/>
      <sheetName val="FieldDepot-Coimb ( CKT 1)"/>
      <sheetName val="FieldDepot-Bang( CKT 1)"/>
      <sheetName val="BaseDepot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8.xml><?xml version="1.0" encoding="utf-8"?>
<externalLink xmlns:r="http://schemas.openxmlformats.org/officeDocument/2006/relationships" xmlns="http://schemas.openxmlformats.org/spreadsheetml/2006/main">
  <externalBook r:id="rId1">
    <sheetNames>
      <sheetName val="70% stake_revised"/>
      <sheetName val="Financials"/>
    </sheetNames>
    <sheetDataSet>
      <sheetData sheetId="0"/>
      <sheetData sheetId="1"/>
    </sheetDataSet>
  </externalBook>
</externalLink>
</file>

<file path=xl/externalLinks/externalLink29.xml><?xml version="1.0" encoding="utf-8"?>
<externalLink xmlns:r="http://schemas.openxmlformats.org/officeDocument/2006/relationships" xmlns="http://schemas.openxmlformats.org/spreadsheetml/2006/main">
  <externalBook r:id="rId1">
    <sheetNames>
      <sheetName val="summary_section"/>
      <sheetName val="LOG"/>
      <sheetName val="Settings"/>
      <sheetName val="Lookup"/>
      <sheetName val="Notes"/>
      <sheetName val="RemoveRanges"/>
      <sheetName val="Templates"/>
      <sheetName val="CheckLabels (2)"/>
      <sheetName val="BlankDownload"/>
      <sheetName val="BlankTemplate"/>
      <sheetName val="_Default"/>
      <sheetName val="AsianAutomobiles"/>
      <sheetName val="AsianEngineering"/>
      <sheetName val="AsianForestryPackaging"/>
      <sheetName val="AsianITHardwareDistributors"/>
      <sheetName val="AsianLeisure"/>
      <sheetName val="AsianProperty"/>
      <sheetName val="AsianRetail"/>
      <sheetName val="AsianSoftware"/>
      <sheetName val="AsianUtilities"/>
      <sheetName val="AsianTobacco"/>
      <sheetName val="AUBeverages"/>
      <sheetName val="AUDevelopersContractors"/>
      <sheetName val="AUHealthcare"/>
      <sheetName val="AURetail"/>
      <sheetName val="GlobalBanks"/>
      <sheetName val="GlobalOilGas"/>
      <sheetName val="IndiaAutomobiles"/>
      <sheetName val="IndiaBuildingConstruction"/>
      <sheetName val="IndiaConglomerates"/>
      <sheetName val="IndiaMedia"/>
      <sheetName val="IndiaPharmaceutical"/>
      <sheetName val="IndiaRetail"/>
      <sheetName val="IndiaSoftware"/>
      <sheetName val="IndiaTelecoms"/>
      <sheetName val="JAConsumer"/>
      <sheetName val="JARetail"/>
      <sheetName val="JASoftware"/>
      <sheetName val="JATelecoms"/>
      <sheetName val="SABeverages"/>
      <sheetName val="SADiversifiedIndustrials"/>
      <sheetName val="SAFood"/>
      <sheetName val="SAITHardwareDistributors"/>
      <sheetName val="SAPackaging"/>
      <sheetName val="SAPaper"/>
      <sheetName val="SARetail"/>
      <sheetName val="SAServices"/>
      <sheetName val="SASpecialityFinance"/>
      <sheetName val="SASteel"/>
      <sheetName val="SATelecoms"/>
      <sheetName val="SATransport"/>
      <sheetName val="UKAeroSpaceDefence"/>
      <sheetName val="UKAutomobiles"/>
      <sheetName val="UKBuildingConstruction"/>
      <sheetName val="UKChemicals"/>
      <sheetName val="Summary"/>
      <sheetName val="Summary (2)"/>
      <sheetName val="LabelsUsed"/>
      <sheetName val="UKEngineering"/>
      <sheetName val="RemovedFromMaster"/>
      <sheetName val="UKFood"/>
      <sheetName val="ValidateGlobal"/>
      <sheetName val="Master"/>
      <sheetName val="RequiredFields"/>
      <sheetName val="GuidoTest"/>
      <sheetName val="Validate"/>
      <sheetName val="UKForestryPackaging"/>
      <sheetName val="UKLeisure"/>
      <sheetName val="UKInsurance"/>
      <sheetName val="UKITHardwareDistributors"/>
      <sheetName val="UKMedia"/>
      <sheetName val="UKMiningSteel"/>
      <sheetName val="UKPharmaceuticals"/>
      <sheetName val="UKProperty"/>
      <sheetName val="UKRetail"/>
      <sheetName val="UKSoftware"/>
      <sheetName val="UKSpecialityFinance"/>
      <sheetName val="UKSupportServices"/>
      <sheetName val="UKTelecoms"/>
      <sheetName val="UKTobacco"/>
      <sheetName val="UKTransport"/>
      <sheetName val="UKUtilities"/>
      <sheetName val="USConsumer"/>
      <sheetName val="USEngineeringMachinery"/>
      <sheetName val="USInsurance"/>
      <sheetName val="USLeisure"/>
      <sheetName val="USRetail"/>
      <sheetName val="USTelcoMedia"/>
      <sheetName val="USTransportChemicals"/>
      <sheetName val="USUtil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0.xml><?xml version="1.0" encoding="utf-8"?>
<externalLink xmlns:r="http://schemas.openxmlformats.org/officeDocument/2006/relationships" xmlns="http://schemas.openxmlformats.org/spreadsheetml/2006/main">
  <externalBook r:id="rId1">
    <sheetNames>
      <sheetName val="update"/>
      <sheetName val="qtr"/>
      <sheetName val="Header"/>
      <sheetName val="main"/>
      <sheetName val="Charts"/>
      <sheetName val="QTR2004"/>
      <sheetName val="qtr2003"/>
      <sheetName val="2002"/>
      <sheetName val="2001"/>
      <sheetName val="segmental"/>
      <sheetName val="sales"/>
      <sheetName val="pl_related"/>
      <sheetName val="fg"/>
      <sheetName val="rm"/>
      <sheetName val="bs_related"/>
      <sheetName val="FA"/>
      <sheetName val="dcf"/>
      <sheetName val="mna"/>
      <sheetName val="subs"/>
      <sheetName val="board"/>
      <sheetName val="charts and tables"/>
      <sheetName val="H+P"/>
      <sheetName val="proj Bharat"/>
      <sheetName val="branded staples"/>
      <sheetName val="det price cut"/>
      <sheetName val="dcf2"/>
      <sheetName val="debenture"/>
      <sheetName val="valuation"/>
      <sheetName val="hll 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1.xml><?xml version="1.0" encoding="utf-8"?>
<externalLink xmlns:r="http://schemas.openxmlformats.org/officeDocument/2006/relationships" xmlns="http://schemas.openxmlformats.org/spreadsheetml/2006/main">
  <externalBook r:id="rId1">
    <sheetNames>
      <sheetName val="Quarterlies 2000-01"/>
      <sheetName val="Sheet2"/>
      <sheetName val="Quarterlies 2000"/>
      <sheetName val="Quarterlies '99"/>
      <sheetName val="Quarterlies"/>
      <sheetName val="TVS-Suzuki"/>
      <sheetName val="Value-wise market share"/>
      <sheetName val="sund. fasteners"/>
      <sheetName val="MBTL"/>
      <sheetName val="M&amp;M"/>
      <sheetName val="Tractor market share analysis"/>
      <sheetName val="Basic Statistics"/>
      <sheetName val="Castrol"/>
      <sheetName val="Escorts"/>
      <sheetName val="Product"/>
      <sheetName val="2-wheeler Analysis"/>
      <sheetName val="Bajaj Auto"/>
      <sheetName val="LML"/>
      <sheetName val="Sheet12"/>
      <sheetName val="PTL"/>
      <sheetName val="MRF"/>
      <sheetName val="Denso"/>
      <sheetName val="Amara Raja"/>
      <sheetName val="Mico"/>
      <sheetName val="2-wheeler market share Analysis"/>
      <sheetName val="Presentation"/>
      <sheetName val="2-wheeler Industry Analysis"/>
      <sheetName val="Revised Hero Honda"/>
      <sheetName val="Sensitivity Analysis-HHML"/>
      <sheetName val="Hero Honda"/>
      <sheetName val="Freight Data"/>
      <sheetName val="Munjal Showa"/>
      <sheetName val="SFL"/>
      <sheetName val="Rane Madras"/>
      <sheetName val="Ashley"/>
      <sheetName val="Kinetic Ho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2.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xml><?xml version="1.0" encoding="utf-8"?>
<externalLink xmlns:r="http://schemas.openxmlformats.org/officeDocument/2006/relationships" xmlns="http://schemas.openxmlformats.org/spreadsheetml/2006/main">
  <externalBook r:id="rId1">
    <sheetNames>
      <sheetName val="Control"/>
      <sheetName val="Update"/>
      <sheetName val="sales"/>
      <sheetName val="Category-update"/>
      <sheetName val="main"/>
      <sheetName val="bs_related"/>
      <sheetName val="Header"/>
      <sheetName val="lp"/>
      <sheetName val="Quarterly"/>
      <sheetName val="q"/>
      <sheetName val="2005"/>
      <sheetName val="2004"/>
      <sheetName val="2003"/>
      <sheetName val="pl_related"/>
      <sheetName val="2002"/>
      <sheetName val="2001"/>
      <sheetName val="2000"/>
      <sheetName val="1999"/>
      <sheetName val="segmental"/>
      <sheetName val="MRP"/>
      <sheetName val="IncMod"/>
      <sheetName val="rm2"/>
      <sheetName val="rm"/>
      <sheetName val="fg"/>
      <sheetName val="org 2000"/>
      <sheetName val="mkt share"/>
      <sheetName val="FA"/>
      <sheetName val="shareholding"/>
      <sheetName val="chrono"/>
      <sheetName val="dcf"/>
      <sheetName val="Charts-FMCG"/>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4.xml><?xml version="1.0" encoding="utf-8"?>
<externalLink xmlns:r="http://schemas.openxmlformats.org/officeDocument/2006/relationships" xmlns="http://schemas.openxmlformats.org/spreadsheetml/2006/main">
  <externalBook r:id="rId1">
    <sheetNames>
      <sheetName val="Sensitivity old"/>
      <sheetName val="Sensitivity"/>
      <sheetName val="Summary Valuation"/>
      <sheetName val="General Assumptions"/>
      <sheetName val="Consolidated PL BS"/>
      <sheetName val="Sch Consolidation"/>
      <sheetName val="HoldCo Standalone"/>
      <sheetName val="Sch HoldCo Standalone"/>
      <sheetName val="BKC"/>
      <sheetName val="Swayam"/>
      <sheetName val="Shantigram PL BS"/>
      <sheetName val="Shantigram Assumptions"/>
      <sheetName val="Shantigram Working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5.xml><?xml version="1.0" encoding="utf-8"?>
<externalLink xmlns:r="http://schemas.openxmlformats.org/officeDocument/2006/relationships" xmlns="http://schemas.openxmlformats.org/spreadsheetml/2006/main">
  <externalBook r:id="rId1">
    <sheetNames>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r="http://schemas.openxmlformats.org/officeDocument/2006/relationships" xmlns="http://schemas.openxmlformats.org/spreadsheetml/2006/main">
  <externalBook r:id="rId1">
    <sheetNames>
      <sheetName val="TR"/>
    </sheetNames>
    <sheetDataSet>
      <sheetData sheetId="0"/>
    </sheetDataSet>
  </externalBook>
</externalLink>
</file>

<file path=xl/externalLinks/externalLink37.xml><?xml version="1.0" encoding="utf-8"?>
<externalLink xmlns:r="http://schemas.openxmlformats.org/officeDocument/2006/relationships" xmlns="http://schemas.openxmlformats.org/spreadsheetml/2006/main">
  <externalBook r:id="rId1">
    <sheetNames>
      <sheetName val="Sheet1"/>
      <sheetName val="Sheet2"/>
      <sheetName val="Sheet3"/>
    </sheetNames>
    <sheetDataSet>
      <sheetData sheetId="0"/>
      <sheetData sheetId="1"/>
      <sheetData sheetId="2"/>
    </sheetDataSet>
  </externalBook>
</externalLink>
</file>

<file path=xl/externalLinks/externalLink38.xml><?xml version="1.0" encoding="utf-8"?>
<externalLink xmlns:r="http://schemas.openxmlformats.org/officeDocument/2006/relationships" xmlns="http://schemas.openxmlformats.org/spreadsheetml/2006/main">
  <externalBook r:id="rId1">
    <sheetNames>
      <sheetName val="Summary"/>
      <sheetName val="Financial Assum"/>
      <sheetName val="Consolidated BS"/>
      <sheetName val="Consolidated P&amp;L"/>
      <sheetName val="Rev Project Cost 09.07"/>
      <sheetName val="Sensitivity Analysis"/>
      <sheetName val="IRR Calculations"/>
      <sheetName val="Cash Flows"/>
      <sheetName val="BS Circuit1"/>
      <sheetName val="BS Circuit2"/>
      <sheetName val="Consol P&amp;L C1"/>
      <sheetName val="Consol P&amp;L C2"/>
      <sheetName val="Revenue"/>
      <sheetName val="Expenses"/>
      <sheetName val="Term loan &amp;  interest summary"/>
      <sheetName val="Debt Comp C1"/>
      <sheetName val="Debt Comp C2"/>
      <sheetName val="Depn Crt 1"/>
      <sheetName val="Depn Crt 2"/>
      <sheetName val="Capex C1"/>
      <sheetName val="Capex C2"/>
      <sheetName val="P&amp;L Depots C1"/>
      <sheetName val="P&amp;L Depots C2"/>
      <sheetName val="Corporate Exp"/>
      <sheetName val="Expenses 11th yr"/>
      <sheetName val="Sheet2"/>
      <sheetName val=".1_1L_MT_SG_Final.xls)BC"/>
      <sheetName val="Fin Summary"/>
      <sheetName val="Sheet4"/>
      <sheetName val="P&amp; L summary"/>
      <sheetName val="Sheet5"/>
      <sheetName val="Executive Summary"/>
      <sheetName val="Expenses for FY 07-08"/>
      <sheetName val="Expenses FY 08-09"/>
      <sheetName val="Sheet1"/>
      <sheetName val="notes"/>
      <sheetName val="Consumables"/>
      <sheetName val="Sheet3"/>
      <sheetName val="Railway Lease charges"/>
      <sheetName val="Manpower Salaries"/>
      <sheetName val="Admin. Expense"/>
      <sheetName val="BD - Equipment"/>
      <sheetName val="Field Depot Eqmt"/>
      <sheetName val="Monthwise-Mumbai"/>
      <sheetName val="Monthwise-Mumbai 11"/>
      <sheetName val="Monthwise-Other FD"/>
      <sheetName val="Monthwise-Other FD 11"/>
      <sheetName val="SILO CHART"/>
      <sheetName val="SILO 20 YRS"/>
      <sheetName val="PL Ist Year"/>
      <sheetName val="PL 20 YRs"/>
      <sheetName val="Monthwise-Base Depot (Wheat)"/>
      <sheetName val="Monthwise-Base Depot (Paddy)"/>
      <sheetName val="Monthwise-Base Depot (Paddy) 11"/>
      <sheetName val="Monthwise-Base Depot (Wheat) 11"/>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9.xml><?xml version="1.0" encoding="utf-8"?>
<externalLink xmlns:r="http://schemas.openxmlformats.org/officeDocument/2006/relationships" xmlns="http://schemas.openxmlformats.org/spreadsheetml/2006/main">
  <externalBook r:id="rId1">
    <sheetNames>
      <sheetName val="Financial Assum"/>
      <sheetName val="SILO CHART"/>
      <sheetName val="SILO 20 YRS"/>
      <sheetName val="PENDING"/>
      <sheetName val="PL Ist Year"/>
      <sheetName val="PL 20 YRs"/>
      <sheetName val="P&amp; L summary"/>
      <sheetName val="Consolidated BS"/>
      <sheetName val="Consolidated P&amp;L"/>
      <sheetName val="BS Circuit1"/>
      <sheetName val="BS Circuit2"/>
      <sheetName val="Capex Crt2"/>
      <sheetName val="Depn Crt 2"/>
      <sheetName val="Sheet3"/>
      <sheetName val="Consol P&amp;L C1"/>
      <sheetName val="Consol P&amp;L C2"/>
      <sheetName val="Capex Crt1"/>
      <sheetName val="Cash Flows"/>
      <sheetName val="Debt Comp C1"/>
      <sheetName val="Debt Comp C2"/>
      <sheetName val="Corporate Exp"/>
      <sheetName val="Revenue"/>
      <sheetName val="P&amp;L Depots C1"/>
      <sheetName val="Depn Crt 1"/>
      <sheetName val="P&amp;L Depots C2"/>
      <sheetName val="Summary"/>
      <sheetName val="Manpower Salaries"/>
      <sheetName val="Admin. Expense"/>
      <sheetName val="IRR Calculations"/>
      <sheetName val="Monthwise-Base Depot (Paddy)"/>
      <sheetName val="Monthwise-Base Depot (Wheat)"/>
      <sheetName val="Monthwise-Mumbai"/>
      <sheetName val="Consumables"/>
      <sheetName val="BD - Equipment"/>
      <sheetName val="Field Depot Eqmt"/>
      <sheetName val="Monthwise-Other FD"/>
      <sheetName val="Capex"/>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0.xml><?xml version="1.0" encoding="utf-8"?>
<externalLink xmlns:r="http://schemas.openxmlformats.org/officeDocument/2006/relationships" xmlns="http://schemas.openxmlformats.org/spreadsheetml/2006/main">
  <externalBook r:id="rId1">
    <sheetNames>
      <sheetName val="Introduction"/>
    </sheetNames>
    <sheetDataSet>
      <sheetData sheetId="0"/>
    </sheetDataSet>
  </externalBook>
</externalLink>
</file>

<file path=xl/externalLinks/externalLink41.xml><?xml version="1.0" encoding="utf-8"?>
<externalLink xmlns:r="http://schemas.openxmlformats.org/officeDocument/2006/relationships" xmlns="http://schemas.openxmlformats.org/spreadsheetml/2006/main">
  <externalBook r:id="rId1">
    <sheetNames>
      <sheetName val="MOTI-QTR"/>
      <sheetName val="Alchemy 4-TAbles"/>
      <sheetName val="Sheet2"/>
      <sheetName val="Glofame Cotspin"/>
      <sheetName val="Sheet3"/>
      <sheetName val="Qtrly"/>
      <sheetName val="Main-motiformat"/>
      <sheetName val="merged"/>
      <sheetName val="Sheet1"/>
      <sheetName val="Model (Not Merged)"/>
      <sheetName val="Dont take"/>
      <sheetName val="reserves"/>
      <sheetName val="terry towels"/>
      <sheetName val="bed-linen"/>
      <sheetName val="yarn prices"/>
      <sheetName val="Sales"/>
      <sheetName val="depre"/>
      <sheetName val="power"/>
      <sheetName val="rawmaterial"/>
      <sheetName val="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r="http://schemas.openxmlformats.org/officeDocument/2006/relationships" xmlns="http://schemas.openxmlformats.org/spreadsheetml/2006/main">
  <externalBook r:id="rId1">
    <sheetNames>
      <sheetName val="PCL"/>
      <sheetName val="MSI9920B"/>
      <sheetName val="#REF"/>
    </sheetNames>
    <sheetDataSet>
      <sheetData sheetId="0"/>
      <sheetData sheetId="1"/>
      <sheetData sheetId="2"/>
    </sheetDataSet>
  </externalBook>
</externalLink>
</file>

<file path=xl/externalLinks/externalLink43.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4.xml><?xml version="1.0" encoding="utf-8"?>
<externalLink xmlns:r="http://schemas.openxmlformats.org/officeDocument/2006/relationships" xmlns="http://schemas.openxmlformats.org/spreadsheetml/2006/main">
  <externalBook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5.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46.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7.xml><?xml version="1.0" encoding="utf-8"?>
<externalLink xmlns:r="http://schemas.openxmlformats.org/officeDocument/2006/relationships" xmlns="http://schemas.openxmlformats.org/spreadsheetml/2006/main">
  <externalBook r:id="rId1">
    <sheetNames>
      <sheetName val="Quarterly"/>
      <sheetName val="Projections"/>
      <sheetName val="Financials"/>
      <sheetName val="P&amp;L BSheet"/>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875" defaultRowHeight="15" zeroHeight="1" outlineLevelRow="0"/>
  <cols>
    <col hidden="1" width="8.970000000000001" customWidth="1" style="849" min="9" max="16384"/>
  </cols>
  <sheetData>
    <row r="1" ht="15" customHeight="1" s="850">
      <c r="A1" s="849" t="n"/>
      <c r="B1" s="849" t="n"/>
      <c r="C1" s="849" t="n"/>
      <c r="D1" s="849" t="n"/>
      <c r="E1" s="849" t="n"/>
      <c r="F1" s="849" t="n"/>
      <c r="G1" s="849" t="n"/>
      <c r="H1" s="849" t="n"/>
    </row>
    <row r="2" ht="15" customHeight="1" s="850">
      <c r="A2" s="849" t="n"/>
      <c r="B2" s="849" t="n"/>
      <c r="C2" s="849" t="n"/>
      <c r="D2" s="849" t="n"/>
      <c r="E2" s="849" t="n"/>
      <c r="F2" s="849" t="n"/>
      <c r="G2" s="849" t="n"/>
      <c r="H2" s="849" t="n"/>
    </row>
    <row r="3" ht="28.5" customHeight="1" s="850">
      <c r="A3" s="849" t="n"/>
      <c r="B3" s="849" t="n"/>
      <c r="C3" s="849" t="n"/>
      <c r="D3" s="849" t="n"/>
      <c r="E3" s="851" t="inlineStr">
        <is>
          <t>Reference Model</t>
        </is>
      </c>
      <c r="F3" s="849" t="n"/>
      <c r="G3" s="849" t="n"/>
      <c r="H3" s="849" t="n"/>
    </row>
    <row r="4" ht="15" customHeight="1" s="850">
      <c r="A4" s="849" t="n"/>
      <c r="B4" s="849" t="n"/>
      <c r="C4" s="849" t="n"/>
      <c r="D4" s="849" t="n"/>
      <c r="E4" s="849" t="n"/>
      <c r="F4" s="849" t="n"/>
      <c r="G4" s="849" t="n"/>
      <c r="H4" s="849" t="n"/>
    </row>
    <row r="5" ht="42" customHeight="1" s="850">
      <c r="A5" s="849" t="n"/>
      <c r="B5" s="849" t="n"/>
      <c r="C5" s="849" t="n"/>
      <c r="D5" s="849" t="n"/>
      <c r="E5" s="852" t="inlineStr">
        <is>
          <t>GAIL India Limited</t>
        </is>
      </c>
      <c r="F5" s="849" t="n"/>
      <c r="G5" s="849" t="n"/>
      <c r="H5" s="849" t="n"/>
    </row>
    <row r="6" ht="15" customHeight="1" s="850">
      <c r="A6" s="849" t="n"/>
      <c r="B6" s="849" t="n"/>
      <c r="C6" s="849" t="n"/>
      <c r="D6" s="849" t="n"/>
      <c r="E6" s="853" t="inlineStr">
        <is>
          <t>Prepared By: Disha Vyas, Distance learning, Mumbai</t>
        </is>
      </c>
      <c r="F6" s="849" t="n"/>
      <c r="G6" s="849" t="n"/>
      <c r="H6" s="849" t="n"/>
    </row>
    <row r="7" ht="15" customHeight="1" s="850">
      <c r="A7" s="849" t="n"/>
      <c r="B7" s="849" t="n"/>
      <c r="C7" s="849" t="n"/>
      <c r="D7" s="849" t="n"/>
      <c r="E7" s="853" t="n"/>
      <c r="F7" s="849" t="n"/>
      <c r="G7" s="849" t="n"/>
      <c r="H7" s="849" t="n"/>
    </row>
    <row r="8" ht="15" customHeight="1" s="850">
      <c r="A8" s="849" t="n"/>
      <c r="B8" s="849" t="n"/>
      <c r="C8" s="849" t="n"/>
      <c r="D8" s="849" t="n"/>
      <c r="E8" s="849" t="n"/>
      <c r="F8" s="849" t="n"/>
      <c r="G8" s="849" t="n"/>
      <c r="H8" s="849" t="n"/>
    </row>
    <row r="9" ht="15" customHeight="1" s="850">
      <c r="A9" s="849" t="n"/>
      <c r="B9" s="849" t="n"/>
      <c r="C9" s="849" t="n"/>
      <c r="D9" s="849" t="n"/>
      <c r="E9" s="849" t="n"/>
      <c r="F9" s="849" t="n"/>
      <c r="G9" s="849" t="n"/>
      <c r="H9" s="849" t="n"/>
    </row>
    <row r="10" ht="15" customHeight="1" s="850">
      <c r="A10" s="849" t="n"/>
      <c r="B10" s="849" t="n"/>
      <c r="C10" s="849" t="n"/>
      <c r="D10" s="849" t="n"/>
      <c r="E10" s="849" t="n"/>
      <c r="F10" s="849" t="n"/>
      <c r="G10" s="849" t="n"/>
      <c r="H10" s="849" t="n"/>
    </row>
    <row r="11" ht="15" customHeight="1" s="850">
      <c r="A11" s="849" t="n"/>
      <c r="B11" s="849" t="n"/>
      <c r="C11" s="849" t="n"/>
      <c r="D11" s="849" t="n"/>
      <c r="E11" s="849" t="n"/>
      <c r="F11" s="849" t="n"/>
      <c r="G11" s="849" t="n"/>
      <c r="H11" s="849" t="n"/>
    </row>
    <row r="12" ht="15" customHeight="1" s="850">
      <c r="A12" s="849" t="n"/>
      <c r="B12" s="849" t="n"/>
      <c r="C12" s="849" t="n"/>
      <c r="D12" s="849" t="n"/>
      <c r="E12" s="849" t="n"/>
      <c r="F12" s="849" t="n"/>
      <c r="G12" s="849" t="n"/>
      <c r="H12" s="849" t="n"/>
    </row>
    <row r="13" ht="15" customHeight="1" s="850">
      <c r="A13" s="849" t="n"/>
      <c r="B13" s="849" t="n"/>
      <c r="C13" s="849" t="n"/>
      <c r="D13" s="849" t="n"/>
      <c r="E13" s="849" t="n"/>
      <c r="F13" s="849" t="n"/>
      <c r="G13" s="849" t="n"/>
      <c r="H13" s="849" t="n"/>
    </row>
    <row r="14" ht="15" customHeight="1" s="850">
      <c r="A14" s="849" t="n"/>
      <c r="B14" s="849" t="n"/>
      <c r="C14" s="849" t="n"/>
      <c r="D14" s="849" t="n"/>
      <c r="E14" s="849" t="n"/>
      <c r="F14" s="849" t="n"/>
      <c r="G14" s="849" t="n"/>
      <c r="H14" s="849" t="n"/>
    </row>
    <row r="15" ht="15" customHeight="1" s="850">
      <c r="A15" s="849" t="n"/>
      <c r="B15" s="849" t="n"/>
      <c r="C15" s="849" t="n"/>
      <c r="D15" s="849" t="n"/>
      <c r="E15" s="854" t="inlineStr">
        <is>
          <t>http://proschoolonline.com</t>
        </is>
      </c>
      <c r="F15" s="849" t="n"/>
      <c r="G15" s="849" t="n"/>
      <c r="H15" s="849" t="n"/>
    </row>
    <row r="16" ht="15" customHeight="1" s="850">
      <c r="A16" s="849" t="n"/>
      <c r="B16" s="849" t="n"/>
      <c r="C16" s="849" t="n"/>
      <c r="D16" s="849" t="n"/>
      <c r="E16" s="855" t="inlineStr">
        <is>
          <t>Email ID : mumbai@proschoolonline.com</t>
        </is>
      </c>
      <c r="F16" s="849" t="n"/>
      <c r="G16" s="849" t="n"/>
      <c r="H16" s="849" t="n"/>
    </row>
    <row r="17" ht="15" customHeight="1" s="850">
      <c r="A17" s="849" t="n"/>
      <c r="B17" s="849" t="n"/>
      <c r="C17" s="849" t="n"/>
      <c r="D17" s="849" t="n"/>
      <c r="E17" s="855" t="n"/>
      <c r="F17" s="849" t="n"/>
      <c r="G17" s="849" t="n"/>
      <c r="H17" s="849" t="n"/>
    </row>
    <row r="18" ht="15" customHeight="1" s="850">
      <c r="A18" s="849" t="n"/>
      <c r="B18" s="849" t="n"/>
      <c r="C18" s="849" t="n"/>
      <c r="D18" s="849" t="n"/>
      <c r="E18" s="855" t="inlineStr">
        <is>
          <t>Mumbai</t>
        </is>
      </c>
      <c r="F18" s="849" t="n"/>
      <c r="G18" s="849" t="n"/>
      <c r="H18" s="849" t="n"/>
    </row>
    <row r="19" ht="15" customHeight="1" s="850">
      <c r="A19" s="849" t="n"/>
      <c r="B19" s="849" t="n"/>
      <c r="C19" s="849" t="n"/>
      <c r="D19" s="849" t="n"/>
      <c r="E19" s="856" t="n"/>
      <c r="F19" s="849" t="n"/>
      <c r="G19" s="849" t="n"/>
      <c r="H19" s="849" t="n"/>
    </row>
    <row r="20" ht="15" customHeight="1" s="850">
      <c r="A20" s="849" t="n"/>
      <c r="B20" s="849" t="n"/>
      <c r="C20" s="849" t="n"/>
      <c r="D20" s="849" t="n"/>
      <c r="E20" s="857" t="inlineStr">
        <is>
          <t>IMS Proschool Pvt Ltd,</t>
        </is>
      </c>
      <c r="F20" s="849" t="n"/>
      <c r="G20" s="849" t="n"/>
      <c r="H20" s="849" t="n"/>
    </row>
    <row r="21" ht="15" customHeight="1" s="850">
      <c r="A21" s="849" t="n"/>
      <c r="B21" s="849" t="n"/>
      <c r="C21" s="849" t="n"/>
      <c r="D21" s="849" t="n"/>
      <c r="E21" s="857" t="inlineStr">
        <is>
          <t>Maharashtra High School Complex,</t>
        </is>
      </c>
      <c r="F21" s="849" t="n"/>
      <c r="G21" s="849" t="n"/>
      <c r="H21" s="849" t="n"/>
    </row>
    <row r="22" ht="15" customHeight="1" s="850">
      <c r="A22" s="849" t="n"/>
      <c r="B22" s="849" t="n"/>
      <c r="C22" s="849" t="n"/>
      <c r="D22" s="849" t="n"/>
      <c r="E22" s="857" t="inlineStr">
        <is>
          <t>Principal N.M Kale Marg, Off Gokhale Rd,</t>
        </is>
      </c>
      <c r="F22" s="849" t="n"/>
      <c r="G22" s="849" t="n"/>
      <c r="H22" s="849" t="n"/>
    </row>
    <row r="23" ht="15" customHeight="1" s="850">
      <c r="A23" s="849" t="n"/>
      <c r="B23" s="849" t="n"/>
      <c r="C23" s="849" t="n"/>
      <c r="D23" s="849" t="n"/>
      <c r="E23" s="857" t="inlineStr">
        <is>
          <t>Dadar (W), Mumbai 400028</t>
        </is>
      </c>
      <c r="F23" s="849" t="n"/>
      <c r="G23" s="849" t="n"/>
      <c r="H23" s="849" t="n"/>
    </row>
    <row r="24" ht="15" customHeight="1" s="850">
      <c r="A24" s="849" t="n"/>
      <c r="B24" s="849" t="n"/>
      <c r="C24" s="849" t="n"/>
      <c r="D24" s="849" t="n"/>
      <c r="E24" s="855" t="inlineStr">
        <is>
          <t>Tel. No. : 022-65285393/94</t>
        </is>
      </c>
      <c r="F24" s="849" t="n"/>
      <c r="G24" s="849" t="n"/>
      <c r="H24" s="849" t="n"/>
    </row>
    <row r="25" ht="15" customHeight="1" s="850">
      <c r="A25" s="849" t="n"/>
      <c r="B25" s="849" t="n"/>
      <c r="C25" s="849" t="n"/>
      <c r="D25" s="849" t="n"/>
      <c r="E25" s="857" t="inlineStr">
        <is>
          <t>+91 9372895050</t>
        </is>
      </c>
      <c r="F25" s="849" t="n"/>
      <c r="G25" s="849" t="n"/>
      <c r="H25" s="849" t="n"/>
    </row>
    <row r="26" hidden="1" ht="15" customHeight="1" s="850">
      <c r="A26" s="849" t="n"/>
      <c r="B26" s="849" t="n"/>
      <c r="C26" s="849" t="n"/>
      <c r="D26" s="849" t="n"/>
      <c r="E26" s="849" t="n"/>
      <c r="F26" s="849" t="n"/>
      <c r="G26" s="849" t="n"/>
      <c r="H26" s="849"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5"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width="9.130000000000001" customWidth="1" style="849" min="1" max="12"/>
    <col hidden="1" width="9.130000000000001" customWidth="1" style="849" min="13" max="257"/>
  </cols>
  <sheetData>
    <row r="1" ht="18" customHeight="1" s="850">
      <c r="A1" s="858" t="inlineStr">
        <is>
          <t>Directions</t>
        </is>
      </c>
      <c r="B1" s="859" t="n"/>
      <c r="C1" s="859" t="n"/>
      <c r="D1" s="859" t="n"/>
      <c r="E1" s="859" t="n"/>
      <c r="F1" s="859" t="n"/>
      <c r="G1" s="859" t="n"/>
      <c r="H1" s="859" t="n"/>
      <c r="I1" s="859" t="n"/>
      <c r="J1" s="859" t="n"/>
      <c r="K1" s="859" t="n"/>
      <c r="L1" s="860" t="n"/>
    </row>
    <row r="2" ht="15" customHeight="1" s="850">
      <c r="A2" s="861" t="n"/>
      <c r="B2" s="861" t="n"/>
      <c r="C2" s="861" t="n"/>
      <c r="D2" s="861" t="n"/>
      <c r="E2" s="861" t="n"/>
      <c r="F2" s="861" t="n"/>
      <c r="G2" s="861" t="n"/>
      <c r="H2" s="861" t="n"/>
      <c r="I2" s="861" t="n"/>
      <c r="J2" s="861" t="n"/>
      <c r="K2" s="861" t="n"/>
      <c r="L2" s="862" t="n"/>
    </row>
    <row r="3" ht="15" customHeight="1" s="850">
      <c r="A3" s="863"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864" t="n"/>
    </row>
    <row r="4" ht="15" customHeight="1" s="850">
      <c r="L4" s="864" t="n"/>
    </row>
    <row r="5" ht="15" customHeight="1" s="850">
      <c r="L5" s="864" t="n"/>
    </row>
    <row r="6" ht="15" customHeight="1" s="850">
      <c r="L6" s="864" t="n"/>
    </row>
    <row r="7" ht="15" customHeight="1" s="850">
      <c r="L7" s="864" t="n"/>
    </row>
    <row r="8" ht="15" customHeight="1" s="850">
      <c r="L8" s="864" t="n"/>
    </row>
    <row r="9" ht="15" customHeight="1" s="850">
      <c r="L9" s="864" t="n"/>
    </row>
    <row r="10" ht="15" customHeight="1" s="850">
      <c r="L10" s="864" t="n"/>
    </row>
    <row r="11" ht="15" customHeight="1" s="850">
      <c r="L11" s="864" t="n"/>
    </row>
    <row r="12" ht="15" customHeight="1" s="850">
      <c r="L12" s="864" t="n"/>
    </row>
    <row r="13" ht="15" customHeight="1" s="850">
      <c r="L13" s="864" t="n"/>
    </row>
    <row r="14" ht="15" customHeight="1" s="850">
      <c r="L14" s="864" t="n"/>
    </row>
    <row r="15" ht="15" customHeight="1" s="850">
      <c r="L15" s="864" t="n"/>
    </row>
    <row r="16" ht="15" customHeight="1" s="850">
      <c r="L16" s="864" t="n"/>
    </row>
    <row r="17" ht="15" customHeight="1" s="850">
      <c r="A17" s="865" t="n"/>
      <c r="B17" s="865" t="n"/>
      <c r="C17" s="865" t="n"/>
      <c r="D17" s="865" t="n"/>
      <c r="E17" s="865" t="n"/>
      <c r="F17" s="865" t="n"/>
      <c r="G17" s="865" t="n"/>
      <c r="H17" s="865" t="n"/>
      <c r="I17" s="865" t="n"/>
      <c r="J17" s="865" t="n"/>
      <c r="K17" s="865" t="n"/>
      <c r="L17" s="866" t="n"/>
    </row>
    <row r="18" ht="15" customHeight="1" s="850">
      <c r="A18" s="865" t="n"/>
      <c r="B18" s="865" t="n"/>
      <c r="C18" s="865" t="n"/>
      <c r="D18" s="865" t="n"/>
      <c r="E18" s="865" t="n"/>
      <c r="F18" s="865" t="n"/>
      <c r="G18" s="865" t="n"/>
      <c r="H18" s="865" t="n"/>
      <c r="I18" s="865" t="n"/>
      <c r="J18" s="865" t="n"/>
      <c r="K18" s="865" t="n"/>
      <c r="L18" s="866" t="n"/>
    </row>
    <row r="19" ht="15" customHeight="1" s="850">
      <c r="A19" s="865" t="n"/>
      <c r="B19" s="865" t="n"/>
      <c r="C19" s="865" t="n"/>
      <c r="D19" s="865" t="n"/>
      <c r="E19" s="865" t="n"/>
      <c r="F19" s="865" t="n"/>
      <c r="G19" s="865" t="n"/>
      <c r="H19" s="865" t="n"/>
      <c r="I19" s="865" t="n"/>
      <c r="J19" s="865" t="n"/>
      <c r="K19" s="865" t="n"/>
      <c r="L19" s="866" t="n"/>
    </row>
    <row r="20" ht="15" customHeight="1" s="850">
      <c r="A20" s="867" t="n"/>
      <c r="B20" s="867" t="n"/>
      <c r="C20" s="867" t="n"/>
      <c r="D20" s="867" t="n"/>
      <c r="E20" s="867" t="n"/>
      <c r="F20" s="867" t="n"/>
      <c r="G20" s="867" t="n"/>
      <c r="H20" s="867" t="n"/>
      <c r="I20" s="868" t="inlineStr">
        <is>
          <t>IMS Proschool Pvt Ltd,</t>
        </is>
      </c>
      <c r="K20" s="867" t="n"/>
      <c r="L20" s="863" t="n"/>
    </row>
    <row r="21" ht="15" customHeight="1" s="850">
      <c r="A21" s="867" t="n"/>
      <c r="B21" s="867" t="n"/>
      <c r="C21" s="867" t="n"/>
      <c r="D21" s="867" t="n"/>
      <c r="E21" s="867" t="n"/>
      <c r="F21" s="867" t="n"/>
      <c r="G21" s="867" t="n"/>
      <c r="H21" s="867" t="n"/>
      <c r="I21" s="868" t="inlineStr">
        <is>
          <t>Maharashtra High School Complex,</t>
        </is>
      </c>
      <c r="K21" s="867" t="n"/>
      <c r="L21" s="863" t="n"/>
    </row>
    <row r="22" ht="15" customHeight="1" s="850">
      <c r="A22" s="861" t="n"/>
      <c r="B22" s="861" t="n"/>
      <c r="C22" s="861" t="n"/>
      <c r="D22" s="861" t="n"/>
      <c r="E22" s="861" t="n"/>
      <c r="F22" s="861" t="n"/>
      <c r="G22" s="861" t="n"/>
      <c r="H22" s="861" t="n"/>
      <c r="I22" s="868" t="inlineStr">
        <is>
          <t>Principal N.M Kale Marg, Off Gokhale Rd,</t>
        </is>
      </c>
      <c r="K22" s="861" t="n"/>
      <c r="L22" s="862" t="n"/>
    </row>
    <row r="23" ht="15" customHeight="1" s="850">
      <c r="A23" s="861" t="n"/>
      <c r="B23" s="861" t="n"/>
      <c r="C23" s="861" t="n"/>
      <c r="D23" s="861" t="n"/>
      <c r="E23" s="861" t="n"/>
      <c r="F23" s="861" t="n"/>
      <c r="G23" s="861" t="n"/>
      <c r="H23" s="861" t="n"/>
      <c r="I23" s="868" t="inlineStr">
        <is>
          <t>Dadar (W), Mumbai 400028</t>
        </is>
      </c>
      <c r="K23" s="861" t="n"/>
      <c r="L23" s="862" t="n"/>
    </row>
    <row r="24" ht="15" customHeight="1" s="850">
      <c r="A24" s="861" t="n"/>
      <c r="B24" s="869" t="n"/>
      <c r="C24" s="861" t="n"/>
      <c r="D24" s="861" t="n"/>
      <c r="E24" s="861" t="n"/>
      <c r="F24" s="861" t="n"/>
      <c r="G24" s="861" t="n"/>
      <c r="H24" s="861" t="n"/>
      <c r="I24" s="870" t="inlineStr">
        <is>
          <t>Tel. No. : 022-65285393/94</t>
        </is>
      </c>
      <c r="K24" s="861" t="n"/>
      <c r="L24" s="862" t="n"/>
    </row>
    <row r="25" ht="15" customHeight="1" s="850">
      <c r="A25" s="861" t="n"/>
      <c r="B25" s="861" t="n"/>
      <c r="C25" s="861" t="n"/>
      <c r="D25" s="861" t="n"/>
      <c r="E25" s="861" t="n"/>
      <c r="F25" s="861" t="n"/>
      <c r="G25" s="861" t="n"/>
      <c r="H25" s="861" t="n"/>
      <c r="I25" s="868" t="inlineStr">
        <is>
          <t>+91 9372895050</t>
        </is>
      </c>
      <c r="K25" s="861" t="n"/>
      <c r="L25" s="862" t="n"/>
    </row>
    <row r="26" ht="15" customHeight="1" s="850">
      <c r="A26" s="861" t="n"/>
      <c r="B26" s="861" t="n"/>
      <c r="C26" s="861" t="n"/>
      <c r="D26" s="861" t="n"/>
      <c r="E26" s="861" t="n"/>
      <c r="F26" s="861" t="n"/>
      <c r="G26" s="861" t="n"/>
      <c r="H26" s="861" t="n"/>
      <c r="I26" s="869" t="inlineStr">
        <is>
          <t>Email ID : mumbai@proschoolonline.com</t>
        </is>
      </c>
      <c r="J26" s="861" t="n"/>
      <c r="K26" s="861" t="n"/>
      <c r="L26" s="862" t="n"/>
    </row>
    <row r="27" ht="15.75" customHeight="1" s="850">
      <c r="A27" s="871" t="n"/>
      <c r="B27" s="871" t="n"/>
      <c r="C27" s="871" t="n"/>
      <c r="D27" s="871" t="n"/>
      <c r="E27" s="871" t="n"/>
      <c r="F27" s="871" t="n"/>
      <c r="G27" s="871" t="n"/>
      <c r="H27" s="871" t="n"/>
      <c r="I27" s="872" t="n"/>
      <c r="J27" s="871" t="n"/>
      <c r="K27" s="871" t="n"/>
      <c r="L27" s="873" t="n"/>
    </row>
    <row r="28" hidden="1" ht="15" customHeight="1" s="850">
      <c r="A28" s="861" t="n"/>
      <c r="B28" s="869" t="n"/>
      <c r="C28" s="861" t="n"/>
      <c r="D28" s="861" t="n"/>
      <c r="E28" s="861" t="n"/>
      <c r="F28" s="861" t="n"/>
      <c r="G28" s="861" t="n"/>
      <c r="H28" s="861" t="n"/>
      <c r="I28" s="861" t="n"/>
      <c r="J28" s="861" t="n"/>
      <c r="K28" s="861" t="n"/>
      <c r="L28" s="861" t="n"/>
    </row>
    <row r="29" hidden="1" ht="15" customHeight="1" s="850">
      <c r="A29" s="874" t="n"/>
    </row>
    <row r="30" hidden="1" ht="15" customHeight="1" s="850"/>
    <row r="31" hidden="1" ht="15" customHeight="1" s="850"/>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0FF00"/>
    <outlinePr summaryBelow="1" summaryRight="1"/>
    <pageSetUpPr fitToPage="0"/>
  </sheetPr>
  <dimension ref="A1:AG89"/>
  <sheetViews>
    <sheetView showFormulas="0" showGridLines="0" showRowColHeaders="1" showZeros="1" rightToLeft="0" tabSelected="0" showOutlineSymbols="1" defaultGridColor="1" view="normal" topLeftCell="A13" colorId="64" zoomScale="110" zoomScaleNormal="110" zoomScalePageLayoutView="100" workbookViewId="0">
      <selection pane="topLeft" activeCell="F26" activeCellId="0" sqref="F26"/>
    </sheetView>
  </sheetViews>
  <sheetFormatPr baseColWidth="8" defaultColWidth="8.96875" defaultRowHeight="15" zeroHeight="0" outlineLevelRow="0"/>
  <cols>
    <col width="19.56" customWidth="1" style="849" min="1" max="1"/>
    <col width="9.99" customWidth="1" style="849" min="2" max="2"/>
    <col width="9.130000000000001" customWidth="1" style="849" min="5" max="5"/>
  </cols>
  <sheetData>
    <row r="1" ht="30" customFormat="1" customHeight="1" s="875">
      <c r="A1" s="876" t="inlineStr">
        <is>
          <t>GAIL (INDIA) LTD.</t>
        </is>
      </c>
      <c r="B1" s="877" t="n"/>
      <c r="C1" s="878" t="n"/>
      <c r="D1" s="879" t="n"/>
      <c r="E1" s="879" t="n"/>
      <c r="F1" s="879" t="n"/>
      <c r="G1" s="879" t="n"/>
      <c r="H1" s="877" t="n"/>
      <c r="I1" s="877" t="n"/>
      <c r="J1" s="880"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 customHeight="1" s="850">
      <c r="A2" s="883" t="inlineStr">
        <is>
          <t>Company Overview</t>
        </is>
      </c>
    </row>
    <row r="3" ht="15.75" customHeight="1" s="850">
      <c r="A3" s="884" t="inlineStr">
        <is>
          <t>(Figures in Rs. Millions.)</t>
        </is>
      </c>
      <c r="B3" s="885" t="n"/>
      <c r="C3" s="885" t="n"/>
      <c r="D3" s="886" t="n"/>
      <c r="E3" s="885" t="n"/>
      <c r="F3" s="885" t="n"/>
      <c r="G3" s="885" t="n"/>
      <c r="H3" s="885" t="n"/>
      <c r="I3" s="887" t="n"/>
      <c r="J3" s="885" t="n"/>
      <c r="K3" s="885" t="n"/>
      <c r="L3" s="885" t="n"/>
      <c r="M3" s="885" t="n"/>
      <c r="N3" s="885" t="n"/>
      <c r="O3" s="885" t="n"/>
      <c r="P3" s="885" t="n"/>
    </row>
    <row r="4" ht="15.75" customHeight="1" s="850">
      <c r="D4" s="888" t="n"/>
    </row>
    <row r="5" ht="15.75" customHeight="1" s="850">
      <c r="A5" s="889" t="inlineStr">
        <is>
          <t>Company Information</t>
        </is>
      </c>
      <c r="B5" s="890" t="n"/>
      <c r="C5" s="891" t="n"/>
      <c r="D5" s="888" t="n"/>
      <c r="F5" s="892" t="inlineStr">
        <is>
          <t>Company Description</t>
        </is>
      </c>
      <c r="G5" s="893" t="n"/>
      <c r="H5" s="891" t="n"/>
      <c r="I5" s="891" t="n"/>
      <c r="J5" s="891" t="n"/>
      <c r="K5" s="891" t="n"/>
      <c r="L5" s="891" t="n"/>
      <c r="M5" s="891" t="n"/>
      <c r="N5" s="891" t="n"/>
      <c r="O5" s="891" t="n"/>
      <c r="P5" s="891" t="n"/>
    </row>
    <row r="6" ht="15.75" customHeight="1" s="850">
      <c r="A6" s="894" t="inlineStr">
        <is>
          <t>Industry</t>
        </is>
      </c>
      <c r="B6" s="895" t="inlineStr">
        <is>
          <t xml:space="preserve">                                Natural Gas Industry</t>
        </is>
      </c>
      <c r="C6" s="896" t="n"/>
      <c r="D6" s="890" t="n"/>
      <c r="F6" s="897"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G6" s="898" t="n"/>
      <c r="H6" s="898" t="n"/>
      <c r="I6" s="898" t="n"/>
      <c r="J6" s="898" t="n"/>
      <c r="K6" s="898" t="n"/>
      <c r="L6" s="898" t="n"/>
      <c r="M6" s="898" t="n"/>
      <c r="N6" s="898" t="n"/>
      <c r="O6" s="898" t="n"/>
      <c r="P6" s="893" t="n"/>
    </row>
    <row r="7" ht="15.75" customHeight="1" s="850">
      <c r="A7" s="894" t="inlineStr">
        <is>
          <t>Sector</t>
        </is>
      </c>
      <c r="B7" s="895" t="inlineStr">
        <is>
          <t xml:space="preserve">                                   Natural Gas Sector</t>
        </is>
      </c>
      <c r="C7" s="896" t="n"/>
      <c r="D7" s="890" t="n"/>
      <c r="F7" s="899" t="n"/>
      <c r="P7" s="900" t="n"/>
    </row>
    <row r="8" ht="15.75" customHeight="1" s="850">
      <c r="A8" s="894" t="inlineStr">
        <is>
          <t>Country</t>
        </is>
      </c>
      <c r="B8" s="895" t="inlineStr">
        <is>
          <t xml:space="preserve">                                                         INDIA</t>
        </is>
      </c>
      <c r="C8" s="896" t="n"/>
      <c r="D8" s="890" t="n"/>
      <c r="F8" s="899" t="n"/>
      <c r="P8" s="900" t="n"/>
    </row>
    <row r="9" ht="15.75" customHeight="1" s="850">
      <c r="A9" s="894" t="inlineStr">
        <is>
          <t>Current Market Price</t>
        </is>
      </c>
      <c r="B9" s="901" t="inlineStr">
        <is>
          <t>RS.420.65</t>
        </is>
      </c>
      <c r="C9" s="896" t="n"/>
      <c r="D9" s="890" t="n"/>
      <c r="F9" s="899" t="n"/>
      <c r="P9" s="900" t="n"/>
    </row>
    <row r="10" ht="15.75" customHeight="1" s="850">
      <c r="A10" s="894" t="inlineStr">
        <is>
          <t>Ticker</t>
        </is>
      </c>
      <c r="B10" s="902" t="inlineStr">
        <is>
          <t>NSE</t>
        </is>
      </c>
      <c r="C10" s="896" t="n"/>
      <c r="D10" s="890" t="n"/>
      <c r="F10" s="899" t="n"/>
      <c r="P10" s="900" t="n"/>
    </row>
    <row r="11" ht="15.75" customHeight="1" s="850">
      <c r="A11" s="894" t="inlineStr">
        <is>
          <t>Market Capitalization ($MM)</t>
        </is>
      </c>
      <c r="B11" s="903" t="n">
        <v>5335861</v>
      </c>
      <c r="C11" s="896" t="n"/>
      <c r="D11" s="890" t="n"/>
      <c r="F11" s="899" t="n"/>
      <c r="P11" s="900" t="n"/>
    </row>
    <row r="12" ht="15.75" customHeight="1" s="850">
      <c r="A12" s="894" t="inlineStr">
        <is>
          <t>Relative Index (S&amp;P 500)</t>
        </is>
      </c>
      <c r="B12" s="902" t="inlineStr">
        <is>
          <t>(S&amp;P 500)</t>
        </is>
      </c>
      <c r="C12" s="896" t="n"/>
      <c r="D12" s="890" t="n"/>
      <c r="F12" s="904" t="n"/>
      <c r="G12" s="905" t="n"/>
      <c r="H12" s="905" t="n"/>
      <c r="I12" s="905" t="n"/>
      <c r="J12" s="905" t="n"/>
      <c r="K12" s="905" t="n"/>
      <c r="L12" s="905" t="n"/>
      <c r="M12" s="905" t="n"/>
      <c r="N12" s="905" t="n"/>
      <c r="O12" s="905" t="n"/>
      <c r="P12" s="906" t="n"/>
    </row>
    <row r="13" ht="15.75" customHeight="1" s="850">
      <c r="A13" s="894" t="inlineStr">
        <is>
          <t>Year end</t>
        </is>
      </c>
      <c r="B13" s="907" t="n">
        <v>40268</v>
      </c>
      <c r="C13" s="896" t="n"/>
      <c r="D13" s="890" t="n"/>
      <c r="F13" s="889" t="inlineStr">
        <is>
          <t>Products</t>
        </is>
      </c>
      <c r="G13" s="890" t="n"/>
      <c r="H13" s="891" t="n"/>
      <c r="I13" s="891" t="n"/>
      <c r="J13" s="891" t="n"/>
      <c r="K13" s="891" t="n"/>
      <c r="L13" s="891" t="n"/>
      <c r="M13" s="891" t="n"/>
      <c r="N13" s="891" t="n"/>
      <c r="O13" s="891" t="n"/>
      <c r="P13" s="891" t="n"/>
    </row>
    <row r="14" ht="15.75" customHeight="1" s="850">
      <c r="A14" s="894" t="inlineStr">
        <is>
          <t>Reporting currency</t>
        </is>
      </c>
      <c r="B14" s="902" t="inlineStr">
        <is>
          <t>INDIAN (Rs.)</t>
        </is>
      </c>
      <c r="C14" s="896" t="n"/>
      <c r="D14" s="890" t="n"/>
      <c r="F14" s="897" t="inlineStr">
        <is>
          <t>Natural Gas value chain and beyond including Exploration, Production, Transmission, Marketing, Extraction, Processing, Distribution, utilisation including Petrochemicals and Power and Natural Gas related infrastructure, products and services.</t>
        </is>
      </c>
      <c r="G14" s="898" t="n"/>
      <c r="H14" s="898" t="n"/>
      <c r="I14" s="898" t="n"/>
      <c r="J14" s="898" t="n"/>
      <c r="K14" s="898" t="n"/>
      <c r="L14" s="898" t="n"/>
      <c r="M14" s="898" t="n"/>
      <c r="N14" s="898" t="n"/>
      <c r="O14" s="898" t="n"/>
      <c r="P14" s="893" t="n"/>
    </row>
    <row r="15" ht="15.75" customHeight="1" s="850">
      <c r="F15" s="904" t="n"/>
      <c r="G15" s="905" t="n"/>
      <c r="H15" s="905" t="n"/>
      <c r="I15" s="905" t="n"/>
      <c r="J15" s="905" t="n"/>
      <c r="K15" s="905" t="n"/>
      <c r="L15" s="905" t="n"/>
      <c r="M15" s="905" t="n"/>
      <c r="N15" s="905" t="n"/>
      <c r="O15" s="905" t="n"/>
      <c r="P15" s="906" t="n"/>
    </row>
    <row r="16" ht="15" customHeight="1" s="850">
      <c r="F16" s="908" t="n"/>
      <c r="G16" s="908" t="n"/>
      <c r="H16" s="908" t="n"/>
      <c r="I16" s="908" t="n"/>
      <c r="J16" s="908" t="n"/>
      <c r="K16" s="908" t="n"/>
      <c r="L16" s="908" t="n"/>
      <c r="M16" s="908" t="n"/>
      <c r="N16" s="908" t="n"/>
      <c r="O16" s="908" t="n"/>
      <c r="P16" s="908" t="n"/>
    </row>
    <row r="17" ht="15.75" customHeight="1" s="850">
      <c r="A17" s="909" t="inlineStr">
        <is>
          <t>Per Share Data &amp; Key Ratios</t>
        </is>
      </c>
      <c r="B17" s="910" t="n"/>
      <c r="C17" s="911" t="n"/>
      <c r="D17" s="911" t="n"/>
      <c r="E17" s="911" t="n"/>
      <c r="F17" s="911" t="n"/>
      <c r="G17" s="911" t="n"/>
      <c r="H17" s="911" t="n"/>
      <c r="I17" s="911" t="n"/>
      <c r="J17" s="911" t="n"/>
      <c r="K17" s="891" t="n"/>
      <c r="L17" s="891" t="n"/>
      <c r="M17" s="891" t="n"/>
      <c r="N17" s="891" t="n"/>
      <c r="O17" s="891" t="n"/>
      <c r="P17" s="891" t="n"/>
    </row>
    <row r="18" ht="17.25" customHeight="1" s="850">
      <c r="A18" s="912" t="inlineStr">
        <is>
          <t xml:space="preserve"> (in Rs.crores)</t>
        </is>
      </c>
      <c r="B18" s="913" t="n"/>
      <c r="C18" s="914" t="n"/>
      <c r="D18" s="914" t="n"/>
      <c r="E18" s="914" t="n"/>
      <c r="F18" s="914" t="n"/>
      <c r="G18" s="914" t="n"/>
      <c r="H18" s="914" t="n"/>
      <c r="I18" s="914" t="n"/>
      <c r="J18" s="914" t="n"/>
      <c r="K18" s="915" t="n"/>
      <c r="L18" s="915" t="n"/>
      <c r="M18" s="915" t="n"/>
      <c r="N18" s="915" t="n"/>
      <c r="O18" s="915" t="n"/>
      <c r="P18" s="915" t="n"/>
    </row>
    <row r="19" ht="15" customHeight="1" s="850">
      <c r="A19" s="916" t="inlineStr">
        <is>
          <t>RATIOS</t>
        </is>
      </c>
      <c r="B19" s="917" t="inlineStr">
        <is>
          <t xml:space="preserve">31MAR '06 </t>
        </is>
      </c>
      <c r="C19" s="917" t="inlineStr">
        <is>
          <t>31MAR '07</t>
        </is>
      </c>
      <c r="D19" s="917" t="inlineStr">
        <is>
          <t>31MAR '08</t>
        </is>
      </c>
      <c r="E19" s="917" t="inlineStr">
        <is>
          <t>31MAR '09</t>
        </is>
      </c>
      <c r="F19" s="917" t="inlineStr">
        <is>
          <t>31MAR '10</t>
        </is>
      </c>
      <c r="G19" s="917" t="inlineStr">
        <is>
          <t>31MAR '11</t>
        </is>
      </c>
      <c r="H19" s="917" t="inlineStr">
        <is>
          <t>31MAR '12</t>
        </is>
      </c>
      <c r="I19" s="917" t="inlineStr">
        <is>
          <t>31MAR '13</t>
        </is>
      </c>
      <c r="J19" s="917" t="inlineStr">
        <is>
          <t>31MAR '14</t>
        </is>
      </c>
      <c r="K19" s="918" t="n"/>
      <c r="L19" s="918" t="n"/>
      <c r="M19" s="918" t="n"/>
      <c r="N19" s="918" t="n"/>
      <c r="O19" s="918" t="n"/>
      <c r="P19" s="918" t="n"/>
    </row>
    <row r="20" ht="15" customHeight="1" s="850">
      <c r="A20" s="919" t="n"/>
      <c r="B20" s="917" t="inlineStr">
        <is>
          <t>2005-06A</t>
        </is>
      </c>
      <c r="C20" s="917" t="inlineStr">
        <is>
          <t>2006-07A</t>
        </is>
      </c>
      <c r="D20" s="917" t="inlineStr">
        <is>
          <t>2007-08 A</t>
        </is>
      </c>
      <c r="E20" s="917" t="inlineStr">
        <is>
          <t>2008-09 A</t>
        </is>
      </c>
      <c r="F20" s="917" t="inlineStr">
        <is>
          <t>2009-2010E</t>
        </is>
      </c>
      <c r="G20" s="917" t="inlineStr">
        <is>
          <t>2010-11E</t>
        </is>
      </c>
      <c r="H20" s="917" t="inlineStr">
        <is>
          <t>2011-12E</t>
        </is>
      </c>
      <c r="I20" s="917" t="inlineStr">
        <is>
          <t>2012-13E</t>
        </is>
      </c>
      <c r="J20" s="917" t="inlineStr">
        <is>
          <t>2013-14E</t>
        </is>
      </c>
      <c r="K20" s="920" t="n"/>
      <c r="L20" s="920" t="n"/>
      <c r="M20" s="920" t="n"/>
      <c r="N20" s="920" t="n"/>
      <c r="O20" s="920" t="n"/>
      <c r="P20" s="920" t="n"/>
    </row>
    <row r="21" ht="15" customHeight="1" s="850">
      <c r="A21" s="921" t="inlineStr">
        <is>
          <t>EPS BASIC</t>
        </is>
      </c>
      <c r="C21" s="922">
        <f>'INCOME STATEMENT'!H49</f>
        <v/>
      </c>
      <c r="D21" s="922">
        <f>'INCOME STATEMENT'!O49</f>
        <v/>
      </c>
      <c r="E21" s="922">
        <f>'INCOME STATEMENT'!V49</f>
        <v/>
      </c>
      <c r="F21" s="922">
        <f>'INCOME STATEMENT'!AC49</f>
        <v/>
      </c>
      <c r="G21" s="922">
        <f>'INCOME STATEMENT'!AD49</f>
        <v/>
      </c>
      <c r="H21" s="922">
        <f>'INCOME STATEMENT'!AE49</f>
        <v/>
      </c>
      <c r="I21" s="922">
        <f>'INCOME STATEMENT'!AF49</f>
        <v/>
      </c>
      <c r="J21" s="922">
        <f>'INCOME STATEMENT'!AG49</f>
        <v/>
      </c>
      <c r="K21" s="923" t="n"/>
      <c r="L21" s="923" t="n"/>
      <c r="M21" s="923" t="n"/>
      <c r="N21" s="923" t="n"/>
      <c r="O21" s="923" t="n"/>
      <c r="P21" s="923" t="n"/>
    </row>
    <row r="22" ht="15" customHeight="1" s="850">
      <c r="A22" s="924" t="inlineStr">
        <is>
          <t>EBITDA/sales (%)</t>
        </is>
      </c>
      <c r="B22" s="925" t="n"/>
      <c r="C22" s="925">
        <f>'INCOME STATEMENT'!H21/'INCOME STATEMENT'!H6</f>
        <v/>
      </c>
      <c r="D22" s="925">
        <f>'INCOME STATEMENT'!O21/'INCOME STATEMENT'!O6</f>
        <v/>
      </c>
      <c r="E22" s="925">
        <f>'INCOME STATEMENT'!V21/'INCOME STATEMENT'!V6</f>
        <v/>
      </c>
      <c r="F22" s="925">
        <f>'INCOME STATEMENT'!AC21/'INCOME STATEMENT'!AC6</f>
        <v/>
      </c>
      <c r="G22" s="925">
        <f>'INCOME STATEMENT'!AD21/'INCOME STATEMENT'!AD6</f>
        <v/>
      </c>
      <c r="H22" s="925">
        <f>'INCOME STATEMENT'!AE21/'INCOME STATEMENT'!AE6</f>
        <v/>
      </c>
      <c r="I22" s="925">
        <f>'INCOME STATEMENT'!AF21/'INCOME STATEMENT'!AF6</f>
        <v/>
      </c>
      <c r="J22" s="925">
        <f>'INCOME STATEMENT'!AG21/'INCOME STATEMENT'!AG6</f>
        <v/>
      </c>
      <c r="K22" s="926" t="n"/>
      <c r="L22" s="926" t="n"/>
      <c r="M22" s="926" t="n"/>
      <c r="N22" s="926" t="n"/>
      <c r="O22" s="926" t="n"/>
      <c r="P22" s="926" t="n"/>
    </row>
    <row r="23" ht="15" customHeight="1" s="850">
      <c r="A23" s="924" t="inlineStr">
        <is>
          <t>Net income/sales (%)</t>
        </is>
      </c>
      <c r="B23" s="925" t="n"/>
      <c r="C23" s="925">
        <f>'INCOME STATEMENT'!O41/'INCOME STATEMENT'!O6</f>
        <v/>
      </c>
      <c r="D23" s="925">
        <f>'INCOME STATEMENT'!V41/'INCOME STATEMENT'!V6</f>
        <v/>
      </c>
      <c r="E23" s="925">
        <f>'INCOME STATEMENT'!V41/'INCOME STATEMENT'!V6</f>
        <v/>
      </c>
      <c r="F23" s="925">
        <f>'INCOME STATEMENT'!AC41/'INCOME STATEMENT'!AC6</f>
        <v/>
      </c>
      <c r="G23" s="925">
        <f>'INCOME STATEMENT'!AD41/'INCOME STATEMENT'!AD6</f>
        <v/>
      </c>
      <c r="H23" s="925">
        <f>'INCOME STATEMENT'!AE41/'INCOME STATEMENT'!AE6</f>
        <v/>
      </c>
      <c r="I23" s="925">
        <f>'INCOME STATEMENT'!AF41/'INCOME STATEMENT'!AF6</f>
        <v/>
      </c>
      <c r="J23" s="927">
        <f>'INCOME STATEMENT'!AG41/'INCOME STATEMENT'!AG6</f>
        <v/>
      </c>
      <c r="K23" s="926" t="n"/>
      <c r="L23" s="926" t="n"/>
      <c r="M23" s="926" t="n"/>
      <c r="N23" s="926" t="n"/>
      <c r="O23" s="926" t="n"/>
      <c r="P23" s="926" t="n"/>
    </row>
    <row r="24" ht="15" customHeight="1" s="850">
      <c r="A24" s="928" t="inlineStr">
        <is>
          <t>Interest Cover</t>
        </is>
      </c>
      <c r="B24" s="929" t="n"/>
      <c r="C24" s="929">
        <f>'Ratio Analysis'!C19</f>
        <v/>
      </c>
      <c r="D24" s="929">
        <f>'Ratio Analysis'!D19</f>
        <v/>
      </c>
      <c r="E24" s="929">
        <f>'Ratio Analysis'!E19</f>
        <v/>
      </c>
      <c r="F24" s="929">
        <f>'Ratio Analysis'!F19</f>
        <v/>
      </c>
      <c r="G24" s="929">
        <f>'Ratio Analysis'!G19</f>
        <v/>
      </c>
      <c r="H24" s="929">
        <f>'Ratio Analysis'!H19</f>
        <v/>
      </c>
      <c r="I24" s="930">
        <f>'Ratio Analysis'!I19</f>
        <v/>
      </c>
      <c r="J24" s="931">
        <f>'Ratio Analysis'!J19</f>
        <v/>
      </c>
      <c r="K24" s="932" t="n"/>
      <c r="L24" s="932" t="n"/>
      <c r="M24" s="932" t="n"/>
      <c r="N24" s="932" t="n"/>
      <c r="O24" s="932" t="n"/>
      <c r="P24" s="932" t="n"/>
    </row>
    <row r="25" ht="15" customHeight="1" s="850">
      <c r="A25" s="921" t="inlineStr">
        <is>
          <t>EV/Sales</t>
        </is>
      </c>
      <c r="B25" s="933" t="n"/>
      <c r="D25" s="933" t="n"/>
      <c r="E25" s="934">
        <f>Valuation!G13/'INCOME STATEMENT'!V6</f>
        <v/>
      </c>
      <c r="F25" s="934">
        <f>Valuation!G13/'INCOME STATEMENT'!AC6</f>
        <v/>
      </c>
      <c r="G25" s="935">
        <f>Valuation!G13/'INCOME STATEMENT'!AD6</f>
        <v/>
      </c>
      <c r="H25" s="935">
        <f>Valuation!G13/'INCOME STATEMENT'!AE6</f>
        <v/>
      </c>
      <c r="I25" s="935">
        <f>Valuation!G13/'INCOME STATEMENT'!AF6</f>
        <v/>
      </c>
      <c r="J25" s="936">
        <f>Valuation!G13/'INCOME STATEMENT'!AG6</f>
        <v/>
      </c>
      <c r="K25" s="937" t="n"/>
      <c r="L25" s="937" t="n"/>
      <c r="M25" s="937" t="n"/>
      <c r="N25" s="937" t="n"/>
      <c r="O25" s="937" t="n"/>
      <c r="P25" s="937" t="n"/>
    </row>
    <row r="26" ht="15" customHeight="1" s="850">
      <c r="A26" s="921" t="inlineStr">
        <is>
          <t>EV/EBITDA</t>
        </is>
      </c>
      <c r="B26" s="933" t="n"/>
      <c r="C26" s="933" t="n"/>
      <c r="D26" s="933" t="n"/>
      <c r="E26" s="934">
        <f>Valuation!G13/'INCOME STATEMENT'!V21</f>
        <v/>
      </c>
      <c r="F26" s="934">
        <f>Valuation!G13/'INCOME STATEMENT'!AC21</f>
        <v/>
      </c>
      <c r="G26" s="935">
        <f>Valuation!G13/'INCOME STATEMENT'!AD21</f>
        <v/>
      </c>
      <c r="H26" s="935">
        <f>Valuation!G13/'INCOME STATEMENT'!AE21</f>
        <v/>
      </c>
      <c r="I26" s="935">
        <f>Valuation!G13/'INCOME STATEMENT'!AF21</f>
        <v/>
      </c>
      <c r="J26" s="935">
        <f>Valuation!G13/'INCOME STATEMENT'!AG21</f>
        <v/>
      </c>
      <c r="K26" s="937" t="n"/>
      <c r="L26" s="937" t="n"/>
      <c r="M26" s="937" t="n"/>
      <c r="N26" s="937" t="n"/>
      <c r="O26" s="937" t="n"/>
      <c r="P26" s="937" t="n"/>
    </row>
    <row r="27" ht="15" customHeight="1" s="850">
      <c r="A27" s="921" t="inlineStr">
        <is>
          <t>P/E</t>
        </is>
      </c>
      <c r="B27" s="933" t="n"/>
      <c r="C27" s="933" t="n"/>
      <c r="D27" s="933" t="n"/>
      <c r="E27" s="934">
        <f>Valuation!G7/'INCOME STATEMENT'!V49</f>
        <v/>
      </c>
      <c r="F27" s="934">
        <f>Valuation!G7/'INCOME STATEMENT'!AC49</f>
        <v/>
      </c>
      <c r="G27" s="935">
        <f>Valuation!G7/'INCOME STATEMENT'!AD49</f>
        <v/>
      </c>
      <c r="H27" s="935">
        <f>Valuation!G7/'INCOME STATEMENT'!AE49</f>
        <v/>
      </c>
      <c r="I27" s="935">
        <f>Valuation!G7/'INCOME STATEMENT'!AF49</f>
        <v/>
      </c>
      <c r="J27" s="935">
        <f>Valuation!G7/'INCOME STATEMENT'!AG49</f>
        <v/>
      </c>
      <c r="K27" s="937" t="n"/>
      <c r="L27" s="937" t="n"/>
      <c r="M27" s="937" t="n"/>
      <c r="N27" s="937" t="n"/>
      <c r="O27" s="937" t="n"/>
      <c r="P27" s="937" t="n"/>
    </row>
    <row r="28" ht="15" customHeight="1" s="850">
      <c r="A28" s="921" t="inlineStr">
        <is>
          <t>P/Sales</t>
        </is>
      </c>
      <c r="B28" s="933" t="n"/>
      <c r="C28" s="933" t="n"/>
      <c r="D28" s="933" t="n"/>
      <c r="E28" s="938">
        <f>Valuation!G7/'INCOME STATEMENT'!V6</f>
        <v/>
      </c>
      <c r="F28" s="938">
        <f>Valuation!G7/'INCOME STATEMENT'!AC6</f>
        <v/>
      </c>
      <c r="G28" s="939">
        <f>Valuation!G7/'INCOME STATEMENT'!AD6</f>
        <v/>
      </c>
      <c r="H28" s="939">
        <f>Valuation!G7/'INCOME STATEMENT'!AE6</f>
        <v/>
      </c>
      <c r="I28" s="939">
        <f>Valuation!G7/'INCOME STATEMENT'!AF6</f>
        <v/>
      </c>
      <c r="J28" s="940">
        <f>Valuation!G7/'INCOME STATEMENT'!AG6</f>
        <v/>
      </c>
      <c r="K28" s="937" t="n"/>
      <c r="L28" s="937" t="n"/>
      <c r="M28" s="937" t="n"/>
      <c r="N28" s="937" t="n"/>
      <c r="O28" s="937" t="n"/>
      <c r="P28" s="937" t="n"/>
    </row>
    <row r="30" ht="27" customHeight="1" s="850">
      <c r="A30" s="941" t="inlineStr">
        <is>
          <t>Segment revenue breakup for 2009</t>
        </is>
      </c>
      <c r="B30" s="910" t="n"/>
      <c r="C30" s="911" t="n"/>
      <c r="D30" s="911" t="n"/>
      <c r="E30" s="911" t="n"/>
      <c r="F30" s="911" t="n"/>
      <c r="G30" s="911" t="n"/>
      <c r="H30" s="887" t="n"/>
      <c r="I30" s="942" t="n"/>
      <c r="J30" s="905" t="n"/>
      <c r="K30" s="943" t="n"/>
      <c r="L30" s="911" t="n"/>
      <c r="M30" s="911" t="n"/>
      <c r="N30" s="911" t="n"/>
      <c r="O30" s="911" t="n"/>
      <c r="P30" s="911" t="n"/>
    </row>
    <row r="31" ht="15.75" customHeight="1" s="850"/>
    <row r="32" ht="15" customHeight="1" s="850">
      <c r="A32" s="944" t="inlineStr">
        <is>
          <t>Natural Gas Trading</t>
        </is>
      </c>
      <c r="B32" s="945" t="n">
        <v>183084</v>
      </c>
      <c r="E32" s="849" t="n"/>
      <c r="I32" s="946" t="n"/>
      <c r="J32" s="947" t="n"/>
    </row>
    <row r="33" ht="22.5" customHeight="1" s="850">
      <c r="A33" s="948" t="inlineStr">
        <is>
          <t>Transmission Services - Natural Gas</t>
        </is>
      </c>
      <c r="B33" s="949" t="n">
        <v>25081</v>
      </c>
      <c r="I33" s="946" t="n"/>
      <c r="J33" s="947" t="n"/>
    </row>
    <row r="34" ht="14.25" customHeight="1" s="850">
      <c r="A34" s="948" t="inlineStr">
        <is>
          <t>Petrochemicals</t>
        </is>
      </c>
      <c r="B34" s="949" t="n">
        <v>27335</v>
      </c>
      <c r="I34" s="950" t="n"/>
      <c r="J34" s="947" t="n"/>
    </row>
    <row r="35" ht="22.5" customHeight="1" s="850">
      <c r="A35" s="948" t="inlineStr">
        <is>
          <t>LPG &amp; Liquid Hydrocarbons</t>
        </is>
      </c>
      <c r="B35" s="949" t="n">
        <v>29900</v>
      </c>
      <c r="I35" s="946" t="n"/>
      <c r="J35" s="947" t="n"/>
    </row>
    <row r="36" ht="22.5" customHeight="1" s="850">
      <c r="A36" s="948" t="inlineStr">
        <is>
          <t>Transmission Services - LPG</t>
        </is>
      </c>
      <c r="B36" s="951" t="n">
        <v>3819</v>
      </c>
      <c r="I36" s="952" t="n"/>
      <c r="J36" s="953" t="n"/>
    </row>
    <row r="37" ht="15" customHeight="1" s="850">
      <c r="A37" s="948" t="inlineStr">
        <is>
          <t>Gailtel</t>
        </is>
      </c>
      <c r="B37" s="954" t="n">
        <v>243</v>
      </c>
      <c r="I37" s="955" t="n"/>
      <c r="J37" s="956" t="n"/>
    </row>
    <row r="38" ht="15.75" customHeight="1" s="850">
      <c r="A38" s="957" t="inlineStr">
        <is>
          <t>Others</t>
        </is>
      </c>
      <c r="B38" s="958" t="n">
        <v>5749</v>
      </c>
    </row>
    <row r="39" ht="15.75" customHeight="1" s="850">
      <c r="A39" s="959" t="inlineStr">
        <is>
          <t>Total</t>
        </is>
      </c>
      <c r="B39" s="960">
        <f>SUM(B32:B38)</f>
        <v/>
      </c>
    </row>
    <row r="48" ht="15.75" customHeight="1" s="850">
      <c r="A48" s="961" t="inlineStr">
        <is>
          <t>Revenue Forecast</t>
        </is>
      </c>
      <c r="B48" s="891" t="n"/>
      <c r="C48" s="891" t="n"/>
      <c r="D48" s="891" t="n"/>
      <c r="E48" s="891" t="n"/>
      <c r="F48" s="891" t="n"/>
      <c r="G48" s="891" t="n"/>
      <c r="I48" s="962" t="n"/>
      <c r="J48" s="962" t="n"/>
      <c r="K48" s="962" t="n"/>
      <c r="L48" s="891" t="n"/>
      <c r="M48" s="891" t="n"/>
      <c r="N48" s="891" t="n"/>
      <c r="O48" s="891" t="n"/>
      <c r="P48" s="891" t="n"/>
      <c r="Q48" s="849" t="n"/>
      <c r="R48" s="849" t="n"/>
      <c r="S48" s="849" t="n"/>
      <c r="T48" s="849" t="n"/>
      <c r="U48" s="849" t="n"/>
      <c r="V48" s="849" t="n"/>
      <c r="W48" s="849" t="n"/>
      <c r="X48" s="849" t="n"/>
      <c r="Y48" s="849" t="n"/>
      <c r="Z48" s="849" t="n"/>
      <c r="AA48" s="849" t="n"/>
    </row>
    <row r="49" ht="15" customHeight="1" s="850">
      <c r="B49" s="963" t="inlineStr">
        <is>
          <t>2006-07</t>
        </is>
      </c>
      <c r="C49" s="964" t="inlineStr">
        <is>
          <t>2007-08</t>
        </is>
      </c>
      <c r="D49" s="964" t="inlineStr">
        <is>
          <t>2008-09</t>
        </is>
      </c>
      <c r="E49" s="964" t="inlineStr">
        <is>
          <t>2009-10</t>
        </is>
      </c>
      <c r="F49" s="964" t="inlineStr">
        <is>
          <t>2010-11</t>
        </is>
      </c>
      <c r="G49" s="964" t="inlineStr">
        <is>
          <t>2011-12</t>
        </is>
      </c>
    </row>
    <row r="50" ht="15" customHeight="1" s="850">
      <c r="A50" s="965" t="inlineStr">
        <is>
          <t>Natural Gas Trading</t>
        </is>
      </c>
      <c r="B50" s="966" t="n">
        <v>121198</v>
      </c>
      <c r="C50" s="966" t="n">
        <v>127476</v>
      </c>
      <c r="D50" s="966" t="n">
        <v>183084</v>
      </c>
      <c r="E50" s="966" t="n">
        <v>205054</v>
      </c>
      <c r="F50" s="966" t="n">
        <v>246064</v>
      </c>
      <c r="G50" s="966" t="n">
        <v>295277</v>
      </c>
    </row>
    <row r="51" ht="22.5" customHeight="1" s="850">
      <c r="A51" s="965" t="inlineStr">
        <is>
          <t>Transmission Services - Natural Gas</t>
        </is>
      </c>
      <c r="B51" s="966" t="n">
        <v>21155</v>
      </c>
      <c r="C51" s="966" t="n">
        <v>21966</v>
      </c>
      <c r="D51" s="966" t="n">
        <v>25081</v>
      </c>
      <c r="E51" s="966" t="n">
        <v>34862</v>
      </c>
      <c r="F51" s="966" t="n">
        <v>45321</v>
      </c>
      <c r="G51" s="966" t="n">
        <v>61183</v>
      </c>
    </row>
    <row r="52" ht="15" customHeight="1" s="850">
      <c r="A52" s="965" t="inlineStr">
        <is>
          <t>Petrochemicals</t>
        </is>
      </c>
      <c r="B52" s="966" t="n">
        <v>25702</v>
      </c>
      <c r="C52" s="966" t="n">
        <v>27031</v>
      </c>
      <c r="D52" s="966" t="n">
        <v>27335</v>
      </c>
      <c r="E52" s="966" t="n">
        <v>29574</v>
      </c>
      <c r="F52" s="966" t="n">
        <v>32531</v>
      </c>
      <c r="G52" s="966" t="n">
        <v>36110</v>
      </c>
    </row>
    <row r="53" ht="15" customHeight="1" s="850">
      <c r="A53" s="965" t="inlineStr">
        <is>
          <t>LPG &amp; Liquid Hydrocarbons</t>
        </is>
      </c>
      <c r="B53" s="966" t="n">
        <v>21219</v>
      </c>
      <c r="C53" s="966" t="n">
        <v>26961</v>
      </c>
      <c r="D53" s="966" t="n">
        <v>29900</v>
      </c>
      <c r="E53" s="966" t="n">
        <v>29996</v>
      </c>
      <c r="F53" s="966" t="n">
        <v>35995</v>
      </c>
      <c r="G53" s="966" t="n">
        <v>41395</v>
      </c>
    </row>
    <row r="54" ht="22.5" customHeight="1" s="850">
      <c r="A54" s="965" t="inlineStr">
        <is>
          <t>Transmission Services - LPG</t>
        </is>
      </c>
      <c r="B54" s="966" t="n">
        <v>3440</v>
      </c>
      <c r="C54" s="966" t="n">
        <v>3893</v>
      </c>
      <c r="D54" s="966" t="n">
        <v>3819</v>
      </c>
      <c r="E54" s="966" t="n">
        <v>4358</v>
      </c>
      <c r="F54" s="966" t="n">
        <v>5012</v>
      </c>
      <c r="G54" s="966" t="n">
        <v>5814</v>
      </c>
    </row>
    <row r="55" ht="15" customHeight="1" s="850">
      <c r="A55" s="965" t="inlineStr">
        <is>
          <t>Gailtel</t>
        </is>
      </c>
      <c r="B55" s="966" t="n">
        <v>254</v>
      </c>
      <c r="C55" s="966" t="n">
        <v>286</v>
      </c>
      <c r="D55" s="966" t="n">
        <v>243</v>
      </c>
      <c r="E55" s="966" t="n">
        <v>193</v>
      </c>
      <c r="F55" s="966" t="n">
        <v>222</v>
      </c>
      <c r="G55" s="966" t="n">
        <v>244</v>
      </c>
    </row>
    <row r="56" ht="15" customHeight="1" s="850">
      <c r="A56" s="965" t="inlineStr">
        <is>
          <t>Others</t>
        </is>
      </c>
      <c r="B56" s="966" t="n">
        <v>5097</v>
      </c>
      <c r="C56" s="966" t="n">
        <v>5068</v>
      </c>
      <c r="D56" s="966" t="n">
        <v>5749</v>
      </c>
      <c r="E56" s="966" t="n">
        <v>402</v>
      </c>
      <c r="F56" s="966" t="n">
        <v>443</v>
      </c>
      <c r="G56" s="966" t="n">
        <v>496</v>
      </c>
    </row>
    <row r="57" ht="15" customHeight="1" s="850">
      <c r="A57" s="967" t="inlineStr">
        <is>
          <t>Total</t>
        </is>
      </c>
      <c r="B57" s="968">
        <f>SUM(B50:B56)</f>
        <v/>
      </c>
      <c r="C57" s="968">
        <f>SUM(C50:C56)</f>
        <v/>
      </c>
      <c r="D57" s="968">
        <f>SUM(D50:D56)</f>
        <v/>
      </c>
      <c r="E57" s="968">
        <f>SUM(E50:E56)</f>
        <v/>
      </c>
      <c r="F57" s="968">
        <f>SUM(F50:F56)</f>
        <v/>
      </c>
      <c r="G57" s="968">
        <f>SUM(G50:G56)</f>
        <v/>
      </c>
    </row>
    <row r="66" ht="15.75" customHeight="1" s="850">
      <c r="A66" s="969" t="n"/>
      <c r="B66" s="969" t="n"/>
      <c r="C66" s="969" t="n"/>
      <c r="D66" s="969" t="n"/>
      <c r="E66" s="969" t="n"/>
      <c r="F66" s="969" t="n"/>
      <c r="G66" s="969" t="n"/>
      <c r="H66" s="969" t="n"/>
      <c r="I66" s="969" t="n"/>
      <c r="J66" s="969" t="n"/>
      <c r="K66" s="969" t="n"/>
      <c r="L66" s="969" t="n"/>
      <c r="M66" s="969" t="n"/>
      <c r="N66" s="969" t="n"/>
      <c r="O66" s="969" t="n"/>
      <c r="P66" s="969" t="n"/>
    </row>
    <row r="71" ht="15" customHeight="1" s="850">
      <c r="A71" s="970" t="n"/>
      <c r="B71" s="849" t="n"/>
      <c r="C71" s="849" t="n"/>
      <c r="D71" s="849" t="n"/>
      <c r="E71" s="849" t="n"/>
      <c r="F71" s="849" t="n"/>
      <c r="G71" s="849" t="n"/>
      <c r="H71" s="849" t="n"/>
      <c r="I71" s="849" t="n"/>
      <c r="J71" s="849" t="n"/>
      <c r="K71" s="849" t="n"/>
      <c r="L71" s="849" t="n"/>
      <c r="M71" s="849" t="n"/>
      <c r="N71" s="849" t="n"/>
    </row>
    <row r="72" ht="15" customHeight="1" s="850">
      <c r="A72" s="849" t="n"/>
      <c r="B72" s="971" t="n"/>
      <c r="C72" s="971" t="n"/>
      <c r="D72" s="971" t="n"/>
      <c r="E72" s="971" t="n"/>
      <c r="F72" s="971" t="n"/>
      <c r="G72" s="971" t="n"/>
      <c r="H72" s="849" t="n"/>
      <c r="I72" s="849" t="n"/>
      <c r="J72" s="970" t="n"/>
      <c r="K72" s="891" t="n"/>
      <c r="L72" s="891" t="n"/>
      <c r="M72" s="891" t="n"/>
      <c r="N72" s="891" t="n"/>
    </row>
    <row r="73" ht="15" customHeight="1" s="850">
      <c r="A73" s="970" t="n"/>
      <c r="B73" s="891" t="n"/>
      <c r="C73" s="891" t="n"/>
      <c r="D73" s="891" t="n"/>
      <c r="E73" s="891" t="n"/>
      <c r="F73" s="891" t="n"/>
      <c r="G73" s="891" t="n"/>
      <c r="H73" s="849" t="n"/>
      <c r="I73" s="849" t="n"/>
      <c r="J73" s="970" t="n"/>
      <c r="K73" s="891" t="n"/>
      <c r="L73" s="891" t="n"/>
      <c r="M73" s="891" t="n"/>
      <c r="N73" s="891" t="n"/>
    </row>
    <row r="74" ht="15" customHeight="1" s="850">
      <c r="A74" s="970" t="n"/>
      <c r="B74" s="891" t="n"/>
      <c r="C74" s="891" t="n"/>
      <c r="D74" s="891" t="n"/>
      <c r="E74" s="891" t="n"/>
      <c r="F74" s="891" t="n"/>
      <c r="G74" s="891" t="n"/>
      <c r="H74" s="849" t="n"/>
      <c r="I74" s="849" t="n"/>
      <c r="J74" s="970" t="n"/>
      <c r="K74" s="891" t="n"/>
      <c r="L74" s="891" t="n"/>
      <c r="M74" s="891" t="n"/>
      <c r="N74" s="891" t="n"/>
    </row>
    <row r="75" ht="15" customHeight="1" s="850">
      <c r="A75" s="970" t="n"/>
      <c r="B75" s="972" t="n"/>
      <c r="C75" s="972" t="n"/>
      <c r="D75" s="972" t="n"/>
      <c r="E75" s="972" t="n"/>
      <c r="F75" s="972" t="n"/>
      <c r="G75" s="972" t="n"/>
      <c r="H75" s="849" t="n"/>
      <c r="I75" s="849" t="n"/>
      <c r="J75" s="970" t="n"/>
      <c r="K75" s="891" t="n"/>
      <c r="L75" s="891" t="n"/>
      <c r="M75" s="891" t="n"/>
      <c r="N75" s="891" t="n"/>
    </row>
    <row r="76" ht="15" customHeight="1" s="850">
      <c r="A76" s="849" t="n"/>
      <c r="B76" s="973" t="n"/>
      <c r="C76" s="973" t="n"/>
      <c r="D76" s="973" t="n"/>
      <c r="E76" s="973" t="n"/>
      <c r="F76" s="973" t="n"/>
      <c r="G76" s="849" t="n"/>
      <c r="H76" s="849" t="n"/>
      <c r="I76" s="849" t="n"/>
      <c r="J76" s="849" t="n"/>
      <c r="K76" s="849" t="n"/>
      <c r="L76" s="849" t="n"/>
      <c r="M76" s="849" t="n"/>
      <c r="N76" s="849" t="n"/>
    </row>
    <row r="77" ht="15" customHeight="1" s="850">
      <c r="A77" s="849" t="n"/>
      <c r="B77" s="849" t="n"/>
      <c r="C77" s="849" t="n"/>
      <c r="D77" s="849" t="n"/>
      <c r="E77" s="849" t="n"/>
      <c r="F77" s="849" t="n"/>
      <c r="G77" s="849" t="n"/>
      <c r="H77" s="849" t="n"/>
      <c r="I77" s="849" t="n"/>
      <c r="J77" s="849" t="n"/>
      <c r="K77" s="849" t="n"/>
      <c r="L77" s="849" t="n"/>
      <c r="M77" s="849" t="n"/>
      <c r="N77" s="849" t="n"/>
    </row>
    <row r="78" ht="15" customHeight="1" s="850">
      <c r="A78" s="849" t="n"/>
      <c r="B78" s="849" t="n"/>
      <c r="C78" s="849" t="n"/>
      <c r="D78" s="849" t="n"/>
      <c r="E78" s="849" t="n"/>
      <c r="F78" s="849" t="n"/>
      <c r="G78" s="849" t="n"/>
      <c r="H78" s="849" t="n"/>
      <c r="I78" s="849" t="n"/>
      <c r="J78" s="849" t="n"/>
      <c r="K78" s="849" t="n"/>
      <c r="L78" s="849" t="n"/>
      <c r="M78" s="849" t="n"/>
      <c r="N78" s="849" t="n"/>
    </row>
    <row r="79" ht="15" customHeight="1" s="850">
      <c r="A79" s="849" t="n"/>
      <c r="B79" s="849" t="n"/>
      <c r="C79" s="849" t="n"/>
      <c r="D79" s="849" t="n"/>
      <c r="E79" s="849" t="n"/>
      <c r="F79" s="849" t="n"/>
      <c r="G79" s="849" t="n"/>
      <c r="H79" s="849" t="n"/>
      <c r="I79" s="849" t="n"/>
      <c r="J79" s="849" t="n"/>
      <c r="K79" s="849" t="n"/>
      <c r="L79" s="849" t="n"/>
      <c r="M79" s="849" t="n"/>
      <c r="N79" s="849" t="n"/>
    </row>
    <row r="80" ht="15" customHeight="1" s="850">
      <c r="A80" s="974" t="n"/>
      <c r="B80" s="849" t="n"/>
      <c r="C80" s="849" t="n"/>
      <c r="D80" s="849" t="n"/>
      <c r="E80" s="849" t="n"/>
      <c r="F80" s="849" t="n"/>
      <c r="G80" s="849" t="n"/>
      <c r="H80" s="970" t="n"/>
      <c r="I80" s="971" t="n"/>
      <c r="L80" s="849" t="n"/>
      <c r="M80" s="849" t="n"/>
      <c r="N80" s="849" t="n"/>
    </row>
    <row r="81" ht="15" customHeight="1" s="850">
      <c r="A81" s="970" t="n"/>
      <c r="B81" s="849" t="n"/>
      <c r="C81" s="849" t="n"/>
      <c r="D81" s="849" t="n"/>
      <c r="E81" s="849" t="n"/>
      <c r="F81" s="849" t="n"/>
      <c r="G81" s="849" t="n"/>
      <c r="H81" s="970" t="n"/>
      <c r="I81" s="971" t="n"/>
      <c r="L81" s="849" t="n"/>
      <c r="M81" s="849" t="n"/>
      <c r="N81" s="849" t="n"/>
    </row>
    <row r="82" ht="15" customHeight="1" s="850">
      <c r="A82" s="849" t="n"/>
      <c r="B82" s="849" t="n"/>
      <c r="C82" s="849" t="n"/>
      <c r="D82" s="849" t="n"/>
      <c r="E82" s="849" t="n"/>
      <c r="F82" s="849" t="n"/>
      <c r="G82" s="849" t="n"/>
      <c r="H82" s="970" t="n"/>
      <c r="I82" s="971" t="n"/>
      <c r="L82" s="849" t="n"/>
      <c r="M82" s="849" t="n"/>
      <c r="N82" s="849" t="n"/>
    </row>
    <row r="83" ht="15" customHeight="1" s="850">
      <c r="A83" s="975" t="n"/>
      <c r="B83" s="849" t="n"/>
      <c r="C83" s="849" t="n"/>
      <c r="D83" s="849" t="n"/>
      <c r="E83" s="849" t="n"/>
      <c r="F83" s="849" t="n"/>
      <c r="G83" s="849" t="n"/>
      <c r="H83" s="970" t="n"/>
      <c r="I83" s="976" t="n"/>
      <c r="L83" s="849" t="n"/>
      <c r="M83" s="849" t="n"/>
      <c r="N83" s="849" t="n"/>
    </row>
    <row r="84" ht="15" customHeight="1" s="850">
      <c r="A84" s="849" t="n"/>
      <c r="B84" s="849" t="n"/>
      <c r="C84" s="849" t="n"/>
      <c r="D84" s="849" t="n"/>
      <c r="E84" s="849" t="n"/>
      <c r="F84" s="849" t="n"/>
      <c r="G84" s="849" t="n"/>
      <c r="H84" s="970" t="n"/>
      <c r="I84" s="977" t="n"/>
      <c r="L84" s="849" t="n"/>
      <c r="M84" s="849" t="n"/>
      <c r="N84" s="849" t="n"/>
    </row>
    <row r="85" ht="15" customHeight="1" s="850">
      <c r="A85" s="849" t="n"/>
      <c r="B85" s="849" t="n"/>
      <c r="C85" s="849" t="n"/>
      <c r="D85" s="849" t="n"/>
      <c r="E85" s="849" t="n"/>
      <c r="F85" s="849" t="n"/>
      <c r="G85" s="849" t="n"/>
      <c r="H85" s="970" t="n"/>
      <c r="I85" s="978" t="n"/>
      <c r="L85" s="849" t="n"/>
      <c r="M85" s="849" t="n"/>
      <c r="N85" s="849" t="n"/>
    </row>
    <row r="86" ht="15" customHeight="1" s="850">
      <c r="A86" s="849" t="n"/>
      <c r="B86" s="849" t="n"/>
      <c r="C86" s="849" t="n"/>
      <c r="D86" s="849" t="n"/>
      <c r="E86" s="849" t="n"/>
      <c r="F86" s="849" t="n"/>
      <c r="G86" s="849" t="n"/>
      <c r="H86" s="970" t="n"/>
      <c r="I86" s="977" t="n"/>
      <c r="L86" s="849" t="n"/>
      <c r="M86" s="849" t="n"/>
      <c r="N86" s="849" t="n"/>
    </row>
    <row r="87" ht="15" customHeight="1" s="850">
      <c r="A87" s="849" t="n"/>
      <c r="B87" s="849" t="n"/>
      <c r="C87" s="849" t="n"/>
      <c r="D87" s="849" t="n"/>
      <c r="E87" s="849" t="n"/>
      <c r="F87" s="849" t="n"/>
      <c r="G87" s="849" t="n"/>
      <c r="H87" s="970" t="n"/>
      <c r="I87" s="979" t="n"/>
      <c r="L87" s="849" t="n"/>
      <c r="M87" s="849" t="n"/>
      <c r="N87" s="849" t="n"/>
    </row>
    <row r="88" ht="15" customHeight="1" s="850">
      <c r="A88" s="849" t="n"/>
      <c r="B88" s="849" t="n"/>
      <c r="C88" s="849" t="n"/>
      <c r="D88" s="849" t="n"/>
      <c r="E88" s="849" t="n"/>
      <c r="F88" s="849" t="n"/>
      <c r="G88" s="849" t="n"/>
      <c r="H88" s="970" t="n"/>
      <c r="I88" s="977" t="n"/>
      <c r="L88" s="849" t="n"/>
      <c r="M88" s="849" t="n"/>
      <c r="N88" s="849" t="n"/>
    </row>
    <row r="89" ht="15" customHeight="1" s="850">
      <c r="A89" s="849" t="n"/>
      <c r="B89" s="849" t="n"/>
      <c r="C89" s="849" t="n"/>
      <c r="D89" s="849" t="n"/>
      <c r="E89" s="849" t="n"/>
      <c r="F89" s="849" t="n"/>
      <c r="G89" s="849" t="n"/>
      <c r="H89" s="849" t="n"/>
      <c r="I89" s="849" t="n"/>
      <c r="J89" s="849" t="n"/>
      <c r="K89" s="849" t="n"/>
      <c r="L89" s="849" t="n"/>
      <c r="M89" s="849" t="n"/>
      <c r="N89" s="849" t="n"/>
    </row>
  </sheetData>
  <mergeCells count="28">
    <mergeCell ref="I30:J30"/>
    <mergeCell ref="B11:D11"/>
    <mergeCell ref="I85:K85"/>
    <mergeCell ref="A30:B30"/>
    <mergeCell ref="B14:D14"/>
    <mergeCell ref="B8:D8"/>
    <mergeCell ref="B13:D13"/>
    <mergeCell ref="I87:K87"/>
    <mergeCell ref="B10:D10"/>
    <mergeCell ref="F5:G5"/>
    <mergeCell ref="I83:K83"/>
    <mergeCell ref="B9:D9"/>
    <mergeCell ref="I88:K88"/>
    <mergeCell ref="I82:K82"/>
    <mergeCell ref="F6:P12"/>
    <mergeCell ref="B6:D6"/>
    <mergeCell ref="J1:M1"/>
    <mergeCell ref="F14:P15"/>
    <mergeCell ref="I84:K84"/>
    <mergeCell ref="A5:B5"/>
    <mergeCell ref="A17:B17"/>
    <mergeCell ref="F13:G13"/>
    <mergeCell ref="B7:D7"/>
    <mergeCell ref="I81:K81"/>
    <mergeCell ref="A19:A20"/>
    <mergeCell ref="I86:K86"/>
    <mergeCell ref="I80:K80"/>
    <mergeCell ref="B12:D1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H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
    </sheetView>
  </sheetViews>
  <sheetFormatPr baseColWidth="8" defaultColWidth="8.96875" defaultRowHeight="15" zeroHeight="0" outlineLevelRow="0"/>
  <cols>
    <col width="31.28" customWidth="1" style="849" min="1" max="1"/>
    <col width="9.130000000000001" customWidth="1" style="849" min="20" max="20"/>
    <col width="10.56" customWidth="1" style="849" min="21" max="21"/>
    <col width="10.85" customWidth="1" style="849" min="22" max="22"/>
    <col width="10.56" customWidth="1" style="849" min="23" max="23"/>
    <col width="10.99" customWidth="1" style="849" min="24" max="25"/>
    <col width="10.28" customWidth="1" style="849" min="29" max="29"/>
    <col width="11.71" customWidth="1" style="849" min="30" max="30"/>
    <col width="11.99" customWidth="1" style="849" min="31" max="31"/>
    <col width="11.71" customWidth="1" style="849" min="32" max="32"/>
    <col width="12.13" customWidth="1" style="849" min="33" max="33"/>
  </cols>
  <sheetData>
    <row r="1" ht="21" customHeight="1" s="850">
      <c r="A1" s="980" t="inlineStr">
        <is>
          <t>GAIL (INDIA) LTD.</t>
        </is>
      </c>
      <c r="B1" s="970" t="n"/>
      <c r="C1" s="970" t="n"/>
      <c r="D1" s="970" t="n"/>
      <c r="E1" s="970" t="n"/>
      <c r="F1" s="970" t="n"/>
      <c r="G1" s="970" t="n"/>
      <c r="H1" s="970" t="n"/>
      <c r="I1" s="970" t="n"/>
      <c r="J1" s="970" t="n"/>
      <c r="K1" s="970" t="n"/>
      <c r="L1" s="970" t="n"/>
      <c r="M1" s="970" t="n"/>
      <c r="N1" s="970" t="n"/>
      <c r="O1" s="970" t="n"/>
      <c r="P1" s="970" t="n"/>
      <c r="Q1" s="970" t="n"/>
      <c r="R1" s="970" t="n"/>
      <c r="S1" s="970" t="n"/>
      <c r="T1" s="970" t="n"/>
      <c r="U1" s="970" t="n"/>
      <c r="V1" s="970" t="n"/>
      <c r="W1" s="970" t="n"/>
      <c r="X1" s="970" t="n"/>
      <c r="Y1" s="970" t="n"/>
    </row>
    <row r="2" ht="16.5" customHeight="1" s="850">
      <c r="A2" s="981" t="inlineStr">
        <is>
          <t>Segment Revenue Model</t>
        </is>
      </c>
      <c r="B2" s="970" t="n"/>
      <c r="C2" s="970" t="n"/>
      <c r="D2" s="970" t="n"/>
      <c r="E2" s="970" t="n"/>
      <c r="F2" s="970" t="n"/>
      <c r="G2" s="970" t="n"/>
      <c r="H2" s="970" t="n"/>
      <c r="I2" s="982" t="n"/>
      <c r="J2" s="970" t="n"/>
      <c r="K2" s="970" t="n"/>
      <c r="L2" s="982" t="n"/>
      <c r="M2" s="982" t="n"/>
      <c r="N2" s="982" t="n"/>
      <c r="O2" s="982" t="n"/>
      <c r="P2" s="970" t="n"/>
      <c r="Q2" s="970" t="n"/>
      <c r="R2" s="970" t="n"/>
      <c r="S2" s="983" t="inlineStr">
        <is>
          <t>BSE Q RES</t>
        </is>
      </c>
      <c r="T2" s="970" t="n"/>
      <c r="U2" s="970" t="n"/>
      <c r="V2" s="970" t="n"/>
      <c r="W2" s="970" t="n"/>
      <c r="X2" s="970" t="n"/>
      <c r="Y2" s="970" t="n"/>
    </row>
    <row r="3" ht="17.25" customHeight="1" s="850">
      <c r="A3" s="984" t="inlineStr">
        <is>
          <t>(Figures in Rs. Millions.)</t>
        </is>
      </c>
      <c r="B3" s="985" t="inlineStr">
        <is>
          <t>2006-07</t>
        </is>
      </c>
      <c r="C3" s="986" t="n"/>
      <c r="D3" s="986" t="n"/>
      <c r="E3" s="987" t="n"/>
      <c r="F3" s="988" t="n"/>
      <c r="G3" s="985" t="inlineStr">
        <is>
          <t>2007-08</t>
        </is>
      </c>
      <c r="H3" s="986" t="n"/>
      <c r="I3" s="986" t="n"/>
      <c r="J3" s="987" t="n"/>
      <c r="K3" s="988" t="n"/>
      <c r="L3" s="989" t="inlineStr">
        <is>
          <t>2008-09</t>
        </is>
      </c>
      <c r="M3" s="986" t="n"/>
      <c r="N3" s="986" t="n"/>
      <c r="O3" s="987" t="n"/>
      <c r="P3" s="988" t="n"/>
      <c r="Q3" s="985" t="inlineStr">
        <is>
          <t>2009-10</t>
        </is>
      </c>
      <c r="R3" s="986" t="n"/>
      <c r="S3" s="986" t="n"/>
      <c r="T3" s="987" t="n"/>
      <c r="U3" s="988" t="n"/>
      <c r="V3" s="988" t="n"/>
      <c r="W3" s="970" t="n"/>
      <c r="X3" s="970" t="n"/>
      <c r="Y3" s="970" t="n"/>
    </row>
    <row r="4" ht="15.75" customHeight="1" s="850">
      <c r="A4" s="970" t="n"/>
      <c r="B4" s="990" t="inlineStr">
        <is>
          <t>APR - JUN</t>
        </is>
      </c>
      <c r="C4" s="991" t="inlineStr">
        <is>
          <t>JUL - SEPT</t>
        </is>
      </c>
      <c r="D4" s="991" t="inlineStr">
        <is>
          <t>OCT - DEC</t>
        </is>
      </c>
      <c r="E4" s="991" t="inlineStr">
        <is>
          <t>JAN - MAR</t>
        </is>
      </c>
      <c r="F4" s="992" t="inlineStr">
        <is>
          <t xml:space="preserve">31st MAR '07 </t>
        </is>
      </c>
      <c r="G4" s="991" t="inlineStr">
        <is>
          <t>APR - JUN</t>
        </is>
      </c>
      <c r="H4" s="991" t="inlineStr">
        <is>
          <t>JUL - SEPT</t>
        </is>
      </c>
      <c r="I4" s="991" t="inlineStr">
        <is>
          <t>OCT - DEC</t>
        </is>
      </c>
      <c r="J4" s="991" t="inlineStr">
        <is>
          <t>JAN - MAR</t>
        </is>
      </c>
      <c r="K4" s="992" t="inlineStr">
        <is>
          <t xml:space="preserve">31st MAR '07 </t>
        </is>
      </c>
      <c r="L4" s="991" t="inlineStr">
        <is>
          <t>APR - JUN</t>
        </is>
      </c>
      <c r="M4" s="991" t="inlineStr">
        <is>
          <t>JUL - SEPT</t>
        </is>
      </c>
      <c r="N4" s="991" t="inlineStr">
        <is>
          <t>OCT - DEC</t>
        </is>
      </c>
      <c r="O4" s="991" t="inlineStr">
        <is>
          <t>JAN - MAR</t>
        </is>
      </c>
      <c r="P4" s="992" t="inlineStr">
        <is>
          <t xml:space="preserve">31st MAR '07 </t>
        </is>
      </c>
      <c r="Q4" s="991" t="inlineStr">
        <is>
          <t>APR - JUN</t>
        </is>
      </c>
      <c r="R4" s="991" t="inlineStr">
        <is>
          <t>JUL - SEPT</t>
        </is>
      </c>
      <c r="S4" s="991" t="inlineStr">
        <is>
          <t>OCT - DEC</t>
        </is>
      </c>
      <c r="T4" s="991" t="inlineStr">
        <is>
          <t>JAN - MAR</t>
        </is>
      </c>
      <c r="U4" s="993" t="inlineStr">
        <is>
          <t xml:space="preserve">31st MAR '10 </t>
        </is>
      </c>
      <c r="V4" s="993" t="inlineStr">
        <is>
          <t xml:space="preserve">31st MAR '11 </t>
        </is>
      </c>
      <c r="W4" s="993" t="inlineStr">
        <is>
          <t xml:space="preserve">31st MAR '12 </t>
        </is>
      </c>
      <c r="X4" s="993" t="inlineStr">
        <is>
          <t xml:space="preserve">31st MAR '13 </t>
        </is>
      </c>
      <c r="Y4" s="994" t="inlineStr">
        <is>
          <t xml:space="preserve">31st MAR '14 </t>
        </is>
      </c>
    </row>
    <row r="5" ht="15.75" customHeight="1" s="850">
      <c r="A5" s="970" t="n"/>
      <c r="B5" s="995" t="inlineStr">
        <is>
          <t xml:space="preserve">Q1 2006 </t>
        </is>
      </c>
      <c r="C5" s="996" t="inlineStr">
        <is>
          <t xml:space="preserve">Q2 2006 </t>
        </is>
      </c>
      <c r="D5" s="996" t="inlineStr">
        <is>
          <t xml:space="preserve">Q3 2006 </t>
        </is>
      </c>
      <c r="E5" s="996" t="inlineStr">
        <is>
          <t xml:space="preserve">Q4 2007 </t>
        </is>
      </c>
      <c r="F5" s="997" t="inlineStr">
        <is>
          <t>2006-07A</t>
        </is>
      </c>
      <c r="G5" s="996" t="inlineStr">
        <is>
          <t xml:space="preserve">Q1 2007 </t>
        </is>
      </c>
      <c r="H5" s="996" t="inlineStr">
        <is>
          <t>Q2 2007</t>
        </is>
      </c>
      <c r="I5" s="996" t="inlineStr">
        <is>
          <t>Q3 2007</t>
        </is>
      </c>
      <c r="J5" s="996" t="inlineStr">
        <is>
          <t>Q4 2008</t>
        </is>
      </c>
      <c r="K5" s="997" t="inlineStr">
        <is>
          <t>2007-08A</t>
        </is>
      </c>
      <c r="L5" s="996" t="inlineStr">
        <is>
          <t xml:space="preserve">Q1 2008 </t>
        </is>
      </c>
      <c r="M5" s="996" t="inlineStr">
        <is>
          <t>Q2 2008</t>
        </is>
      </c>
      <c r="N5" s="996" t="inlineStr">
        <is>
          <t>Q3 2008</t>
        </is>
      </c>
      <c r="O5" s="996" t="inlineStr">
        <is>
          <t>Q4 2009</t>
        </is>
      </c>
      <c r="P5" s="997" t="inlineStr">
        <is>
          <t>2008-09A</t>
        </is>
      </c>
      <c r="Q5" s="996" t="inlineStr">
        <is>
          <t xml:space="preserve">Q1 2009 </t>
        </is>
      </c>
      <c r="R5" s="996" t="inlineStr">
        <is>
          <t>Q2 2009</t>
        </is>
      </c>
      <c r="S5" s="996" t="inlineStr">
        <is>
          <t>Q3 2009</t>
        </is>
      </c>
      <c r="T5" s="996" t="inlineStr">
        <is>
          <t>Q4 2010</t>
        </is>
      </c>
      <c r="U5" s="997" t="inlineStr">
        <is>
          <t>2009-10E</t>
        </is>
      </c>
      <c r="V5" s="997" t="inlineStr">
        <is>
          <t>2010-11E</t>
        </is>
      </c>
      <c r="W5" s="997" t="inlineStr">
        <is>
          <t>2011-12E</t>
        </is>
      </c>
      <c r="X5" s="998" t="inlineStr">
        <is>
          <t>2012-13E</t>
        </is>
      </c>
      <c r="Y5" s="999" t="inlineStr">
        <is>
          <t>2013-14E</t>
        </is>
      </c>
    </row>
    <row r="6" ht="15.75" customHeight="1" s="85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5.75" customHeight="1" s="85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75" customHeight="1" s="850">
      <c r="A8" s="1006" t="inlineStr">
        <is>
          <t>Natural Gas Trading</t>
        </is>
      </c>
      <c r="B8" s="1007" t="n">
        <v>30766.59</v>
      </c>
      <c r="C8" s="1008" t="n">
        <v>29236.8</v>
      </c>
      <c r="D8" s="1008" t="n">
        <v>31494.1</v>
      </c>
      <c r="E8" s="1008" t="n">
        <v>29700.8</v>
      </c>
      <c r="F8" s="1009">
        <f>SUM(B8:E8)</f>
        <v/>
      </c>
      <c r="G8" s="1008" t="n">
        <v>30067.23</v>
      </c>
      <c r="H8" s="1008" t="n">
        <v>32486.93</v>
      </c>
      <c r="I8" s="1010" t="n">
        <v>31120.1</v>
      </c>
      <c r="J8" s="1008" t="n">
        <v>33801.6</v>
      </c>
      <c r="K8" s="1009">
        <f>SUM(G8:J8)</f>
        <v/>
      </c>
      <c r="L8" s="1010" t="n">
        <v>41192.8</v>
      </c>
      <c r="M8" s="1010" t="n">
        <v>44953.8</v>
      </c>
      <c r="N8" s="1010" t="n">
        <v>49507.4</v>
      </c>
      <c r="O8" s="1010" t="n">
        <v>47429.6</v>
      </c>
      <c r="P8" s="1011">
        <f>SUM(L8:O8)</f>
        <v/>
      </c>
      <c r="Q8" s="1012" t="n">
        <v>46417.1</v>
      </c>
      <c r="R8" s="1012" t="n">
        <v>49691.3</v>
      </c>
      <c r="S8" s="1012" t="n">
        <v>45274.4</v>
      </c>
      <c r="T8" s="1013">
        <f>U8-(Q8+R8+S8)</f>
        <v/>
      </c>
      <c r="U8" s="1014" t="n">
        <v>205053.63</v>
      </c>
      <c r="V8" s="1015" t="n">
        <v>246064</v>
      </c>
      <c r="W8" s="1016" t="n">
        <v>295277</v>
      </c>
      <c r="X8" s="1016" t="n">
        <v>369097</v>
      </c>
      <c r="Y8" s="1016" t="n">
        <v>479825</v>
      </c>
    </row>
    <row r="9" ht="12.75" customHeight="1" s="850">
      <c r="A9" s="1006" t="inlineStr">
        <is>
          <t>Transmission Services - Natural Gas</t>
        </is>
      </c>
      <c r="B9" s="1017" t="n">
        <v>5008.51</v>
      </c>
      <c r="C9" s="1018" t="n">
        <v>4971.7</v>
      </c>
      <c r="D9" s="1018" t="n">
        <v>6412.5</v>
      </c>
      <c r="E9" s="1019" t="n">
        <v>4761.8</v>
      </c>
      <c r="F9" s="1020">
        <f>SUM(B9:E9)</f>
        <v/>
      </c>
      <c r="G9" s="1019" t="n">
        <v>4894.67</v>
      </c>
      <c r="H9" s="1019" t="n">
        <v>5288.57</v>
      </c>
      <c r="I9" s="1019" t="n">
        <v>6021.6</v>
      </c>
      <c r="J9" s="1019" t="n">
        <v>5761.5</v>
      </c>
      <c r="K9" s="1020">
        <f>SUM(G9:J9)</f>
        <v/>
      </c>
      <c r="L9" s="1019" t="n">
        <v>6213.8</v>
      </c>
      <c r="M9" s="1019" t="n">
        <v>6215</v>
      </c>
      <c r="N9" s="1019" t="n">
        <v>6140.9</v>
      </c>
      <c r="O9" s="1010" t="n">
        <v>6511</v>
      </c>
      <c r="P9" s="1020">
        <f>SUM(L9:O9)</f>
        <v/>
      </c>
      <c r="Q9" s="1010" t="n">
        <v>7331.5</v>
      </c>
      <c r="R9" s="1019" t="n">
        <v>8429.5</v>
      </c>
      <c r="S9" s="1019" t="n">
        <v>8527.799999999999</v>
      </c>
      <c r="T9" s="1021">
        <f>U9-(Q9+R9+S9)</f>
        <v/>
      </c>
      <c r="U9" s="1022" t="n">
        <v>34862</v>
      </c>
      <c r="V9" s="1023" t="n">
        <v>45321</v>
      </c>
      <c r="W9" s="1024" t="n">
        <v>61183</v>
      </c>
      <c r="X9" s="1024" t="n">
        <v>82597</v>
      </c>
      <c r="Y9" s="1024" t="n">
        <v>113984</v>
      </c>
    </row>
    <row r="10" ht="12" customHeight="1" s="850">
      <c r="A10" s="1006" t="inlineStr">
        <is>
          <t>Petrochemicals</t>
        </is>
      </c>
      <c r="B10" s="1017" t="n">
        <v>5502.8</v>
      </c>
      <c r="C10" s="1018" t="n">
        <v>5455.6</v>
      </c>
      <c r="D10" s="1018" t="n">
        <v>7306</v>
      </c>
      <c r="E10" s="1019" t="n">
        <v>7437.2</v>
      </c>
      <c r="F10" s="1020">
        <f>SUM(B10:E10)</f>
        <v/>
      </c>
      <c r="G10" s="1019" t="n">
        <v>7783.9</v>
      </c>
      <c r="H10" s="1019" t="n">
        <v>6402.2</v>
      </c>
      <c r="I10" s="1019" t="n">
        <v>5378.1</v>
      </c>
      <c r="J10" s="1019" t="n">
        <v>7467</v>
      </c>
      <c r="K10" s="1020">
        <f>SUM(G10:J10)</f>
        <v/>
      </c>
      <c r="L10" s="1019" t="n">
        <v>8007.9</v>
      </c>
      <c r="M10" s="1019" t="n">
        <v>6287.3</v>
      </c>
      <c r="N10" s="1019" t="n">
        <v>6226.8</v>
      </c>
      <c r="O10" s="1019" t="n">
        <v>6813.3</v>
      </c>
      <c r="P10" s="1020">
        <f>SUM(L10:O10)</f>
        <v/>
      </c>
      <c r="Q10" s="1019" t="n">
        <v>6225.7</v>
      </c>
      <c r="R10" s="1019" t="n">
        <v>6156.6</v>
      </c>
      <c r="S10" s="1019" t="n">
        <v>7927.1</v>
      </c>
      <c r="T10" s="1021">
        <f>U10-(Q10+R10+S10)</f>
        <v/>
      </c>
      <c r="U10" s="1022" t="n">
        <v>29574</v>
      </c>
      <c r="V10" s="1023" t="n">
        <v>32531</v>
      </c>
      <c r="W10" s="1024" t="n">
        <v>36110</v>
      </c>
      <c r="X10" s="1024" t="n">
        <v>40443</v>
      </c>
      <c r="Y10" s="1024" t="n">
        <v>46105</v>
      </c>
    </row>
    <row r="11" ht="12" customHeight="1" s="850">
      <c r="A11" s="1006" t="inlineStr">
        <is>
          <t>LPG &amp; Liquid Hydrocarbons</t>
        </is>
      </c>
      <c r="B11" s="1017" t="n">
        <v>6406.2</v>
      </c>
      <c r="C11" s="1018" t="n">
        <v>4219.1</v>
      </c>
      <c r="D11" s="1018" t="n">
        <v>6261.1</v>
      </c>
      <c r="E11" s="1019" t="n">
        <v>4332.1</v>
      </c>
      <c r="F11" s="1020">
        <f>SUM(B11:E11)</f>
        <v/>
      </c>
      <c r="G11" s="1019" t="n">
        <v>6751.5</v>
      </c>
      <c r="H11" s="1019" t="n">
        <v>7033.3</v>
      </c>
      <c r="I11" s="1019" t="n">
        <v>5278.3</v>
      </c>
      <c r="J11" s="1019" t="n">
        <v>7897.8</v>
      </c>
      <c r="K11" s="1020">
        <f>SUM(G11:J11)</f>
        <v/>
      </c>
      <c r="L11" s="1019" t="n">
        <v>7997</v>
      </c>
      <c r="M11" s="1019" t="n">
        <v>10902.1</v>
      </c>
      <c r="N11" s="1019" t="n">
        <v>3329.9</v>
      </c>
      <c r="O11" s="1019" t="n">
        <v>7671.4</v>
      </c>
      <c r="P11" s="1020">
        <f>SUM(L11:O11)</f>
        <v/>
      </c>
      <c r="Q11" s="1019" t="n">
        <v>6839</v>
      </c>
      <c r="R11" s="1019" t="n">
        <v>5150.9</v>
      </c>
      <c r="S11" s="1019" t="n">
        <v>7102.6</v>
      </c>
      <c r="T11" s="1021">
        <f>U11-(Q11+R11+S11)</f>
        <v/>
      </c>
      <c r="U11" s="1022" t="n">
        <v>29996</v>
      </c>
      <c r="V11" s="1023" t="n">
        <v>35995</v>
      </c>
      <c r="W11" s="1024" t="n">
        <v>41395</v>
      </c>
      <c r="X11" s="1024" t="n">
        <v>49674</v>
      </c>
      <c r="Y11" s="1024" t="n">
        <v>60602</v>
      </c>
    </row>
    <row r="12" ht="12" customHeight="1" s="850">
      <c r="A12" s="1006" t="inlineStr">
        <is>
          <t>Transmission Services - LPG</t>
        </is>
      </c>
      <c r="B12" s="1017" t="n">
        <v>714.9</v>
      </c>
      <c r="C12" s="1018" t="n">
        <v>816</v>
      </c>
      <c r="D12" s="1018" t="n">
        <v>993.7</v>
      </c>
      <c r="E12" s="1019" t="n">
        <v>915</v>
      </c>
      <c r="F12" s="1020">
        <f>SUM(B12:E12)</f>
        <v/>
      </c>
      <c r="G12" s="1019" t="n">
        <v>922.5</v>
      </c>
      <c r="H12" s="1019" t="n">
        <v>896</v>
      </c>
      <c r="I12" s="1019" t="n">
        <v>995.5</v>
      </c>
      <c r="J12" s="1019" t="n">
        <v>1079.1</v>
      </c>
      <c r="K12" s="1020">
        <f>SUM(G12:J12)</f>
        <v/>
      </c>
      <c r="L12" s="1019" t="n">
        <v>855.4</v>
      </c>
      <c r="M12" s="1019" t="n">
        <v>905.9</v>
      </c>
      <c r="N12" s="1019" t="n">
        <v>1064.9</v>
      </c>
      <c r="O12" s="1019" t="n">
        <v>992.4</v>
      </c>
      <c r="P12" s="1020">
        <f>SUM(L12:O12)</f>
        <v/>
      </c>
      <c r="Q12" s="1019" t="n">
        <v>1057.3</v>
      </c>
      <c r="R12" s="1019" t="n">
        <v>1029.3</v>
      </c>
      <c r="S12" s="1019" t="n">
        <v>1160.6</v>
      </c>
      <c r="T12" s="1021">
        <f>U12-(Q12+R12+S12)</f>
        <v/>
      </c>
      <c r="U12" s="1025" t="n">
        <v>4358</v>
      </c>
      <c r="V12" s="1023" t="n">
        <v>5012</v>
      </c>
      <c r="W12" s="1024" t="n">
        <v>5814</v>
      </c>
      <c r="X12" s="1024" t="n">
        <v>6860</v>
      </c>
      <c r="Y12" s="1024" t="n">
        <v>8232</v>
      </c>
    </row>
    <row r="13" ht="12" customHeight="1" s="850">
      <c r="A13" s="1006" t="inlineStr">
        <is>
          <t>Gailtel</t>
        </is>
      </c>
      <c r="B13" s="1026" t="n">
        <v>50.8</v>
      </c>
      <c r="C13" s="1027" t="n">
        <v>62.7</v>
      </c>
      <c r="D13" s="1027" t="n">
        <v>70.7</v>
      </c>
      <c r="E13" s="1028" t="n">
        <v>69.40000000000001</v>
      </c>
      <c r="F13" s="1029">
        <f>SUM(B13:E13)</f>
        <v/>
      </c>
      <c r="G13" s="1028" t="n">
        <v>67.09999999999999</v>
      </c>
      <c r="H13" s="1028" t="n">
        <v>76.40000000000001</v>
      </c>
      <c r="I13" s="1028" t="n">
        <v>70.3</v>
      </c>
      <c r="J13" s="1028" t="n">
        <v>71.7</v>
      </c>
      <c r="K13" s="1030">
        <f>SUM(G13:J13)</f>
        <v/>
      </c>
      <c r="L13" s="1028" t="n">
        <v>65.3</v>
      </c>
      <c r="M13" s="1028" t="n">
        <v>65.40000000000001</v>
      </c>
      <c r="N13" s="1028" t="n">
        <v>63.5</v>
      </c>
      <c r="O13" s="1028" t="n">
        <v>49.1</v>
      </c>
      <c r="P13" s="1030">
        <f>SUM(L13:O13)</f>
        <v/>
      </c>
      <c r="Q13" s="1028" t="n">
        <v>37.8</v>
      </c>
      <c r="R13" s="1028" t="n">
        <v>34.2</v>
      </c>
      <c r="S13" s="1028" t="n">
        <v>28.5</v>
      </c>
      <c r="T13" s="1021">
        <f>U13-(Q13+R13+S13)</f>
        <v/>
      </c>
      <c r="U13" s="1022" t="n">
        <v>193</v>
      </c>
      <c r="V13" s="1023" t="n">
        <v>222</v>
      </c>
      <c r="W13" s="1024" t="n">
        <v>244</v>
      </c>
      <c r="X13" s="1024" t="n">
        <v>273</v>
      </c>
      <c r="Y13" s="1024" t="n">
        <v>309</v>
      </c>
    </row>
    <row r="14" ht="12.75" customHeight="1" s="850">
      <c r="A14" s="1006" t="inlineStr">
        <is>
          <t>Others</t>
        </is>
      </c>
      <c r="B14" s="1017" t="n">
        <v>742.1</v>
      </c>
      <c r="C14" s="1018" t="n">
        <v>1607</v>
      </c>
      <c r="D14" s="1018" t="n">
        <v>1764.2</v>
      </c>
      <c r="E14" s="1019" t="n">
        <v>983.8</v>
      </c>
      <c r="F14" s="1020">
        <f>SUM(B14:E14)</f>
        <v/>
      </c>
      <c r="G14" s="1019" t="n">
        <v>806</v>
      </c>
      <c r="H14" s="1019" t="n">
        <v>1636.1</v>
      </c>
      <c r="I14" s="1019" t="n">
        <v>1571.4</v>
      </c>
      <c r="J14" s="1019" t="n">
        <v>1054.6</v>
      </c>
      <c r="K14" s="1020">
        <f>SUM(G14:J14)</f>
        <v/>
      </c>
      <c r="L14" s="1019" t="n">
        <v>1231.1</v>
      </c>
      <c r="M14" s="1019" t="n">
        <v>1929.3</v>
      </c>
      <c r="N14" s="1019" t="n">
        <v>2526.2</v>
      </c>
      <c r="O14" s="1019" t="n">
        <v>62.8</v>
      </c>
      <c r="P14" s="1020">
        <f>SUM(L14:O14)</f>
        <v/>
      </c>
      <c r="Q14" s="1019" t="n">
        <v>100.4</v>
      </c>
      <c r="R14" s="1019" t="n">
        <v>142.1</v>
      </c>
      <c r="S14" s="1019" t="n">
        <v>136.8</v>
      </c>
      <c r="T14" s="1021">
        <f>U14-(Q14+R14+S14)</f>
        <v/>
      </c>
      <c r="U14" s="1022" t="n">
        <v>402</v>
      </c>
      <c r="V14" s="1023" t="n">
        <v>443</v>
      </c>
      <c r="W14" s="1024" t="n">
        <v>496</v>
      </c>
      <c r="X14" s="1024" t="n">
        <v>555</v>
      </c>
      <c r="Y14" s="1024" t="n">
        <v>633</v>
      </c>
    </row>
    <row r="15" ht="15" customHeight="1" s="850">
      <c r="A15" s="1031" t="inlineStr">
        <is>
          <t>Total</t>
        </is>
      </c>
      <c r="B15" s="1032">
        <f>SUM(B8:B14)</f>
        <v/>
      </c>
      <c r="C15" s="1033">
        <f>SUM(C8:C14)</f>
        <v/>
      </c>
      <c r="D15" s="1034">
        <f>SUM(D8:D14)</f>
        <v/>
      </c>
      <c r="E15" s="1035">
        <f>SUM(E8:E14)</f>
        <v/>
      </c>
      <c r="F15" s="1036">
        <f>F8+F9+F10+F11+F12+F13+F14</f>
        <v/>
      </c>
      <c r="G15" s="1035">
        <f>SUM(G8:G14)</f>
        <v/>
      </c>
      <c r="H15" s="1035">
        <f>SUM(H8:H14)</f>
        <v/>
      </c>
      <c r="I15" s="1037">
        <f>SUM(I8:I14)</f>
        <v/>
      </c>
      <c r="J15" s="1035">
        <f>SUM(J8:J14)</f>
        <v/>
      </c>
      <c r="K15" s="1038">
        <f>K8+K9+K10+K11+K12+K13+K14</f>
        <v/>
      </c>
      <c r="L15" s="1039">
        <f>SUM(L8:L14)</f>
        <v/>
      </c>
      <c r="M15" s="1039">
        <f>SUM(M8:M14)</f>
        <v/>
      </c>
      <c r="N15" s="1039">
        <f>SUM(N8:N14)</f>
        <v/>
      </c>
      <c r="O15" s="1039">
        <f>SUM(O8:O14)</f>
        <v/>
      </c>
      <c r="P15" s="1038">
        <f>P8+P9+P10+P11+P12+P13+P14</f>
        <v/>
      </c>
      <c r="Q15" s="1040">
        <f>SUM(Q8:Q14)</f>
        <v/>
      </c>
      <c r="R15" s="1040">
        <f>SUM(R8:R14)</f>
        <v/>
      </c>
      <c r="S15" s="1040">
        <f>SUM(S8:S14)</f>
        <v/>
      </c>
      <c r="T15" s="1041">
        <f>SUM(T8:T14)</f>
        <v/>
      </c>
      <c r="U15" s="1042">
        <f>Q15+R15+S15+T15</f>
        <v/>
      </c>
      <c r="V15" s="1043">
        <f>SUM(V8:V14)</f>
        <v/>
      </c>
      <c r="W15" s="1044">
        <f>SUM(W8:W14)</f>
        <v/>
      </c>
      <c r="X15" s="1044">
        <f>SUM(X8:X14)</f>
        <v/>
      </c>
      <c r="Y15" s="1044">
        <f>SUM(Y8:Y14)</f>
        <v/>
      </c>
    </row>
    <row r="16" ht="12.75" customHeight="1" s="850">
      <c r="A16" s="1006" t="inlineStr">
        <is>
          <t>Less: Inter Segment Revenue</t>
        </is>
      </c>
      <c r="B16" s="1017" t="n">
        <v>6519.3</v>
      </c>
      <c r="C16" s="1018" t="n">
        <v>6513.1</v>
      </c>
      <c r="D16" s="1018" t="n">
        <v>7278.5</v>
      </c>
      <c r="E16" s="1019" t="n">
        <v>6844.3</v>
      </c>
      <c r="F16" s="1020">
        <f>SUM(B16:E16)</f>
        <v/>
      </c>
      <c r="G16" s="1019" t="n">
        <v>6452.1</v>
      </c>
      <c r="H16" s="1019" t="n">
        <v>6724.5</v>
      </c>
      <c r="I16" s="1019" t="n">
        <v>5603.8</v>
      </c>
      <c r="J16" s="1019" t="n">
        <v>6783.8</v>
      </c>
      <c r="K16" s="1020" t="n">
        <v>8245</v>
      </c>
      <c r="L16" s="1019" t="n">
        <v>7108.5</v>
      </c>
      <c r="M16" s="1019" t="n">
        <v>7676.8</v>
      </c>
      <c r="N16" s="1019" t="n">
        <v>8391.5</v>
      </c>
      <c r="O16" s="1019" t="n">
        <v>8486.5</v>
      </c>
      <c r="P16" s="1020">
        <f>SUM(L16:O16)</f>
        <v/>
      </c>
      <c r="Q16" s="1019" t="n">
        <v>-7794.6</v>
      </c>
      <c r="R16" s="1019" t="n">
        <v>-8612.1</v>
      </c>
      <c r="S16" s="1019" t="n">
        <v>-8279.4</v>
      </c>
      <c r="T16" s="1021" t="n">
        <v>35175.2</v>
      </c>
      <c r="U16" s="1045">
        <f>SUM(Q16:T16)</f>
        <v/>
      </c>
      <c r="V16" s="1023" t="n">
        <v>26223</v>
      </c>
      <c r="W16" s="1024" t="n">
        <v>62935</v>
      </c>
      <c r="X16" s="1024" t="n">
        <v>151043</v>
      </c>
      <c r="Y16" s="1024" t="n">
        <v>370055</v>
      </c>
    </row>
    <row r="17" ht="15" customHeight="1" s="850">
      <c r="A17" s="1046" t="inlineStr">
        <is>
          <t>Net sales/income from Operations</t>
        </is>
      </c>
      <c r="B17" s="1047">
        <f>B15-B16</f>
        <v/>
      </c>
      <c r="C17" s="1048">
        <f>C15-C16</f>
        <v/>
      </c>
      <c r="D17" s="1048">
        <f>D15-D16</f>
        <v/>
      </c>
      <c r="E17" s="1049">
        <f>E15-E16</f>
        <v/>
      </c>
      <c r="F17" s="1050">
        <f>SUM(B17:E17)</f>
        <v/>
      </c>
      <c r="G17" s="1051">
        <f>G15-G16</f>
        <v/>
      </c>
      <c r="H17" s="1051">
        <f>H15-H16</f>
        <v/>
      </c>
      <c r="I17" s="1051">
        <f>I15-I16</f>
        <v/>
      </c>
      <c r="J17" s="1049">
        <f>J15-J16</f>
        <v/>
      </c>
      <c r="K17" s="1052">
        <f>K15-K16</f>
        <v/>
      </c>
      <c r="L17" s="1051">
        <f>L15-L16</f>
        <v/>
      </c>
      <c r="M17" s="1049">
        <f>M15-M16</f>
        <v/>
      </c>
      <c r="N17" s="1051">
        <f>N15-N16</f>
        <v/>
      </c>
      <c r="O17" s="1051">
        <f>O15-O16</f>
        <v/>
      </c>
      <c r="P17" s="1052">
        <f>P15-P16</f>
        <v/>
      </c>
      <c r="Q17" s="1051">
        <f>SUM(Q15:Q16)</f>
        <v/>
      </c>
      <c r="R17" s="1051">
        <f>SUM(R15:R16)</f>
        <v/>
      </c>
      <c r="S17" s="1051">
        <f>SUM(S15:S16)</f>
        <v/>
      </c>
      <c r="T17" s="1053">
        <f>T15-T16</f>
        <v/>
      </c>
      <c r="U17" s="1054">
        <f>U15-U16</f>
        <v/>
      </c>
      <c r="V17" s="1055">
        <f>V15-V16</f>
        <v/>
      </c>
      <c r="W17" s="1056">
        <f>W15-W16</f>
        <v/>
      </c>
      <c r="X17" s="1056">
        <f>X15-X16</f>
        <v/>
      </c>
      <c r="Y17" s="1056">
        <f>Y15-Y16</f>
        <v/>
      </c>
    </row>
    <row r="18" ht="15.75" customHeight="1" s="85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973" t="n"/>
      <c r="X18" s="970" t="n"/>
      <c r="Y18" s="970" t="n"/>
    </row>
    <row r="19" ht="15" customHeight="1" s="850">
      <c r="A19" s="970" t="n"/>
      <c r="B19" s="970" t="n"/>
      <c r="C19" s="970" t="n"/>
      <c r="D19" s="970" t="n"/>
      <c r="E19" s="970" t="n"/>
      <c r="F19" s="970" t="n"/>
      <c r="G19" s="970" t="n"/>
      <c r="H19" s="970" t="n"/>
      <c r="I19" s="970" t="n"/>
      <c r="J19" s="970" t="n"/>
      <c r="K19" s="970" t="n"/>
      <c r="L19" s="970" t="n"/>
      <c r="M19" s="970" t="n"/>
      <c r="N19" s="970" t="n"/>
      <c r="O19" s="1000" t="n"/>
      <c r="P19" s="1000" t="n"/>
      <c r="Q19" s="1000" t="n"/>
      <c r="R19" s="1000" t="n"/>
      <c r="S19" s="1000" t="n"/>
      <c r="T19" s="1000" t="n"/>
      <c r="U19" s="1000" t="n"/>
      <c r="V19" s="1000" t="n"/>
      <c r="W19" s="973" t="n"/>
      <c r="X19" s="970" t="n"/>
      <c r="Y19" s="970" t="n"/>
    </row>
    <row r="21" ht="13.5" customHeight="1" s="850"/>
    <row r="22" ht="20.25" customHeight="1" s="850">
      <c r="A22" s="1059" t="inlineStr">
        <is>
          <t>INCOME STATEMENT MODEL</t>
        </is>
      </c>
      <c r="B22" s="1060" t="inlineStr">
        <is>
          <t>FY 2006-07</t>
        </is>
      </c>
      <c r="C22" s="986" t="n"/>
      <c r="D22" s="986" t="n"/>
      <c r="E22" s="986" t="n"/>
      <c r="F22" s="986" t="n"/>
      <c r="G22" s="987" t="n"/>
      <c r="H22" s="1061" t="inlineStr">
        <is>
          <t>A</t>
        </is>
      </c>
      <c r="I22" s="1060" t="inlineStr">
        <is>
          <t>FY 2007-08</t>
        </is>
      </c>
      <c r="J22" s="986" t="n"/>
      <c r="K22" s="986" t="n"/>
      <c r="L22" s="986" t="n"/>
      <c r="M22" s="986" t="n"/>
      <c r="N22" s="987" t="n"/>
      <c r="O22" s="1061" t="inlineStr">
        <is>
          <t>A</t>
        </is>
      </c>
      <c r="P22" s="1060" t="inlineStr">
        <is>
          <t>FY 2008-09</t>
        </is>
      </c>
      <c r="Q22" s="986" t="n"/>
      <c r="R22" s="986" t="n"/>
      <c r="S22" s="986" t="n"/>
      <c r="T22" s="986" t="n"/>
      <c r="U22" s="987" t="n"/>
      <c r="V22" s="1061" t="inlineStr">
        <is>
          <t>A</t>
        </is>
      </c>
      <c r="W22" s="1060" t="inlineStr">
        <is>
          <t>FY 2009-10</t>
        </is>
      </c>
      <c r="X22" s="986" t="n"/>
      <c r="Y22" s="986" t="n"/>
      <c r="Z22" s="986" t="n"/>
      <c r="AA22" s="986" t="n"/>
      <c r="AB22" s="987" t="n"/>
      <c r="AC22" s="1062" t="inlineStr">
        <is>
          <t>E</t>
        </is>
      </c>
      <c r="AD22" s="1063" t="inlineStr">
        <is>
          <t>FY 2010-11 E</t>
        </is>
      </c>
      <c r="AE22" s="1063" t="inlineStr">
        <is>
          <t>FY 2011-12 E</t>
        </is>
      </c>
      <c r="AF22" s="1063" t="inlineStr">
        <is>
          <t>FY 2012-13 E</t>
        </is>
      </c>
      <c r="AG22" s="1063" t="inlineStr">
        <is>
          <t>FY 2013-14 E</t>
        </is>
      </c>
    </row>
    <row r="23" ht="16.5" customHeight="1" s="850">
      <c r="A23" s="1064" t="inlineStr">
        <is>
          <t>(Figures in Rs. Crores.)</t>
        </is>
      </c>
      <c r="B23" s="1065" t="inlineStr">
        <is>
          <t>Q1</t>
        </is>
      </c>
      <c r="C23" s="1066" t="inlineStr">
        <is>
          <t xml:space="preserve">Q2 </t>
        </is>
      </c>
      <c r="D23" s="1067" t="inlineStr">
        <is>
          <t>6M</t>
        </is>
      </c>
      <c r="E23" s="1068" t="inlineStr">
        <is>
          <t>Q3</t>
        </is>
      </c>
      <c r="F23" s="1067" t="inlineStr">
        <is>
          <t>9M</t>
        </is>
      </c>
      <c r="G23" s="1069" t="inlineStr">
        <is>
          <t>Q4</t>
        </is>
      </c>
      <c r="H23" s="1070" t="inlineStr">
        <is>
          <t>FY 2007</t>
        </is>
      </c>
      <c r="I23" s="1065" t="inlineStr">
        <is>
          <t>Q1</t>
        </is>
      </c>
      <c r="J23" s="1071" t="inlineStr">
        <is>
          <t xml:space="preserve">Q2 </t>
        </is>
      </c>
      <c r="K23" s="1072" t="inlineStr">
        <is>
          <t>6M</t>
        </is>
      </c>
      <c r="L23" s="1072" t="inlineStr">
        <is>
          <t>Q3</t>
        </is>
      </c>
      <c r="M23" s="1072" t="inlineStr">
        <is>
          <t>9M</t>
        </is>
      </c>
      <c r="N23" s="1073" t="inlineStr">
        <is>
          <t>Q4</t>
        </is>
      </c>
      <c r="O23" s="1070" t="inlineStr">
        <is>
          <t>FY 2008</t>
        </is>
      </c>
      <c r="P23" s="1074" t="inlineStr">
        <is>
          <t>Q1</t>
        </is>
      </c>
      <c r="Q23" s="1071" t="inlineStr">
        <is>
          <t xml:space="preserve">Q2 </t>
        </is>
      </c>
      <c r="R23" s="1072" t="inlineStr">
        <is>
          <t>6M</t>
        </is>
      </c>
      <c r="S23" s="1072" t="inlineStr">
        <is>
          <t>Q3</t>
        </is>
      </c>
      <c r="T23" s="1072" t="inlineStr">
        <is>
          <t>9M</t>
        </is>
      </c>
      <c r="U23" s="1073" t="inlineStr">
        <is>
          <t>Q4</t>
        </is>
      </c>
      <c r="V23" s="1075" t="inlineStr">
        <is>
          <t>FY 2009</t>
        </is>
      </c>
      <c r="W23" s="1074" t="inlineStr">
        <is>
          <t>Q1</t>
        </is>
      </c>
      <c r="X23" s="1071" t="inlineStr">
        <is>
          <t xml:space="preserve">Q2 </t>
        </is>
      </c>
      <c r="Y23" s="1072" t="inlineStr">
        <is>
          <t>6M</t>
        </is>
      </c>
      <c r="Z23" s="1072" t="inlineStr">
        <is>
          <t>Q3</t>
        </is>
      </c>
      <c r="AA23" s="1072" t="inlineStr">
        <is>
          <t>9M</t>
        </is>
      </c>
      <c r="AB23" s="1073" t="inlineStr">
        <is>
          <t>Q4</t>
        </is>
      </c>
      <c r="AC23" s="1075" t="inlineStr">
        <is>
          <t>FY 2010</t>
        </is>
      </c>
      <c r="AD23" s="1076" t="n"/>
      <c r="AE23" s="1077" t="n"/>
      <c r="AF23" s="1077" t="n"/>
      <c r="AG23" s="1078" t="n"/>
    </row>
    <row r="24" ht="14.25" customHeight="1" s="850">
      <c r="A24" s="1079" t="n"/>
      <c r="B24" s="1080" t="inlineStr">
        <is>
          <t>APR-JUN</t>
        </is>
      </c>
      <c r="C24" s="1081" t="inlineStr">
        <is>
          <t>JUL-SEPT</t>
        </is>
      </c>
      <c r="D24" s="1082" t="n"/>
      <c r="E24" s="1083" t="inlineStr">
        <is>
          <t>OCT-DEC</t>
        </is>
      </c>
      <c r="F24" s="1084" t="n"/>
      <c r="G24" s="1085" t="inlineStr">
        <is>
          <t>JAN-MAR</t>
        </is>
      </c>
      <c r="H24" s="1086" t="n"/>
      <c r="I24" s="1080" t="inlineStr">
        <is>
          <t>APR-JUN</t>
        </is>
      </c>
      <c r="J24" s="1087" t="inlineStr">
        <is>
          <t>JUL-SEPT</t>
        </is>
      </c>
      <c r="K24" s="1088" t="n"/>
      <c r="L24" s="1089" t="inlineStr">
        <is>
          <t>OCT-DEC</t>
        </is>
      </c>
      <c r="M24" s="1089" t="n"/>
      <c r="N24" s="1090" t="inlineStr">
        <is>
          <t>JAN-MAR</t>
        </is>
      </c>
      <c r="O24" s="1086" t="n"/>
      <c r="P24" s="1091" t="inlineStr">
        <is>
          <t>APR-JUN</t>
        </is>
      </c>
      <c r="Q24" s="1087" t="inlineStr">
        <is>
          <t>JUL-SEPT</t>
        </is>
      </c>
      <c r="R24" s="1088" t="n"/>
      <c r="S24" s="1089" t="inlineStr">
        <is>
          <t>OCT-DEC</t>
        </is>
      </c>
      <c r="T24" s="1089" t="n"/>
      <c r="U24" s="1090" t="inlineStr">
        <is>
          <t>JAN-MAR</t>
        </is>
      </c>
      <c r="V24" s="1092" t="n"/>
      <c r="W24" s="1091" t="inlineStr">
        <is>
          <t>APR-JUN</t>
        </is>
      </c>
      <c r="X24" s="1087" t="inlineStr">
        <is>
          <t>JUL-SEPT</t>
        </is>
      </c>
      <c r="Y24" s="1088" t="n"/>
      <c r="Z24" s="1089" t="inlineStr">
        <is>
          <t>OCT-DEC</t>
        </is>
      </c>
      <c r="AA24" s="1089" t="n"/>
      <c r="AB24" s="1090" t="inlineStr">
        <is>
          <t>JAN-MAR</t>
        </is>
      </c>
      <c r="AC24" s="1093" t="n"/>
      <c r="AD24" s="1094" t="inlineStr">
        <is>
          <t>APR 1,2010-MAR 31,2011</t>
        </is>
      </c>
      <c r="AE24" s="1095" t="inlineStr">
        <is>
          <t>APR 1,2011-MAR 31,2012</t>
        </is>
      </c>
      <c r="AF24" s="1095" t="inlineStr">
        <is>
          <t>APR 1,2012-MAR 31,2013</t>
        </is>
      </c>
      <c r="AG24" s="1096" t="inlineStr">
        <is>
          <t>APR 1,2013-MAR 31,2014</t>
        </is>
      </c>
    </row>
    <row r="25" ht="17.25" customHeight="1" s="850">
      <c r="A25" s="1097" t="inlineStr">
        <is>
          <t>Net Sales/ Income from Operations</t>
        </is>
      </c>
      <c r="B25" s="1098" t="n">
        <v>473034</v>
      </c>
      <c r="C25" s="1099" t="n">
        <v>435830</v>
      </c>
      <c r="D25" s="1098">
        <f>B25+C25</f>
        <v/>
      </c>
      <c r="E25" s="1098" t="n">
        <v>510622</v>
      </c>
      <c r="F25" s="1098">
        <f>D25+E25</f>
        <v/>
      </c>
      <c r="G25" s="1098" t="n">
        <v>388340</v>
      </c>
      <c r="H25" s="1100" t="n">
        <v>1604718</v>
      </c>
      <c r="I25" s="1098" t="n">
        <v>424568</v>
      </c>
      <c r="J25" s="1098" t="n">
        <v>452890</v>
      </c>
      <c r="K25" s="1098">
        <f>I25+J25</f>
        <v/>
      </c>
      <c r="L25" s="1098" t="n">
        <v>429833</v>
      </c>
      <c r="M25" s="1098">
        <f>K25+L25</f>
        <v/>
      </c>
      <c r="N25" s="1098" t="n">
        <v>493529</v>
      </c>
      <c r="O25" s="1100">
        <f>M25+N25</f>
        <v/>
      </c>
      <c r="P25" s="1098" t="n">
        <v>573071</v>
      </c>
      <c r="Q25" s="1098" t="n">
        <v>617261</v>
      </c>
      <c r="R25" s="1098">
        <f>P25+Q25</f>
        <v/>
      </c>
      <c r="S25" s="1098" t="n">
        <v>581602</v>
      </c>
      <c r="T25" s="1098">
        <f>R25+S25</f>
        <v/>
      </c>
      <c r="U25" s="1098" t="n">
        <v>623395</v>
      </c>
      <c r="V25" s="1100" t="n">
        <v>2377595</v>
      </c>
      <c r="W25" s="1098" t="n">
        <v>604133</v>
      </c>
      <c r="X25" s="1098" t="n">
        <v>622434</v>
      </c>
      <c r="Y25" s="1098">
        <f>W25+X25</f>
        <v/>
      </c>
      <c r="Z25" s="1098" t="n">
        <v>620571</v>
      </c>
      <c r="AA25" s="1098">
        <f>Y25+Z25</f>
        <v/>
      </c>
      <c r="AB25" s="1098" t="n">
        <v>625000</v>
      </c>
      <c r="AC25" s="1100">
        <f>AA25+AB25</f>
        <v/>
      </c>
      <c r="AD25" s="1101" t="n">
        <v>3263222.2</v>
      </c>
      <c r="AE25" s="1101" t="n">
        <v>4405349.97</v>
      </c>
      <c r="AF25" s="1102" t="n">
        <v>6167490</v>
      </c>
      <c r="AG25" s="1102" t="n">
        <v>8942860</v>
      </c>
    </row>
    <row r="26" ht="17.25" customHeight="1" s="850">
      <c r="A26" s="1097" t="inlineStr">
        <is>
          <t>Total Expenditure</t>
        </is>
      </c>
      <c r="B26" s="1098">
        <f>B27+B28+B29+B30+B31</f>
        <v/>
      </c>
      <c r="C26" s="1098">
        <f>C27+C28+C29+C30+C31</f>
        <v/>
      </c>
      <c r="D26" s="1098">
        <f>D27+D28+D29+D30+D31</f>
        <v/>
      </c>
      <c r="E26" s="1098">
        <f>E27+E28+E29+E30+E31</f>
        <v/>
      </c>
      <c r="F26" s="1098">
        <f>F27+F28+F29+F30+F31</f>
        <v/>
      </c>
      <c r="G26" s="1098">
        <f>G27+G28+G29+G30+G31</f>
        <v/>
      </c>
      <c r="H26" s="1100">
        <f>H27+H28+H30+H29</f>
        <v/>
      </c>
      <c r="I26" s="1098">
        <f>I27+I28+I30+I29+I61</f>
        <v/>
      </c>
      <c r="J26" s="1098">
        <f>J27+J28+J30+J29+J31</f>
        <v/>
      </c>
      <c r="K26" s="1098" t="n">
        <v>39178</v>
      </c>
      <c r="L26" s="1098">
        <f>L27+L28+L30+L29+L31</f>
        <v/>
      </c>
      <c r="M26" s="1098">
        <f>M27+M28+M30+M29+M31</f>
        <v/>
      </c>
      <c r="N26" s="1098">
        <f>N27+N28+N30+N29+N31</f>
        <v/>
      </c>
      <c r="O26" s="1100">
        <f>O27+O28+O30+O29+O31</f>
        <v/>
      </c>
      <c r="P26" s="1098">
        <f>P27+P28+P30+P29+P31</f>
        <v/>
      </c>
      <c r="Q26" s="1098">
        <f>Q27+Q28+U30+Q29+Q31</f>
        <v/>
      </c>
      <c r="R26" s="1098">
        <f>R27+R28+R30+R29+R31</f>
        <v/>
      </c>
      <c r="S26" s="1098">
        <f>S27+S28+S29+S30+S31</f>
        <v/>
      </c>
      <c r="T26" s="1098">
        <f>T27+T28+T30+T29+T31</f>
        <v/>
      </c>
      <c r="U26" s="1098">
        <f>U27+U28+U30+U29+U31</f>
        <v/>
      </c>
      <c r="V26" s="1100">
        <f>V27+V28+V30+V29+V31</f>
        <v/>
      </c>
      <c r="W26" s="1098">
        <f>W27+W28+W30+W29+W31</f>
        <v/>
      </c>
      <c r="X26" s="1098">
        <f>X27+X28+X30+X29+X31</f>
        <v/>
      </c>
      <c r="Y26" s="1098">
        <f>Y27+Y28+Y30+Y29+Y31</f>
        <v/>
      </c>
      <c r="Z26" s="1098">
        <f>Z27+Z28+Z30+Z29+Z31</f>
        <v/>
      </c>
      <c r="AA26" s="1098">
        <f>AA27+AA28+AA30+AA29+AA31</f>
        <v/>
      </c>
      <c r="AB26" s="1098">
        <f>AB27+AB28+AB30+AB29+AB31</f>
        <v/>
      </c>
      <c r="AC26" s="1100">
        <f>AC27+AC28+AC30+AC29+AC31</f>
        <v/>
      </c>
      <c r="AD26" s="1101">
        <f>AD27+AD28+AD29+AD30+AD31</f>
        <v/>
      </c>
      <c r="AE26" s="1101">
        <f>AE27+AE28+AE29+AE30+AE31</f>
        <v/>
      </c>
      <c r="AF26" s="1101">
        <f>AF27+AF28+AF29+AF30+AF31</f>
        <v/>
      </c>
      <c r="AG26" s="1101">
        <f>AG27+AG28+AG29+AG30+AG31</f>
        <v/>
      </c>
    </row>
    <row r="27" ht="16.5" customHeight="1" s="850">
      <c r="A27" s="1103" t="inlineStr">
        <is>
          <t>(Increase) / Decrease In Stock In Trade &amp; WIP</t>
        </is>
      </c>
      <c r="B27" s="1104" t="n">
        <v>13288</v>
      </c>
      <c r="C27" s="1104" t="n">
        <v>-27170</v>
      </c>
      <c r="D27" s="1104">
        <f>B27+C27</f>
        <v/>
      </c>
      <c r="E27" s="1104" t="n">
        <v>-5883</v>
      </c>
      <c r="F27" s="1104">
        <f>D27+E27</f>
        <v/>
      </c>
      <c r="G27" s="1104" t="n">
        <v>28380</v>
      </c>
      <c r="H27" s="1105" t="n">
        <v>-7526</v>
      </c>
      <c r="I27" s="1104" t="n">
        <v>322</v>
      </c>
      <c r="J27" s="1104" t="n">
        <v>-563</v>
      </c>
      <c r="K27" s="1104">
        <f>I27+J27</f>
        <v/>
      </c>
      <c r="L27" s="1104" t="n">
        <v>5466</v>
      </c>
      <c r="M27" s="1104">
        <f>K27+L27</f>
        <v/>
      </c>
      <c r="N27" s="1104" t="n">
        <v>-8213</v>
      </c>
      <c r="O27" s="1105">
        <f>M27+N27</f>
        <v/>
      </c>
      <c r="P27" s="1104" t="n">
        <v>2858</v>
      </c>
      <c r="Q27" s="1104" t="n">
        <v>-7349</v>
      </c>
      <c r="R27" s="1104">
        <f>P27+Q27</f>
        <v/>
      </c>
      <c r="S27" s="1104" t="n">
        <v>6256</v>
      </c>
      <c r="T27" s="1104">
        <f>R27+S27</f>
        <v/>
      </c>
      <c r="U27" s="1104" t="n">
        <v>2265</v>
      </c>
      <c r="V27" s="1105" t="n">
        <v>500</v>
      </c>
      <c r="W27" s="1104" t="n">
        <v>3839</v>
      </c>
      <c r="X27" s="1104" t="n">
        <v>1354</v>
      </c>
      <c r="Y27" s="1104">
        <f>W27+X27</f>
        <v/>
      </c>
      <c r="Z27" s="1104" t="n">
        <v>849</v>
      </c>
      <c r="AA27" s="1104">
        <f>Y27+Z27</f>
        <v/>
      </c>
      <c r="AB27" s="1106" t="n">
        <v>1000</v>
      </c>
      <c r="AC27" s="1107">
        <f>AA27+AB27</f>
        <v/>
      </c>
      <c r="AD27" s="1108" t="n">
        <v>48948</v>
      </c>
      <c r="AE27" s="1108" t="n">
        <v>74891</v>
      </c>
      <c r="AF27" s="1108" t="n">
        <v>104847</v>
      </c>
      <c r="AG27" s="1108" t="n">
        <v>169914</v>
      </c>
    </row>
    <row r="28" ht="16.5" customHeight="1" s="850">
      <c r="A28" s="1109" t="inlineStr">
        <is>
          <t>Consumption of Raw Materials</t>
        </is>
      </c>
      <c r="B28" s="1104" t="n">
        <v>356206</v>
      </c>
      <c r="C28" s="1104" t="n">
        <v>329333</v>
      </c>
      <c r="D28" s="1104">
        <f>B28+C28</f>
        <v/>
      </c>
      <c r="E28" s="1104" t="n">
        <v>361270</v>
      </c>
      <c r="F28" s="1104">
        <f>E28+D28</f>
        <v/>
      </c>
      <c r="G28" s="1104" t="n">
        <v>278947</v>
      </c>
      <c r="H28" s="1105" t="n">
        <v>1121412</v>
      </c>
      <c r="I28" s="1104" t="n">
        <v>129390</v>
      </c>
      <c r="J28" s="1104" t="n">
        <v>45029</v>
      </c>
      <c r="K28" s="1104">
        <f>I28+J28</f>
        <v/>
      </c>
      <c r="L28" s="1104" t="n">
        <v>47246</v>
      </c>
      <c r="M28" s="1104">
        <f>L28+K28</f>
        <v/>
      </c>
      <c r="N28" s="1104" t="n">
        <v>36070</v>
      </c>
      <c r="O28" s="1105" t="n">
        <v>1191550</v>
      </c>
      <c r="P28" s="1104" t="n">
        <v>49620</v>
      </c>
      <c r="Q28" s="1104" t="n">
        <v>55114</v>
      </c>
      <c r="R28" s="1104">
        <f>P28+Q28</f>
        <v/>
      </c>
      <c r="S28" s="1104" t="n">
        <v>52395</v>
      </c>
      <c r="T28" s="1104">
        <f>S28+R28</f>
        <v/>
      </c>
      <c r="U28" s="1104" t="n">
        <v>55702</v>
      </c>
      <c r="V28" s="1105" t="n">
        <v>212831</v>
      </c>
      <c r="W28" s="1104" t="n">
        <v>51644</v>
      </c>
      <c r="X28" s="1104" t="n">
        <v>58766</v>
      </c>
      <c r="Y28" s="1104">
        <f>W28+X28</f>
        <v/>
      </c>
      <c r="Z28" s="1104" t="n">
        <v>55557</v>
      </c>
      <c r="AA28" s="1104">
        <f>Z28+Y28</f>
        <v/>
      </c>
      <c r="AB28" s="1106" t="n">
        <v>56280</v>
      </c>
      <c r="AC28" s="1107">
        <f>AA28+AB28</f>
        <v/>
      </c>
      <c r="AD28" s="1108" t="n">
        <v>293690</v>
      </c>
      <c r="AE28" s="1108" t="n">
        <v>396481</v>
      </c>
      <c r="AF28" s="1108" t="n">
        <v>555074</v>
      </c>
      <c r="AG28" s="1108" t="n">
        <v>804857</v>
      </c>
    </row>
    <row r="29" ht="16.5" customHeight="1" s="850">
      <c r="A29" s="1109" t="inlineStr">
        <is>
          <t>Employees Cost</t>
        </is>
      </c>
      <c r="B29" s="1104" t="n">
        <v>5513</v>
      </c>
      <c r="C29" s="1104" t="n">
        <v>9047</v>
      </c>
      <c r="D29" s="1104">
        <f>B29+C29</f>
        <v/>
      </c>
      <c r="E29" s="1104" t="n">
        <v>6509</v>
      </c>
      <c r="F29" s="1104">
        <f>E29+D29</f>
        <v/>
      </c>
      <c r="G29" s="1104" t="n">
        <v>8163</v>
      </c>
      <c r="H29" s="1105">
        <f>F29+G29</f>
        <v/>
      </c>
      <c r="I29" s="1104" t="n">
        <v>6876</v>
      </c>
      <c r="J29" s="1104" t="n">
        <v>8239</v>
      </c>
      <c r="K29" s="1104">
        <f>I29+J29</f>
        <v/>
      </c>
      <c r="L29" s="1104" t="n">
        <v>9854</v>
      </c>
      <c r="M29" s="1104">
        <f>L29+K29</f>
        <v/>
      </c>
      <c r="N29" s="1104" t="n">
        <v>22032</v>
      </c>
      <c r="O29" s="1105">
        <f>M29+N29</f>
        <v/>
      </c>
      <c r="P29" s="1104" t="n">
        <v>8663</v>
      </c>
      <c r="Q29" s="1104" t="n">
        <v>11802</v>
      </c>
      <c r="R29" s="1104">
        <f>P29+Q29</f>
        <v/>
      </c>
      <c r="S29" s="1104" t="n">
        <v>32256</v>
      </c>
      <c r="T29" s="1104">
        <f>S29+R29</f>
        <v/>
      </c>
      <c r="U29" s="1104" t="n">
        <v>4946</v>
      </c>
      <c r="V29" s="1105">
        <f>T29+U29</f>
        <v/>
      </c>
      <c r="W29" s="1104" t="n">
        <v>13201</v>
      </c>
      <c r="X29" s="1104" t="n">
        <v>12685</v>
      </c>
      <c r="Y29" s="1104">
        <f>W29+X29</f>
        <v/>
      </c>
      <c r="Z29" s="1104" t="n">
        <v>25387</v>
      </c>
      <c r="AA29" s="1104">
        <f>Z29+Y29</f>
        <v/>
      </c>
      <c r="AB29" s="1104" t="n">
        <v>40150</v>
      </c>
      <c r="AC29" s="1105">
        <f>AA29+AB29</f>
        <v/>
      </c>
      <c r="AD29" s="1108" t="n">
        <v>195793</v>
      </c>
      <c r="AE29" s="1108" t="n">
        <v>308374</v>
      </c>
      <c r="AF29" s="1108" t="n">
        <v>431724</v>
      </c>
      <c r="AG29" s="1108" t="n">
        <v>626000</v>
      </c>
    </row>
    <row r="30" ht="16.5" customHeight="1" s="850">
      <c r="A30" s="1109" t="inlineStr">
        <is>
          <t>Other Expenditure</t>
        </is>
      </c>
      <c r="B30" s="1104" t="n">
        <v>30440</v>
      </c>
      <c r="C30" s="1104" t="n">
        <v>35822</v>
      </c>
      <c r="D30" s="1104">
        <f>B30+C30</f>
        <v/>
      </c>
      <c r="E30" s="1104" t="n">
        <v>50547</v>
      </c>
      <c r="F30" s="1104">
        <f>E30+D30</f>
        <v/>
      </c>
      <c r="G30" s="1104" t="n">
        <v>43827</v>
      </c>
      <c r="H30" s="1105" t="n">
        <v>161871</v>
      </c>
      <c r="I30" s="1104" t="n">
        <v>35075</v>
      </c>
      <c r="J30" s="1104" t="n">
        <v>58378</v>
      </c>
      <c r="K30" s="1104">
        <f>I30+J30</f>
        <v/>
      </c>
      <c r="L30" s="1104" t="n">
        <v>38138</v>
      </c>
      <c r="M30" s="1104">
        <f>L30+K30</f>
        <v/>
      </c>
      <c r="N30" s="1104" t="n">
        <v>38742</v>
      </c>
      <c r="O30" s="1105">
        <f>M30+N30</f>
        <v/>
      </c>
      <c r="P30" s="1104" t="n">
        <v>39182</v>
      </c>
      <c r="Q30" s="1110" t="n">
        <v>47979</v>
      </c>
      <c r="R30" s="1104">
        <f>P30+U30</f>
        <v/>
      </c>
      <c r="S30" s="1104" t="n">
        <v>46490</v>
      </c>
      <c r="T30" s="1104">
        <f>S30+R30</f>
        <v/>
      </c>
      <c r="U30" s="1104" t="n">
        <v>60476</v>
      </c>
      <c r="V30" s="1105" t="n">
        <v>194127</v>
      </c>
      <c r="W30" s="1104" t="n">
        <v>48476</v>
      </c>
      <c r="X30" s="1104" t="n">
        <v>44481</v>
      </c>
      <c r="Y30" s="1104">
        <f>W30+X30</f>
        <v/>
      </c>
      <c r="Z30" s="1104" t="n">
        <v>40451</v>
      </c>
      <c r="AA30" s="1104">
        <f>Z30+Y30</f>
        <v/>
      </c>
      <c r="AB30" s="1104" t="n">
        <v>50000</v>
      </c>
      <c r="AC30" s="1105">
        <f>AA30+AB30</f>
        <v/>
      </c>
      <c r="AD30" s="1108" t="n">
        <v>261058</v>
      </c>
      <c r="AE30" s="1108" t="n">
        <v>396481</v>
      </c>
      <c r="AF30" s="1108" t="n">
        <v>555074</v>
      </c>
      <c r="AG30" s="1108" t="n">
        <v>804857</v>
      </c>
    </row>
    <row r="31" ht="17.25" customHeight="1" s="850">
      <c r="A31" s="1109" t="inlineStr">
        <is>
          <t>Consumption of Materials/Purchase</t>
        </is>
      </c>
      <c r="B31" s="1110" t="n">
        <v>0</v>
      </c>
      <c r="C31" s="1110" t="n">
        <v>0</v>
      </c>
      <c r="D31" s="1104">
        <f>B31+C31</f>
        <v/>
      </c>
      <c r="E31" s="1110" t="n">
        <v>0</v>
      </c>
      <c r="F31" s="1104">
        <f>E31+D31</f>
        <v/>
      </c>
      <c r="G31" s="1104" t="n"/>
      <c r="H31" s="1105">
        <f>F31+G31</f>
        <v/>
      </c>
      <c r="I31" s="1104" t="n">
        <v>235285</v>
      </c>
      <c r="J31" s="1104" t="n">
        <v>253976</v>
      </c>
      <c r="K31" s="1104">
        <f>I61+J31</f>
        <v/>
      </c>
      <c r="L31" s="1104" t="n">
        <v>241903</v>
      </c>
      <c r="M31" s="1104">
        <f>L31+K31</f>
        <v/>
      </c>
      <c r="N31" s="1104" t="n">
        <v>288902</v>
      </c>
      <c r="O31" s="1105" t="n">
        <v>0</v>
      </c>
      <c r="P31" s="1104" t="n">
        <v>332805</v>
      </c>
      <c r="Q31" s="1104" t="n">
        <v>362240</v>
      </c>
      <c r="R31" s="1104">
        <f>P31+Q31</f>
        <v/>
      </c>
      <c r="S31" s="1104" t="n">
        <v>417171</v>
      </c>
      <c r="T31" s="1104">
        <f>S31+R31</f>
        <v/>
      </c>
      <c r="U31" s="1104" t="n">
        <v>395823</v>
      </c>
      <c r="V31" s="1105">
        <f>T31+U31</f>
        <v/>
      </c>
      <c r="W31" s="1104" t="n">
        <v>378432</v>
      </c>
      <c r="X31" s="1104" t="n">
        <v>401202</v>
      </c>
      <c r="Y31" s="1104">
        <f>W31+X31</f>
        <v/>
      </c>
      <c r="Z31" s="1104" t="n">
        <v>371276</v>
      </c>
      <c r="AA31" s="1104">
        <f>Z31+Y31</f>
        <v/>
      </c>
      <c r="AB31" s="1104" t="n">
        <v>375000</v>
      </c>
      <c r="AC31" s="1105">
        <f>AA31+AB31</f>
        <v/>
      </c>
      <c r="AD31" s="1108" t="n">
        <v>2023198</v>
      </c>
      <c r="AE31" s="1108" t="n">
        <v>2643210</v>
      </c>
      <c r="AF31" s="1108" t="n">
        <v>3823844</v>
      </c>
      <c r="AG31" s="1108" t="n">
        <v>5365716</v>
      </c>
    </row>
    <row r="32" ht="17.25" customHeight="1" s="850">
      <c r="A32" s="1100" t="inlineStr">
        <is>
          <t>OPBDIT</t>
        </is>
      </c>
      <c r="B32" s="1098">
        <f>B25-B26</f>
        <v/>
      </c>
      <c r="C32" s="1098">
        <f>C25-C26</f>
        <v/>
      </c>
      <c r="D32" s="1098">
        <f>D25-D26</f>
        <v/>
      </c>
      <c r="E32" s="1098">
        <f>E25-E26</f>
        <v/>
      </c>
      <c r="F32" s="1098">
        <f>F25-F26</f>
        <v/>
      </c>
      <c r="G32" s="1098">
        <f>G25-G26</f>
        <v/>
      </c>
      <c r="H32" s="1100">
        <f>H25-H26</f>
        <v/>
      </c>
      <c r="I32" s="1098">
        <f>I25-I26</f>
        <v/>
      </c>
      <c r="J32" s="1098">
        <f>J25-J26</f>
        <v/>
      </c>
      <c r="K32" s="1098">
        <f>L25-K26</f>
        <v/>
      </c>
      <c r="L32" s="1098">
        <f>L25-L26</f>
        <v/>
      </c>
      <c r="M32" s="1098">
        <f>M25-M26</f>
        <v/>
      </c>
      <c r="N32" s="1098">
        <f>N25-N26</f>
        <v/>
      </c>
      <c r="O32" s="1100">
        <f>O25-O26</f>
        <v/>
      </c>
      <c r="P32" s="1098">
        <f>P25-P26</f>
        <v/>
      </c>
      <c r="Q32" s="1098">
        <f>Q25-Q26</f>
        <v/>
      </c>
      <c r="R32" s="1098">
        <f>R25-R26</f>
        <v/>
      </c>
      <c r="S32" s="1098">
        <f>S25-S26</f>
        <v/>
      </c>
      <c r="T32" s="1098">
        <f>T25-T26</f>
        <v/>
      </c>
      <c r="U32" s="1098">
        <f>U25-U26</f>
        <v/>
      </c>
      <c r="V32" s="1100">
        <f>V25-V26</f>
        <v/>
      </c>
      <c r="W32" s="1098">
        <f>W25-W26</f>
        <v/>
      </c>
      <c r="X32" s="1098">
        <f>X25-X26</f>
        <v/>
      </c>
      <c r="Y32" s="1098">
        <f>Y25-Y26</f>
        <v/>
      </c>
      <c r="Z32" s="1098">
        <f>Z25-Z26</f>
        <v/>
      </c>
      <c r="AA32" s="1098">
        <f>AA25-AA26</f>
        <v/>
      </c>
      <c r="AB32" s="1098">
        <f>AB25-AB26</f>
        <v/>
      </c>
      <c r="AC32" s="1100">
        <f>AC25-AC26</f>
        <v/>
      </c>
      <c r="AD32" s="1101">
        <f>AD25-AD26</f>
        <v/>
      </c>
      <c r="AE32" s="1101">
        <f>AE25-AE26</f>
        <v/>
      </c>
      <c r="AF32" s="1101">
        <f>AF25-AF26</f>
        <v/>
      </c>
      <c r="AG32" s="1101">
        <f>AG25-AG26</f>
        <v/>
      </c>
    </row>
    <row r="33" ht="17.25" customHeight="1" s="850">
      <c r="A33" s="1097" t="inlineStr">
        <is>
          <t>OP Margin</t>
        </is>
      </c>
      <c r="B33" s="1098">
        <f>(B32/B25)*100</f>
        <v/>
      </c>
      <c r="C33" s="1098">
        <f>(C32/C25)*100</f>
        <v/>
      </c>
      <c r="D33" s="1098">
        <f>(D32/D25)*100</f>
        <v/>
      </c>
      <c r="E33" s="1098">
        <f>(E32/E25)*100</f>
        <v/>
      </c>
      <c r="F33" s="1098">
        <f>(F32/F25)*100</f>
        <v/>
      </c>
      <c r="G33" s="1098">
        <f>(G32/G25)*100</f>
        <v/>
      </c>
      <c r="H33" s="1100">
        <f>H32/H25*100</f>
        <v/>
      </c>
      <c r="I33" s="1098">
        <f>(I32/I25)*100</f>
        <v/>
      </c>
      <c r="J33" s="1098">
        <f>(J32/J25)*100</f>
        <v/>
      </c>
      <c r="K33" s="1098">
        <f>(K32/L25)*100</f>
        <v/>
      </c>
      <c r="L33" s="1098">
        <f>(L32/L25)*100</f>
        <v/>
      </c>
      <c r="M33" s="1098">
        <f>(M32/M25)*100</f>
        <v/>
      </c>
      <c r="N33" s="1098">
        <f>(N32/N25)*100</f>
        <v/>
      </c>
      <c r="O33" s="1100">
        <f>O32/O25*100</f>
        <v/>
      </c>
      <c r="P33" s="1098">
        <f>(P32/P25)*100</f>
        <v/>
      </c>
      <c r="Q33" s="1098">
        <f>(Q32/Q25)*100</f>
        <v/>
      </c>
      <c r="R33" s="1098">
        <f>(R32/R25)*100</f>
        <v/>
      </c>
      <c r="S33" s="1098">
        <f>(S32/S25)*100</f>
        <v/>
      </c>
      <c r="T33" s="1098">
        <f>(T32/T25)*100</f>
        <v/>
      </c>
      <c r="U33" s="1098">
        <f>(U32/U25)*100</f>
        <v/>
      </c>
      <c r="V33" s="1100">
        <f>V32/V25*100</f>
        <v/>
      </c>
      <c r="W33" s="1098">
        <f>(W32/W25)*100</f>
        <v/>
      </c>
      <c r="X33" s="1098">
        <f>(X32/X25)*100</f>
        <v/>
      </c>
      <c r="Y33" s="1098">
        <f>(Y32/Y25)*100</f>
        <v/>
      </c>
      <c r="Z33" s="1098">
        <f>(Z32/Z25)*100</f>
        <v/>
      </c>
      <c r="AA33" s="1098">
        <f>(AA32/AA25)*100</f>
        <v/>
      </c>
      <c r="AB33" s="1098">
        <f>(AB32/AB25)*100</f>
        <v/>
      </c>
      <c r="AC33" s="1100">
        <f>(AC32/AC25)*100</f>
        <v/>
      </c>
      <c r="AD33" s="1101">
        <f>(AD32/AD25)*100</f>
        <v/>
      </c>
      <c r="AE33" s="1101">
        <f>(AE32/AE25)*100</f>
        <v/>
      </c>
      <c r="AF33" s="1101">
        <f>(AF32/AF25)*100</f>
        <v/>
      </c>
      <c r="AG33" s="1101">
        <f>(AG32/AG25)*100</f>
        <v/>
      </c>
    </row>
    <row r="34" ht="16.5" customHeight="1" s="850">
      <c r="A34" s="1103" t="inlineStr">
        <is>
          <t>Interest</t>
        </is>
      </c>
      <c r="B34" s="1104" t="n">
        <v>2880</v>
      </c>
      <c r="C34" s="1104" t="n">
        <v>2912</v>
      </c>
      <c r="D34" s="1104">
        <f>B34+C34</f>
        <v/>
      </c>
      <c r="E34" s="1104" t="n">
        <v>2705</v>
      </c>
      <c r="F34" s="1104">
        <f>D34+E34</f>
        <v/>
      </c>
      <c r="G34" s="1104" t="n">
        <v>2211</v>
      </c>
      <c r="H34" s="1105">
        <f>F34+G34</f>
        <v/>
      </c>
      <c r="I34" s="1104" t="n">
        <v>2040</v>
      </c>
      <c r="J34" s="1104" t="n">
        <v>2009</v>
      </c>
      <c r="K34" s="1104">
        <f>I34+J34</f>
        <v/>
      </c>
      <c r="L34" s="1104" t="n">
        <v>1955</v>
      </c>
      <c r="M34" s="1104">
        <f>K34+L34</f>
        <v/>
      </c>
      <c r="N34" s="1104" t="n">
        <v>1953</v>
      </c>
      <c r="O34" s="1105">
        <f>M34+N34</f>
        <v/>
      </c>
      <c r="P34" s="1104" t="n">
        <v>1902</v>
      </c>
      <c r="Q34" s="1104" t="n">
        <v>1890</v>
      </c>
      <c r="R34" s="1104">
        <f>P34+Q34</f>
        <v/>
      </c>
      <c r="S34" s="1104" t="n">
        <v>1851</v>
      </c>
      <c r="T34" s="1104">
        <f>R34+S34</f>
        <v/>
      </c>
      <c r="U34" s="1104" t="n">
        <v>3057</v>
      </c>
      <c r="V34" s="1105">
        <f>T34+U34</f>
        <v/>
      </c>
      <c r="W34" s="1104" t="n">
        <v>1792</v>
      </c>
      <c r="X34" s="1104" t="n">
        <v>1785</v>
      </c>
      <c r="Y34" s="1104">
        <f>W34+X34</f>
        <v/>
      </c>
      <c r="Z34" s="1111" t="n">
        <v>1422</v>
      </c>
      <c r="AA34" s="1104">
        <f>Y34+Z34</f>
        <v/>
      </c>
      <c r="AB34" s="1104" t="n">
        <v>1790</v>
      </c>
      <c r="AC34" s="1105">
        <f>AA34+AB34</f>
        <v/>
      </c>
      <c r="AD34" s="1112" t="n">
        <v>7765</v>
      </c>
      <c r="AE34" s="1112" t="n">
        <v>6594</v>
      </c>
      <c r="AF34" s="1112" t="n">
        <v>5423</v>
      </c>
      <c r="AG34" s="1112" t="n">
        <v>5889</v>
      </c>
    </row>
    <row r="35" ht="17.25" customHeight="1" s="850">
      <c r="A35" s="1113" t="inlineStr">
        <is>
          <t>Depreciation</t>
        </is>
      </c>
      <c r="B35" s="1104" t="n">
        <v>14081</v>
      </c>
      <c r="C35" s="1104" t="n">
        <v>14357</v>
      </c>
      <c r="D35" s="1104">
        <f>B35+C35</f>
        <v/>
      </c>
      <c r="E35" s="1104" t="n">
        <v>14387</v>
      </c>
      <c r="F35" s="1104">
        <f>D35+E35</f>
        <v/>
      </c>
      <c r="G35" s="1104" t="n">
        <v>14713</v>
      </c>
      <c r="H35" s="1105">
        <f>F35+G35</f>
        <v/>
      </c>
      <c r="I35" s="1104" t="n">
        <v>14070</v>
      </c>
      <c r="J35" s="1104" t="n">
        <v>14916</v>
      </c>
      <c r="K35" s="1104">
        <f>I35+J35</f>
        <v/>
      </c>
      <c r="L35" s="1104" t="n">
        <v>13869</v>
      </c>
      <c r="M35" s="1104">
        <f>K35+L35</f>
        <v/>
      </c>
      <c r="N35" s="1104" t="n">
        <v>14247</v>
      </c>
      <c r="O35" s="1105">
        <f>M35+N35</f>
        <v/>
      </c>
      <c r="P35" s="1104" t="n">
        <v>14296</v>
      </c>
      <c r="Q35" s="1104" t="n">
        <v>13858</v>
      </c>
      <c r="R35" s="1104">
        <f>P35+Q35</f>
        <v/>
      </c>
      <c r="S35" s="1104" t="n">
        <v>13739</v>
      </c>
      <c r="T35" s="1104">
        <f>R35+S35</f>
        <v/>
      </c>
      <c r="U35" s="1104" t="n">
        <v>14098</v>
      </c>
      <c r="V35" s="1105">
        <f>T35+U35</f>
        <v/>
      </c>
      <c r="W35" s="1104" t="n">
        <v>14041</v>
      </c>
      <c r="X35" s="1104" t="n">
        <v>14162</v>
      </c>
      <c r="Y35" s="1104">
        <f>W35+X35</f>
        <v/>
      </c>
      <c r="Z35" s="1104" t="n">
        <v>14091</v>
      </c>
      <c r="AA35" s="1104">
        <f>Y35+Z35</f>
        <v/>
      </c>
      <c r="AB35" s="1104" t="n">
        <v>14397</v>
      </c>
      <c r="AC35" s="1105" t="n">
        <v>56691</v>
      </c>
      <c r="AD35" s="1112" t="n">
        <v>57516</v>
      </c>
      <c r="AE35" s="1112" t="n">
        <v>58466</v>
      </c>
      <c r="AF35" s="1112" t="n">
        <v>59266</v>
      </c>
      <c r="AG35" s="1112" t="n">
        <v>60050</v>
      </c>
    </row>
    <row r="36" ht="17.25" customHeight="1" s="850">
      <c r="A36" s="1100" t="inlineStr">
        <is>
          <t>PBT From Operations</t>
        </is>
      </c>
      <c r="B36" s="1098">
        <f>B32-(B34+B35)</f>
        <v/>
      </c>
      <c r="C36" s="1098">
        <f>C32-(C34+C35)</f>
        <v/>
      </c>
      <c r="D36" s="1098">
        <f>D32-(D34+D35)</f>
        <v/>
      </c>
      <c r="E36" s="1098">
        <f>E32-(E34+E35)</f>
        <v/>
      </c>
      <c r="F36" s="1098">
        <f>F32-(F34+F35)</f>
        <v/>
      </c>
      <c r="G36" s="1098">
        <f>G32-(G34+G35)</f>
        <v/>
      </c>
      <c r="H36" s="1100">
        <f>H32-(H34+H35)</f>
        <v/>
      </c>
      <c r="I36" s="1098">
        <f>I32-(I34+I35)</f>
        <v/>
      </c>
      <c r="J36" s="1098">
        <f>J32-(J34+J35)</f>
        <v/>
      </c>
      <c r="K36" s="1098">
        <f>K32-(K34+K35)</f>
        <v/>
      </c>
      <c r="L36" s="1098">
        <f>L32-(L34+L35)</f>
        <v/>
      </c>
      <c r="M36" s="1098">
        <f>M32-(M34+M35)</f>
        <v/>
      </c>
      <c r="N36" s="1098">
        <f>N32-(N34+N35)</f>
        <v/>
      </c>
      <c r="O36" s="1100">
        <f>O32-(O34+O35)</f>
        <v/>
      </c>
      <c r="P36" s="1098">
        <f>P32-(P34+P35)</f>
        <v/>
      </c>
      <c r="Q36" s="1098">
        <f>Q32-(Q34+Q35)</f>
        <v/>
      </c>
      <c r="R36" s="1098">
        <f>R32-(R34+R35)</f>
        <v/>
      </c>
      <c r="S36" s="1098">
        <f>S32-(S34+S35)</f>
        <v/>
      </c>
      <c r="T36" s="1098">
        <f>T32-(T34+T35)</f>
        <v/>
      </c>
      <c r="U36" s="1098">
        <f>U32-(U34+U35)</f>
        <v/>
      </c>
      <c r="V36" s="1100">
        <f>V32-(V34+V35)</f>
        <v/>
      </c>
      <c r="W36" s="1098">
        <f>W32-(W34+W35)</f>
        <v/>
      </c>
      <c r="X36" s="1098">
        <f>X32-(X34+X35)</f>
        <v/>
      </c>
      <c r="Y36" s="1098">
        <f>Y32-(Y34+Y35)</f>
        <v/>
      </c>
      <c r="Z36" s="1098">
        <f>Z32-(Z34+Z35)</f>
        <v/>
      </c>
      <c r="AA36" s="1098">
        <f>AA32-(AA34+AA35)</f>
        <v/>
      </c>
      <c r="AB36" s="1098">
        <f>AB32-(AB34+AB35)</f>
        <v/>
      </c>
      <c r="AC36" s="1100">
        <f>AC32-(AC34+AC35)</f>
        <v/>
      </c>
      <c r="AD36" s="1101">
        <f>AD32-(AD34+AD35)</f>
        <v/>
      </c>
      <c r="AE36" s="1101">
        <f>AE32-(AE34+AE35)</f>
        <v/>
      </c>
      <c r="AF36" s="1101">
        <f>AF32-(AF34+AF35)</f>
        <v/>
      </c>
      <c r="AG36" s="1101">
        <f>AG32-(AG34+AG35)</f>
        <v/>
      </c>
    </row>
    <row r="37" ht="17.25" customHeight="1" s="850">
      <c r="A37" s="1114" t="inlineStr">
        <is>
          <t>Other Income</t>
        </is>
      </c>
      <c r="B37" s="1104" t="n">
        <v>8006</v>
      </c>
      <c r="C37" s="1104" t="n">
        <v>16737</v>
      </c>
      <c r="D37" s="1104">
        <f>B37+C37</f>
        <v/>
      </c>
      <c r="E37" s="1104" t="n">
        <v>18463</v>
      </c>
      <c r="F37" s="1104">
        <f>D37+E37</f>
        <v/>
      </c>
      <c r="G37" s="1104" t="n">
        <v>11289</v>
      </c>
      <c r="H37" s="1105">
        <f>F37+G37</f>
        <v/>
      </c>
      <c r="I37" s="1104" t="n">
        <v>9127</v>
      </c>
      <c r="J37" s="1104" t="n">
        <v>18060</v>
      </c>
      <c r="K37" s="1104">
        <f>I37+J37</f>
        <v/>
      </c>
      <c r="L37" s="1104" t="n">
        <v>18482</v>
      </c>
      <c r="M37" s="1104">
        <f>K37+L37</f>
        <v/>
      </c>
      <c r="N37" s="1104" t="n">
        <v>9966</v>
      </c>
      <c r="O37" s="1105">
        <f>M37+N37</f>
        <v/>
      </c>
      <c r="P37" s="1104" t="n">
        <v>11477</v>
      </c>
      <c r="Q37" s="1104" t="n">
        <v>4333</v>
      </c>
      <c r="R37" s="1104">
        <f>P37+Q37</f>
        <v/>
      </c>
      <c r="S37" s="1104" t="n">
        <v>437</v>
      </c>
      <c r="T37" s="1104">
        <f>R37+S37</f>
        <v/>
      </c>
      <c r="U37" s="1104" t="n">
        <v>12964</v>
      </c>
      <c r="V37" s="1105">
        <f>61177+18485</f>
        <v/>
      </c>
      <c r="W37" s="1104" t="n">
        <v>1991</v>
      </c>
      <c r="X37" s="1104" t="n">
        <v>2216</v>
      </c>
      <c r="Y37" s="1104">
        <f>W37+X37</f>
        <v/>
      </c>
      <c r="Z37" s="1104" t="n">
        <v>1787</v>
      </c>
      <c r="AA37" s="1104">
        <f>Y37+Z37</f>
        <v/>
      </c>
      <c r="AB37" s="1106" t="n">
        <v>2000</v>
      </c>
      <c r="AC37" s="1107">
        <f>AA37+AB37</f>
        <v/>
      </c>
      <c r="AD37" s="1112" t="n">
        <v>25000</v>
      </c>
      <c r="AE37" s="1112" t="n">
        <v>30000</v>
      </c>
      <c r="AF37" s="1112" t="n">
        <v>37000</v>
      </c>
      <c r="AG37" s="1112" t="n">
        <v>43000</v>
      </c>
    </row>
    <row r="38" ht="17.25" customHeight="1" s="850">
      <c r="A38" s="1100" t="inlineStr">
        <is>
          <t>PBT &amp; Exceptional Item</t>
        </is>
      </c>
      <c r="B38" s="1098">
        <f>B36+B37</f>
        <v/>
      </c>
      <c r="C38" s="1098">
        <f>C36+C37</f>
        <v/>
      </c>
      <c r="D38" s="1098">
        <f>D36+D37</f>
        <v/>
      </c>
      <c r="E38" s="1098">
        <f>E36+E37</f>
        <v/>
      </c>
      <c r="F38" s="1098">
        <f>F36+F37</f>
        <v/>
      </c>
      <c r="G38" s="1098">
        <f>G36+G37</f>
        <v/>
      </c>
      <c r="H38" s="1100">
        <f>H36+H37</f>
        <v/>
      </c>
      <c r="I38" s="1098">
        <f>I36+I37</f>
        <v/>
      </c>
      <c r="J38" s="1098">
        <f>J36+J37</f>
        <v/>
      </c>
      <c r="K38" s="1098">
        <f>K36+K37</f>
        <v/>
      </c>
      <c r="L38" s="1098">
        <f>L36+L37</f>
        <v/>
      </c>
      <c r="M38" s="1098">
        <f>M36+M37</f>
        <v/>
      </c>
      <c r="N38" s="1098">
        <f>N36+N37</f>
        <v/>
      </c>
      <c r="O38" s="1100">
        <f>O36+O37</f>
        <v/>
      </c>
      <c r="P38" s="1098">
        <f>P36+P37</f>
        <v/>
      </c>
      <c r="Q38" s="1098">
        <f>Q36+Q37</f>
        <v/>
      </c>
      <c r="R38" s="1098">
        <f>R36+R37</f>
        <v/>
      </c>
      <c r="S38" s="1098">
        <f>S36+S37</f>
        <v/>
      </c>
      <c r="T38" s="1098">
        <f>T36+T37</f>
        <v/>
      </c>
      <c r="U38" s="1098">
        <f>U36+U37</f>
        <v/>
      </c>
      <c r="V38" s="1100">
        <f>V36+V37</f>
        <v/>
      </c>
      <c r="W38" s="1098">
        <f>W36+W37</f>
        <v/>
      </c>
      <c r="X38" s="1098">
        <f>X36+X37</f>
        <v/>
      </c>
      <c r="Y38" s="1098">
        <f>Y36+Y37</f>
        <v/>
      </c>
      <c r="Z38" s="1098">
        <f>Z36+Z37</f>
        <v/>
      </c>
      <c r="AA38" s="1098">
        <f>AA36+AA37</f>
        <v/>
      </c>
      <c r="AB38" s="1098">
        <f>AB36+AB37</f>
        <v/>
      </c>
      <c r="AC38" s="1100">
        <f>AC36+AC37</f>
        <v/>
      </c>
      <c r="AD38" s="1101">
        <f>AD36+AD37</f>
        <v/>
      </c>
      <c r="AE38" s="1101">
        <f>AE36+AE37</f>
        <v/>
      </c>
      <c r="AF38" s="1101">
        <f>AF36+AF37</f>
        <v/>
      </c>
      <c r="AG38" s="1101">
        <f>AG36+AG37</f>
        <v/>
      </c>
    </row>
    <row r="39" ht="17.25" customHeight="1" s="850">
      <c r="A39" s="1114" t="inlineStr">
        <is>
          <t>Exceptional Item</t>
        </is>
      </c>
      <c r="B39" s="1104" t="n">
        <v>0</v>
      </c>
      <c r="C39" s="1104" t="n">
        <v>0</v>
      </c>
      <c r="D39" s="1104" t="n">
        <v>0</v>
      </c>
      <c r="E39" s="1104" t="n">
        <v>0</v>
      </c>
      <c r="F39" s="1104" t="n">
        <v>0</v>
      </c>
      <c r="G39" s="1104" t="n">
        <v>5540</v>
      </c>
      <c r="H39" s="1105" t="n">
        <v>0</v>
      </c>
      <c r="I39" s="1104" t="n">
        <v>0</v>
      </c>
      <c r="J39" s="1104" t="n">
        <v>0</v>
      </c>
      <c r="K39" s="1104" t="n">
        <v>0</v>
      </c>
      <c r="L39" s="1104" t="n">
        <v>0</v>
      </c>
      <c r="M39" s="1104">
        <f>K39+L39</f>
        <v/>
      </c>
      <c r="N39" s="1104" t="n">
        <v>0</v>
      </c>
      <c r="O39" s="1105" t="n">
        <v>0</v>
      </c>
      <c r="P39" s="1106" t="n"/>
      <c r="Q39" s="1106" t="n"/>
      <c r="R39" s="1104">
        <f>P39+Q39</f>
        <v/>
      </c>
      <c r="S39" s="1104" t="n"/>
      <c r="T39" s="1104">
        <f>R39+S39</f>
        <v/>
      </c>
      <c r="U39" s="1104" t="n"/>
      <c r="V39" s="1105" t="n">
        <v>0</v>
      </c>
      <c r="W39" s="1106" t="n">
        <v>0</v>
      </c>
      <c r="X39" s="1106" t="n">
        <v>0</v>
      </c>
      <c r="Y39" s="1106">
        <f>W39+X39</f>
        <v/>
      </c>
      <c r="Z39" s="1104" t="n"/>
      <c r="AA39" s="1104">
        <f>Y39+Z39</f>
        <v/>
      </c>
      <c r="AB39" s="1106" t="n"/>
      <c r="AC39" s="1107" t="n"/>
      <c r="AD39" s="1112" t="n">
        <v>0</v>
      </c>
      <c r="AE39" s="1112" t="n">
        <v>0</v>
      </c>
      <c r="AF39" s="1112" t="n">
        <v>0</v>
      </c>
      <c r="AG39" s="1112" t="n">
        <v>0</v>
      </c>
    </row>
    <row r="40" ht="17.25" customHeight="1" s="850">
      <c r="A40" s="1100" t="inlineStr">
        <is>
          <t>Profit Before Tax</t>
        </is>
      </c>
      <c r="B40" s="1098">
        <f>B38+B39</f>
        <v/>
      </c>
      <c r="C40" s="1098">
        <f>C38+C39</f>
        <v/>
      </c>
      <c r="D40" s="1098">
        <f>D38+D39</f>
        <v/>
      </c>
      <c r="E40" s="1098">
        <f>E38+E39</f>
        <v/>
      </c>
      <c r="F40" s="1098">
        <f>F38+F39</f>
        <v/>
      </c>
      <c r="G40" s="1098">
        <f>G38+G39</f>
        <v/>
      </c>
      <c r="H40" s="1100">
        <f>H38+H39</f>
        <v/>
      </c>
      <c r="I40" s="1098">
        <f>I38+I39</f>
        <v/>
      </c>
      <c r="J40" s="1098">
        <f>J38+J39</f>
        <v/>
      </c>
      <c r="K40" s="1098">
        <f>K38+K39</f>
        <v/>
      </c>
      <c r="L40" s="1098">
        <f>L38+L39</f>
        <v/>
      </c>
      <c r="M40" s="1098">
        <f>M38+M39</f>
        <v/>
      </c>
      <c r="N40" s="1098">
        <f>N38+N39</f>
        <v/>
      </c>
      <c r="O40" s="1100">
        <f>O38+O39</f>
        <v/>
      </c>
      <c r="P40" s="1098">
        <f>P38-P39</f>
        <v/>
      </c>
      <c r="Q40" s="1098">
        <f>Q38-Q39</f>
        <v/>
      </c>
      <c r="R40" s="1098">
        <f>R38-R39</f>
        <v/>
      </c>
      <c r="S40" s="1098">
        <f>S38-S39</f>
        <v/>
      </c>
      <c r="T40" s="1098">
        <f>T38-T39</f>
        <v/>
      </c>
      <c r="U40" s="1098">
        <f>U38-U39</f>
        <v/>
      </c>
      <c r="V40" s="1100">
        <f>V38-V39</f>
        <v/>
      </c>
      <c r="W40" s="1098">
        <f>W38-W39</f>
        <v/>
      </c>
      <c r="X40" s="1098">
        <f>X38-X39</f>
        <v/>
      </c>
      <c r="Y40" s="1098">
        <f>Y38-Y39</f>
        <v/>
      </c>
      <c r="Z40" s="1098">
        <f>Z38-Z39</f>
        <v/>
      </c>
      <c r="AA40" s="1098">
        <f>AA38-AA39</f>
        <v/>
      </c>
      <c r="AB40" s="1098">
        <f>AB38-AB39</f>
        <v/>
      </c>
      <c r="AC40" s="1100">
        <f>AC38-AC39</f>
        <v/>
      </c>
      <c r="AD40" s="1101">
        <f>AD38-AD39</f>
        <v/>
      </c>
      <c r="AE40" s="1101">
        <f>AE38-AE39</f>
        <v/>
      </c>
      <c r="AF40" s="1101">
        <f>AF38-AF39</f>
        <v/>
      </c>
      <c r="AG40" s="1101">
        <f>AG38-AG39</f>
        <v/>
      </c>
    </row>
    <row r="41" ht="16.5" customHeight="1" s="850">
      <c r="A41" s="1103" t="inlineStr">
        <is>
          <t>Current Tax</t>
        </is>
      </c>
      <c r="B41" s="1104" t="n">
        <v>-26000</v>
      </c>
      <c r="C41" s="1104" t="n">
        <v>13539</v>
      </c>
      <c r="D41" s="1104">
        <f>B41+C41</f>
        <v/>
      </c>
      <c r="E41" s="1104" t="n">
        <v>-21238</v>
      </c>
      <c r="F41" s="1104">
        <f>D41+E41</f>
        <v/>
      </c>
      <c r="G41" s="1104" t="n">
        <v>13466</v>
      </c>
      <c r="H41" s="1105" t="n">
        <v>47311</v>
      </c>
      <c r="I41" s="1104" t="n">
        <v>27547</v>
      </c>
      <c r="J41" s="1104" t="n">
        <v>29708</v>
      </c>
      <c r="K41" s="1104">
        <f>I41+J41</f>
        <v/>
      </c>
      <c r="L41" s="1104" t="n">
        <v>24150</v>
      </c>
      <c r="M41" s="1104">
        <f>K41+L41</f>
        <v/>
      </c>
      <c r="N41" s="1104" t="n">
        <v>43093</v>
      </c>
      <c r="O41" s="1105" t="n">
        <v>125354</v>
      </c>
      <c r="P41" s="1104" t="n">
        <v>44394</v>
      </c>
      <c r="Q41" s="1106" t="n">
        <v>48928</v>
      </c>
      <c r="R41" s="1104">
        <f>P41+Q41</f>
        <v/>
      </c>
      <c r="S41" s="1104" t="n">
        <v>7561</v>
      </c>
      <c r="T41" s="1104">
        <f>R41+S41</f>
        <v/>
      </c>
      <c r="U41" s="1104" t="n">
        <v>37752</v>
      </c>
      <c r="V41" s="1105" t="n">
        <v>140032</v>
      </c>
      <c r="W41" s="1104" t="n">
        <v>33982</v>
      </c>
      <c r="X41" s="1104" t="n">
        <v>30940</v>
      </c>
      <c r="Y41" s="1104">
        <f>W41+X41</f>
        <v/>
      </c>
      <c r="Z41" s="1104" t="n">
        <v>37111</v>
      </c>
      <c r="AA41" s="1104">
        <f>Y41+Z41</f>
        <v/>
      </c>
      <c r="AB41" s="1104" t="n">
        <v>46236.3</v>
      </c>
      <c r="AC41" s="1105">
        <f>AA41+AB41</f>
        <v/>
      </c>
      <c r="AD41" s="1108">
        <f>AD40*33%</f>
        <v/>
      </c>
      <c r="AE41" s="1108">
        <f>AE40*33%</f>
        <v/>
      </c>
      <c r="AF41" s="1108">
        <f>AF40*33%</f>
        <v/>
      </c>
      <c r="AG41" s="1108">
        <f>AG40*33%</f>
        <v/>
      </c>
    </row>
    <row r="42" ht="16.5" customHeight="1" s="850">
      <c r="A42" s="1109" t="inlineStr">
        <is>
          <t>Deferred Tax</t>
        </is>
      </c>
      <c r="B42" s="1104" t="n">
        <v>0</v>
      </c>
      <c r="C42" s="1104" t="n">
        <v>0</v>
      </c>
      <c r="D42" s="1104">
        <f>B42+C42</f>
        <v/>
      </c>
      <c r="E42" s="1104" t="n">
        <v>0</v>
      </c>
      <c r="F42" s="1104">
        <f>D42+E42</f>
        <v/>
      </c>
      <c r="G42" s="1104" t="n">
        <v>0</v>
      </c>
      <c r="H42" s="1105">
        <f>F42+G42</f>
        <v/>
      </c>
      <c r="I42" s="1104" t="n">
        <v>514</v>
      </c>
      <c r="J42" s="1104" t="n">
        <v>1684</v>
      </c>
      <c r="K42" s="1104">
        <f>I42+J42</f>
        <v/>
      </c>
      <c r="L42" s="1104" t="n">
        <v>3463</v>
      </c>
      <c r="M42" s="1104">
        <f>K42+L42</f>
        <v/>
      </c>
      <c r="N42" s="1104" t="n">
        <v>-5760</v>
      </c>
      <c r="O42" s="1105" t="n">
        <v>0</v>
      </c>
      <c r="P42" s="1104" t="n">
        <v>999</v>
      </c>
      <c r="Q42" s="1104" t="n">
        <v>-1156</v>
      </c>
      <c r="R42" s="1104">
        <f>P42+Q42</f>
        <v/>
      </c>
      <c r="S42" s="1104" t="n">
        <v>1372</v>
      </c>
      <c r="T42" s="1104">
        <f>R42+S42</f>
        <v/>
      </c>
      <c r="U42" s="1104" t="n">
        <v>591</v>
      </c>
      <c r="V42" s="1105" t="n">
        <v>0</v>
      </c>
      <c r="W42" s="1104" t="n">
        <v>-865</v>
      </c>
      <c r="X42" s="1104" t="n">
        <v>412</v>
      </c>
      <c r="Y42" s="1104">
        <f>W42+X42</f>
        <v/>
      </c>
      <c r="Z42" s="1104" t="n">
        <v>2720</v>
      </c>
      <c r="AA42" s="1104">
        <f>Y42+Z42</f>
        <v/>
      </c>
      <c r="AB42" s="1104" t="n">
        <v>2720</v>
      </c>
      <c r="AC42" s="1105">
        <f>AA42+AB42</f>
        <v/>
      </c>
      <c r="AD42" s="1112" t="n">
        <v>0</v>
      </c>
      <c r="AE42" s="1112" t="n">
        <v>0</v>
      </c>
      <c r="AF42" s="1112" t="n">
        <v>0</v>
      </c>
      <c r="AG42" s="1112" t="n">
        <v>0</v>
      </c>
    </row>
    <row r="43" ht="17.25" customHeight="1" s="850">
      <c r="A43" s="1109" t="inlineStr">
        <is>
          <t>Fringe Benefit Tax</t>
        </is>
      </c>
      <c r="B43" s="1104" t="n">
        <v>0</v>
      </c>
      <c r="C43" s="1104" t="n">
        <v>0</v>
      </c>
      <c r="D43" s="1104">
        <f>B43+C43</f>
        <v/>
      </c>
      <c r="E43" s="1104" t="n">
        <v>0</v>
      </c>
      <c r="F43" s="1104">
        <f>D43+E43</f>
        <v/>
      </c>
      <c r="G43" s="1104" t="n">
        <v>0</v>
      </c>
      <c r="H43" s="1105">
        <f>F43+G43</f>
        <v/>
      </c>
      <c r="I43" s="1104" t="n">
        <v>-1404</v>
      </c>
      <c r="J43" s="1104" t="n">
        <v>320</v>
      </c>
      <c r="K43" s="1104">
        <f>I43+J43</f>
        <v/>
      </c>
      <c r="L43" s="1104" t="n">
        <v>139</v>
      </c>
      <c r="M43" s="1104">
        <f>K43+L43</f>
        <v/>
      </c>
      <c r="N43" s="1104" t="n">
        <v>191</v>
      </c>
      <c r="O43" s="1105" t="n">
        <v>0</v>
      </c>
      <c r="P43" s="1104" t="n">
        <v>142</v>
      </c>
      <c r="Q43" s="1104" t="n">
        <v>169</v>
      </c>
      <c r="R43" s="1104">
        <f>P43+Q43</f>
        <v/>
      </c>
      <c r="S43" s="1104" t="n">
        <v>254</v>
      </c>
      <c r="T43" s="1104">
        <f>R43+S43</f>
        <v/>
      </c>
      <c r="U43" s="1104" t="n">
        <v>208</v>
      </c>
      <c r="V43" s="1105" t="n">
        <v>0</v>
      </c>
      <c r="W43" s="1104" t="n">
        <v>0</v>
      </c>
      <c r="X43" s="1104" t="n"/>
      <c r="Y43" s="1104">
        <f>W43+X43</f>
        <v/>
      </c>
      <c r="Z43" s="1104" t="n"/>
      <c r="AA43" s="1104">
        <f>Y43+Z43</f>
        <v/>
      </c>
      <c r="AB43" s="1106" t="n">
        <v>0</v>
      </c>
      <c r="AC43" s="1107" t="n"/>
      <c r="AD43" s="1112" t="n">
        <v>0</v>
      </c>
      <c r="AE43" s="1112" t="n">
        <v>0</v>
      </c>
      <c r="AF43" s="1112" t="n">
        <v>0</v>
      </c>
      <c r="AG43" s="1112" t="n">
        <v>0</v>
      </c>
    </row>
    <row r="44" ht="17.25" customHeight="1" s="850">
      <c r="A44" s="1100" t="inlineStr">
        <is>
          <t>Profit After Tax</t>
        </is>
      </c>
      <c r="B44" s="1115">
        <f>B40-B41-B42-B43</f>
        <v/>
      </c>
      <c r="C44" s="1115">
        <f>C40-C41-C42-C43</f>
        <v/>
      </c>
      <c r="D44" s="1115">
        <f>D40-D41-D42-D43</f>
        <v/>
      </c>
      <c r="E44" s="1115">
        <f>E40-E41-E42-E43</f>
        <v/>
      </c>
      <c r="F44" s="1115">
        <f>F40-F41-F42-F43</f>
        <v/>
      </c>
      <c r="G44" s="1115">
        <f>G40-G41-G42-G43</f>
        <v/>
      </c>
      <c r="H44" s="1116">
        <f>H40-H41-H42-H43</f>
        <v/>
      </c>
      <c r="I44" s="1115">
        <f>I40-I41-I42-I43</f>
        <v/>
      </c>
      <c r="J44" s="1115">
        <f>J40-J41-J42-J43</f>
        <v/>
      </c>
      <c r="K44" s="1115">
        <f>K40-K41-K42-K43</f>
        <v/>
      </c>
      <c r="L44" s="1115">
        <f>L40-L41-L42-L43</f>
        <v/>
      </c>
      <c r="M44" s="1115">
        <f>M40-M41-M42-M43</f>
        <v/>
      </c>
      <c r="N44" s="1115">
        <f>N40-N41-N42-N43</f>
        <v/>
      </c>
      <c r="O44" s="1116">
        <f>O40-O41-O42-O43</f>
        <v/>
      </c>
      <c r="P44" s="1115">
        <f>P40-P41-P42-P43</f>
        <v/>
      </c>
      <c r="Q44" s="1115">
        <f>Q40-Q41-Q42-Q43</f>
        <v/>
      </c>
      <c r="R44" s="1115">
        <f>R40-R41-R42-R43</f>
        <v/>
      </c>
      <c r="S44" s="1115">
        <f>S40-S41-S42-S43</f>
        <v/>
      </c>
      <c r="T44" s="1115">
        <f>T40-T41-T42-T43</f>
        <v/>
      </c>
      <c r="U44" s="1115">
        <f>U40-U41-U42-U43</f>
        <v/>
      </c>
      <c r="V44" s="1116">
        <f>V40-V41-V42-V43</f>
        <v/>
      </c>
      <c r="W44" s="1115">
        <f>W40-W41-W42-W43</f>
        <v/>
      </c>
      <c r="X44" s="1115">
        <f>X40-X41-X42-X43</f>
        <v/>
      </c>
      <c r="Y44" s="1115">
        <f>Y40-Y41-Y42-Y43</f>
        <v/>
      </c>
      <c r="Z44" s="1115">
        <f>Z40-Z41-Z42-Z43</f>
        <v/>
      </c>
      <c r="AA44" s="1115">
        <f>AA40-AA41-AA42-AA43</f>
        <v/>
      </c>
      <c r="AB44" s="1115">
        <f>AB40-AB41-AB42-AB43</f>
        <v/>
      </c>
      <c r="AC44" s="1116">
        <f>AC40-AC41-AC42-AC43</f>
        <v/>
      </c>
      <c r="AD44" s="1116">
        <f>AD40-AD41-AD42-AD43</f>
        <v/>
      </c>
      <c r="AE44" s="1116">
        <f>AE40-AE41-AE42-AE43</f>
        <v/>
      </c>
      <c r="AF44" s="1116">
        <f>AF40-AF41-AF42-AF43</f>
        <v/>
      </c>
      <c r="AG44" s="1116">
        <f>AG40-AG41-AG42-AG43</f>
        <v/>
      </c>
    </row>
    <row r="45" ht="17.25" customHeight="1" s="850">
      <c r="A45" s="1100" t="inlineStr">
        <is>
          <t>NET PROFIT</t>
        </is>
      </c>
      <c r="B45" s="1115">
        <f>B44</f>
        <v/>
      </c>
      <c r="C45" s="1115">
        <f>C44</f>
        <v/>
      </c>
      <c r="D45" s="1115">
        <f>D44</f>
        <v/>
      </c>
      <c r="E45" s="1115">
        <f>E44</f>
        <v/>
      </c>
      <c r="F45" s="1115">
        <f>F44</f>
        <v/>
      </c>
      <c r="G45" s="1115">
        <f>G44</f>
        <v/>
      </c>
      <c r="H45" s="1117">
        <f>H44</f>
        <v/>
      </c>
      <c r="I45" s="1115">
        <f>I44</f>
        <v/>
      </c>
      <c r="J45" s="1115">
        <f>J44</f>
        <v/>
      </c>
      <c r="K45" s="1115">
        <f>K44</f>
        <v/>
      </c>
      <c r="L45" s="1115">
        <f>L44</f>
        <v/>
      </c>
      <c r="M45" s="1115">
        <f>M44</f>
        <v/>
      </c>
      <c r="N45" s="1115">
        <f>N44</f>
        <v/>
      </c>
      <c r="O45" s="1117">
        <f>O44</f>
        <v/>
      </c>
      <c r="P45" s="1115">
        <f>P44</f>
        <v/>
      </c>
      <c r="Q45" s="1115">
        <f>Q44</f>
        <v/>
      </c>
      <c r="R45" s="1115">
        <f>R44</f>
        <v/>
      </c>
      <c r="S45" s="1115">
        <f>S44</f>
        <v/>
      </c>
      <c r="T45" s="1115">
        <f>T44</f>
        <v/>
      </c>
      <c r="U45" s="1115">
        <f>U44</f>
        <v/>
      </c>
      <c r="V45" s="1117">
        <f>V44</f>
        <v/>
      </c>
      <c r="W45" s="1115">
        <f>W44</f>
        <v/>
      </c>
      <c r="X45" s="1115">
        <f>X44</f>
        <v/>
      </c>
      <c r="Y45" s="1115">
        <f>Y44</f>
        <v/>
      </c>
      <c r="Z45" s="1115">
        <f>Z44</f>
        <v/>
      </c>
      <c r="AA45" s="1115">
        <f>AA44</f>
        <v/>
      </c>
      <c r="AB45" s="1115">
        <f>AB44</f>
        <v/>
      </c>
      <c r="AC45" s="1117">
        <f>AC44</f>
        <v/>
      </c>
      <c r="AD45" s="1117">
        <f>AD44</f>
        <v/>
      </c>
      <c r="AE45" s="1117">
        <f>AE44</f>
        <v/>
      </c>
      <c r="AF45" s="1117">
        <f>AF44</f>
        <v/>
      </c>
      <c r="AG45" s="1117">
        <f>AG44</f>
        <v/>
      </c>
    </row>
    <row r="46" ht="17.25" customHeight="1" s="850">
      <c r="A46" s="1100" t="inlineStr">
        <is>
          <t>NO.OF EQUITY SHARES</t>
        </is>
      </c>
      <c r="B46" s="1115" t="n">
        <v>8456.5</v>
      </c>
      <c r="C46" s="1115" t="n">
        <v>8456.5</v>
      </c>
      <c r="D46" s="1115" t="n">
        <v>8456.5</v>
      </c>
      <c r="E46" s="1115" t="n">
        <v>8456.5</v>
      </c>
      <c r="F46" s="1115" t="n">
        <v>8456.5</v>
      </c>
      <c r="G46" s="1115" t="n">
        <v>8456.5</v>
      </c>
      <c r="H46" s="1117" t="n">
        <v>8456.5</v>
      </c>
      <c r="I46" s="1115" t="n">
        <v>8456.5</v>
      </c>
      <c r="J46" s="1115" t="n">
        <v>8456.5</v>
      </c>
      <c r="K46" s="1115" t="n">
        <v>8456.5</v>
      </c>
      <c r="L46" s="1115" t="n">
        <v>8456.5</v>
      </c>
      <c r="M46" s="1115" t="n">
        <v>8456.5</v>
      </c>
      <c r="N46" s="1115" t="n">
        <v>8456.5</v>
      </c>
      <c r="O46" s="1117" t="n">
        <v>8456.5</v>
      </c>
      <c r="P46" s="1115" t="n">
        <v>8456.5</v>
      </c>
      <c r="Q46" s="1115" t="n">
        <v>8456.5</v>
      </c>
      <c r="R46" s="1115" t="n">
        <v>8456.5</v>
      </c>
      <c r="S46" s="1115" t="n">
        <v>12684.8</v>
      </c>
      <c r="T46" s="1115" t="n">
        <v>12684.8</v>
      </c>
      <c r="U46" s="1115" t="n">
        <v>12684.8</v>
      </c>
      <c r="V46" s="1117" t="n">
        <v>12684.8</v>
      </c>
      <c r="W46" s="1115" t="n">
        <v>12684.8</v>
      </c>
      <c r="X46" s="1115" t="n">
        <v>12684.8</v>
      </c>
      <c r="Y46" s="1115" t="n">
        <v>12684.8</v>
      </c>
      <c r="Z46" s="1115" t="n">
        <v>12684.8</v>
      </c>
      <c r="AA46" s="1115" t="n">
        <v>12684.8</v>
      </c>
      <c r="AB46" s="1115" t="n">
        <v>12684.8</v>
      </c>
      <c r="AC46" s="1117" t="n">
        <v>12684.8</v>
      </c>
      <c r="AD46" s="1117" t="n">
        <v>12684.8</v>
      </c>
      <c r="AE46" s="1117" t="n">
        <v>12684.8</v>
      </c>
      <c r="AF46" s="1117" t="n">
        <v>12684.8</v>
      </c>
      <c r="AG46" s="1117" t="n">
        <v>12684.8</v>
      </c>
    </row>
    <row r="47" ht="15" customFormat="1" customHeight="1" s="1118">
      <c r="A47" s="1097" t="inlineStr">
        <is>
          <t>EPS Basic</t>
        </is>
      </c>
      <c r="B47" s="1119">
        <f>B46/B45</f>
        <v/>
      </c>
      <c r="C47" s="1119">
        <f>C37/C44</f>
        <v/>
      </c>
      <c r="D47" s="1119">
        <f>D37/D44</f>
        <v/>
      </c>
      <c r="E47" s="1119">
        <f>E37/E44</f>
        <v/>
      </c>
      <c r="F47" s="1119">
        <f>F37/F44</f>
        <v/>
      </c>
      <c r="G47" s="1119">
        <f>G37/G44</f>
        <v/>
      </c>
      <c r="H47" s="1120">
        <f>H37/H44</f>
        <v/>
      </c>
      <c r="I47" s="1119">
        <f>I37/I44</f>
        <v/>
      </c>
      <c r="J47" s="1119">
        <f>J37/J44</f>
        <v/>
      </c>
      <c r="K47" s="1119">
        <f>K37/K44</f>
        <v/>
      </c>
      <c r="L47" s="1119">
        <f>L37/L44</f>
        <v/>
      </c>
      <c r="M47" s="1119">
        <f>M37/M44</f>
        <v/>
      </c>
      <c r="N47" s="1119">
        <f>N37/N44</f>
        <v/>
      </c>
      <c r="O47" s="1120">
        <f>O37/O44</f>
        <v/>
      </c>
      <c r="P47" s="1119">
        <f>P37/P44</f>
        <v/>
      </c>
      <c r="Q47" s="1119">
        <f>Q37/Q44</f>
        <v/>
      </c>
      <c r="R47" s="1119">
        <f>R37/R44</f>
        <v/>
      </c>
      <c r="S47" s="1119">
        <f>S37/S44</f>
        <v/>
      </c>
      <c r="T47" s="1119">
        <f>T37/T44</f>
        <v/>
      </c>
      <c r="U47" s="1119">
        <f>U37/U44</f>
        <v/>
      </c>
      <c r="V47" s="1120">
        <f>V37/V44</f>
        <v/>
      </c>
      <c r="W47" s="1119">
        <f>W37/W44</f>
        <v/>
      </c>
      <c r="X47" s="1119">
        <f>X37/X44</f>
        <v/>
      </c>
      <c r="Y47" s="1119">
        <f>Y37/Y44</f>
        <v/>
      </c>
      <c r="Z47" s="1119">
        <f>Z37/Z44</f>
        <v/>
      </c>
      <c r="AA47" s="1119">
        <f>AA37/AA44</f>
        <v/>
      </c>
      <c r="AB47" s="1119">
        <f>AB37/AB44</f>
        <v/>
      </c>
      <c r="AC47" s="1120">
        <f>AC37/AC44</f>
        <v/>
      </c>
      <c r="AD47" s="1120">
        <f>AD37/AD44</f>
        <v/>
      </c>
      <c r="AE47" s="1120">
        <f>AE37/AE44</f>
        <v/>
      </c>
      <c r="AF47" s="1120">
        <f>AF37/AF44</f>
        <v/>
      </c>
      <c r="AG47" s="1120">
        <f>AG37/AG44</f>
        <v/>
      </c>
      <c r="AH47" s="849" t="n"/>
    </row>
    <row r="49" ht="15.75" customFormat="1" customHeight="1" s="1121">
      <c r="A49" s="849" t="n"/>
      <c r="B49" s="1122" t="n"/>
      <c r="C49" s="1122" t="n"/>
      <c r="D49" s="1122" t="n"/>
      <c r="E49" s="1122" t="n"/>
      <c r="F49" s="1122" t="n"/>
      <c r="G49" s="1122" t="n"/>
      <c r="H49" s="1122" t="n"/>
      <c r="I49" s="1122" t="n"/>
      <c r="J49" s="1122" t="n"/>
      <c r="K49" s="1122" t="n"/>
      <c r="L49" s="1122" t="n"/>
      <c r="M49" s="1122" t="n"/>
      <c r="N49" s="1122" t="n"/>
      <c r="O49" s="1122" t="n"/>
      <c r="P49" s="1122" t="n"/>
      <c r="Q49" s="1122" t="n"/>
      <c r="R49" s="1122" t="n"/>
      <c r="S49" s="1122" t="n"/>
      <c r="T49" s="1122" t="n"/>
      <c r="U49" s="1122" t="n"/>
      <c r="V49" s="1122" t="n"/>
      <c r="W49" s="1122" t="n"/>
      <c r="X49" s="1122" t="n"/>
      <c r="Y49" s="1122" t="n"/>
      <c r="Z49" s="1122" t="n"/>
      <c r="AA49" s="1122" t="n"/>
      <c r="AB49" s="1122" t="n"/>
      <c r="AC49" s="1122" t="n"/>
      <c r="AD49" s="1122" t="n"/>
      <c r="AE49" s="1122" t="n"/>
      <c r="AF49" s="1122" t="n"/>
      <c r="AG49" s="1122" t="n"/>
    </row>
    <row r="50" ht="15" customHeight="1" s="850">
      <c r="A50" s="1123" t="n"/>
    </row>
    <row r="51" ht="15.75" customHeight="1" s="850">
      <c r="A51" s="1124" t="inlineStr">
        <is>
          <t>Other Selected Items and Ratios</t>
        </is>
      </c>
    </row>
    <row r="52" ht="15" customHeight="1" s="850">
      <c r="A52" s="1125" t="n"/>
      <c r="B52" s="1126" t="inlineStr">
        <is>
          <t xml:space="preserve">MAR '06 </t>
        </is>
      </c>
      <c r="C52" s="1127" t="inlineStr">
        <is>
          <t>MAR '07</t>
        </is>
      </c>
      <c r="D52" s="1127" t="inlineStr">
        <is>
          <t>MAR '08</t>
        </is>
      </c>
      <c r="E52" s="1127" t="inlineStr">
        <is>
          <t>MAR '09</t>
        </is>
      </c>
      <c r="F52" s="1127" t="inlineStr">
        <is>
          <t>MAR '10</t>
        </is>
      </c>
      <c r="G52" s="1127" t="inlineStr">
        <is>
          <t>MAR '11</t>
        </is>
      </c>
      <c r="H52" s="1127" t="inlineStr">
        <is>
          <t>MAR '12</t>
        </is>
      </c>
      <c r="I52" s="1127" t="inlineStr">
        <is>
          <t>MAR '13</t>
        </is>
      </c>
      <c r="J52" s="1128" t="inlineStr">
        <is>
          <t>MAR '14</t>
        </is>
      </c>
    </row>
    <row r="53" ht="15.75" customHeight="1" s="850">
      <c r="A53" s="1125" t="n"/>
      <c r="B53" s="1129" t="inlineStr">
        <is>
          <t>2005-06A</t>
        </is>
      </c>
      <c r="C53" s="1130" t="inlineStr">
        <is>
          <t>2006-07A</t>
        </is>
      </c>
      <c r="D53" s="1130" t="inlineStr">
        <is>
          <t>2007-08 A</t>
        </is>
      </c>
      <c r="E53" s="1130" t="inlineStr">
        <is>
          <t>2008-09 A</t>
        </is>
      </c>
      <c r="F53" s="1130" t="inlineStr">
        <is>
          <t>2009-2010E</t>
        </is>
      </c>
      <c r="G53" s="1130" t="inlineStr">
        <is>
          <t>2010-11E</t>
        </is>
      </c>
      <c r="H53" s="1130" t="inlineStr">
        <is>
          <t>2011-12E</t>
        </is>
      </c>
      <c r="I53" s="1130" t="inlineStr">
        <is>
          <t>2012-13E</t>
        </is>
      </c>
      <c r="J53" s="1131" t="inlineStr">
        <is>
          <t>2013-14E</t>
        </is>
      </c>
    </row>
    <row r="54" ht="15.75" customHeight="1" s="850"/>
    <row r="55" ht="15" customHeight="1" s="850">
      <c r="A55" s="1132" t="inlineStr">
        <is>
          <t>Cash and Bank balances</t>
        </is>
      </c>
      <c r="B55" s="1133" t="n">
        <v>4495.94</v>
      </c>
      <c r="C55" s="1133" t="n">
        <v>2660.41</v>
      </c>
      <c r="D55" s="1133" t="n">
        <v>4472.99</v>
      </c>
      <c r="E55" s="1133" t="n">
        <v>3456.15</v>
      </c>
      <c r="F55" s="1133" t="n">
        <v>3500.76</v>
      </c>
      <c r="G55" s="1133" t="n">
        <v>3657.75</v>
      </c>
      <c r="H55" s="1133" t="n">
        <v>3699</v>
      </c>
      <c r="I55" s="1133" t="n">
        <v>3734</v>
      </c>
      <c r="J55" s="1134" t="n">
        <v>3800</v>
      </c>
    </row>
    <row r="56" ht="15" customHeight="1" s="850">
      <c r="A56" s="1135" t="inlineStr">
        <is>
          <t>CAPEX</t>
        </is>
      </c>
      <c r="B56" s="1136" t="n">
        <v>1784</v>
      </c>
      <c r="C56" s="1136" t="n">
        <v>905</v>
      </c>
      <c r="D56" s="1136" t="n">
        <v>2256</v>
      </c>
      <c r="E56" s="1136" t="n">
        <v>2568</v>
      </c>
      <c r="F56" s="1136" t="n">
        <v>115</v>
      </c>
      <c r="G56" s="1136" t="n">
        <v>3401</v>
      </c>
      <c r="H56" s="1136" t="n">
        <v>1246</v>
      </c>
      <c r="I56" s="1136" t="n">
        <v>2577</v>
      </c>
      <c r="J56" s="1137" t="n"/>
    </row>
    <row r="57" ht="15" customHeight="1" s="850">
      <c r="A57" s="1135" t="inlineStr">
        <is>
          <t>Total Debt</t>
        </is>
      </c>
      <c r="B57" s="1138" t="n">
        <v>1916.56</v>
      </c>
      <c r="C57" s="1138" t="n">
        <v>1337.85</v>
      </c>
      <c r="D57" s="1138" t="n">
        <v>1265.87</v>
      </c>
      <c r="E57" s="1138" t="n">
        <v>1200.13</v>
      </c>
      <c r="F57" s="1138" t="n">
        <v>1186.33</v>
      </c>
      <c r="G57" s="1138" t="n">
        <v>1172.34</v>
      </c>
      <c r="H57" s="1138" t="n">
        <v>1154.36</v>
      </c>
      <c r="I57" s="1138" t="n">
        <v>1141.82</v>
      </c>
      <c r="J57" s="1139" t="n">
        <v>1136.24</v>
      </c>
    </row>
    <row r="58" ht="15.75" customHeight="1" s="850">
      <c r="A58" s="1140" t="inlineStr">
        <is>
          <t>Inventory Turnover</t>
        </is>
      </c>
      <c r="B58" s="1141" t="n"/>
      <c r="C58" s="1141" t="n"/>
      <c r="D58" s="1141" t="n">
        <v>3209.53</v>
      </c>
      <c r="E58" s="1141" t="n">
        <v>4060.03</v>
      </c>
      <c r="F58" s="1141" t="n">
        <v>4007.16</v>
      </c>
      <c r="G58" s="1141" t="n">
        <v>5062.71</v>
      </c>
      <c r="H58" s="1141" t="n">
        <v>6564.27</v>
      </c>
      <c r="I58" s="1141">
        <f>'Ratio Analysis'!I23</f>
        <v/>
      </c>
      <c r="J58" s="1142">
        <f>'Ratio Analysis'!J23</f>
        <v/>
      </c>
    </row>
    <row r="61" ht="15.75" customHeight="1" s="850">
      <c r="A61" s="1124" t="inlineStr">
        <is>
          <t>Valuation Metrics</t>
        </is>
      </c>
    </row>
    <row r="62" ht="15.75" customHeight="1" s="850"/>
    <row r="63" ht="15" customHeight="1" s="850">
      <c r="A63" s="1132" t="inlineStr">
        <is>
          <t>Gross Profit Margin(%)</t>
        </is>
      </c>
      <c r="B63" s="1143" t="n"/>
      <c r="C63" s="1144">
        <f>'Ratio Analysis'!C13</f>
        <v/>
      </c>
      <c r="D63" s="1144">
        <f>'Ratio Analysis'!D13</f>
        <v/>
      </c>
      <c r="E63" s="1144">
        <f>'Ratio Analysis'!E13</f>
        <v/>
      </c>
      <c r="F63" s="1144">
        <f>'Ratio Analysis'!F13</f>
        <v/>
      </c>
      <c r="G63" s="1144">
        <f>'Ratio Analysis'!G13</f>
        <v/>
      </c>
      <c r="H63" s="1144">
        <f>'Ratio Analysis'!H13</f>
        <v/>
      </c>
      <c r="I63" s="1144">
        <f>'Ratio Analysis'!I13</f>
        <v/>
      </c>
      <c r="J63" s="1145">
        <f>'Ratio Analysis'!J13</f>
        <v/>
      </c>
    </row>
    <row r="64" ht="15" customHeight="1" s="850">
      <c r="A64" s="1146" t="inlineStr">
        <is>
          <t>EBITDA Margin (%)</t>
        </is>
      </c>
      <c r="B64" s="933" t="n"/>
      <c r="C64" s="1147">
        <f>'INCOME STATEMENT'!H6/'INCOME STATEMENT'!H10</f>
        <v/>
      </c>
      <c r="D64" s="1147">
        <f>'INCOME STATEMENT'!O6/'INCOME STATEMENT'!O10</f>
        <v/>
      </c>
      <c r="E64" s="1147">
        <f>'INCOME STATEMENT'!V6/'INCOME STATEMENT'!V10</f>
        <v/>
      </c>
      <c r="F64" s="1147">
        <f>'INCOME STATEMENT'!AC6/'INCOME STATEMENT'!AC10</f>
        <v/>
      </c>
      <c r="G64" s="1147">
        <f>'INCOME STATEMENT'!AD6/'INCOME STATEMENT'!AD10</f>
        <v/>
      </c>
      <c r="H64" s="1147">
        <f>'INCOME STATEMENT'!AE6/'INCOME STATEMENT'!AE10</f>
        <v/>
      </c>
      <c r="I64" s="1147">
        <f>'INCOME STATEMENT'!AF6/'INCOME STATEMENT'!AF10</f>
        <v/>
      </c>
      <c r="J64" s="1148">
        <f>'INCOME STATEMENT'!AG6/'INCOME STATEMENT'!AG10</f>
        <v/>
      </c>
    </row>
    <row r="65" ht="15" customHeight="1" s="850">
      <c r="A65" s="1146" t="inlineStr">
        <is>
          <t>Net Profit Margin (%)</t>
        </is>
      </c>
      <c r="B65" s="933" t="n"/>
      <c r="C65" s="1149">
        <f>'Ratio Analysis'!C14</f>
        <v/>
      </c>
      <c r="D65" s="1149">
        <f>'Ratio Analysis'!D14</f>
        <v/>
      </c>
      <c r="E65" s="1149">
        <f>'Ratio Analysis'!E14</f>
        <v/>
      </c>
      <c r="F65" s="1149">
        <f>'Ratio Analysis'!F14</f>
        <v/>
      </c>
      <c r="G65" s="1149">
        <f>'Ratio Analysis'!G14</f>
        <v/>
      </c>
      <c r="H65" s="1149">
        <f>'Ratio Analysis'!H14</f>
        <v/>
      </c>
      <c r="I65" s="1149">
        <f>'Ratio Analysis'!I14</f>
        <v/>
      </c>
      <c r="J65" s="1150">
        <f>'Ratio Analysis'!J14</f>
        <v/>
      </c>
    </row>
    <row r="66" ht="15.75" customHeight="1" s="850">
      <c r="A66" s="1151" t="inlineStr">
        <is>
          <t>Interest Cover</t>
        </is>
      </c>
      <c r="B66" s="1152" t="n"/>
      <c r="C66" s="1153">
        <f>'Ratio Analysis'!C19</f>
        <v/>
      </c>
      <c r="D66" s="1153">
        <f>'Ratio Analysis'!D19</f>
        <v/>
      </c>
      <c r="E66" s="1153">
        <f>'Ratio Analysis'!E19</f>
        <v/>
      </c>
      <c r="F66" s="1153">
        <f>'Ratio Analysis'!F19</f>
        <v/>
      </c>
      <c r="G66" s="1153">
        <f>'Ratio Analysis'!G19</f>
        <v/>
      </c>
      <c r="H66" s="1153">
        <f>'Ratio Analysis'!H19</f>
        <v/>
      </c>
      <c r="I66" s="1153">
        <f>'Ratio Analysis'!I19</f>
        <v/>
      </c>
      <c r="J66" s="1154">
        <f>'Ratio Analysis'!J19</f>
        <v/>
      </c>
    </row>
  </sheetData>
  <mergeCells count="8">
    <mergeCell ref="G3:J3"/>
    <mergeCell ref="B22:G22"/>
    <mergeCell ref="L3:O3"/>
    <mergeCell ref="I22:N22"/>
    <mergeCell ref="Q3:T3"/>
    <mergeCell ref="P22:U22"/>
    <mergeCell ref="B3:E3"/>
    <mergeCell ref="W22:AB2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Y1076"/>
  <sheetViews>
    <sheetView showFormulas="0" showGridLines="0"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9.13671875" defaultRowHeight="11.25" zeroHeight="0" outlineLevelRow="0"/>
  <cols>
    <col width="33.42" customWidth="1" style="970" min="1" max="1"/>
    <col width="7.56" customWidth="1" style="970" min="2" max="4"/>
    <col width="7.85" customWidth="1" style="970" min="5" max="5"/>
    <col width="10.99" customWidth="1" style="1155" min="6" max="6"/>
    <col width="7.56" customWidth="1" style="970" min="7" max="9"/>
    <col width="7.85" customWidth="1" style="970" min="10" max="10"/>
    <col width="10.99" customWidth="1" style="970" min="11" max="11"/>
    <col width="7.56" customWidth="1" style="970" min="12" max="12"/>
    <col width="8.130000000000001" customWidth="1" style="970" min="13" max="13"/>
    <col width="7.56" customWidth="1" style="970" min="14" max="14"/>
    <col width="7.56" customWidth="1" style="970" min="15" max="15"/>
    <col width="10.99" customWidth="1" style="970" min="16" max="16"/>
    <col width="8.710000000000001" customWidth="1" style="970" min="17" max="17"/>
    <col width="8.42" customWidth="1" style="970" min="18" max="18"/>
    <col width="8.85" customWidth="1" style="970" min="19" max="19"/>
    <col width="9.42" customWidth="1" style="970" min="20" max="20"/>
    <col width="10.7" customWidth="1" style="970" min="21" max="21"/>
    <col width="10.99" customWidth="1" style="970" min="22" max="25"/>
    <col width="7.14" customWidth="1" style="970" min="26" max="36"/>
    <col width="9.130000000000001" customWidth="1" style="970" min="37" max="257"/>
  </cols>
  <sheetData>
    <row r="1" ht="17.25" customHeight="1" s="850">
      <c r="A1" s="1156" t="inlineStr">
        <is>
          <t>GAIL (INDIA) LTD.</t>
        </is>
      </c>
      <c r="F1" s="970" t="n"/>
    </row>
    <row r="2" ht="15.75" customHeight="1" s="850">
      <c r="A2" s="981" t="inlineStr">
        <is>
          <t>Segment Revenue Model</t>
        </is>
      </c>
      <c r="F2" s="970" t="n"/>
      <c r="I2" s="1157" t="inlineStr">
        <is>
          <t>BSE</t>
        </is>
      </c>
      <c r="L2" s="1157" t="inlineStr">
        <is>
          <t>BSE</t>
        </is>
      </c>
      <c r="M2" s="1157" t="inlineStr">
        <is>
          <t>BSE</t>
        </is>
      </c>
      <c r="N2" s="1157" t="inlineStr">
        <is>
          <t>BSE</t>
        </is>
      </c>
      <c r="O2" s="1157" t="inlineStr">
        <is>
          <t>BSE</t>
        </is>
      </c>
      <c r="S2" s="983" t="inlineStr">
        <is>
          <t>BSE Q RES</t>
        </is>
      </c>
    </row>
    <row r="3" ht="17.25" customHeight="1" s="850">
      <c r="A3" s="1158" t="inlineStr">
        <is>
          <t xml:space="preserve">    ( Figures in Rs. Millions.)</t>
        </is>
      </c>
      <c r="B3" s="1159" t="inlineStr">
        <is>
          <t>2006-07</t>
        </is>
      </c>
      <c r="C3" s="986" t="n"/>
      <c r="D3" s="986" t="n"/>
      <c r="E3" s="987" t="n"/>
      <c r="F3" s="988" t="n"/>
      <c r="G3" s="1159" t="inlineStr">
        <is>
          <t>2007-08</t>
        </is>
      </c>
      <c r="H3" s="986" t="n"/>
      <c r="I3" s="986" t="n"/>
      <c r="J3" s="987" t="n"/>
      <c r="K3" s="988" t="n"/>
      <c r="L3" s="1160" t="inlineStr">
        <is>
          <t>2008-09</t>
        </is>
      </c>
      <c r="M3" s="986" t="n"/>
      <c r="N3" s="986" t="n"/>
      <c r="O3" s="987" t="n"/>
      <c r="P3" s="988" t="n"/>
      <c r="Q3" s="1159" t="inlineStr">
        <is>
          <t>2009-10</t>
        </is>
      </c>
      <c r="R3" s="986" t="n"/>
      <c r="S3" s="986" t="n"/>
      <c r="T3" s="987" t="n"/>
      <c r="U3" s="988" t="n"/>
      <c r="V3" s="988" t="n"/>
      <c r="W3" s="970" t="n"/>
      <c r="X3" s="970" t="n"/>
      <c r="Y3" s="970" t="n"/>
    </row>
    <row r="4" ht="14.25" customHeight="1" s="850">
      <c r="B4" s="990" t="inlineStr">
        <is>
          <t>APR - JUN</t>
        </is>
      </c>
      <c r="C4" s="991" t="inlineStr">
        <is>
          <t>JUL - SEPT</t>
        </is>
      </c>
      <c r="D4" s="991" t="inlineStr">
        <is>
          <t>OCT - DEC</t>
        </is>
      </c>
      <c r="E4" s="991" t="inlineStr">
        <is>
          <t>JAN - MAR</t>
        </is>
      </c>
      <c r="F4" s="1161" t="inlineStr">
        <is>
          <t xml:space="preserve">31st MAR '07 </t>
        </is>
      </c>
      <c r="G4" s="991" t="inlineStr">
        <is>
          <t>APR - JUN</t>
        </is>
      </c>
      <c r="H4" s="991" t="inlineStr">
        <is>
          <t>JUL - SEPT</t>
        </is>
      </c>
      <c r="I4" s="991" t="inlineStr">
        <is>
          <t>OCT - DEC</t>
        </is>
      </c>
      <c r="J4" s="991" t="inlineStr">
        <is>
          <t>JAN - MAR</t>
        </is>
      </c>
      <c r="K4" s="1161" t="inlineStr">
        <is>
          <t xml:space="preserve">31st MAR '07 </t>
        </is>
      </c>
      <c r="L4" s="991" t="inlineStr">
        <is>
          <t>APR - JUN</t>
        </is>
      </c>
      <c r="M4" s="991" t="inlineStr">
        <is>
          <t>JUL - SEPT</t>
        </is>
      </c>
      <c r="N4" s="991" t="inlineStr">
        <is>
          <t>OCT - DEC</t>
        </is>
      </c>
      <c r="O4" s="991" t="inlineStr">
        <is>
          <t>JAN - MAR</t>
        </is>
      </c>
      <c r="P4" s="1161" t="inlineStr">
        <is>
          <t xml:space="preserve">31st MAR '07 </t>
        </is>
      </c>
      <c r="Q4" s="991" t="inlineStr">
        <is>
          <t>APR - JUN</t>
        </is>
      </c>
      <c r="R4" s="991" t="inlineStr">
        <is>
          <t>JUL - SEPT</t>
        </is>
      </c>
      <c r="S4" s="991" t="inlineStr">
        <is>
          <t>OCT - DEC</t>
        </is>
      </c>
      <c r="T4" s="991" t="inlineStr">
        <is>
          <t>JAN - MAR</t>
        </is>
      </c>
      <c r="U4" s="1161" t="inlineStr">
        <is>
          <t xml:space="preserve">31st MAR '10 </t>
        </is>
      </c>
      <c r="V4" s="1161" t="inlineStr">
        <is>
          <t xml:space="preserve">31st MAR '11 </t>
        </is>
      </c>
      <c r="W4" s="1161" t="inlineStr">
        <is>
          <t xml:space="preserve">31st MAR '11 </t>
        </is>
      </c>
      <c r="X4" s="1161" t="inlineStr">
        <is>
          <t xml:space="preserve">31st MAR '11 </t>
        </is>
      </c>
      <c r="Y4" s="1162" t="inlineStr">
        <is>
          <t xml:space="preserve">31st MAR '11 </t>
        </is>
      </c>
    </row>
    <row r="5" ht="14.25" customFormat="1" customHeight="1" s="970">
      <c r="A5" s="970" t="n"/>
      <c r="B5" s="995" t="inlineStr">
        <is>
          <t xml:space="preserve">Q1 2006 </t>
        </is>
      </c>
      <c r="C5" s="996" t="inlineStr">
        <is>
          <t xml:space="preserve">Q2 2006 </t>
        </is>
      </c>
      <c r="D5" s="996" t="inlineStr">
        <is>
          <t xml:space="preserve">Q3 2006 </t>
        </is>
      </c>
      <c r="E5" s="996" t="inlineStr">
        <is>
          <t xml:space="preserve">Q4 2007 </t>
        </is>
      </c>
      <c r="F5" s="1163" t="inlineStr">
        <is>
          <t>2006-07A</t>
        </is>
      </c>
      <c r="G5" s="996" t="inlineStr">
        <is>
          <t xml:space="preserve">Q1 2007 </t>
        </is>
      </c>
      <c r="H5" s="996" t="inlineStr">
        <is>
          <t>Q2 2007</t>
        </is>
      </c>
      <c r="I5" s="996" t="inlineStr">
        <is>
          <t>Q3 2007</t>
        </is>
      </c>
      <c r="J5" s="996" t="inlineStr">
        <is>
          <t>Q4 2008</t>
        </is>
      </c>
      <c r="K5" s="1163" t="inlineStr">
        <is>
          <t>2007-08A</t>
        </is>
      </c>
      <c r="L5" s="996" t="inlineStr">
        <is>
          <t xml:space="preserve">Q1 2008 </t>
        </is>
      </c>
      <c r="M5" s="996" t="inlineStr">
        <is>
          <t>Q2 2008</t>
        </is>
      </c>
      <c r="N5" s="996" t="inlineStr">
        <is>
          <t>Q3 2008</t>
        </is>
      </c>
      <c r="O5" s="996" t="inlineStr">
        <is>
          <t>Q4 2009</t>
        </is>
      </c>
      <c r="P5" s="1163" t="inlineStr">
        <is>
          <t>2008-09A</t>
        </is>
      </c>
      <c r="Q5" s="996" t="inlineStr">
        <is>
          <t xml:space="preserve">Q1 2009 </t>
        </is>
      </c>
      <c r="R5" s="996" t="inlineStr">
        <is>
          <t>Q2 2009</t>
        </is>
      </c>
      <c r="S5" s="996" t="inlineStr">
        <is>
          <t>Q3 2009</t>
        </is>
      </c>
      <c r="T5" s="996" t="inlineStr">
        <is>
          <t>Q4 2010</t>
        </is>
      </c>
      <c r="U5" s="1163" t="inlineStr">
        <is>
          <t>2009-10E</t>
        </is>
      </c>
      <c r="V5" s="1163" t="inlineStr">
        <is>
          <t>2010-11E</t>
        </is>
      </c>
      <c r="W5" s="1163" t="inlineStr">
        <is>
          <t>2011-12E</t>
        </is>
      </c>
      <c r="X5" s="1164" t="inlineStr">
        <is>
          <t>2012-13E</t>
        </is>
      </c>
      <c r="Y5" s="1165" t="inlineStr">
        <is>
          <t>2013-14E</t>
        </is>
      </c>
    </row>
    <row r="6" ht="12" customFormat="1" customHeight="1" s="97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3.5" customFormat="1" customHeight="1" s="97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 customFormat="1" customHeight="1" s="970">
      <c r="A8" s="1006" t="inlineStr">
        <is>
          <t>Natural Gas Trading</t>
        </is>
      </c>
      <c r="B8" s="1007" t="n">
        <v>30766.59</v>
      </c>
      <c r="C8" s="1008" t="n">
        <v>29236.8</v>
      </c>
      <c r="D8" s="1008" t="n">
        <v>31494.1</v>
      </c>
      <c r="E8" s="1008" t="n">
        <v>29700.8</v>
      </c>
      <c r="F8" s="1009">
        <f>SUM(B8:E8)</f>
        <v/>
      </c>
      <c r="G8" s="1008" t="n">
        <v>30067.23</v>
      </c>
      <c r="H8" s="1008" t="n">
        <v>32486.93</v>
      </c>
      <c r="I8" s="1010" t="n">
        <v>31120.1</v>
      </c>
      <c r="J8" s="1008" t="n">
        <v>33801.6</v>
      </c>
      <c r="K8" s="1009">
        <f>SUM(G8:J8)</f>
        <v/>
      </c>
      <c r="L8" s="1010" t="n">
        <v>41192.8</v>
      </c>
      <c r="M8" s="1010" t="n">
        <v>44953.8</v>
      </c>
      <c r="N8" s="1010" t="n">
        <v>49507.4</v>
      </c>
      <c r="O8" s="1010" t="n">
        <v>47429.6</v>
      </c>
      <c r="P8" s="1011">
        <f>SUM(L8:O8)</f>
        <v/>
      </c>
      <c r="Q8" s="1012" t="n">
        <v>46417.1</v>
      </c>
      <c r="R8" s="1012" t="n">
        <v>49691.3</v>
      </c>
      <c r="S8" s="1012" t="n">
        <v>45274.4</v>
      </c>
      <c r="T8" s="1013">
        <f>U8-(Q8+R8+S8)</f>
        <v/>
      </c>
      <c r="U8" s="1166">
        <f>(U24+1)*P8</f>
        <v/>
      </c>
      <c r="V8" s="1167">
        <f>(V24+1)*U8</f>
        <v/>
      </c>
      <c r="W8" s="1168">
        <f>(W24+1)*V8</f>
        <v/>
      </c>
      <c r="X8" s="1168">
        <f>(X24+1)*W8</f>
        <v/>
      </c>
      <c r="Y8" s="1168">
        <f>(Y24+1)*X8</f>
        <v/>
      </c>
    </row>
    <row r="9" ht="12" customFormat="1" customHeight="1" s="970">
      <c r="A9" s="1006" t="inlineStr">
        <is>
          <t>Transmission Services - Natural Gas</t>
        </is>
      </c>
      <c r="B9" s="1017" t="n">
        <v>5008.51</v>
      </c>
      <c r="C9" s="1018" t="n">
        <v>4971.7</v>
      </c>
      <c r="D9" s="1018" t="n">
        <v>6412.5</v>
      </c>
      <c r="E9" s="1019" t="n">
        <v>4761.8</v>
      </c>
      <c r="F9" s="1020">
        <f>SUM(B9:E9)</f>
        <v/>
      </c>
      <c r="G9" s="1019" t="n">
        <v>4894.67</v>
      </c>
      <c r="H9" s="1019" t="n">
        <v>5288.57</v>
      </c>
      <c r="I9" s="1019" t="n">
        <v>6021.6</v>
      </c>
      <c r="J9" s="1019" t="n">
        <v>5761.5</v>
      </c>
      <c r="K9" s="1020">
        <f>SUM(G9:J9)</f>
        <v/>
      </c>
      <c r="L9" s="1019" t="n">
        <v>6213.8</v>
      </c>
      <c r="M9" s="1019" t="n">
        <v>6215</v>
      </c>
      <c r="N9" s="1019" t="n">
        <v>6140.9</v>
      </c>
      <c r="O9" s="1010" t="n">
        <v>6511</v>
      </c>
      <c r="P9" s="1020">
        <f>SUM(L9:O9)</f>
        <v/>
      </c>
      <c r="Q9" s="1010" t="n">
        <v>7331.5</v>
      </c>
      <c r="R9" s="1019" t="n">
        <v>8429.5</v>
      </c>
      <c r="S9" s="1019" t="n">
        <v>8527.799999999999</v>
      </c>
      <c r="T9" s="1021">
        <f>U9-(Q9+R9+S9)</f>
        <v/>
      </c>
      <c r="U9" s="1169">
        <f>(U25+1)*P9</f>
        <v/>
      </c>
      <c r="V9" s="1170">
        <f>(V25+1)*U9</f>
        <v/>
      </c>
      <c r="W9" s="1171">
        <f>(W25+1)*V9</f>
        <v/>
      </c>
      <c r="X9" s="1171">
        <f>(X25+1)*W9</f>
        <v/>
      </c>
      <c r="Y9" s="1171">
        <f>(Y25+1)*X9</f>
        <v/>
      </c>
    </row>
    <row r="10" ht="12" customFormat="1" customHeight="1" s="970">
      <c r="A10" s="1006" t="inlineStr">
        <is>
          <t>Petrochemicals</t>
        </is>
      </c>
      <c r="B10" s="1017" t="n">
        <v>5502.8</v>
      </c>
      <c r="C10" s="1018" t="n">
        <v>5455.6</v>
      </c>
      <c r="D10" s="1018" t="n">
        <v>7306</v>
      </c>
      <c r="E10" s="1019" t="n">
        <v>7437.2</v>
      </c>
      <c r="F10" s="1020">
        <f>SUM(B10:E10)</f>
        <v/>
      </c>
      <c r="G10" s="1019" t="n">
        <v>7783.9</v>
      </c>
      <c r="H10" s="1019" t="n">
        <v>6402.2</v>
      </c>
      <c r="I10" s="1019" t="n">
        <v>5378.1</v>
      </c>
      <c r="J10" s="1019" t="n">
        <v>7467</v>
      </c>
      <c r="K10" s="1020">
        <f>SUM(G10:J10)</f>
        <v/>
      </c>
      <c r="L10" s="1019" t="n">
        <v>8007.9</v>
      </c>
      <c r="M10" s="1019" t="n">
        <v>6287.3</v>
      </c>
      <c r="N10" s="1019" t="n">
        <v>6226.8</v>
      </c>
      <c r="O10" s="1019" t="n">
        <v>6813.3</v>
      </c>
      <c r="P10" s="1020">
        <f>SUM(L10:O10)</f>
        <v/>
      </c>
      <c r="Q10" s="1019" t="n">
        <v>6225.7</v>
      </c>
      <c r="R10" s="1019" t="n">
        <v>6156.6</v>
      </c>
      <c r="S10" s="1019" t="n">
        <v>7927.1</v>
      </c>
      <c r="T10" s="1021">
        <f>U10-(Q10+R10+S10)</f>
        <v/>
      </c>
      <c r="U10" s="1172">
        <f>(U26+1)*P10</f>
        <v/>
      </c>
      <c r="V10" s="1170">
        <f>(V26+1)*U10</f>
        <v/>
      </c>
      <c r="W10" s="1171">
        <f>(W26+1)*V10</f>
        <v/>
      </c>
      <c r="X10" s="1171">
        <f>(X26+1)*W10</f>
        <v/>
      </c>
      <c r="Y10" s="1171">
        <f>(Y26+1)*X10</f>
        <v/>
      </c>
    </row>
    <row r="11" ht="12" customFormat="1" customHeight="1" s="970">
      <c r="A11" s="1006" t="inlineStr">
        <is>
          <t>LPG &amp; Liquid Hydrocarbons</t>
        </is>
      </c>
      <c r="B11" s="1017" t="n">
        <v>6406.2</v>
      </c>
      <c r="C11" s="1018" t="n">
        <v>4219.1</v>
      </c>
      <c r="D11" s="1018" t="n">
        <v>6261.1</v>
      </c>
      <c r="E11" s="1019" t="n">
        <v>4332.1</v>
      </c>
      <c r="F11" s="1020">
        <f>SUM(B11:E11)</f>
        <v/>
      </c>
      <c r="G11" s="1019" t="n">
        <v>6751.5</v>
      </c>
      <c r="H11" s="1019" t="n">
        <v>7033.3</v>
      </c>
      <c r="I11" s="1019" t="n">
        <v>5278.3</v>
      </c>
      <c r="J11" s="1019" t="n">
        <v>7897.8</v>
      </c>
      <c r="K11" s="1020">
        <f>SUM(G11:J11)</f>
        <v/>
      </c>
      <c r="L11" s="1019" t="n">
        <v>7997</v>
      </c>
      <c r="M11" s="1019" t="n">
        <v>10902.1</v>
      </c>
      <c r="N11" s="1019" t="n">
        <v>3329.9</v>
      </c>
      <c r="O11" s="1019" t="n">
        <v>7671.4</v>
      </c>
      <c r="P11" s="1020">
        <f>SUM(L11:O11)</f>
        <v/>
      </c>
      <c r="Q11" s="1019" t="n">
        <v>6839</v>
      </c>
      <c r="R11" s="1019" t="n">
        <v>5150.9</v>
      </c>
      <c r="S11" s="1019" t="n">
        <v>7102.6</v>
      </c>
      <c r="T11" s="1021">
        <f>U11-(Q11+R11+S11)</f>
        <v/>
      </c>
      <c r="U11" s="1172">
        <f>(U27+1)*P11</f>
        <v/>
      </c>
      <c r="V11" s="1170">
        <f>(V27+1)*U11</f>
        <v/>
      </c>
      <c r="W11" s="1171">
        <f>(W27+1)*V11</f>
        <v/>
      </c>
      <c r="X11" s="1171">
        <f>(X27+1)*W11</f>
        <v/>
      </c>
      <c r="Y11" s="1171">
        <f>(Y27+1)*X11</f>
        <v/>
      </c>
    </row>
    <row r="12" ht="12" customFormat="1" customHeight="1" s="970">
      <c r="A12" s="1006" t="inlineStr">
        <is>
          <t>Transmission Services - LPG</t>
        </is>
      </c>
      <c r="B12" s="1017" t="n">
        <v>714.9</v>
      </c>
      <c r="C12" s="1018" t="n">
        <v>816</v>
      </c>
      <c r="D12" s="1018" t="n">
        <v>993.7</v>
      </c>
      <c r="E12" s="1019" t="n">
        <v>915</v>
      </c>
      <c r="F12" s="1020">
        <f>SUM(B12:E12)</f>
        <v/>
      </c>
      <c r="G12" s="1019" t="n">
        <v>922.5</v>
      </c>
      <c r="H12" s="1019" t="n">
        <v>896</v>
      </c>
      <c r="I12" s="1019" t="n">
        <v>995.5</v>
      </c>
      <c r="J12" s="1019" t="n">
        <v>1079.1</v>
      </c>
      <c r="K12" s="1020">
        <f>SUM(G12:J12)</f>
        <v/>
      </c>
      <c r="L12" s="1019" t="n">
        <v>855.4</v>
      </c>
      <c r="M12" s="1019" t="n">
        <v>905.9</v>
      </c>
      <c r="N12" s="1019" t="n">
        <v>1064.9</v>
      </c>
      <c r="O12" s="1019" t="n">
        <v>992.4</v>
      </c>
      <c r="P12" s="1020">
        <f>SUM(L12:O12)</f>
        <v/>
      </c>
      <c r="Q12" s="1019" t="n">
        <v>1057.3</v>
      </c>
      <c r="R12" s="1019" t="n">
        <v>1029.3</v>
      </c>
      <c r="S12" s="1019" t="n">
        <v>1160.6</v>
      </c>
      <c r="T12" s="1021">
        <f>U12-(Q12+R12+S12)</f>
        <v/>
      </c>
      <c r="U12" s="1169">
        <f>(U28+1)*3819</f>
        <v/>
      </c>
      <c r="V12" s="1170">
        <f>(V28+1)*U12</f>
        <v/>
      </c>
      <c r="W12" s="1171">
        <f>(W28+1)*V12</f>
        <v/>
      </c>
      <c r="X12" s="1171">
        <f>(X28+1)*W12</f>
        <v/>
      </c>
      <c r="Y12" s="1171">
        <f>(Y28+1)*X12</f>
        <v/>
      </c>
    </row>
    <row r="13" ht="12" customFormat="1" customHeight="1" s="970">
      <c r="A13" s="1006" t="inlineStr">
        <is>
          <t>Gailtel</t>
        </is>
      </c>
      <c r="B13" s="1026" t="n">
        <v>50.8</v>
      </c>
      <c r="C13" s="1027" t="n">
        <v>62.7</v>
      </c>
      <c r="D13" s="1027" t="n">
        <v>70.7</v>
      </c>
      <c r="E13" s="1028" t="n">
        <v>69.40000000000001</v>
      </c>
      <c r="F13" s="1029">
        <f>SUM(B13:E13)</f>
        <v/>
      </c>
      <c r="G13" s="1028" t="n">
        <v>67.09999999999999</v>
      </c>
      <c r="H13" s="1028" t="n">
        <v>76.40000000000001</v>
      </c>
      <c r="I13" s="1028" t="n">
        <v>70.3</v>
      </c>
      <c r="J13" s="1028" t="n">
        <v>71.7</v>
      </c>
      <c r="K13" s="1030">
        <f>SUM(G13:J13)</f>
        <v/>
      </c>
      <c r="L13" s="1028" t="n">
        <v>65.3</v>
      </c>
      <c r="M13" s="1028" t="n">
        <v>65.40000000000001</v>
      </c>
      <c r="N13" s="1028" t="n">
        <v>63.5</v>
      </c>
      <c r="O13" s="1028" t="n">
        <v>49.1</v>
      </c>
      <c r="P13" s="1030">
        <f>SUM(L13:O13)</f>
        <v/>
      </c>
      <c r="Q13" s="1028" t="n">
        <v>37.8</v>
      </c>
      <c r="R13" s="1028" t="n">
        <v>34.2</v>
      </c>
      <c r="S13" s="1028" t="n">
        <v>28.5</v>
      </c>
      <c r="T13" s="1021">
        <f>U13-(Q13+R13+S13)</f>
        <v/>
      </c>
      <c r="U13" s="1172">
        <f>(U29+1)*P13</f>
        <v/>
      </c>
      <c r="V13" s="1170">
        <f>(V29+1)*U13</f>
        <v/>
      </c>
      <c r="W13" s="1171">
        <f>(W29+1)*V13</f>
        <v/>
      </c>
      <c r="X13" s="1171">
        <f>(X29+1)*W13</f>
        <v/>
      </c>
      <c r="Y13" s="1171">
        <f>(Y29+1)*X13</f>
        <v/>
      </c>
    </row>
    <row r="14" ht="12" customFormat="1" customHeight="1" s="970">
      <c r="A14" s="1006" t="inlineStr">
        <is>
          <t>Others</t>
        </is>
      </c>
      <c r="B14" s="1017" t="n">
        <v>742.1</v>
      </c>
      <c r="C14" s="1018" t="n">
        <v>1607</v>
      </c>
      <c r="D14" s="1018" t="n">
        <v>1764.2</v>
      </c>
      <c r="E14" s="1019" t="n">
        <v>983.8</v>
      </c>
      <c r="F14" s="1020">
        <f>SUM(B14:E14)</f>
        <v/>
      </c>
      <c r="G14" s="1019" t="n">
        <v>806</v>
      </c>
      <c r="H14" s="1019" t="n">
        <v>1636.1</v>
      </c>
      <c r="I14" s="1019" t="n">
        <v>1571.4</v>
      </c>
      <c r="J14" s="1019" t="n">
        <v>1054.6</v>
      </c>
      <c r="K14" s="1020">
        <f>SUM(G14:J14)</f>
        <v/>
      </c>
      <c r="L14" s="1019" t="n">
        <v>1231.1</v>
      </c>
      <c r="M14" s="1019" t="n">
        <v>1929.3</v>
      </c>
      <c r="N14" s="1019" t="n">
        <v>2526.2</v>
      </c>
      <c r="O14" s="1019" t="n">
        <v>62.8</v>
      </c>
      <c r="P14" s="1020">
        <f>SUM(L14:O14)</f>
        <v/>
      </c>
      <c r="Q14" s="1019" t="n">
        <v>100.4</v>
      </c>
      <c r="R14" s="1019" t="n">
        <v>142.1</v>
      </c>
      <c r="S14" s="1019" t="n">
        <v>136.8</v>
      </c>
      <c r="T14" s="1021">
        <f>U14-(Q14+R14+S14)</f>
        <v/>
      </c>
      <c r="U14" s="1172">
        <f>(U30+1)*P14</f>
        <v/>
      </c>
      <c r="V14" s="1170">
        <f>(V30+1)*U14</f>
        <v/>
      </c>
      <c r="W14" s="1171">
        <f>(W30+1)*V14</f>
        <v/>
      </c>
      <c r="X14" s="1171">
        <f>(X30+1)*W14</f>
        <v/>
      </c>
      <c r="Y14" s="1171">
        <f>(Y30+1)*X14</f>
        <v/>
      </c>
    </row>
    <row r="15" ht="12" customFormat="1" customHeight="1" s="970">
      <c r="A15" s="1031" t="inlineStr">
        <is>
          <t>Total</t>
        </is>
      </c>
      <c r="B15" s="1032">
        <f>SUM(B8:B14)</f>
        <v/>
      </c>
      <c r="C15" s="1033">
        <f>SUM(C8:C14)</f>
        <v/>
      </c>
      <c r="D15" s="1034">
        <f>SUM(D8:D14)</f>
        <v/>
      </c>
      <c r="E15" s="1035">
        <f>SUM(E8:E14)</f>
        <v/>
      </c>
      <c r="F15" s="1036">
        <f>F8+F9+F10+F11+F12+F13+F14</f>
        <v/>
      </c>
      <c r="G15" s="1035">
        <f>SUM(G8:G14)</f>
        <v/>
      </c>
      <c r="H15" s="1035">
        <f>SUM(H8:H14)</f>
        <v/>
      </c>
      <c r="I15" s="1037">
        <f>SUM(I8:I14)</f>
        <v/>
      </c>
      <c r="J15" s="1035">
        <f>SUM(J8:J14)</f>
        <v/>
      </c>
      <c r="K15" s="1038">
        <f>K8+K9+K10+K11+K12+K13+K14</f>
        <v/>
      </c>
      <c r="L15" s="1039">
        <f>SUM(L8:L14)</f>
        <v/>
      </c>
      <c r="M15" s="1039">
        <f>SUM(M8:M14)</f>
        <v/>
      </c>
      <c r="N15" s="1039">
        <f>SUM(N8:N14)</f>
        <v/>
      </c>
      <c r="O15" s="1039">
        <f>SUM(O8:O14)</f>
        <v/>
      </c>
      <c r="P15" s="1038">
        <f>P8+P9+P10+P11+P12+P13+P14</f>
        <v/>
      </c>
      <c r="Q15" s="1040">
        <f>SUM(Q8:Q14)</f>
        <v/>
      </c>
      <c r="R15" s="1040">
        <f>SUM(R8:R14)</f>
        <v/>
      </c>
      <c r="S15" s="1040">
        <f>SUM(S8:S14)</f>
        <v/>
      </c>
      <c r="T15" s="1041">
        <f>SUM(T8:T14)</f>
        <v/>
      </c>
      <c r="U15" s="1173">
        <f>Q15+R15+S15+T15</f>
        <v/>
      </c>
      <c r="V15" s="1174">
        <f>SUM(V8:V14)</f>
        <v/>
      </c>
      <c r="W15" s="1175">
        <f>(W31+1)*V15</f>
        <v/>
      </c>
      <c r="X15" s="1175">
        <f>(X31+1)*W15</f>
        <v/>
      </c>
      <c r="Y15" s="1175">
        <f>(Y31+1)*X15</f>
        <v/>
      </c>
    </row>
    <row r="16" ht="12" customFormat="1" customHeight="1" s="970">
      <c r="A16" s="1006" t="inlineStr">
        <is>
          <t>Less: Inter Segment Revenue</t>
        </is>
      </c>
      <c r="B16" s="1017" t="n">
        <v>6519.3</v>
      </c>
      <c r="C16" s="1018" t="n">
        <v>6513.1</v>
      </c>
      <c r="D16" s="1018" t="n">
        <v>7278.5</v>
      </c>
      <c r="E16" s="1019" t="n">
        <v>6844.3</v>
      </c>
      <c r="F16" s="1020">
        <f>SUM(B16:E16)</f>
        <v/>
      </c>
      <c r="G16" s="1019" t="n">
        <v>6452.1</v>
      </c>
      <c r="H16" s="1019" t="n">
        <v>6724.5</v>
      </c>
      <c r="I16" s="1019" t="n">
        <v>5603.8</v>
      </c>
      <c r="J16" s="1019" t="n">
        <v>6783.8</v>
      </c>
      <c r="K16" s="1020" t="n">
        <v>8245</v>
      </c>
      <c r="L16" s="1019" t="n">
        <v>7108.5</v>
      </c>
      <c r="M16" s="1019" t="n">
        <v>7676.8</v>
      </c>
      <c r="N16" s="1019" t="n">
        <v>8391.5</v>
      </c>
      <c r="O16" s="1019" t="n">
        <v>8486.5</v>
      </c>
      <c r="P16" s="1020">
        <f>SUM(L16:O16)</f>
        <v/>
      </c>
      <c r="Q16" s="1019" t="n">
        <v>-7794.6</v>
      </c>
      <c r="R16" s="1019" t="n">
        <v>-8612.1</v>
      </c>
      <c r="S16" s="1019" t="n">
        <v>-8279.4</v>
      </c>
      <c r="T16" s="1021" t="n">
        <v>35175.2</v>
      </c>
      <c r="U16" s="1176">
        <f>SUM(Q16:T16)</f>
        <v/>
      </c>
      <c r="V16" s="1170">
        <f>(V32+1)*U16</f>
        <v/>
      </c>
      <c r="W16" s="1171">
        <f>(W32+1)*V16</f>
        <v/>
      </c>
      <c r="X16" s="1171">
        <f>(X32+1)*W16</f>
        <v/>
      </c>
      <c r="Y16" s="1171">
        <f>(Y32+1)*X16</f>
        <v/>
      </c>
    </row>
    <row r="17" ht="12.75" customFormat="1" customHeight="1" s="970">
      <c r="A17" s="1046" t="inlineStr">
        <is>
          <t>Net sales/income from Operations</t>
        </is>
      </c>
      <c r="B17" s="1047">
        <f>B15-B16</f>
        <v/>
      </c>
      <c r="C17" s="1048">
        <f>C15-C16</f>
        <v/>
      </c>
      <c r="D17" s="1048">
        <f>D15-D16</f>
        <v/>
      </c>
      <c r="E17" s="1049">
        <f>E15-E16</f>
        <v/>
      </c>
      <c r="F17" s="1050">
        <f>SUM(B17:E17)</f>
        <v/>
      </c>
      <c r="G17" s="1051">
        <f>G15-G16</f>
        <v/>
      </c>
      <c r="H17" s="1051">
        <f>H15-H16</f>
        <v/>
      </c>
      <c r="I17" s="1051">
        <f>I15-I16</f>
        <v/>
      </c>
      <c r="J17" s="1049">
        <f>J15-J16</f>
        <v/>
      </c>
      <c r="K17" s="1052">
        <f>K15-K16</f>
        <v/>
      </c>
      <c r="L17" s="1051">
        <f>L15-L16</f>
        <v/>
      </c>
      <c r="M17" s="1049">
        <f>M15-M16</f>
        <v/>
      </c>
      <c r="N17" s="1051">
        <f>N15-N16</f>
        <v/>
      </c>
      <c r="O17" s="1051">
        <f>O15-O16</f>
        <v/>
      </c>
      <c r="P17" s="1052">
        <f>P15-P16</f>
        <v/>
      </c>
      <c r="Q17" s="1051">
        <f>SUM(Q15:Q16)</f>
        <v/>
      </c>
      <c r="R17" s="1051">
        <f>SUM(R15:R16)</f>
        <v/>
      </c>
      <c r="S17" s="1051">
        <f>SUM(S15:S16)</f>
        <v/>
      </c>
      <c r="T17" s="1053">
        <f>T15-T16</f>
        <v/>
      </c>
      <c r="U17" s="1177">
        <f>U15-U16</f>
        <v/>
      </c>
      <c r="V17" s="1178">
        <f>V15-V16</f>
        <v/>
      </c>
      <c r="W17" s="1179">
        <f>W15-W16</f>
        <v/>
      </c>
      <c r="X17" s="1179">
        <f>X15-X16</f>
        <v/>
      </c>
      <c r="Y17" s="1179">
        <f>Y15-Y16</f>
        <v/>
      </c>
    </row>
    <row r="18" ht="12" customFormat="1" customHeight="1" s="97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1058" t="n"/>
      <c r="X18" s="1058" t="n"/>
      <c r="Y18" s="1058" t="n"/>
    </row>
    <row r="19" ht="11.25" customFormat="1" customHeight="1" s="970">
      <c r="A19" s="970" t="n"/>
      <c r="B19" s="1180" t="n"/>
      <c r="C19" s="1180" t="n"/>
      <c r="D19" s="1180" t="n"/>
      <c r="E19" s="1180" t="n"/>
      <c r="F19" s="1180" t="n"/>
      <c r="G19" s="1180" t="n"/>
      <c r="H19" s="1180" t="n"/>
      <c r="I19" s="1180" t="n"/>
      <c r="J19" s="1180" t="n"/>
      <c r="K19" s="1180" t="n"/>
      <c r="L19" s="1180" t="n"/>
      <c r="M19" s="1180" t="n"/>
      <c r="N19" s="1180" t="n"/>
      <c r="O19" s="1180" t="n"/>
      <c r="P19" s="1180" t="n"/>
      <c r="Q19" s="1180" t="n"/>
      <c r="R19" s="1180" t="n"/>
      <c r="S19" s="1180" t="n"/>
      <c r="T19" s="1180" t="n"/>
      <c r="U19" s="1180" t="n"/>
      <c r="V19" s="1180" t="n"/>
      <c r="W19" s="1180" t="n"/>
      <c r="X19" s="1180" t="n"/>
      <c r="Y19" s="1180" t="n"/>
    </row>
    <row r="20" ht="11.25" customFormat="1" customHeight="1" s="970">
      <c r="A20" s="970" t="n"/>
      <c r="B20" s="1180" t="n"/>
      <c r="C20" s="1180" t="n"/>
      <c r="D20" s="1180" t="n"/>
      <c r="E20" s="1180" t="n"/>
      <c r="F20" s="1180" t="n"/>
      <c r="G20" s="1180" t="n"/>
      <c r="H20" s="1180" t="n"/>
      <c r="I20" s="1180" t="n"/>
      <c r="J20" s="1180" t="n"/>
      <c r="K20" s="1180" t="n"/>
      <c r="L20" s="1180" t="n"/>
      <c r="M20" s="1180" t="n"/>
      <c r="N20" s="1180" t="n"/>
      <c r="O20" s="1180" t="n"/>
      <c r="P20" s="1180" t="n"/>
      <c r="Q20" s="1180" t="n"/>
      <c r="R20" s="1180" t="n"/>
      <c r="S20" s="1180" t="n"/>
      <c r="T20" s="1180" t="n"/>
      <c r="U20" s="1180" t="n"/>
      <c r="V20" s="1180" t="n"/>
      <c r="W20" s="1180" t="n"/>
      <c r="X20" s="1180" t="n"/>
      <c r="Y20" s="1180" t="n"/>
    </row>
    <row r="21" ht="11.25" customFormat="1" customHeight="1" s="970">
      <c r="A21" s="970" t="n"/>
      <c r="B21" s="970" t="n"/>
      <c r="C21" s="970" t="n"/>
      <c r="D21" s="970" t="n"/>
      <c r="E21" s="970" t="n"/>
      <c r="F21" s="970" t="n"/>
      <c r="G21" s="970" t="n"/>
      <c r="H21" s="970" t="n"/>
      <c r="I21" s="970" t="n"/>
      <c r="J21" s="970" t="n"/>
      <c r="K21" s="970" t="n"/>
      <c r="L21" s="970" t="n"/>
      <c r="M21" s="970" t="n"/>
      <c r="N21" s="970" t="n"/>
      <c r="O21" s="970" t="n"/>
      <c r="P21" s="970" t="n"/>
      <c r="Q21" s="970" t="n"/>
      <c r="R21" s="970" t="n"/>
      <c r="S21" s="970" t="n"/>
      <c r="T21" s="970" t="n"/>
      <c r="U21" s="970" t="n"/>
      <c r="V21" s="970" t="n"/>
      <c r="W21" s="970" t="n"/>
      <c r="X21" s="970" t="n"/>
      <c r="Y21" s="970" t="n"/>
    </row>
    <row r="22" ht="12.75" customFormat="1" customHeight="1" s="970">
      <c r="A22" s="1181" t="inlineStr">
        <is>
          <t>Y/Y (%) Growth</t>
        </is>
      </c>
      <c r="B22" s="891" t="n"/>
      <c r="C22" s="891" t="n"/>
      <c r="D22" s="891" t="n"/>
      <c r="E22" s="891" t="n"/>
      <c r="F22" s="891" t="n"/>
      <c r="G22" s="891" t="n"/>
      <c r="H22" s="891" t="n"/>
      <c r="I22" s="891" t="n"/>
      <c r="J22" s="891" t="n"/>
      <c r="K22" s="891" t="n"/>
      <c r="L22" s="891" t="n"/>
      <c r="M22" s="891" t="n"/>
      <c r="N22" s="891" t="n"/>
      <c r="O22" s="891" t="n"/>
      <c r="P22" s="891" t="n"/>
      <c r="Q22" s="891" t="n"/>
      <c r="R22" s="891" t="n"/>
      <c r="S22" s="891" t="n"/>
      <c r="T22" s="891" t="n"/>
      <c r="U22" s="891" t="n"/>
      <c r="V22" s="891" t="n"/>
      <c r="W22" s="891" t="n"/>
      <c r="X22" s="891" t="n"/>
      <c r="Y22" s="891" t="n"/>
    </row>
    <row r="23" ht="12" customFormat="1" customHeight="1" s="970">
      <c r="A23" s="1182" t="n"/>
      <c r="B23" s="970" t="n"/>
      <c r="C23" s="970" t="n"/>
      <c r="D23" s="970" t="n"/>
      <c r="E23" s="970" t="n"/>
      <c r="F23" s="970" t="n"/>
      <c r="G23" s="970" t="n"/>
      <c r="H23" s="970" t="n"/>
      <c r="I23" s="970" t="n"/>
      <c r="J23" s="970" t="n"/>
      <c r="K23" s="970" t="n"/>
      <c r="L23" s="970" t="n"/>
      <c r="M23" s="970" t="n"/>
      <c r="N23" s="970" t="n"/>
      <c r="O23" s="970" t="n"/>
      <c r="P23" s="970" t="n"/>
      <c r="Q23" s="970" t="n"/>
      <c r="R23" s="970" t="n"/>
      <c r="S23" s="970" t="n"/>
      <c r="T23" s="970" t="n"/>
      <c r="U23" s="970" t="n"/>
      <c r="V23" s="970" t="n"/>
      <c r="W23" s="970" t="n"/>
      <c r="X23" s="970" t="n"/>
      <c r="Y23" s="970" t="n"/>
    </row>
    <row r="24" ht="12" customFormat="1" customHeight="1" s="970">
      <c r="A24" s="1006" t="inlineStr">
        <is>
          <t>Natural Gas Trading</t>
        </is>
      </c>
      <c r="B24" s="1183" t="n"/>
      <c r="C24" s="1184" t="n"/>
      <c r="D24" s="1184" t="n"/>
      <c r="E24" s="1184" t="n"/>
      <c r="F24" s="1185" t="n"/>
      <c r="G24" s="1186">
        <f>G8/B8-1</f>
        <v/>
      </c>
      <c r="H24" s="1186">
        <f>H8/C8-1</f>
        <v/>
      </c>
      <c r="I24" s="1186">
        <f>I8/D8-1</f>
        <v/>
      </c>
      <c r="J24" s="1186">
        <f>J8/E8-1</f>
        <v/>
      </c>
      <c r="K24" s="1187">
        <f>K8/F8-1</f>
        <v/>
      </c>
      <c r="L24" s="1186">
        <f>L8/G8-1</f>
        <v/>
      </c>
      <c r="M24" s="1186">
        <f>M8/H8-1</f>
        <v/>
      </c>
      <c r="N24" s="1186">
        <f>N8/I8-1</f>
        <v/>
      </c>
      <c r="O24" s="1186">
        <f>O8/J8-1</f>
        <v/>
      </c>
      <c r="P24" s="1187">
        <f>P8/K8-1</f>
        <v/>
      </c>
      <c r="Q24" s="1188">
        <f>Q8/L8-1</f>
        <v/>
      </c>
      <c r="R24" s="1188">
        <f>R8/M8-1</f>
        <v/>
      </c>
      <c r="S24" s="1188">
        <f>S8/N8-1</f>
        <v/>
      </c>
      <c r="T24" s="1189">
        <f>T8/O8-1</f>
        <v/>
      </c>
      <c r="U24" s="1190" t="n">
        <v>0.12</v>
      </c>
      <c r="V24" s="1190" t="n">
        <v>0.2</v>
      </c>
      <c r="W24" s="1190" t="n">
        <v>0.2</v>
      </c>
      <c r="X24" s="1190" t="n">
        <v>0.25</v>
      </c>
      <c r="Y24" s="1190" t="n">
        <v>0.3</v>
      </c>
    </row>
    <row r="25" ht="12" customFormat="1" customHeight="1" s="970">
      <c r="A25" s="1006" t="inlineStr">
        <is>
          <t>Transmission Services - Natural Gas</t>
        </is>
      </c>
      <c r="B25" s="1191" t="n"/>
      <c r="C25" s="972" t="n"/>
      <c r="D25" s="972" t="n"/>
      <c r="E25" s="972" t="n"/>
      <c r="F25" s="1192" t="n"/>
      <c r="G25" s="1193">
        <f>G9/B9-1</f>
        <v/>
      </c>
      <c r="H25" s="1193">
        <f>H9/C9-1</f>
        <v/>
      </c>
      <c r="I25" s="1193">
        <f>I9/D9-1</f>
        <v/>
      </c>
      <c r="J25" s="1193">
        <f>J9/E9-1</f>
        <v/>
      </c>
      <c r="K25" s="1194">
        <f>K9/F9-1</f>
        <v/>
      </c>
      <c r="L25" s="1193">
        <f>L9/G9-1</f>
        <v/>
      </c>
      <c r="M25" s="1193">
        <f>M9/H9-1</f>
        <v/>
      </c>
      <c r="N25" s="1193">
        <f>N9/I9-1</f>
        <v/>
      </c>
      <c r="O25" s="1193">
        <f>O9/J9-1</f>
        <v/>
      </c>
      <c r="P25" s="1194">
        <f>P9/K9-1</f>
        <v/>
      </c>
      <c r="Q25" s="1195">
        <f>Q9/L9-1</f>
        <v/>
      </c>
      <c r="R25" s="1195">
        <f>R9/M9-1</f>
        <v/>
      </c>
      <c r="S25" s="1195">
        <f>S9/N9-1</f>
        <v/>
      </c>
      <c r="T25" s="1196">
        <f>T9/O9-1</f>
        <v/>
      </c>
      <c r="U25" s="1197" t="n">
        <v>0.39</v>
      </c>
      <c r="V25" s="1197" t="n">
        <v>0.3</v>
      </c>
      <c r="W25" s="1197" t="n">
        <v>0.35</v>
      </c>
      <c r="X25" s="1197" t="n">
        <v>0.35</v>
      </c>
      <c r="Y25" s="1197" t="n">
        <v>0.38</v>
      </c>
    </row>
    <row r="26" ht="12" customFormat="1" customHeight="1" s="970">
      <c r="A26" s="1006" t="inlineStr">
        <is>
          <t>Petrochemicals</t>
        </is>
      </c>
      <c r="B26" s="1191" t="n"/>
      <c r="C26" s="972" t="n"/>
      <c r="D26" s="972" t="n"/>
      <c r="E26" s="972" t="n"/>
      <c r="F26" s="1192" t="n"/>
      <c r="G26" s="1193">
        <f>G10/B10-1</f>
        <v/>
      </c>
      <c r="H26" s="1193">
        <f>H10/C10-1</f>
        <v/>
      </c>
      <c r="I26" s="1193">
        <f>I10/D10-1</f>
        <v/>
      </c>
      <c r="J26" s="1193">
        <f>J10/E10-1</f>
        <v/>
      </c>
      <c r="K26" s="1194">
        <f>K10/F10-1</f>
        <v/>
      </c>
      <c r="L26" s="1193">
        <f>L10/G10-1</f>
        <v/>
      </c>
      <c r="M26" s="1193">
        <f>M10/H10-1</f>
        <v/>
      </c>
      <c r="N26" s="1193">
        <f>N10/I10-1</f>
        <v/>
      </c>
      <c r="O26" s="1193">
        <f>O10/J10-1</f>
        <v/>
      </c>
      <c r="P26" s="1194">
        <f>P10/K10-1</f>
        <v/>
      </c>
      <c r="Q26" s="1195">
        <f>Q10/L10-1</f>
        <v/>
      </c>
      <c r="R26" s="1195">
        <f>R10/M10-1</f>
        <v/>
      </c>
      <c r="S26" s="1195">
        <f>S10/N10-1</f>
        <v/>
      </c>
      <c r="T26" s="1196">
        <f>T10/O10-1</f>
        <v/>
      </c>
      <c r="U26" s="1197" t="n">
        <v>0.0819</v>
      </c>
      <c r="V26" s="1197" t="n">
        <v>0.1</v>
      </c>
      <c r="W26" s="1197" t="n">
        <v>0.11</v>
      </c>
      <c r="X26" s="1197" t="n">
        <v>0.12</v>
      </c>
      <c r="Y26" s="1197" t="n">
        <v>0.14</v>
      </c>
    </row>
    <row r="27" ht="12" customFormat="1" customHeight="1" s="970">
      <c r="A27" s="1006" t="inlineStr">
        <is>
          <t>LPG &amp; Liquid Hydrocarbons</t>
        </is>
      </c>
      <c r="B27" s="1191" t="n"/>
      <c r="C27" s="972" t="n"/>
      <c r="D27" s="972" t="n"/>
      <c r="E27" s="972" t="n"/>
      <c r="F27" s="1192" t="n"/>
      <c r="G27" s="1193">
        <f>G11/B11-1</f>
        <v/>
      </c>
      <c r="H27" s="1193">
        <f>H11/C11-1</f>
        <v/>
      </c>
      <c r="I27" s="1193">
        <f>I11/D11-1</f>
        <v/>
      </c>
      <c r="J27" s="1193">
        <f>J11/E11-1</f>
        <v/>
      </c>
      <c r="K27" s="1194">
        <f>K11/F11-1</f>
        <v/>
      </c>
      <c r="L27" s="1193">
        <f>L11/G11-1</f>
        <v/>
      </c>
      <c r="M27" s="1193">
        <f>M11/H11-1</f>
        <v/>
      </c>
      <c r="N27" s="1193">
        <f>N11/I11-1</f>
        <v/>
      </c>
      <c r="O27" s="1193">
        <f>O11/J11-1</f>
        <v/>
      </c>
      <c r="P27" s="1194">
        <f>P11/K11-1</f>
        <v/>
      </c>
      <c r="Q27" s="1195">
        <f>Q11/L11-1</f>
        <v/>
      </c>
      <c r="R27" s="1195">
        <f>R11/M11-1</f>
        <v/>
      </c>
      <c r="S27" s="1195">
        <f>S11/N11-1</f>
        <v/>
      </c>
      <c r="T27" s="1196">
        <f>T11/O11-1</f>
        <v/>
      </c>
      <c r="U27" s="1197" t="n">
        <v>0.0032</v>
      </c>
      <c r="V27" s="1197" t="n">
        <v>0.2</v>
      </c>
      <c r="W27" s="1197" t="n">
        <v>0.15</v>
      </c>
      <c r="X27" s="1197" t="n">
        <v>0.2</v>
      </c>
      <c r="Y27" s="1197" t="n">
        <v>0.22</v>
      </c>
    </row>
    <row r="28" ht="12" customFormat="1" customHeight="1" s="970">
      <c r="A28" s="1006" t="inlineStr">
        <is>
          <t>Transmission Services - LPG</t>
        </is>
      </c>
      <c r="B28" s="1191" t="n"/>
      <c r="C28" s="972" t="n"/>
      <c r="D28" s="972" t="n"/>
      <c r="E28" s="972" t="n"/>
      <c r="F28" s="1192" t="n"/>
      <c r="G28" s="1193">
        <f>G12/B12-1</f>
        <v/>
      </c>
      <c r="H28" s="1193">
        <f>H12/C12-1</f>
        <v/>
      </c>
      <c r="I28" s="1193">
        <f>I12/D12-1</f>
        <v/>
      </c>
      <c r="J28" s="1193">
        <f>J12/E12-1</f>
        <v/>
      </c>
      <c r="K28" s="1194">
        <f>K12/F12-1</f>
        <v/>
      </c>
      <c r="L28" s="1193">
        <f>L12/G12-1</f>
        <v/>
      </c>
      <c r="M28" s="1193">
        <f>M12/H12-1</f>
        <v/>
      </c>
      <c r="N28" s="1193">
        <f>N12/I12-1</f>
        <v/>
      </c>
      <c r="O28" s="1193">
        <f>O12/J12-1</f>
        <v/>
      </c>
      <c r="P28" s="1194">
        <f>P12/K12-1</f>
        <v/>
      </c>
      <c r="Q28" s="1195">
        <f>Q12/L12-1</f>
        <v/>
      </c>
      <c r="R28" s="1195">
        <f>R12/M12-1</f>
        <v/>
      </c>
      <c r="S28" s="1195">
        <f>S12/N12-1</f>
        <v/>
      </c>
      <c r="T28" s="1196">
        <f>T12/O12-1</f>
        <v/>
      </c>
      <c r="U28" s="1197" t="n">
        <v>0.1412</v>
      </c>
      <c r="V28" s="1197" t="n">
        <v>0.15</v>
      </c>
      <c r="W28" s="1197" t="n">
        <v>0.16</v>
      </c>
      <c r="X28" s="1197" t="n">
        <v>0.18</v>
      </c>
      <c r="Y28" s="1197" t="n">
        <v>0.2</v>
      </c>
    </row>
    <row r="29" ht="12" customFormat="1" customHeight="1" s="970">
      <c r="A29" s="1006" t="inlineStr">
        <is>
          <t>Gailtel</t>
        </is>
      </c>
      <c r="B29" s="1191" t="n"/>
      <c r="C29" s="972" t="n"/>
      <c r="D29" s="972" t="n"/>
      <c r="E29" s="972" t="n"/>
      <c r="F29" s="1192" t="n"/>
      <c r="G29" s="1193">
        <f>G13/B13-1</f>
        <v/>
      </c>
      <c r="H29" s="1193">
        <f>H13/C13-1</f>
        <v/>
      </c>
      <c r="I29" s="1193">
        <f>I13/D13-1</f>
        <v/>
      </c>
      <c r="J29" s="1193">
        <f>J13/E13-1</f>
        <v/>
      </c>
      <c r="K29" s="1194">
        <f>K13/F13-1</f>
        <v/>
      </c>
      <c r="L29" s="1193">
        <f>L13/G13-1</f>
        <v/>
      </c>
      <c r="M29" s="1193">
        <f>M13/H13-1</f>
        <v/>
      </c>
      <c r="N29" s="1193">
        <f>N13/I13-1</f>
        <v/>
      </c>
      <c r="O29" s="1193">
        <f>O13/J13-1</f>
        <v/>
      </c>
      <c r="P29" s="1194">
        <f>P13/K13-1</f>
        <v/>
      </c>
      <c r="Q29" s="1195">
        <f>Q13/L13-1</f>
        <v/>
      </c>
      <c r="R29" s="1195">
        <f>R13/M13-1</f>
        <v/>
      </c>
      <c r="S29" s="1195">
        <f>S13/N13-1</f>
        <v/>
      </c>
      <c r="T29" s="1196">
        <f>T13/O13-1</f>
        <v/>
      </c>
      <c r="U29" s="1197" t="n">
        <v>-0.207</v>
      </c>
      <c r="V29" s="1197" t="n">
        <v>0.15</v>
      </c>
      <c r="W29" s="1197" t="n">
        <v>0.1</v>
      </c>
      <c r="X29" s="1197" t="n">
        <v>0.12</v>
      </c>
      <c r="Y29" s="1197" t="n">
        <v>0.13</v>
      </c>
    </row>
    <row r="30" ht="12" customFormat="1" customHeight="1" s="970">
      <c r="A30" s="1006" t="inlineStr">
        <is>
          <t>Others</t>
        </is>
      </c>
      <c r="B30" s="1191" t="n"/>
      <c r="C30" s="972" t="n"/>
      <c r="D30" s="972" t="n"/>
      <c r="E30" s="972" t="n"/>
      <c r="F30" s="1192" t="n"/>
      <c r="G30" s="1193">
        <f>G14/B14-1</f>
        <v/>
      </c>
      <c r="H30" s="1193">
        <f>H14/C14-1</f>
        <v/>
      </c>
      <c r="I30" s="1193">
        <f>I14/D14-1</f>
        <v/>
      </c>
      <c r="J30" s="1193">
        <f>J14/E14-1</f>
        <v/>
      </c>
      <c r="K30" s="1194">
        <f>K14/F14-1</f>
        <v/>
      </c>
      <c r="L30" s="1193">
        <f>L14/G14-1</f>
        <v/>
      </c>
      <c r="M30" s="1193">
        <f>M14/H14-1</f>
        <v/>
      </c>
      <c r="N30" s="1193">
        <f>N14/I14-1</f>
        <v/>
      </c>
      <c r="O30" s="1193">
        <f>O14/J14-1</f>
        <v/>
      </c>
      <c r="P30" s="1194">
        <f>P14/K14-1</f>
        <v/>
      </c>
      <c r="Q30" s="1195">
        <f>Q14/L14-1</f>
        <v/>
      </c>
      <c r="R30" s="1195">
        <f>R14/M14-1</f>
        <v/>
      </c>
      <c r="S30" s="1195">
        <f>S14/N14-1</f>
        <v/>
      </c>
      <c r="T30" s="1196">
        <f>T14/O14-1</f>
        <v/>
      </c>
      <c r="U30" s="1197" t="n">
        <v>-0.93</v>
      </c>
      <c r="V30" s="1197" t="n">
        <v>0.1</v>
      </c>
      <c r="W30" s="1197" t="n">
        <v>0.12</v>
      </c>
      <c r="X30" s="1197" t="n">
        <v>0.12</v>
      </c>
      <c r="Y30" s="1197" t="n">
        <v>0.14</v>
      </c>
    </row>
    <row r="31" ht="12" customFormat="1" customHeight="1" s="970">
      <c r="A31" s="1031" t="inlineStr">
        <is>
          <t>Total</t>
        </is>
      </c>
      <c r="B31" s="1198" t="n"/>
      <c r="C31" s="1199" t="n"/>
      <c r="D31" s="1199" t="n"/>
      <c r="E31" s="1199" t="n"/>
      <c r="F31" s="1200" t="n"/>
      <c r="G31" s="1201">
        <f>G15/B15-1</f>
        <v/>
      </c>
      <c r="H31" s="1201">
        <f>H15/C15-1</f>
        <v/>
      </c>
      <c r="I31" s="1201">
        <f>I15/D15-1</f>
        <v/>
      </c>
      <c r="J31" s="1201">
        <f>J15/E15-1</f>
        <v/>
      </c>
      <c r="K31" s="1202">
        <f>K15/F15-1</f>
        <v/>
      </c>
      <c r="L31" s="1201">
        <f>L15/G15-1</f>
        <v/>
      </c>
      <c r="M31" s="1201">
        <f>M15/H15-1</f>
        <v/>
      </c>
      <c r="N31" s="1201">
        <f>N15/I15-1</f>
        <v/>
      </c>
      <c r="O31" s="1201">
        <f>O15/J15-1</f>
        <v/>
      </c>
      <c r="P31" s="1202">
        <f>P15/K15-1</f>
        <v/>
      </c>
      <c r="Q31" s="1201">
        <f>Q15/L15-1</f>
        <v/>
      </c>
      <c r="R31" s="1201">
        <f>R15/M15-1</f>
        <v/>
      </c>
      <c r="S31" s="1201">
        <f>S15/N15-1</f>
        <v/>
      </c>
      <c r="T31" s="1203">
        <f>T15/O15-1</f>
        <v/>
      </c>
      <c r="U31" s="1204" t="n">
        <v>0.0245</v>
      </c>
      <c r="V31" s="1204" t="n">
        <v>0.11</v>
      </c>
      <c r="W31" s="1204" t="n">
        <v>0.205</v>
      </c>
      <c r="X31" s="1204" t="n">
        <v>0.24735</v>
      </c>
      <c r="Y31" s="1204" t="n">
        <v>0.29152</v>
      </c>
    </row>
    <row r="32" ht="12" customFormat="1" customHeight="1" s="970">
      <c r="A32" s="1006" t="inlineStr">
        <is>
          <t>Less: Inter Segment Revenue</t>
        </is>
      </c>
      <c r="B32" s="1191" t="n"/>
      <c r="C32" s="972" t="n"/>
      <c r="D32" s="972" t="n"/>
      <c r="E32" s="972" t="n"/>
      <c r="F32" s="1192" t="n"/>
      <c r="G32" s="1193">
        <f>G16/B16-1</f>
        <v/>
      </c>
      <c r="H32" s="1193">
        <f>H16/C16-1</f>
        <v/>
      </c>
      <c r="I32" s="1193">
        <f>I16/D16-1</f>
        <v/>
      </c>
      <c r="J32" s="1193">
        <f>J16/E16-1</f>
        <v/>
      </c>
      <c r="K32" s="1194">
        <f>K16/F16-1</f>
        <v/>
      </c>
      <c r="L32" s="1193">
        <f>L16/G16-1</f>
        <v/>
      </c>
      <c r="M32" s="1193">
        <f>M16/H16-1</f>
        <v/>
      </c>
      <c r="N32" s="1193">
        <f>N16/I16-1</f>
        <v/>
      </c>
      <c r="O32" s="1193">
        <f>O16/J16-1</f>
        <v/>
      </c>
      <c r="P32" s="1194">
        <f>P16/K16-1</f>
        <v/>
      </c>
      <c r="Q32" s="1195">
        <f>Q16/L16-1</f>
        <v/>
      </c>
      <c r="R32" s="1195">
        <f>R16/M16-1</f>
        <v/>
      </c>
      <c r="S32" s="1195">
        <f>S16/N16-1</f>
        <v/>
      </c>
      <c r="T32" s="1196">
        <f>T16/O16-1</f>
        <v/>
      </c>
      <c r="U32" s="1205" t="n">
        <v>0.9</v>
      </c>
      <c r="V32" s="1197" t="n">
        <v>1.5</v>
      </c>
      <c r="W32" s="1197" t="n">
        <v>1.4</v>
      </c>
      <c r="X32" s="1197" t="n">
        <v>1.4</v>
      </c>
      <c r="Y32" s="1197" t="n">
        <v>1.45</v>
      </c>
    </row>
    <row r="33" ht="12.75" customFormat="1" customHeight="1" s="970">
      <c r="A33" s="1046" t="inlineStr">
        <is>
          <t>Net sales/income from Operations</t>
        </is>
      </c>
      <c r="B33" s="1206" t="n"/>
      <c r="C33" s="1207" t="n"/>
      <c r="D33" s="1207" t="n"/>
      <c r="E33" s="1207" t="n"/>
      <c r="F33" s="1208" t="n"/>
      <c r="G33" s="1209">
        <f>G17/B17-1</f>
        <v/>
      </c>
      <c r="H33" s="1209">
        <f>H17/C17-1</f>
        <v/>
      </c>
      <c r="I33" s="1209">
        <f>I17/D17-1</f>
        <v/>
      </c>
      <c r="J33" s="1209">
        <f>J17/E17-1</f>
        <v/>
      </c>
      <c r="K33" s="1210">
        <f>K17/F17-1</f>
        <v/>
      </c>
      <c r="L33" s="1209">
        <f>L17/G17-1</f>
        <v/>
      </c>
      <c r="M33" s="1209">
        <f>M17/H17-1</f>
        <v/>
      </c>
      <c r="N33" s="1209">
        <f>N17/I17-1</f>
        <v/>
      </c>
      <c r="O33" s="1209">
        <f>O17/J17-1</f>
        <v/>
      </c>
      <c r="P33" s="1210">
        <f>P17/K17-1</f>
        <v/>
      </c>
      <c r="Q33" s="1209">
        <f>Q17/L17-1</f>
        <v/>
      </c>
      <c r="R33" s="1209">
        <f>R17/M17-1</f>
        <v/>
      </c>
      <c r="S33" s="1209">
        <f>S17/N17-1</f>
        <v/>
      </c>
      <c r="T33" s="1211">
        <f>T17/O17-1</f>
        <v/>
      </c>
      <c r="U33" s="1212">
        <f>U17/P17-1</f>
        <v/>
      </c>
      <c r="V33" s="1212">
        <f>V17/U17-1</f>
        <v/>
      </c>
      <c r="W33" s="1212">
        <f>W17/V17-1</f>
        <v/>
      </c>
      <c r="X33" s="1212">
        <f>X17/W17-1</f>
        <v/>
      </c>
      <c r="Y33" s="1212">
        <f>Y17/X17-1</f>
        <v/>
      </c>
    </row>
    <row r="34" ht="12" customFormat="1" customHeight="1" s="970">
      <c r="B34" s="1213" t="n"/>
      <c r="C34" s="1213" t="n"/>
      <c r="D34" s="1213" t="n"/>
      <c r="E34" s="1213" t="n"/>
      <c r="F34" s="1213" t="n"/>
      <c r="G34" s="1213" t="n"/>
      <c r="H34" s="1213" t="n"/>
      <c r="I34" s="1213" t="n"/>
      <c r="J34" s="1213" t="n"/>
      <c r="K34" s="1213" t="n"/>
      <c r="L34" s="1213" t="n"/>
      <c r="M34" s="1213" t="n"/>
      <c r="N34" s="1213" t="n"/>
      <c r="O34" s="1213" t="n"/>
      <c r="P34" s="1213" t="n"/>
      <c r="Q34" s="1213" t="n"/>
      <c r="R34" s="1213" t="n"/>
      <c r="S34" s="1213" t="n"/>
      <c r="T34" s="1213" t="n"/>
      <c r="U34" s="1214" t="n"/>
      <c r="V34" s="1213" t="n"/>
      <c r="W34" s="1213" t="n"/>
      <c r="X34" s="1213" t="n"/>
      <c r="Y34" s="1213" t="n"/>
    </row>
    <row r="35" ht="26.25" customFormat="1" customHeight="1" s="970">
      <c r="A35" s="1215" t="inlineStr">
        <is>
          <t>Segment Revenue As % of Total Revenues</t>
        </is>
      </c>
      <c r="B35" s="911" t="n"/>
      <c r="C35" s="911" t="n"/>
      <c r="D35" s="911" t="n"/>
      <c r="E35" s="911" t="n"/>
      <c r="F35" s="911" t="n"/>
      <c r="G35" s="911" t="n"/>
      <c r="H35" s="911" t="n"/>
      <c r="I35" s="911" t="n"/>
      <c r="J35" s="911" t="n"/>
      <c r="K35" s="911" t="n"/>
      <c r="L35" s="911" t="n"/>
      <c r="M35" s="911" t="n"/>
      <c r="N35" s="911" t="n"/>
      <c r="O35" s="911" t="n"/>
      <c r="P35" s="911" t="n"/>
      <c r="Q35" s="911" t="n"/>
      <c r="R35" s="911" t="n"/>
      <c r="S35" s="911" t="n"/>
      <c r="T35" s="911" t="n"/>
      <c r="U35" s="891" t="n"/>
      <c r="V35" s="891" t="n"/>
      <c r="W35" s="891" t="n"/>
      <c r="X35" s="891" t="n"/>
      <c r="Y35" s="891" t="n"/>
    </row>
    <row r="36" ht="12" customFormat="1" customHeight="1" s="970">
      <c r="A36" s="1216" t="n"/>
      <c r="B36" s="970" t="n"/>
      <c r="C36" s="970" t="n"/>
      <c r="D36" s="970" t="n"/>
      <c r="E36" s="970" t="n"/>
      <c r="F36" s="1155" t="n"/>
      <c r="G36" s="970" t="n"/>
      <c r="H36" s="970" t="n"/>
      <c r="I36" s="970" t="n"/>
      <c r="J36" s="970" t="n"/>
      <c r="K36" s="1155" t="n"/>
      <c r="L36" s="970" t="n"/>
      <c r="M36" s="970" t="n"/>
      <c r="N36" s="970" t="n"/>
      <c r="O36" s="970" t="n"/>
      <c r="P36" s="1155" t="n"/>
      <c r="Q36" s="970" t="n"/>
      <c r="R36" s="970" t="n"/>
      <c r="S36" s="970" t="n"/>
      <c r="T36" s="970" t="n"/>
      <c r="U36" s="1217" t="n"/>
      <c r="V36" s="1218" t="n"/>
      <c r="W36" s="1218" t="n"/>
      <c r="X36" s="1218" t="n"/>
      <c r="Y36" s="1218" t="n"/>
    </row>
    <row r="37" ht="12" customFormat="1" customHeight="1" s="970">
      <c r="A37" s="1006" t="inlineStr">
        <is>
          <t>Natural Gas Trading</t>
        </is>
      </c>
      <c r="B37" s="970" t="n"/>
      <c r="C37" s="970" t="n"/>
      <c r="D37" s="970" t="n"/>
      <c r="E37" s="970" t="n"/>
      <c r="F37" s="1155" t="n"/>
      <c r="G37" s="1219">
        <f>G8/G17</f>
        <v/>
      </c>
      <c r="H37" s="1219">
        <f>H8/H17</f>
        <v/>
      </c>
      <c r="I37" s="1219">
        <f>I8/I17</f>
        <v/>
      </c>
      <c r="J37" s="1219">
        <f>J8/J17</f>
        <v/>
      </c>
      <c r="K37" s="1220">
        <f>K8/K17</f>
        <v/>
      </c>
      <c r="L37" s="1219">
        <f>L8/L17</f>
        <v/>
      </c>
      <c r="M37" s="1219">
        <f>M8/M17</f>
        <v/>
      </c>
      <c r="N37" s="1219">
        <f>N8/N17</f>
        <v/>
      </c>
      <c r="O37" s="1219">
        <f>O8/O17</f>
        <v/>
      </c>
      <c r="P37" s="1220">
        <f>P8/P17</f>
        <v/>
      </c>
      <c r="Q37" s="1219">
        <f>Q8/Q17</f>
        <v/>
      </c>
      <c r="R37" s="1219">
        <f>R8/R17</f>
        <v/>
      </c>
      <c r="S37" s="1219">
        <f>S8/S17</f>
        <v/>
      </c>
      <c r="T37" s="1219">
        <f>T8/T17</f>
        <v/>
      </c>
      <c r="U37" s="1221">
        <f>U8/U17</f>
        <v/>
      </c>
      <c r="V37" s="1221">
        <f>V8/V17</f>
        <v/>
      </c>
      <c r="W37" s="1221">
        <f>W8/W17</f>
        <v/>
      </c>
      <c r="X37" s="1221">
        <f>X8/X17</f>
        <v/>
      </c>
      <c r="Y37" s="1221">
        <f>Y8/Y17</f>
        <v/>
      </c>
    </row>
    <row r="38" ht="12" customFormat="1" customHeight="1" s="970">
      <c r="A38" s="1006" t="inlineStr">
        <is>
          <t>Transmission Services - Natural Gas</t>
        </is>
      </c>
      <c r="B38" s="972" t="n"/>
      <c r="C38" s="972" t="n"/>
      <c r="D38" s="972" t="n"/>
      <c r="E38" s="972" t="n"/>
      <c r="F38" s="1192" t="n"/>
      <c r="G38" s="1193">
        <f>G9/G17</f>
        <v/>
      </c>
      <c r="H38" s="1193">
        <f>H9/H17</f>
        <v/>
      </c>
      <c r="I38" s="1193">
        <f>I9/I17</f>
        <v/>
      </c>
      <c r="J38" s="1193">
        <f>J9/J17</f>
        <v/>
      </c>
      <c r="K38" s="1194">
        <f>K9/K17</f>
        <v/>
      </c>
      <c r="L38" s="1193">
        <f>L9/L17</f>
        <v/>
      </c>
      <c r="M38" s="1193">
        <f>M9/M17</f>
        <v/>
      </c>
      <c r="N38" s="1193">
        <f>N9/N17</f>
        <v/>
      </c>
      <c r="O38" s="1193">
        <f>O9/O17</f>
        <v/>
      </c>
      <c r="P38" s="1194">
        <f>P9/P17</f>
        <v/>
      </c>
      <c r="Q38" s="1193">
        <f>Q9/Q17</f>
        <v/>
      </c>
      <c r="R38" s="1193">
        <f>R9/R17</f>
        <v/>
      </c>
      <c r="S38" s="1193">
        <f>S9/S17</f>
        <v/>
      </c>
      <c r="T38" s="1193">
        <f>T9/T17</f>
        <v/>
      </c>
      <c r="U38" s="1197">
        <f>U9/U17</f>
        <v/>
      </c>
      <c r="V38" s="1197">
        <f>V9/V17</f>
        <v/>
      </c>
      <c r="W38" s="1197">
        <f>W9/W17</f>
        <v/>
      </c>
      <c r="X38" s="1197">
        <f>X9/X17</f>
        <v/>
      </c>
      <c r="Y38" s="1197">
        <f>Y9/Y17</f>
        <v/>
      </c>
    </row>
    <row r="39" ht="12" customFormat="1" customHeight="1" s="970">
      <c r="A39" s="1006" t="inlineStr">
        <is>
          <t>Petrochemicals</t>
        </is>
      </c>
      <c r="B39" s="972" t="n"/>
      <c r="C39" s="972" t="n"/>
      <c r="D39" s="972" t="n"/>
      <c r="E39" s="972" t="n"/>
      <c r="F39" s="1192" t="n"/>
      <c r="G39" s="1193">
        <f>G10/G17</f>
        <v/>
      </c>
      <c r="H39" s="1193">
        <f>H10/H17</f>
        <v/>
      </c>
      <c r="I39" s="1193">
        <f>I10/I17</f>
        <v/>
      </c>
      <c r="J39" s="1193">
        <f>J10/J17</f>
        <v/>
      </c>
      <c r="K39" s="1194">
        <f>K10/K17</f>
        <v/>
      </c>
      <c r="L39" s="1193">
        <f>L10/L17</f>
        <v/>
      </c>
      <c r="M39" s="1193">
        <f>M10/M17</f>
        <v/>
      </c>
      <c r="N39" s="1193">
        <f>N10/N17</f>
        <v/>
      </c>
      <c r="O39" s="1193">
        <f>O10/O17</f>
        <v/>
      </c>
      <c r="P39" s="1194">
        <f>P10/P17</f>
        <v/>
      </c>
      <c r="Q39" s="1193">
        <f>Q10/Q17</f>
        <v/>
      </c>
      <c r="R39" s="1193">
        <f>R10/R17</f>
        <v/>
      </c>
      <c r="S39" s="1193">
        <f>S10/S17</f>
        <v/>
      </c>
      <c r="T39" s="1193">
        <f>T10/T17</f>
        <v/>
      </c>
      <c r="U39" s="1197">
        <f>U10/U17</f>
        <v/>
      </c>
      <c r="V39" s="1197">
        <f>V10/V17</f>
        <v/>
      </c>
      <c r="W39" s="1197">
        <f>W10/W17</f>
        <v/>
      </c>
      <c r="X39" s="1197">
        <f>X10/X17</f>
        <v/>
      </c>
      <c r="Y39" s="1197">
        <f>Y10/Y17</f>
        <v/>
      </c>
    </row>
    <row r="40" ht="12" customFormat="1" customHeight="1" s="970">
      <c r="A40" s="1006" t="inlineStr">
        <is>
          <t>LPG &amp; Liquid Hydrocarbons</t>
        </is>
      </c>
      <c r="B40" s="972" t="n"/>
      <c r="C40" s="972" t="n"/>
      <c r="D40" s="972" t="n"/>
      <c r="E40" s="972" t="n"/>
      <c r="F40" s="1192" t="n"/>
      <c r="G40" s="1193">
        <f>G11/G17</f>
        <v/>
      </c>
      <c r="H40" s="1193">
        <f>H11/H17</f>
        <v/>
      </c>
      <c r="I40" s="1193">
        <f>I11/I17</f>
        <v/>
      </c>
      <c r="J40" s="1193">
        <f>J11/J17</f>
        <v/>
      </c>
      <c r="K40" s="1194">
        <f>K11/K17</f>
        <v/>
      </c>
      <c r="L40" s="1193">
        <f>L11/L17</f>
        <v/>
      </c>
      <c r="M40" s="1193">
        <f>M11/M17</f>
        <v/>
      </c>
      <c r="N40" s="1193">
        <f>N11/N17</f>
        <v/>
      </c>
      <c r="O40" s="1193">
        <f>O11/O17</f>
        <v/>
      </c>
      <c r="P40" s="1194">
        <f>P11/P17</f>
        <v/>
      </c>
      <c r="Q40" s="1193">
        <f>Q11/Q17</f>
        <v/>
      </c>
      <c r="R40" s="1193">
        <f>R11/R17</f>
        <v/>
      </c>
      <c r="S40" s="1193">
        <f>S11/S17</f>
        <v/>
      </c>
      <c r="T40" s="1193">
        <f>T11/T17</f>
        <v/>
      </c>
      <c r="U40" s="1197">
        <f>U11/U17</f>
        <v/>
      </c>
      <c r="V40" s="1197">
        <f>V11/V17</f>
        <v/>
      </c>
      <c r="W40" s="1197">
        <f>W11/W17</f>
        <v/>
      </c>
      <c r="X40" s="1197">
        <f>X11/X17</f>
        <v/>
      </c>
      <c r="Y40" s="1197">
        <f>Y11/Y17</f>
        <v/>
      </c>
    </row>
    <row r="41" ht="12" customFormat="1" customHeight="1" s="970">
      <c r="A41" s="1006" t="inlineStr">
        <is>
          <t>Transmission Services - LPG</t>
        </is>
      </c>
      <c r="B41" s="972" t="n"/>
      <c r="C41" s="972" t="n"/>
      <c r="D41" s="972" t="n"/>
      <c r="E41" s="972" t="n"/>
      <c r="F41" s="1192" t="n"/>
      <c r="G41" s="1193">
        <f>G12/G17</f>
        <v/>
      </c>
      <c r="H41" s="1193">
        <f>H12/H17</f>
        <v/>
      </c>
      <c r="I41" s="1193">
        <f>I12/I17</f>
        <v/>
      </c>
      <c r="J41" s="1193">
        <f>J12/J17</f>
        <v/>
      </c>
      <c r="K41" s="1194">
        <f>K12/K17</f>
        <v/>
      </c>
      <c r="L41" s="1193">
        <f>L12/L17</f>
        <v/>
      </c>
      <c r="M41" s="1193">
        <f>M12/M17</f>
        <v/>
      </c>
      <c r="N41" s="1193">
        <f>N12/N17</f>
        <v/>
      </c>
      <c r="O41" s="1193">
        <f>O12/O17</f>
        <v/>
      </c>
      <c r="P41" s="1194">
        <f>P12/P17</f>
        <v/>
      </c>
      <c r="Q41" s="1193">
        <f>Q12/Q17</f>
        <v/>
      </c>
      <c r="R41" s="1193">
        <f>R12/R17</f>
        <v/>
      </c>
      <c r="S41" s="1193">
        <f>S12/S17</f>
        <v/>
      </c>
      <c r="T41" s="1193">
        <f>T12/T17</f>
        <v/>
      </c>
      <c r="U41" s="1197" t="n"/>
      <c r="V41" s="1197">
        <f>V12/V17</f>
        <v/>
      </c>
      <c r="W41" s="1197">
        <f>W12/W17</f>
        <v/>
      </c>
      <c r="X41" s="1197">
        <f>X12/X17</f>
        <v/>
      </c>
      <c r="Y41" s="1197">
        <f>Y12/Y17</f>
        <v/>
      </c>
    </row>
    <row r="42" ht="12" customFormat="1" customHeight="1" s="970">
      <c r="A42" s="1006" t="inlineStr">
        <is>
          <t>Gailtel</t>
        </is>
      </c>
      <c r="B42" s="972" t="n"/>
      <c r="C42" s="972" t="n"/>
      <c r="D42" s="972" t="n"/>
      <c r="E42" s="972" t="n"/>
      <c r="F42" s="1192" t="n"/>
      <c r="G42" s="1193">
        <f>G13/G17</f>
        <v/>
      </c>
      <c r="H42" s="1193">
        <f>H13/H17</f>
        <v/>
      </c>
      <c r="I42" s="1193">
        <f>I13/I17</f>
        <v/>
      </c>
      <c r="J42" s="1193">
        <f>J13/J17</f>
        <v/>
      </c>
      <c r="K42" s="1194">
        <f>K13/K17</f>
        <v/>
      </c>
      <c r="L42" s="1193">
        <f>L13/L17</f>
        <v/>
      </c>
      <c r="M42" s="1193">
        <f>M13/M17</f>
        <v/>
      </c>
      <c r="N42" s="1193">
        <f>N13/N17</f>
        <v/>
      </c>
      <c r="O42" s="1193">
        <f>O13/O17</f>
        <v/>
      </c>
      <c r="P42" s="1194">
        <f>P13/P17</f>
        <v/>
      </c>
      <c r="Q42" s="1193">
        <f>Q13/Q17</f>
        <v/>
      </c>
      <c r="R42" s="1193">
        <f>R13/R17</f>
        <v/>
      </c>
      <c r="S42" s="1193">
        <f>S13/S17</f>
        <v/>
      </c>
      <c r="T42" s="1193">
        <f>T13/T17</f>
        <v/>
      </c>
      <c r="U42" s="1197">
        <f>U13/U17</f>
        <v/>
      </c>
      <c r="V42" s="1197">
        <f>V13/V17</f>
        <v/>
      </c>
      <c r="W42" s="1197">
        <f>W13/W17</f>
        <v/>
      </c>
      <c r="X42" s="1197">
        <f>X13/X17</f>
        <v/>
      </c>
      <c r="Y42" s="1197">
        <f>Y13/Y17</f>
        <v/>
      </c>
    </row>
    <row r="43" ht="12" customFormat="1" customHeight="1" s="970">
      <c r="A43" s="1006" t="inlineStr">
        <is>
          <t>Others</t>
        </is>
      </c>
      <c r="B43" s="970" t="n"/>
      <c r="C43" s="970" t="n"/>
      <c r="D43" s="970" t="n"/>
      <c r="E43" s="970" t="n"/>
      <c r="F43" s="1155" t="n"/>
      <c r="G43" s="1219">
        <f>G14/G17</f>
        <v/>
      </c>
      <c r="H43" s="1219">
        <f>H14/H17</f>
        <v/>
      </c>
      <c r="I43" s="1219">
        <f>I14/I17</f>
        <v/>
      </c>
      <c r="J43" s="1219">
        <f>J14/J17</f>
        <v/>
      </c>
      <c r="K43" s="1220">
        <f>K14/K17</f>
        <v/>
      </c>
      <c r="L43" s="1219">
        <f>L14/L17</f>
        <v/>
      </c>
      <c r="M43" s="1219">
        <f>M14/M17</f>
        <v/>
      </c>
      <c r="N43" s="1219">
        <f>N14/N17</f>
        <v/>
      </c>
      <c r="O43" s="1219">
        <f>O14/O17</f>
        <v/>
      </c>
      <c r="P43" s="1220">
        <f>P14/P17</f>
        <v/>
      </c>
      <c r="Q43" s="1219">
        <f>Q14/Q17</f>
        <v/>
      </c>
      <c r="R43" s="1219">
        <f>R14/R17</f>
        <v/>
      </c>
      <c r="S43" s="1219">
        <f>S14/S17</f>
        <v/>
      </c>
      <c r="T43" s="1219">
        <f>T14/T17</f>
        <v/>
      </c>
      <c r="U43" s="1221">
        <f>U14/U17</f>
        <v/>
      </c>
      <c r="V43" s="1221">
        <f>V14/V17</f>
        <v/>
      </c>
      <c r="W43" s="1221">
        <f>W14/W17</f>
        <v/>
      </c>
      <c r="X43" s="1221">
        <f>X14/X17</f>
        <v/>
      </c>
      <c r="Y43" s="1221">
        <f>Y14/Y17</f>
        <v/>
      </c>
    </row>
    <row r="44" ht="12" customFormat="1" customHeight="1" s="1222">
      <c r="A44" s="1031" t="inlineStr">
        <is>
          <t>Total</t>
        </is>
      </c>
      <c r="B44" s="1199" t="n"/>
      <c r="C44" s="1199" t="n"/>
      <c r="D44" s="1199" t="n"/>
      <c r="E44" s="1199" t="n"/>
      <c r="F44" s="1200" t="n"/>
      <c r="G44" s="1201">
        <f>G15/G17</f>
        <v/>
      </c>
      <c r="H44" s="1201">
        <f>H15/H17</f>
        <v/>
      </c>
      <c r="I44" s="1201">
        <f>I15/I17</f>
        <v/>
      </c>
      <c r="J44" s="1201">
        <f>J15/J17</f>
        <v/>
      </c>
      <c r="K44" s="1202">
        <f>K15/K17</f>
        <v/>
      </c>
      <c r="L44" s="1201">
        <f>L15/L17</f>
        <v/>
      </c>
      <c r="M44" s="1201">
        <f>M15/M17</f>
        <v/>
      </c>
      <c r="N44" s="1201">
        <f>N15/N17</f>
        <v/>
      </c>
      <c r="O44" s="1201">
        <f>O15/O17</f>
        <v/>
      </c>
      <c r="P44" s="1202">
        <f>P15/P17</f>
        <v/>
      </c>
      <c r="Q44" s="1201">
        <f>Q15/Q17</f>
        <v/>
      </c>
      <c r="R44" s="1201">
        <f>R15/R17</f>
        <v/>
      </c>
      <c r="S44" s="1201">
        <f>S15/S17</f>
        <v/>
      </c>
      <c r="T44" s="1201">
        <f>T15/T17</f>
        <v/>
      </c>
      <c r="U44" s="1204">
        <f>U15/U17</f>
        <v/>
      </c>
      <c r="V44" s="1204">
        <f>V15/V17</f>
        <v/>
      </c>
      <c r="W44" s="1204">
        <f>W15/W17</f>
        <v/>
      </c>
      <c r="X44" s="1204">
        <f>X15/X17</f>
        <v/>
      </c>
      <c r="Y44" s="1204">
        <f>Y15/Y17</f>
        <v/>
      </c>
    </row>
    <row r="45" ht="12" customFormat="1" customHeight="1" s="970">
      <c r="A45" s="1006" t="inlineStr">
        <is>
          <t>Less: Inter Segment Revenue</t>
        </is>
      </c>
      <c r="B45" s="972" t="n"/>
      <c r="C45" s="972" t="n"/>
      <c r="D45" s="972" t="n"/>
      <c r="E45" s="972" t="n"/>
      <c r="F45" s="1192" t="n"/>
      <c r="G45" s="1193">
        <f>G16/G17</f>
        <v/>
      </c>
      <c r="H45" s="1193">
        <f>H16/H17</f>
        <v/>
      </c>
      <c r="I45" s="1193">
        <f>I16/I17</f>
        <v/>
      </c>
      <c r="J45" s="1193">
        <f>J16/J17</f>
        <v/>
      </c>
      <c r="K45" s="1194">
        <f>K16/K17</f>
        <v/>
      </c>
      <c r="L45" s="1193">
        <f>L16/L17</f>
        <v/>
      </c>
      <c r="M45" s="1193">
        <f>M16/M17</f>
        <v/>
      </c>
      <c r="N45" s="1193">
        <f>N16/N17</f>
        <v/>
      </c>
      <c r="O45" s="1193">
        <f>O16/O17</f>
        <v/>
      </c>
      <c r="P45" s="1194">
        <f>P16/P17</f>
        <v/>
      </c>
      <c r="Q45" s="1193">
        <f>Q16/Q17</f>
        <v/>
      </c>
      <c r="R45" s="1193">
        <f>R16/R17</f>
        <v/>
      </c>
      <c r="S45" s="1193">
        <f>S16/S17</f>
        <v/>
      </c>
      <c r="T45" s="1193">
        <f>T16/T17</f>
        <v/>
      </c>
      <c r="U45" s="1197">
        <f>U16/U17</f>
        <v/>
      </c>
      <c r="V45" s="1197">
        <f>V16/V17</f>
        <v/>
      </c>
      <c r="W45" s="1197">
        <f>W16/W17</f>
        <v/>
      </c>
      <c r="X45" s="1197">
        <f>X16/X17</f>
        <v/>
      </c>
      <c r="Y45" s="1197">
        <f>Y16/Y17</f>
        <v/>
      </c>
    </row>
    <row r="46" ht="12.75" customFormat="1" customHeight="1" s="1222">
      <c r="A46" s="1031" t="inlineStr">
        <is>
          <t>Net sales/income from Operations</t>
        </is>
      </c>
      <c r="B46" s="1199" t="n"/>
      <c r="C46" s="1199" t="n"/>
      <c r="D46" s="1199" t="n"/>
      <c r="E46" s="1199" t="n"/>
      <c r="F46" s="1200" t="n"/>
      <c r="G46" s="1201">
        <f>G17/G17</f>
        <v/>
      </c>
      <c r="H46" s="1201">
        <f>H17/H17</f>
        <v/>
      </c>
      <c r="I46" s="1201">
        <f>I17/I17</f>
        <v/>
      </c>
      <c r="J46" s="1201">
        <f>J17/J17</f>
        <v/>
      </c>
      <c r="K46" s="1202">
        <f>K17/K17</f>
        <v/>
      </c>
      <c r="L46" s="1223">
        <f>L17/L17</f>
        <v/>
      </c>
      <c r="M46" s="1223">
        <f>M17/M17</f>
        <v/>
      </c>
      <c r="N46" s="1223">
        <f>N17/N17</f>
        <v/>
      </c>
      <c r="O46" s="1223">
        <f>O17/O17</f>
        <v/>
      </c>
      <c r="P46" s="1224">
        <f>P17/P17</f>
        <v/>
      </c>
      <c r="Q46" s="1201">
        <f>Q17/Q17</f>
        <v/>
      </c>
      <c r="R46" s="1201">
        <f>R17/R17</f>
        <v/>
      </c>
      <c r="S46" s="1201">
        <f>S17/S17</f>
        <v/>
      </c>
      <c r="T46" s="1201">
        <f>T17/T17</f>
        <v/>
      </c>
      <c r="U46" s="1212">
        <f>U17/U17</f>
        <v/>
      </c>
      <c r="V46" s="1212">
        <f>V17/V17</f>
        <v/>
      </c>
      <c r="W46" s="1212">
        <f>W17/W17</f>
        <v/>
      </c>
      <c r="X46" s="1212">
        <f>X17/X17</f>
        <v/>
      </c>
      <c r="Y46" s="1212">
        <f>Y17/Y17</f>
        <v/>
      </c>
    </row>
    <row r="47" ht="12" customFormat="1" customHeight="1" s="970">
      <c r="A47" s="1225" t="n"/>
      <c r="B47" s="1057" t="n"/>
      <c r="C47" s="1057" t="n"/>
      <c r="D47" s="1057" t="n"/>
      <c r="E47" s="1057" t="n"/>
      <c r="F47" s="1226" t="n"/>
      <c r="G47" s="1057" t="n"/>
      <c r="H47" s="1057" t="n"/>
      <c r="I47" s="1057" t="n"/>
      <c r="J47" s="1057" t="n"/>
      <c r="K47" s="1226" t="n"/>
      <c r="L47" s="1057" t="n"/>
      <c r="M47" s="1057" t="n"/>
      <c r="N47" s="1057" t="n"/>
      <c r="O47" s="1057" t="n"/>
      <c r="P47" s="1226" t="n"/>
      <c r="Q47" s="1057" t="n"/>
      <c r="R47" s="1057" t="n"/>
      <c r="S47" s="1057" t="n"/>
      <c r="T47" s="1057" t="n"/>
      <c r="U47" s="1057" t="n"/>
      <c r="V47" s="1057" t="n"/>
      <c r="W47" s="1057" t="n"/>
      <c r="X47" s="1057" t="n"/>
      <c r="Y47" s="1057" t="n"/>
    </row>
    <row r="48" ht="11.25" customFormat="1" customHeight="1" s="970">
      <c r="A48" s="970" t="n"/>
      <c r="B48" s="970" t="n"/>
      <c r="C48" s="970" t="n"/>
      <c r="D48" s="970" t="n"/>
      <c r="E48" s="970" t="n"/>
      <c r="F48" s="970" t="n"/>
      <c r="G48" s="970" t="n"/>
      <c r="H48" s="970" t="n"/>
      <c r="I48" s="970" t="n"/>
      <c r="J48" s="970" t="n"/>
      <c r="K48" s="970" t="n"/>
      <c r="L48" s="970" t="n"/>
      <c r="M48" s="970" t="n"/>
      <c r="N48" s="970" t="n"/>
      <c r="O48" s="970" t="n"/>
      <c r="P48" s="970" t="n"/>
      <c r="Q48" s="970" t="n"/>
      <c r="R48" s="970" t="n"/>
      <c r="S48" s="970" t="n"/>
      <c r="T48" s="970" t="n"/>
      <c r="U48" s="970" t="n"/>
      <c r="V48" s="970" t="n"/>
      <c r="W48" s="970" t="n"/>
      <c r="X48" s="970" t="n"/>
      <c r="Y48" s="970" t="n"/>
    </row>
    <row r="49" ht="12" customFormat="1" customHeight="1" s="970">
      <c r="A49" s="970" t="n"/>
      <c r="B49" s="970" t="n"/>
      <c r="C49" s="970" t="n"/>
      <c r="D49" s="970" t="n"/>
      <c r="E49" s="970" t="n"/>
      <c r="F49" s="970" t="n"/>
      <c r="G49" s="970" t="n"/>
      <c r="H49" s="970" t="n"/>
      <c r="I49" s="970" t="n"/>
      <c r="J49" s="970" t="n"/>
      <c r="K49" s="970" t="n"/>
      <c r="L49" s="970" t="n"/>
      <c r="M49" s="970" t="n"/>
      <c r="N49" s="970" t="n"/>
      <c r="O49" s="970" t="n"/>
      <c r="P49" s="970" t="n"/>
      <c r="Q49" s="970" t="n"/>
      <c r="R49" s="970" t="n"/>
      <c r="S49" s="970" t="n"/>
      <c r="T49" s="970" t="n"/>
      <c r="V49" s="970" t="n"/>
      <c r="W49" s="970" t="n"/>
      <c r="X49" s="970" t="n"/>
      <c r="Y49" s="970" t="n"/>
    </row>
    <row r="50" ht="13.5" customFormat="1" customHeight="1" s="970">
      <c r="A50" s="1001" t="inlineStr">
        <is>
          <t>Segment Results</t>
        </is>
      </c>
      <c r="B50" s="970" t="n"/>
      <c r="C50" s="970" t="n"/>
      <c r="D50" s="970" t="n"/>
      <c r="E50" s="970" t="n"/>
      <c r="F50" s="970" t="n"/>
      <c r="G50" s="970" t="n"/>
      <c r="H50" s="970" t="n"/>
      <c r="I50" s="970" t="n"/>
      <c r="J50" s="970" t="n"/>
      <c r="K50" s="970" t="n"/>
      <c r="L50" s="970" t="n"/>
      <c r="M50" s="970" t="n"/>
      <c r="N50" s="970" t="n"/>
      <c r="O50" s="970" t="n"/>
      <c r="P50" s="970" t="n"/>
      <c r="Q50" s="970" t="n"/>
      <c r="R50" s="970" t="n"/>
      <c r="S50" s="970" t="n"/>
      <c r="T50" s="970" t="n"/>
      <c r="U50" s="970" t="n"/>
      <c r="V50" s="970" t="n"/>
      <c r="W50" s="970" t="n"/>
      <c r="X50" s="970" t="n"/>
      <c r="Y50" s="970" t="n"/>
    </row>
    <row r="51" ht="12" customFormat="1" customHeight="1" s="970">
      <c r="A51" s="1227" t="inlineStr">
        <is>
          <t>Natural Gas Trading</t>
        </is>
      </c>
      <c r="B51" s="1228" t="n">
        <v>48171</v>
      </c>
      <c r="C51" s="1229" t="n">
        <v>6135</v>
      </c>
      <c r="D51" s="1229" t="n">
        <v>5634</v>
      </c>
      <c r="E51" s="1229" t="n">
        <v>4924</v>
      </c>
      <c r="F51" s="1230">
        <f>SUM(C51:E51)</f>
        <v/>
      </c>
      <c r="G51" s="1231" t="n">
        <v>39304</v>
      </c>
      <c r="H51" s="1231" t="n">
        <v>46584</v>
      </c>
      <c r="I51" s="1232" t="n">
        <v>402.3</v>
      </c>
      <c r="J51" s="1232" t="n">
        <v>6915</v>
      </c>
      <c r="K51" s="1233">
        <f>G51+H51+I51+I52+J52+J51</f>
        <v/>
      </c>
      <c r="L51" s="1229" t="n">
        <v>947.5</v>
      </c>
      <c r="M51" s="1229" t="n">
        <v>1113.4</v>
      </c>
      <c r="N51" s="1229" t="n">
        <v>823.1</v>
      </c>
      <c r="O51" s="1229" t="n">
        <v>592</v>
      </c>
      <c r="P51" s="1230">
        <f>SUM(L51:O51)</f>
        <v/>
      </c>
      <c r="Q51" s="1229" t="n">
        <v>1062.6</v>
      </c>
      <c r="R51" s="1229" t="n">
        <v>1104.7</v>
      </c>
      <c r="S51" s="1229" t="n">
        <v>1179.2</v>
      </c>
      <c r="T51" s="1234" t="n">
        <v>1286.7</v>
      </c>
      <c r="U51" s="1218">
        <f>SUM(Q51:T51)</f>
        <v/>
      </c>
      <c r="V51" s="1218" t="n">
        <v>5104</v>
      </c>
      <c r="W51" s="1218" t="n">
        <v>5673</v>
      </c>
      <c r="X51" s="1218" t="n">
        <v>6123</v>
      </c>
      <c r="Y51" s="1218" t="n">
        <v>6700</v>
      </c>
    </row>
    <row r="52" ht="12.75" customFormat="1" customHeight="1" s="970">
      <c r="A52" s="1006" t="inlineStr">
        <is>
          <t>Transmission Services - Natural Gas</t>
        </is>
      </c>
      <c r="B52" s="1235" t="n"/>
      <c r="C52" s="1236" t="n">
        <v>32948</v>
      </c>
      <c r="D52" s="1236" t="n">
        <v>45477</v>
      </c>
      <c r="E52" s="1236" t="n">
        <v>27674</v>
      </c>
      <c r="F52" s="1237">
        <f>SUM(C52:E52)</f>
        <v/>
      </c>
      <c r="I52" s="1238" t="n">
        <v>4141</v>
      </c>
      <c r="J52" s="1238" t="n">
        <v>37552</v>
      </c>
      <c r="L52" s="1236" t="n">
        <v>4337</v>
      </c>
      <c r="M52" s="1236" t="n">
        <v>3952.7</v>
      </c>
      <c r="N52" s="1236" t="n">
        <v>3590.7</v>
      </c>
      <c r="O52" s="1236" t="n">
        <v>4342.3</v>
      </c>
      <c r="P52" s="1237">
        <f>SUM(L52:O52)</f>
        <v/>
      </c>
      <c r="Q52" s="1236" t="n">
        <v>5221.8</v>
      </c>
      <c r="R52" s="1236" t="n">
        <v>6156.9</v>
      </c>
      <c r="S52" s="1236" t="n">
        <v>5924.2</v>
      </c>
      <c r="T52" s="1239" t="n">
        <v>6824.2</v>
      </c>
      <c r="U52" s="1240">
        <f>SUM(Q52:T52)</f>
        <v/>
      </c>
      <c r="V52" s="1240" t="n">
        <v>27754</v>
      </c>
      <c r="W52" s="1240" t="n">
        <v>30124</v>
      </c>
      <c r="X52" s="1240" t="n">
        <v>33125</v>
      </c>
      <c r="Y52" s="1240" t="n">
        <v>36055</v>
      </c>
    </row>
    <row r="53" ht="12" customFormat="1" customHeight="1" s="970">
      <c r="A53" s="1006" t="inlineStr">
        <is>
          <t>Petrochemicals</t>
        </is>
      </c>
      <c r="B53" s="1241" t="n">
        <v>20205</v>
      </c>
      <c r="C53" s="1236" t="n">
        <v>17425</v>
      </c>
      <c r="D53" s="1236" t="n">
        <v>27745</v>
      </c>
      <c r="E53" s="1236" t="n">
        <v>30076</v>
      </c>
      <c r="F53" s="1237">
        <f>SUM(C53:E53)</f>
        <v/>
      </c>
      <c r="G53" s="1236" t="n">
        <v>34305</v>
      </c>
      <c r="H53" s="1236" t="n">
        <v>31953</v>
      </c>
      <c r="I53" s="1236" t="n">
        <v>2288.2</v>
      </c>
      <c r="J53" s="1236" t="n">
        <v>36283</v>
      </c>
      <c r="K53" s="1237">
        <f>SUM(G53:J53)</f>
        <v/>
      </c>
      <c r="L53" s="1236" t="n">
        <v>4395.1</v>
      </c>
      <c r="M53" s="1236" t="n">
        <v>3287.7</v>
      </c>
      <c r="N53" s="1236" t="n">
        <v>1296.5</v>
      </c>
      <c r="O53" s="1236" t="n">
        <v>3275</v>
      </c>
      <c r="P53" s="1237">
        <f>SUM(L53:O53)</f>
        <v/>
      </c>
      <c r="Q53" s="1236" t="n">
        <v>2643.2</v>
      </c>
      <c r="R53" s="1236" t="n">
        <v>2753.2</v>
      </c>
      <c r="S53" s="1236" t="n">
        <v>3413.8</v>
      </c>
      <c r="T53" s="1239" t="n">
        <v>4415.8</v>
      </c>
      <c r="U53" s="1240">
        <f>SUM(Q53:T53)</f>
        <v/>
      </c>
      <c r="V53" s="1240" t="n">
        <v>15346</v>
      </c>
      <c r="W53" s="1240" t="n">
        <v>17683</v>
      </c>
      <c r="X53" s="1240" t="n">
        <v>19986</v>
      </c>
      <c r="Y53" s="1240" t="n">
        <v>23441</v>
      </c>
    </row>
    <row r="54" ht="12" customFormat="1" customHeight="1" s="970">
      <c r="A54" s="1006" t="inlineStr">
        <is>
          <t>LPG &amp; Liquid Hydrocarbons</t>
        </is>
      </c>
      <c r="B54" s="1241" t="n">
        <v>13940</v>
      </c>
      <c r="C54" s="1236" t="n">
        <v>-5454</v>
      </c>
      <c r="D54" s="1236" t="n">
        <v>9048</v>
      </c>
      <c r="E54" s="1236" t="n">
        <v>-7319</v>
      </c>
      <c r="F54" s="1237">
        <f>SUM(C54:E54)</f>
        <v/>
      </c>
      <c r="G54" s="1236" t="n">
        <v>19855</v>
      </c>
      <c r="H54" s="1236" t="n">
        <v>22338</v>
      </c>
      <c r="I54" s="1236" t="n">
        <v>1252</v>
      </c>
      <c r="J54" s="1236" t="n">
        <v>35330</v>
      </c>
      <c r="K54" s="1237">
        <f>SUM(G54:J54)</f>
        <v/>
      </c>
      <c r="L54" s="1236" t="n">
        <v>3178.2</v>
      </c>
      <c r="M54" s="1236" t="n">
        <v>5751</v>
      </c>
      <c r="N54" s="1236" t="n">
        <v>-2473</v>
      </c>
      <c r="O54" s="1236" t="n">
        <v>2239.7</v>
      </c>
      <c r="P54" s="1237">
        <f>SUM(L54:O54)</f>
        <v/>
      </c>
      <c r="Q54" s="1236" t="n">
        <v>1500</v>
      </c>
      <c r="R54" s="1236" t="n">
        <v>-731.1</v>
      </c>
      <c r="S54" s="1236" t="n">
        <v>1251.9</v>
      </c>
      <c r="T54" s="1239" t="n">
        <v>2051.9</v>
      </c>
      <c r="U54" s="1240">
        <f>SUM(Q54:T54)</f>
        <v/>
      </c>
      <c r="V54" s="1240" t="n">
        <v>6526</v>
      </c>
      <c r="W54" s="1240" t="n">
        <v>8588</v>
      </c>
      <c r="X54" s="1240" t="n">
        <v>9989</v>
      </c>
      <c r="Y54" s="1240" t="n">
        <v>11230</v>
      </c>
    </row>
    <row r="55" ht="12" customFormat="1" customHeight="1" s="970">
      <c r="A55" s="1006" t="inlineStr">
        <is>
          <t>Transmission Services - LPG</t>
        </is>
      </c>
      <c r="B55" s="1241" t="n">
        <v>3681</v>
      </c>
      <c r="C55" s="1236" t="n">
        <v>4490</v>
      </c>
      <c r="D55" s="1236" t="n">
        <v>6026</v>
      </c>
      <c r="E55" s="1236" t="n">
        <v>4866</v>
      </c>
      <c r="F55" s="1237">
        <f>SUM(C55:E55)</f>
        <v/>
      </c>
      <c r="G55" s="1236" t="n">
        <v>5450</v>
      </c>
      <c r="H55" s="1236" t="n">
        <v>5212</v>
      </c>
      <c r="I55" s="1236" t="n">
        <v>564.5</v>
      </c>
      <c r="J55" s="1236" t="n">
        <v>6877</v>
      </c>
      <c r="K55" s="1237">
        <f>SUM(G55:J55)</f>
        <v/>
      </c>
      <c r="L55" s="1236" t="n">
        <v>467.5</v>
      </c>
      <c r="M55" s="1236" t="n">
        <v>539.4</v>
      </c>
      <c r="N55" s="1236" t="n">
        <v>615</v>
      </c>
      <c r="O55" s="1236" t="n">
        <v>639.5</v>
      </c>
      <c r="P55" s="1237">
        <f>SUM(L55:O55)</f>
        <v/>
      </c>
      <c r="Q55" s="1236" t="n">
        <v>682.4</v>
      </c>
      <c r="R55" s="1236" t="n">
        <v>589.2</v>
      </c>
      <c r="S55" s="1236" t="n">
        <v>638.5</v>
      </c>
      <c r="T55" s="1242" t="n">
        <v>733.5</v>
      </c>
      <c r="U55" s="1240">
        <f>SUM(Q55:T55)</f>
        <v/>
      </c>
      <c r="V55" s="1240" t="n">
        <v>3000</v>
      </c>
      <c r="W55" s="1240" t="n">
        <v>3456</v>
      </c>
      <c r="X55" s="1240" t="n">
        <v>3887</v>
      </c>
      <c r="Y55" s="1240" t="n">
        <v>4200</v>
      </c>
    </row>
    <row r="56" ht="12" customFormat="1" customHeight="1" s="970">
      <c r="A56" s="1006" t="inlineStr">
        <is>
          <t>Gailtel</t>
        </is>
      </c>
      <c r="B56" s="1241" t="n">
        <v>-3</v>
      </c>
      <c r="C56" s="1236" t="n">
        <v>41</v>
      </c>
      <c r="D56" s="1236" t="n">
        <v>5</v>
      </c>
      <c r="E56" s="1236" t="n">
        <v>54</v>
      </c>
      <c r="F56" s="1237">
        <f>SUM(C56:E56)</f>
        <v/>
      </c>
      <c r="G56" s="1236" t="n">
        <v>51</v>
      </c>
      <c r="H56" s="1236" t="n">
        <v>138</v>
      </c>
      <c r="I56" s="1236" t="n">
        <v>8.199999999999999</v>
      </c>
      <c r="J56" s="1236" t="n">
        <v>40</v>
      </c>
      <c r="K56" s="1237">
        <f>SUM(G56:J56)</f>
        <v/>
      </c>
      <c r="L56" s="1236" t="n">
        <v>12.7</v>
      </c>
      <c r="M56" s="1236" t="n">
        <v>-46</v>
      </c>
      <c r="N56" s="1236" t="n">
        <v>9</v>
      </c>
      <c r="O56" s="1236" t="n">
        <v>-16.9</v>
      </c>
      <c r="P56" s="1237">
        <f>SUM(L56:O56)</f>
        <v/>
      </c>
      <c r="Q56" s="1236" t="n">
        <v>-10.8</v>
      </c>
      <c r="R56" s="1236" t="n">
        <v>-21.4</v>
      </c>
      <c r="S56" s="1236" t="n">
        <v>-39.4</v>
      </c>
      <c r="T56" s="1242" t="n">
        <v>-40</v>
      </c>
      <c r="U56" s="1240">
        <f>SUM(Q56:T56)</f>
        <v/>
      </c>
      <c r="V56" s="1240" t="n">
        <v>-265</v>
      </c>
      <c r="W56" s="1240" t="n">
        <v>-230</v>
      </c>
      <c r="X56" s="1240" t="n">
        <v>-254</v>
      </c>
      <c r="Y56" s="1240" t="n">
        <v>-109</v>
      </c>
    </row>
    <row r="57" ht="12" customFormat="1" customHeight="1" s="970">
      <c r="A57" s="1006" t="inlineStr">
        <is>
          <t>Others</t>
        </is>
      </c>
      <c r="B57" s="1241" t="n">
        <v>0</v>
      </c>
      <c r="C57" s="1236" t="n">
        <v>0</v>
      </c>
      <c r="D57" s="1236" t="n">
        <v>0</v>
      </c>
      <c r="E57" s="1236" t="n">
        <v>0</v>
      </c>
      <c r="F57" s="1237">
        <f>SUM(B57:E57)</f>
        <v/>
      </c>
      <c r="G57" s="1236" t="n">
        <v>0</v>
      </c>
      <c r="H57" s="1236" t="n">
        <v>-15250</v>
      </c>
      <c r="I57" s="1236" t="n">
        <v>527.7</v>
      </c>
      <c r="J57" s="1236" t="n">
        <v>-11282</v>
      </c>
      <c r="K57" s="1237">
        <f>SUM(G57:J57)</f>
        <v/>
      </c>
      <c r="L57" s="1236" t="n">
        <v>374.4</v>
      </c>
      <c r="M57" s="1236" t="n">
        <v>619.4</v>
      </c>
      <c r="N57" s="1236" t="n">
        <v>-223.9</v>
      </c>
      <c r="O57" s="1236" t="n">
        <v>-1649.7</v>
      </c>
      <c r="P57" s="1237">
        <f>SUM(L57:O57)</f>
        <v/>
      </c>
      <c r="Q57" s="1236" t="n">
        <v>-1169.9</v>
      </c>
      <c r="R57" s="1236" t="n">
        <v>-280.1</v>
      </c>
      <c r="S57" s="1236" t="n">
        <v>-109.5</v>
      </c>
      <c r="T57" s="1242" t="n">
        <v>-100</v>
      </c>
      <c r="U57" s="1240">
        <f>SUM(Q57:T57)</f>
        <v/>
      </c>
      <c r="V57" s="1240" t="n">
        <v>100</v>
      </c>
      <c r="W57" s="1240" t="n">
        <v>380</v>
      </c>
      <c r="X57" s="1240" t="n">
        <v>-215</v>
      </c>
      <c r="Y57" s="1240" t="n">
        <v>-104</v>
      </c>
    </row>
    <row r="58" ht="12" customFormat="1" customHeight="1" s="970">
      <c r="A58" s="1031" t="inlineStr">
        <is>
          <t>Total</t>
        </is>
      </c>
      <c r="B58" s="1243">
        <f>SUM(B51:B57)</f>
        <v/>
      </c>
      <c r="C58" s="1244">
        <f>SUM(C51:C57)</f>
        <v/>
      </c>
      <c r="D58" s="1244">
        <f>SUM(D51:D57)</f>
        <v/>
      </c>
      <c r="E58" s="1244">
        <f>SUM(E51:E57)</f>
        <v/>
      </c>
      <c r="F58" s="1245">
        <f>F51+F52+F53+F54+F55+F56+F57</f>
        <v/>
      </c>
      <c r="G58" s="1244">
        <f>SUM(G53:G57)</f>
        <v/>
      </c>
      <c r="H58" s="1244">
        <f>SUM(H51:H57)</f>
        <v/>
      </c>
      <c r="I58" s="1244">
        <f>SUM(I51:I57)</f>
        <v/>
      </c>
      <c r="J58" s="1244">
        <f>SUM(J51:J57)</f>
        <v/>
      </c>
      <c r="K58" s="1245">
        <f>K51+K53+K54+K55+K56+K57</f>
        <v/>
      </c>
      <c r="L58" s="1244">
        <f>SUM(L51:L57)</f>
        <v/>
      </c>
      <c r="M58" s="1244">
        <f>SUM(M51:M57)</f>
        <v/>
      </c>
      <c r="N58" s="1244">
        <f>SUM(N51:N57)</f>
        <v/>
      </c>
      <c r="O58" s="1244">
        <f>SUM(O51:O57)</f>
        <v/>
      </c>
      <c r="P58" s="1245">
        <f>P51+P52+P53+P54+P55+P56+P57</f>
        <v/>
      </c>
      <c r="Q58" s="1244">
        <f>SUM(Q51:Q57)</f>
        <v/>
      </c>
      <c r="R58" s="1244">
        <f>SUM(R51:R57)</f>
        <v/>
      </c>
      <c r="S58" s="1244">
        <f>SUM(S51:S57)</f>
        <v/>
      </c>
      <c r="T58" s="1246">
        <f>SUM(T51:T57)</f>
        <v/>
      </c>
      <c r="U58" s="1247">
        <f>U51+U52+U53+U54+U55+U56+U57</f>
        <v/>
      </c>
      <c r="V58" s="1247">
        <f>SUM(V51:V57)</f>
        <v/>
      </c>
      <c r="W58" s="1247">
        <f>SUM(W51:W57)</f>
        <v/>
      </c>
      <c r="X58" s="1247">
        <f>SUM(X51:X57)</f>
        <v/>
      </c>
      <c r="Y58" s="1247">
        <f>SUM(Y51:Y57)</f>
        <v/>
      </c>
    </row>
    <row r="59" ht="12" customFormat="1" customHeight="1" s="970">
      <c r="A59" s="1006" t="inlineStr">
        <is>
          <t>Interest</t>
        </is>
      </c>
      <c r="B59" s="1241" t="n">
        <v>2880</v>
      </c>
      <c r="C59" s="1236" t="n">
        <v>2912</v>
      </c>
      <c r="D59" s="1236" t="n">
        <v>2705</v>
      </c>
      <c r="E59" s="1236" t="n">
        <v>2211</v>
      </c>
      <c r="F59" s="1237">
        <f>SUM(B59:E59)</f>
        <v/>
      </c>
      <c r="G59" s="1236" t="n">
        <v>2040</v>
      </c>
      <c r="H59" s="1236" t="n">
        <v>2009</v>
      </c>
      <c r="I59" s="1236" t="n">
        <v>-195.5</v>
      </c>
      <c r="J59" s="1236" t="n">
        <v>1953</v>
      </c>
      <c r="K59" s="1237">
        <f>SUM(G59:J59)</f>
        <v/>
      </c>
      <c r="L59" s="1236" t="n">
        <v>-190.2</v>
      </c>
      <c r="M59" s="1236" t="n">
        <v>-189</v>
      </c>
      <c r="N59" s="1236" t="n">
        <v>-185.1</v>
      </c>
      <c r="O59" s="1236" t="n">
        <v>-305.7</v>
      </c>
      <c r="P59" s="1237">
        <f>SUM(L59:O59)</f>
        <v/>
      </c>
      <c r="Q59" s="1236" t="n">
        <v>-179.2</v>
      </c>
      <c r="R59" s="1236" t="n">
        <v>-178.5</v>
      </c>
      <c r="S59" s="1236" t="n">
        <v>-142.2</v>
      </c>
      <c r="T59" s="1242" t="n">
        <v>-125</v>
      </c>
      <c r="U59" s="1240">
        <f>SUM(Q59:T59)</f>
        <v/>
      </c>
      <c r="V59" s="1240" t="n">
        <v>-500</v>
      </c>
      <c r="W59" s="1240" t="n">
        <v>-534</v>
      </c>
      <c r="X59" s="1240" t="n">
        <v>-676</v>
      </c>
      <c r="Y59" s="1240" t="n">
        <v>555</v>
      </c>
    </row>
    <row r="60" ht="22.5" customFormat="1" customHeight="1" s="970">
      <c r="A60" s="1006" t="inlineStr">
        <is>
          <t>Other un-allocable expenditure net off un-allocable income</t>
        </is>
      </c>
      <c r="B60" s="1241" t="n">
        <v>-2094</v>
      </c>
      <c r="C60" s="1236" t="n">
        <v>-5706</v>
      </c>
      <c r="D60" s="1236" t="n">
        <v>3446</v>
      </c>
      <c r="E60" s="1236" t="n">
        <v>3457</v>
      </c>
      <c r="F60" s="1237">
        <f>SUM(B60:E60)</f>
        <v/>
      </c>
      <c r="G60" s="1236" t="n">
        <v>37</v>
      </c>
      <c r="H60" s="1236" t="n">
        <v>0</v>
      </c>
      <c r="I60" s="1236" t="n">
        <v>0</v>
      </c>
      <c r="J60" s="1236" t="n">
        <v>0</v>
      </c>
      <c r="K60" s="1237">
        <f>SUM(G60:J60)</f>
        <v/>
      </c>
      <c r="L60" s="1236" t="n">
        <v>0</v>
      </c>
      <c r="M60" s="1236" t="n">
        <v>0</v>
      </c>
      <c r="N60" s="1236" t="n">
        <v>0</v>
      </c>
      <c r="O60" s="1236" t="n">
        <v>920.9</v>
      </c>
      <c r="P60" s="1237">
        <f>SUM(L60:O60)</f>
        <v/>
      </c>
      <c r="Q60" s="1236" t="n">
        <v>120</v>
      </c>
      <c r="R60" s="1236" t="n">
        <v>874.6</v>
      </c>
      <c r="S60" s="1236" t="n">
        <v>436.1</v>
      </c>
      <c r="T60" s="1248" t="n">
        <v>500</v>
      </c>
      <c r="U60" s="1240">
        <f>SUM(Q60:T60)</f>
        <v/>
      </c>
      <c r="V60" s="1240" t="n">
        <v>1267</v>
      </c>
      <c r="W60" s="1240" t="n">
        <v>1568</v>
      </c>
      <c r="X60" s="1240" t="n">
        <v>1838</v>
      </c>
      <c r="Y60" s="1240" t="n">
        <v>2050</v>
      </c>
    </row>
    <row r="61" ht="12.75" customFormat="1" customHeight="1" s="970">
      <c r="A61" s="1046" t="inlineStr">
        <is>
          <t>Total Profit Before Tax</t>
        </is>
      </c>
      <c r="B61" s="1249">
        <f>B58-B59-B60</f>
        <v/>
      </c>
      <c r="C61" s="1250">
        <f>C58-C59-C60</f>
        <v/>
      </c>
      <c r="D61" s="1250">
        <f>D58-D59-D60</f>
        <v/>
      </c>
      <c r="E61" s="1250">
        <f>E58-E59-E60</f>
        <v/>
      </c>
      <c r="F61" s="1251">
        <f>F58-F59-F60</f>
        <v/>
      </c>
      <c r="G61" s="1250">
        <f>G58-G59-G60</f>
        <v/>
      </c>
      <c r="H61" s="1250">
        <f>H58-H59-H60</f>
        <v/>
      </c>
      <c r="I61" s="1250">
        <f>SUM(I58:I60)</f>
        <v/>
      </c>
      <c r="J61" s="1250">
        <f>J58-J59-J60</f>
        <v/>
      </c>
      <c r="K61" s="1251">
        <f>SUM(G61:J61)</f>
        <v/>
      </c>
      <c r="L61" s="1250">
        <f>SUM(L59:L60)</f>
        <v/>
      </c>
      <c r="M61" s="1250">
        <f>SUM(M58:M60)</f>
        <v/>
      </c>
      <c r="N61" s="1250">
        <f>SUM(N58:N60)</f>
        <v/>
      </c>
      <c r="O61" s="1250">
        <f>SUM(O58:O60)</f>
        <v/>
      </c>
      <c r="P61" s="1251">
        <f>P58+P59+P60</f>
        <v/>
      </c>
      <c r="Q61" s="1250">
        <f>Q58+Q59-Q60</f>
        <v/>
      </c>
      <c r="R61" s="1250">
        <f>R58+R59-R60</f>
        <v/>
      </c>
      <c r="S61" s="1250">
        <f>SUM(S58:S60)</f>
        <v/>
      </c>
      <c r="T61" s="1252">
        <f>SUM(T58:T60)</f>
        <v/>
      </c>
      <c r="U61" s="1253">
        <f>U58+U59+U60</f>
        <v/>
      </c>
      <c r="V61" s="1253">
        <f>V58+V59+V60</f>
        <v/>
      </c>
      <c r="W61" s="1253">
        <f>W58+W59+W60</f>
        <v/>
      </c>
      <c r="X61" s="1253">
        <f>X58+X59+X60</f>
        <v/>
      </c>
      <c r="Y61" s="1253">
        <f>Y58+Y59+Y60</f>
        <v/>
      </c>
    </row>
    <row r="62" ht="11.25" customFormat="1" customHeight="1" s="970">
      <c r="A62" s="970" t="n"/>
      <c r="B62" s="970" t="n"/>
      <c r="C62" s="970" t="n"/>
      <c r="D62" s="970" t="n"/>
      <c r="E62" s="970" t="n"/>
      <c r="F62" s="970" t="n"/>
      <c r="G62" s="970" t="n"/>
      <c r="H62" s="970" t="n"/>
      <c r="I62" s="970" t="n"/>
      <c r="J62" s="970" t="n"/>
      <c r="K62" s="970" t="n"/>
      <c r="L62" s="970" t="n"/>
      <c r="M62" s="970" t="n"/>
      <c r="N62" s="970" t="n"/>
      <c r="O62" s="970" t="n"/>
      <c r="P62" s="970" t="n"/>
      <c r="Q62" s="970" t="n"/>
      <c r="R62" s="970" t="n"/>
      <c r="S62" s="970" t="n"/>
      <c r="T62" s="970" t="n"/>
      <c r="U62" s="970" t="n"/>
      <c r="V62" s="970" t="n"/>
      <c r="W62" s="970" t="n"/>
      <c r="X62" s="970" t="n"/>
      <c r="Y62" s="970" t="n"/>
    </row>
    <row r="63" ht="12" customFormat="1" customHeight="1" s="970">
      <c r="A63" s="970" t="n"/>
      <c r="B63" s="970" t="n"/>
      <c r="C63" s="970" t="n"/>
      <c r="D63" s="970" t="n"/>
      <c r="E63" s="970" t="n"/>
      <c r="F63" s="970" t="n"/>
      <c r="G63" s="970" t="n"/>
      <c r="H63" s="970" t="n"/>
      <c r="I63" s="970" t="n"/>
      <c r="J63" s="970" t="n"/>
      <c r="K63" s="970" t="n"/>
      <c r="L63" s="970" t="n"/>
      <c r="M63" s="970" t="n"/>
      <c r="N63" s="970" t="n"/>
      <c r="O63" s="970" t="n"/>
      <c r="P63" s="970" t="n"/>
      <c r="Q63" s="970" t="n"/>
      <c r="R63" s="970" t="n"/>
      <c r="S63" s="970" t="n"/>
      <c r="T63" s="970" t="n"/>
      <c r="U63" s="970" t="n"/>
      <c r="V63" s="970" t="n"/>
      <c r="W63" s="970" t="n"/>
      <c r="X63" s="970" t="n"/>
      <c r="Y63" s="970" t="n"/>
    </row>
    <row r="64" ht="13.5" customFormat="1" customHeight="1" s="970">
      <c r="A64" s="1001" t="inlineStr">
        <is>
          <t>CAPITAL EMPLOYED</t>
        </is>
      </c>
      <c r="B64" s="970" t="n"/>
      <c r="C64" s="970" t="n"/>
      <c r="D64" s="970" t="n"/>
      <c r="E64" s="970" t="n"/>
      <c r="F64" s="970" t="n"/>
      <c r="G64" s="970" t="n"/>
      <c r="H64" s="970" t="n"/>
      <c r="I64" s="970" t="n"/>
      <c r="J64" s="970" t="n"/>
      <c r="K64" s="970" t="n"/>
      <c r="L64" s="970" t="n"/>
      <c r="M64" s="970" t="n"/>
      <c r="N64" s="970" t="n"/>
      <c r="O64" s="970" t="n"/>
      <c r="P64" s="970" t="n"/>
      <c r="Q64" s="970" t="n"/>
      <c r="R64" s="970" t="n"/>
      <c r="S64" s="970" t="n"/>
      <c r="T64" s="970" t="n"/>
      <c r="U64" s="970" t="n"/>
      <c r="V64" s="970" t="n"/>
      <c r="W64" s="970" t="n"/>
      <c r="X64" s="970" t="n"/>
      <c r="Y64" s="970" t="n"/>
    </row>
    <row r="65" ht="12" customFormat="1" customHeight="1" s="970">
      <c r="A65" s="1254" t="inlineStr">
        <is>
          <t>Natural Gas Trading</t>
        </is>
      </c>
      <c r="B65" s="1183" t="n">
        <v>314687</v>
      </c>
      <c r="C65" s="1184" t="n">
        <v>0</v>
      </c>
      <c r="D65" s="1184" t="n">
        <v>356823</v>
      </c>
      <c r="E65" s="1184" t="n">
        <v>0</v>
      </c>
      <c r="F65" s="1185">
        <f>SUM(B65:E65)</f>
        <v/>
      </c>
      <c r="G65" s="1184" t="n">
        <v>457797</v>
      </c>
      <c r="H65" s="1184" t="n">
        <v>520280</v>
      </c>
      <c r="I65" s="1184" t="n">
        <v>0</v>
      </c>
      <c r="J65" s="1184" t="n">
        <v>0</v>
      </c>
      <c r="K65" s="1185">
        <f>SUM(G65:J65)</f>
        <v/>
      </c>
      <c r="L65" s="1184" t="n">
        <v>0</v>
      </c>
      <c r="M65" s="1184" t="n">
        <v>0</v>
      </c>
      <c r="N65" s="1184" t="n">
        <v>60216.6</v>
      </c>
      <c r="O65" s="1184" t="n">
        <v>67949</v>
      </c>
      <c r="P65" s="1185">
        <f>SUM(L65:O65)</f>
        <v/>
      </c>
      <c r="Q65" s="1184" t="n">
        <v>0</v>
      </c>
      <c r="R65" s="1184" t="n">
        <v>0</v>
      </c>
      <c r="S65" s="1255" t="n">
        <v>17144.8</v>
      </c>
      <c r="T65" s="1256" t="n">
        <v>19887</v>
      </c>
      <c r="U65" s="1217">
        <f>SUM(Q65:T65)</f>
        <v/>
      </c>
      <c r="V65" s="970" t="n"/>
      <c r="W65" s="970" t="n"/>
      <c r="X65" s="970" t="n"/>
      <c r="Y65" s="970" t="n"/>
    </row>
    <row r="66" ht="12" customFormat="1" customHeight="1" s="970">
      <c r="A66" s="1257" t="inlineStr">
        <is>
          <t>Petrochemicals</t>
        </is>
      </c>
      <c r="B66" s="1258" t="n">
        <v>194855</v>
      </c>
      <c r="C66" s="970" t="n">
        <v>193493</v>
      </c>
      <c r="D66" s="970" t="n">
        <v>190702</v>
      </c>
      <c r="E66" s="970" t="n">
        <v>191284</v>
      </c>
      <c r="F66" s="1155">
        <f>SUM(B66:E66)</f>
        <v/>
      </c>
      <c r="G66" s="970" t="n">
        <v>182821</v>
      </c>
      <c r="H66" s="970" t="n">
        <v>183124</v>
      </c>
      <c r="I66" s="970" t="n">
        <v>20330.5</v>
      </c>
      <c r="J66" s="970" t="n">
        <v>200207</v>
      </c>
      <c r="K66" s="1155">
        <f>SUM(G66:J66)</f>
        <v/>
      </c>
      <c r="L66" s="970" t="n">
        <v>18856.4</v>
      </c>
      <c r="M66" s="970" t="n">
        <v>19512.3</v>
      </c>
      <c r="N66" s="970" t="n">
        <v>18433.1</v>
      </c>
      <c r="O66" s="970" t="n">
        <v>19918.3</v>
      </c>
      <c r="P66" s="1155">
        <f>SUM(L66:O66)</f>
        <v/>
      </c>
      <c r="Q66" s="970" t="n">
        <v>18737.9</v>
      </c>
      <c r="R66" s="970" t="n">
        <v>18359.4</v>
      </c>
      <c r="S66" s="1259" t="n">
        <v>9274.299999999999</v>
      </c>
      <c r="T66" s="1260" t="n">
        <v>10987</v>
      </c>
      <c r="U66" s="1217">
        <f>SUM(Q66:T66)</f>
        <v/>
      </c>
      <c r="V66" s="970" t="n"/>
      <c r="W66" s="970" t="n"/>
      <c r="X66" s="970" t="n"/>
      <c r="Y66" s="970" t="n"/>
    </row>
    <row r="67" ht="12" customFormat="1" customHeight="1" s="970">
      <c r="A67" s="1257" t="inlineStr">
        <is>
          <t>LPG &amp; Liquid Hydrocarbons</t>
        </is>
      </c>
      <c r="B67" s="1258" t="n">
        <v>113110</v>
      </c>
      <c r="C67" s="970" t="n">
        <v>100718</v>
      </c>
      <c r="D67" s="970" t="n">
        <v>102180</v>
      </c>
      <c r="E67" s="970" t="n">
        <v>89700</v>
      </c>
      <c r="F67" s="1155">
        <f>SUM(B67:E67)</f>
        <v/>
      </c>
      <c r="G67" s="970" t="n">
        <v>101411</v>
      </c>
      <c r="H67" s="970" t="n">
        <v>108037</v>
      </c>
      <c r="I67" s="970" t="n">
        <v>9357.1</v>
      </c>
      <c r="J67" s="970" t="n">
        <v>103522</v>
      </c>
      <c r="K67" s="1155">
        <f>SUM(G67:J67)</f>
        <v/>
      </c>
      <c r="L67" s="970" t="n">
        <v>11581</v>
      </c>
      <c r="M67" s="970" t="n">
        <v>11593.5</v>
      </c>
      <c r="N67" s="970" t="n">
        <v>7791.2</v>
      </c>
      <c r="O67" s="970" t="n">
        <v>12155.6</v>
      </c>
      <c r="P67" s="1155">
        <f>SUM(L67:O67)</f>
        <v/>
      </c>
      <c r="Q67" s="970" t="n">
        <v>10886.3</v>
      </c>
      <c r="R67" s="970" t="n">
        <v>7302.7</v>
      </c>
      <c r="S67" s="1259" t="n">
        <v>176.2</v>
      </c>
      <c r="T67" s="1260" t="n">
        <v>6785</v>
      </c>
      <c r="U67" s="1217">
        <f>SUM(Q67:T67)</f>
        <v/>
      </c>
      <c r="V67" s="970" t="n"/>
      <c r="W67" s="970" t="n"/>
      <c r="X67" s="970" t="n"/>
      <c r="Y67" s="970" t="n"/>
    </row>
    <row r="68" ht="12" customFormat="1" customHeight="1" s="970">
      <c r="A68" s="1257" t="inlineStr">
        <is>
          <t>Transmission Services - Natural Gas</t>
        </is>
      </c>
      <c r="B68" s="1258" t="n">
        <v>0</v>
      </c>
      <c r="C68" s="970" t="n">
        <v>348145</v>
      </c>
      <c r="D68" s="970" t="n">
        <v>0</v>
      </c>
      <c r="E68" s="970" t="n">
        <v>370113</v>
      </c>
      <c r="F68" s="1155">
        <f>SUM(B68:E68)</f>
        <v/>
      </c>
      <c r="G68" s="970" t="n">
        <v>0</v>
      </c>
      <c r="H68" s="970" t="n">
        <v>0</v>
      </c>
      <c r="I68" s="970" t="n">
        <v>52394.8</v>
      </c>
      <c r="J68" s="970" t="n">
        <v>541615</v>
      </c>
      <c r="K68" s="1155">
        <f>SUM(G68:J68)</f>
        <v/>
      </c>
      <c r="L68" s="970" t="n">
        <v>56944.6</v>
      </c>
      <c r="M68" s="970" t="n">
        <v>57307.7</v>
      </c>
      <c r="N68" s="970" t="n">
        <v>0</v>
      </c>
      <c r="O68" s="970" t="n">
        <v>0</v>
      </c>
      <c r="P68" s="1155">
        <f>SUM(L68:O68)</f>
        <v/>
      </c>
      <c r="Q68" s="970" t="n">
        <v>61582.8</v>
      </c>
      <c r="R68" s="970" t="n">
        <v>66150.5</v>
      </c>
      <c r="S68" s="1259" t="n">
        <v>66245</v>
      </c>
      <c r="T68" s="1260" t="n">
        <v>67543</v>
      </c>
      <c r="U68" s="1217">
        <f>SUM(Q68:T68)</f>
        <v/>
      </c>
      <c r="V68" s="970" t="n"/>
      <c r="W68" s="970" t="n"/>
      <c r="X68" s="970" t="n"/>
      <c r="Y68" s="970" t="n"/>
    </row>
    <row r="69" ht="12" customFormat="1" customHeight="1" s="970">
      <c r="A69" s="1257" t="inlineStr">
        <is>
          <t>Others</t>
        </is>
      </c>
      <c r="B69" s="1258" t="n">
        <v>0</v>
      </c>
      <c r="C69" s="970" t="n">
        <v>0</v>
      </c>
      <c r="D69" s="970" t="n">
        <v>0</v>
      </c>
      <c r="E69" s="970" t="n">
        <v>0</v>
      </c>
      <c r="F69" s="1155">
        <f>SUM(B69:E69)</f>
        <v/>
      </c>
      <c r="G69" s="970" t="n">
        <v>0</v>
      </c>
      <c r="H69" s="970" t="n">
        <v>385851</v>
      </c>
      <c r="I69" s="970" t="n">
        <v>0</v>
      </c>
      <c r="J69" s="970" t="n">
        <v>380383</v>
      </c>
      <c r="K69" s="1155">
        <f>SUM(G69:J69)</f>
        <v/>
      </c>
      <c r="L69" s="970" t="n">
        <v>67516.8</v>
      </c>
      <c r="M69" s="970" t="n">
        <v>76518.39999999999</v>
      </c>
      <c r="N69" s="970" t="n">
        <v>81004.39999999999</v>
      </c>
      <c r="O69" s="970" t="n">
        <v>-1042.3</v>
      </c>
      <c r="P69" s="1155">
        <f>SUM(L69:O69)</f>
        <v/>
      </c>
      <c r="Q69" s="970" t="n">
        <v>-938.9</v>
      </c>
      <c r="R69" s="970" t="n">
        <v>-792.8</v>
      </c>
      <c r="S69" s="1259" t="n">
        <v>94070.89999999999</v>
      </c>
      <c r="T69" s="1261" t="n">
        <v>77755</v>
      </c>
      <c r="U69" s="1217">
        <f>SUM(Q69:T69)</f>
        <v/>
      </c>
      <c r="V69" s="970" t="n"/>
      <c r="W69" s="970" t="n"/>
      <c r="X69" s="970" t="n"/>
      <c r="Y69" s="970" t="n"/>
    </row>
    <row r="70" ht="12" customFormat="1" customHeight="1" s="970">
      <c r="A70" s="1257" t="inlineStr">
        <is>
          <t>Transmission Services - LPG</t>
        </is>
      </c>
      <c r="B70" s="1258" t="n">
        <v>109001</v>
      </c>
      <c r="C70" s="970" t="n">
        <v>107365</v>
      </c>
      <c r="D70" s="970" t="n">
        <v>106716</v>
      </c>
      <c r="E70" s="970" t="n">
        <v>105095</v>
      </c>
      <c r="F70" s="1155">
        <f>SUM(B70:E70)</f>
        <v/>
      </c>
      <c r="G70" s="970" t="n">
        <v>102776</v>
      </c>
      <c r="H70" s="970" t="n">
        <v>101090</v>
      </c>
      <c r="I70" s="970" t="n">
        <v>9966.6</v>
      </c>
      <c r="J70" s="970" t="n">
        <v>98831</v>
      </c>
      <c r="K70" s="1155">
        <f>SUM(G70:J70)</f>
        <v/>
      </c>
      <c r="L70" s="970" t="n">
        <v>9526.5</v>
      </c>
      <c r="M70" s="970" t="n">
        <v>9510.299999999999</v>
      </c>
      <c r="N70" s="970" t="n">
        <v>9408.799999999999</v>
      </c>
      <c r="O70" s="970" t="n">
        <v>9526.299999999999</v>
      </c>
      <c r="P70" s="1155">
        <f>SUM(L70:O70)</f>
        <v/>
      </c>
      <c r="Q70" s="970" t="n">
        <v>8934.1</v>
      </c>
      <c r="R70" s="970" t="n">
        <v>8935.200000000001</v>
      </c>
      <c r="S70" s="1259" t="n">
        <v>8507.4</v>
      </c>
      <c r="T70" s="1260" t="n">
        <v>8655</v>
      </c>
      <c r="U70" s="1217">
        <f>SUM(Q70:T70)</f>
        <v/>
      </c>
      <c r="V70" s="970" t="n"/>
      <c r="W70" s="970" t="n"/>
      <c r="X70" s="970" t="n"/>
      <c r="Y70" s="970" t="n"/>
    </row>
    <row r="71" ht="12" customFormat="1" customHeight="1" s="970">
      <c r="A71" s="1257" t="inlineStr">
        <is>
          <t>Gailtel</t>
        </is>
      </c>
      <c r="B71" s="1258" t="n">
        <v>3055</v>
      </c>
      <c r="C71" s="970" t="n">
        <v>3078</v>
      </c>
      <c r="D71" s="970" t="n">
        <v>2934</v>
      </c>
      <c r="E71" s="970" t="n">
        <v>4745</v>
      </c>
      <c r="F71" s="1155">
        <f>SUM(B71:E71)</f>
        <v/>
      </c>
      <c r="G71" s="970" t="n">
        <v>4427</v>
      </c>
      <c r="H71" s="970" t="n">
        <v>4335</v>
      </c>
      <c r="I71" s="970" t="n">
        <v>406.9</v>
      </c>
      <c r="J71" s="970" t="n">
        <v>3732</v>
      </c>
      <c r="K71" s="1155">
        <f>SUM(G71:J71)</f>
        <v/>
      </c>
      <c r="L71" s="970" t="n">
        <v>358.7</v>
      </c>
      <c r="M71" s="970" t="n">
        <v>279</v>
      </c>
      <c r="N71" s="970" t="n">
        <v>301.3</v>
      </c>
      <c r="O71" s="970" t="n">
        <v>301.7</v>
      </c>
      <c r="P71" s="1155">
        <f>SUM(L71:O71)</f>
        <v/>
      </c>
      <c r="Q71" s="970" t="n">
        <v>259</v>
      </c>
      <c r="R71" s="970" t="n">
        <v>238.2</v>
      </c>
      <c r="S71" s="1259" t="n">
        <v>-860.7</v>
      </c>
      <c r="T71" s="1262" t="n">
        <v>250</v>
      </c>
      <c r="U71" s="1217">
        <f>SUM(Q71:T71)</f>
        <v/>
      </c>
      <c r="V71" s="970" t="n"/>
      <c r="W71" s="970" t="n"/>
      <c r="X71" s="970" t="n"/>
      <c r="Y71" s="970" t="n"/>
    </row>
    <row r="72" ht="12" customFormat="1" customHeight="1" s="970">
      <c r="A72" s="1263" t="inlineStr">
        <is>
          <t>Total</t>
        </is>
      </c>
      <c r="B72" s="1264">
        <f>SUM(B65:B71)</f>
        <v/>
      </c>
      <c r="C72" s="1222">
        <f>SUM(C66:C71)</f>
        <v/>
      </c>
      <c r="D72" s="1222">
        <f>SUM(D65:D71)</f>
        <v/>
      </c>
      <c r="E72" s="1222">
        <f>SUM(E65:E71)</f>
        <v/>
      </c>
      <c r="F72" s="1265">
        <f>F65+F66+F67+F68+F69+F70+F71</f>
        <v/>
      </c>
      <c r="G72" s="1222">
        <f>SUM(G65:G71)</f>
        <v/>
      </c>
      <c r="H72" s="1222">
        <f>SUM(H65:H71)</f>
        <v/>
      </c>
      <c r="I72" s="1222">
        <f>SUM(I65:I71)</f>
        <v/>
      </c>
      <c r="J72" s="1222">
        <f>SUM(J65:J71)</f>
        <v/>
      </c>
      <c r="K72" s="1265">
        <f>K65+K66+K67+K68+K69+K70+K71</f>
        <v/>
      </c>
      <c r="L72" s="1222">
        <f>SUM(L66:L71)</f>
        <v/>
      </c>
      <c r="M72" s="1222">
        <f>SUM(M66:M71)</f>
        <v/>
      </c>
      <c r="N72" s="1222">
        <f>SUM(N65:N71)</f>
        <v/>
      </c>
      <c r="O72" s="1222">
        <f>SUM(O65:O71)</f>
        <v/>
      </c>
      <c r="P72" s="1265">
        <f>P65+P66+P67+P68+P69+P70+P71</f>
        <v/>
      </c>
      <c r="Q72" s="1222">
        <f>SUM(Q65:Q71)</f>
        <v/>
      </c>
      <c r="R72" s="1222">
        <f>SUM(R65:R71)</f>
        <v/>
      </c>
      <c r="S72" s="1266">
        <f>SUM(S65:S71)</f>
        <v/>
      </c>
      <c r="T72" s="1260">
        <f>SUM(T65:T71)</f>
        <v/>
      </c>
      <c r="U72" s="1217">
        <f>SUM(Q72:T72)</f>
        <v/>
      </c>
      <c r="V72" s="970" t="n"/>
      <c r="W72" s="970" t="n"/>
      <c r="X72" s="970" t="n"/>
      <c r="Y72" s="970" t="n"/>
    </row>
    <row r="73" ht="11.25" customFormat="1" customHeight="1" s="970">
      <c r="A73" s="1257" t="inlineStr">
        <is>
          <t>Other Unallocable Items</t>
        </is>
      </c>
      <c r="B73" s="1258" t="n">
        <v>0</v>
      </c>
      <c r="C73" s="970" t="n">
        <v>0</v>
      </c>
      <c r="D73" s="970" t="n">
        <v>0</v>
      </c>
      <c r="E73" s="970" t="n">
        <v>0</v>
      </c>
      <c r="F73" s="1155">
        <f>SUM(B73:E73)</f>
        <v/>
      </c>
      <c r="G73" s="970" t="n">
        <v>0</v>
      </c>
      <c r="H73" s="970" t="n">
        <v>0</v>
      </c>
      <c r="I73" s="970" t="n">
        <v>41099.5</v>
      </c>
      <c r="J73" s="970" t="n">
        <v>0</v>
      </c>
      <c r="K73" s="1155">
        <f>SUM(G73:J73)</f>
        <v/>
      </c>
      <c r="L73" s="970" t="n">
        <v>0</v>
      </c>
      <c r="M73" s="970" t="n">
        <v>0</v>
      </c>
      <c r="N73" s="970" t="n">
        <v>0</v>
      </c>
      <c r="O73" s="970" t="n">
        <v>64148.3</v>
      </c>
      <c r="P73" s="1155">
        <f>SUM(L73:O73)</f>
        <v/>
      </c>
      <c r="Q73" s="970" t="n">
        <v>79778.5</v>
      </c>
      <c r="R73" s="970" t="n">
        <v>87698.3</v>
      </c>
      <c r="S73" s="1259" t="n">
        <v>0</v>
      </c>
      <c r="T73" s="1267" t="n">
        <v>0</v>
      </c>
      <c r="U73" s="1217">
        <f>SUM(Q73:T73)</f>
        <v/>
      </c>
      <c r="V73" s="970" t="n"/>
      <c r="W73" s="970" t="n"/>
      <c r="X73" s="970" t="n"/>
      <c r="Y73" s="970" t="n"/>
    </row>
    <row r="74" ht="12" customFormat="1" customHeight="1" s="970">
      <c r="A74" s="1268" t="inlineStr">
        <is>
          <t>Total</t>
        </is>
      </c>
      <c r="B74" s="1264">
        <f>SUM(B72:B73)</f>
        <v/>
      </c>
      <c r="C74" s="1222">
        <f>SUM(C72:C73)</f>
        <v/>
      </c>
      <c r="D74" s="1222">
        <f>SUM(D72:D73)</f>
        <v/>
      </c>
      <c r="E74" s="1222">
        <f>SUM(E72:E73)</f>
        <v/>
      </c>
      <c r="F74" s="1265">
        <f>B74+C74+D74+E74</f>
        <v/>
      </c>
      <c r="G74" s="1222">
        <f>G72+G73</f>
        <v/>
      </c>
      <c r="H74" s="1222">
        <f>SUM(H72:H73)</f>
        <v/>
      </c>
      <c r="I74" s="1222">
        <f>SUM(I72:I73)</f>
        <v/>
      </c>
      <c r="J74" s="1222">
        <f>SUM(J72:J73)</f>
        <v/>
      </c>
      <c r="K74" s="1265">
        <f>K72+K73</f>
        <v/>
      </c>
      <c r="L74" s="1222">
        <f>SUM(L72:L73)</f>
        <v/>
      </c>
      <c r="M74" s="1222">
        <f>SUM(M72:M73)</f>
        <v/>
      </c>
      <c r="N74" s="1222">
        <f>SUM(N72:N73)</f>
        <v/>
      </c>
      <c r="O74" s="1222">
        <f>SUM(O72:O73)</f>
        <v/>
      </c>
      <c r="P74" s="1265">
        <f>P72+P73</f>
        <v/>
      </c>
      <c r="Q74" s="1222">
        <f>SUM(Q72:Q73)</f>
        <v/>
      </c>
      <c r="R74" s="1222">
        <f>SUM(R72:R73)</f>
        <v/>
      </c>
      <c r="S74" s="1266">
        <f>SUM(S72:S73)</f>
        <v/>
      </c>
      <c r="T74" s="1269">
        <f>SUM(T72:T73)</f>
        <v/>
      </c>
      <c r="U74" s="1270">
        <f>SUM(U72:U73)</f>
        <v/>
      </c>
      <c r="V74" s="1271" t="n">
        <v>763900</v>
      </c>
      <c r="W74" s="1271" t="n">
        <v>163850</v>
      </c>
      <c r="X74" s="1271" t="n">
        <v>148640</v>
      </c>
      <c r="Y74" s="1271" t="n">
        <v>458000</v>
      </c>
    </row>
    <row r="75" ht="11.25" customFormat="1" customHeight="1" s="970">
      <c r="A75" s="970" t="n"/>
      <c r="B75" s="1258" t="n"/>
      <c r="C75" s="970" t="n"/>
      <c r="D75" s="970" t="n"/>
      <c r="E75" s="970" t="n"/>
      <c r="F75" s="1155" t="n"/>
      <c r="G75" s="970" t="n"/>
      <c r="H75" s="970" t="n"/>
      <c r="I75" s="970" t="n"/>
      <c r="J75" s="970" t="n"/>
      <c r="K75" s="1155" t="n"/>
      <c r="L75" s="970" t="n"/>
      <c r="M75" s="970" t="n"/>
      <c r="N75" s="970" t="n"/>
      <c r="P75" s="1155" t="n"/>
      <c r="S75" s="1259" t="n"/>
      <c r="T75" s="1272" t="n"/>
      <c r="U75" s="1273" t="n"/>
      <c r="V75" s="970" t="n"/>
      <c r="W75" s="970" t="n"/>
      <c r="X75" s="970" t="n"/>
      <c r="Y75" s="970" t="n"/>
    </row>
    <row r="76" ht="15.75" customFormat="1" customHeight="1" s="970">
      <c r="A76" s="1274" t="n"/>
      <c r="B76" s="1275" t="n"/>
      <c r="C76" s="1276" t="n"/>
      <c r="D76" s="1276" t="n"/>
      <c r="E76" s="1276" t="n"/>
      <c r="F76" s="1277" t="n"/>
      <c r="G76" s="1276" t="n"/>
      <c r="H76" s="1276" t="n"/>
      <c r="I76" s="1276" t="n"/>
      <c r="J76" s="1276" t="n"/>
      <c r="K76" s="1277" t="n"/>
      <c r="L76" s="1276" t="n"/>
      <c r="M76" s="1276" t="n"/>
      <c r="N76" s="1276" t="n"/>
      <c r="O76" s="1276" t="n"/>
      <c r="P76" s="1277" t="n"/>
      <c r="Q76" s="1276" t="n"/>
      <c r="R76" s="1276" t="n"/>
      <c r="S76" s="1278" t="n"/>
      <c r="T76" s="1279" t="n"/>
      <c r="U76" s="1280" t="n"/>
      <c r="V76" s="970" t="n"/>
      <c r="W76" s="970" t="n"/>
      <c r="X76" s="970" t="n"/>
      <c r="Y76" s="970" t="n"/>
    </row>
    <row r="77" ht="11.25" customFormat="1" customHeight="1" s="970">
      <c r="A77" s="970" t="n"/>
      <c r="B77" s="970" t="n"/>
      <c r="C77" s="970" t="n"/>
      <c r="D77" s="970" t="n"/>
      <c r="E77" s="970" t="n"/>
      <c r="F77" s="970" t="n"/>
      <c r="G77" s="970" t="n"/>
      <c r="H77" s="970" t="n"/>
      <c r="I77" s="970" t="n"/>
      <c r="J77" s="970" t="n"/>
      <c r="K77" s="970" t="n"/>
      <c r="L77" s="970" t="n"/>
      <c r="M77" s="970" t="n"/>
      <c r="N77" s="970" t="n"/>
      <c r="O77" s="970" t="n"/>
      <c r="P77" s="970" t="n"/>
      <c r="Q77" s="970" t="n"/>
      <c r="R77" s="970" t="n"/>
      <c r="S77" s="970" t="n"/>
      <c r="T77" s="970" t="n"/>
      <c r="U77" s="970" t="n"/>
      <c r="V77" s="970" t="n"/>
      <c r="W77" s="970" t="n"/>
      <c r="X77" s="970" t="n"/>
      <c r="Y77" s="970" t="n"/>
    </row>
    <row r="78" ht="12.75" customHeight="1" s="850">
      <c r="A78" s="880" t="n"/>
      <c r="F78" s="970" t="n"/>
    </row>
    <row r="79" ht="11.25" customHeight="1" s="850">
      <c r="F79" s="970" t="n"/>
    </row>
    <row r="80" ht="11.25" customHeight="1" s="850">
      <c r="F80" s="970" t="n"/>
    </row>
    <row r="81" ht="11.25" customHeight="1" s="850">
      <c r="F81" s="970" t="n"/>
    </row>
    <row r="82" ht="11.25" customHeight="1" s="850">
      <c r="F82" s="970" t="n"/>
    </row>
    <row r="83" ht="11.25" customHeight="1" s="850">
      <c r="F83" s="970" t="n"/>
    </row>
    <row r="84" ht="11.25" customHeight="1" s="850">
      <c r="F84" s="970" t="n"/>
    </row>
    <row r="85" ht="11.25" customHeight="1" s="850">
      <c r="F85" s="970" t="n"/>
    </row>
    <row r="86" ht="11.25" customHeight="1" s="850">
      <c r="F86" s="970" t="n"/>
    </row>
    <row r="87" ht="11.25" customHeight="1" s="850">
      <c r="F87" s="970" t="n"/>
    </row>
    <row r="88" ht="11.25" customHeight="1" s="850">
      <c r="F88" s="970" t="n"/>
    </row>
    <row r="89" ht="11.25" customHeight="1" s="850">
      <c r="F89" s="970" t="n"/>
    </row>
    <row r="90" ht="11.25" customHeight="1" s="850">
      <c r="F90" s="970" t="n"/>
    </row>
    <row r="91" ht="11.25" customHeight="1" s="850">
      <c r="F91" s="970" t="n"/>
    </row>
    <row r="92" ht="11.25" customHeight="1" s="850">
      <c r="F92" s="970" t="n"/>
    </row>
    <row r="93" ht="11.25" customHeight="1" s="850">
      <c r="F93" s="970" t="n"/>
    </row>
    <row r="94" ht="11.25" customHeight="1" s="850">
      <c r="F94" s="970" t="n"/>
    </row>
    <row r="95" ht="11.25" customHeight="1" s="850">
      <c r="F95" s="970" t="n"/>
    </row>
    <row r="96" ht="11.25" customHeight="1" s="850">
      <c r="F96" s="970" t="n"/>
    </row>
    <row r="97" ht="11.25" customHeight="1" s="850">
      <c r="F97" s="970" t="n"/>
    </row>
    <row r="98" ht="11.25" customHeight="1" s="850">
      <c r="F98" s="970" t="n"/>
    </row>
    <row r="99" ht="11.25" customHeight="1" s="850">
      <c r="F99" s="970" t="n"/>
    </row>
    <row r="100" ht="11.25" customHeight="1" s="850">
      <c r="F100" s="970" t="n"/>
    </row>
    <row r="101" ht="11.25" customHeight="1" s="850">
      <c r="F101" s="970" t="n"/>
    </row>
    <row r="102" ht="11.25" customHeight="1" s="850">
      <c r="F102" s="970" t="n"/>
    </row>
    <row r="103" ht="11.25" customHeight="1" s="850">
      <c r="F103" s="970" t="n"/>
    </row>
    <row r="104" ht="11.25" customHeight="1" s="850">
      <c r="F104" s="970" t="n"/>
    </row>
    <row r="105" ht="11.25" customHeight="1" s="850">
      <c r="F105" s="970" t="n"/>
    </row>
    <row r="106" ht="11.25" customHeight="1" s="850">
      <c r="F106" s="970" t="n"/>
    </row>
    <row r="107" ht="11.25" customHeight="1" s="850">
      <c r="F107" s="970" t="n"/>
    </row>
    <row r="108" ht="11.25" customHeight="1" s="850">
      <c r="F108" s="970" t="n"/>
    </row>
    <row r="109" ht="11.25" customHeight="1" s="850">
      <c r="F109" s="970" t="n"/>
    </row>
    <row r="110" ht="11.25" customHeight="1" s="850">
      <c r="F110" s="970" t="n"/>
    </row>
    <row r="111" ht="11.25" customHeight="1" s="850">
      <c r="F111" s="970" t="n"/>
    </row>
    <row r="112" ht="11.25" customHeight="1" s="850">
      <c r="F112" s="970" t="n"/>
    </row>
    <row r="113" ht="11.25" customHeight="1" s="850">
      <c r="F113" s="970" t="n"/>
    </row>
    <row r="114" ht="11.25" customHeight="1" s="850">
      <c r="F114" s="970" t="n"/>
    </row>
    <row r="115" ht="11.25" customHeight="1" s="850">
      <c r="F115" s="970" t="n"/>
    </row>
    <row r="116" ht="11.25" customHeight="1" s="850">
      <c r="F116" s="970" t="n"/>
    </row>
    <row r="117" ht="11.25" customHeight="1" s="850">
      <c r="F117" s="970" t="n"/>
    </row>
    <row r="118" ht="11.25" customHeight="1" s="850">
      <c r="F118" s="970" t="n"/>
    </row>
    <row r="119" ht="11.25" customHeight="1" s="850">
      <c r="F119" s="970" t="n"/>
    </row>
    <row r="120" ht="11.25" customHeight="1" s="850">
      <c r="F120" s="970" t="n"/>
    </row>
    <row r="121" ht="11.25" customHeight="1" s="850">
      <c r="F121" s="970" t="n"/>
    </row>
    <row r="122" ht="11.25" customHeight="1" s="850">
      <c r="F122" s="970" t="n"/>
    </row>
    <row r="123" ht="11.25" customHeight="1" s="850">
      <c r="F123" s="970" t="n"/>
    </row>
    <row r="124" ht="11.25" customHeight="1" s="850">
      <c r="F124" s="970" t="n"/>
    </row>
    <row r="125" ht="11.25" customHeight="1" s="850">
      <c r="F125" s="970" t="n"/>
    </row>
    <row r="126" ht="11.25" customHeight="1" s="850">
      <c r="F126" s="970" t="n"/>
    </row>
    <row r="127" ht="11.25" customHeight="1" s="850">
      <c r="F127" s="970" t="n"/>
    </row>
    <row r="128" ht="11.25" customHeight="1" s="850">
      <c r="F128" s="970" t="n"/>
    </row>
    <row r="129" ht="11.25" customHeight="1" s="850">
      <c r="F129" s="970" t="n"/>
    </row>
    <row r="130" ht="11.25" customHeight="1" s="850">
      <c r="F130" s="970" t="n"/>
    </row>
    <row r="131" ht="11.25" customHeight="1" s="850">
      <c r="F131" s="970" t="n"/>
    </row>
    <row r="132" ht="11.25" customHeight="1" s="850">
      <c r="F132" s="970" t="n"/>
    </row>
    <row r="133" ht="11.25" customHeight="1" s="850">
      <c r="F133" s="970" t="n"/>
    </row>
    <row r="134" ht="11.25" customHeight="1" s="850">
      <c r="F134" s="970" t="n"/>
    </row>
    <row r="135" ht="11.25" customHeight="1" s="850">
      <c r="F135" s="970" t="n"/>
    </row>
    <row r="136" ht="11.25" customHeight="1" s="850">
      <c r="F136" s="970" t="n"/>
    </row>
    <row r="137" ht="11.25" customHeight="1" s="850">
      <c r="F137" s="970" t="n"/>
    </row>
    <row r="138" ht="11.25" customHeight="1" s="850">
      <c r="F138" s="970" t="n"/>
    </row>
    <row r="139" ht="11.25" customHeight="1" s="850">
      <c r="F139" s="970" t="n"/>
    </row>
    <row r="140" ht="11.25" customHeight="1" s="850">
      <c r="F140" s="970" t="n"/>
    </row>
    <row r="141" ht="11.25" customHeight="1" s="850">
      <c r="F141" s="970" t="n"/>
    </row>
    <row r="142" ht="11.25" customHeight="1" s="850">
      <c r="F142" s="970" t="n"/>
    </row>
    <row r="143" ht="11.25" customHeight="1" s="850">
      <c r="F143" s="970" t="n"/>
    </row>
    <row r="144" ht="11.25" customHeight="1" s="850">
      <c r="F144" s="970" t="n"/>
    </row>
    <row r="145" ht="11.25" customHeight="1" s="850">
      <c r="F145" s="970" t="n"/>
    </row>
    <row r="146" ht="11.25" customHeight="1" s="850">
      <c r="F146" s="970" t="n"/>
    </row>
    <row r="147" ht="11.25" customHeight="1" s="850">
      <c r="F147" s="970" t="n"/>
    </row>
    <row r="148" ht="11.25" customHeight="1" s="850">
      <c r="F148" s="970" t="n"/>
    </row>
    <row r="149" ht="11.25" customHeight="1" s="850">
      <c r="F149" s="970" t="n"/>
    </row>
    <row r="150" ht="11.25" customHeight="1" s="850">
      <c r="F150" s="970" t="n"/>
    </row>
    <row r="151" ht="11.25" customHeight="1" s="850">
      <c r="F151" s="970" t="n"/>
    </row>
    <row r="152" ht="11.25" customHeight="1" s="850">
      <c r="F152" s="970" t="n"/>
    </row>
    <row r="153" ht="11.25" customHeight="1" s="850">
      <c r="F153" s="970" t="n"/>
    </row>
    <row r="154" ht="11.25" customHeight="1" s="850">
      <c r="F154" s="970" t="n"/>
    </row>
    <row r="155" ht="11.25" customHeight="1" s="850">
      <c r="F155" s="970" t="n"/>
    </row>
    <row r="156" ht="11.25" customHeight="1" s="850">
      <c r="F156" s="970" t="n"/>
    </row>
    <row r="157" ht="11.25" customHeight="1" s="850">
      <c r="F157" s="970" t="n"/>
    </row>
    <row r="158" ht="11.25" customHeight="1" s="850">
      <c r="F158" s="970" t="n"/>
    </row>
    <row r="159" ht="11.25" customHeight="1" s="850">
      <c r="F159" s="970" t="n"/>
    </row>
    <row r="160" ht="11.25" customHeight="1" s="850">
      <c r="F160" s="970" t="n"/>
    </row>
    <row r="161" ht="11.25" customHeight="1" s="850">
      <c r="F161" s="970" t="n"/>
    </row>
    <row r="162" ht="11.25" customHeight="1" s="850">
      <c r="F162" s="970" t="n"/>
    </row>
    <row r="163" ht="11.25" customHeight="1" s="850">
      <c r="F163" s="970" t="n"/>
    </row>
    <row r="164" ht="11.25" customHeight="1" s="850">
      <c r="F164" s="970" t="n"/>
    </row>
    <row r="165" ht="11.25" customHeight="1" s="850">
      <c r="F165" s="970" t="n"/>
    </row>
    <row r="166" ht="11.25" customHeight="1" s="850">
      <c r="F166" s="970" t="n"/>
    </row>
    <row r="167" ht="11.25" customHeight="1" s="850">
      <c r="F167" s="970" t="n"/>
    </row>
    <row r="168" ht="11.25" customHeight="1" s="850">
      <c r="F168" s="970" t="n"/>
    </row>
    <row r="169" ht="11.25" customHeight="1" s="850">
      <c r="F169" s="970" t="n"/>
    </row>
    <row r="170" ht="11.25" customHeight="1" s="850">
      <c r="F170" s="970" t="n"/>
    </row>
    <row r="171" ht="11.25" customHeight="1" s="850">
      <c r="F171" s="970" t="n"/>
    </row>
    <row r="172" ht="11.25" customHeight="1" s="850">
      <c r="F172" s="970" t="n"/>
    </row>
    <row r="173" ht="11.25" customHeight="1" s="850">
      <c r="F173" s="970" t="n"/>
    </row>
    <row r="174" ht="11.25" customHeight="1" s="850">
      <c r="F174" s="970" t="n"/>
    </row>
    <row r="175" ht="11.25" customHeight="1" s="850">
      <c r="F175" s="970" t="n"/>
    </row>
    <row r="176" ht="11.25" customHeight="1" s="850">
      <c r="F176" s="970" t="n"/>
    </row>
    <row r="177" ht="11.25" customHeight="1" s="850">
      <c r="F177" s="970" t="n"/>
    </row>
    <row r="178" ht="11.25" customHeight="1" s="850">
      <c r="F178" s="970" t="n"/>
    </row>
    <row r="179" ht="11.25" customHeight="1" s="850">
      <c r="F179" s="970" t="n"/>
    </row>
    <row r="180" ht="11.25" customHeight="1" s="850">
      <c r="F180" s="970" t="n"/>
    </row>
    <row r="181" ht="11.25" customHeight="1" s="850">
      <c r="F181" s="970" t="n"/>
    </row>
    <row r="182" ht="11.25" customHeight="1" s="850">
      <c r="F182" s="970" t="n"/>
    </row>
    <row r="183" ht="11.25" customHeight="1" s="850">
      <c r="F183" s="970" t="n"/>
    </row>
    <row r="184" ht="11.25" customHeight="1" s="850">
      <c r="F184" s="970" t="n"/>
    </row>
    <row r="185" ht="11.25" customHeight="1" s="850">
      <c r="F185" s="970" t="n"/>
    </row>
    <row r="186" ht="11.25" customHeight="1" s="850">
      <c r="F186" s="970" t="n"/>
    </row>
    <row r="187" ht="11.25" customHeight="1" s="850">
      <c r="F187" s="970" t="n"/>
    </row>
    <row r="188" ht="11.25" customHeight="1" s="850">
      <c r="F188" s="970" t="n"/>
    </row>
    <row r="189" ht="11.25" customHeight="1" s="850">
      <c r="F189" s="970" t="n"/>
    </row>
    <row r="190" ht="11.25" customHeight="1" s="850">
      <c r="F190" s="970" t="n"/>
    </row>
    <row r="191" ht="11.25" customHeight="1" s="850">
      <c r="F191" s="970" t="n"/>
    </row>
    <row r="192" ht="11.25" customHeight="1" s="850">
      <c r="F192" s="970" t="n"/>
    </row>
    <row r="193" ht="11.25" customHeight="1" s="850">
      <c r="F193" s="970" t="n"/>
    </row>
    <row r="194" ht="11.25" customHeight="1" s="850">
      <c r="F194" s="970" t="n"/>
    </row>
    <row r="195" ht="11.25" customHeight="1" s="850">
      <c r="F195" s="970" t="n"/>
    </row>
    <row r="196" ht="11.25" customHeight="1" s="850">
      <c r="F196" s="970" t="n"/>
    </row>
    <row r="197" ht="11.25" customHeight="1" s="850">
      <c r="F197" s="970" t="n"/>
    </row>
    <row r="198" ht="11.25" customHeight="1" s="850">
      <c r="F198" s="970" t="n"/>
    </row>
    <row r="199" ht="11.25" customHeight="1" s="850">
      <c r="F199" s="970" t="n"/>
    </row>
    <row r="200" ht="11.25" customHeight="1" s="850">
      <c r="F200" s="970" t="n"/>
    </row>
    <row r="201" ht="11.25" customHeight="1" s="850">
      <c r="F201" s="970" t="n"/>
    </row>
    <row r="202" ht="11.25" customHeight="1" s="850">
      <c r="F202" s="970" t="n"/>
    </row>
    <row r="203" ht="11.25" customHeight="1" s="850">
      <c r="F203" s="970" t="n"/>
    </row>
    <row r="204" ht="11.25" customHeight="1" s="850">
      <c r="F204" s="970" t="n"/>
    </row>
    <row r="205" ht="11.25" customHeight="1" s="850">
      <c r="F205" s="970" t="n"/>
    </row>
    <row r="206" ht="11.25" customHeight="1" s="850">
      <c r="F206" s="970" t="n"/>
    </row>
    <row r="207" ht="11.25" customHeight="1" s="850">
      <c r="F207" s="970" t="n"/>
    </row>
    <row r="208" ht="11.25" customHeight="1" s="850">
      <c r="F208" s="970" t="n"/>
    </row>
    <row r="209" ht="11.25" customHeight="1" s="850">
      <c r="F209" s="970" t="n"/>
    </row>
    <row r="210" ht="11.25" customHeight="1" s="850">
      <c r="F210" s="970" t="n"/>
    </row>
    <row r="211" ht="11.25" customHeight="1" s="850">
      <c r="F211" s="970" t="n"/>
    </row>
    <row r="212" ht="11.25" customHeight="1" s="850">
      <c r="F212" s="970" t="n"/>
    </row>
    <row r="213" ht="11.25" customHeight="1" s="850">
      <c r="F213" s="970" t="n"/>
    </row>
    <row r="214" ht="11.25" customHeight="1" s="850">
      <c r="F214" s="970" t="n"/>
    </row>
    <row r="215" ht="11.25" customHeight="1" s="850">
      <c r="F215" s="970" t="n"/>
    </row>
    <row r="216" ht="11.25" customHeight="1" s="850">
      <c r="F216" s="970" t="n"/>
    </row>
    <row r="217" ht="11.25" customHeight="1" s="850">
      <c r="F217" s="970" t="n"/>
    </row>
    <row r="218" ht="11.25" customHeight="1" s="850">
      <c r="F218" s="970" t="n"/>
    </row>
    <row r="219" ht="11.25" customHeight="1" s="850">
      <c r="F219" s="970" t="n"/>
    </row>
    <row r="220" ht="11.25" customHeight="1" s="850">
      <c r="F220" s="970" t="n"/>
    </row>
    <row r="221" ht="11.25" customHeight="1" s="850">
      <c r="F221" s="970" t="n"/>
    </row>
    <row r="222" ht="11.25" customHeight="1" s="850">
      <c r="F222" s="970" t="n"/>
    </row>
    <row r="223" ht="11.25" customHeight="1" s="850">
      <c r="F223" s="970" t="n"/>
    </row>
    <row r="224" ht="11.25" customHeight="1" s="850">
      <c r="F224" s="970" t="n"/>
    </row>
    <row r="225" ht="11.25" customHeight="1" s="850">
      <c r="F225" s="970" t="n"/>
    </row>
    <row r="226" ht="11.25" customHeight="1" s="850">
      <c r="F226" s="970" t="n"/>
    </row>
    <row r="227" ht="11.25" customHeight="1" s="850">
      <c r="F227" s="970" t="n"/>
    </row>
    <row r="228" ht="11.25" customHeight="1" s="850">
      <c r="F228" s="970" t="n"/>
    </row>
    <row r="229" ht="11.25" customHeight="1" s="850">
      <c r="F229" s="970" t="n"/>
    </row>
    <row r="230" ht="11.25" customHeight="1" s="850">
      <c r="F230" s="970" t="n"/>
    </row>
    <row r="231" ht="11.25" customHeight="1" s="850">
      <c r="F231" s="970" t="n"/>
    </row>
    <row r="232" ht="11.25" customHeight="1" s="850">
      <c r="F232" s="970" t="n"/>
    </row>
    <row r="233" ht="11.25" customHeight="1" s="850">
      <c r="F233" s="970" t="n"/>
    </row>
    <row r="234" ht="11.25" customHeight="1" s="850">
      <c r="F234" s="970" t="n"/>
    </row>
    <row r="235" ht="11.25" customHeight="1" s="850">
      <c r="F235" s="970" t="n"/>
    </row>
    <row r="236" ht="11.25" customHeight="1" s="850">
      <c r="F236" s="970" t="n"/>
    </row>
    <row r="237" ht="11.25" customHeight="1" s="850">
      <c r="F237" s="970" t="n"/>
    </row>
    <row r="238" ht="11.25" customHeight="1" s="850">
      <c r="F238" s="970" t="n"/>
    </row>
    <row r="239" ht="11.25" customHeight="1" s="850">
      <c r="F239" s="970" t="n"/>
    </row>
    <row r="240" ht="11.25" customHeight="1" s="850">
      <c r="F240" s="970" t="n"/>
    </row>
    <row r="241" ht="11.25" customHeight="1" s="850">
      <c r="F241" s="970" t="n"/>
    </row>
    <row r="242" ht="11.25" customHeight="1" s="850">
      <c r="F242" s="970" t="n"/>
    </row>
    <row r="243" ht="11.25" customHeight="1" s="850">
      <c r="F243" s="970" t="n"/>
    </row>
    <row r="244" ht="11.25" customHeight="1" s="850">
      <c r="F244" s="970" t="n"/>
    </row>
    <row r="245" ht="11.25" customHeight="1" s="850">
      <c r="F245" s="970" t="n"/>
    </row>
    <row r="246" ht="11.25" customHeight="1" s="850">
      <c r="F246" s="970" t="n"/>
    </row>
    <row r="247" ht="11.25" customHeight="1" s="850">
      <c r="F247" s="970" t="n"/>
    </row>
    <row r="248" ht="11.25" customHeight="1" s="850">
      <c r="F248" s="970" t="n"/>
    </row>
    <row r="249" ht="11.25" customHeight="1" s="850">
      <c r="F249" s="970" t="n"/>
    </row>
    <row r="250" ht="11.25" customHeight="1" s="850">
      <c r="F250" s="970" t="n"/>
    </row>
    <row r="251" ht="11.25" customHeight="1" s="850">
      <c r="F251" s="970" t="n"/>
    </row>
    <row r="252" ht="11.25" customHeight="1" s="850">
      <c r="F252" s="970" t="n"/>
    </row>
    <row r="253" ht="11.25" customHeight="1" s="850">
      <c r="F253" s="970" t="n"/>
    </row>
    <row r="254" ht="11.25" customHeight="1" s="850">
      <c r="F254" s="970" t="n"/>
    </row>
    <row r="255" ht="11.25" customHeight="1" s="850">
      <c r="F255" s="970" t="n"/>
    </row>
    <row r="256" ht="11.25" customHeight="1" s="850">
      <c r="F256" s="970" t="n"/>
    </row>
    <row r="257" ht="11.25" customHeight="1" s="850">
      <c r="F257" s="970" t="n"/>
    </row>
    <row r="258" ht="11.25" customHeight="1" s="850">
      <c r="F258" s="970" t="n"/>
    </row>
    <row r="259" ht="11.25" customHeight="1" s="850">
      <c r="F259" s="970" t="n"/>
    </row>
    <row r="260" ht="11.25" customHeight="1" s="850">
      <c r="F260" s="970" t="n"/>
    </row>
    <row r="261" ht="11.25" customHeight="1" s="850">
      <c r="F261" s="970" t="n"/>
    </row>
    <row r="262" ht="11.25" customHeight="1" s="850">
      <c r="F262" s="970" t="n"/>
    </row>
    <row r="263" ht="11.25" customHeight="1" s="850">
      <c r="F263" s="970" t="n"/>
    </row>
    <row r="264" ht="11.25" customHeight="1" s="850">
      <c r="F264" s="970" t="n"/>
    </row>
    <row r="265" ht="11.25" customHeight="1" s="850">
      <c r="F265" s="970" t="n"/>
    </row>
    <row r="266" ht="11.25" customHeight="1" s="850">
      <c r="F266" s="970" t="n"/>
    </row>
    <row r="267" ht="11.25" customHeight="1" s="850">
      <c r="F267" s="970" t="n"/>
    </row>
    <row r="268" ht="11.25" customHeight="1" s="850">
      <c r="F268" s="970" t="n"/>
    </row>
    <row r="269" ht="11.25" customHeight="1" s="850">
      <c r="F269" s="970" t="n"/>
    </row>
    <row r="270" ht="11.25" customHeight="1" s="850">
      <c r="F270" s="970" t="n"/>
    </row>
    <row r="271" ht="11.25" customHeight="1" s="850">
      <c r="F271" s="970" t="n"/>
    </row>
    <row r="272" ht="11.25" customHeight="1" s="850">
      <c r="F272" s="970" t="n"/>
    </row>
    <row r="273" ht="11.25" customHeight="1" s="850">
      <c r="F273" s="970" t="n"/>
    </row>
    <row r="274" ht="11.25" customHeight="1" s="850">
      <c r="F274" s="970" t="n"/>
    </row>
    <row r="275" ht="11.25" customHeight="1" s="850">
      <c r="F275" s="970" t="n"/>
    </row>
    <row r="276" ht="11.25" customHeight="1" s="850">
      <c r="F276" s="970" t="n"/>
    </row>
    <row r="277" ht="11.25" customHeight="1" s="850">
      <c r="F277" s="970" t="n"/>
    </row>
    <row r="278" ht="11.25" customHeight="1" s="850">
      <c r="F278" s="970" t="n"/>
    </row>
    <row r="279" ht="11.25" customHeight="1" s="850">
      <c r="F279" s="970" t="n"/>
    </row>
    <row r="280" ht="11.25" customHeight="1" s="850">
      <c r="F280" s="970" t="n"/>
    </row>
    <row r="281" ht="11.25" customHeight="1" s="850">
      <c r="F281" s="970" t="n"/>
    </row>
    <row r="282" ht="11.25" customHeight="1" s="850">
      <c r="F282" s="970" t="n"/>
    </row>
    <row r="283" ht="11.25" customHeight="1" s="850">
      <c r="F283" s="970" t="n"/>
    </row>
    <row r="284" ht="11.25" customHeight="1" s="850">
      <c r="F284" s="970" t="n"/>
    </row>
    <row r="285" ht="11.25" customHeight="1" s="850">
      <c r="F285" s="970" t="n"/>
    </row>
    <row r="286" ht="11.25" customHeight="1" s="850">
      <c r="F286" s="970" t="n"/>
    </row>
    <row r="287" ht="11.25" customHeight="1" s="850">
      <c r="F287" s="970" t="n"/>
    </row>
    <row r="288" ht="11.25" customHeight="1" s="850">
      <c r="F288" s="970" t="n"/>
    </row>
    <row r="289" ht="11.25" customHeight="1" s="850">
      <c r="F289" s="970" t="n"/>
    </row>
    <row r="290" ht="11.25" customHeight="1" s="850">
      <c r="F290" s="970" t="n"/>
    </row>
    <row r="291" ht="11.25" customHeight="1" s="850">
      <c r="F291" s="970" t="n"/>
    </row>
    <row r="292" ht="11.25" customHeight="1" s="850">
      <c r="F292" s="970" t="n"/>
    </row>
    <row r="293" ht="11.25" customHeight="1" s="850">
      <c r="F293" s="970" t="n"/>
    </row>
    <row r="294" ht="11.25" customHeight="1" s="850">
      <c r="F294" s="970" t="n"/>
    </row>
    <row r="295" ht="11.25" customHeight="1" s="850">
      <c r="F295" s="970" t="n"/>
    </row>
    <row r="296" ht="11.25" customHeight="1" s="850">
      <c r="F296" s="970" t="n"/>
    </row>
    <row r="297" ht="11.25" customHeight="1" s="850">
      <c r="F297" s="970" t="n"/>
    </row>
    <row r="298" ht="11.25" customHeight="1" s="850">
      <c r="F298" s="970" t="n"/>
    </row>
    <row r="299" ht="11.25" customHeight="1" s="850">
      <c r="F299" s="970" t="n"/>
    </row>
    <row r="300" ht="11.25" customHeight="1" s="850">
      <c r="F300" s="970" t="n"/>
    </row>
    <row r="301" ht="11.25" customHeight="1" s="850">
      <c r="F301" s="970" t="n"/>
    </row>
    <row r="302" ht="11.25" customHeight="1" s="850">
      <c r="F302" s="970" t="n"/>
    </row>
    <row r="303" ht="11.25" customHeight="1" s="850">
      <c r="F303" s="970" t="n"/>
    </row>
    <row r="304" ht="11.25" customHeight="1" s="850">
      <c r="F304" s="970" t="n"/>
    </row>
    <row r="305" ht="11.25" customHeight="1" s="850">
      <c r="F305" s="970" t="n"/>
    </row>
    <row r="306" ht="11.25" customHeight="1" s="850">
      <c r="F306" s="970" t="n"/>
    </row>
    <row r="307" ht="11.25" customHeight="1" s="850">
      <c r="F307" s="970" t="n"/>
    </row>
    <row r="308" ht="11.25" customHeight="1" s="850">
      <c r="F308" s="970" t="n"/>
    </row>
    <row r="309" ht="11.25" customHeight="1" s="850">
      <c r="F309" s="970" t="n"/>
    </row>
    <row r="310" ht="11.25" customHeight="1" s="850">
      <c r="F310" s="970" t="n"/>
    </row>
    <row r="311" ht="11.25" customHeight="1" s="850">
      <c r="F311" s="970" t="n"/>
    </row>
    <row r="312" ht="11.25" customHeight="1" s="850">
      <c r="F312" s="970" t="n"/>
    </row>
    <row r="313" ht="11.25" customHeight="1" s="850">
      <c r="F313" s="970" t="n"/>
    </row>
    <row r="314" ht="11.25" customHeight="1" s="850">
      <c r="F314" s="970" t="n"/>
    </row>
    <row r="315" ht="11.25" customHeight="1" s="850">
      <c r="F315" s="970" t="n"/>
    </row>
    <row r="316" ht="11.25" customHeight="1" s="850">
      <c r="F316" s="970" t="n"/>
    </row>
    <row r="317" ht="11.25" customHeight="1" s="850">
      <c r="F317" s="970" t="n"/>
    </row>
    <row r="318" ht="11.25" customHeight="1" s="850">
      <c r="F318" s="970" t="n"/>
    </row>
    <row r="319" ht="11.25" customHeight="1" s="850">
      <c r="F319" s="970" t="n"/>
    </row>
    <row r="320" ht="11.25" customHeight="1" s="850">
      <c r="F320" s="970" t="n"/>
    </row>
    <row r="321" ht="11.25" customHeight="1" s="850">
      <c r="F321" s="970" t="n"/>
    </row>
    <row r="322" ht="11.25" customHeight="1" s="850">
      <c r="F322" s="970" t="n"/>
    </row>
    <row r="323" ht="11.25" customHeight="1" s="850">
      <c r="F323" s="970" t="n"/>
    </row>
    <row r="324" ht="11.25" customHeight="1" s="850">
      <c r="F324" s="970" t="n"/>
    </row>
    <row r="325" ht="11.25" customHeight="1" s="850">
      <c r="F325" s="970" t="n"/>
    </row>
    <row r="326" ht="11.25" customHeight="1" s="850">
      <c r="F326" s="970" t="n"/>
    </row>
    <row r="327" ht="11.25" customHeight="1" s="850">
      <c r="F327" s="970" t="n"/>
    </row>
    <row r="328" ht="11.25" customHeight="1" s="850">
      <c r="F328" s="970" t="n"/>
    </row>
    <row r="329" ht="11.25" customHeight="1" s="850">
      <c r="F329" s="970" t="n"/>
    </row>
    <row r="330" ht="11.25" customHeight="1" s="850">
      <c r="F330" s="970" t="n"/>
    </row>
    <row r="331" ht="11.25" customHeight="1" s="850">
      <c r="F331" s="970" t="n"/>
    </row>
    <row r="332" ht="11.25" customHeight="1" s="850">
      <c r="F332" s="970" t="n"/>
    </row>
    <row r="333" ht="11.25" customHeight="1" s="850">
      <c r="F333" s="970" t="n"/>
    </row>
    <row r="334" ht="11.25" customHeight="1" s="850">
      <c r="F334" s="970" t="n"/>
    </row>
    <row r="335" ht="11.25" customHeight="1" s="850">
      <c r="F335" s="970" t="n"/>
    </row>
    <row r="336" ht="11.25" customHeight="1" s="850">
      <c r="F336" s="970" t="n"/>
    </row>
    <row r="337" ht="11.25" customHeight="1" s="850">
      <c r="F337" s="970" t="n"/>
    </row>
    <row r="338" ht="11.25" customHeight="1" s="850">
      <c r="F338" s="970" t="n"/>
    </row>
    <row r="339" ht="11.25" customHeight="1" s="850">
      <c r="F339" s="970" t="n"/>
    </row>
    <row r="340" ht="11.25" customHeight="1" s="850">
      <c r="F340" s="970" t="n"/>
    </row>
    <row r="341" ht="11.25" customHeight="1" s="850">
      <c r="F341" s="970" t="n"/>
    </row>
    <row r="342" ht="11.25" customHeight="1" s="850">
      <c r="F342" s="970" t="n"/>
    </row>
    <row r="343" ht="11.25" customHeight="1" s="850">
      <c r="F343" s="970" t="n"/>
    </row>
    <row r="344" ht="11.25" customHeight="1" s="850">
      <c r="F344" s="970" t="n"/>
    </row>
    <row r="345" ht="11.25" customHeight="1" s="850">
      <c r="F345" s="970" t="n"/>
    </row>
    <row r="346" ht="11.25" customHeight="1" s="850">
      <c r="F346" s="970" t="n"/>
    </row>
    <row r="347" ht="11.25" customHeight="1" s="850">
      <c r="F347" s="970" t="n"/>
    </row>
    <row r="348" ht="11.25" customHeight="1" s="850">
      <c r="F348" s="970" t="n"/>
    </row>
    <row r="349" ht="11.25" customHeight="1" s="850">
      <c r="F349" s="970" t="n"/>
    </row>
    <row r="350" ht="11.25" customHeight="1" s="850">
      <c r="F350" s="970" t="n"/>
    </row>
    <row r="351" ht="11.25" customHeight="1" s="850">
      <c r="F351" s="970" t="n"/>
    </row>
    <row r="352" ht="11.25" customHeight="1" s="850">
      <c r="F352" s="970" t="n"/>
    </row>
    <row r="353" ht="11.25" customHeight="1" s="850">
      <c r="F353" s="970" t="n"/>
    </row>
    <row r="354" ht="11.25" customHeight="1" s="850">
      <c r="F354" s="970" t="n"/>
    </row>
    <row r="355" ht="11.25" customHeight="1" s="850">
      <c r="F355" s="970" t="n"/>
    </row>
    <row r="356" ht="11.25" customHeight="1" s="850">
      <c r="F356" s="970" t="n"/>
    </row>
    <row r="357" ht="11.25" customHeight="1" s="850">
      <c r="F357" s="970" t="n"/>
    </row>
    <row r="358" ht="11.25" customHeight="1" s="850">
      <c r="F358" s="970" t="n"/>
    </row>
    <row r="359" ht="11.25" customHeight="1" s="850">
      <c r="F359" s="970" t="n"/>
    </row>
    <row r="360" ht="11.25" customHeight="1" s="850">
      <c r="F360" s="970" t="n"/>
    </row>
    <row r="361" ht="11.25" customHeight="1" s="850">
      <c r="F361" s="970" t="n"/>
    </row>
    <row r="362" ht="11.25" customHeight="1" s="850">
      <c r="F362" s="970" t="n"/>
    </row>
    <row r="363" ht="11.25" customHeight="1" s="850">
      <c r="F363" s="970" t="n"/>
    </row>
    <row r="364" ht="11.25" customHeight="1" s="850">
      <c r="F364" s="970" t="n"/>
    </row>
    <row r="365" ht="11.25" customHeight="1" s="850">
      <c r="F365" s="970" t="n"/>
    </row>
    <row r="366" ht="11.25" customHeight="1" s="850">
      <c r="F366" s="970" t="n"/>
    </row>
    <row r="367" ht="11.25" customHeight="1" s="850">
      <c r="F367" s="970" t="n"/>
    </row>
    <row r="368" ht="11.25" customHeight="1" s="850">
      <c r="F368" s="970" t="n"/>
    </row>
    <row r="369" ht="11.25" customHeight="1" s="850">
      <c r="F369" s="970" t="n"/>
    </row>
    <row r="370" ht="11.25" customHeight="1" s="850">
      <c r="F370" s="970" t="n"/>
    </row>
    <row r="371" ht="11.25" customHeight="1" s="850">
      <c r="F371" s="970" t="n"/>
    </row>
    <row r="372" ht="11.25" customHeight="1" s="850">
      <c r="F372" s="970" t="n"/>
    </row>
    <row r="373" ht="11.25" customHeight="1" s="850">
      <c r="F373" s="970" t="n"/>
    </row>
    <row r="374" ht="11.25" customHeight="1" s="850">
      <c r="F374" s="970" t="n"/>
    </row>
    <row r="375" ht="11.25" customHeight="1" s="850">
      <c r="F375" s="970" t="n"/>
    </row>
    <row r="376" ht="11.25" customHeight="1" s="850">
      <c r="F376" s="970" t="n"/>
    </row>
    <row r="377" ht="11.25" customHeight="1" s="850">
      <c r="F377" s="970" t="n"/>
    </row>
    <row r="378" ht="11.25" customHeight="1" s="850">
      <c r="F378" s="970" t="n"/>
    </row>
    <row r="379" ht="11.25" customHeight="1" s="850">
      <c r="F379" s="970" t="n"/>
    </row>
    <row r="380" ht="11.25" customHeight="1" s="850">
      <c r="F380" s="970" t="n"/>
    </row>
    <row r="381" ht="11.25" customHeight="1" s="850">
      <c r="F381" s="970" t="n"/>
    </row>
    <row r="382" ht="11.25" customHeight="1" s="850">
      <c r="F382" s="970" t="n"/>
    </row>
    <row r="383" ht="11.25" customHeight="1" s="850">
      <c r="F383" s="970" t="n"/>
    </row>
    <row r="384" ht="11.25" customHeight="1" s="850">
      <c r="F384" s="970" t="n"/>
    </row>
    <row r="385" ht="11.25" customHeight="1" s="850">
      <c r="F385" s="970" t="n"/>
    </row>
    <row r="386" ht="11.25" customHeight="1" s="850">
      <c r="F386" s="970" t="n"/>
    </row>
    <row r="387" ht="11.25" customHeight="1" s="850">
      <c r="F387" s="970" t="n"/>
    </row>
    <row r="388" ht="11.25" customHeight="1" s="850">
      <c r="F388" s="970" t="n"/>
    </row>
    <row r="389" ht="11.25" customHeight="1" s="850">
      <c r="F389" s="970" t="n"/>
    </row>
    <row r="390" ht="11.25" customHeight="1" s="850">
      <c r="F390" s="970" t="n"/>
    </row>
    <row r="391" ht="11.25" customHeight="1" s="850">
      <c r="F391" s="970" t="n"/>
    </row>
    <row r="392" ht="11.25" customHeight="1" s="850">
      <c r="F392" s="970" t="n"/>
    </row>
    <row r="393" ht="11.25" customHeight="1" s="850">
      <c r="F393" s="970" t="n"/>
    </row>
    <row r="394" ht="11.25" customHeight="1" s="850">
      <c r="F394" s="970" t="n"/>
    </row>
    <row r="395" ht="11.25" customHeight="1" s="850">
      <c r="F395" s="970" t="n"/>
    </row>
    <row r="396" ht="11.25" customHeight="1" s="850">
      <c r="F396" s="970" t="n"/>
    </row>
    <row r="397" ht="11.25" customHeight="1" s="850">
      <c r="F397" s="970" t="n"/>
    </row>
    <row r="398" ht="11.25" customHeight="1" s="850">
      <c r="F398" s="970" t="n"/>
    </row>
    <row r="399" ht="11.25" customHeight="1" s="850">
      <c r="F399" s="970" t="n"/>
    </row>
    <row r="400" ht="11.25" customHeight="1" s="850">
      <c r="F400" s="970" t="n"/>
    </row>
    <row r="401" ht="11.25" customHeight="1" s="850">
      <c r="F401" s="970" t="n"/>
    </row>
    <row r="402" ht="11.25" customHeight="1" s="850">
      <c r="F402" s="970" t="n"/>
    </row>
    <row r="403" ht="11.25" customHeight="1" s="850">
      <c r="F403" s="970" t="n"/>
    </row>
    <row r="404" ht="11.25" customHeight="1" s="850">
      <c r="F404" s="970" t="n"/>
    </row>
    <row r="405" ht="11.25" customHeight="1" s="850">
      <c r="F405" s="970" t="n"/>
    </row>
    <row r="406" ht="11.25" customHeight="1" s="850">
      <c r="F406" s="970" t="n"/>
    </row>
    <row r="407" ht="11.25" customHeight="1" s="850">
      <c r="F407" s="970" t="n"/>
    </row>
    <row r="408" ht="11.25" customHeight="1" s="850">
      <c r="F408" s="970" t="n"/>
    </row>
    <row r="409" ht="11.25" customHeight="1" s="850">
      <c r="F409" s="970" t="n"/>
    </row>
    <row r="410" ht="11.25" customHeight="1" s="850">
      <c r="F410" s="970" t="n"/>
    </row>
    <row r="411" ht="11.25" customHeight="1" s="850">
      <c r="F411" s="970" t="n"/>
    </row>
    <row r="412" ht="11.25" customHeight="1" s="850">
      <c r="F412" s="970" t="n"/>
    </row>
    <row r="413" ht="11.25" customHeight="1" s="850">
      <c r="F413" s="970" t="n"/>
    </row>
    <row r="414" ht="11.25" customHeight="1" s="850">
      <c r="F414" s="970" t="n"/>
    </row>
    <row r="415" ht="11.25" customHeight="1" s="850">
      <c r="F415" s="970" t="n"/>
    </row>
    <row r="416" ht="11.25" customHeight="1" s="850">
      <c r="F416" s="970" t="n"/>
    </row>
    <row r="417" ht="11.25" customHeight="1" s="850">
      <c r="F417" s="970" t="n"/>
    </row>
    <row r="418" ht="11.25" customHeight="1" s="850">
      <c r="F418" s="970" t="n"/>
    </row>
    <row r="419" ht="11.25" customHeight="1" s="850">
      <c r="F419" s="970" t="n"/>
    </row>
    <row r="420" ht="11.25" customHeight="1" s="850">
      <c r="F420" s="970" t="n"/>
    </row>
    <row r="421" ht="11.25" customHeight="1" s="850">
      <c r="F421" s="970" t="n"/>
    </row>
    <row r="422" ht="11.25" customHeight="1" s="850">
      <c r="F422" s="970" t="n"/>
    </row>
    <row r="423" ht="11.25" customHeight="1" s="850">
      <c r="F423" s="970" t="n"/>
    </row>
    <row r="424" ht="11.25" customHeight="1" s="850">
      <c r="F424" s="970" t="n"/>
    </row>
    <row r="425" ht="11.25" customHeight="1" s="850">
      <c r="F425" s="970" t="n"/>
    </row>
    <row r="426" ht="11.25" customHeight="1" s="850">
      <c r="F426" s="970" t="n"/>
    </row>
    <row r="427" ht="11.25" customHeight="1" s="850">
      <c r="F427" s="970" t="n"/>
    </row>
    <row r="428" ht="11.25" customHeight="1" s="850">
      <c r="F428" s="970" t="n"/>
    </row>
    <row r="429" ht="11.25" customHeight="1" s="850">
      <c r="F429" s="970" t="n"/>
    </row>
    <row r="430" ht="11.25" customHeight="1" s="850">
      <c r="F430" s="970" t="n"/>
    </row>
    <row r="431" ht="11.25" customHeight="1" s="850">
      <c r="F431" s="970" t="n"/>
    </row>
    <row r="432" ht="11.25" customHeight="1" s="850">
      <c r="F432" s="970" t="n"/>
    </row>
    <row r="433" ht="11.25" customHeight="1" s="850">
      <c r="F433" s="970" t="n"/>
    </row>
    <row r="434" ht="11.25" customHeight="1" s="850">
      <c r="F434" s="970" t="n"/>
    </row>
    <row r="435" ht="11.25" customHeight="1" s="850">
      <c r="F435" s="970" t="n"/>
    </row>
    <row r="436" ht="11.25" customHeight="1" s="850">
      <c r="F436" s="970" t="n"/>
    </row>
    <row r="437" ht="11.25" customHeight="1" s="850">
      <c r="F437" s="970" t="n"/>
    </row>
    <row r="438" ht="11.25" customHeight="1" s="850">
      <c r="F438" s="970" t="n"/>
    </row>
    <row r="439" ht="11.25" customHeight="1" s="850">
      <c r="F439" s="970" t="n"/>
    </row>
    <row r="440" ht="11.25" customHeight="1" s="850">
      <c r="F440" s="970" t="n"/>
    </row>
    <row r="441" ht="11.25" customHeight="1" s="850">
      <c r="F441" s="970" t="n"/>
    </row>
    <row r="442" ht="11.25" customHeight="1" s="850">
      <c r="F442" s="970" t="n"/>
    </row>
    <row r="443" ht="11.25" customHeight="1" s="850">
      <c r="F443" s="970" t="n"/>
    </row>
    <row r="444" ht="11.25" customHeight="1" s="850">
      <c r="F444" s="970" t="n"/>
    </row>
    <row r="445" ht="11.25" customHeight="1" s="850">
      <c r="F445" s="970" t="n"/>
    </row>
    <row r="446" ht="11.25" customHeight="1" s="850">
      <c r="F446" s="970" t="n"/>
    </row>
    <row r="447" ht="11.25" customHeight="1" s="850">
      <c r="F447" s="970" t="n"/>
    </row>
    <row r="448" ht="11.25" customHeight="1" s="850">
      <c r="F448" s="970" t="n"/>
    </row>
    <row r="449" ht="11.25" customHeight="1" s="850">
      <c r="F449" s="970" t="n"/>
    </row>
    <row r="450" ht="11.25" customHeight="1" s="850">
      <c r="F450" s="970" t="n"/>
    </row>
    <row r="451" ht="11.25" customHeight="1" s="850">
      <c r="F451" s="970" t="n"/>
    </row>
    <row r="452" ht="11.25" customHeight="1" s="850">
      <c r="F452" s="970" t="n"/>
    </row>
    <row r="453" ht="11.25" customHeight="1" s="850">
      <c r="F453" s="970" t="n"/>
    </row>
    <row r="454" ht="11.25" customHeight="1" s="850">
      <c r="F454" s="970" t="n"/>
    </row>
    <row r="455" ht="11.25" customHeight="1" s="850">
      <c r="F455" s="970" t="n"/>
    </row>
    <row r="456" ht="11.25" customHeight="1" s="850">
      <c r="F456" s="970" t="n"/>
    </row>
    <row r="457" ht="11.25" customHeight="1" s="850">
      <c r="F457" s="970" t="n"/>
    </row>
    <row r="458" ht="11.25" customHeight="1" s="850">
      <c r="F458" s="970" t="n"/>
    </row>
    <row r="459" ht="11.25" customHeight="1" s="850">
      <c r="F459" s="970" t="n"/>
    </row>
    <row r="460" ht="11.25" customHeight="1" s="850">
      <c r="F460" s="970" t="n"/>
    </row>
    <row r="461" ht="11.25" customHeight="1" s="850">
      <c r="F461" s="970" t="n"/>
    </row>
    <row r="462" ht="11.25" customHeight="1" s="850">
      <c r="F462" s="970" t="n"/>
    </row>
    <row r="463" ht="11.25" customHeight="1" s="850">
      <c r="F463" s="970" t="n"/>
    </row>
    <row r="464" ht="11.25" customHeight="1" s="850">
      <c r="F464" s="970" t="n"/>
    </row>
    <row r="465" ht="11.25" customHeight="1" s="850">
      <c r="F465" s="970" t="n"/>
    </row>
    <row r="466" ht="11.25" customHeight="1" s="850">
      <c r="F466" s="970" t="n"/>
    </row>
    <row r="467" ht="11.25" customHeight="1" s="850">
      <c r="F467" s="970" t="n"/>
    </row>
    <row r="468" ht="11.25" customHeight="1" s="850">
      <c r="F468" s="970" t="n"/>
    </row>
    <row r="469" ht="11.25" customHeight="1" s="850">
      <c r="F469" s="970" t="n"/>
    </row>
    <row r="470" ht="11.25" customHeight="1" s="850">
      <c r="F470" s="970" t="n"/>
    </row>
    <row r="471" ht="11.25" customHeight="1" s="850">
      <c r="F471" s="970" t="n"/>
    </row>
    <row r="472" ht="11.25" customHeight="1" s="850">
      <c r="F472" s="970" t="n"/>
    </row>
    <row r="473" ht="11.25" customHeight="1" s="850">
      <c r="F473" s="970" t="n"/>
    </row>
    <row r="474" ht="11.25" customHeight="1" s="850">
      <c r="F474" s="970" t="n"/>
    </row>
    <row r="475" ht="11.25" customHeight="1" s="850">
      <c r="F475" s="970" t="n"/>
    </row>
    <row r="476" ht="11.25" customHeight="1" s="850">
      <c r="F476" s="970" t="n"/>
    </row>
    <row r="477" ht="11.25" customHeight="1" s="850">
      <c r="F477" s="970" t="n"/>
    </row>
    <row r="478" ht="11.25" customHeight="1" s="850">
      <c r="F478" s="970" t="n"/>
    </row>
    <row r="479" ht="11.25" customHeight="1" s="850">
      <c r="F479" s="970" t="n"/>
    </row>
    <row r="480" ht="11.25" customHeight="1" s="850">
      <c r="F480" s="970" t="n"/>
    </row>
    <row r="481" ht="11.25" customHeight="1" s="850">
      <c r="F481" s="970" t="n"/>
    </row>
    <row r="482" ht="11.25" customHeight="1" s="850">
      <c r="F482" s="970" t="n"/>
    </row>
    <row r="483" ht="11.25" customHeight="1" s="850">
      <c r="F483" s="970" t="n"/>
    </row>
    <row r="484" ht="11.25" customHeight="1" s="850">
      <c r="F484" s="970" t="n"/>
    </row>
    <row r="485" ht="11.25" customHeight="1" s="850">
      <c r="F485" s="970" t="n"/>
    </row>
    <row r="486" ht="11.25" customHeight="1" s="850">
      <c r="F486" s="970" t="n"/>
    </row>
    <row r="487" ht="11.25" customHeight="1" s="850">
      <c r="F487" s="970" t="n"/>
    </row>
    <row r="488" ht="11.25" customHeight="1" s="850">
      <c r="F488" s="970" t="n"/>
    </row>
    <row r="489" ht="11.25" customHeight="1" s="850">
      <c r="F489" s="970" t="n"/>
    </row>
    <row r="490" ht="11.25" customHeight="1" s="850">
      <c r="F490" s="970" t="n"/>
    </row>
    <row r="491" ht="11.25" customHeight="1" s="850">
      <c r="F491" s="970" t="n"/>
    </row>
    <row r="492" ht="11.25" customHeight="1" s="850">
      <c r="F492" s="970" t="n"/>
    </row>
    <row r="493" ht="11.25" customHeight="1" s="850">
      <c r="F493" s="970" t="n"/>
    </row>
    <row r="494" ht="11.25" customHeight="1" s="850">
      <c r="F494" s="970" t="n"/>
    </row>
    <row r="495" ht="11.25" customHeight="1" s="850">
      <c r="F495" s="970" t="n"/>
    </row>
    <row r="496" ht="11.25" customHeight="1" s="850">
      <c r="F496" s="970" t="n"/>
    </row>
    <row r="497" ht="11.25" customHeight="1" s="850">
      <c r="F497" s="970" t="n"/>
    </row>
    <row r="498" ht="11.25" customHeight="1" s="850">
      <c r="F498" s="970" t="n"/>
    </row>
    <row r="499" ht="11.25" customHeight="1" s="850">
      <c r="F499" s="970" t="n"/>
    </row>
    <row r="500" ht="11.25" customHeight="1" s="850">
      <c r="F500" s="970" t="n"/>
    </row>
    <row r="501" ht="11.25" customHeight="1" s="850">
      <c r="F501" s="970" t="n"/>
    </row>
    <row r="502" ht="11.25" customHeight="1" s="850">
      <c r="F502" s="970" t="n"/>
    </row>
    <row r="503" ht="11.25" customHeight="1" s="850">
      <c r="F503" s="970" t="n"/>
    </row>
    <row r="504" ht="11.25" customHeight="1" s="850">
      <c r="F504" s="970" t="n"/>
    </row>
    <row r="505" ht="11.25" customHeight="1" s="850">
      <c r="F505" s="970" t="n"/>
    </row>
    <row r="506" ht="11.25" customHeight="1" s="850">
      <c r="F506" s="970" t="n"/>
    </row>
    <row r="507" ht="11.25" customHeight="1" s="850">
      <c r="F507" s="970" t="n"/>
    </row>
    <row r="508" ht="11.25" customHeight="1" s="850">
      <c r="F508" s="970" t="n"/>
    </row>
    <row r="509" ht="11.25" customHeight="1" s="850">
      <c r="F509" s="970" t="n"/>
    </row>
    <row r="510" ht="11.25" customHeight="1" s="850">
      <c r="F510" s="970" t="n"/>
    </row>
    <row r="511" ht="11.25" customHeight="1" s="850">
      <c r="F511" s="970" t="n"/>
    </row>
    <row r="512" ht="11.25" customHeight="1" s="850">
      <c r="F512" s="970" t="n"/>
    </row>
    <row r="513" ht="11.25" customHeight="1" s="850">
      <c r="F513" s="970" t="n"/>
    </row>
    <row r="514" ht="11.25" customHeight="1" s="850">
      <c r="F514" s="970" t="n"/>
    </row>
    <row r="515" ht="11.25" customHeight="1" s="850">
      <c r="F515" s="970" t="n"/>
    </row>
    <row r="516" ht="11.25" customHeight="1" s="850">
      <c r="F516" s="970" t="n"/>
    </row>
    <row r="517" ht="11.25" customHeight="1" s="850">
      <c r="F517" s="970" t="n"/>
    </row>
    <row r="518" ht="11.25" customHeight="1" s="850">
      <c r="F518" s="970" t="n"/>
    </row>
    <row r="519" ht="11.25" customHeight="1" s="850">
      <c r="F519" s="970" t="n"/>
    </row>
    <row r="520" ht="11.25" customHeight="1" s="850">
      <c r="F520" s="970" t="n"/>
    </row>
    <row r="521" ht="11.25" customHeight="1" s="850">
      <c r="F521" s="970" t="n"/>
    </row>
    <row r="522" ht="11.25" customHeight="1" s="850">
      <c r="F522" s="970" t="n"/>
    </row>
    <row r="523" ht="11.25" customHeight="1" s="850">
      <c r="F523" s="970" t="n"/>
    </row>
    <row r="524" ht="11.25" customHeight="1" s="850">
      <c r="F524" s="970" t="n"/>
    </row>
    <row r="525" ht="11.25" customHeight="1" s="850">
      <c r="F525" s="970" t="n"/>
    </row>
    <row r="526" ht="11.25" customHeight="1" s="850">
      <c r="F526" s="970" t="n"/>
    </row>
    <row r="527" ht="11.25" customHeight="1" s="850">
      <c r="F527" s="970" t="n"/>
    </row>
    <row r="528" ht="11.25" customHeight="1" s="850">
      <c r="F528" s="970" t="n"/>
    </row>
    <row r="529" ht="11.25" customHeight="1" s="850">
      <c r="F529" s="970" t="n"/>
    </row>
    <row r="530" ht="11.25" customHeight="1" s="850">
      <c r="F530" s="970" t="n"/>
    </row>
    <row r="531" ht="11.25" customHeight="1" s="850">
      <c r="F531" s="970" t="n"/>
    </row>
    <row r="532" ht="11.25" customHeight="1" s="850">
      <c r="F532" s="970" t="n"/>
    </row>
    <row r="533" ht="11.25" customHeight="1" s="850">
      <c r="F533" s="970" t="n"/>
    </row>
    <row r="534" ht="11.25" customHeight="1" s="850">
      <c r="F534" s="970" t="n"/>
    </row>
    <row r="535" ht="11.25" customHeight="1" s="850">
      <c r="F535" s="970" t="n"/>
    </row>
    <row r="536" ht="11.25" customHeight="1" s="850">
      <c r="F536" s="970" t="n"/>
    </row>
    <row r="537" ht="11.25" customHeight="1" s="850">
      <c r="F537" s="970" t="n"/>
    </row>
    <row r="538" ht="11.25" customHeight="1" s="850">
      <c r="F538" s="970" t="n"/>
    </row>
    <row r="539" ht="11.25" customHeight="1" s="850">
      <c r="F539" s="970" t="n"/>
    </row>
    <row r="540" ht="11.25" customHeight="1" s="850">
      <c r="F540" s="970" t="n"/>
    </row>
    <row r="541" ht="11.25" customHeight="1" s="850">
      <c r="F541" s="970" t="n"/>
    </row>
    <row r="542" ht="11.25" customHeight="1" s="850">
      <c r="F542" s="970" t="n"/>
    </row>
    <row r="543" ht="11.25" customHeight="1" s="850">
      <c r="F543" s="970" t="n"/>
    </row>
    <row r="544" ht="11.25" customHeight="1" s="850">
      <c r="F544" s="970" t="n"/>
    </row>
    <row r="545" ht="11.25" customHeight="1" s="850">
      <c r="F545" s="970" t="n"/>
    </row>
    <row r="546" ht="11.25" customHeight="1" s="850">
      <c r="F546" s="970" t="n"/>
    </row>
    <row r="547" ht="11.25" customHeight="1" s="850">
      <c r="F547" s="970" t="n"/>
    </row>
    <row r="548" ht="11.25" customHeight="1" s="850">
      <c r="F548" s="970" t="n"/>
    </row>
    <row r="549" ht="11.25" customHeight="1" s="850">
      <c r="F549" s="970" t="n"/>
    </row>
    <row r="550" ht="11.25" customHeight="1" s="850">
      <c r="F550" s="970" t="n"/>
    </row>
    <row r="551" ht="11.25" customHeight="1" s="850">
      <c r="F551" s="970" t="n"/>
    </row>
    <row r="552" ht="11.25" customHeight="1" s="850">
      <c r="F552" s="970" t="n"/>
    </row>
    <row r="553" ht="11.25" customHeight="1" s="850">
      <c r="F553" s="970" t="n"/>
    </row>
    <row r="554" ht="11.25" customHeight="1" s="850">
      <c r="F554" s="970" t="n"/>
    </row>
    <row r="555" ht="11.25" customHeight="1" s="850">
      <c r="F555" s="970" t="n"/>
    </row>
    <row r="556" ht="11.25" customHeight="1" s="850">
      <c r="F556" s="970" t="n"/>
    </row>
    <row r="557" ht="11.25" customHeight="1" s="850">
      <c r="F557" s="970" t="n"/>
    </row>
    <row r="558" ht="11.25" customHeight="1" s="850">
      <c r="F558" s="970" t="n"/>
    </row>
    <row r="559" ht="11.25" customHeight="1" s="850">
      <c r="F559" s="970" t="n"/>
    </row>
    <row r="560" ht="11.25" customHeight="1" s="850">
      <c r="F560" s="970" t="n"/>
    </row>
    <row r="561" ht="11.25" customHeight="1" s="850">
      <c r="F561" s="970" t="n"/>
    </row>
    <row r="562" ht="11.25" customHeight="1" s="850">
      <c r="F562" s="970" t="n"/>
    </row>
    <row r="563" ht="11.25" customHeight="1" s="850">
      <c r="F563" s="970" t="n"/>
    </row>
    <row r="564" ht="11.25" customHeight="1" s="850">
      <c r="F564" s="970" t="n"/>
    </row>
    <row r="565" ht="11.25" customHeight="1" s="850">
      <c r="F565" s="970" t="n"/>
    </row>
    <row r="566" ht="11.25" customHeight="1" s="850">
      <c r="F566" s="970" t="n"/>
    </row>
    <row r="567" ht="11.25" customHeight="1" s="850">
      <c r="F567" s="970" t="n"/>
    </row>
    <row r="568" ht="11.25" customHeight="1" s="850">
      <c r="F568" s="970" t="n"/>
    </row>
    <row r="569" ht="11.25" customHeight="1" s="850">
      <c r="F569" s="970" t="n"/>
    </row>
    <row r="570" ht="11.25" customHeight="1" s="850">
      <c r="F570" s="970" t="n"/>
    </row>
    <row r="571" ht="11.25" customHeight="1" s="850">
      <c r="F571" s="970" t="n"/>
    </row>
    <row r="572" ht="11.25" customHeight="1" s="850">
      <c r="F572" s="970" t="n"/>
    </row>
    <row r="573" ht="11.25" customHeight="1" s="850">
      <c r="F573" s="970" t="n"/>
    </row>
    <row r="574" ht="11.25" customHeight="1" s="850">
      <c r="F574" s="970" t="n"/>
    </row>
    <row r="575" ht="11.25" customHeight="1" s="850">
      <c r="F575" s="970" t="n"/>
    </row>
    <row r="576" ht="11.25" customHeight="1" s="850">
      <c r="F576" s="970" t="n"/>
    </row>
    <row r="577" ht="11.25" customHeight="1" s="850">
      <c r="F577" s="970" t="n"/>
    </row>
    <row r="578" ht="11.25" customHeight="1" s="850">
      <c r="F578" s="970" t="n"/>
    </row>
    <row r="579" ht="11.25" customHeight="1" s="850">
      <c r="F579" s="970" t="n"/>
    </row>
    <row r="580" ht="11.25" customHeight="1" s="850">
      <c r="F580" s="970" t="n"/>
    </row>
    <row r="581" ht="11.25" customHeight="1" s="850">
      <c r="F581" s="970" t="n"/>
    </row>
    <row r="582" ht="11.25" customHeight="1" s="850">
      <c r="F582" s="970" t="n"/>
    </row>
    <row r="583" ht="11.25" customHeight="1" s="850">
      <c r="F583" s="970" t="n"/>
    </row>
    <row r="584" ht="11.25" customHeight="1" s="850">
      <c r="F584" s="970" t="n"/>
    </row>
    <row r="585" ht="11.25" customHeight="1" s="850">
      <c r="F585" s="970" t="n"/>
    </row>
    <row r="586" ht="11.25" customHeight="1" s="850">
      <c r="F586" s="970" t="n"/>
    </row>
    <row r="587" ht="11.25" customHeight="1" s="850">
      <c r="F587" s="970" t="n"/>
    </row>
    <row r="588" ht="11.25" customHeight="1" s="850">
      <c r="F588" s="970" t="n"/>
    </row>
    <row r="589" ht="11.25" customHeight="1" s="850">
      <c r="F589" s="970" t="n"/>
    </row>
    <row r="590" ht="11.25" customHeight="1" s="850">
      <c r="F590" s="970" t="n"/>
    </row>
    <row r="591" ht="11.25" customHeight="1" s="850">
      <c r="F591" s="970" t="n"/>
    </row>
    <row r="592" ht="11.25" customHeight="1" s="850">
      <c r="F592" s="970" t="n"/>
    </row>
    <row r="593" ht="11.25" customHeight="1" s="850">
      <c r="F593" s="970" t="n"/>
    </row>
    <row r="594" ht="11.25" customHeight="1" s="850">
      <c r="F594" s="970" t="n"/>
    </row>
    <row r="595" ht="11.25" customHeight="1" s="850">
      <c r="F595" s="970" t="n"/>
    </row>
    <row r="596" ht="11.25" customHeight="1" s="850">
      <c r="F596" s="970" t="n"/>
    </row>
    <row r="597" ht="11.25" customHeight="1" s="850">
      <c r="F597" s="970" t="n"/>
    </row>
    <row r="598" ht="11.25" customHeight="1" s="850">
      <c r="F598" s="970" t="n"/>
    </row>
    <row r="599" ht="11.25" customHeight="1" s="850">
      <c r="F599" s="970" t="n"/>
    </row>
    <row r="600" ht="11.25" customHeight="1" s="850">
      <c r="F600" s="970" t="n"/>
    </row>
    <row r="601" ht="11.25" customHeight="1" s="850">
      <c r="F601" s="970" t="n"/>
    </row>
    <row r="602" ht="11.25" customHeight="1" s="850">
      <c r="F602" s="970" t="n"/>
    </row>
    <row r="603" ht="11.25" customHeight="1" s="850">
      <c r="F603" s="970" t="n"/>
    </row>
    <row r="604" ht="11.25" customHeight="1" s="850">
      <c r="F604" s="970" t="n"/>
    </row>
    <row r="605" ht="11.25" customHeight="1" s="850">
      <c r="F605" s="970" t="n"/>
    </row>
    <row r="606" ht="11.25" customHeight="1" s="850">
      <c r="F606" s="970" t="n"/>
    </row>
    <row r="607" ht="11.25" customHeight="1" s="850">
      <c r="F607" s="970" t="n"/>
    </row>
    <row r="608" ht="11.25" customHeight="1" s="850">
      <c r="F608" s="970" t="n"/>
    </row>
    <row r="609" ht="11.25" customHeight="1" s="850">
      <c r="F609" s="970" t="n"/>
    </row>
    <row r="610" ht="11.25" customHeight="1" s="850">
      <c r="F610" s="970" t="n"/>
    </row>
    <row r="611" ht="11.25" customHeight="1" s="850">
      <c r="F611" s="970" t="n"/>
    </row>
    <row r="612" ht="11.25" customHeight="1" s="850">
      <c r="F612" s="970" t="n"/>
    </row>
    <row r="613" ht="11.25" customHeight="1" s="850">
      <c r="F613" s="970" t="n"/>
    </row>
    <row r="614" ht="11.25" customHeight="1" s="850">
      <c r="F614" s="970" t="n"/>
    </row>
    <row r="615" ht="11.25" customHeight="1" s="850">
      <c r="F615" s="970" t="n"/>
    </row>
    <row r="616" ht="11.25" customHeight="1" s="850">
      <c r="F616" s="970" t="n"/>
    </row>
    <row r="617" ht="11.25" customHeight="1" s="850">
      <c r="F617" s="970" t="n"/>
    </row>
    <row r="618" ht="11.25" customHeight="1" s="850">
      <c r="F618" s="970" t="n"/>
    </row>
    <row r="619" ht="11.25" customHeight="1" s="850">
      <c r="F619" s="970" t="n"/>
    </row>
    <row r="620" ht="11.25" customHeight="1" s="850">
      <c r="F620" s="970" t="n"/>
    </row>
    <row r="621" ht="11.25" customHeight="1" s="850">
      <c r="F621" s="970" t="n"/>
    </row>
    <row r="622" ht="11.25" customHeight="1" s="850">
      <c r="F622" s="970" t="n"/>
    </row>
    <row r="623" ht="11.25" customHeight="1" s="850">
      <c r="F623" s="970" t="n"/>
    </row>
    <row r="624" ht="11.25" customHeight="1" s="850">
      <c r="F624" s="970" t="n"/>
    </row>
    <row r="625" ht="11.25" customHeight="1" s="850">
      <c r="F625" s="970" t="n"/>
    </row>
    <row r="626" ht="11.25" customHeight="1" s="850">
      <c r="F626" s="970" t="n"/>
    </row>
    <row r="627" ht="11.25" customHeight="1" s="850">
      <c r="F627" s="970" t="n"/>
    </row>
    <row r="628" ht="11.25" customHeight="1" s="850">
      <c r="F628" s="970" t="n"/>
    </row>
    <row r="629" ht="11.25" customHeight="1" s="850">
      <c r="F629" s="970" t="n"/>
    </row>
    <row r="630" ht="11.25" customHeight="1" s="850">
      <c r="F630" s="970" t="n"/>
    </row>
    <row r="631" ht="11.25" customHeight="1" s="850">
      <c r="F631" s="970" t="n"/>
    </row>
    <row r="632" ht="11.25" customHeight="1" s="850">
      <c r="F632" s="970" t="n"/>
    </row>
    <row r="633" ht="11.25" customHeight="1" s="850">
      <c r="F633" s="970" t="n"/>
    </row>
    <row r="634" ht="11.25" customHeight="1" s="850">
      <c r="F634" s="970" t="n"/>
    </row>
    <row r="635" ht="11.25" customHeight="1" s="850">
      <c r="F635" s="970" t="n"/>
    </row>
    <row r="636" ht="11.25" customHeight="1" s="850">
      <c r="F636" s="970" t="n"/>
    </row>
    <row r="637" ht="11.25" customHeight="1" s="850">
      <c r="F637" s="970" t="n"/>
    </row>
    <row r="638" ht="11.25" customHeight="1" s="850">
      <c r="F638" s="970" t="n"/>
    </row>
    <row r="639" ht="11.25" customHeight="1" s="850">
      <c r="F639" s="970" t="n"/>
    </row>
    <row r="640" ht="11.25" customHeight="1" s="850">
      <c r="F640" s="970" t="n"/>
    </row>
    <row r="641" ht="11.25" customHeight="1" s="850">
      <c r="F641" s="970" t="n"/>
    </row>
    <row r="642" ht="11.25" customHeight="1" s="850">
      <c r="F642" s="970" t="n"/>
    </row>
    <row r="643" ht="11.25" customHeight="1" s="850">
      <c r="F643" s="970" t="n"/>
    </row>
    <row r="644" ht="11.25" customHeight="1" s="850">
      <c r="F644" s="970" t="n"/>
    </row>
    <row r="645" ht="11.25" customHeight="1" s="850">
      <c r="F645" s="970" t="n"/>
    </row>
    <row r="646" ht="11.25" customHeight="1" s="850">
      <c r="F646" s="970" t="n"/>
    </row>
    <row r="647" ht="11.25" customHeight="1" s="850">
      <c r="F647" s="970" t="n"/>
    </row>
    <row r="648" ht="11.25" customHeight="1" s="850">
      <c r="F648" s="970" t="n"/>
    </row>
    <row r="649" ht="11.25" customHeight="1" s="850">
      <c r="F649" s="970" t="n"/>
    </row>
    <row r="650" ht="11.25" customHeight="1" s="850">
      <c r="F650" s="970" t="n"/>
    </row>
    <row r="651" ht="11.25" customHeight="1" s="850">
      <c r="F651" s="970" t="n"/>
    </row>
    <row r="652" ht="11.25" customHeight="1" s="850">
      <c r="F652" s="970" t="n"/>
    </row>
    <row r="653" ht="11.25" customHeight="1" s="850">
      <c r="F653" s="970" t="n"/>
    </row>
    <row r="654" ht="11.25" customHeight="1" s="850">
      <c r="F654" s="970" t="n"/>
    </row>
    <row r="655" ht="11.25" customHeight="1" s="850">
      <c r="F655" s="970" t="n"/>
    </row>
    <row r="656" ht="11.25" customHeight="1" s="850">
      <c r="F656" s="970" t="n"/>
    </row>
    <row r="657" ht="11.25" customHeight="1" s="850">
      <c r="F657" s="970" t="n"/>
    </row>
    <row r="658" ht="11.25" customHeight="1" s="850">
      <c r="F658" s="970" t="n"/>
    </row>
    <row r="659" ht="11.25" customHeight="1" s="850">
      <c r="F659" s="970" t="n"/>
    </row>
    <row r="660" ht="11.25" customHeight="1" s="850">
      <c r="F660" s="970" t="n"/>
    </row>
    <row r="661" ht="11.25" customHeight="1" s="850">
      <c r="F661" s="970" t="n"/>
    </row>
    <row r="662" ht="11.25" customHeight="1" s="850">
      <c r="F662" s="970" t="n"/>
    </row>
    <row r="663" ht="11.25" customHeight="1" s="850">
      <c r="F663" s="970" t="n"/>
    </row>
    <row r="664" ht="11.25" customHeight="1" s="850">
      <c r="F664" s="970" t="n"/>
    </row>
    <row r="665" ht="11.25" customHeight="1" s="850">
      <c r="F665" s="970" t="n"/>
    </row>
    <row r="666" ht="11.25" customHeight="1" s="850">
      <c r="F666" s="970" t="n"/>
    </row>
    <row r="667" ht="11.25" customHeight="1" s="850">
      <c r="F667" s="970" t="n"/>
    </row>
    <row r="668" ht="11.25" customHeight="1" s="850">
      <c r="F668" s="970" t="n"/>
    </row>
    <row r="669" ht="11.25" customHeight="1" s="850">
      <c r="F669" s="970" t="n"/>
    </row>
    <row r="670" ht="11.25" customHeight="1" s="850">
      <c r="F670" s="970" t="n"/>
    </row>
    <row r="671" ht="11.25" customHeight="1" s="850">
      <c r="F671" s="970" t="n"/>
    </row>
    <row r="672" ht="11.25" customHeight="1" s="850">
      <c r="F672" s="970" t="n"/>
    </row>
    <row r="673" ht="11.25" customHeight="1" s="850">
      <c r="F673" s="970" t="n"/>
    </row>
    <row r="674" ht="11.25" customHeight="1" s="850">
      <c r="F674" s="970" t="n"/>
    </row>
    <row r="675" ht="11.25" customHeight="1" s="850">
      <c r="F675" s="970" t="n"/>
    </row>
    <row r="676" ht="11.25" customHeight="1" s="850">
      <c r="F676" s="970" t="n"/>
    </row>
    <row r="677" ht="11.25" customHeight="1" s="850">
      <c r="F677" s="970" t="n"/>
    </row>
    <row r="678" ht="11.25" customHeight="1" s="850">
      <c r="F678" s="970" t="n"/>
    </row>
    <row r="679" ht="11.25" customHeight="1" s="850">
      <c r="F679" s="970" t="n"/>
    </row>
    <row r="680" ht="11.25" customHeight="1" s="850">
      <c r="F680" s="970" t="n"/>
    </row>
    <row r="681" ht="11.25" customHeight="1" s="850">
      <c r="F681" s="970" t="n"/>
    </row>
    <row r="682" ht="11.25" customHeight="1" s="850">
      <c r="F682" s="970" t="n"/>
    </row>
    <row r="683" ht="11.25" customHeight="1" s="850">
      <c r="F683" s="970" t="n"/>
    </row>
    <row r="684" ht="11.25" customHeight="1" s="850">
      <c r="F684" s="970" t="n"/>
    </row>
    <row r="685" ht="11.25" customHeight="1" s="850">
      <c r="F685" s="970" t="n"/>
    </row>
    <row r="686" ht="11.25" customHeight="1" s="850">
      <c r="F686" s="970" t="n"/>
    </row>
    <row r="687" ht="11.25" customHeight="1" s="850">
      <c r="F687" s="970" t="n"/>
    </row>
    <row r="688" ht="11.25" customHeight="1" s="850">
      <c r="F688" s="970" t="n"/>
    </row>
    <row r="689" ht="11.25" customHeight="1" s="850">
      <c r="F689" s="970" t="n"/>
    </row>
    <row r="690" ht="11.25" customHeight="1" s="850">
      <c r="F690" s="970" t="n"/>
    </row>
    <row r="691" ht="11.25" customHeight="1" s="850">
      <c r="F691" s="970" t="n"/>
    </row>
    <row r="692" ht="11.25" customHeight="1" s="850">
      <c r="F692" s="970" t="n"/>
    </row>
    <row r="693" ht="11.25" customHeight="1" s="850">
      <c r="F693" s="970" t="n"/>
    </row>
    <row r="694" ht="11.25" customHeight="1" s="850">
      <c r="F694" s="970" t="n"/>
    </row>
    <row r="695" ht="11.25" customHeight="1" s="850">
      <c r="F695" s="970" t="n"/>
    </row>
    <row r="696" ht="11.25" customHeight="1" s="850">
      <c r="F696" s="970" t="n"/>
    </row>
    <row r="697" ht="11.25" customHeight="1" s="850">
      <c r="F697" s="970" t="n"/>
    </row>
    <row r="698" ht="11.25" customHeight="1" s="850">
      <c r="F698" s="970" t="n"/>
    </row>
    <row r="699" ht="11.25" customHeight="1" s="850">
      <c r="F699" s="970" t="n"/>
    </row>
    <row r="700" ht="11.25" customHeight="1" s="850">
      <c r="F700" s="970" t="n"/>
    </row>
    <row r="701" ht="11.25" customHeight="1" s="850">
      <c r="F701" s="970" t="n"/>
    </row>
    <row r="702" ht="11.25" customHeight="1" s="850">
      <c r="F702" s="970" t="n"/>
    </row>
    <row r="703" ht="11.25" customHeight="1" s="850">
      <c r="F703" s="970" t="n"/>
    </row>
    <row r="704" ht="11.25" customHeight="1" s="850">
      <c r="F704" s="970" t="n"/>
    </row>
    <row r="705" ht="11.25" customHeight="1" s="850">
      <c r="F705" s="970" t="n"/>
    </row>
    <row r="706" ht="11.25" customHeight="1" s="850">
      <c r="F706" s="970" t="n"/>
    </row>
    <row r="707" ht="11.25" customHeight="1" s="850">
      <c r="F707" s="970" t="n"/>
    </row>
    <row r="708" ht="11.25" customHeight="1" s="850">
      <c r="F708" s="970" t="n"/>
    </row>
    <row r="709" ht="11.25" customHeight="1" s="850">
      <c r="F709" s="970" t="n"/>
    </row>
    <row r="710" ht="11.25" customHeight="1" s="850">
      <c r="F710" s="970" t="n"/>
    </row>
    <row r="711" ht="11.25" customHeight="1" s="850">
      <c r="F711" s="970" t="n"/>
    </row>
    <row r="712" ht="11.25" customHeight="1" s="850">
      <c r="F712" s="970" t="n"/>
    </row>
    <row r="713" ht="11.25" customHeight="1" s="850">
      <c r="F713" s="970" t="n"/>
    </row>
    <row r="714" ht="11.25" customHeight="1" s="850">
      <c r="F714" s="970" t="n"/>
    </row>
    <row r="715" ht="11.25" customHeight="1" s="850">
      <c r="F715" s="970" t="n"/>
    </row>
    <row r="716" ht="11.25" customHeight="1" s="850">
      <c r="F716" s="970" t="n"/>
    </row>
    <row r="717" ht="11.25" customHeight="1" s="850">
      <c r="F717" s="970" t="n"/>
    </row>
    <row r="718" ht="11.25" customHeight="1" s="850">
      <c r="F718" s="970" t="n"/>
    </row>
    <row r="719" ht="11.25" customHeight="1" s="850">
      <c r="F719" s="970" t="n"/>
    </row>
    <row r="720" ht="11.25" customHeight="1" s="850">
      <c r="F720" s="970" t="n"/>
    </row>
    <row r="721" ht="11.25" customHeight="1" s="850">
      <c r="F721" s="970" t="n"/>
    </row>
    <row r="722" ht="11.25" customHeight="1" s="850">
      <c r="F722" s="970" t="n"/>
    </row>
    <row r="723" ht="11.25" customHeight="1" s="850">
      <c r="F723" s="970" t="n"/>
    </row>
    <row r="724" ht="11.25" customHeight="1" s="850">
      <c r="F724" s="970" t="n"/>
    </row>
    <row r="725" ht="11.25" customHeight="1" s="850">
      <c r="F725" s="970" t="n"/>
    </row>
    <row r="726" ht="11.25" customHeight="1" s="850">
      <c r="F726" s="970" t="n"/>
    </row>
    <row r="727" ht="11.25" customHeight="1" s="850">
      <c r="F727" s="970" t="n"/>
    </row>
    <row r="728" ht="11.25" customHeight="1" s="850">
      <c r="F728" s="970" t="n"/>
    </row>
    <row r="729" ht="11.25" customHeight="1" s="850">
      <c r="F729" s="970" t="n"/>
    </row>
    <row r="730" ht="11.25" customHeight="1" s="850">
      <c r="F730" s="970" t="n"/>
    </row>
    <row r="731" ht="11.25" customHeight="1" s="850">
      <c r="F731" s="970" t="n"/>
    </row>
    <row r="732" ht="11.25" customHeight="1" s="850">
      <c r="F732" s="970" t="n"/>
    </row>
    <row r="733" ht="11.25" customHeight="1" s="850">
      <c r="F733" s="970" t="n"/>
    </row>
    <row r="734" ht="11.25" customHeight="1" s="850">
      <c r="F734" s="970" t="n"/>
    </row>
    <row r="735" ht="11.25" customHeight="1" s="850">
      <c r="F735" s="970" t="n"/>
    </row>
    <row r="736" ht="11.25" customHeight="1" s="850">
      <c r="F736" s="970" t="n"/>
    </row>
    <row r="737" ht="11.25" customHeight="1" s="850">
      <c r="F737" s="970" t="n"/>
    </row>
    <row r="738" ht="11.25" customHeight="1" s="850">
      <c r="F738" s="970" t="n"/>
    </row>
    <row r="739" ht="11.25" customHeight="1" s="850">
      <c r="F739" s="970" t="n"/>
    </row>
    <row r="740" ht="11.25" customHeight="1" s="850">
      <c r="F740" s="970" t="n"/>
    </row>
    <row r="741" ht="11.25" customHeight="1" s="850">
      <c r="F741" s="970" t="n"/>
    </row>
    <row r="742" ht="11.25" customHeight="1" s="850">
      <c r="F742" s="970" t="n"/>
    </row>
    <row r="743" ht="11.25" customHeight="1" s="850">
      <c r="F743" s="970" t="n"/>
    </row>
    <row r="744" ht="11.25" customHeight="1" s="850">
      <c r="F744" s="970" t="n"/>
    </row>
    <row r="745" ht="11.25" customHeight="1" s="850">
      <c r="F745" s="970" t="n"/>
    </row>
    <row r="746" ht="11.25" customHeight="1" s="850">
      <c r="F746" s="970" t="n"/>
    </row>
    <row r="747" ht="11.25" customHeight="1" s="850">
      <c r="F747" s="970" t="n"/>
    </row>
    <row r="748" ht="11.25" customHeight="1" s="850">
      <c r="F748" s="970" t="n"/>
    </row>
    <row r="749" ht="11.25" customHeight="1" s="850">
      <c r="F749" s="970" t="n"/>
    </row>
    <row r="750" ht="11.25" customHeight="1" s="850">
      <c r="F750" s="970" t="n"/>
    </row>
    <row r="751" ht="11.25" customHeight="1" s="850">
      <c r="F751" s="970" t="n"/>
    </row>
    <row r="752" ht="11.25" customHeight="1" s="850">
      <c r="F752" s="970" t="n"/>
    </row>
    <row r="753" ht="11.25" customHeight="1" s="850">
      <c r="F753" s="970" t="n"/>
    </row>
    <row r="754" ht="11.25" customHeight="1" s="850">
      <c r="F754" s="970" t="n"/>
    </row>
    <row r="755" ht="11.25" customHeight="1" s="850">
      <c r="F755" s="970" t="n"/>
    </row>
    <row r="756" ht="11.25" customHeight="1" s="850">
      <c r="F756" s="970" t="n"/>
    </row>
    <row r="757" ht="11.25" customHeight="1" s="850">
      <c r="F757" s="970" t="n"/>
    </row>
    <row r="758" ht="11.25" customHeight="1" s="850">
      <c r="F758" s="970" t="n"/>
    </row>
    <row r="759" ht="11.25" customHeight="1" s="850">
      <c r="F759" s="970" t="n"/>
    </row>
    <row r="760" ht="11.25" customHeight="1" s="850">
      <c r="F760" s="970" t="n"/>
    </row>
    <row r="761" ht="11.25" customHeight="1" s="850">
      <c r="F761" s="970" t="n"/>
    </row>
    <row r="762" ht="11.25" customHeight="1" s="850">
      <c r="F762" s="970" t="n"/>
    </row>
    <row r="763" ht="11.25" customHeight="1" s="850">
      <c r="F763" s="970" t="n"/>
    </row>
    <row r="764" ht="11.25" customHeight="1" s="850">
      <c r="F764" s="970" t="n"/>
    </row>
    <row r="765" ht="11.25" customHeight="1" s="850">
      <c r="F765" s="970" t="n"/>
    </row>
    <row r="766" ht="11.25" customHeight="1" s="850">
      <c r="F766" s="970" t="n"/>
    </row>
    <row r="767" ht="11.25" customHeight="1" s="850">
      <c r="F767" s="970" t="n"/>
    </row>
    <row r="768" ht="11.25" customHeight="1" s="850">
      <c r="F768" s="970" t="n"/>
    </row>
    <row r="769" ht="11.25" customHeight="1" s="850">
      <c r="F769" s="970" t="n"/>
    </row>
    <row r="770" ht="11.25" customHeight="1" s="850">
      <c r="F770" s="970" t="n"/>
    </row>
    <row r="771" ht="11.25" customHeight="1" s="850">
      <c r="F771" s="970" t="n"/>
    </row>
    <row r="772" ht="11.25" customHeight="1" s="850">
      <c r="F772" s="970" t="n"/>
    </row>
    <row r="773" ht="11.25" customHeight="1" s="850">
      <c r="F773" s="970" t="n"/>
    </row>
    <row r="774" ht="11.25" customHeight="1" s="850">
      <c r="F774" s="970" t="n"/>
    </row>
    <row r="775" ht="11.25" customHeight="1" s="850">
      <c r="F775" s="970" t="n"/>
    </row>
    <row r="776" ht="11.25" customHeight="1" s="850">
      <c r="F776" s="970" t="n"/>
    </row>
    <row r="777" ht="11.25" customHeight="1" s="850">
      <c r="F777" s="970" t="n"/>
    </row>
    <row r="778" ht="11.25" customHeight="1" s="850">
      <c r="F778" s="970" t="n"/>
    </row>
    <row r="779" ht="11.25" customHeight="1" s="850">
      <c r="F779" s="970" t="n"/>
    </row>
    <row r="780" ht="11.25" customHeight="1" s="850">
      <c r="F780" s="970" t="n"/>
    </row>
    <row r="781" ht="11.25" customHeight="1" s="850">
      <c r="F781" s="970" t="n"/>
    </row>
    <row r="782" ht="11.25" customHeight="1" s="850">
      <c r="F782" s="970" t="n"/>
    </row>
    <row r="783" ht="11.25" customHeight="1" s="850">
      <c r="F783" s="970" t="n"/>
    </row>
    <row r="784" ht="11.25" customHeight="1" s="850">
      <c r="F784" s="970" t="n"/>
    </row>
    <row r="785" ht="11.25" customHeight="1" s="850">
      <c r="F785" s="970" t="n"/>
    </row>
    <row r="786" ht="11.25" customHeight="1" s="850">
      <c r="F786" s="970" t="n"/>
    </row>
    <row r="787" ht="11.25" customHeight="1" s="850">
      <c r="F787" s="970" t="n"/>
    </row>
    <row r="788" ht="11.25" customHeight="1" s="850">
      <c r="F788" s="970" t="n"/>
    </row>
    <row r="789" ht="11.25" customHeight="1" s="850">
      <c r="F789" s="970" t="n"/>
    </row>
    <row r="790" ht="11.25" customHeight="1" s="850">
      <c r="F790" s="970" t="n"/>
    </row>
    <row r="791" ht="11.25" customHeight="1" s="850">
      <c r="F791" s="970" t="n"/>
    </row>
    <row r="792" ht="11.25" customHeight="1" s="850">
      <c r="F792" s="970" t="n"/>
    </row>
    <row r="793" ht="11.25" customHeight="1" s="850">
      <c r="F793" s="970" t="n"/>
    </row>
    <row r="794" ht="11.25" customHeight="1" s="850">
      <c r="F794" s="970" t="n"/>
    </row>
    <row r="795" ht="11.25" customHeight="1" s="850">
      <c r="F795" s="970" t="n"/>
    </row>
    <row r="796" ht="11.25" customHeight="1" s="850">
      <c r="F796" s="970" t="n"/>
    </row>
    <row r="797" ht="11.25" customHeight="1" s="850">
      <c r="F797" s="970" t="n"/>
    </row>
    <row r="798" ht="11.25" customHeight="1" s="850">
      <c r="F798" s="970" t="n"/>
    </row>
    <row r="799" ht="11.25" customHeight="1" s="850">
      <c r="F799" s="970" t="n"/>
    </row>
    <row r="800" ht="11.25" customHeight="1" s="850">
      <c r="F800" s="970" t="n"/>
    </row>
    <row r="801" ht="11.25" customHeight="1" s="850">
      <c r="F801" s="970" t="n"/>
    </row>
    <row r="802" ht="11.25" customHeight="1" s="850">
      <c r="F802" s="970" t="n"/>
    </row>
    <row r="803" ht="11.25" customHeight="1" s="850">
      <c r="F803" s="970" t="n"/>
    </row>
    <row r="804" ht="11.25" customHeight="1" s="850">
      <c r="F804" s="970" t="n"/>
    </row>
    <row r="805" ht="11.25" customHeight="1" s="850">
      <c r="F805" s="970" t="n"/>
    </row>
    <row r="806" ht="11.25" customHeight="1" s="850">
      <c r="F806" s="970" t="n"/>
    </row>
    <row r="807" ht="11.25" customHeight="1" s="850">
      <c r="F807" s="970" t="n"/>
    </row>
    <row r="808" ht="11.25" customHeight="1" s="850">
      <c r="F808" s="970" t="n"/>
    </row>
    <row r="809" ht="11.25" customHeight="1" s="850">
      <c r="F809" s="970" t="n"/>
    </row>
    <row r="810" ht="11.25" customHeight="1" s="850">
      <c r="F810" s="970" t="n"/>
    </row>
    <row r="811" ht="11.25" customHeight="1" s="850">
      <c r="F811" s="970" t="n"/>
    </row>
    <row r="812" ht="11.25" customHeight="1" s="850">
      <c r="F812" s="970" t="n"/>
    </row>
    <row r="813" ht="11.25" customHeight="1" s="850">
      <c r="F813" s="970" t="n"/>
    </row>
    <row r="814" ht="11.25" customHeight="1" s="850">
      <c r="F814" s="970" t="n"/>
    </row>
    <row r="815" ht="11.25" customHeight="1" s="850">
      <c r="F815" s="970" t="n"/>
    </row>
    <row r="816" ht="11.25" customHeight="1" s="850">
      <c r="F816" s="970" t="n"/>
    </row>
    <row r="817" ht="11.25" customHeight="1" s="850">
      <c r="F817" s="970" t="n"/>
    </row>
    <row r="818" ht="11.25" customHeight="1" s="850">
      <c r="F818" s="970" t="n"/>
    </row>
    <row r="819" ht="11.25" customHeight="1" s="850">
      <c r="F819" s="970" t="n"/>
    </row>
    <row r="820" ht="11.25" customHeight="1" s="850">
      <c r="F820" s="970" t="n"/>
    </row>
    <row r="821" ht="11.25" customHeight="1" s="850">
      <c r="F821" s="970" t="n"/>
    </row>
    <row r="822" ht="11.25" customHeight="1" s="850">
      <c r="F822" s="970" t="n"/>
    </row>
    <row r="823" ht="11.25" customHeight="1" s="850">
      <c r="F823" s="970" t="n"/>
    </row>
    <row r="824" ht="11.25" customHeight="1" s="850">
      <c r="F824" s="970" t="n"/>
    </row>
    <row r="825" ht="11.25" customHeight="1" s="850">
      <c r="F825" s="970" t="n"/>
    </row>
    <row r="826" ht="11.25" customHeight="1" s="850">
      <c r="F826" s="970" t="n"/>
    </row>
    <row r="827" ht="11.25" customHeight="1" s="850">
      <c r="F827" s="970" t="n"/>
    </row>
    <row r="828" ht="11.25" customHeight="1" s="850">
      <c r="F828" s="970" t="n"/>
    </row>
    <row r="829" ht="11.25" customHeight="1" s="850">
      <c r="F829" s="970" t="n"/>
    </row>
    <row r="830" ht="11.25" customHeight="1" s="850">
      <c r="F830" s="970" t="n"/>
    </row>
    <row r="831" ht="11.25" customHeight="1" s="850">
      <c r="F831" s="970" t="n"/>
    </row>
    <row r="832" ht="11.25" customHeight="1" s="850">
      <c r="F832" s="970" t="n"/>
    </row>
    <row r="833" ht="11.25" customHeight="1" s="850">
      <c r="F833" s="970" t="n"/>
    </row>
    <row r="834" ht="11.25" customHeight="1" s="850">
      <c r="F834" s="970" t="n"/>
    </row>
    <row r="835" ht="11.25" customHeight="1" s="850">
      <c r="F835" s="970" t="n"/>
    </row>
    <row r="836" ht="11.25" customHeight="1" s="850">
      <c r="F836" s="970" t="n"/>
    </row>
    <row r="837" ht="11.25" customHeight="1" s="850">
      <c r="F837" s="970" t="n"/>
    </row>
    <row r="838" ht="11.25" customHeight="1" s="850">
      <c r="F838" s="970" t="n"/>
    </row>
    <row r="839" ht="11.25" customHeight="1" s="850">
      <c r="F839" s="970" t="n"/>
    </row>
    <row r="840" ht="11.25" customHeight="1" s="850">
      <c r="F840" s="970" t="n"/>
    </row>
    <row r="841" ht="11.25" customHeight="1" s="850">
      <c r="F841" s="970" t="n"/>
    </row>
    <row r="842" ht="11.25" customHeight="1" s="850">
      <c r="F842" s="970" t="n"/>
    </row>
    <row r="843" ht="11.25" customHeight="1" s="850">
      <c r="F843" s="970" t="n"/>
    </row>
    <row r="844" ht="11.25" customHeight="1" s="850">
      <c r="F844" s="970" t="n"/>
    </row>
    <row r="845" ht="11.25" customHeight="1" s="850">
      <c r="F845" s="970" t="n"/>
    </row>
    <row r="846" ht="11.25" customHeight="1" s="850">
      <c r="F846" s="970" t="n"/>
    </row>
    <row r="847" ht="11.25" customHeight="1" s="850">
      <c r="F847" s="970" t="n"/>
    </row>
    <row r="848" ht="11.25" customHeight="1" s="850">
      <c r="F848" s="970" t="n"/>
    </row>
    <row r="849" ht="11.25" customHeight="1" s="850">
      <c r="F849" s="970" t="n"/>
    </row>
    <row r="850" ht="11.25" customHeight="1" s="850">
      <c r="F850" s="970" t="n"/>
    </row>
    <row r="851" ht="11.25" customHeight="1" s="850">
      <c r="F851" s="970" t="n"/>
    </row>
    <row r="852" ht="11.25" customHeight="1" s="850">
      <c r="F852" s="970" t="n"/>
    </row>
    <row r="853" ht="11.25" customHeight="1" s="850">
      <c r="F853" s="970" t="n"/>
    </row>
    <row r="854" ht="11.25" customHeight="1" s="850">
      <c r="F854" s="970" t="n"/>
    </row>
    <row r="855" ht="11.25" customHeight="1" s="850">
      <c r="F855" s="970" t="n"/>
    </row>
    <row r="856" ht="11.25" customHeight="1" s="850">
      <c r="F856" s="970" t="n"/>
    </row>
    <row r="857" ht="11.25" customHeight="1" s="850">
      <c r="F857" s="970" t="n"/>
    </row>
    <row r="858" ht="11.25" customHeight="1" s="850">
      <c r="F858" s="970" t="n"/>
    </row>
    <row r="859" ht="11.25" customHeight="1" s="850">
      <c r="F859" s="970" t="n"/>
    </row>
    <row r="860" ht="11.25" customHeight="1" s="850">
      <c r="F860" s="970" t="n"/>
    </row>
    <row r="861" ht="11.25" customHeight="1" s="850">
      <c r="F861" s="970" t="n"/>
    </row>
    <row r="862" ht="11.25" customHeight="1" s="850">
      <c r="F862" s="970" t="n"/>
    </row>
    <row r="863" ht="11.25" customHeight="1" s="850">
      <c r="F863" s="970" t="n"/>
    </row>
    <row r="864" ht="11.25" customHeight="1" s="850">
      <c r="F864" s="970" t="n"/>
    </row>
    <row r="865" ht="11.25" customHeight="1" s="850">
      <c r="F865" s="970" t="n"/>
    </row>
    <row r="866" ht="11.25" customHeight="1" s="850">
      <c r="F866" s="970" t="n"/>
    </row>
    <row r="867" ht="11.25" customHeight="1" s="850">
      <c r="F867" s="970" t="n"/>
    </row>
    <row r="868" ht="11.25" customHeight="1" s="850">
      <c r="F868" s="970" t="n"/>
    </row>
    <row r="869" ht="11.25" customHeight="1" s="850">
      <c r="F869" s="970" t="n"/>
    </row>
    <row r="870" ht="11.25" customHeight="1" s="850">
      <c r="F870" s="970" t="n"/>
    </row>
    <row r="871" ht="11.25" customHeight="1" s="850">
      <c r="F871" s="970" t="n"/>
    </row>
    <row r="872" ht="11.25" customHeight="1" s="850">
      <c r="F872" s="970" t="n"/>
    </row>
    <row r="873" ht="11.25" customHeight="1" s="850">
      <c r="F873" s="970" t="n"/>
    </row>
    <row r="874" ht="11.25" customHeight="1" s="850">
      <c r="F874" s="970" t="n"/>
    </row>
    <row r="875" ht="11.25" customHeight="1" s="850">
      <c r="F875" s="970" t="n"/>
    </row>
    <row r="876" ht="11.25" customHeight="1" s="850">
      <c r="F876" s="970" t="n"/>
    </row>
    <row r="877" ht="11.25" customHeight="1" s="850">
      <c r="F877" s="970" t="n"/>
    </row>
    <row r="878" ht="11.25" customHeight="1" s="850">
      <c r="F878" s="970" t="n"/>
    </row>
    <row r="879" ht="11.25" customHeight="1" s="850">
      <c r="F879" s="970" t="n"/>
    </row>
    <row r="880" ht="11.25" customHeight="1" s="850">
      <c r="F880" s="970" t="n"/>
    </row>
    <row r="881" ht="11.25" customHeight="1" s="850">
      <c r="F881" s="970" t="n"/>
    </row>
    <row r="882" ht="11.25" customHeight="1" s="850">
      <c r="F882" s="970" t="n"/>
    </row>
    <row r="883" ht="11.25" customHeight="1" s="850">
      <c r="F883" s="970" t="n"/>
    </row>
    <row r="884" ht="11.25" customHeight="1" s="850">
      <c r="F884" s="970" t="n"/>
    </row>
    <row r="885" ht="11.25" customHeight="1" s="850">
      <c r="F885" s="970" t="n"/>
    </row>
    <row r="886" ht="11.25" customHeight="1" s="850">
      <c r="F886" s="970" t="n"/>
    </row>
    <row r="887" ht="11.25" customHeight="1" s="850">
      <c r="F887" s="970" t="n"/>
    </row>
    <row r="888" ht="11.25" customHeight="1" s="850">
      <c r="F888" s="970" t="n"/>
    </row>
    <row r="889" ht="11.25" customHeight="1" s="850">
      <c r="F889" s="970" t="n"/>
    </row>
    <row r="890" ht="11.25" customHeight="1" s="850">
      <c r="F890" s="970" t="n"/>
    </row>
    <row r="891" ht="11.25" customHeight="1" s="850">
      <c r="F891" s="970" t="n"/>
    </row>
    <row r="892" ht="11.25" customHeight="1" s="850">
      <c r="F892" s="970" t="n"/>
    </row>
    <row r="893" ht="11.25" customHeight="1" s="850">
      <c r="F893" s="970" t="n"/>
    </row>
    <row r="894" ht="11.25" customHeight="1" s="850">
      <c r="F894" s="970" t="n"/>
    </row>
    <row r="895" ht="11.25" customHeight="1" s="850">
      <c r="F895" s="970" t="n"/>
    </row>
    <row r="896" ht="11.25" customHeight="1" s="850">
      <c r="F896" s="970" t="n"/>
    </row>
    <row r="897" ht="11.25" customHeight="1" s="850">
      <c r="F897" s="970" t="n"/>
    </row>
    <row r="898" ht="11.25" customHeight="1" s="850">
      <c r="F898" s="970" t="n"/>
    </row>
    <row r="899" ht="11.25" customHeight="1" s="850">
      <c r="F899" s="970" t="n"/>
    </row>
    <row r="900" ht="11.25" customHeight="1" s="850">
      <c r="F900" s="970" t="n"/>
    </row>
    <row r="901" ht="11.25" customHeight="1" s="850">
      <c r="F901" s="970" t="n"/>
    </row>
    <row r="902" ht="11.25" customHeight="1" s="850">
      <c r="F902" s="970" t="n"/>
    </row>
    <row r="903" ht="11.25" customHeight="1" s="850">
      <c r="F903" s="970" t="n"/>
    </row>
    <row r="904" ht="11.25" customHeight="1" s="850">
      <c r="F904" s="970" t="n"/>
    </row>
    <row r="905" ht="11.25" customHeight="1" s="850">
      <c r="F905" s="970" t="n"/>
    </row>
    <row r="906" ht="11.25" customHeight="1" s="850">
      <c r="F906" s="970" t="n"/>
    </row>
    <row r="907" ht="11.25" customHeight="1" s="850">
      <c r="F907" s="970" t="n"/>
    </row>
    <row r="908" ht="11.25" customHeight="1" s="850">
      <c r="F908" s="970" t="n"/>
    </row>
    <row r="909" ht="11.25" customHeight="1" s="850">
      <c r="F909" s="970" t="n"/>
    </row>
    <row r="910" ht="11.25" customHeight="1" s="850">
      <c r="F910" s="970" t="n"/>
    </row>
    <row r="911" ht="11.25" customHeight="1" s="850">
      <c r="F911" s="970" t="n"/>
    </row>
    <row r="912" ht="11.25" customHeight="1" s="850">
      <c r="F912" s="970" t="n"/>
    </row>
    <row r="913" ht="11.25" customHeight="1" s="850">
      <c r="F913" s="970" t="n"/>
    </row>
    <row r="914" ht="11.25" customHeight="1" s="850">
      <c r="F914" s="970" t="n"/>
    </row>
    <row r="915" ht="11.25" customHeight="1" s="850">
      <c r="F915" s="970" t="n"/>
    </row>
    <row r="916" ht="11.25" customHeight="1" s="850">
      <c r="F916" s="970" t="n"/>
    </row>
    <row r="917" ht="11.25" customHeight="1" s="850">
      <c r="F917" s="970" t="n"/>
    </row>
    <row r="918" ht="11.25" customHeight="1" s="850">
      <c r="F918" s="970" t="n"/>
    </row>
    <row r="919" ht="11.25" customHeight="1" s="850">
      <c r="F919" s="970" t="n"/>
    </row>
    <row r="920" ht="11.25" customHeight="1" s="850">
      <c r="F920" s="970" t="n"/>
    </row>
    <row r="921" ht="11.25" customHeight="1" s="850">
      <c r="F921" s="970" t="n"/>
    </row>
    <row r="922" ht="11.25" customHeight="1" s="850">
      <c r="F922" s="970" t="n"/>
    </row>
    <row r="923" ht="11.25" customHeight="1" s="850">
      <c r="F923" s="970" t="n"/>
    </row>
    <row r="924" ht="11.25" customHeight="1" s="850">
      <c r="F924" s="970" t="n"/>
    </row>
    <row r="925" ht="11.25" customHeight="1" s="850">
      <c r="F925" s="970" t="n"/>
    </row>
    <row r="926" ht="11.25" customHeight="1" s="850">
      <c r="F926" s="970" t="n"/>
    </row>
    <row r="927" ht="11.25" customHeight="1" s="850">
      <c r="F927" s="970" t="n"/>
    </row>
    <row r="928" ht="11.25" customHeight="1" s="850">
      <c r="F928" s="970" t="n"/>
    </row>
    <row r="929" ht="11.25" customHeight="1" s="850">
      <c r="F929" s="970" t="n"/>
    </row>
    <row r="930" ht="11.25" customHeight="1" s="850">
      <c r="F930" s="970" t="n"/>
    </row>
    <row r="931" ht="11.25" customHeight="1" s="850">
      <c r="F931" s="970" t="n"/>
    </row>
    <row r="932" ht="11.25" customHeight="1" s="850">
      <c r="F932" s="970" t="n"/>
    </row>
    <row r="933" ht="11.25" customHeight="1" s="850">
      <c r="F933" s="970" t="n"/>
    </row>
    <row r="934" ht="11.25" customHeight="1" s="850">
      <c r="F934" s="970" t="n"/>
    </row>
    <row r="935" ht="11.25" customHeight="1" s="850">
      <c r="F935" s="970" t="n"/>
    </row>
    <row r="936" ht="11.25" customHeight="1" s="850">
      <c r="F936" s="970" t="n"/>
    </row>
    <row r="937" ht="11.25" customHeight="1" s="850">
      <c r="F937" s="970" t="n"/>
    </row>
    <row r="938" ht="11.25" customHeight="1" s="850">
      <c r="F938" s="970" t="n"/>
    </row>
    <row r="939" ht="11.25" customHeight="1" s="850">
      <c r="F939" s="970" t="n"/>
    </row>
    <row r="940" ht="11.25" customHeight="1" s="850">
      <c r="F940" s="970" t="n"/>
    </row>
    <row r="941" ht="11.25" customHeight="1" s="850">
      <c r="F941" s="970" t="n"/>
    </row>
    <row r="942" ht="11.25" customHeight="1" s="850">
      <c r="F942" s="970" t="n"/>
    </row>
    <row r="943" ht="11.25" customHeight="1" s="850">
      <c r="F943" s="970" t="n"/>
    </row>
    <row r="944" ht="11.25" customHeight="1" s="850">
      <c r="F944" s="970" t="n"/>
    </row>
    <row r="945" ht="11.25" customHeight="1" s="850">
      <c r="F945" s="970" t="n"/>
    </row>
    <row r="946" ht="11.25" customHeight="1" s="850">
      <c r="F946" s="970" t="n"/>
    </row>
    <row r="947" ht="11.25" customHeight="1" s="850">
      <c r="F947" s="970" t="n"/>
    </row>
    <row r="948" ht="11.25" customHeight="1" s="850">
      <c r="F948" s="970" t="n"/>
    </row>
    <row r="949" ht="11.25" customHeight="1" s="850">
      <c r="F949" s="970" t="n"/>
    </row>
    <row r="950" ht="11.25" customHeight="1" s="850">
      <c r="F950" s="970" t="n"/>
    </row>
    <row r="951" ht="11.25" customHeight="1" s="850">
      <c r="F951" s="970" t="n"/>
    </row>
    <row r="952" ht="11.25" customHeight="1" s="850">
      <c r="F952" s="970" t="n"/>
    </row>
    <row r="953" ht="11.25" customHeight="1" s="850">
      <c r="F953" s="970" t="n"/>
    </row>
    <row r="954" ht="11.25" customHeight="1" s="850">
      <c r="F954" s="970" t="n"/>
    </row>
    <row r="955" ht="11.25" customHeight="1" s="850">
      <c r="F955" s="970" t="n"/>
    </row>
    <row r="956" ht="11.25" customHeight="1" s="850">
      <c r="F956" s="970" t="n"/>
    </row>
    <row r="957" ht="11.25" customHeight="1" s="850">
      <c r="F957" s="970" t="n"/>
    </row>
    <row r="958" ht="11.25" customHeight="1" s="850">
      <c r="F958" s="970" t="n"/>
    </row>
    <row r="959" ht="11.25" customHeight="1" s="850">
      <c r="F959" s="970" t="n"/>
    </row>
    <row r="960" ht="11.25" customHeight="1" s="850">
      <c r="F960" s="970" t="n"/>
    </row>
    <row r="961" ht="11.25" customHeight="1" s="850">
      <c r="F961" s="970" t="n"/>
    </row>
    <row r="962" ht="11.25" customHeight="1" s="850">
      <c r="F962" s="970" t="n"/>
    </row>
    <row r="963" ht="11.25" customHeight="1" s="850">
      <c r="F963" s="970" t="n"/>
    </row>
    <row r="964" ht="11.25" customHeight="1" s="850">
      <c r="F964" s="970" t="n"/>
    </row>
    <row r="965" ht="11.25" customHeight="1" s="850">
      <c r="F965" s="970" t="n"/>
    </row>
    <row r="966" ht="11.25" customHeight="1" s="850">
      <c r="F966" s="970" t="n"/>
    </row>
    <row r="967" ht="11.25" customHeight="1" s="850">
      <c r="F967" s="970" t="n"/>
    </row>
    <row r="968" ht="11.25" customHeight="1" s="850">
      <c r="F968" s="970" t="n"/>
    </row>
    <row r="969" ht="11.25" customHeight="1" s="850">
      <c r="F969" s="970" t="n"/>
    </row>
    <row r="970" ht="11.25" customHeight="1" s="850">
      <c r="F970" s="970" t="n"/>
    </row>
    <row r="971" ht="11.25" customHeight="1" s="850">
      <c r="F971" s="970" t="n"/>
    </row>
    <row r="972" ht="11.25" customHeight="1" s="850">
      <c r="F972" s="970" t="n"/>
    </row>
    <row r="973" ht="11.25" customHeight="1" s="850">
      <c r="F973" s="970" t="n"/>
    </row>
    <row r="974" ht="11.25" customHeight="1" s="850">
      <c r="F974" s="970" t="n"/>
    </row>
    <row r="975" ht="11.25" customHeight="1" s="850">
      <c r="F975" s="970" t="n"/>
    </row>
    <row r="976" ht="11.25" customHeight="1" s="850">
      <c r="F976" s="970" t="n"/>
    </row>
    <row r="977" ht="11.25" customHeight="1" s="850">
      <c r="F977" s="970" t="n"/>
    </row>
    <row r="978" ht="11.25" customHeight="1" s="850">
      <c r="F978" s="970" t="n"/>
    </row>
    <row r="979" ht="11.25" customHeight="1" s="850">
      <c r="F979" s="970" t="n"/>
    </row>
    <row r="980" ht="11.25" customHeight="1" s="850">
      <c r="F980" s="970" t="n"/>
    </row>
    <row r="981" ht="11.25" customHeight="1" s="850">
      <c r="F981" s="970" t="n"/>
    </row>
    <row r="982" ht="11.25" customHeight="1" s="850">
      <c r="F982" s="970" t="n"/>
    </row>
    <row r="983" ht="11.25" customHeight="1" s="850">
      <c r="F983" s="970" t="n"/>
    </row>
    <row r="984" ht="11.25" customHeight="1" s="850">
      <c r="F984" s="970" t="n"/>
    </row>
    <row r="985" ht="11.25" customHeight="1" s="850">
      <c r="F985" s="970" t="n"/>
    </row>
    <row r="986" ht="11.25" customHeight="1" s="850">
      <c r="F986" s="970" t="n"/>
    </row>
    <row r="987" ht="11.25" customHeight="1" s="850">
      <c r="F987" s="970" t="n"/>
    </row>
    <row r="988" ht="11.25" customHeight="1" s="850">
      <c r="F988" s="970" t="n"/>
    </row>
    <row r="989" ht="11.25" customHeight="1" s="850">
      <c r="F989" s="970" t="n"/>
    </row>
    <row r="990" ht="11.25" customHeight="1" s="850">
      <c r="F990" s="970" t="n"/>
    </row>
    <row r="991" ht="11.25" customHeight="1" s="850">
      <c r="F991" s="970" t="n"/>
    </row>
    <row r="992" ht="11.25" customHeight="1" s="850">
      <c r="F992" s="970" t="n"/>
    </row>
    <row r="993" ht="11.25" customHeight="1" s="850">
      <c r="F993" s="970" t="n"/>
    </row>
    <row r="994" ht="11.25" customHeight="1" s="850">
      <c r="F994" s="970" t="n"/>
    </row>
    <row r="995" ht="11.25" customHeight="1" s="850">
      <c r="F995" s="970" t="n"/>
    </row>
    <row r="996" ht="11.25" customHeight="1" s="850">
      <c r="F996" s="970" t="n"/>
    </row>
    <row r="997" ht="11.25" customHeight="1" s="850">
      <c r="F997" s="970" t="n"/>
    </row>
    <row r="998" ht="11.25" customHeight="1" s="850">
      <c r="F998" s="970" t="n"/>
    </row>
    <row r="999" ht="11.25" customHeight="1" s="850">
      <c r="F999" s="970" t="n"/>
    </row>
    <row r="1000" ht="11.25" customHeight="1" s="850">
      <c r="F1000" s="970" t="n"/>
    </row>
    <row r="1001" ht="11.25" customHeight="1" s="850">
      <c r="F1001" s="970" t="n"/>
    </row>
    <row r="1002" ht="11.25" customHeight="1" s="850">
      <c r="F1002" s="970" t="n"/>
    </row>
    <row r="1003" ht="11.25" customHeight="1" s="850">
      <c r="F1003" s="970" t="n"/>
    </row>
    <row r="1004" ht="11.25" customHeight="1" s="850">
      <c r="F1004" s="970" t="n"/>
    </row>
    <row r="1005" ht="11.25" customHeight="1" s="850">
      <c r="F1005" s="970" t="n"/>
    </row>
    <row r="1006" ht="11.25" customHeight="1" s="850">
      <c r="F1006" s="970" t="n"/>
    </row>
    <row r="1007" ht="11.25" customHeight="1" s="850">
      <c r="F1007" s="970" t="n"/>
    </row>
    <row r="1008" ht="11.25" customHeight="1" s="850">
      <c r="F1008" s="970" t="n"/>
    </row>
    <row r="1009" ht="11.25" customHeight="1" s="850">
      <c r="F1009" s="970" t="n"/>
    </row>
    <row r="1010" ht="11.25" customHeight="1" s="850">
      <c r="F1010" s="970" t="n"/>
    </row>
    <row r="1011" ht="11.25" customHeight="1" s="850">
      <c r="F1011" s="970" t="n"/>
    </row>
    <row r="1012" ht="11.25" customHeight="1" s="850">
      <c r="F1012" s="970" t="n"/>
    </row>
    <row r="1013" ht="11.25" customHeight="1" s="850">
      <c r="F1013" s="970" t="n"/>
    </row>
    <row r="1014" ht="11.25" customHeight="1" s="850">
      <c r="F1014" s="970" t="n"/>
    </row>
    <row r="1015" ht="11.25" customHeight="1" s="850">
      <c r="F1015" s="970" t="n"/>
    </row>
    <row r="1016" ht="11.25" customHeight="1" s="850">
      <c r="F1016" s="970" t="n"/>
    </row>
    <row r="1017" ht="11.25" customHeight="1" s="850">
      <c r="F1017" s="970" t="n"/>
    </row>
    <row r="1018" ht="11.25" customHeight="1" s="850">
      <c r="F1018" s="970" t="n"/>
    </row>
    <row r="1019" ht="11.25" customHeight="1" s="850">
      <c r="F1019" s="970" t="n"/>
    </row>
    <row r="1020" ht="11.25" customHeight="1" s="850">
      <c r="F1020" s="970" t="n"/>
    </row>
    <row r="1021" ht="11.25" customHeight="1" s="850">
      <c r="F1021" s="970" t="n"/>
    </row>
    <row r="1022" ht="11.25" customHeight="1" s="850">
      <c r="F1022" s="970" t="n"/>
    </row>
    <row r="1023" ht="11.25" customHeight="1" s="850">
      <c r="F1023" s="970" t="n"/>
    </row>
    <row r="1024" ht="11.25" customHeight="1" s="850">
      <c r="F1024" s="970" t="n"/>
    </row>
    <row r="1025" ht="11.25" customHeight="1" s="850">
      <c r="F1025" s="970" t="n"/>
    </row>
    <row r="1026" ht="11.25" customHeight="1" s="850">
      <c r="F1026" s="970" t="n"/>
    </row>
    <row r="1027" ht="11.25" customHeight="1" s="850">
      <c r="F1027" s="970" t="n"/>
    </row>
    <row r="1028" ht="11.25" customHeight="1" s="850">
      <c r="F1028" s="970" t="n"/>
    </row>
    <row r="1029" ht="11.25" customHeight="1" s="850">
      <c r="F1029" s="970" t="n"/>
    </row>
    <row r="1030" ht="11.25" customHeight="1" s="850">
      <c r="F1030" s="970" t="n"/>
    </row>
    <row r="1031" ht="11.25" customHeight="1" s="850">
      <c r="F1031" s="970" t="n"/>
    </row>
    <row r="1032" ht="11.25" customHeight="1" s="850">
      <c r="F1032" s="970" t="n"/>
    </row>
    <row r="1033" ht="11.25" customHeight="1" s="850">
      <c r="F1033" s="970" t="n"/>
    </row>
    <row r="1034" ht="11.25" customHeight="1" s="850">
      <c r="F1034" s="970" t="n"/>
    </row>
    <row r="1035" ht="11.25" customHeight="1" s="850">
      <c r="F1035" s="970" t="n"/>
    </row>
    <row r="1036" ht="11.25" customHeight="1" s="850">
      <c r="F1036" s="970" t="n"/>
    </row>
    <row r="1037" ht="11.25" customHeight="1" s="850">
      <c r="F1037" s="970" t="n"/>
    </row>
    <row r="1038" ht="11.25" customHeight="1" s="850">
      <c r="F1038" s="970" t="n"/>
    </row>
    <row r="1039" ht="11.25" customHeight="1" s="850">
      <c r="F1039" s="970" t="n"/>
    </row>
    <row r="1040" ht="11.25" customHeight="1" s="850">
      <c r="F1040" s="970" t="n"/>
    </row>
    <row r="1041" ht="11.25" customHeight="1" s="850">
      <c r="F1041" s="970" t="n"/>
    </row>
    <row r="1042" ht="11.25" customHeight="1" s="850">
      <c r="F1042" s="970" t="n"/>
    </row>
    <row r="1043" ht="11.25" customHeight="1" s="850">
      <c r="F1043" s="970" t="n"/>
    </row>
    <row r="1044" ht="11.25" customHeight="1" s="850">
      <c r="F1044" s="970" t="n"/>
    </row>
    <row r="1045" ht="11.25" customHeight="1" s="850">
      <c r="F1045" s="970" t="n"/>
    </row>
    <row r="1046" ht="11.25" customHeight="1" s="850">
      <c r="F1046" s="970" t="n"/>
    </row>
    <row r="1047" ht="11.25" customHeight="1" s="850">
      <c r="F1047" s="970" t="n"/>
    </row>
    <row r="1048" ht="11.25" customHeight="1" s="850">
      <c r="F1048" s="970" t="n"/>
    </row>
    <row r="1049" ht="11.25" customHeight="1" s="850">
      <c r="F1049" s="970" t="n"/>
    </row>
    <row r="1050" ht="11.25" customHeight="1" s="850">
      <c r="F1050" s="970" t="n"/>
    </row>
    <row r="1051" ht="11.25" customHeight="1" s="850">
      <c r="F1051" s="970" t="n"/>
    </row>
    <row r="1052" ht="11.25" customHeight="1" s="850">
      <c r="F1052" s="970" t="n"/>
    </row>
    <row r="1053" ht="11.25" customHeight="1" s="850">
      <c r="F1053" s="970" t="n"/>
    </row>
    <row r="1054" ht="11.25" customHeight="1" s="850">
      <c r="F1054" s="970" t="n"/>
    </row>
    <row r="1055" ht="11.25" customHeight="1" s="850">
      <c r="F1055" s="970" t="n"/>
    </row>
    <row r="1056" ht="11.25" customHeight="1" s="850">
      <c r="F1056" s="970" t="n"/>
    </row>
    <row r="1057" ht="11.25" customHeight="1" s="850">
      <c r="F1057" s="970" t="n"/>
    </row>
    <row r="1058" ht="11.25" customHeight="1" s="850">
      <c r="F1058" s="970" t="n"/>
    </row>
    <row r="1059" ht="11.25" customHeight="1" s="850">
      <c r="F1059" s="970" t="n"/>
    </row>
    <row r="1060" ht="11.25" customHeight="1" s="850">
      <c r="F1060" s="970" t="n"/>
    </row>
    <row r="1061" ht="11.25" customHeight="1" s="850">
      <c r="F1061" s="970" t="n"/>
    </row>
    <row r="1062" ht="11.25" customHeight="1" s="850">
      <c r="F1062" s="970" t="n"/>
    </row>
    <row r="1063" ht="11.25" customHeight="1" s="850">
      <c r="F1063" s="970" t="n"/>
    </row>
    <row r="1064" ht="11.25" customHeight="1" s="850">
      <c r="F1064" s="970" t="n"/>
    </row>
    <row r="1065" ht="11.25" customHeight="1" s="850">
      <c r="F1065" s="970" t="n"/>
    </row>
    <row r="1066" ht="11.25" customHeight="1" s="850">
      <c r="F1066" s="970" t="n"/>
    </row>
    <row r="1067" ht="11.25" customHeight="1" s="850">
      <c r="F1067" s="970" t="n"/>
    </row>
    <row r="1068" ht="11.25" customHeight="1" s="850">
      <c r="F1068" s="970" t="n"/>
    </row>
    <row r="1069" ht="11.25" customHeight="1" s="850">
      <c r="F1069" s="970" t="n"/>
    </row>
    <row r="1070" ht="11.25" customHeight="1" s="850">
      <c r="F1070" s="970" t="n"/>
    </row>
    <row r="1071" ht="11.25" customHeight="1" s="850">
      <c r="F1071" s="970" t="n"/>
    </row>
    <row r="1072" ht="11.25" customHeight="1" s="850">
      <c r="F1072" s="970" t="n"/>
    </row>
    <row r="1073" ht="11.25" customHeight="1" s="850">
      <c r="F1073" s="970" t="n"/>
    </row>
    <row r="1074" ht="11.25" customHeight="1" s="850">
      <c r="F1074" s="970" t="n"/>
    </row>
    <row r="1075" ht="11.25" customHeight="1" s="850">
      <c r="F1075" s="970" t="n"/>
    </row>
    <row r="1076" ht="11.25" customHeight="1" s="850">
      <c r="F1076" s="970" t="n"/>
    </row>
  </sheetData>
  <mergeCells count="8">
    <mergeCell ref="B51:B52"/>
    <mergeCell ref="G3:J3"/>
    <mergeCell ref="H51:H52"/>
    <mergeCell ref="G51:G52"/>
    <mergeCell ref="L3:O3"/>
    <mergeCell ref="K51:K52"/>
    <mergeCell ref="Q3:T3"/>
    <mergeCell ref="B3:E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AG66"/>
  <sheetViews>
    <sheetView showFormulas="0" showGridLines="0" showRowColHeaders="1" showZeros="1" rightToLeft="0" tabSelected="0" showOutlineSymbols="1" defaultGridColor="1" view="normal" topLeftCell="A1" colorId="64" zoomScale="80" zoomScaleNormal="80" zoomScalePageLayoutView="100" workbookViewId="0">
      <pane xSplit="1" ySplit="0" topLeftCell="B1" activePane="topRight" state="frozen"/>
      <selection pane="topLeft" activeCell="A1" activeCellId="0" sqref="A1"/>
      <selection pane="topRight" activeCell="G10" activeCellId="0" sqref="G10"/>
    </sheetView>
  </sheetViews>
  <sheetFormatPr baseColWidth="8" defaultColWidth="9.13671875" defaultRowHeight="15" zeroHeight="0" outlineLevelRow="0"/>
  <cols>
    <col width="31.71" customWidth="1" style="1110" min="1" max="1"/>
    <col width="8.85" customWidth="1" style="1110" min="2" max="6"/>
    <col width="9.279999999999999" customWidth="1" style="1110" min="7" max="7"/>
    <col width="8.85" customWidth="1" style="1281" min="8" max="8"/>
    <col width="8.85" customWidth="1" style="1110" min="9" max="11"/>
    <col width="9.42" customWidth="1" style="1110" min="12" max="12"/>
    <col width="9.85" customWidth="1" style="1110" min="13" max="13"/>
    <col width="9.56" customWidth="1" style="1110" min="14" max="14"/>
    <col width="9.42" customWidth="1" style="1281" min="15" max="15"/>
    <col width="9.130000000000001" customWidth="1" style="1110" min="16" max="17"/>
    <col width="10.13" customWidth="1" style="1110" min="18" max="18"/>
    <col width="9.130000000000001" customWidth="1" style="1110" min="19" max="19"/>
    <col width="10.42" customWidth="1" style="1110" min="20" max="20"/>
    <col width="9.130000000000001" customWidth="1" style="1110" min="21" max="21"/>
    <col width="9.710000000000001" customWidth="1" style="1110" min="22" max="22"/>
    <col width="9.130000000000001" customWidth="1" style="1110" min="23" max="24"/>
    <col width="10.13" customWidth="1" style="1110" min="25" max="25"/>
    <col width="9.130000000000001" customWidth="1" style="1110" min="26" max="26"/>
    <col width="10.42" customWidth="1" style="1110" min="27" max="27"/>
    <col width="9.130000000000001" customWidth="1" style="1110" min="28" max="28"/>
    <col width="10.85" customWidth="1" style="1110" min="29" max="29"/>
    <col width="12.13" customWidth="1" style="1110" min="30" max="30"/>
    <col width="11.56" customWidth="1" style="1110" min="31" max="33"/>
    <col width="9.130000000000001" customWidth="1" style="1110" min="34" max="257"/>
  </cols>
  <sheetData>
    <row r="1" ht="36.75" customFormat="1" customHeight="1" s="875">
      <c r="A1" s="1282" t="inlineStr">
        <is>
          <t>GAIL (INDIA) LTD.</t>
        </is>
      </c>
      <c r="B1" s="877" t="n"/>
      <c r="C1" s="878" t="n"/>
      <c r="D1" s="879" t="n"/>
      <c r="E1" s="879" t="n"/>
      <c r="F1" s="879" t="n"/>
      <c r="G1" s="879" t="n"/>
      <c r="H1" s="877" t="n"/>
      <c r="I1" s="877" t="n"/>
      <c r="J1" s="1283"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75" customFormat="1" customHeight="1" s="875">
      <c r="A2" s="1284" t="n"/>
      <c r="B2" s="1285" t="n"/>
      <c r="D2" s="1286" t="n"/>
      <c r="E2" s="1286" t="n"/>
      <c r="F2" s="1286" t="n"/>
      <c r="G2" s="1286" t="n"/>
      <c r="H2" s="1285" t="n"/>
      <c r="I2" s="1285" t="n"/>
      <c r="J2" s="880" t="n"/>
      <c r="K2" s="880" t="n"/>
      <c r="L2" s="880" t="n"/>
      <c r="M2" s="880" t="n"/>
      <c r="N2" s="1286" t="n"/>
      <c r="O2" s="1285" t="n"/>
      <c r="P2" s="1285" t="n"/>
      <c r="Q2" s="1286" t="n"/>
      <c r="R2" s="1286" t="n"/>
      <c r="S2" s="1287" t="n"/>
      <c r="U2" s="1287" t="n"/>
      <c r="V2" s="1287" t="n"/>
      <c r="W2" s="1285" t="n"/>
      <c r="X2" s="1286" t="n"/>
      <c r="Y2" s="1286" t="n"/>
      <c r="Z2" s="1287" t="n"/>
      <c r="AB2" s="1287" t="n"/>
      <c r="AC2" s="1287" t="n"/>
    </row>
    <row r="3" ht="25.5" customHeight="1" s="850">
      <c r="A3" s="1288" t="inlineStr">
        <is>
          <t>INCOME STATEMENT</t>
        </is>
      </c>
      <c r="B3" s="1289" t="inlineStr">
        <is>
          <t>FY 2006-07</t>
        </is>
      </c>
      <c r="C3" s="1290" t="n"/>
      <c r="D3" s="1290" t="n"/>
      <c r="E3" s="1290" t="n"/>
      <c r="F3" s="1290" t="n"/>
      <c r="G3" s="1291" t="n"/>
      <c r="H3" s="1061" t="inlineStr">
        <is>
          <t>A</t>
        </is>
      </c>
      <c r="I3" s="1289" t="inlineStr">
        <is>
          <t>FY 2007-08</t>
        </is>
      </c>
      <c r="J3" s="1290" t="n"/>
      <c r="K3" s="1290" t="n"/>
      <c r="L3" s="1290" t="n"/>
      <c r="M3" s="1290" t="n"/>
      <c r="N3" s="1291" t="n"/>
      <c r="O3" s="1061" t="inlineStr">
        <is>
          <t>A</t>
        </is>
      </c>
      <c r="P3" s="1060" t="inlineStr">
        <is>
          <t>FY 2008-09</t>
        </is>
      </c>
      <c r="Q3" s="986" t="n"/>
      <c r="R3" s="986" t="n"/>
      <c r="S3" s="986" t="n"/>
      <c r="T3" s="986" t="n"/>
      <c r="U3" s="987" t="n"/>
      <c r="V3" s="1061" t="inlineStr">
        <is>
          <t>A</t>
        </is>
      </c>
      <c r="W3" s="1060" t="inlineStr">
        <is>
          <t>FY 2009-10</t>
        </is>
      </c>
      <c r="X3" s="986" t="n"/>
      <c r="Y3" s="986" t="n"/>
      <c r="Z3" s="986" t="n"/>
      <c r="AA3" s="986" t="n"/>
      <c r="AB3" s="987" t="n"/>
      <c r="AC3" s="1061" t="inlineStr">
        <is>
          <t>E</t>
        </is>
      </c>
      <c r="AD3" s="1292" t="inlineStr">
        <is>
          <t>FY 2010-11 E</t>
        </is>
      </c>
      <c r="AE3" s="1292" t="inlineStr">
        <is>
          <t>FY 2011-12 E</t>
        </is>
      </c>
      <c r="AF3" s="1292" t="inlineStr">
        <is>
          <t>FY 2012-13 E</t>
        </is>
      </c>
      <c r="AG3" s="1292" t="inlineStr">
        <is>
          <t>FY 2013-14 E</t>
        </is>
      </c>
    </row>
    <row r="4" ht="20.25" customFormat="1" customHeight="1" s="1293">
      <c r="A4" s="1294" t="inlineStr">
        <is>
          <t>(Figures in Rs. Crores.)</t>
        </is>
      </c>
      <c r="B4" s="1295" t="inlineStr">
        <is>
          <t>Q1</t>
        </is>
      </c>
      <c r="C4" s="1296" t="inlineStr">
        <is>
          <t xml:space="preserve">Q2 </t>
        </is>
      </c>
      <c r="D4" s="1297" t="inlineStr">
        <is>
          <t>6M</t>
        </is>
      </c>
      <c r="E4" s="1297" t="inlineStr">
        <is>
          <t>Q3</t>
        </is>
      </c>
      <c r="F4" s="1297" t="inlineStr">
        <is>
          <t>9M</t>
        </is>
      </c>
      <c r="G4" s="1298" t="inlineStr">
        <is>
          <t>Q4</t>
        </is>
      </c>
      <c r="H4" s="1070" t="inlineStr">
        <is>
          <t>FY 2007</t>
        </is>
      </c>
      <c r="I4" s="1299" t="inlineStr">
        <is>
          <t>Q1</t>
        </is>
      </c>
      <c r="J4" s="1296" t="inlineStr">
        <is>
          <t xml:space="preserve">Q2 </t>
        </is>
      </c>
      <c r="K4" s="1297" t="inlineStr">
        <is>
          <t>6M</t>
        </is>
      </c>
      <c r="L4" s="1297" t="inlineStr">
        <is>
          <t>Q3</t>
        </is>
      </c>
      <c r="M4" s="1297" t="inlineStr">
        <is>
          <t>9M</t>
        </is>
      </c>
      <c r="N4" s="1298" t="inlineStr">
        <is>
          <t>Q4</t>
        </is>
      </c>
      <c r="O4" s="1070" t="inlineStr">
        <is>
          <t>FY 2008</t>
        </is>
      </c>
      <c r="P4" s="1295" t="inlineStr">
        <is>
          <t>Q1</t>
        </is>
      </c>
      <c r="Q4" s="1296" t="inlineStr">
        <is>
          <t xml:space="preserve">Q2 </t>
        </is>
      </c>
      <c r="R4" s="1297" t="inlineStr">
        <is>
          <t>6M</t>
        </is>
      </c>
      <c r="S4" s="1297" t="inlineStr">
        <is>
          <t>Q3</t>
        </is>
      </c>
      <c r="T4" s="1297" t="inlineStr">
        <is>
          <t>9M</t>
        </is>
      </c>
      <c r="U4" s="1298" t="inlineStr">
        <is>
          <t>Q4</t>
        </is>
      </c>
      <c r="V4" s="1075" t="inlineStr">
        <is>
          <t>FY 2009</t>
        </is>
      </c>
      <c r="W4" s="1295" t="inlineStr">
        <is>
          <t>Q1</t>
        </is>
      </c>
      <c r="X4" s="1296" t="inlineStr">
        <is>
          <t xml:space="preserve">Q2 </t>
        </is>
      </c>
      <c r="Y4" s="1297" t="inlineStr">
        <is>
          <t>6M</t>
        </is>
      </c>
      <c r="Z4" s="1297" t="inlineStr">
        <is>
          <t>Q3</t>
        </is>
      </c>
      <c r="AA4" s="1297" t="inlineStr">
        <is>
          <t>9M</t>
        </is>
      </c>
      <c r="AB4" s="1298" t="inlineStr">
        <is>
          <t>Q4</t>
        </is>
      </c>
      <c r="AC4" s="1075" t="inlineStr">
        <is>
          <t>FY 2010</t>
        </is>
      </c>
      <c r="AD4" s="1300" t="n"/>
      <c r="AE4" s="1301" t="n"/>
      <c r="AF4" s="1301" t="n"/>
      <c r="AG4" s="1302" t="n"/>
    </row>
    <row r="5" ht="19.5" customFormat="1" customHeight="1" s="1303">
      <c r="A5" s="1304" t="n"/>
      <c r="B5" s="1305" t="inlineStr">
        <is>
          <t>APR-JUN</t>
        </is>
      </c>
      <c r="C5" s="1306" t="inlineStr">
        <is>
          <t>JUL-SEP</t>
        </is>
      </c>
      <c r="D5" s="1307" t="n"/>
      <c r="E5" s="1308" t="inlineStr">
        <is>
          <t>OCT-DEC</t>
        </is>
      </c>
      <c r="F5" s="1309" t="n"/>
      <c r="G5" s="1310" t="inlineStr">
        <is>
          <t>JAN-MAR</t>
        </is>
      </c>
      <c r="H5" s="1311" t="n"/>
      <c r="I5" s="1305" t="inlineStr">
        <is>
          <t>APR-JUN</t>
        </is>
      </c>
      <c r="J5" s="1306" t="inlineStr">
        <is>
          <t>JUL-SEPT</t>
        </is>
      </c>
      <c r="K5" s="1307" t="n"/>
      <c r="L5" s="1309" t="inlineStr">
        <is>
          <t>OCT-DEC</t>
        </is>
      </c>
      <c r="M5" s="1309" t="n"/>
      <c r="N5" s="1310" t="inlineStr">
        <is>
          <t>JAN-MAR</t>
        </is>
      </c>
      <c r="O5" s="1311" t="n"/>
      <c r="P5" s="1305" t="inlineStr">
        <is>
          <t>APR-JUN</t>
        </is>
      </c>
      <c r="Q5" s="1306" t="inlineStr">
        <is>
          <t>JUL-SEPT</t>
        </is>
      </c>
      <c r="R5" s="1307" t="n"/>
      <c r="S5" s="1309" t="inlineStr">
        <is>
          <t>OCT-DEC</t>
        </is>
      </c>
      <c r="T5" s="1309" t="n"/>
      <c r="U5" s="1310" t="inlineStr">
        <is>
          <t>JAN-MAR</t>
        </is>
      </c>
      <c r="V5" s="1311" t="n"/>
      <c r="W5" s="1305" t="inlineStr">
        <is>
          <t>APR-JUN</t>
        </is>
      </c>
      <c r="X5" s="1306" t="inlineStr">
        <is>
          <t>JUL-SEPT</t>
        </is>
      </c>
      <c r="Y5" s="1307" t="n"/>
      <c r="Z5" s="1309" t="inlineStr">
        <is>
          <t>OCT-DEC</t>
        </is>
      </c>
      <c r="AA5" s="1309" t="n"/>
      <c r="AB5" s="1310" t="inlineStr">
        <is>
          <t>JAN-MAR</t>
        </is>
      </c>
      <c r="AC5" s="1312" t="n"/>
      <c r="AD5" s="1313" t="inlineStr">
        <is>
          <t>APR-MAR</t>
        </is>
      </c>
      <c r="AE5" s="1313" t="inlineStr">
        <is>
          <t>APR-MAR</t>
        </is>
      </c>
      <c r="AF5" s="1313" t="inlineStr">
        <is>
          <t>APR-MAR</t>
        </is>
      </c>
      <c r="AG5" s="1313" t="inlineStr">
        <is>
          <t>APR-MAR</t>
        </is>
      </c>
    </row>
    <row r="6" ht="15" customFormat="1" customHeight="1" s="1118">
      <c r="A6" s="1314" t="inlineStr">
        <is>
          <t>Net Sales/ Income from Operations</t>
        </is>
      </c>
      <c r="B6" s="1315" t="n">
        <v>473034</v>
      </c>
      <c r="C6" s="1316" t="n">
        <v>435830</v>
      </c>
      <c r="D6" s="1315">
        <f>B6+C6</f>
        <v/>
      </c>
      <c r="E6" s="1315" t="n">
        <v>510622</v>
      </c>
      <c r="F6" s="1315">
        <f>D6+E6</f>
        <v/>
      </c>
      <c r="G6" s="1315" t="n">
        <v>388340</v>
      </c>
      <c r="H6" s="1317" t="n">
        <v>1604718</v>
      </c>
      <c r="I6" s="1315" t="n">
        <v>424568</v>
      </c>
      <c r="J6" s="1315" t="n">
        <v>452890</v>
      </c>
      <c r="K6" s="1315">
        <f>I6+J6</f>
        <v/>
      </c>
      <c r="L6" s="1315" t="n">
        <v>429833</v>
      </c>
      <c r="M6" s="1315">
        <f>K6+L6</f>
        <v/>
      </c>
      <c r="N6" s="1315" t="n">
        <v>493529</v>
      </c>
      <c r="O6" s="1317">
        <f>M6+N6</f>
        <v/>
      </c>
      <c r="P6" s="1315" t="n">
        <v>573071</v>
      </c>
      <c r="Q6" s="1315" t="n">
        <v>617261</v>
      </c>
      <c r="R6" s="1315">
        <f>P6+Q6</f>
        <v/>
      </c>
      <c r="S6" s="1315" t="n">
        <v>581602</v>
      </c>
      <c r="T6" s="1315">
        <f>R6+S6</f>
        <v/>
      </c>
      <c r="U6" s="1315" t="n">
        <v>623395</v>
      </c>
      <c r="V6" s="1317" t="n">
        <v>2377595</v>
      </c>
      <c r="W6" s="1315" t="n">
        <v>604133</v>
      </c>
      <c r="X6" s="1315" t="n">
        <v>622434</v>
      </c>
      <c r="Y6" s="1315">
        <f>W6+X6</f>
        <v/>
      </c>
      <c r="Z6" s="1315" t="n">
        <v>620571</v>
      </c>
      <c r="AA6" s="1315">
        <f>Y6+Z6</f>
        <v/>
      </c>
      <c r="AB6" s="1315" t="n">
        <v>625000</v>
      </c>
      <c r="AC6" s="1317">
        <f>AA6+AB6</f>
        <v/>
      </c>
      <c r="AD6" s="1315" t="n">
        <v>3263222.2</v>
      </c>
      <c r="AE6" s="1315" t="n">
        <v>4405349.97</v>
      </c>
      <c r="AF6" s="1318" t="n">
        <v>6167490</v>
      </c>
      <c r="AG6" s="1318" t="n">
        <v>8942860</v>
      </c>
    </row>
    <row r="7" ht="15" customFormat="1" customHeight="1" s="1319">
      <c r="A7" s="1320" t="inlineStr">
        <is>
          <t>% full year</t>
        </is>
      </c>
      <c r="B7" s="1321">
        <f>B6/$H6*100</f>
        <v/>
      </c>
      <c r="C7" s="1321">
        <f>C6/$H6*100</f>
        <v/>
      </c>
      <c r="D7" s="1321">
        <f>D6/$H6*100</f>
        <v/>
      </c>
      <c r="E7" s="1321">
        <f>E6/$H6*100</f>
        <v/>
      </c>
      <c r="F7" s="1321">
        <f>F6/$H6*100</f>
        <v/>
      </c>
      <c r="G7" s="1321">
        <f>G6/$H6*100</f>
        <v/>
      </c>
      <c r="H7" s="1322">
        <f>F7+G7</f>
        <v/>
      </c>
      <c r="I7" s="1321">
        <f>I6/O6*100</f>
        <v/>
      </c>
      <c r="J7" s="1321">
        <f>J6/$O6*100</f>
        <v/>
      </c>
      <c r="K7" s="1321">
        <f>K6/$O6*100</f>
        <v/>
      </c>
      <c r="L7" s="1321">
        <f>L6/$O6*100</f>
        <v/>
      </c>
      <c r="M7" s="1321">
        <f>M6/$O6*100</f>
        <v/>
      </c>
      <c r="N7" s="1321">
        <f>N6/$O6*100</f>
        <v/>
      </c>
      <c r="O7" s="1322">
        <f>M7+N7</f>
        <v/>
      </c>
      <c r="P7" s="1321">
        <f>P6/$V6*100</f>
        <v/>
      </c>
      <c r="Q7" s="1321">
        <f>Q6/$V6*100</f>
        <v/>
      </c>
      <c r="R7" s="1321">
        <f>R6/$V6*100</f>
        <v/>
      </c>
      <c r="S7" s="1321">
        <f>S6/$V6*100</f>
        <v/>
      </c>
      <c r="T7" s="1321">
        <f>T6/$V6*100</f>
        <v/>
      </c>
      <c r="U7" s="1321">
        <f>U6/$V6*100</f>
        <v/>
      </c>
      <c r="V7" s="1322">
        <f>T7+U7</f>
        <v/>
      </c>
      <c r="W7" s="1321">
        <f>W6/$AC6*100</f>
        <v/>
      </c>
      <c r="X7" s="1321">
        <f>X6/$AC6*100</f>
        <v/>
      </c>
      <c r="Y7" s="1321">
        <f>Y6/$AC6*100</f>
        <v/>
      </c>
      <c r="Z7" s="1321">
        <f>Z6/$AC6*100</f>
        <v/>
      </c>
      <c r="AA7" s="1321">
        <f>AA6/$AC6*100</f>
        <v/>
      </c>
      <c r="AB7" s="1321">
        <f>AB6/$AC6*100</f>
        <v/>
      </c>
      <c r="AC7" s="1323">
        <f>AA7+AB7</f>
        <v/>
      </c>
      <c r="AD7" s="1324" t="n"/>
      <c r="AE7" s="1324" t="n"/>
      <c r="AF7" s="1325" t="n"/>
      <c r="AG7" s="1325" t="n"/>
    </row>
    <row r="8" ht="15" customFormat="1" customHeight="1" s="1319">
      <c r="A8" s="1326" t="inlineStr">
        <is>
          <t>% growth y-o-y</t>
        </is>
      </c>
      <c r="B8" s="1321" t="n"/>
      <c r="C8" s="1321" t="n"/>
      <c r="D8" s="1321" t="n"/>
      <c r="E8" s="1321" t="n"/>
      <c r="F8" s="1321" t="n"/>
      <c r="G8" s="1321" t="n"/>
      <c r="H8" s="1322">
        <f>(H6/#REF!-1)*100</f>
        <v/>
      </c>
      <c r="I8" s="1321">
        <f>(I6/B6-1)*100</f>
        <v/>
      </c>
      <c r="J8" s="1321">
        <f>(J6/C6-1)*100</f>
        <v/>
      </c>
      <c r="K8" s="1321">
        <f>(L6/D6-1)*100</f>
        <v/>
      </c>
      <c r="L8" s="1321">
        <f>L6/E6-1*100</f>
        <v/>
      </c>
      <c r="M8" s="1321">
        <f>(M6/F6-1)*100</f>
        <v/>
      </c>
      <c r="N8" s="1321">
        <f>(N6/G6-1)*100</f>
        <v/>
      </c>
      <c r="O8" s="1323">
        <f>(O6/H6-1)*100</f>
        <v/>
      </c>
      <c r="P8" s="1321">
        <f>(P6/I6-1)*100</f>
        <v/>
      </c>
      <c r="Q8" s="1321">
        <f>(Q6/J6-1)*100</f>
        <v/>
      </c>
      <c r="R8" s="1321">
        <f>(R6/L6-1)*100</f>
        <v/>
      </c>
      <c r="S8" s="1321">
        <f>(S6/L6-1)*100</f>
        <v/>
      </c>
      <c r="T8" s="1321">
        <f>(T6/M6-1)*100</f>
        <v/>
      </c>
      <c r="U8" s="1321">
        <f>(U6/N6-1)*100</f>
        <v/>
      </c>
      <c r="V8" s="1322">
        <f>(V6/O6-1)*100</f>
        <v/>
      </c>
      <c r="W8" s="1321">
        <f>(W6/P6-1)*100</f>
        <v/>
      </c>
      <c r="X8" s="1321">
        <f>(X6/Q6-1)*100</f>
        <v/>
      </c>
      <c r="Y8" s="1321">
        <f>(Y6/R6-1)*100</f>
        <v/>
      </c>
      <c r="Z8" s="1321">
        <f>(Z6/S6-1)*100</f>
        <v/>
      </c>
      <c r="AA8" s="1321">
        <f>(AA6/T6-1)*100</f>
        <v/>
      </c>
      <c r="AB8" s="1327">
        <f>(AB6/U6-1)*100</f>
        <v/>
      </c>
      <c r="AC8" s="1323">
        <f>(AC6/V6-1)*100</f>
        <v/>
      </c>
      <c r="AD8" s="1328">
        <f>(AD6/AC6-1)*100</f>
        <v/>
      </c>
      <c r="AE8" s="1328">
        <f>(AE6/AD6-1)*100</f>
        <v/>
      </c>
      <c r="AF8" s="1328">
        <f>(AF6/AE6-1)*100</f>
        <v/>
      </c>
      <c r="AG8" s="1328">
        <f>(AG6/AF6-1)*100</f>
        <v/>
      </c>
    </row>
    <row r="9" ht="15" customFormat="1" customHeight="1" s="1319">
      <c r="A9" s="1329" t="inlineStr">
        <is>
          <t>% growth q-o-q</t>
        </is>
      </c>
      <c r="B9" s="1321" t="n"/>
      <c r="C9" s="1321">
        <f>(C6/B6-1)*100</f>
        <v/>
      </c>
      <c r="D9" s="1321" t="n"/>
      <c r="E9" s="1321">
        <f>(E6/C6-1)*100</f>
        <v/>
      </c>
      <c r="F9" s="1321" t="n"/>
      <c r="G9" s="1321">
        <f>(G6/E6-1)*100</f>
        <v/>
      </c>
      <c r="H9" s="1322" t="n"/>
      <c r="I9" s="1321">
        <f>(I6/G6-1)*100</f>
        <v/>
      </c>
      <c r="J9" s="1321">
        <f>(J6/I6-1)*100</f>
        <v/>
      </c>
      <c r="K9" s="1321" t="n"/>
      <c r="L9" s="1321">
        <f>(L6/J6-1)*100</f>
        <v/>
      </c>
      <c r="M9" s="1321" t="n"/>
      <c r="N9" s="1321">
        <f>(N6/L6-1)*100</f>
        <v/>
      </c>
      <c r="O9" s="1322" t="n"/>
      <c r="P9" s="1321">
        <f>(P6/N6-1)*100</f>
        <v/>
      </c>
      <c r="Q9" s="1321">
        <f>(Q6/P6-1)*100</f>
        <v/>
      </c>
      <c r="R9" s="1321" t="n"/>
      <c r="S9" s="1321">
        <f>(S6/Q6-1)*100</f>
        <v/>
      </c>
      <c r="T9" s="1321" t="n"/>
      <c r="U9" s="1321">
        <f>(U6/S6-1)*100</f>
        <v/>
      </c>
      <c r="V9" s="1322" t="n"/>
      <c r="W9" s="1321">
        <f>(W6/U6-1)*100</f>
        <v/>
      </c>
      <c r="X9" s="1321">
        <f>(X6/W6-1)*100</f>
        <v/>
      </c>
      <c r="Y9" s="1321" t="n"/>
      <c r="Z9" s="1321">
        <f>(Z6/X6-1)*100</f>
        <v/>
      </c>
      <c r="AA9" s="1321" t="n"/>
      <c r="AB9" s="1327">
        <f>(AB6/Z6-1)*100</f>
        <v/>
      </c>
      <c r="AC9" s="1330" t="n"/>
      <c r="AD9" s="1325" t="n"/>
      <c r="AE9" s="1325" t="n"/>
      <c r="AF9" s="1325" t="n"/>
      <c r="AG9" s="1325" t="n"/>
    </row>
    <row r="10" ht="15" customFormat="1" customHeight="1" s="1118">
      <c r="A10" s="1331" t="inlineStr">
        <is>
          <t>Total Expenditure</t>
        </is>
      </c>
      <c r="B10" s="1332">
        <f>B11+B13+B15+B17+B19</f>
        <v/>
      </c>
      <c r="C10" s="1332">
        <f>C11+C13+C15+C17+C19</f>
        <v/>
      </c>
      <c r="D10" s="1332">
        <f>D11+D13+D15+D17+D19</f>
        <v/>
      </c>
      <c r="E10" s="1332">
        <f>E11+E13+E15+E17+E19</f>
        <v/>
      </c>
      <c r="F10" s="1332">
        <f>F11+F13+F15+F17+F19</f>
        <v/>
      </c>
      <c r="G10" s="1332">
        <f>G11+G13+G15+G17+G19</f>
        <v/>
      </c>
      <c r="H10" s="1333">
        <f>H11+H13+H17+H15</f>
        <v/>
      </c>
      <c r="I10" s="1332">
        <f>I11+I13+I17+I15+I51</f>
        <v/>
      </c>
      <c r="J10" s="1332">
        <f>J11+J13+J17+J15+J19</f>
        <v/>
      </c>
      <c r="K10" s="1332" t="n">
        <v>39178</v>
      </c>
      <c r="L10" s="1332">
        <f>L11+L13+L17+L15+L19</f>
        <v/>
      </c>
      <c r="M10" s="1332">
        <f>M11+M13+M17+M15+M19</f>
        <v/>
      </c>
      <c r="N10" s="1332">
        <f>N11+N13+N17+N15+N19</f>
        <v/>
      </c>
      <c r="O10" s="1333">
        <f>O11+O13+O17+O15+O19</f>
        <v/>
      </c>
      <c r="P10" s="1332">
        <f>P11+P13+P17+P15+P19</f>
        <v/>
      </c>
      <c r="Q10" s="1332">
        <f>Q11+Q13+U17+Q15+Q19</f>
        <v/>
      </c>
      <c r="R10" s="1332">
        <f>R11+R13+R17+R15+R19</f>
        <v/>
      </c>
      <c r="S10" s="1332">
        <f>S11+S13+S15+S17+S19</f>
        <v/>
      </c>
      <c r="T10" s="1332">
        <f>T11+T13+T17+T15+T19</f>
        <v/>
      </c>
      <c r="U10" s="1332">
        <f>U11+U13+U17+U15+U19</f>
        <v/>
      </c>
      <c r="V10" s="1333">
        <f>V11+V13+V17+V15+V19</f>
        <v/>
      </c>
      <c r="W10" s="1332">
        <f>W11+W13+W17+W15+W19</f>
        <v/>
      </c>
      <c r="X10" s="1332">
        <f>X11+X13+X17+X15+X19</f>
        <v/>
      </c>
      <c r="Y10" s="1332">
        <f>Y11+Y13+Y17+Y15+Y19</f>
        <v/>
      </c>
      <c r="Z10" s="1332">
        <f>Z11+Z13+Z17+Z15+Z19</f>
        <v/>
      </c>
      <c r="AA10" s="1332">
        <f>AA11+AA13+AA17+AA15+AA19</f>
        <v/>
      </c>
      <c r="AB10" s="1332">
        <f>AB11+AB13+AB17+AB15+AB19</f>
        <v/>
      </c>
      <c r="AC10" s="1333">
        <f>AC11+AC13+AC17+AC15+AC19</f>
        <v/>
      </c>
      <c r="AD10" s="1332">
        <f>AD11+AD13+AD15+AD17+AD19</f>
        <v/>
      </c>
      <c r="AE10" s="1332">
        <f>AE11+AE13+AE15+AE17+AE19</f>
        <v/>
      </c>
      <c r="AF10" s="1332">
        <f>AF11+AF13+AF15+AF17+AF19</f>
        <v/>
      </c>
      <c r="AG10" s="1332">
        <f>AG11+AG13+AG15+AG17+AG19</f>
        <v/>
      </c>
    </row>
    <row r="11" ht="15" customHeight="1" s="850">
      <c r="A11" s="1334" t="inlineStr">
        <is>
          <t>(Increase) / Decrease In Stock In Trade &amp; WIP</t>
        </is>
      </c>
      <c r="B11" s="1335" t="n">
        <v>13288</v>
      </c>
      <c r="C11" s="1335" t="n">
        <v>-27170</v>
      </c>
      <c r="D11" s="1335">
        <f>B11+C11</f>
        <v/>
      </c>
      <c r="E11" s="1335" t="n">
        <v>-5883</v>
      </c>
      <c r="F11" s="1335">
        <f>D11+E11</f>
        <v/>
      </c>
      <c r="G11" s="1335" t="n">
        <v>28380</v>
      </c>
      <c r="H11" s="1336" t="n">
        <v>-7526</v>
      </c>
      <c r="I11" s="1335" t="n">
        <v>322</v>
      </c>
      <c r="J11" s="1335" t="n">
        <v>-563</v>
      </c>
      <c r="K11" s="1335">
        <f>I11+J11</f>
        <v/>
      </c>
      <c r="L11" s="1335" t="n">
        <v>5466</v>
      </c>
      <c r="M11" s="1335">
        <f>K11+L11</f>
        <v/>
      </c>
      <c r="N11" s="1335" t="n">
        <v>-8213</v>
      </c>
      <c r="O11" s="1336">
        <f>M11+N11</f>
        <v/>
      </c>
      <c r="P11" s="1335" t="n">
        <v>2858</v>
      </c>
      <c r="Q11" s="1335" t="n">
        <v>-7349</v>
      </c>
      <c r="R11" s="1335">
        <f>P11+Q11</f>
        <v/>
      </c>
      <c r="S11" s="1335" t="n">
        <v>6256</v>
      </c>
      <c r="T11" s="1335">
        <f>R11+S11</f>
        <v/>
      </c>
      <c r="U11" s="1335" t="n">
        <v>2265</v>
      </c>
      <c r="V11" s="1336" t="n">
        <v>500</v>
      </c>
      <c r="W11" s="1335" t="n">
        <v>3839</v>
      </c>
      <c r="X11" s="1335" t="n">
        <v>1354</v>
      </c>
      <c r="Y11" s="1335">
        <f>W11+X11</f>
        <v/>
      </c>
      <c r="Z11" s="1335" t="n">
        <v>849</v>
      </c>
      <c r="AA11" s="1335">
        <f>Y11+Z11</f>
        <v/>
      </c>
      <c r="AB11" s="1337" t="n">
        <v>1000</v>
      </c>
      <c r="AC11" s="1338">
        <f>AA11+AB11</f>
        <v/>
      </c>
      <c r="AD11" s="1339">
        <f>AD6*AD12%</f>
        <v/>
      </c>
      <c r="AE11" s="1339">
        <f>AE6*AE12%</f>
        <v/>
      </c>
      <c r="AF11" s="1339">
        <f>AF6*AF12%</f>
        <v/>
      </c>
      <c r="AG11" s="1339">
        <f>AG6*AG12%</f>
        <v/>
      </c>
    </row>
    <row r="12" ht="15" customFormat="1" customHeight="1" s="1319">
      <c r="A12" s="1326" t="inlineStr">
        <is>
          <t>% of Revenue</t>
        </is>
      </c>
      <c r="B12" s="1321">
        <f>B11/B$6%</f>
        <v/>
      </c>
      <c r="C12" s="1321">
        <f>C11/C$6%</f>
        <v/>
      </c>
      <c r="D12" s="1321">
        <f>D11/D$6%</f>
        <v/>
      </c>
      <c r="E12" s="1321">
        <f>E11/E$6%</f>
        <v/>
      </c>
      <c r="F12" s="1321">
        <f>F11/F$6%</f>
        <v/>
      </c>
      <c r="G12" s="1321">
        <f>G11/G$6%</f>
        <v/>
      </c>
      <c r="H12" s="1322">
        <f>H11/H$6%</f>
        <v/>
      </c>
      <c r="I12" s="1321">
        <f>I11/I$6%</f>
        <v/>
      </c>
      <c r="J12" s="1321">
        <f>J11/J$6%</f>
        <v/>
      </c>
      <c r="K12" s="1321">
        <f>K11/L$6%</f>
        <v/>
      </c>
      <c r="L12" s="1321">
        <f>L11/L6%</f>
        <v/>
      </c>
      <c r="M12" s="1321">
        <f>M11/M$6%</f>
        <v/>
      </c>
      <c r="N12" s="1321">
        <f>N11/N$6%</f>
        <v/>
      </c>
      <c r="O12" s="1322">
        <f>O11/O$6%</f>
        <v/>
      </c>
      <c r="P12" s="1321">
        <f>P11/P$6%</f>
        <v/>
      </c>
      <c r="Q12" s="1321">
        <f>Q11/Q$6%</f>
        <v/>
      </c>
      <c r="R12" s="1340">
        <f>R11/R$6%</f>
        <v/>
      </c>
      <c r="S12" s="1321">
        <f>S11/S$6%</f>
        <v/>
      </c>
      <c r="T12" s="1327">
        <f>T11/T$6%</f>
        <v/>
      </c>
      <c r="U12" s="1340">
        <f>U11/U$6%</f>
        <v/>
      </c>
      <c r="V12" s="1322">
        <f>V11/V$6%</f>
        <v/>
      </c>
      <c r="W12" s="1321">
        <f>(W11/W6)*100</f>
        <v/>
      </c>
      <c r="X12" s="1327">
        <f>X11/X$6%</f>
        <v/>
      </c>
      <c r="Y12" s="1327">
        <f>Y11/Y$6%</f>
        <v/>
      </c>
      <c r="Z12" s="1327">
        <f>Z11/Z$6%</f>
        <v/>
      </c>
      <c r="AA12" s="1327">
        <f>AA11/AA$6%</f>
        <v/>
      </c>
      <c r="AB12" s="1327">
        <f>AB11/AB$6%</f>
        <v/>
      </c>
      <c r="AC12" s="1323">
        <f>AC11/AC$6%</f>
        <v/>
      </c>
      <c r="AD12" s="1328" t="n">
        <v>1.5</v>
      </c>
      <c r="AE12" s="1328" t="n">
        <v>1.7</v>
      </c>
      <c r="AF12" s="1328" t="n">
        <v>1.7</v>
      </c>
      <c r="AG12" s="1328" t="n">
        <v>1.9</v>
      </c>
    </row>
    <row r="13" ht="15" customHeight="1" s="850">
      <c r="A13" s="1341" t="inlineStr">
        <is>
          <t>Consumption of Raw Materials</t>
        </is>
      </c>
      <c r="B13" s="1335" t="n">
        <v>356206</v>
      </c>
      <c r="C13" s="1335" t="n">
        <v>329333</v>
      </c>
      <c r="D13" s="1335">
        <f>B13+C13</f>
        <v/>
      </c>
      <c r="E13" s="1335" t="n">
        <v>361270</v>
      </c>
      <c r="F13" s="1335">
        <f>E13+D13</f>
        <v/>
      </c>
      <c r="G13" s="1335" t="n">
        <v>278947</v>
      </c>
      <c r="H13" s="1336" t="n">
        <v>1121412</v>
      </c>
      <c r="I13" s="1335" t="n">
        <v>129390</v>
      </c>
      <c r="J13" s="1335" t="n">
        <v>45029</v>
      </c>
      <c r="K13" s="1335">
        <f>I13+J13</f>
        <v/>
      </c>
      <c r="L13" s="1335" t="n">
        <v>47246</v>
      </c>
      <c r="M13" s="1335">
        <f>L13+K13</f>
        <v/>
      </c>
      <c r="N13" s="1335" t="n">
        <v>36070</v>
      </c>
      <c r="O13" s="1336" t="n">
        <v>1191550</v>
      </c>
      <c r="P13" s="1335" t="n">
        <v>49620</v>
      </c>
      <c r="Q13" s="1335" t="n">
        <v>55114</v>
      </c>
      <c r="R13" s="1335">
        <f>P13+Q13</f>
        <v/>
      </c>
      <c r="S13" s="1335" t="n">
        <v>52395</v>
      </c>
      <c r="T13" s="1335">
        <f>S13+R13</f>
        <v/>
      </c>
      <c r="U13" s="1335" t="n">
        <v>55702</v>
      </c>
      <c r="V13" s="1336" t="n">
        <v>212831</v>
      </c>
      <c r="W13" s="1335" t="n">
        <v>51644</v>
      </c>
      <c r="X13" s="1335" t="n">
        <v>58766</v>
      </c>
      <c r="Y13" s="1335">
        <f>W13+X13</f>
        <v/>
      </c>
      <c r="Z13" s="1335" t="n">
        <v>55557</v>
      </c>
      <c r="AA13" s="1335">
        <f>Z13+Y13</f>
        <v/>
      </c>
      <c r="AB13" s="1337" t="n">
        <v>56280</v>
      </c>
      <c r="AC13" s="1338">
        <f>AA13+AB13</f>
        <v/>
      </c>
      <c r="AD13" s="1339">
        <f>AD6*AD14%</f>
        <v/>
      </c>
      <c r="AE13" s="1339">
        <f>AE6*AE14%</f>
        <v/>
      </c>
      <c r="AF13" s="1339">
        <f>AF6*AF14%</f>
        <v/>
      </c>
      <c r="AG13" s="1339">
        <f>AG6*AG14%</f>
        <v/>
      </c>
    </row>
    <row r="14" ht="15" customFormat="1" customHeight="1" s="1319">
      <c r="A14" s="1326" t="inlineStr">
        <is>
          <t>% of Revenue</t>
        </is>
      </c>
      <c r="B14" s="1321">
        <f>B13/B$6%</f>
        <v/>
      </c>
      <c r="C14" s="1321">
        <f>C13/C$6%</f>
        <v/>
      </c>
      <c r="D14" s="1321">
        <f>D13/D$6%</f>
        <v/>
      </c>
      <c r="E14" s="1321">
        <f>E13/E$6%</f>
        <v/>
      </c>
      <c r="F14" s="1321">
        <f>F13/F$6%</f>
        <v/>
      </c>
      <c r="G14" s="1321">
        <f>G13/G$6%</f>
        <v/>
      </c>
      <c r="H14" s="1322">
        <f>H13/H$6%</f>
        <v/>
      </c>
      <c r="I14" s="1321">
        <f>I13/I$6%</f>
        <v/>
      </c>
      <c r="J14" s="1321">
        <f>J13/J$6%</f>
        <v/>
      </c>
      <c r="K14" s="1321">
        <f>K13/L$6%</f>
        <v/>
      </c>
      <c r="L14" s="1321">
        <f>L13/L6%</f>
        <v/>
      </c>
      <c r="M14" s="1321">
        <f>M13/M$6%</f>
        <v/>
      </c>
      <c r="N14" s="1321">
        <f>N13/N$6%</f>
        <v/>
      </c>
      <c r="O14" s="1322">
        <f>O13/O$6%</f>
        <v/>
      </c>
      <c r="P14" s="1321">
        <f>P13/P$6%</f>
        <v/>
      </c>
      <c r="Q14" s="1321">
        <f>Q13/Q$6%</f>
        <v/>
      </c>
      <c r="R14" s="1321">
        <f>R13/R$6%</f>
        <v/>
      </c>
      <c r="S14" s="1321">
        <f>S13/S$6%</f>
        <v/>
      </c>
      <c r="T14" s="1321">
        <f>T13/T$6%</f>
        <v/>
      </c>
      <c r="U14" s="1321">
        <f>U13/U$6%</f>
        <v/>
      </c>
      <c r="V14" s="1322">
        <f>V13/V$6%</f>
        <v/>
      </c>
      <c r="W14" s="1321">
        <f>W13/W$6%</f>
        <v/>
      </c>
      <c r="X14" s="1321">
        <f>X13/X$6%</f>
        <v/>
      </c>
      <c r="Y14" s="1321">
        <f>Y13/Y$6%</f>
        <v/>
      </c>
      <c r="Z14" s="1321">
        <f>Z13/Z$6%</f>
        <v/>
      </c>
      <c r="AA14" s="1321">
        <f>AA13/AA$6%</f>
        <v/>
      </c>
      <c r="AB14" s="1321">
        <f>AB13/AB$6%</f>
        <v/>
      </c>
      <c r="AC14" s="1323">
        <f>AC13/AC$6%</f>
        <v/>
      </c>
      <c r="AD14" s="1342" t="n">
        <v>9</v>
      </c>
      <c r="AE14" s="1342" t="n">
        <v>9</v>
      </c>
      <c r="AF14" s="1342" t="n">
        <v>9</v>
      </c>
      <c r="AG14" s="1342" t="n">
        <v>9</v>
      </c>
    </row>
    <row r="15" ht="15" customHeight="1" s="850">
      <c r="A15" s="1341" t="inlineStr">
        <is>
          <t>Employees Cost</t>
        </is>
      </c>
      <c r="B15" s="1335" t="n">
        <v>5513</v>
      </c>
      <c r="C15" s="1335" t="n">
        <v>9047</v>
      </c>
      <c r="D15" s="1335">
        <f>B15+C15</f>
        <v/>
      </c>
      <c r="E15" s="1335" t="n">
        <v>6509</v>
      </c>
      <c r="F15" s="1335">
        <f>E15+D15</f>
        <v/>
      </c>
      <c r="G15" s="1335" t="n">
        <v>8163</v>
      </c>
      <c r="H15" s="1336">
        <f>F15+G15</f>
        <v/>
      </c>
      <c r="I15" s="1335" t="n">
        <v>6876</v>
      </c>
      <c r="J15" s="1335" t="n">
        <v>8239</v>
      </c>
      <c r="K15" s="1335">
        <f>I15+J15</f>
        <v/>
      </c>
      <c r="L15" s="1335" t="n">
        <v>9854</v>
      </c>
      <c r="M15" s="1335">
        <f>L15+K15</f>
        <v/>
      </c>
      <c r="N15" s="1335" t="n">
        <v>22032</v>
      </c>
      <c r="O15" s="1336">
        <f>M15+N15</f>
        <v/>
      </c>
      <c r="P15" s="1335" t="n">
        <v>8663</v>
      </c>
      <c r="Q15" s="1335" t="n">
        <v>11802</v>
      </c>
      <c r="R15" s="1335">
        <f>P15+Q15</f>
        <v/>
      </c>
      <c r="S15" s="1335" t="n">
        <v>32256</v>
      </c>
      <c r="T15" s="1335">
        <f>S15+R15</f>
        <v/>
      </c>
      <c r="U15" s="1335" t="n">
        <v>4946</v>
      </c>
      <c r="V15" s="1336">
        <f>T15+U15</f>
        <v/>
      </c>
      <c r="W15" s="1335" t="n">
        <v>13201</v>
      </c>
      <c r="X15" s="1335" t="n">
        <v>12685</v>
      </c>
      <c r="Y15" s="1335">
        <f>W15+X15</f>
        <v/>
      </c>
      <c r="Z15" s="1335" t="n">
        <v>25387</v>
      </c>
      <c r="AA15" s="1335">
        <f>Z15+Y15</f>
        <v/>
      </c>
      <c r="AB15" s="1343" t="n">
        <v>40150</v>
      </c>
      <c r="AC15" s="1336">
        <f>AA15+AB15</f>
        <v/>
      </c>
      <c r="AD15" s="1339">
        <f>AD6*AD16%</f>
        <v/>
      </c>
      <c r="AE15" s="1339">
        <f>AE6*AE16%</f>
        <v/>
      </c>
      <c r="AF15" s="1339">
        <f>AF6*AF16%</f>
        <v/>
      </c>
      <c r="AG15" s="1339">
        <f>AG6*AG16%</f>
        <v/>
      </c>
    </row>
    <row r="16" ht="15" customFormat="1" customHeight="1" s="1319">
      <c r="A16" s="1326" t="inlineStr">
        <is>
          <t>% of Revenue</t>
        </is>
      </c>
      <c r="B16" s="1321">
        <f>B15/B$6%</f>
        <v/>
      </c>
      <c r="C16" s="1321">
        <f>C15/C$6%</f>
        <v/>
      </c>
      <c r="D16" s="1321">
        <f>D15/D$6%</f>
        <v/>
      </c>
      <c r="E16" s="1321">
        <f>E15/E$6%</f>
        <v/>
      </c>
      <c r="F16" s="1321">
        <f>F15/F$6%</f>
        <v/>
      </c>
      <c r="G16" s="1321">
        <f>G15/G$6%</f>
        <v/>
      </c>
      <c r="H16" s="1322">
        <f>H15/H$6%</f>
        <v/>
      </c>
      <c r="I16" s="1321">
        <f>I15/I$6%</f>
        <v/>
      </c>
      <c r="J16" s="1321">
        <f>J15/J$6%</f>
        <v/>
      </c>
      <c r="K16" s="1321">
        <f>K15/L$6%</f>
        <v/>
      </c>
      <c r="L16" s="1321">
        <f>L15/L6%</f>
        <v/>
      </c>
      <c r="M16" s="1321">
        <f>M15/M$6%</f>
        <v/>
      </c>
      <c r="N16" s="1321">
        <f>N15/N$6%</f>
        <v/>
      </c>
      <c r="O16" s="1322">
        <f>O15/O$6%</f>
        <v/>
      </c>
      <c r="P16" s="1321">
        <f>P15/P$6%</f>
        <v/>
      </c>
      <c r="Q16" s="1321">
        <f>Q15/Q$6%</f>
        <v/>
      </c>
      <c r="R16" s="1321">
        <f>R15/R$6%</f>
        <v/>
      </c>
      <c r="S16" s="1321">
        <f>S15/S$6%</f>
        <v/>
      </c>
      <c r="T16" s="1321">
        <f>T15/T$6%</f>
        <v/>
      </c>
      <c r="U16" s="1321">
        <f>U15/U$6%</f>
        <v/>
      </c>
      <c r="V16" s="1322">
        <f>V15/V$6%</f>
        <v/>
      </c>
      <c r="W16" s="1321">
        <f>W15/W$6%</f>
        <v/>
      </c>
      <c r="X16" s="1321">
        <f>X15/X$6%</f>
        <v/>
      </c>
      <c r="Y16" s="1321">
        <f>Y15/Y$6%</f>
        <v/>
      </c>
      <c r="Z16" s="1340">
        <f>Z15/Z$6%</f>
        <v/>
      </c>
      <c r="AA16" s="1321">
        <f>AA15/AA$6%</f>
        <v/>
      </c>
      <c r="AB16" s="1321">
        <f>AB15/AB$6%</f>
        <v/>
      </c>
      <c r="AC16" s="1322">
        <f>AC15/AC$6%</f>
        <v/>
      </c>
      <c r="AD16" s="1344" t="n">
        <v>6</v>
      </c>
      <c r="AE16" s="1344" t="n">
        <v>7</v>
      </c>
      <c r="AF16" s="1344" t="n">
        <v>7</v>
      </c>
      <c r="AG16" s="1344" t="n">
        <v>7</v>
      </c>
    </row>
    <row r="17" ht="15" customHeight="1" s="850">
      <c r="A17" s="1341" t="inlineStr">
        <is>
          <t>Other Expenditure</t>
        </is>
      </c>
      <c r="B17" s="1335" t="n">
        <v>30440</v>
      </c>
      <c r="C17" s="1335" t="n">
        <v>35822</v>
      </c>
      <c r="D17" s="1335">
        <f>B17+C17</f>
        <v/>
      </c>
      <c r="E17" s="1335" t="n">
        <v>50547</v>
      </c>
      <c r="F17" s="1335">
        <f>E17+D17</f>
        <v/>
      </c>
      <c r="G17" s="1335" t="n">
        <v>43827</v>
      </c>
      <c r="H17" s="1336" t="n">
        <v>161871</v>
      </c>
      <c r="I17" s="1335" t="n">
        <v>35075</v>
      </c>
      <c r="J17" s="1335" t="n">
        <v>58378</v>
      </c>
      <c r="K17" s="1335">
        <f>I17+J17</f>
        <v/>
      </c>
      <c r="L17" s="1335" t="n">
        <v>38138</v>
      </c>
      <c r="M17" s="1335">
        <f>L17+K17</f>
        <v/>
      </c>
      <c r="N17" s="1335" t="n">
        <v>38742</v>
      </c>
      <c r="O17" s="1336">
        <f>M17+N17</f>
        <v/>
      </c>
      <c r="P17" s="1335" t="n">
        <v>39182</v>
      </c>
      <c r="Q17" s="1345" t="n">
        <v>47979</v>
      </c>
      <c r="R17" s="1335">
        <f>P17+U17</f>
        <v/>
      </c>
      <c r="S17" s="1335" t="n">
        <v>46490</v>
      </c>
      <c r="T17" s="1335">
        <f>S17+R17</f>
        <v/>
      </c>
      <c r="U17" s="1335" t="n">
        <v>60476</v>
      </c>
      <c r="V17" s="1336" t="n">
        <v>194127</v>
      </c>
      <c r="W17" s="1335" t="n">
        <v>48476</v>
      </c>
      <c r="X17" s="1335" t="n">
        <v>44481</v>
      </c>
      <c r="Y17" s="1335">
        <f>W17+X17</f>
        <v/>
      </c>
      <c r="Z17" s="1335" t="n">
        <v>40451</v>
      </c>
      <c r="AA17" s="1335">
        <f>Z17+Y17</f>
        <v/>
      </c>
      <c r="AB17" s="1343" t="n">
        <v>50000</v>
      </c>
      <c r="AC17" s="1336">
        <f>AA17+AB17</f>
        <v/>
      </c>
      <c r="AD17" s="1339">
        <f>AD6*AD18%</f>
        <v/>
      </c>
      <c r="AE17" s="1339">
        <f>AE6*AE18%</f>
        <v/>
      </c>
      <c r="AF17" s="1339">
        <f>AF6*AF18%</f>
        <v/>
      </c>
      <c r="AG17" s="1339">
        <f>AG6*AG18%</f>
        <v/>
      </c>
    </row>
    <row r="18" ht="15" customFormat="1" customHeight="1" s="1319">
      <c r="A18" s="1326" t="inlineStr">
        <is>
          <t>% of Revenue</t>
        </is>
      </c>
      <c r="B18" s="1321">
        <f>B17/B$6%</f>
        <v/>
      </c>
      <c r="C18" s="1321">
        <f>C17/C$6%</f>
        <v/>
      </c>
      <c r="D18" s="1321">
        <f>D17/D$6%</f>
        <v/>
      </c>
      <c r="E18" s="1321">
        <f>E17/E$6%</f>
        <v/>
      </c>
      <c r="F18" s="1321">
        <f>F17/F$6%</f>
        <v/>
      </c>
      <c r="G18" s="1321">
        <f>G17/G$6%</f>
        <v/>
      </c>
      <c r="H18" s="1322">
        <f>H17/H$6%</f>
        <v/>
      </c>
      <c r="I18" s="1321">
        <f>I17/I$6%</f>
        <v/>
      </c>
      <c r="J18" s="1321">
        <f>J17/J$6%</f>
        <v/>
      </c>
      <c r="K18" s="1321">
        <f>K17/L$6%</f>
        <v/>
      </c>
      <c r="L18" s="1321">
        <f>L17/L6%</f>
        <v/>
      </c>
      <c r="M18" s="1321">
        <f>M17/M$6%</f>
        <v/>
      </c>
      <c r="N18" s="1321">
        <f>N17/N$6%</f>
        <v/>
      </c>
      <c r="O18" s="1322">
        <f>O17/O$6%</f>
        <v/>
      </c>
      <c r="P18" s="1321">
        <f>P17/P$6%</f>
        <v/>
      </c>
      <c r="Q18" s="1321">
        <f>U17/Q$6%</f>
        <v/>
      </c>
      <c r="R18" s="1321">
        <f>R17/R$6%</f>
        <v/>
      </c>
      <c r="S18" s="1321">
        <f>S17/S$6%</f>
        <v/>
      </c>
      <c r="T18" s="1321">
        <f>T17/T$6%</f>
        <v/>
      </c>
      <c r="U18" s="1321">
        <f>U17/U6%</f>
        <v/>
      </c>
      <c r="V18" s="1322">
        <f>V17/V$6%</f>
        <v/>
      </c>
      <c r="W18" s="1321">
        <f>W17/W$6%</f>
        <v/>
      </c>
      <c r="X18" s="1321">
        <f>X17/X$6%</f>
        <v/>
      </c>
      <c r="Y18" s="1321">
        <f>Y17/Y$6%</f>
        <v/>
      </c>
      <c r="Z18" s="1321">
        <f>Z17/Z$6%</f>
        <v/>
      </c>
      <c r="AA18" s="1321">
        <f>AA17/AA$6%</f>
        <v/>
      </c>
      <c r="AB18" s="1321">
        <f>AB17/AB$6%</f>
        <v/>
      </c>
      <c r="AC18" s="1322">
        <f>AC17/AC$6%</f>
        <v/>
      </c>
      <c r="AD18" s="1344" t="n">
        <v>8</v>
      </c>
      <c r="AE18" s="1344" t="n">
        <v>9</v>
      </c>
      <c r="AF18" s="1344" t="n">
        <v>9</v>
      </c>
      <c r="AG18" s="1344" t="n">
        <v>9</v>
      </c>
    </row>
    <row r="19" ht="15" customHeight="1" s="850">
      <c r="A19" s="1341" t="inlineStr">
        <is>
          <t>Consumption of Materials/Purchase</t>
        </is>
      </c>
      <c r="B19" s="1345" t="n">
        <v>0</v>
      </c>
      <c r="C19" s="1345" t="n">
        <v>0</v>
      </c>
      <c r="D19" s="1335">
        <f>B19+C19</f>
        <v/>
      </c>
      <c r="E19" s="1345" t="n">
        <v>0</v>
      </c>
      <c r="F19" s="1335">
        <f>E19+D19</f>
        <v/>
      </c>
      <c r="G19" s="1335" t="n"/>
      <c r="H19" s="1336">
        <f>F19+G19</f>
        <v/>
      </c>
      <c r="I19" s="1335" t="n">
        <v>235285</v>
      </c>
      <c r="J19" s="1335" t="n">
        <v>253976</v>
      </c>
      <c r="K19" s="1335">
        <f>I51+J19</f>
        <v/>
      </c>
      <c r="L19" s="1335" t="n">
        <v>241903</v>
      </c>
      <c r="M19" s="1335">
        <f>L19+K19</f>
        <v/>
      </c>
      <c r="N19" s="1335" t="n">
        <v>288902</v>
      </c>
      <c r="O19" s="1336" t="n">
        <v>0</v>
      </c>
      <c r="P19" s="1335" t="n">
        <v>332805</v>
      </c>
      <c r="Q19" s="1335" t="n">
        <v>362240</v>
      </c>
      <c r="R19" s="1335">
        <f>P19+Q19</f>
        <v/>
      </c>
      <c r="S19" s="1335" t="n">
        <v>417171</v>
      </c>
      <c r="T19" s="1335">
        <f>S19+R19</f>
        <v/>
      </c>
      <c r="U19" s="1335" t="n">
        <v>395823</v>
      </c>
      <c r="V19" s="1336">
        <f>T19+U19</f>
        <v/>
      </c>
      <c r="W19" s="1335" t="n">
        <v>378432</v>
      </c>
      <c r="X19" s="1335" t="n">
        <v>401202</v>
      </c>
      <c r="Y19" s="1335">
        <f>W19+X19</f>
        <v/>
      </c>
      <c r="Z19" s="1335" t="n">
        <v>371276</v>
      </c>
      <c r="AA19" s="1335">
        <f>Z19+Y19</f>
        <v/>
      </c>
      <c r="AB19" s="1343" t="n">
        <v>375000</v>
      </c>
      <c r="AC19" s="1336">
        <f>AA19+AB19</f>
        <v/>
      </c>
      <c r="AD19" s="1339">
        <f>AD6*AD20%</f>
        <v/>
      </c>
      <c r="AE19" s="1339">
        <f>AE6*AE20%</f>
        <v/>
      </c>
      <c r="AF19" s="1339">
        <f>AF6*AF20%</f>
        <v/>
      </c>
      <c r="AG19" s="1339">
        <f>AG6*AG20%</f>
        <v/>
      </c>
    </row>
    <row r="20" ht="15" customFormat="1" customHeight="1" s="1319">
      <c r="A20" s="1329" t="inlineStr">
        <is>
          <t>% of Revenue</t>
        </is>
      </c>
      <c r="B20" s="1321">
        <f>B51/B$6%</f>
        <v/>
      </c>
      <c r="C20" s="1321">
        <f>C51/C$6%</f>
        <v/>
      </c>
      <c r="D20" s="1321">
        <f>D19/D$6%</f>
        <v/>
      </c>
      <c r="E20" s="1321">
        <f>E51/E$6%</f>
        <v/>
      </c>
      <c r="F20" s="1321">
        <f>F19/F$6%</f>
        <v/>
      </c>
      <c r="G20" s="1321">
        <f>G19/G$6%</f>
        <v/>
      </c>
      <c r="H20" s="1322">
        <f>H19/H$6%</f>
        <v/>
      </c>
      <c r="I20" s="1321">
        <f>I51/I$6%</f>
        <v/>
      </c>
      <c r="J20" s="1321">
        <f>J19/J$6%</f>
        <v/>
      </c>
      <c r="K20" s="1321">
        <f>K19/L$6%</f>
        <v/>
      </c>
      <c r="L20" s="1321">
        <f>L19/L6%</f>
        <v/>
      </c>
      <c r="M20" s="1321">
        <f>M19/M$6%</f>
        <v/>
      </c>
      <c r="N20" s="1321">
        <f>N19/N$6%</f>
        <v/>
      </c>
      <c r="O20" s="1322">
        <f>O19/O$6%</f>
        <v/>
      </c>
      <c r="P20" s="1321">
        <f>P19/P$6%</f>
        <v/>
      </c>
      <c r="Q20" s="1321">
        <f>Q19/Q$6%</f>
        <v/>
      </c>
      <c r="R20" s="1321">
        <f>R19/R$6%</f>
        <v/>
      </c>
      <c r="S20" s="1321">
        <f>S19/S$6%</f>
        <v/>
      </c>
      <c r="T20" s="1321">
        <f>T19/T$6%</f>
        <v/>
      </c>
      <c r="U20" s="1321">
        <f>U19/U$6%</f>
        <v/>
      </c>
      <c r="V20" s="1322">
        <f>V19/V$6%</f>
        <v/>
      </c>
      <c r="W20" s="1321">
        <f>W19/W$6%</f>
        <v/>
      </c>
      <c r="X20" s="1321">
        <f>X19/X$6%</f>
        <v/>
      </c>
      <c r="Y20" s="1321">
        <f>Y19/Y$6%</f>
        <v/>
      </c>
      <c r="Z20" s="1321">
        <f>Z19/Z$6%</f>
        <v/>
      </c>
      <c r="AA20" s="1321">
        <f>AA19/AA$6%</f>
        <v/>
      </c>
      <c r="AB20" s="1321">
        <f>AB19/AB$6%</f>
        <v/>
      </c>
      <c r="AC20" s="1322">
        <f>AC19/AC$6%</f>
        <v/>
      </c>
      <c r="AD20" s="1344" t="n">
        <v>62</v>
      </c>
      <c r="AE20" s="1344" t="n">
        <v>60</v>
      </c>
      <c r="AF20" s="1344" t="n">
        <v>62</v>
      </c>
      <c r="AG20" s="1344" t="n">
        <v>60</v>
      </c>
    </row>
    <row r="21" ht="15" customFormat="1" customHeight="1" s="1346">
      <c r="A21" s="1347" t="inlineStr">
        <is>
          <t>OPBDIT</t>
        </is>
      </c>
      <c r="B21" s="1348">
        <f>B6-B10</f>
        <v/>
      </c>
      <c r="C21" s="1348">
        <f>C6-C10</f>
        <v/>
      </c>
      <c r="D21" s="1348">
        <f>D6-D10</f>
        <v/>
      </c>
      <c r="E21" s="1348">
        <f>E6-E10</f>
        <v/>
      </c>
      <c r="F21" s="1348">
        <f>F6-F10</f>
        <v/>
      </c>
      <c r="G21" s="1348">
        <f>G6-G10</f>
        <v/>
      </c>
      <c r="H21" s="1349">
        <f>H6-H10</f>
        <v/>
      </c>
      <c r="I21" s="1348">
        <f>I6-I10</f>
        <v/>
      </c>
      <c r="J21" s="1348">
        <f>J6-J10</f>
        <v/>
      </c>
      <c r="K21" s="1348">
        <f>L6-K10</f>
        <v/>
      </c>
      <c r="L21" s="1348">
        <f>L6-L10</f>
        <v/>
      </c>
      <c r="M21" s="1348">
        <f>M6-M10</f>
        <v/>
      </c>
      <c r="N21" s="1348">
        <f>N6-N10</f>
        <v/>
      </c>
      <c r="O21" s="1349">
        <f>O6-O10</f>
        <v/>
      </c>
      <c r="P21" s="1348">
        <f>P6-P10</f>
        <v/>
      </c>
      <c r="Q21" s="1348">
        <f>Q6-Q10</f>
        <v/>
      </c>
      <c r="R21" s="1348">
        <f>R6-R10</f>
        <v/>
      </c>
      <c r="S21" s="1348">
        <f>S6-S10</f>
        <v/>
      </c>
      <c r="T21" s="1348">
        <f>T6-T10</f>
        <v/>
      </c>
      <c r="U21" s="1348">
        <f>U6-U10</f>
        <v/>
      </c>
      <c r="V21" s="1349">
        <f>V6-V10</f>
        <v/>
      </c>
      <c r="W21" s="1348">
        <f>W6-W10</f>
        <v/>
      </c>
      <c r="X21" s="1348">
        <f>X6-X10</f>
        <v/>
      </c>
      <c r="Y21" s="1348">
        <f>Y6-Y10</f>
        <v/>
      </c>
      <c r="Z21" s="1348">
        <f>Z6-Z10</f>
        <v/>
      </c>
      <c r="AA21" s="1348">
        <f>AA6-AA10</f>
        <v/>
      </c>
      <c r="AB21" s="1348">
        <f>AB6-AB10</f>
        <v/>
      </c>
      <c r="AC21" s="1349">
        <f>AC6-AC10</f>
        <v/>
      </c>
      <c r="AD21" s="1349">
        <f>AD6-AD10</f>
        <v/>
      </c>
      <c r="AE21" s="1349">
        <f>AE6-AE10</f>
        <v/>
      </c>
      <c r="AF21" s="1349">
        <f>AF6-AF10</f>
        <v/>
      </c>
      <c r="AG21" s="1349">
        <f>AG6-AG10</f>
        <v/>
      </c>
    </row>
    <row r="22" ht="15" customFormat="1" customHeight="1" s="1319">
      <c r="A22" s="1320" t="inlineStr">
        <is>
          <t>% full year    (OR)      %Y-o-Y</t>
        </is>
      </c>
      <c r="B22" s="1321">
        <f>B21/$H21*100</f>
        <v/>
      </c>
      <c r="C22" s="1321">
        <f>C21/$H21*100</f>
        <v/>
      </c>
      <c r="D22" s="1321">
        <f>D21/$H21*100</f>
        <v/>
      </c>
      <c r="E22" s="1321">
        <f>E21/$H21*100</f>
        <v/>
      </c>
      <c r="F22" s="1321">
        <f>F21/$H21*100</f>
        <v/>
      </c>
      <c r="G22" s="1321">
        <f>G21/$H21*100</f>
        <v/>
      </c>
      <c r="H22" s="1322">
        <f>F22+G22</f>
        <v/>
      </c>
      <c r="I22" s="1321">
        <f>I21/$O21*100</f>
        <v/>
      </c>
      <c r="J22" s="1321">
        <f>J21/$O21*100</f>
        <v/>
      </c>
      <c r="K22" s="1321">
        <f>K21/$O21*100</f>
        <v/>
      </c>
      <c r="L22" s="1321">
        <f>L21/$O21*100</f>
        <v/>
      </c>
      <c r="M22" s="1321">
        <f>M21/$O21*100</f>
        <v/>
      </c>
      <c r="N22" s="1321">
        <f>N21/$O21*100</f>
        <v/>
      </c>
      <c r="O22" s="1322">
        <f>M22+N22</f>
        <v/>
      </c>
      <c r="P22" s="1321">
        <f>P21/$V21*100</f>
        <v/>
      </c>
      <c r="Q22" s="1321">
        <f>Q21/$V21*100</f>
        <v/>
      </c>
      <c r="R22" s="1321">
        <f>R21/$V21*100</f>
        <v/>
      </c>
      <c r="S22" s="1321">
        <f>S21/$V21*100</f>
        <v/>
      </c>
      <c r="T22" s="1321">
        <f>T21/$V21*100</f>
        <v/>
      </c>
      <c r="U22" s="1321">
        <f>U21/$V21*100</f>
        <v/>
      </c>
      <c r="V22" s="1322">
        <f>T22+U22</f>
        <v/>
      </c>
      <c r="W22" s="1321">
        <f>W21/$AC21*100</f>
        <v/>
      </c>
      <c r="X22" s="1321">
        <f>X21/$AC21*100</f>
        <v/>
      </c>
      <c r="Y22" s="1321">
        <f>Y21/$AC21*100</f>
        <v/>
      </c>
      <c r="Z22" s="1321">
        <f>Z21/$AC21*100</f>
        <v/>
      </c>
      <c r="AA22" s="1321">
        <f>AA21/$AC21*100</f>
        <v/>
      </c>
      <c r="AB22" s="1321">
        <f>AB21/$AC21*100</f>
        <v/>
      </c>
      <c r="AC22" s="1323">
        <f>AA22+AB22</f>
        <v/>
      </c>
      <c r="AD22" s="1350" t="n"/>
      <c r="AE22" s="1350" t="n"/>
      <c r="AF22" s="1350" t="n"/>
      <c r="AG22" s="1350" t="n"/>
    </row>
    <row r="23" ht="15" customFormat="1" customHeight="1" s="1319">
      <c r="A23" s="1326" t="inlineStr">
        <is>
          <t>% growth y-o-y</t>
        </is>
      </c>
      <c r="B23" s="1321" t="n"/>
      <c r="C23" s="1321" t="n"/>
      <c r="D23" s="1321" t="n"/>
      <c r="E23" s="1321" t="n"/>
      <c r="F23" s="1321" t="n"/>
      <c r="G23" s="1321" t="n"/>
      <c r="H23" s="1322" t="n"/>
      <c r="I23" s="1321">
        <f>(I21/B21-1)*100</f>
        <v/>
      </c>
      <c r="J23" s="1321">
        <f>(J21/C21-1)*100</f>
        <v/>
      </c>
      <c r="K23" s="1321">
        <f>(K21/D21-1)*100</f>
        <v/>
      </c>
      <c r="L23" s="1321">
        <f>(L21/E21-1)*100</f>
        <v/>
      </c>
      <c r="M23" s="1321">
        <f>(M21/F21-1)*100</f>
        <v/>
      </c>
      <c r="N23" s="1321">
        <f>(N21/G21-1)*100</f>
        <v/>
      </c>
      <c r="O23" s="1322">
        <f>(O21/H21-1)*100</f>
        <v/>
      </c>
      <c r="P23" s="1321">
        <f>(P21/I21-1)*100</f>
        <v/>
      </c>
      <c r="Q23" s="1321">
        <f>(Q21/J21-1)*100</f>
        <v/>
      </c>
      <c r="R23" s="1321">
        <f>(R21/K21-1)*100</f>
        <v/>
      </c>
      <c r="S23" s="1321">
        <f>(S21/L21-1)*100</f>
        <v/>
      </c>
      <c r="T23" s="1321">
        <f>(T21/M21-1)*100</f>
        <v/>
      </c>
      <c r="U23" s="1321">
        <f>(U21/N21-1)*100</f>
        <v/>
      </c>
      <c r="V23" s="1322">
        <f>(V21/O21-1)*100</f>
        <v/>
      </c>
      <c r="W23" s="1321">
        <f>(W21/P21-1)*100</f>
        <v/>
      </c>
      <c r="X23" s="1321">
        <f>(X21/Q21-1)*100</f>
        <v/>
      </c>
      <c r="Y23" s="1321">
        <f>(Y21/R21-1)*100</f>
        <v/>
      </c>
      <c r="Z23" s="1321">
        <f>(Z21/S21-1)*100</f>
        <v/>
      </c>
      <c r="AA23" s="1321">
        <f>(AA21/T21-1)*100</f>
        <v/>
      </c>
      <c r="AB23" s="1327">
        <f>(AB21/U21-1)*100</f>
        <v/>
      </c>
      <c r="AC23" s="1323">
        <f>(AC21/V21-1)*100</f>
        <v/>
      </c>
      <c r="AD23" s="1324">
        <f>((AD21/AC21)-1)*100</f>
        <v/>
      </c>
      <c r="AE23" s="1324">
        <f>((AE21/AD21)-1)*100</f>
        <v/>
      </c>
      <c r="AF23" s="1324">
        <f>((AF21/AE21)-1)*100</f>
        <v/>
      </c>
      <c r="AG23" s="1324">
        <f>((AG21/AF21)-1)*100</f>
        <v/>
      </c>
    </row>
    <row r="24" ht="15" customFormat="1" customHeight="1" s="1319">
      <c r="A24" s="1329" t="inlineStr">
        <is>
          <t>% growth q-o-q</t>
        </is>
      </c>
      <c r="B24" s="1321" t="n"/>
      <c r="C24" s="1321">
        <f>(C21/B21-1)*100</f>
        <v/>
      </c>
      <c r="D24" s="1321" t="n"/>
      <c r="E24" s="1321">
        <f>(E21/C21-1)*100</f>
        <v/>
      </c>
      <c r="F24" s="1321" t="n"/>
      <c r="G24" s="1321">
        <f>(G21/E21-1)*100</f>
        <v/>
      </c>
      <c r="H24" s="1322" t="n"/>
      <c r="I24" s="1321">
        <f>(I21/G21-1)*100</f>
        <v/>
      </c>
      <c r="J24" s="1321">
        <f>(J21/I21-1)*100</f>
        <v/>
      </c>
      <c r="K24" s="1321" t="n"/>
      <c r="L24" s="1321">
        <f>(L21/J21-1)*100</f>
        <v/>
      </c>
      <c r="M24" s="1321" t="n"/>
      <c r="N24" s="1321">
        <f>(N21/L21-1)*100</f>
        <v/>
      </c>
      <c r="O24" s="1322" t="n"/>
      <c r="P24" s="1321">
        <f>(P21/N21-1)*100</f>
        <v/>
      </c>
      <c r="Q24" s="1321">
        <f>(Q21/P21-1)*100</f>
        <v/>
      </c>
      <c r="R24" s="1321" t="n"/>
      <c r="S24" s="1321">
        <f>(S21/Q21-1)*100</f>
        <v/>
      </c>
      <c r="T24" s="1321" t="n"/>
      <c r="U24" s="1321">
        <f>(U21/S21-1)*100</f>
        <v/>
      </c>
      <c r="V24" s="1322" t="n"/>
      <c r="W24" s="1321">
        <f>(W21/U21-1)*100</f>
        <v/>
      </c>
      <c r="X24" s="1321">
        <f>(X21/W21-1)*100</f>
        <v/>
      </c>
      <c r="Y24" s="1321" t="n"/>
      <c r="Z24" s="1321">
        <f>(Z21/X21-1)*100</f>
        <v/>
      </c>
      <c r="AA24" s="1321" t="n"/>
      <c r="AB24" s="1327">
        <f>(AB21/Z21-1)*100</f>
        <v/>
      </c>
      <c r="AC24" s="1323" t="n"/>
      <c r="AD24" s="1325" t="n"/>
      <c r="AE24" s="1325" t="n"/>
      <c r="AF24" s="1325" t="n"/>
      <c r="AG24" s="1325" t="n"/>
    </row>
    <row r="25" ht="15" customFormat="1" customHeight="1" s="1118">
      <c r="A25" s="1351" t="inlineStr">
        <is>
          <t>OP Margin</t>
        </is>
      </c>
      <c r="B25" s="1352">
        <f>(B21/B6)*100</f>
        <v/>
      </c>
      <c r="C25" s="1352">
        <f>(C21/C6)*100</f>
        <v/>
      </c>
      <c r="D25" s="1352">
        <f>(D21/D6)*100</f>
        <v/>
      </c>
      <c r="E25" s="1352">
        <f>(E21/E6)*100</f>
        <v/>
      </c>
      <c r="F25" s="1352">
        <f>(F21/F6)*100</f>
        <v/>
      </c>
      <c r="G25" s="1352">
        <f>(G21/G6)*100</f>
        <v/>
      </c>
      <c r="H25" s="1349">
        <f>H21/H6*100</f>
        <v/>
      </c>
      <c r="I25" s="1352">
        <f>(I21/I6)*100</f>
        <v/>
      </c>
      <c r="J25" s="1352">
        <f>(J21/J6)*100</f>
        <v/>
      </c>
      <c r="K25" s="1352">
        <f>(K21/L6)*100</f>
        <v/>
      </c>
      <c r="L25" s="1352">
        <f>(L21/L6)*100</f>
        <v/>
      </c>
      <c r="M25" s="1352">
        <f>(M21/M6)*100</f>
        <v/>
      </c>
      <c r="N25" s="1352">
        <f>(N21/N6)*100</f>
        <v/>
      </c>
      <c r="O25" s="1349">
        <f>O21/O6*100</f>
        <v/>
      </c>
      <c r="P25" s="1352">
        <f>(P21/P6)*100</f>
        <v/>
      </c>
      <c r="Q25" s="1352">
        <f>(Q21/Q6)*100</f>
        <v/>
      </c>
      <c r="R25" s="1352">
        <f>(R21/R6)*100</f>
        <v/>
      </c>
      <c r="S25" s="1352">
        <f>(S21/S6)*100</f>
        <v/>
      </c>
      <c r="T25" s="1352">
        <f>(T21/T6)*100</f>
        <v/>
      </c>
      <c r="U25" s="1352">
        <f>(U21/U6)*100</f>
        <v/>
      </c>
      <c r="V25" s="1349">
        <f>V21/V6*100</f>
        <v/>
      </c>
      <c r="W25" s="1352">
        <f>(W21/W6)*100</f>
        <v/>
      </c>
      <c r="X25" s="1352">
        <f>(X21/X6)*100</f>
        <v/>
      </c>
      <c r="Y25" s="1352">
        <f>(Y21/Y6)*100</f>
        <v/>
      </c>
      <c r="Z25" s="1352">
        <f>(Z21/Z6)*100</f>
        <v/>
      </c>
      <c r="AA25" s="1352">
        <f>(AA21/AA6)*100</f>
        <v/>
      </c>
      <c r="AB25" s="1352">
        <f>(AB21/AB6)*100</f>
        <v/>
      </c>
      <c r="AC25" s="1349">
        <f>(AC21/AC6)*100</f>
        <v/>
      </c>
      <c r="AD25" s="1353">
        <f>(AD21/AD6)*100</f>
        <v/>
      </c>
      <c r="AE25" s="1353">
        <f>(AE21/AE6)*100</f>
        <v/>
      </c>
      <c r="AF25" s="1353">
        <f>(AF21/AF6)*100</f>
        <v/>
      </c>
      <c r="AG25" s="1353">
        <f>(AG21/AG6)*100</f>
        <v/>
      </c>
    </row>
    <row r="26" ht="15" customHeight="1" s="850">
      <c r="A26" s="1334" t="inlineStr">
        <is>
          <t>Interest</t>
        </is>
      </c>
      <c r="B26" s="1335" t="n">
        <v>2880</v>
      </c>
      <c r="C26" s="1335" t="n">
        <v>2912</v>
      </c>
      <c r="D26" s="1335">
        <f>B26+C26</f>
        <v/>
      </c>
      <c r="E26" s="1335" t="n">
        <v>2705</v>
      </c>
      <c r="F26" s="1335">
        <f>D26+E26</f>
        <v/>
      </c>
      <c r="G26" s="1335" t="n">
        <v>2211</v>
      </c>
      <c r="H26" s="1336">
        <f>F26+G26</f>
        <v/>
      </c>
      <c r="I26" s="1335" t="n">
        <v>2040</v>
      </c>
      <c r="J26" s="1335" t="n">
        <v>2009</v>
      </c>
      <c r="K26" s="1335">
        <f>I26+J26</f>
        <v/>
      </c>
      <c r="L26" s="1335" t="n">
        <v>1955</v>
      </c>
      <c r="M26" s="1335">
        <f>K26+L26</f>
        <v/>
      </c>
      <c r="N26" s="1335" t="n">
        <v>1953</v>
      </c>
      <c r="O26" s="1336">
        <f>M26+N26</f>
        <v/>
      </c>
      <c r="P26" s="1335" t="n">
        <v>1902</v>
      </c>
      <c r="Q26" s="1335" t="n">
        <v>1890</v>
      </c>
      <c r="R26" s="1335">
        <f>P26+Q26</f>
        <v/>
      </c>
      <c r="S26" s="1335" t="n">
        <v>1851</v>
      </c>
      <c r="T26" s="1335">
        <f>R26+S26</f>
        <v/>
      </c>
      <c r="U26" s="1335" t="n">
        <v>3057</v>
      </c>
      <c r="V26" s="1336">
        <f>T26+U26</f>
        <v/>
      </c>
      <c r="W26" s="1335" t="n">
        <v>1792</v>
      </c>
      <c r="X26" s="1335" t="n">
        <v>1785</v>
      </c>
      <c r="Y26" s="1335">
        <f>W26+X26</f>
        <v/>
      </c>
      <c r="Z26" s="1354" t="n">
        <v>1422</v>
      </c>
      <c r="AA26" s="1335">
        <f>Y26+Z26</f>
        <v/>
      </c>
      <c r="AB26" s="1343" t="n">
        <v>1790</v>
      </c>
      <c r="AC26" s="1336">
        <f>AA26+AB26</f>
        <v/>
      </c>
      <c r="AD26" s="1355" t="n">
        <v>7765</v>
      </c>
      <c r="AE26" s="1355" t="n">
        <v>6594</v>
      </c>
      <c r="AF26" s="1355" t="n">
        <v>5423</v>
      </c>
      <c r="AG26" s="1355" t="n">
        <v>5889</v>
      </c>
    </row>
    <row r="27" ht="15" customHeight="1" s="850">
      <c r="A27" s="1356" t="inlineStr">
        <is>
          <t>Depreciation</t>
        </is>
      </c>
      <c r="B27" s="1335" t="n">
        <v>14081</v>
      </c>
      <c r="C27" s="1335" t="n">
        <v>14357</v>
      </c>
      <c r="D27" s="1335">
        <f>B27+C27</f>
        <v/>
      </c>
      <c r="E27" s="1335" t="n">
        <v>14387</v>
      </c>
      <c r="F27" s="1335">
        <f>D27+E27</f>
        <v/>
      </c>
      <c r="G27" s="1335" t="n">
        <v>14713</v>
      </c>
      <c r="H27" s="1336">
        <f>F27+G27</f>
        <v/>
      </c>
      <c r="I27" s="1335" t="n">
        <v>14070</v>
      </c>
      <c r="J27" s="1335" t="n">
        <v>14916</v>
      </c>
      <c r="K27" s="1335">
        <f>I27+J27</f>
        <v/>
      </c>
      <c r="L27" s="1335" t="n">
        <v>13869</v>
      </c>
      <c r="M27" s="1335">
        <f>K27+L27</f>
        <v/>
      </c>
      <c r="N27" s="1335" t="n">
        <v>14247</v>
      </c>
      <c r="O27" s="1336">
        <f>M27+N27</f>
        <v/>
      </c>
      <c r="P27" s="1335" t="n">
        <v>14296</v>
      </c>
      <c r="Q27" s="1335" t="n">
        <v>13858</v>
      </c>
      <c r="R27" s="1335">
        <f>P27+Q27</f>
        <v/>
      </c>
      <c r="S27" s="1335" t="n">
        <v>13739</v>
      </c>
      <c r="T27" s="1335">
        <f>R27+S27</f>
        <v/>
      </c>
      <c r="U27" s="1335" t="n">
        <v>14098</v>
      </c>
      <c r="V27" s="1336">
        <f>T27+U27</f>
        <v/>
      </c>
      <c r="W27" s="1335" t="n">
        <v>14041</v>
      </c>
      <c r="X27" s="1335" t="n">
        <v>14162</v>
      </c>
      <c r="Y27" s="1335">
        <f>W27+X27</f>
        <v/>
      </c>
      <c r="Z27" s="1335" t="n">
        <v>14091</v>
      </c>
      <c r="AA27" s="1335">
        <f>Y27+Z27</f>
        <v/>
      </c>
      <c r="AB27" s="1343" t="n">
        <v>14397</v>
      </c>
      <c r="AC27" s="1336" t="n">
        <v>56691</v>
      </c>
      <c r="AD27" s="1355" t="n">
        <v>57516</v>
      </c>
      <c r="AE27" s="1355" t="n">
        <v>58466</v>
      </c>
      <c r="AF27" s="1355" t="n">
        <v>59266</v>
      </c>
      <c r="AG27" s="1355" t="n">
        <v>60050</v>
      </c>
    </row>
    <row r="28" ht="15" customFormat="1" customHeight="1" s="1346">
      <c r="A28" s="1357" t="inlineStr">
        <is>
          <t>PBT From Operations</t>
        </is>
      </c>
      <c r="B28" s="1352">
        <f>B21-(B26+B27)</f>
        <v/>
      </c>
      <c r="C28" s="1352">
        <f>C21-(C26+C27)</f>
        <v/>
      </c>
      <c r="D28" s="1352">
        <f>D21-(D26+D27)</f>
        <v/>
      </c>
      <c r="E28" s="1352">
        <f>E21-(E26+E27)</f>
        <v/>
      </c>
      <c r="F28" s="1352">
        <f>F21-(F26+F27)</f>
        <v/>
      </c>
      <c r="G28" s="1352">
        <f>G21-(G26+G27)</f>
        <v/>
      </c>
      <c r="H28" s="1349">
        <f>H21-(H26+H27)</f>
        <v/>
      </c>
      <c r="I28" s="1352">
        <f>I21-(I26+I27)</f>
        <v/>
      </c>
      <c r="J28" s="1352">
        <f>J21-(J26+J27)</f>
        <v/>
      </c>
      <c r="K28" s="1352">
        <f>K21-(K26+K27)</f>
        <v/>
      </c>
      <c r="L28" s="1352">
        <f>L21-(L26+L27)</f>
        <v/>
      </c>
      <c r="M28" s="1352">
        <f>M21-(M26+M27)</f>
        <v/>
      </c>
      <c r="N28" s="1352">
        <f>N21-(N26+N27)</f>
        <v/>
      </c>
      <c r="O28" s="1349">
        <f>O21-(O26+O27)</f>
        <v/>
      </c>
      <c r="P28" s="1352">
        <f>P21-(P26+P27)</f>
        <v/>
      </c>
      <c r="Q28" s="1352">
        <f>Q21-(Q26+Q27)</f>
        <v/>
      </c>
      <c r="R28" s="1352">
        <f>R21-(R26+R27)</f>
        <v/>
      </c>
      <c r="S28" s="1352">
        <f>S21-(S26+S27)</f>
        <v/>
      </c>
      <c r="T28" s="1352">
        <f>T21-(T26+T27)</f>
        <v/>
      </c>
      <c r="U28" s="1352">
        <f>U21-(U26+U27)</f>
        <v/>
      </c>
      <c r="V28" s="1349">
        <f>V21-(V26+V27)</f>
        <v/>
      </c>
      <c r="W28" s="1352">
        <f>W21-(W26+W27)</f>
        <v/>
      </c>
      <c r="X28" s="1352">
        <f>X21-(X26+X27)</f>
        <v/>
      </c>
      <c r="Y28" s="1352">
        <f>Y21-(Y26+Y27)</f>
        <v/>
      </c>
      <c r="Z28" s="1352">
        <f>Z21-(Z26+Z27)</f>
        <v/>
      </c>
      <c r="AA28" s="1352">
        <f>AA21-(AA26+AA27)</f>
        <v/>
      </c>
      <c r="AB28" s="1352">
        <f>AB21-(AB26+AB27)</f>
        <v/>
      </c>
      <c r="AC28" s="1349">
        <f>AC21-(AC26+AC27)</f>
        <v/>
      </c>
      <c r="AD28" s="1358">
        <f>AD21-(AD26+AD27)</f>
        <v/>
      </c>
      <c r="AE28" s="1358">
        <f>AE21-(AE26+AE27)</f>
        <v/>
      </c>
      <c r="AF28" s="1358">
        <f>AF21-(AF26+AF27)</f>
        <v/>
      </c>
      <c r="AG28" s="1358">
        <f>AG21-(AG26+AG27)</f>
        <v/>
      </c>
    </row>
    <row r="29" ht="15" customHeight="1" s="850">
      <c r="A29" s="1359" t="inlineStr">
        <is>
          <t>Other Income</t>
        </is>
      </c>
      <c r="B29" s="1335" t="n">
        <v>8006</v>
      </c>
      <c r="C29" s="1335" t="n">
        <v>16737</v>
      </c>
      <c r="D29" s="1335">
        <f>B29+C29</f>
        <v/>
      </c>
      <c r="E29" s="1335" t="n">
        <v>18463</v>
      </c>
      <c r="F29" s="1335">
        <f>D29+E29</f>
        <v/>
      </c>
      <c r="G29" s="1335" t="n">
        <v>11289</v>
      </c>
      <c r="H29" s="1336">
        <f>F29+G29</f>
        <v/>
      </c>
      <c r="I29" s="1335" t="n">
        <v>9127</v>
      </c>
      <c r="J29" s="1335" t="n">
        <v>18060</v>
      </c>
      <c r="K29" s="1335">
        <f>I29+J29</f>
        <v/>
      </c>
      <c r="L29" s="1335" t="n">
        <v>18482</v>
      </c>
      <c r="M29" s="1335">
        <f>K29+L29</f>
        <v/>
      </c>
      <c r="N29" s="1335" t="n">
        <v>9966</v>
      </c>
      <c r="O29" s="1336">
        <f>M29+N29</f>
        <v/>
      </c>
      <c r="P29" s="1335" t="n">
        <v>11477</v>
      </c>
      <c r="Q29" s="1335" t="n">
        <v>4333</v>
      </c>
      <c r="R29" s="1335">
        <f>P29+Q29</f>
        <v/>
      </c>
      <c r="S29" s="1335" t="n">
        <v>437</v>
      </c>
      <c r="T29" s="1335">
        <f>R29+S29</f>
        <v/>
      </c>
      <c r="U29" s="1335" t="n">
        <v>12964</v>
      </c>
      <c r="V29" s="1336">
        <f>61177+18485</f>
        <v/>
      </c>
      <c r="W29" s="1335" t="n">
        <v>1991</v>
      </c>
      <c r="X29" s="1335" t="n">
        <v>2216</v>
      </c>
      <c r="Y29" s="1335">
        <f>W29+X29</f>
        <v/>
      </c>
      <c r="Z29" s="1335" t="n">
        <v>1787</v>
      </c>
      <c r="AA29" s="1335">
        <f>Y29+Z29</f>
        <v/>
      </c>
      <c r="AB29" s="1337" t="n">
        <v>2000</v>
      </c>
      <c r="AC29" s="1338">
        <f>AA29+AB29</f>
        <v/>
      </c>
      <c r="AD29" s="1355" t="n">
        <v>25000</v>
      </c>
      <c r="AE29" s="1355" t="n">
        <v>30000</v>
      </c>
      <c r="AF29" s="1355" t="n">
        <v>37000</v>
      </c>
      <c r="AG29" s="1355" t="n">
        <v>43000</v>
      </c>
    </row>
    <row r="30" ht="15" customFormat="1" customHeight="1" s="1118">
      <c r="A30" s="1357" t="inlineStr">
        <is>
          <t>PBT &amp; Exceptional Item</t>
        </is>
      </c>
      <c r="B30" s="1352">
        <f>B28+B29</f>
        <v/>
      </c>
      <c r="C30" s="1352">
        <f>C28+C29</f>
        <v/>
      </c>
      <c r="D30" s="1352">
        <f>D28+D29</f>
        <v/>
      </c>
      <c r="E30" s="1352">
        <f>E28+E29</f>
        <v/>
      </c>
      <c r="F30" s="1352">
        <f>F28+F29</f>
        <v/>
      </c>
      <c r="G30" s="1352">
        <f>G28+G29</f>
        <v/>
      </c>
      <c r="H30" s="1349">
        <f>H28+H29</f>
        <v/>
      </c>
      <c r="I30" s="1352">
        <f>I28+I29</f>
        <v/>
      </c>
      <c r="J30" s="1352">
        <f>J28+J29</f>
        <v/>
      </c>
      <c r="K30" s="1352">
        <f>K28+K29</f>
        <v/>
      </c>
      <c r="L30" s="1352">
        <f>L28+L29</f>
        <v/>
      </c>
      <c r="M30" s="1352">
        <f>M28+M29</f>
        <v/>
      </c>
      <c r="N30" s="1352">
        <f>N28+N29</f>
        <v/>
      </c>
      <c r="O30" s="1349">
        <f>O28+O29</f>
        <v/>
      </c>
      <c r="P30" s="1352">
        <f>P28+P29</f>
        <v/>
      </c>
      <c r="Q30" s="1352">
        <f>Q28+Q29</f>
        <v/>
      </c>
      <c r="R30" s="1352">
        <f>R28+R29</f>
        <v/>
      </c>
      <c r="S30" s="1352">
        <f>S28+S29</f>
        <v/>
      </c>
      <c r="T30" s="1352">
        <f>T28+T29</f>
        <v/>
      </c>
      <c r="U30" s="1352">
        <f>U28+U29</f>
        <v/>
      </c>
      <c r="V30" s="1349">
        <f>V28+V29</f>
        <v/>
      </c>
      <c r="W30" s="1352">
        <f>W28+W29</f>
        <v/>
      </c>
      <c r="X30" s="1352">
        <f>X28+X29</f>
        <v/>
      </c>
      <c r="Y30" s="1352">
        <f>Y28+Y29</f>
        <v/>
      </c>
      <c r="Z30" s="1352">
        <f>Z28+Z29</f>
        <v/>
      </c>
      <c r="AA30" s="1352">
        <f>AA28+AA29</f>
        <v/>
      </c>
      <c r="AB30" s="1352">
        <f>AB28+AB29</f>
        <v/>
      </c>
      <c r="AC30" s="1349">
        <f>AC28+AC29</f>
        <v/>
      </c>
      <c r="AD30" s="1358">
        <f>AD28+AD29</f>
        <v/>
      </c>
      <c r="AE30" s="1358">
        <f>AE28+AE29</f>
        <v/>
      </c>
      <c r="AF30" s="1358">
        <f>AF28+AF29</f>
        <v/>
      </c>
      <c r="AG30" s="1358">
        <f>AG28+AG29</f>
        <v/>
      </c>
    </row>
    <row r="31" ht="15" customHeight="1" s="850">
      <c r="A31" s="1359" t="inlineStr">
        <is>
          <t>Exceptional Item</t>
        </is>
      </c>
      <c r="B31" s="1335" t="n">
        <v>0</v>
      </c>
      <c r="C31" s="1335" t="n">
        <v>0</v>
      </c>
      <c r="D31" s="1335" t="n">
        <v>0</v>
      </c>
      <c r="E31" s="1335" t="n">
        <v>0</v>
      </c>
      <c r="F31" s="1335" t="n">
        <v>0</v>
      </c>
      <c r="G31" s="1345" t="n"/>
      <c r="H31" s="1336" t="n">
        <v>0</v>
      </c>
      <c r="I31" s="1335" t="n">
        <v>0</v>
      </c>
      <c r="J31" s="1335" t="n">
        <v>0</v>
      </c>
      <c r="K31" s="1335" t="n">
        <v>0</v>
      </c>
      <c r="L31" s="1335" t="n">
        <v>0</v>
      </c>
      <c r="M31" s="1335">
        <f>K31+L31</f>
        <v/>
      </c>
      <c r="N31" s="1335" t="n">
        <v>0</v>
      </c>
      <c r="O31" s="1336" t="n">
        <v>0</v>
      </c>
      <c r="P31" s="1360" t="n"/>
      <c r="Q31" s="1360" t="n"/>
      <c r="R31" s="1335">
        <f>P31+Q31</f>
        <v/>
      </c>
      <c r="S31" s="1335" t="n"/>
      <c r="T31" s="1335">
        <f>R31+S31</f>
        <v/>
      </c>
      <c r="U31" s="1335" t="n"/>
      <c r="V31" s="1336" t="n">
        <v>0</v>
      </c>
      <c r="W31" s="1360" t="n">
        <v>0</v>
      </c>
      <c r="X31" s="1360" t="n">
        <v>0</v>
      </c>
      <c r="Y31" s="1360">
        <f>W31+X31</f>
        <v/>
      </c>
      <c r="Z31" s="1335" t="n"/>
      <c r="AA31" s="1335">
        <f>Y31+Z31</f>
        <v/>
      </c>
      <c r="AB31" s="1360" t="n"/>
      <c r="AC31" s="1338" t="n"/>
      <c r="AD31" s="1361" t="n">
        <v>0</v>
      </c>
      <c r="AE31" s="1361" t="n">
        <v>0</v>
      </c>
      <c r="AF31" s="1361" t="n">
        <v>0</v>
      </c>
      <c r="AG31" s="1361" t="n">
        <v>0</v>
      </c>
    </row>
    <row r="32" ht="15" customFormat="1" customHeight="1" s="1346">
      <c r="A32" s="1357" t="inlineStr">
        <is>
          <t>Profit Before Tax</t>
        </is>
      </c>
      <c r="B32" s="1352">
        <f>B30+B31</f>
        <v/>
      </c>
      <c r="C32" s="1352">
        <f>C30+C31</f>
        <v/>
      </c>
      <c r="D32" s="1352">
        <f>D30+D31</f>
        <v/>
      </c>
      <c r="E32" s="1352">
        <f>E30+E31</f>
        <v/>
      </c>
      <c r="F32" s="1352">
        <f>F30+F31</f>
        <v/>
      </c>
      <c r="G32" s="1352">
        <f>G30+G51</f>
        <v/>
      </c>
      <c r="H32" s="1349">
        <f>H30+H31</f>
        <v/>
      </c>
      <c r="I32" s="1352">
        <f>I30+I31</f>
        <v/>
      </c>
      <c r="J32" s="1352">
        <f>J30+J31</f>
        <v/>
      </c>
      <c r="K32" s="1352">
        <f>K30+K31</f>
        <v/>
      </c>
      <c r="L32" s="1352">
        <f>L30+L31</f>
        <v/>
      </c>
      <c r="M32" s="1352">
        <f>M30+M31</f>
        <v/>
      </c>
      <c r="N32" s="1352">
        <f>N30+N31</f>
        <v/>
      </c>
      <c r="O32" s="1349">
        <f>O30+O31</f>
        <v/>
      </c>
      <c r="P32" s="1352">
        <f>P30-P31</f>
        <v/>
      </c>
      <c r="Q32" s="1352">
        <f>Q30-Q31</f>
        <v/>
      </c>
      <c r="R32" s="1352">
        <f>R30-R31</f>
        <v/>
      </c>
      <c r="S32" s="1352">
        <f>S30-S31</f>
        <v/>
      </c>
      <c r="T32" s="1352">
        <f>T30-T31</f>
        <v/>
      </c>
      <c r="U32" s="1352">
        <f>U30-U31</f>
        <v/>
      </c>
      <c r="V32" s="1349">
        <f>V30-V31</f>
        <v/>
      </c>
      <c r="W32" s="1352">
        <f>W30-W31</f>
        <v/>
      </c>
      <c r="X32" s="1352">
        <f>X30-X31</f>
        <v/>
      </c>
      <c r="Y32" s="1352">
        <f>Y30-Y31</f>
        <v/>
      </c>
      <c r="Z32" s="1352">
        <f>Z30-Z31</f>
        <v/>
      </c>
      <c r="AA32" s="1352">
        <f>AA30-AA31</f>
        <v/>
      </c>
      <c r="AB32" s="1352">
        <f>AB30-AB31</f>
        <v/>
      </c>
      <c r="AC32" s="1349">
        <f>AC30-AC31</f>
        <v/>
      </c>
      <c r="AD32" s="1358">
        <f>AD30-AD31</f>
        <v/>
      </c>
      <c r="AE32" s="1358">
        <f>AE30-AE31</f>
        <v/>
      </c>
      <c r="AF32" s="1358">
        <f>AF30-AF31</f>
        <v/>
      </c>
      <c r="AG32" s="1358">
        <f>AG30-AG31</f>
        <v/>
      </c>
    </row>
    <row r="33" ht="15" customHeight="1" s="850">
      <c r="A33" s="1334" t="inlineStr">
        <is>
          <t>Current Tax</t>
        </is>
      </c>
      <c r="B33" s="1335" t="n">
        <v>-26000</v>
      </c>
      <c r="C33" s="1335" t="n">
        <v>13539</v>
      </c>
      <c r="D33" s="1335">
        <f>B33+C33</f>
        <v/>
      </c>
      <c r="E33" s="1335" t="n">
        <v>-21238</v>
      </c>
      <c r="F33" s="1335">
        <f>D33+E33</f>
        <v/>
      </c>
      <c r="G33" s="1335" t="n">
        <v>13466</v>
      </c>
      <c r="H33" s="1336" t="n">
        <v>47311</v>
      </c>
      <c r="I33" s="1335" t="n">
        <v>27547</v>
      </c>
      <c r="J33" s="1335" t="n">
        <v>29708</v>
      </c>
      <c r="K33" s="1335">
        <f>I33+J33</f>
        <v/>
      </c>
      <c r="L33" s="1335" t="n">
        <v>24150</v>
      </c>
      <c r="M33" s="1335">
        <f>K33+L33</f>
        <v/>
      </c>
      <c r="N33" s="1335" t="n">
        <v>43093</v>
      </c>
      <c r="O33" s="1336" t="n">
        <v>125354</v>
      </c>
      <c r="P33" s="1335" t="n">
        <v>44394</v>
      </c>
      <c r="Q33" s="1360" t="n">
        <v>48928</v>
      </c>
      <c r="R33" s="1335">
        <f>P33+Q33</f>
        <v/>
      </c>
      <c r="S33" s="1335" t="n">
        <v>7561</v>
      </c>
      <c r="T33" s="1335">
        <f>R33+S33</f>
        <v/>
      </c>
      <c r="U33" s="1335" t="n">
        <v>37752</v>
      </c>
      <c r="V33" s="1336" t="n">
        <v>140032</v>
      </c>
      <c r="W33" s="1335" t="n">
        <v>33982</v>
      </c>
      <c r="X33" s="1335" t="n">
        <v>30940</v>
      </c>
      <c r="Y33" s="1335">
        <f>W33+X33</f>
        <v/>
      </c>
      <c r="Z33" s="1335" t="n">
        <v>37111</v>
      </c>
      <c r="AA33" s="1335">
        <f>Y33+Z33</f>
        <v/>
      </c>
      <c r="AB33" s="1343" t="n">
        <v>46236.3</v>
      </c>
      <c r="AC33" s="1336">
        <f>AA33+AB33</f>
        <v/>
      </c>
      <c r="AD33" s="1362">
        <f>AD32*33%</f>
        <v/>
      </c>
      <c r="AE33" s="1362">
        <f>AE32*33%</f>
        <v/>
      </c>
      <c r="AF33" s="1362">
        <f>AF32*33%</f>
        <v/>
      </c>
      <c r="AG33" s="1362">
        <f>AG32*33%</f>
        <v/>
      </c>
    </row>
    <row r="34" ht="15" customHeight="1" s="850">
      <c r="A34" s="1341" t="inlineStr">
        <is>
          <t>Deferred Tax</t>
        </is>
      </c>
      <c r="B34" s="1335" t="n">
        <v>0</v>
      </c>
      <c r="C34" s="1335" t="n">
        <v>0</v>
      </c>
      <c r="D34" s="1335">
        <f>B34+C34</f>
        <v/>
      </c>
      <c r="E34" s="1335" t="n">
        <v>0</v>
      </c>
      <c r="F34" s="1335">
        <f>D34+E34</f>
        <v/>
      </c>
      <c r="G34" s="1335" t="n">
        <v>0</v>
      </c>
      <c r="H34" s="1336">
        <f>F34+G34</f>
        <v/>
      </c>
      <c r="I34" s="1335" t="n">
        <v>514</v>
      </c>
      <c r="J34" s="1335" t="n">
        <v>1684</v>
      </c>
      <c r="K34" s="1335">
        <f>I34+J34</f>
        <v/>
      </c>
      <c r="L34" s="1335" t="n">
        <v>3463</v>
      </c>
      <c r="M34" s="1335">
        <f>K34+L34</f>
        <v/>
      </c>
      <c r="N34" s="1335" t="n">
        <v>-5760</v>
      </c>
      <c r="O34" s="1336" t="n">
        <v>0</v>
      </c>
      <c r="P34" s="1335" t="n">
        <v>999</v>
      </c>
      <c r="Q34" s="1335" t="n">
        <v>-1156</v>
      </c>
      <c r="R34" s="1335">
        <f>P34+Q34</f>
        <v/>
      </c>
      <c r="S34" s="1335" t="n">
        <v>1372</v>
      </c>
      <c r="T34" s="1335">
        <f>R34+S34</f>
        <v/>
      </c>
      <c r="U34" s="1335" t="n">
        <v>591</v>
      </c>
      <c r="V34" s="1336" t="n">
        <v>0</v>
      </c>
      <c r="W34" s="1335" t="n">
        <v>-865</v>
      </c>
      <c r="X34" s="1335" t="n">
        <v>412</v>
      </c>
      <c r="Y34" s="1335">
        <f>W34+X34</f>
        <v/>
      </c>
      <c r="Z34" s="1335" t="n">
        <v>2720</v>
      </c>
      <c r="AA34" s="1335">
        <f>Y34+Z34</f>
        <v/>
      </c>
      <c r="AB34" s="1343" t="n">
        <v>2720</v>
      </c>
      <c r="AC34" s="1336">
        <f>AA34+AB34</f>
        <v/>
      </c>
      <c r="AD34" s="1361" t="n">
        <v>0</v>
      </c>
      <c r="AE34" s="1361" t="n">
        <v>0</v>
      </c>
      <c r="AF34" s="1361" t="n">
        <v>0</v>
      </c>
      <c r="AG34" s="1361" t="n">
        <v>0</v>
      </c>
    </row>
    <row r="35" ht="15" customHeight="1" s="850">
      <c r="A35" s="1341" t="inlineStr">
        <is>
          <t>Fringe Benefit Tax</t>
        </is>
      </c>
      <c r="B35" s="1335" t="n">
        <v>0</v>
      </c>
      <c r="C35" s="1335" t="n">
        <v>0</v>
      </c>
      <c r="D35" s="1335">
        <f>B35+C35</f>
        <v/>
      </c>
      <c r="E35" s="1335" t="n">
        <v>0</v>
      </c>
      <c r="F35" s="1335">
        <f>D35+E35</f>
        <v/>
      </c>
      <c r="G35" s="1335" t="n">
        <v>0</v>
      </c>
      <c r="H35" s="1336">
        <f>F35+G35</f>
        <v/>
      </c>
      <c r="I35" s="1335" t="n">
        <v>-1404</v>
      </c>
      <c r="J35" s="1335" t="n">
        <v>320</v>
      </c>
      <c r="K35" s="1335">
        <f>I35+J35</f>
        <v/>
      </c>
      <c r="L35" s="1335" t="n">
        <v>139</v>
      </c>
      <c r="M35" s="1335">
        <f>K35+L35</f>
        <v/>
      </c>
      <c r="N35" s="1335" t="n">
        <v>191</v>
      </c>
      <c r="O35" s="1336" t="n">
        <v>0</v>
      </c>
      <c r="P35" s="1335" t="n">
        <v>142</v>
      </c>
      <c r="Q35" s="1335" t="n">
        <v>169</v>
      </c>
      <c r="R35" s="1335">
        <f>P35+Q35</f>
        <v/>
      </c>
      <c r="S35" s="1335" t="n">
        <v>254</v>
      </c>
      <c r="T35" s="1335">
        <f>R35+S35</f>
        <v/>
      </c>
      <c r="U35" s="1335" t="n">
        <v>208</v>
      </c>
      <c r="V35" s="1336" t="n">
        <v>0</v>
      </c>
      <c r="W35" s="1335" t="n">
        <v>0</v>
      </c>
      <c r="X35" s="1335" t="n"/>
      <c r="Y35" s="1335">
        <f>W35+X35</f>
        <v/>
      </c>
      <c r="Z35" s="1335" t="n"/>
      <c r="AA35" s="1335">
        <f>Y35+Z35</f>
        <v/>
      </c>
      <c r="AB35" s="1360" t="n">
        <v>0</v>
      </c>
      <c r="AC35" s="1338" t="n"/>
      <c r="AD35" s="1361" t="n">
        <v>0</v>
      </c>
      <c r="AE35" s="1361" t="n">
        <v>0</v>
      </c>
      <c r="AF35" s="1361" t="n">
        <v>0</v>
      </c>
      <c r="AG35" s="1361" t="n">
        <v>0</v>
      </c>
    </row>
    <row r="36" ht="15" customFormat="1" customHeight="1" s="1363">
      <c r="A36" s="1364" t="inlineStr">
        <is>
          <t>Eff tax rate - non deferred</t>
        </is>
      </c>
      <c r="B36" s="1365">
        <f>B33/B32%</f>
        <v/>
      </c>
      <c r="C36" s="1365">
        <f>C33/C32%</f>
        <v/>
      </c>
      <c r="D36" s="1365">
        <f>D33/D32%</f>
        <v/>
      </c>
      <c r="E36" s="1365">
        <f>E33/E32%</f>
        <v/>
      </c>
      <c r="F36" s="1365">
        <f>F33/F32%</f>
        <v/>
      </c>
      <c r="G36" s="1365">
        <f>G33/G32%</f>
        <v/>
      </c>
      <c r="H36" s="1366">
        <f>H33/H32%</f>
        <v/>
      </c>
      <c r="I36" s="1365">
        <f>I33/I32%</f>
        <v/>
      </c>
      <c r="J36" s="1365">
        <f>J33/J32%</f>
        <v/>
      </c>
      <c r="K36" s="1365">
        <f>K33/K32%</f>
        <v/>
      </c>
      <c r="L36" s="1365">
        <f>L33/L32%</f>
        <v/>
      </c>
      <c r="M36" s="1365">
        <f>M33/M32%</f>
        <v/>
      </c>
      <c r="N36" s="1365">
        <f>N33/N32%</f>
        <v/>
      </c>
      <c r="O36" s="1366">
        <f>O33/O32%</f>
        <v/>
      </c>
      <c r="P36" s="1365">
        <f>P33/P32%</f>
        <v/>
      </c>
      <c r="Q36" s="1365">
        <f>Q33/Q32%</f>
        <v/>
      </c>
      <c r="R36" s="1365">
        <f>R33/R32%</f>
        <v/>
      </c>
      <c r="S36" s="1365">
        <f>S33/S32%</f>
        <v/>
      </c>
      <c r="T36" s="1365">
        <f>T33/T32%</f>
        <v/>
      </c>
      <c r="U36" s="1365">
        <f>U33/U32%</f>
        <v/>
      </c>
      <c r="V36" s="1366">
        <f>V33/V32%</f>
        <v/>
      </c>
      <c r="W36" s="1365">
        <f>W33/W32%</f>
        <v/>
      </c>
      <c r="X36" s="1365">
        <f>X33/X32%</f>
        <v/>
      </c>
      <c r="Y36" s="1365">
        <f>Y33/Y32%</f>
        <v/>
      </c>
      <c r="Z36" s="1365">
        <f>Z33/Z32%</f>
        <v/>
      </c>
      <c r="AA36" s="1365">
        <f>AA33/AA32%</f>
        <v/>
      </c>
      <c r="AB36" s="1367">
        <f>AB33/AB32%</f>
        <v/>
      </c>
      <c r="AC36" s="1368">
        <f>AC33/AC32%</f>
        <v/>
      </c>
      <c r="AD36" s="1369">
        <f>AD33/AD32%</f>
        <v/>
      </c>
      <c r="AE36" s="1369">
        <f>AE33/AE32%</f>
        <v/>
      </c>
      <c r="AF36" s="1369">
        <f>AF33/AF32%</f>
        <v/>
      </c>
      <c r="AG36" s="1369">
        <f>AG33/AG32%</f>
        <v/>
      </c>
    </row>
    <row r="37" ht="15" customFormat="1" customHeight="1" s="1370">
      <c r="A37" s="1371" t="inlineStr">
        <is>
          <t>Eff tax rate (%)</t>
        </is>
      </c>
      <c r="B37" s="1365">
        <f>((B33+B34+B35)/B32)*100</f>
        <v/>
      </c>
      <c r="C37" s="1365">
        <f>((C33+C34+C35)/C32)*100</f>
        <v/>
      </c>
      <c r="D37" s="1365">
        <f>((D33+D34+D35)/D32)*100</f>
        <v/>
      </c>
      <c r="E37" s="1365">
        <f>((E33+E34+E35)/E32)*100</f>
        <v/>
      </c>
      <c r="F37" s="1365">
        <f>((F33+F34+F35)/F32)*100</f>
        <v/>
      </c>
      <c r="G37" s="1365">
        <f>((G33+G34+G35)/G32)*100</f>
        <v/>
      </c>
      <c r="H37" s="1366">
        <f>((H33+H34+H35)/H32)*100</f>
        <v/>
      </c>
      <c r="I37" s="1365">
        <f>((I33+I34+I35)/I32)*100</f>
        <v/>
      </c>
      <c r="J37" s="1365">
        <f>((J33+J34+J35)/J32)*100</f>
        <v/>
      </c>
      <c r="K37" s="1365">
        <f>((K33+K34+K35)/K32)*100</f>
        <v/>
      </c>
      <c r="L37" s="1365">
        <f>((L33+L34+L35)/L32)*100</f>
        <v/>
      </c>
      <c r="M37" s="1365">
        <f>((M33+M34+M35)/M32)*100</f>
        <v/>
      </c>
      <c r="N37" s="1365">
        <f>((N33+N34+N35)/N32)*100</f>
        <v/>
      </c>
      <c r="O37" s="1366">
        <f>((O33+O34+O35)/O32)*100</f>
        <v/>
      </c>
      <c r="P37" s="1365">
        <f>((P33+P34+P35)/P32)*100</f>
        <v/>
      </c>
      <c r="Q37" s="1365">
        <f>((Q33+Q34+Q35)/Q32)*100</f>
        <v/>
      </c>
      <c r="R37" s="1365">
        <f>((R33+R34+R35)/R32)*100</f>
        <v/>
      </c>
      <c r="S37" s="1365">
        <f>((S33+S34+S35)/S32)*100</f>
        <v/>
      </c>
      <c r="T37" s="1365">
        <f>((T33+T34+T35)/T32)*100</f>
        <v/>
      </c>
      <c r="U37" s="1365">
        <f>((U33+U34+U35)/U32)*100</f>
        <v/>
      </c>
      <c r="V37" s="1366">
        <f>((V33+V34+V35)/V32)*100</f>
        <v/>
      </c>
      <c r="W37" s="1365">
        <f>((W33+W34+W35)/W32)*100</f>
        <v/>
      </c>
      <c r="X37" s="1365">
        <f>((X33+X34+X35)/X32)*100</f>
        <v/>
      </c>
      <c r="Y37" s="1365">
        <f>((Y33+Y34+Y35)/Y32)*100</f>
        <v/>
      </c>
      <c r="Z37" s="1365">
        <f>((Z33+Z34+Z35)/Z32)*100</f>
        <v/>
      </c>
      <c r="AA37" s="1365">
        <f>((AA33+AA34+AA35)/AA32)*100</f>
        <v/>
      </c>
      <c r="AB37" s="1365">
        <f>((AB33+AB34+AB35)/AB32)*100</f>
        <v/>
      </c>
      <c r="AC37" s="1366">
        <f>((AC33+AC34+AC35)/AC32)*100</f>
        <v/>
      </c>
      <c r="AD37" s="1372">
        <f>((AD33+AD34+AD35)/AD32)*100</f>
        <v/>
      </c>
      <c r="AE37" s="1372">
        <f>((AE33+AE34+AE35)/AE32)*100</f>
        <v/>
      </c>
      <c r="AF37" s="1372">
        <f>((AF33+AF34+AF35)/AF32)*100</f>
        <v/>
      </c>
      <c r="AG37" s="1372">
        <f>((AG33+AG34+AG35)/AG32)*100</f>
        <v/>
      </c>
    </row>
    <row r="38" ht="15" customFormat="1" customHeight="1" s="1346">
      <c r="A38" s="1357" t="inlineStr">
        <is>
          <t>Profit After Tax</t>
        </is>
      </c>
      <c r="B38" s="1352">
        <f>B32-B33-B34-B35</f>
        <v/>
      </c>
      <c r="C38" s="1352">
        <f>C32-C33-C34-C35</f>
        <v/>
      </c>
      <c r="D38" s="1352">
        <f>D32-D33-D34-D35</f>
        <v/>
      </c>
      <c r="E38" s="1352">
        <f>E32-E33-E34-E35</f>
        <v/>
      </c>
      <c r="F38" s="1352">
        <f>F32-F33-F34-F35</f>
        <v/>
      </c>
      <c r="G38" s="1352">
        <f>G32-G33-G34-G35</f>
        <v/>
      </c>
      <c r="H38" s="1349">
        <f>H32-H33-H34-H35</f>
        <v/>
      </c>
      <c r="I38" s="1352">
        <f>I32-I33-I34-I35</f>
        <v/>
      </c>
      <c r="J38" s="1352">
        <f>J32-J33-J34-J35</f>
        <v/>
      </c>
      <c r="K38" s="1352">
        <f>K32-K33-K34-K35</f>
        <v/>
      </c>
      <c r="L38" s="1352">
        <f>L32-L33-L34-L35</f>
        <v/>
      </c>
      <c r="M38" s="1352">
        <f>M32-M33-M34-M35</f>
        <v/>
      </c>
      <c r="N38" s="1352">
        <f>N32-N33-N34-N35</f>
        <v/>
      </c>
      <c r="O38" s="1349">
        <f>O32-O33-O34-O35</f>
        <v/>
      </c>
      <c r="P38" s="1352">
        <f>P32-P33-P34-P35</f>
        <v/>
      </c>
      <c r="Q38" s="1352">
        <f>Q32-Q33-Q34-Q35</f>
        <v/>
      </c>
      <c r="R38" s="1352">
        <f>R32-R33-R34-R35</f>
        <v/>
      </c>
      <c r="S38" s="1352">
        <f>S32-S33-S34-S35</f>
        <v/>
      </c>
      <c r="T38" s="1352">
        <f>T32-T33-T34-T35</f>
        <v/>
      </c>
      <c r="U38" s="1352">
        <f>U32-U33-U34-U35</f>
        <v/>
      </c>
      <c r="V38" s="1349">
        <f>V32-V33-V34-V35</f>
        <v/>
      </c>
      <c r="W38" s="1352">
        <f>W32-W33-W34-W35</f>
        <v/>
      </c>
      <c r="X38" s="1352">
        <f>X32-X33-X34-X35</f>
        <v/>
      </c>
      <c r="Y38" s="1352">
        <f>Y32-Y33-Y34-Y35</f>
        <v/>
      </c>
      <c r="Z38" s="1352">
        <f>Z32-Z33-Z34-Z35</f>
        <v/>
      </c>
      <c r="AA38" s="1352">
        <f>AA32-AA33-AA34-AA35</f>
        <v/>
      </c>
      <c r="AB38" s="1352">
        <f>AB32-AB33-AB34-AB35</f>
        <v/>
      </c>
      <c r="AC38" s="1349">
        <f>AC32-AC33-AC34-AC35</f>
        <v/>
      </c>
      <c r="AD38" s="1358">
        <f>AD32-AD33-AD34-AD35</f>
        <v/>
      </c>
      <c r="AE38" s="1358">
        <f>AE32-AE33-AE34-AE35</f>
        <v/>
      </c>
      <c r="AF38" s="1358">
        <f>AF32-AF33-AF34-AF35</f>
        <v/>
      </c>
      <c r="AG38" s="1358">
        <f>AG32-AG33-AG34-AG35</f>
        <v/>
      </c>
    </row>
    <row r="39" ht="15" customFormat="1" customHeight="1" s="1104">
      <c r="A39" s="1373" t="inlineStr">
        <is>
          <t>Prior Period Items</t>
        </is>
      </c>
      <c r="B39" s="1335" t="n">
        <v>0</v>
      </c>
      <c r="C39" s="1335" t="n">
        <v>0</v>
      </c>
      <c r="D39" s="1335">
        <f>B39+C39</f>
        <v/>
      </c>
      <c r="E39" s="1335" t="n">
        <v>0</v>
      </c>
      <c r="F39" s="1335" t="n">
        <v>0</v>
      </c>
      <c r="G39" s="1335" t="n">
        <v>0</v>
      </c>
      <c r="H39" s="1336">
        <f>F39+G39</f>
        <v/>
      </c>
      <c r="I39" s="1335" t="n">
        <v>0</v>
      </c>
      <c r="J39" s="1335" t="n">
        <v>0</v>
      </c>
      <c r="K39" s="1335" t="n">
        <v>0</v>
      </c>
      <c r="L39" s="1335" t="n">
        <v>0</v>
      </c>
      <c r="M39" s="1335" t="n">
        <v>0</v>
      </c>
      <c r="N39" s="1335" t="n">
        <v>0</v>
      </c>
      <c r="O39" s="1336" t="n">
        <v>0</v>
      </c>
      <c r="P39" s="1335" t="n">
        <v>0</v>
      </c>
      <c r="Q39" s="1335" t="n">
        <v>-2672.5</v>
      </c>
      <c r="R39" s="1335" t="n">
        <v>0</v>
      </c>
      <c r="S39" s="1335" t="n">
        <v>0</v>
      </c>
      <c r="T39" s="1335" t="n">
        <v>0</v>
      </c>
      <c r="U39" s="1335" t="n">
        <v>0</v>
      </c>
      <c r="V39" s="1336" t="n">
        <v>0</v>
      </c>
      <c r="W39" s="1335" t="n">
        <v>0</v>
      </c>
      <c r="X39" s="1335" t="n">
        <v>0</v>
      </c>
      <c r="Y39" s="1335" t="n">
        <v>0</v>
      </c>
      <c r="Z39" s="1335" t="n">
        <v>0</v>
      </c>
      <c r="AA39" s="1335" t="n">
        <v>0</v>
      </c>
      <c r="AB39" s="1360" t="n"/>
      <c r="AC39" s="1336" t="n">
        <v>0</v>
      </c>
      <c r="AD39" s="1374" t="n">
        <v>0</v>
      </c>
      <c r="AE39" s="1374" t="n">
        <v>0</v>
      </c>
      <c r="AF39" s="1374" t="n">
        <v>0</v>
      </c>
      <c r="AG39" s="1374" t="n">
        <v>0</v>
      </c>
    </row>
    <row r="40" ht="15" customFormat="1" customHeight="1" s="1104">
      <c r="A40" s="1375" t="inlineStr">
        <is>
          <t>Extraordinary Items</t>
        </is>
      </c>
      <c r="B40" s="1335" t="n">
        <v>0</v>
      </c>
      <c r="C40" s="1335" t="n">
        <v>0</v>
      </c>
      <c r="D40" s="1335">
        <f>B40+C40</f>
        <v/>
      </c>
      <c r="E40" s="1335" t="n">
        <v>0</v>
      </c>
      <c r="F40" s="1335" t="n">
        <v>0</v>
      </c>
      <c r="G40" s="1335" t="n">
        <v>0</v>
      </c>
      <c r="H40" s="1336" t="n">
        <v>0</v>
      </c>
      <c r="I40" s="1335" t="n">
        <v>0</v>
      </c>
      <c r="J40" s="1335" t="n">
        <v>0</v>
      </c>
      <c r="K40" s="1335" t="n">
        <v>0</v>
      </c>
      <c r="L40" s="1335" t="n">
        <v>0</v>
      </c>
      <c r="M40" s="1335" t="n">
        <v>0</v>
      </c>
      <c r="N40" s="1335" t="n">
        <v>0</v>
      </c>
      <c r="O40" s="1336" t="n">
        <v>0</v>
      </c>
      <c r="P40" s="1335" t="n">
        <v>0</v>
      </c>
      <c r="Q40" s="1335" t="n">
        <v>0</v>
      </c>
      <c r="R40" s="1335" t="n">
        <v>0</v>
      </c>
      <c r="S40" s="1335" t="n">
        <v>0</v>
      </c>
      <c r="T40" s="1335" t="n">
        <v>0</v>
      </c>
      <c r="U40" s="1335" t="n">
        <v>0</v>
      </c>
      <c r="V40" s="1336" t="n">
        <v>0</v>
      </c>
      <c r="W40" s="1335" t="n">
        <v>0</v>
      </c>
      <c r="X40" s="1335" t="n">
        <v>0</v>
      </c>
      <c r="Y40" s="1335" t="n">
        <v>0</v>
      </c>
      <c r="Z40" s="1335" t="n">
        <v>0</v>
      </c>
      <c r="AA40" s="1335" t="n">
        <v>0</v>
      </c>
      <c r="AB40" s="1360" t="n"/>
      <c r="AC40" s="1336" t="n">
        <v>0</v>
      </c>
      <c r="AD40" s="1374" t="n">
        <v>0</v>
      </c>
      <c r="AE40" s="1374" t="n">
        <v>0</v>
      </c>
      <c r="AF40" s="1374" t="n">
        <v>0</v>
      </c>
      <c r="AG40" s="1374" t="n">
        <v>0</v>
      </c>
    </row>
    <row r="41" ht="15" customFormat="1" customHeight="1" s="1346">
      <c r="A41" s="1376" t="inlineStr">
        <is>
          <t>Net Profit</t>
        </is>
      </c>
      <c r="B41" s="1377">
        <f>B38-B39-B40</f>
        <v/>
      </c>
      <c r="C41" s="1377">
        <f>C38-C39-C40</f>
        <v/>
      </c>
      <c r="D41" s="1377">
        <f>D38-D39-D40</f>
        <v/>
      </c>
      <c r="E41" s="1377">
        <f>E38-E39-E40</f>
        <v/>
      </c>
      <c r="F41" s="1377">
        <f>F38-F39-F40</f>
        <v/>
      </c>
      <c r="G41" s="1377">
        <f>G38-G39-G40</f>
        <v/>
      </c>
      <c r="H41" s="1349">
        <f>H38-H39-H40</f>
        <v/>
      </c>
      <c r="I41" s="1377">
        <f>I38-I39-I40</f>
        <v/>
      </c>
      <c r="J41" s="1377">
        <f>J38-J39-J40</f>
        <v/>
      </c>
      <c r="K41" s="1377">
        <f>K38-K39-K40</f>
        <v/>
      </c>
      <c r="L41" s="1377">
        <f>L38-L39-L40</f>
        <v/>
      </c>
      <c r="M41" s="1377">
        <f>M38-M39-M40</f>
        <v/>
      </c>
      <c r="N41" s="1377">
        <f>N38-N39-N40</f>
        <v/>
      </c>
      <c r="O41" s="1349">
        <f>O38-O39-O40</f>
        <v/>
      </c>
      <c r="P41" s="1377">
        <f>P38-P39-P40</f>
        <v/>
      </c>
      <c r="Q41" s="1377">
        <f>Q38-Q39-Q40</f>
        <v/>
      </c>
      <c r="R41" s="1377">
        <f>R38-R39-R40</f>
        <v/>
      </c>
      <c r="S41" s="1377">
        <f>S38-S39-S40</f>
        <v/>
      </c>
      <c r="T41" s="1377">
        <f>T38-T39-T40</f>
        <v/>
      </c>
      <c r="U41" s="1377">
        <f>U38-U39-U40</f>
        <v/>
      </c>
      <c r="V41" s="1349">
        <f>V38-V39-V40</f>
        <v/>
      </c>
      <c r="W41" s="1377">
        <f>W38-W39-W40</f>
        <v/>
      </c>
      <c r="X41" s="1377">
        <f>X38-X39-X40</f>
        <v/>
      </c>
      <c r="Y41" s="1377">
        <f>Y38-Y39-Y40</f>
        <v/>
      </c>
      <c r="Z41" s="1377">
        <f>Z38-Z39-Z40</f>
        <v/>
      </c>
      <c r="AA41" s="1377">
        <f>AA38-AA39-AA40</f>
        <v/>
      </c>
      <c r="AB41" s="1377">
        <f>AB38-AB39-AB40</f>
        <v/>
      </c>
      <c r="AC41" s="1378">
        <f>AA41+AB41</f>
        <v/>
      </c>
      <c r="AD41" s="1349" t="n">
        <v>268170</v>
      </c>
      <c r="AE41" s="1349" t="n">
        <v>369071</v>
      </c>
      <c r="AF41" s="1349" t="n">
        <v>448389</v>
      </c>
      <c r="AG41" s="1349" t="n">
        <v>769546</v>
      </c>
    </row>
    <row r="42" ht="15" customFormat="1" customHeight="1" s="1319">
      <c r="A42" s="1320" t="inlineStr">
        <is>
          <t>% full year</t>
        </is>
      </c>
      <c r="B42" s="1321">
        <f>B38/$H38*100</f>
        <v/>
      </c>
      <c r="C42" s="1321">
        <f>C38/$H38*100</f>
        <v/>
      </c>
      <c r="D42" s="1321">
        <f>D38/$H38*100</f>
        <v/>
      </c>
      <c r="E42" s="1321">
        <f>E38/$H38*100</f>
        <v/>
      </c>
      <c r="F42" s="1321">
        <f>F38/$H38*100</f>
        <v/>
      </c>
      <c r="G42" s="1321">
        <f>G38/$H38*100</f>
        <v/>
      </c>
      <c r="H42" s="1322">
        <f>F42+G42</f>
        <v/>
      </c>
      <c r="I42" s="1321">
        <f>I41/$O41*100</f>
        <v/>
      </c>
      <c r="J42" s="1321">
        <f>J41/$O41*100</f>
        <v/>
      </c>
      <c r="K42" s="1321">
        <f>K41/$O41*100</f>
        <v/>
      </c>
      <c r="L42" s="1321">
        <f>L41/$O41*100</f>
        <v/>
      </c>
      <c r="M42" s="1321">
        <f>M41/$O41*100</f>
        <v/>
      </c>
      <c r="N42" s="1321">
        <f>N41/$O41*100</f>
        <v/>
      </c>
      <c r="O42" s="1322">
        <f>M42+N42</f>
        <v/>
      </c>
      <c r="P42" s="1321">
        <f>P38/$V38*100</f>
        <v/>
      </c>
      <c r="Q42" s="1321">
        <f>Q38/$V38*100</f>
        <v/>
      </c>
      <c r="R42" s="1321">
        <f>R38/$V38*100</f>
        <v/>
      </c>
      <c r="S42" s="1321">
        <f>S38/$V38*100</f>
        <v/>
      </c>
      <c r="T42" s="1321">
        <f>T38/$V38*100</f>
        <v/>
      </c>
      <c r="U42" s="1321">
        <f>U38/$V38*100</f>
        <v/>
      </c>
      <c r="V42" s="1322">
        <f>T42+U42</f>
        <v/>
      </c>
      <c r="W42" s="1321">
        <f>W41/$AC41*100</f>
        <v/>
      </c>
      <c r="X42" s="1321">
        <f>X41/$AC41*100</f>
        <v/>
      </c>
      <c r="Y42" s="1321">
        <f>Y41/$AC41*100</f>
        <v/>
      </c>
      <c r="Z42" s="1321">
        <f>Z41/$AC41*100</f>
        <v/>
      </c>
      <c r="AA42" s="1321">
        <f>AA41/$AC41*100</f>
        <v/>
      </c>
      <c r="AB42" s="1321">
        <f>AB41/$AC41*100</f>
        <v/>
      </c>
      <c r="AC42" s="1323">
        <f>AA42+AB42</f>
        <v/>
      </c>
      <c r="AD42" s="1325" t="n"/>
      <c r="AE42" s="1325" t="n"/>
      <c r="AF42" s="1325" t="n"/>
      <c r="AG42" s="1325" t="n"/>
    </row>
    <row r="43" ht="15" customFormat="1" customHeight="1" s="1319">
      <c r="A43" s="1326" t="inlineStr">
        <is>
          <t>% growth y-o-y</t>
        </is>
      </c>
      <c r="B43" s="1321">
        <f>(B38/#REF!-1)*100</f>
        <v/>
      </c>
      <c r="C43" s="1321">
        <f>(C38/#REF!-1)*100</f>
        <v/>
      </c>
      <c r="D43" s="1321">
        <f>(D38/#REF!-1)*100</f>
        <v/>
      </c>
      <c r="E43" s="1321">
        <f>(E38/#REF!-1)*100</f>
        <v/>
      </c>
      <c r="F43" s="1321">
        <f>(F38/#REF!-1)*100</f>
        <v/>
      </c>
      <c r="G43" s="1321">
        <f>(G38/#REF!-1)*100</f>
        <v/>
      </c>
      <c r="H43" s="1322">
        <f>(H38/#REF!-1)*100</f>
        <v/>
      </c>
      <c r="I43" s="1321">
        <f>(I38/B38-1)*100</f>
        <v/>
      </c>
      <c r="J43" s="1321">
        <f>(J38/C38-1)*100</f>
        <v/>
      </c>
      <c r="K43" s="1321">
        <f>(K38/D38-1)*100</f>
        <v/>
      </c>
      <c r="L43" s="1321">
        <f>(L38/E38-1)*100</f>
        <v/>
      </c>
      <c r="M43" s="1321">
        <f>(M38/F38-1)*100</f>
        <v/>
      </c>
      <c r="N43" s="1321">
        <f>(N38/G38-1)*100</f>
        <v/>
      </c>
      <c r="O43" s="1322">
        <f>(O38/H38-1)*100</f>
        <v/>
      </c>
      <c r="P43" s="1321">
        <f>(P38/I38-1)*100</f>
        <v/>
      </c>
      <c r="Q43" s="1321">
        <f>(Q38/J38-1)*100</f>
        <v/>
      </c>
      <c r="R43" s="1321">
        <f>(R38/K38-1)*100</f>
        <v/>
      </c>
      <c r="S43" s="1321">
        <f>(S38/L38-1)*100</f>
        <v/>
      </c>
      <c r="T43" s="1321">
        <f>(T38/M38-1)*100</f>
        <v/>
      </c>
      <c r="U43" s="1321">
        <f>(U38/N38-1)*100</f>
        <v/>
      </c>
      <c r="V43" s="1322">
        <f>(V38/O38-1)*100</f>
        <v/>
      </c>
      <c r="W43" s="1321">
        <f>(W38/P38-1)*100</f>
        <v/>
      </c>
      <c r="X43" s="1321">
        <f>(X38/Q38-1)*100</f>
        <v/>
      </c>
      <c r="Y43" s="1321">
        <f>(Y38/R38-1)*100</f>
        <v/>
      </c>
      <c r="Z43" s="1321">
        <f>(Z38/S38-1)*100</f>
        <v/>
      </c>
      <c r="AA43" s="1321">
        <f>(AA38/T38-1)*100</f>
        <v/>
      </c>
      <c r="AB43" s="1327">
        <f>(AB38/U38-1)*100</f>
        <v/>
      </c>
      <c r="AC43" s="1323">
        <f>(AC38/V38-1)*100</f>
        <v/>
      </c>
      <c r="AD43" s="1324">
        <f>AD41/AC41%</f>
        <v/>
      </c>
      <c r="AE43" s="1324">
        <f>AE41/AD41%</f>
        <v/>
      </c>
      <c r="AF43" s="1324">
        <f>AF41/AE41%</f>
        <v/>
      </c>
      <c r="AG43" s="1324">
        <f>AG41/AF41%</f>
        <v/>
      </c>
    </row>
    <row r="44" ht="15" customFormat="1" customHeight="1" s="1319">
      <c r="A44" s="1329" t="inlineStr">
        <is>
          <t>% growth q-o-q</t>
        </is>
      </c>
      <c r="B44" s="1321">
        <f>(B38/#REF!-1)*100</f>
        <v/>
      </c>
      <c r="C44" s="1321">
        <f>(C38/B38-1)*100</f>
        <v/>
      </c>
      <c r="D44" s="1321" t="n"/>
      <c r="E44" s="1321">
        <f>(E38/C38-1)*100</f>
        <v/>
      </c>
      <c r="F44" s="1321" t="n"/>
      <c r="G44" s="1321">
        <f>(G38/E38-1)*100</f>
        <v/>
      </c>
      <c r="H44" s="1322" t="n"/>
      <c r="I44" s="1321">
        <f>(I38/G38-1)*100</f>
        <v/>
      </c>
      <c r="J44" s="1321">
        <f>(J38/I38-1)*100</f>
        <v/>
      </c>
      <c r="K44" s="1321" t="n"/>
      <c r="L44" s="1321">
        <f>(L38/J38-1)*100</f>
        <v/>
      </c>
      <c r="M44" s="1321" t="n"/>
      <c r="N44" s="1321">
        <f>(N38/L38-1)*100</f>
        <v/>
      </c>
      <c r="O44" s="1323" t="n"/>
      <c r="P44" s="1321">
        <f>(P38/N38-1)*100</f>
        <v/>
      </c>
      <c r="Q44" s="1321">
        <f>(Q38/P38-1)*100</f>
        <v/>
      </c>
      <c r="R44" s="1321" t="n"/>
      <c r="S44" s="1321">
        <f>(S38/Q38-1)*100</f>
        <v/>
      </c>
      <c r="T44" s="1321" t="n"/>
      <c r="U44" s="1321">
        <f>(U38/S38-1)*100</f>
        <v/>
      </c>
      <c r="V44" s="1322" t="n"/>
      <c r="W44" s="1321">
        <f>(W38/U38-1)*100</f>
        <v/>
      </c>
      <c r="X44" s="1321">
        <f>(X38/W38-1)*100</f>
        <v/>
      </c>
      <c r="Y44" s="1321" t="n"/>
      <c r="Z44" s="1321">
        <f>(Z38/X38-1)*100</f>
        <v/>
      </c>
      <c r="AA44" s="1321" t="n"/>
      <c r="AB44" s="1327">
        <f>(AB38/Z38-1)*100</f>
        <v/>
      </c>
      <c r="AC44" s="1323" t="n"/>
      <c r="AD44" s="1325" t="n"/>
      <c r="AE44" s="1325" t="n"/>
      <c r="AF44" s="1325" t="n"/>
      <c r="AG44" s="1325" t="n"/>
    </row>
    <row r="45" ht="15" customFormat="1" customHeight="1" s="1118">
      <c r="A45" s="1351" t="inlineStr">
        <is>
          <t>PAT(% of Sales)</t>
        </is>
      </c>
      <c r="B45" s="1352">
        <f>(B41/B6)*100</f>
        <v/>
      </c>
      <c r="C45" s="1352">
        <f>(C41/C6)*100</f>
        <v/>
      </c>
      <c r="D45" s="1352">
        <f>(D41/D6)*100</f>
        <v/>
      </c>
      <c r="E45" s="1352">
        <f>(E41/E6)*100</f>
        <v/>
      </c>
      <c r="F45" s="1352">
        <f>(F41/F6)*100</f>
        <v/>
      </c>
      <c r="G45" s="1352">
        <f>(G41/G6)*100</f>
        <v/>
      </c>
      <c r="H45" s="1349">
        <f>(H41/H6)*100</f>
        <v/>
      </c>
      <c r="I45" s="1352">
        <f>(I41/I6)*100</f>
        <v/>
      </c>
      <c r="J45" s="1352">
        <f>(J41/J6)*100</f>
        <v/>
      </c>
      <c r="K45" s="1352">
        <f>(K41/L6)*100</f>
        <v/>
      </c>
      <c r="L45" s="1352">
        <f>(L41/L6)*100</f>
        <v/>
      </c>
      <c r="M45" s="1352">
        <f>(M41/M6)*100</f>
        <v/>
      </c>
      <c r="N45" s="1352">
        <f>(N41/N6)*100</f>
        <v/>
      </c>
      <c r="O45" s="1349">
        <f>(O41/O6)*100</f>
        <v/>
      </c>
      <c r="P45" s="1352">
        <f>(P41/P6)*100</f>
        <v/>
      </c>
      <c r="Q45" s="1352">
        <f>(Q41/Q6)*100</f>
        <v/>
      </c>
      <c r="R45" s="1352">
        <f>(R41/R6)*100</f>
        <v/>
      </c>
      <c r="S45" s="1352">
        <f>(S41/S6)*100</f>
        <v/>
      </c>
      <c r="T45" s="1352">
        <f>(T41/T6)*100</f>
        <v/>
      </c>
      <c r="U45" s="1352">
        <f>(U41/U6)*100</f>
        <v/>
      </c>
      <c r="V45" s="1349">
        <f>(V41/V6)*100</f>
        <v/>
      </c>
      <c r="W45" s="1352">
        <f>(W41/W6)*100</f>
        <v/>
      </c>
      <c r="X45" s="1352">
        <f>(X41/X6)*100</f>
        <v/>
      </c>
      <c r="Y45" s="1352">
        <f>(Y41/Y6)*100</f>
        <v/>
      </c>
      <c r="Z45" s="1352">
        <f>(Z41/Z6)*100</f>
        <v/>
      </c>
      <c r="AA45" s="1352">
        <f>(AA41/AA6)*100</f>
        <v/>
      </c>
      <c r="AB45" s="1352">
        <f>(AB41/AB6)*100</f>
        <v/>
      </c>
      <c r="AC45" s="1349">
        <f>(AC41/AC6)*100</f>
        <v/>
      </c>
      <c r="AD45" s="1379">
        <f>(AD41/AD6)*100</f>
        <v/>
      </c>
      <c r="AE45" s="1379">
        <f>(AE41/AE6)*100</f>
        <v/>
      </c>
      <c r="AF45" s="1379">
        <f>(AF41/AF6)*100</f>
        <v/>
      </c>
      <c r="AG45" s="1379">
        <f>(AG41/AG6)*100</f>
        <v/>
      </c>
    </row>
    <row r="46" ht="15" customFormat="1" customHeight="1" s="1380">
      <c r="A46" s="1381" t="n"/>
      <c r="B46" s="1382" t="n"/>
      <c r="C46" s="1382" t="n"/>
      <c r="D46" s="1382" t="n"/>
      <c r="E46" s="1382" t="n"/>
      <c r="F46" s="1382" t="n"/>
      <c r="G46" s="1382" t="n"/>
      <c r="H46" s="1383" t="n"/>
      <c r="I46" s="1382" t="n"/>
      <c r="J46" s="1382" t="n"/>
      <c r="K46" s="1382" t="n"/>
      <c r="L46" s="1382" t="n"/>
      <c r="M46" s="1382" t="n"/>
      <c r="N46" s="1382" t="n"/>
      <c r="O46" s="1383" t="n"/>
      <c r="P46" s="1382" t="n"/>
      <c r="Q46" s="1382" t="n"/>
      <c r="R46" s="1382" t="n"/>
      <c r="S46" s="1382" t="n"/>
      <c r="T46" s="1382" t="n"/>
      <c r="U46" s="1382" t="n"/>
      <c r="V46" s="1383" t="n"/>
      <c r="W46" s="1382" t="n"/>
      <c r="X46" s="1382" t="n"/>
      <c r="Y46" s="1382" t="n"/>
      <c r="Z46" s="1382" t="n"/>
      <c r="AA46" s="1382" t="n"/>
      <c r="AB46" s="1382" t="n"/>
      <c r="AC46" s="1383" t="n"/>
      <c r="AD46" s="1384" t="n"/>
      <c r="AE46" s="1384" t="n"/>
      <c r="AF46" s="1384" t="n"/>
      <c r="AG46" s="1384" t="n"/>
    </row>
    <row r="47" ht="15" customFormat="1" customHeight="1" s="1104">
      <c r="A47" s="1385" t="inlineStr">
        <is>
          <t>Equity</t>
        </is>
      </c>
      <c r="B47" s="1360" t="n">
        <v>84565</v>
      </c>
      <c r="C47" s="1360">
        <f>B47</f>
        <v/>
      </c>
      <c r="D47" s="1360">
        <f>C47</f>
        <v/>
      </c>
      <c r="E47" s="1360">
        <f>D47</f>
        <v/>
      </c>
      <c r="F47" s="1360">
        <f>E47</f>
        <v/>
      </c>
      <c r="G47" s="1360">
        <f>F47</f>
        <v/>
      </c>
      <c r="H47" s="1338">
        <f>G47</f>
        <v/>
      </c>
      <c r="I47" s="1360">
        <f>H47</f>
        <v/>
      </c>
      <c r="J47" s="1360">
        <f>I47</f>
        <v/>
      </c>
      <c r="K47" s="1360">
        <f>J47</f>
        <v/>
      </c>
      <c r="L47" s="1360">
        <f>K47</f>
        <v/>
      </c>
      <c r="M47" s="1360">
        <f>L47</f>
        <v/>
      </c>
      <c r="N47" s="1360">
        <f>M47</f>
        <v/>
      </c>
      <c r="O47" s="1386">
        <f>N47</f>
        <v/>
      </c>
      <c r="P47" s="1360">
        <f>N47</f>
        <v/>
      </c>
      <c r="Q47" s="1360">
        <f>P47</f>
        <v/>
      </c>
      <c r="R47" s="1360">
        <f>Q47</f>
        <v/>
      </c>
      <c r="S47" s="1360" t="n">
        <v>126848</v>
      </c>
      <c r="T47" s="1360">
        <f>S47</f>
        <v/>
      </c>
      <c r="U47" s="1360">
        <f>T47</f>
        <v/>
      </c>
      <c r="V47" s="1338">
        <f>U47</f>
        <v/>
      </c>
      <c r="W47" s="1360">
        <f>V47</f>
        <v/>
      </c>
      <c r="X47" s="1360">
        <f>W47</f>
        <v/>
      </c>
      <c r="Y47" s="1360">
        <f>X47</f>
        <v/>
      </c>
      <c r="Z47" s="1360">
        <f>Y47</f>
        <v/>
      </c>
      <c r="AA47" s="1360">
        <f>Z47</f>
        <v/>
      </c>
      <c r="AB47" s="1360">
        <f>AA47</f>
        <v/>
      </c>
      <c r="AC47" s="1338">
        <f>AB47</f>
        <v/>
      </c>
      <c r="AD47" s="1387">
        <f>AC47</f>
        <v/>
      </c>
      <c r="AE47" s="1387">
        <f>AD47</f>
        <v/>
      </c>
      <c r="AF47" s="1387">
        <f>AE47</f>
        <v/>
      </c>
      <c r="AG47" s="1387">
        <f>AF47</f>
        <v/>
      </c>
    </row>
    <row r="48" ht="15" customFormat="1" customHeight="1" s="1104">
      <c r="A48" s="1375" t="inlineStr">
        <is>
          <t>No of Equity shares</t>
        </is>
      </c>
      <c r="B48" s="1360">
        <f>B47/10</f>
        <v/>
      </c>
      <c r="C48" s="1360">
        <f>C47/10</f>
        <v/>
      </c>
      <c r="D48" s="1360">
        <f>D47/10</f>
        <v/>
      </c>
      <c r="E48" s="1360">
        <f>E47/10.52</f>
        <v/>
      </c>
      <c r="F48" s="1360">
        <f>F47/10</f>
        <v/>
      </c>
      <c r="G48" s="1360">
        <f>G47/10</f>
        <v/>
      </c>
      <c r="H48" s="1338">
        <f>H47/10</f>
        <v/>
      </c>
      <c r="I48" s="1360">
        <f>I47/10</f>
        <v/>
      </c>
      <c r="J48" s="1360">
        <f>J47/10</f>
        <v/>
      </c>
      <c r="K48" s="1360">
        <f>K47/10</f>
        <v/>
      </c>
      <c r="L48" s="1360">
        <f>L47/10</f>
        <v/>
      </c>
      <c r="M48" s="1360">
        <f>M47/1</f>
        <v/>
      </c>
      <c r="N48" s="1360">
        <f>N47/10</f>
        <v/>
      </c>
      <c r="O48" s="1338">
        <f>O47/10</f>
        <v/>
      </c>
      <c r="P48" s="1360">
        <f>P47/10</f>
        <v/>
      </c>
      <c r="Q48" s="1360">
        <f>Q47/10</f>
        <v/>
      </c>
      <c r="R48" s="1360">
        <f>R47/10</f>
        <v/>
      </c>
      <c r="S48" s="1360">
        <f>S47/10</f>
        <v/>
      </c>
      <c r="T48" s="1360">
        <f>T47/10</f>
        <v/>
      </c>
      <c r="U48" s="1360">
        <f>U47/10</f>
        <v/>
      </c>
      <c r="V48" s="1338">
        <f>V47/10</f>
        <v/>
      </c>
      <c r="W48" s="1360">
        <f>W47/10</f>
        <v/>
      </c>
      <c r="X48" s="1360">
        <f>X47/10</f>
        <v/>
      </c>
      <c r="Y48" s="1360">
        <f>Y47/10</f>
        <v/>
      </c>
      <c r="Z48" s="1360">
        <f>Z47/10</f>
        <v/>
      </c>
      <c r="AA48" s="1360">
        <f>AA47/10</f>
        <v/>
      </c>
      <c r="AB48" s="1360">
        <f>AB47/10</f>
        <v/>
      </c>
      <c r="AC48" s="1338">
        <f>AC47/10</f>
        <v/>
      </c>
      <c r="AD48" s="1387">
        <f>AD47/10</f>
        <v/>
      </c>
      <c r="AE48" s="1387">
        <f>AE47/10</f>
        <v/>
      </c>
      <c r="AF48" s="1387">
        <f>AF47/10</f>
        <v/>
      </c>
      <c r="AG48" s="1387">
        <f>AG47/10</f>
        <v/>
      </c>
    </row>
    <row r="49" ht="15" customFormat="1" customHeight="1" s="1118">
      <c r="A49" s="1351" t="inlineStr">
        <is>
          <t>EPS Basic</t>
        </is>
      </c>
      <c r="B49" s="1388">
        <f>B41/B48</f>
        <v/>
      </c>
      <c r="C49" s="1388">
        <f>C41/C48</f>
        <v/>
      </c>
      <c r="D49" s="1388">
        <f>D41/D48</f>
        <v/>
      </c>
      <c r="E49" s="1388">
        <f>E41/E48</f>
        <v/>
      </c>
      <c r="F49" s="1388">
        <f>F41/F48</f>
        <v/>
      </c>
      <c r="G49" s="1388">
        <f>G41/G48</f>
        <v/>
      </c>
      <c r="H49" s="1378">
        <f>H41/H48</f>
        <v/>
      </c>
      <c r="I49" s="1388">
        <f>I41/I48</f>
        <v/>
      </c>
      <c r="J49" s="1388">
        <f>J41/J48</f>
        <v/>
      </c>
      <c r="K49" s="1388">
        <f>K41/K48</f>
        <v/>
      </c>
      <c r="L49" s="1388">
        <f>L41/L48</f>
        <v/>
      </c>
      <c r="M49" s="1388">
        <f>M41/M48</f>
        <v/>
      </c>
      <c r="N49" s="1388">
        <f>N41/N48</f>
        <v/>
      </c>
      <c r="O49" s="1378">
        <f>O41/O48</f>
        <v/>
      </c>
      <c r="P49" s="1388">
        <f>P41/P48</f>
        <v/>
      </c>
      <c r="Q49" s="1388">
        <f>Q41/Q48</f>
        <v/>
      </c>
      <c r="R49" s="1388">
        <f>R41/R48</f>
        <v/>
      </c>
      <c r="S49" s="1388">
        <f>S41/S48</f>
        <v/>
      </c>
      <c r="T49" s="1388">
        <f>T41/T48</f>
        <v/>
      </c>
      <c r="U49" s="1388">
        <f>U41/U48</f>
        <v/>
      </c>
      <c r="V49" s="1378">
        <f>V41/V48</f>
        <v/>
      </c>
      <c r="W49" s="1388">
        <f>W41/W48</f>
        <v/>
      </c>
      <c r="X49" s="1388">
        <f>X41/X48</f>
        <v/>
      </c>
      <c r="Y49" s="1388">
        <f>Y41/Y48</f>
        <v/>
      </c>
      <c r="Z49" s="1388">
        <f>Z41/Z48</f>
        <v/>
      </c>
      <c r="AA49" s="1388">
        <f>AA41/AA48</f>
        <v/>
      </c>
      <c r="AB49" s="1388">
        <f>AB41/AB48</f>
        <v/>
      </c>
      <c r="AC49" s="1378">
        <f>AC41/AC48</f>
        <v/>
      </c>
      <c r="AD49" s="1389">
        <f>AD41/AD48</f>
        <v/>
      </c>
      <c r="AE49" s="1389">
        <f>AE41/AE48</f>
        <v/>
      </c>
      <c r="AF49" s="1389">
        <f>AF41/AF48</f>
        <v/>
      </c>
      <c r="AG49" s="1389">
        <f>AG41/AG48</f>
        <v/>
      </c>
    </row>
    <row r="50" ht="15" customHeight="1" s="850">
      <c r="A50" s="1390" t="n"/>
      <c r="B50" s="1391" t="n"/>
      <c r="C50" s="1391" t="n"/>
      <c r="D50" s="1391" t="n"/>
      <c r="E50" s="1391" t="n"/>
      <c r="F50" s="1391" t="n"/>
      <c r="G50" s="1391" t="n"/>
      <c r="H50" s="1392" t="n"/>
      <c r="I50" s="1391" t="n"/>
      <c r="J50" s="1391" t="n"/>
      <c r="K50" s="1391" t="n"/>
      <c r="L50" s="1391" t="n"/>
      <c r="M50" s="1391" t="n"/>
      <c r="N50" s="1391" t="n"/>
      <c r="O50" s="1393" t="n"/>
      <c r="P50" s="1391" t="n"/>
      <c r="Q50" s="1391" t="n"/>
      <c r="R50" s="1391" t="n"/>
      <c r="S50" s="1394" t="n"/>
      <c r="T50" s="1391" t="n"/>
      <c r="U50" s="1391" t="n"/>
      <c r="V50" s="1391" t="n"/>
      <c r="W50" s="1395" t="n"/>
      <c r="X50" s="1396" t="n"/>
      <c r="Y50" s="1391" t="n"/>
      <c r="Z50" s="1396" t="n"/>
      <c r="AA50" s="1391" t="n"/>
      <c r="AB50" s="1391" t="n"/>
      <c r="AC50" s="1391" t="n"/>
      <c r="AD50" s="1391" t="n"/>
      <c r="AE50" s="1391" t="n"/>
      <c r="AF50" s="1391" t="n"/>
      <c r="AG50" s="1397" t="n"/>
    </row>
    <row r="51" ht="15" customHeight="1" s="850">
      <c r="A51" s="1398" t="n"/>
      <c r="B51" s="1104" t="n"/>
      <c r="C51" s="1104" t="n"/>
      <c r="D51" s="1399" t="n"/>
      <c r="E51" s="1104" t="n"/>
      <c r="F51" s="1399" t="n"/>
      <c r="G51" s="1104" t="n"/>
      <c r="H51" s="1400" t="n"/>
      <c r="I51" s="1104" t="n"/>
      <c r="J51" s="1399" t="n"/>
      <c r="K51" s="1399" t="n"/>
      <c r="L51" s="1399" t="n"/>
      <c r="M51" s="1399" t="n"/>
      <c r="N51" s="1399" t="n"/>
      <c r="O51" s="1400" t="n"/>
      <c r="P51" s="1399" t="n"/>
      <c r="Q51" s="1399" t="n"/>
      <c r="R51" s="1399" t="n"/>
      <c r="S51" s="1399" t="n"/>
      <c r="T51" s="1399" t="n"/>
      <c r="U51" s="1399" t="n"/>
      <c r="V51" s="1399" t="n"/>
      <c r="W51" s="1399" t="n"/>
      <c r="X51" s="1399" t="n"/>
      <c r="Y51" s="1399" t="n"/>
      <c r="Z51" s="1399" t="n"/>
      <c r="AA51" s="1399" t="n"/>
      <c r="AB51" s="1399" t="n"/>
      <c r="AC51" s="1399" t="n"/>
      <c r="AD51" s="1399" t="n"/>
      <c r="AE51" s="1399" t="n"/>
      <c r="AF51" s="1399" t="n"/>
      <c r="AG51" s="1401" t="n"/>
    </row>
    <row r="52" ht="15" customHeight="1" s="850">
      <c r="O52" s="1110" t="n"/>
    </row>
    <row r="53" ht="15" customHeight="1" s="850">
      <c r="O53" s="1110" t="n"/>
    </row>
    <row r="56" ht="15" customHeight="1" s="850">
      <c r="V56" s="1402" t="n"/>
    </row>
    <row r="66" ht="15" customHeight="1" s="850">
      <c r="W66" s="1110">
        <f>81-58</f>
        <v/>
      </c>
    </row>
  </sheetData>
  <mergeCells count="5">
    <mergeCell ref="B3:G3"/>
    <mergeCell ref="W3:AB3"/>
    <mergeCell ref="I3:N3"/>
    <mergeCell ref="P3:U3"/>
    <mergeCell ref="J1:M1"/>
  </mergeCells>
  <printOptions horizontalCentered="0" verticalCentered="0" headings="0" gridLines="0" gridLinesSet="1"/>
  <pageMargins left="1.14027777777778" right="0.75" top="0.759722222222222" bottom="0.729861111111111" header="0.511811023622047" footer="0.511811023622047"/>
  <pageSetup orientation="portrait" paperSize="9" scale="9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W55"/>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A8" activeCellId="0" sqref="A8"/>
    </sheetView>
  </sheetViews>
  <sheetFormatPr baseColWidth="8" defaultColWidth="9.13671875" defaultRowHeight="12.75" zeroHeight="0" outlineLevelRow="0"/>
  <cols>
    <col width="32.99" customWidth="1" style="1403" min="1" max="1"/>
    <col width="11.71" customWidth="1" style="1404" min="2" max="3"/>
    <col width="11.71" customWidth="1" style="1404" min="4" max="5"/>
    <col width="11.71" customWidth="1" style="1404" min="6" max="9"/>
    <col width="9.130000000000001" customWidth="1" style="1404" min="10" max="257"/>
  </cols>
  <sheetData>
    <row r="1" ht="18.75" customHeight="1" s="850">
      <c r="A1" s="1405" t="inlineStr">
        <is>
          <t>GAIL INDIA LTD.</t>
        </is>
      </c>
      <c r="B1" s="914" t="n"/>
      <c r="C1" s="914" t="n"/>
      <c r="D1" s="914" t="n"/>
      <c r="E1" s="914" t="n"/>
      <c r="F1" s="1406" t="n"/>
      <c r="G1" s="1407" t="n"/>
      <c r="H1" s="1407" t="n"/>
      <c r="I1" s="914" t="n"/>
    </row>
    <row r="2" ht="17.25" customHeight="1" s="850">
      <c r="A2" s="1408" t="inlineStr">
        <is>
          <t>CASH FLOW STATEMENT</t>
        </is>
      </c>
      <c r="B2" s="914" t="n"/>
      <c r="C2" s="914" t="n"/>
      <c r="D2" s="914" t="n"/>
      <c r="E2" s="914" t="n"/>
      <c r="I2" s="914" t="n"/>
    </row>
    <row r="3" ht="14.25" customHeight="1" s="850">
      <c r="A3" s="1409" t="inlineStr">
        <is>
          <t xml:space="preserve"> (in Rs.crores)</t>
        </is>
      </c>
      <c r="B3" s="914" t="n"/>
      <c r="C3" s="914" t="n"/>
      <c r="D3" s="914" t="n"/>
      <c r="E3" s="914" t="n"/>
      <c r="F3" s="914" t="n"/>
      <c r="G3" s="914" t="n"/>
      <c r="H3" s="914" t="n"/>
      <c r="I3" s="914" t="n"/>
    </row>
    <row r="4" ht="13.5" customHeight="1" s="850">
      <c r="A4" s="1410" t="inlineStr">
        <is>
          <t>CASH FLOW STATEMENT</t>
        </is>
      </c>
      <c r="B4" s="1411" t="inlineStr">
        <is>
          <t xml:space="preserve">31st MAR '07 </t>
        </is>
      </c>
      <c r="C4" s="1411" t="inlineStr">
        <is>
          <t>31st MAR '08</t>
        </is>
      </c>
      <c r="D4" s="1411" t="inlineStr">
        <is>
          <t>31st MAR '09</t>
        </is>
      </c>
      <c r="E4" s="1411" t="inlineStr">
        <is>
          <t>31st MAR '10</t>
        </is>
      </c>
      <c r="F4" s="1411" t="inlineStr">
        <is>
          <t>31st MAR '11</t>
        </is>
      </c>
      <c r="G4" s="1411" t="inlineStr">
        <is>
          <t>31st MAR '12</t>
        </is>
      </c>
      <c r="H4" s="1411" t="inlineStr">
        <is>
          <t>31st MAR '13</t>
        </is>
      </c>
      <c r="I4" s="1411" t="inlineStr">
        <is>
          <t>31st MAR '14</t>
        </is>
      </c>
    </row>
    <row r="5" ht="14.25" customFormat="1" customHeight="1" s="1404">
      <c r="A5" s="1412" t="n"/>
      <c r="B5" s="1411" t="inlineStr">
        <is>
          <t>2006-07A</t>
        </is>
      </c>
      <c r="C5" s="1411" t="inlineStr">
        <is>
          <t>2007-08 A</t>
        </is>
      </c>
      <c r="D5" s="1411" t="inlineStr">
        <is>
          <t>2008-09 A</t>
        </is>
      </c>
      <c r="E5" s="1411" t="inlineStr">
        <is>
          <t>2009-2010E</t>
        </is>
      </c>
      <c r="F5" s="1411" t="inlineStr">
        <is>
          <t>2010-11E</t>
        </is>
      </c>
      <c r="G5" s="1411" t="inlineStr">
        <is>
          <t>2011-12E</t>
        </is>
      </c>
      <c r="H5" s="1411" t="inlineStr">
        <is>
          <t>2012-13E</t>
        </is>
      </c>
      <c r="I5" s="1411" t="inlineStr">
        <is>
          <t>2013-14E</t>
        </is>
      </c>
    </row>
    <row r="6" ht="12.75" customHeight="1" s="850">
      <c r="B6" s="1413" t="n"/>
      <c r="F6" s="1404" t="n"/>
    </row>
    <row r="7" ht="13.5" customHeight="1" s="850">
      <c r="A7" s="1414" t="inlineStr">
        <is>
          <t>Particulars</t>
        </is>
      </c>
      <c r="B7" s="1415" t="n"/>
      <c r="C7" s="1416" t="n"/>
      <c r="F7" s="1404" t="n"/>
    </row>
    <row r="8" ht="12.75" customHeight="1" s="850">
      <c r="A8" s="1417" t="inlineStr">
        <is>
          <t>PBT</t>
        </is>
      </c>
      <c r="B8" s="1418">
        <f>'INCOME STATEMENT'!H32</f>
        <v/>
      </c>
      <c r="C8" s="1418">
        <f>'INCOME STATEMENT'!O32</f>
        <v/>
      </c>
      <c r="D8" s="1418">
        <f>'INCOME STATEMENT'!V32</f>
        <v/>
      </c>
      <c r="E8" s="1418">
        <f>'INCOME STATEMENT'!AC32</f>
        <v/>
      </c>
      <c r="F8" s="1418">
        <f>'INCOME STATEMENT'!AE32</f>
        <v/>
      </c>
      <c r="G8" s="1418">
        <f>'INCOME STATEMENT'!AF32</f>
        <v/>
      </c>
      <c r="H8" s="1418">
        <f>'INCOME STATEMENT'!AG32</f>
        <v/>
      </c>
      <c r="I8" s="1418">
        <f>'INCOME STATEMENT'!AH32</f>
        <v/>
      </c>
    </row>
    <row r="9" ht="12.75" customHeight="1" s="850">
      <c r="A9" s="1419" t="inlineStr">
        <is>
          <t>Tax - non deferred</t>
        </is>
      </c>
      <c r="B9" s="1420">
        <f>'INCOME STATEMENT'!H33-'INCOME STATEMENT'!H34</f>
        <v/>
      </c>
      <c r="C9" s="1420">
        <f>'INCOME STATEMENT'!O33-'INCOME STATEMENT'!O34</f>
        <v/>
      </c>
      <c r="D9" s="1420">
        <f>'INCOME STATEMENT'!V33-'INCOME STATEMENT'!V34</f>
        <v/>
      </c>
      <c r="E9" s="1420">
        <f>'INCOME STATEMENT'!AC33-'INCOME STATEMENT'!AC34</f>
        <v/>
      </c>
      <c r="F9" s="1420">
        <f>'INCOME STATEMENT'!AE33-'INCOME STATEMENT'!AE34</f>
        <v/>
      </c>
      <c r="G9" s="1420">
        <f>'INCOME STATEMENT'!AF33-'INCOME STATEMENT'!AF34</f>
        <v/>
      </c>
      <c r="H9" s="1420">
        <f>'INCOME STATEMENT'!AG33-'INCOME STATEMENT'!AG34</f>
        <v/>
      </c>
      <c r="I9" s="1420">
        <f>'INCOME STATEMENT'!AH33-'INCOME STATEMENT'!AH34</f>
        <v/>
      </c>
    </row>
    <row r="10" ht="12.75" customHeight="1" s="850">
      <c r="A10" s="1421" t="inlineStr">
        <is>
          <t>PAT</t>
        </is>
      </c>
      <c r="B10" s="1422">
        <f>B8-B9</f>
        <v/>
      </c>
      <c r="C10" s="1422">
        <f>C8-C9</f>
        <v/>
      </c>
      <c r="D10" s="1422">
        <f>D8-D9</f>
        <v/>
      </c>
      <c r="E10" s="1422">
        <f>E8-E9</f>
        <v/>
      </c>
      <c r="F10" s="1422">
        <f>F8-F9</f>
        <v/>
      </c>
      <c r="G10" s="1422">
        <f>G8-G9</f>
        <v/>
      </c>
      <c r="H10" s="1422">
        <f>H8-H9</f>
        <v/>
      </c>
      <c r="I10" s="1422">
        <f>I8-I9</f>
        <v/>
      </c>
    </row>
    <row r="11" ht="12.75" customHeight="1" s="850">
      <c r="A11" s="1419" t="inlineStr">
        <is>
          <t>Depreciation</t>
        </is>
      </c>
      <c r="B11" s="1423">
        <f>'INCOME STATEMENT'!H27</f>
        <v/>
      </c>
      <c r="C11" s="1420">
        <f>'INCOME STATEMENT'!O27</f>
        <v/>
      </c>
      <c r="D11" s="1420">
        <f>'INCOME STATEMENT'!V27</f>
        <v/>
      </c>
      <c r="E11" s="1420">
        <f>'INCOME STATEMENT'!AC27</f>
        <v/>
      </c>
      <c r="F11" s="1420">
        <f>'INCOME STATEMENT'!AD27</f>
        <v/>
      </c>
      <c r="G11" s="1420">
        <f>'INCOME STATEMENT'!AE27</f>
        <v/>
      </c>
      <c r="H11" s="1420">
        <f>'INCOME STATEMENT'!AF27</f>
        <v/>
      </c>
      <c r="I11" s="1420">
        <f>'INCOME STATEMENT'!AG27</f>
        <v/>
      </c>
    </row>
    <row r="12" ht="12.75" customHeight="1" s="850">
      <c r="A12" s="1421" t="inlineStr">
        <is>
          <t>Operating Cash Flow</t>
        </is>
      </c>
      <c r="B12" s="1422">
        <f>B10+B11</f>
        <v/>
      </c>
      <c r="C12" s="1422">
        <f>C10+C11</f>
        <v/>
      </c>
      <c r="D12" s="1422">
        <f>D10+D11</f>
        <v/>
      </c>
      <c r="E12" s="1422">
        <f>E10+E11</f>
        <v/>
      </c>
      <c r="F12" s="1422">
        <f>F10+F11</f>
        <v/>
      </c>
      <c r="G12" s="1422">
        <f>G10+G11</f>
        <v/>
      </c>
      <c r="H12" s="1422">
        <f>H10+H11</f>
        <v/>
      </c>
      <c r="I12" s="1422">
        <f>I10+I11</f>
        <v/>
      </c>
    </row>
    <row r="13" ht="12.75" customHeight="1" s="850">
      <c r="A13" s="1419" t="inlineStr">
        <is>
          <t>Capex</t>
        </is>
      </c>
      <c r="B13" s="1420">
        <f>(BALANCESHEET!C28-BALANCESHEET!B28)+(BALANCESHEET!C31-BALANCESHEET!B31)</f>
        <v/>
      </c>
      <c r="C13" s="1420">
        <f>(BALANCESHEET!D28-BALANCESHEET!C28)+(BALANCESHEET!D31-BALANCESHEET!C31)</f>
        <v/>
      </c>
      <c r="D13" s="1420">
        <f>(BALANCESHEET!E28-BALANCESHEET!D28)+(BALANCESHEET!E31-BALANCESHEET!D31)</f>
        <v/>
      </c>
      <c r="E13" s="1420">
        <f>(BALANCESHEET!F28-BALANCESHEET!E28)+(BALANCESHEET!F31-BALANCESHEET!E31)</f>
        <v/>
      </c>
      <c r="F13" s="1420">
        <f>(BALANCESHEET!G28-BALANCESHEET!F28)+(BALANCESHEET!G31-BALANCESHEET!F31)</f>
        <v/>
      </c>
      <c r="G13" s="1420">
        <f>(BALANCESHEET!H28-BALANCESHEET!G28)+(BALANCESHEET!H31-BALANCESHEET!G31)</f>
        <v/>
      </c>
      <c r="H13" s="1420">
        <f>(BALANCESHEET!I28-BALANCESHEET!H28)+(BALANCESHEET!I31-BALANCESHEET!H31)</f>
        <v/>
      </c>
      <c r="I13" s="1420">
        <f>(BALANCESHEET!J28-BALANCESHEET!I28)+(BALANCESHEET!J31-BALANCESHEET!I31)</f>
        <v/>
      </c>
    </row>
    <row r="14" ht="12.75" customHeight="1" s="850">
      <c r="A14" s="1421" t="inlineStr">
        <is>
          <t>Net cash Flow</t>
        </is>
      </c>
      <c r="B14" s="1422">
        <f>B12-B13</f>
        <v/>
      </c>
      <c r="C14" s="1422">
        <f>C12-C13</f>
        <v/>
      </c>
      <c r="D14" s="1422">
        <f>D12-D13</f>
        <v/>
      </c>
      <c r="E14" s="1422">
        <f>E12-E13</f>
        <v/>
      </c>
      <c r="F14" s="1422">
        <f>F12-F13</f>
        <v/>
      </c>
      <c r="G14" s="1422">
        <f>G12-G13</f>
        <v/>
      </c>
      <c r="H14" s="1422">
        <f>H12-H13</f>
        <v/>
      </c>
      <c r="I14" s="1422">
        <f>I12-I13</f>
        <v/>
      </c>
    </row>
    <row r="15" ht="12.75" customFormat="1" customHeight="1" s="1424">
      <c r="A15" s="1421" t="inlineStr">
        <is>
          <t>Cash Flow / Share</t>
        </is>
      </c>
      <c r="B15" s="1425" t="n">
        <v>5170.94305159166</v>
      </c>
      <c r="C15" s="1425" t="n">
        <v>3703.97927552141</v>
      </c>
      <c r="D15" s="1425" t="n">
        <v>3918.88482352941</v>
      </c>
      <c r="E15" s="1425" t="n">
        <v>3499.55705882353</v>
      </c>
      <c r="F15" s="1425" t="n"/>
      <c r="G15" s="1426" t="n"/>
      <c r="H15" s="1426" t="n"/>
      <c r="I15" s="1426" t="n"/>
    </row>
    <row r="16" ht="12.75" customHeight="1" s="850">
      <c r="A16" s="1419" t="inlineStr">
        <is>
          <t>Dividend/dividend tax</t>
        </is>
      </c>
      <c r="B16" s="1420" t="n">
        <v>0</v>
      </c>
      <c r="C16" s="1420" t="n">
        <v>0</v>
      </c>
      <c r="D16" s="1420" t="n">
        <v>0</v>
      </c>
      <c r="E16" s="1420" t="n">
        <v>0</v>
      </c>
      <c r="F16" s="1420" t="n"/>
      <c r="G16" s="1427" t="n"/>
      <c r="H16" s="1427" t="n"/>
      <c r="I16" s="1427" t="n"/>
    </row>
    <row r="17" ht="12.75" customHeight="1" s="850">
      <c r="A17" s="1419" t="inlineStr">
        <is>
          <t>Increase in equity capital</t>
        </is>
      </c>
      <c r="B17" s="1420">
        <f>BALANCESHEET!C9-BALANCESHEET!B9</f>
        <v/>
      </c>
      <c r="C17" s="1420">
        <f>BALANCESHEET!D9-BALANCESHEET!C9</f>
        <v/>
      </c>
      <c r="D17" s="1420">
        <f>BALANCESHEET!E9-BALANCESHEET!D9</f>
        <v/>
      </c>
      <c r="E17" s="1420">
        <f>BALANCESHEET!F9-BALANCESHEET!E9</f>
        <v/>
      </c>
      <c r="F17" s="1420">
        <f>BALANCESHEET!G9-BALANCESHEET!F9</f>
        <v/>
      </c>
      <c r="G17" s="1420">
        <f>BALANCESHEET!H9-BALANCESHEET!G9</f>
        <v/>
      </c>
      <c r="H17" s="1420">
        <f>BALANCESHEET!I9-BALANCESHEET!H9</f>
        <v/>
      </c>
      <c r="I17" s="1420">
        <f>BALANCESHEET!J9-BALANCESHEET!I9</f>
        <v/>
      </c>
    </row>
    <row r="18" ht="12.75" customHeight="1" s="850">
      <c r="A18" s="1419" t="inlineStr">
        <is>
          <t> </t>
        </is>
      </c>
      <c r="B18" s="1428" t="n"/>
      <c r="C18" s="1428" t="n"/>
      <c r="D18" s="1428" t="n"/>
      <c r="E18" s="1428" t="n"/>
      <c r="F18" s="1428" t="n"/>
      <c r="G18" s="1428" t="n"/>
      <c r="H18" s="1428" t="n"/>
      <c r="I18" s="1428" t="n"/>
    </row>
    <row r="19" ht="12.75" customHeight="1" s="850">
      <c r="A19" s="1419" t="inlineStr">
        <is>
          <t>Inc/(Dec) in Investments</t>
        </is>
      </c>
      <c r="B19" s="1420">
        <f>BALANCESHEET!C33-BALANCESHEET!B33</f>
        <v/>
      </c>
      <c r="C19" s="1420">
        <f>BALANCESHEET!D33-BALANCESHEET!C33</f>
        <v/>
      </c>
      <c r="D19" s="1420">
        <f>BALANCESHEET!E33-BALANCESHEET!D33</f>
        <v/>
      </c>
      <c r="E19" s="1420">
        <f>BALANCESHEET!F33-BALANCESHEET!E33</f>
        <v/>
      </c>
      <c r="F19" s="1420">
        <f>BALANCESHEET!G33-BALANCESHEET!F33</f>
        <v/>
      </c>
      <c r="G19" s="1420">
        <f>BALANCESHEET!H33-BALANCESHEET!G33</f>
        <v/>
      </c>
      <c r="H19" s="1420">
        <f>BALANCESHEET!I33-BALANCESHEET!H33</f>
        <v/>
      </c>
      <c r="I19" s="1420">
        <f>BALANCESHEET!J33-BALANCESHEET!I33</f>
        <v/>
      </c>
    </row>
    <row r="20" ht="12.75" customFormat="1" customHeight="1" s="1404">
      <c r="A20" s="1419" t="inlineStr">
        <is>
          <t>Inc/Dec in Net Working Capital</t>
        </is>
      </c>
      <c r="B20" s="1420">
        <f>(BALANCESHEET!C37+BALANCESHEET!C38+BALANCESHEET!C40+BALANCESHEET!C41-BALANCESHEET!C43)-(BALANCESHEET!B37+BALANCESHEET!B38+BALANCESHEET!B40+BALANCESHEET!B41-BALANCESHEET!B43)</f>
        <v/>
      </c>
      <c r="C20" s="1420">
        <f>(BALANCESHEET!D37+BALANCESHEET!D38+BALANCESHEET!D40+BALANCESHEET!D41-BALANCESHEET!D43)-(BALANCESHEET!C37+BALANCESHEET!C38+BALANCESHEET!C40+BALANCESHEET!C41-BALANCESHEET!C43)</f>
        <v/>
      </c>
      <c r="D20" s="1420">
        <f>(BALANCESHEET!E37+BALANCESHEET!E38+BALANCESHEET!E40+BALANCESHEET!E41-BALANCESHEET!E43)-(BALANCESHEET!D37+BALANCESHEET!D38+BALANCESHEET!D40+BALANCESHEET!D41-BALANCESHEET!D43)</f>
        <v/>
      </c>
      <c r="E20" s="1420">
        <f>(BALANCESHEET!F37+BALANCESHEET!F38+BALANCESHEET!F40+BALANCESHEET!F41-BALANCESHEET!F43)-(BALANCESHEET!E37+BALANCESHEET!E38+BALANCESHEET!E40+BALANCESHEET!E41-BALANCESHEET!E43)</f>
        <v/>
      </c>
      <c r="F20" s="1420">
        <f>(BALANCESHEET!G37+BALANCESHEET!G38+BALANCESHEET!G40+BALANCESHEET!G41-BALANCESHEET!G43)-(BALANCESHEET!F37+BALANCESHEET!F38+BALANCESHEET!F40+BALANCESHEET!F41-BALANCESHEET!F43)</f>
        <v/>
      </c>
      <c r="G20" s="1420">
        <f>(BALANCESHEET!H37+BALANCESHEET!H38+BALANCESHEET!H40+BALANCESHEET!H41-BALANCESHEET!H43)-(BALANCESHEET!G37+BALANCESHEET!G38+BALANCESHEET!G40+BALANCESHEET!G41-BALANCESHEET!G43)</f>
        <v/>
      </c>
      <c r="H20" s="1420">
        <f>(BALANCESHEET!I37+BALANCESHEET!I38+BALANCESHEET!I40+BALANCESHEET!I41-BALANCESHEET!I43)-(BALANCESHEET!H37+BALANCESHEET!H38+BALANCESHEET!H40+BALANCESHEET!H41-BALANCESHEET!H43)</f>
        <v/>
      </c>
      <c r="I20" s="1420">
        <f>(BALANCESHEET!J37+BALANCESHEET!J38+BALANCESHEET!J40+BALANCESHEET!J41-BALANCESHEET!J43)-(BALANCESHEET!I37+BALANCESHEET!I38+BALANCESHEET!I40+BALANCESHEET!I41-BALANCESHEET!I43)</f>
        <v/>
      </c>
    </row>
    <row r="21" ht="12.75" customHeight="1" s="850">
      <c r="A21" s="1419" t="inlineStr">
        <is>
          <t>Inc/Dec in loan funds</t>
        </is>
      </c>
      <c r="B21" s="1420">
        <f>BALANCESHEET!C19-BALANCESHEET!B19</f>
        <v/>
      </c>
      <c r="C21" s="1420">
        <f>BALANCESHEET!D19-BALANCESHEET!C19</f>
        <v/>
      </c>
      <c r="D21" s="1420">
        <f>BALANCESHEET!E19-BALANCESHEET!D19</f>
        <v/>
      </c>
      <c r="E21" s="1420">
        <f>BALANCESHEET!F19-BALANCESHEET!E19</f>
        <v/>
      </c>
      <c r="F21" s="1420">
        <f>BALANCESHEET!G19-BALANCESHEET!F19</f>
        <v/>
      </c>
      <c r="G21" s="1420">
        <f>BALANCESHEET!H19-BALANCESHEET!G19</f>
        <v/>
      </c>
      <c r="H21" s="1420">
        <f>BALANCESHEET!I19-BALANCESHEET!H19</f>
        <v/>
      </c>
      <c r="I21" s="1420">
        <f>BALANCESHEET!J19-BALANCESHEET!I19</f>
        <v/>
      </c>
    </row>
    <row r="22" ht="12.75" customHeight="1" s="850">
      <c r="A22" s="1419" t="inlineStr">
        <is>
          <t>Opening cash balance</t>
        </is>
      </c>
      <c r="B22" s="1420" t="n">
        <v>4495.94</v>
      </c>
      <c r="C22" s="1420" t="n">
        <v>2260.41</v>
      </c>
      <c r="D22" s="1420" t="n">
        <v>4472.99</v>
      </c>
      <c r="E22" s="1420">
        <f>D24</f>
        <v/>
      </c>
      <c r="F22" s="1429" t="n">
        <v>3500.76</v>
      </c>
      <c r="G22" s="1427" t="n">
        <v>3657.75</v>
      </c>
      <c r="H22" s="1427" t="n">
        <v>3699</v>
      </c>
      <c r="I22" s="1427" t="n">
        <v>3734</v>
      </c>
    </row>
    <row r="23" ht="12.75" customFormat="1" customHeight="1" s="1430">
      <c r="A23" s="1421" t="inlineStr">
        <is>
          <t>Total cash flow</t>
        </is>
      </c>
      <c r="B23" s="1431">
        <f>B14-B16+B17-B19-B20+B18+B21</f>
        <v/>
      </c>
      <c r="C23" s="1431">
        <f>(C14-C16)+(C17-C19)-(B20+C18+C21)</f>
        <v/>
      </c>
      <c r="D23" s="1431">
        <f>(D14-D16)+(D17-D19)-(C20+D18+D21)</f>
        <v/>
      </c>
      <c r="E23" s="1431">
        <f>E14-E16+E17-E19-D20+E18+E21</f>
        <v/>
      </c>
      <c r="F23" s="1431">
        <f>F14-F16+F17-F19-E20+F18+F21</f>
        <v/>
      </c>
      <c r="G23" s="1431">
        <f>G14-G16+G17-G19-F20+G18+G21</f>
        <v/>
      </c>
      <c r="H23" s="1431">
        <f>H14-H16+H17-H19-G20+H18+H21</f>
        <v/>
      </c>
      <c r="I23" s="1431">
        <f>I14-I16+I17-I19-H20+I18+I21</f>
        <v/>
      </c>
    </row>
    <row r="24" ht="13.5" customHeight="1" s="850">
      <c r="A24" s="1432" t="inlineStr">
        <is>
          <t>Closing cash balance</t>
        </is>
      </c>
      <c r="B24" s="1433" t="n">
        <v>2660.39</v>
      </c>
      <c r="C24" s="1433" t="n">
        <v>4472.99</v>
      </c>
      <c r="D24" s="1433" t="n">
        <v>3456.15</v>
      </c>
      <c r="E24" s="1433">
        <f>E22+E23</f>
        <v/>
      </c>
      <c r="F24" s="1433">
        <f>F22+F23</f>
        <v/>
      </c>
      <c r="G24" s="1433">
        <f>G22+G23</f>
        <v/>
      </c>
      <c r="H24" s="1433">
        <f>H22+H23</f>
        <v/>
      </c>
      <c r="I24" s="1433">
        <f>I22+I23</f>
        <v/>
      </c>
    </row>
    <row r="25" ht="12.75" customHeight="1" s="850">
      <c r="B25" s="1415" t="n"/>
      <c r="C25" s="1416" t="n"/>
      <c r="F25" s="1404" t="n"/>
    </row>
    <row r="26" ht="12.75" customHeight="1" s="850">
      <c r="A26" s="1403" t="n"/>
      <c r="B26" s="1415" t="n"/>
      <c r="C26" s="1416" t="n"/>
    </row>
    <row r="27" ht="13.5" customFormat="1" customHeight="1" s="1434">
      <c r="A27" s="1403" t="n"/>
      <c r="C27" s="1435" t="n"/>
      <c r="D27" s="1434" t="n"/>
      <c r="E27" s="1434" t="n"/>
    </row>
    <row r="28" ht="13.5" customFormat="1" customHeight="1" s="1436">
      <c r="A28" s="1403" t="n"/>
      <c r="C28" s="1437" t="n"/>
      <c r="D28" s="1436" t="n"/>
      <c r="E28" s="1436" t="n"/>
    </row>
    <row r="29" ht="13.5" customFormat="1" customHeight="1" s="1436">
      <c r="A29" s="1403" t="n"/>
      <c r="C29" s="1437" t="n"/>
      <c r="D29" s="1436" t="n"/>
      <c r="E29" s="1436" t="n"/>
    </row>
    <row r="30" ht="13.5" customFormat="1" customHeight="1" s="1436">
      <c r="A30" s="1403" t="n"/>
      <c r="C30" s="1437" t="n"/>
      <c r="D30" s="1436" t="n"/>
      <c r="E30" s="1436" t="n"/>
    </row>
    <row r="31" ht="27" customHeight="1" s="850">
      <c r="A31" s="849" t="n"/>
      <c r="B31" s="849" t="n"/>
      <c r="C31" s="849" t="n"/>
      <c r="D31" s="849" t="n"/>
      <c r="E31" s="849" t="n"/>
      <c r="F31" s="849" t="n"/>
      <c r="G31" s="849" t="n"/>
      <c r="H31" s="849" t="n"/>
      <c r="I31" s="849" t="n"/>
      <c r="J31" s="849" t="n"/>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c r="AE31" s="849" t="n"/>
      <c r="AF31" s="849" t="n"/>
      <c r="AG31" s="849" t="n"/>
      <c r="AH31" s="849" t="n"/>
      <c r="AI31" s="849" t="n"/>
      <c r="AJ31" s="849" t="n"/>
      <c r="AK31" s="849" t="n"/>
      <c r="AL31" s="849" t="n"/>
      <c r="AM31" s="849" t="n"/>
      <c r="AN31" s="849" t="n"/>
      <c r="AO31" s="849" t="n"/>
      <c r="AP31" s="849" t="n"/>
      <c r="AQ31" s="849" t="n"/>
      <c r="AR31" s="849" t="n"/>
      <c r="AS31" s="849" t="n"/>
      <c r="AT31" s="849" t="n"/>
      <c r="AU31" s="849" t="n"/>
      <c r="AV31" s="849" t="n"/>
      <c r="AW31" s="849" t="n"/>
      <c r="AX31" s="849" t="n"/>
      <c r="AY31" s="849" t="n"/>
      <c r="AZ31" s="849" t="n"/>
      <c r="BA31" s="849" t="n"/>
      <c r="BB31" s="849" t="n"/>
      <c r="BC31" s="849" t="n"/>
      <c r="BD31" s="849" t="n"/>
      <c r="BE31" s="849" t="n"/>
      <c r="BF31" s="849" t="n"/>
      <c r="BG31" s="849" t="n"/>
      <c r="BH31" s="849" t="n"/>
      <c r="BI31" s="849" t="n"/>
      <c r="BJ31" s="849" t="n"/>
      <c r="BK31" s="849" t="n"/>
      <c r="BL31" s="849" t="n"/>
      <c r="BM31" s="849" t="n"/>
      <c r="BN31" s="849" t="n"/>
      <c r="BO31" s="849" t="n"/>
      <c r="BP31" s="849" t="n"/>
      <c r="BQ31" s="849" t="n"/>
      <c r="BR31" s="849" t="n"/>
      <c r="BS31" s="849" t="n"/>
      <c r="BT31" s="849" t="n"/>
      <c r="BU31" s="849" t="n"/>
      <c r="BV31" s="849" t="n"/>
      <c r="BW31" s="849" t="n"/>
      <c r="BX31" s="849" t="n"/>
      <c r="BY31" s="849" t="n"/>
      <c r="BZ31" s="849" t="n"/>
      <c r="CA31" s="849" t="n"/>
      <c r="CB31" s="849" t="n"/>
      <c r="CC31" s="849" t="n"/>
      <c r="CD31" s="849" t="n"/>
      <c r="CE31" s="849" t="n"/>
      <c r="CF31" s="849" t="n"/>
      <c r="CG31" s="849" t="n"/>
      <c r="CH31" s="849" t="n"/>
      <c r="CI31" s="849" t="n"/>
      <c r="CJ31" s="849" t="n"/>
      <c r="CK31" s="849" t="n"/>
      <c r="CL31" s="849" t="n"/>
      <c r="CM31" s="849" t="n"/>
      <c r="CN31" s="849" t="n"/>
      <c r="CO31" s="849" t="n"/>
      <c r="CP31" s="849" t="n"/>
      <c r="CQ31" s="849" t="n"/>
      <c r="CR31" s="849" t="n"/>
      <c r="CS31" s="849" t="n"/>
      <c r="CT31" s="849" t="n"/>
      <c r="CU31" s="849" t="n"/>
      <c r="CV31" s="849" t="n"/>
      <c r="CW31" s="849" t="n"/>
      <c r="CX31" s="849" t="n"/>
      <c r="CY31" s="849" t="n"/>
      <c r="CZ31" s="849" t="n"/>
      <c r="DA31" s="849" t="n"/>
      <c r="DB31" s="849" t="n"/>
      <c r="DC31" s="849" t="n"/>
      <c r="DD31" s="849" t="n"/>
      <c r="DE31" s="849" t="n"/>
      <c r="DF31" s="849" t="n"/>
      <c r="DG31" s="849" t="n"/>
      <c r="DH31" s="849" t="n"/>
      <c r="DI31" s="849" t="n"/>
      <c r="DJ31" s="849" t="n"/>
      <c r="DK31" s="849" t="n"/>
      <c r="DL31" s="849" t="n"/>
      <c r="DM31" s="849" t="n"/>
      <c r="DN31" s="849" t="n"/>
      <c r="DO31" s="849" t="n"/>
      <c r="DP31" s="849" t="n"/>
      <c r="DQ31" s="849" t="n"/>
      <c r="DR31" s="849" t="n"/>
      <c r="DS31" s="849" t="n"/>
      <c r="DT31" s="849" t="n"/>
      <c r="DU31" s="849" t="n"/>
      <c r="DV31" s="849" t="n"/>
      <c r="DW31" s="849" t="n"/>
      <c r="DX31" s="849" t="n"/>
      <c r="DY31" s="849" t="n"/>
      <c r="DZ31" s="849" t="n"/>
      <c r="EA31" s="849" t="n"/>
      <c r="EB31" s="849" t="n"/>
      <c r="EC31" s="849" t="n"/>
      <c r="ED31" s="849" t="n"/>
      <c r="EE31" s="849" t="n"/>
      <c r="EF31" s="849" t="n"/>
      <c r="EG31" s="849" t="n"/>
      <c r="EH31" s="849" t="n"/>
      <c r="EI31" s="849" t="n"/>
      <c r="EJ31" s="849" t="n"/>
      <c r="EK31" s="849" t="n"/>
      <c r="EL31" s="849" t="n"/>
      <c r="EM31" s="849" t="n"/>
      <c r="EN31" s="849" t="n"/>
      <c r="EO31" s="849" t="n"/>
      <c r="EP31" s="849" t="n"/>
      <c r="EQ31" s="849" t="n"/>
      <c r="ER31" s="849" t="n"/>
      <c r="ES31" s="849" t="n"/>
      <c r="ET31" s="849" t="n"/>
      <c r="EU31" s="849" t="n"/>
      <c r="EV31" s="849" t="n"/>
      <c r="EW31" s="849" t="n"/>
      <c r="EX31" s="849" t="n"/>
      <c r="EY31" s="849" t="n"/>
      <c r="EZ31" s="849" t="n"/>
      <c r="FA31" s="849" t="n"/>
      <c r="FB31" s="849" t="n"/>
      <c r="FC31" s="849" t="n"/>
      <c r="FD31" s="849" t="n"/>
      <c r="FE31" s="849" t="n"/>
      <c r="FF31" s="849" t="n"/>
      <c r="FG31" s="849" t="n"/>
      <c r="FH31" s="849" t="n"/>
      <c r="FI31" s="849" t="n"/>
      <c r="FJ31" s="849" t="n"/>
      <c r="FK31" s="849" t="n"/>
      <c r="FL31" s="849" t="n"/>
      <c r="FM31" s="849" t="n"/>
      <c r="FN31" s="849" t="n"/>
      <c r="FO31" s="849" t="n"/>
      <c r="FP31" s="849" t="n"/>
      <c r="FQ31" s="849" t="n"/>
      <c r="FR31" s="849" t="n"/>
      <c r="FS31" s="849" t="n"/>
      <c r="FT31" s="849" t="n"/>
      <c r="FU31" s="849" t="n"/>
      <c r="FV31" s="849" t="n"/>
      <c r="FW31" s="849" t="n"/>
      <c r="FX31" s="849" t="n"/>
      <c r="FY31" s="849" t="n"/>
      <c r="FZ31" s="849" t="n"/>
      <c r="GA31" s="849" t="n"/>
      <c r="GB31" s="849" t="n"/>
      <c r="GC31" s="849" t="n"/>
      <c r="GD31" s="849" t="n"/>
      <c r="GE31" s="849" t="n"/>
      <c r="GF31" s="849" t="n"/>
      <c r="GG31" s="849" t="n"/>
      <c r="GH31" s="849" t="n"/>
      <c r="GI31" s="849" t="n"/>
      <c r="GJ31" s="849" t="n"/>
      <c r="GK31" s="849" t="n"/>
      <c r="GL31" s="849" t="n"/>
      <c r="GM31" s="849" t="n"/>
      <c r="GN31" s="849" t="n"/>
      <c r="GO31" s="849" t="n"/>
      <c r="GP31" s="849" t="n"/>
      <c r="GQ31" s="849" t="n"/>
      <c r="GR31" s="849" t="n"/>
      <c r="GS31" s="849" t="n"/>
      <c r="GT31" s="849" t="n"/>
      <c r="GU31" s="849" t="n"/>
      <c r="GV31" s="849" t="n"/>
      <c r="GW31" s="849" t="n"/>
      <c r="GX31" s="849" t="n"/>
      <c r="GY31" s="849" t="n"/>
      <c r="GZ31" s="849" t="n"/>
      <c r="HA31" s="849" t="n"/>
      <c r="HB31" s="849" t="n"/>
      <c r="HC31" s="849" t="n"/>
      <c r="HD31" s="849" t="n"/>
      <c r="HE31" s="849" t="n"/>
      <c r="HF31" s="849" t="n"/>
      <c r="HG31" s="849" t="n"/>
      <c r="HH31" s="849" t="n"/>
      <c r="HI31" s="849" t="n"/>
      <c r="HJ31" s="849" t="n"/>
      <c r="HK31" s="849" t="n"/>
      <c r="HL31" s="849" t="n"/>
      <c r="HM31" s="849" t="n"/>
      <c r="HN31" s="849" t="n"/>
      <c r="HO31" s="849" t="n"/>
      <c r="HP31" s="849" t="n"/>
      <c r="HQ31" s="849" t="n"/>
      <c r="HR31" s="849" t="n"/>
      <c r="HS31" s="849" t="n"/>
      <c r="HT31" s="849" t="n"/>
      <c r="HU31" s="849" t="n"/>
      <c r="HV31" s="849" t="n"/>
      <c r="HW31" s="849" t="n"/>
      <c r="HX31" s="849" t="n"/>
      <c r="HY31" s="849" t="n"/>
      <c r="HZ31" s="849" t="n"/>
      <c r="IA31" s="849" t="n"/>
      <c r="IB31" s="849" t="n"/>
      <c r="IC31" s="849" t="n"/>
      <c r="ID31" s="849" t="n"/>
      <c r="IE31" s="849" t="n"/>
      <c r="IF31" s="849" t="n"/>
      <c r="IG31" s="849" t="n"/>
      <c r="IH31" s="849" t="n"/>
      <c r="II31" s="849" t="n"/>
      <c r="IJ31" s="849" t="n"/>
      <c r="IK31" s="849" t="n"/>
      <c r="IL31" s="849" t="n"/>
      <c r="IM31" s="849" t="n"/>
      <c r="IN31" s="849" t="n"/>
      <c r="IO31" s="849" t="n"/>
      <c r="IP31" s="849" t="n"/>
      <c r="IQ31" s="849" t="n"/>
      <c r="IR31" s="849" t="n"/>
      <c r="IS31" s="849" t="n"/>
      <c r="IT31" s="849" t="n"/>
      <c r="IU31" s="849" t="n"/>
      <c r="IV31" s="849" t="n"/>
      <c r="IW31" s="849" t="n"/>
    </row>
    <row r="32" ht="15" customHeight="1" s="850">
      <c r="A32" s="849" t="n"/>
      <c r="B32" s="849" t="n"/>
      <c r="C32" s="849" t="n"/>
      <c r="D32" s="849" t="n"/>
      <c r="E32" s="849" t="n"/>
      <c r="F32" s="849" t="n"/>
      <c r="G32" s="849" t="n"/>
      <c r="H32" s="849" t="n"/>
      <c r="I32" s="849" t="n"/>
      <c r="J32" s="849" t="n"/>
      <c r="K32" s="849" t="n"/>
      <c r="L32" s="849" t="n"/>
      <c r="M32" s="849" t="n"/>
      <c r="N32" s="849" t="n"/>
      <c r="O32" s="849" t="n"/>
      <c r="P32" s="849" t="n"/>
      <c r="Q32" s="849" t="n"/>
      <c r="R32" s="849" t="n"/>
      <c r="S32" s="849" t="n"/>
      <c r="T32" s="849" t="n"/>
      <c r="U32" s="849" t="n"/>
      <c r="V32" s="849" t="n"/>
      <c r="W32" s="849" t="n"/>
      <c r="X32" s="849" t="n"/>
      <c r="Y32" s="849" t="n"/>
      <c r="Z32" s="849" t="n"/>
      <c r="AA32" s="849" t="n"/>
      <c r="AB32" s="849" t="n"/>
      <c r="AC32" s="849" t="n"/>
      <c r="AD32" s="849" t="n"/>
      <c r="AE32" s="849" t="n"/>
      <c r="AF32" s="849" t="n"/>
      <c r="AG32" s="849" t="n"/>
      <c r="AH32" s="849" t="n"/>
      <c r="AI32" s="849" t="n"/>
      <c r="AJ32" s="849" t="n"/>
      <c r="AK32" s="849" t="n"/>
      <c r="AL32" s="849" t="n"/>
      <c r="AM32" s="849" t="n"/>
      <c r="AN32" s="849" t="n"/>
      <c r="AO32" s="849" t="n"/>
      <c r="AP32" s="849" t="n"/>
      <c r="AQ32" s="849" t="n"/>
      <c r="AR32" s="849" t="n"/>
      <c r="AS32" s="849" t="n"/>
      <c r="AT32" s="849" t="n"/>
      <c r="AU32" s="849" t="n"/>
      <c r="AV32" s="849" t="n"/>
      <c r="AW32" s="849" t="n"/>
      <c r="AX32" s="849" t="n"/>
      <c r="AY32" s="849" t="n"/>
      <c r="AZ32" s="849" t="n"/>
      <c r="BA32" s="849" t="n"/>
      <c r="BB32" s="849" t="n"/>
      <c r="BC32" s="849" t="n"/>
      <c r="BD32" s="849" t="n"/>
      <c r="BE32" s="849" t="n"/>
      <c r="BF32" s="849" t="n"/>
      <c r="BG32" s="849" t="n"/>
      <c r="BH32" s="849" t="n"/>
      <c r="BI32" s="849" t="n"/>
      <c r="BJ32" s="849" t="n"/>
      <c r="BK32" s="849" t="n"/>
      <c r="BL32" s="849" t="n"/>
      <c r="BM32" s="849" t="n"/>
      <c r="BN32" s="849" t="n"/>
      <c r="BO32" s="849" t="n"/>
      <c r="BP32" s="849" t="n"/>
      <c r="BQ32" s="849" t="n"/>
      <c r="BR32" s="849" t="n"/>
      <c r="BS32" s="849" t="n"/>
      <c r="BT32" s="849" t="n"/>
      <c r="BU32" s="849" t="n"/>
      <c r="BV32" s="849" t="n"/>
      <c r="BW32" s="849" t="n"/>
      <c r="BX32" s="849" t="n"/>
      <c r="BY32" s="849" t="n"/>
      <c r="BZ32" s="849" t="n"/>
      <c r="CA32" s="849" t="n"/>
      <c r="CB32" s="849" t="n"/>
      <c r="CC32" s="849" t="n"/>
      <c r="CD32" s="849" t="n"/>
      <c r="CE32" s="849" t="n"/>
      <c r="CF32" s="849" t="n"/>
      <c r="CG32" s="849" t="n"/>
      <c r="CH32" s="849" t="n"/>
      <c r="CI32" s="849" t="n"/>
      <c r="CJ32" s="849" t="n"/>
      <c r="CK32" s="849" t="n"/>
      <c r="CL32" s="849" t="n"/>
      <c r="CM32" s="849" t="n"/>
      <c r="CN32" s="849" t="n"/>
      <c r="CO32" s="849" t="n"/>
      <c r="CP32" s="849" t="n"/>
      <c r="CQ32" s="849" t="n"/>
      <c r="CR32" s="849" t="n"/>
      <c r="CS32" s="849" t="n"/>
      <c r="CT32" s="849" t="n"/>
      <c r="CU32" s="849" t="n"/>
      <c r="CV32" s="849" t="n"/>
      <c r="CW32" s="849" t="n"/>
      <c r="CX32" s="849" t="n"/>
      <c r="CY32" s="849" t="n"/>
      <c r="CZ32" s="849" t="n"/>
      <c r="DA32" s="849" t="n"/>
      <c r="DB32" s="849" t="n"/>
      <c r="DC32" s="849" t="n"/>
      <c r="DD32" s="849" t="n"/>
      <c r="DE32" s="849" t="n"/>
      <c r="DF32" s="849" t="n"/>
      <c r="DG32" s="849" t="n"/>
      <c r="DH32" s="849" t="n"/>
      <c r="DI32" s="849" t="n"/>
      <c r="DJ32" s="849" t="n"/>
      <c r="DK32" s="849" t="n"/>
      <c r="DL32" s="849" t="n"/>
      <c r="DM32" s="849" t="n"/>
      <c r="DN32" s="849" t="n"/>
      <c r="DO32" s="849" t="n"/>
      <c r="DP32" s="849" t="n"/>
      <c r="DQ32" s="849" t="n"/>
      <c r="DR32" s="849" t="n"/>
      <c r="DS32" s="849" t="n"/>
      <c r="DT32" s="849" t="n"/>
      <c r="DU32" s="849" t="n"/>
      <c r="DV32" s="849" t="n"/>
      <c r="DW32" s="849" t="n"/>
      <c r="DX32" s="849" t="n"/>
      <c r="DY32" s="849" t="n"/>
      <c r="DZ32" s="849" t="n"/>
      <c r="EA32" s="849" t="n"/>
      <c r="EB32" s="849" t="n"/>
      <c r="EC32" s="849" t="n"/>
      <c r="ED32" s="849" t="n"/>
      <c r="EE32" s="849" t="n"/>
      <c r="EF32" s="849" t="n"/>
      <c r="EG32" s="849" t="n"/>
      <c r="EH32" s="849" t="n"/>
      <c r="EI32" s="849" t="n"/>
      <c r="EJ32" s="849" t="n"/>
      <c r="EK32" s="849" t="n"/>
      <c r="EL32" s="849" t="n"/>
      <c r="EM32" s="849" t="n"/>
      <c r="EN32" s="849" t="n"/>
      <c r="EO32" s="849" t="n"/>
      <c r="EP32" s="849" t="n"/>
      <c r="EQ32" s="849" t="n"/>
      <c r="ER32" s="849" t="n"/>
      <c r="ES32" s="849" t="n"/>
      <c r="ET32" s="849" t="n"/>
      <c r="EU32" s="849" t="n"/>
      <c r="EV32" s="849" t="n"/>
      <c r="EW32" s="849" t="n"/>
      <c r="EX32" s="849" t="n"/>
      <c r="EY32" s="849" t="n"/>
      <c r="EZ32" s="849" t="n"/>
      <c r="FA32" s="849" t="n"/>
      <c r="FB32" s="849" t="n"/>
      <c r="FC32" s="849" t="n"/>
      <c r="FD32" s="849" t="n"/>
      <c r="FE32" s="849" t="n"/>
      <c r="FF32" s="849" t="n"/>
      <c r="FG32" s="849" t="n"/>
      <c r="FH32" s="849" t="n"/>
      <c r="FI32" s="849" t="n"/>
      <c r="FJ32" s="849" t="n"/>
      <c r="FK32" s="849" t="n"/>
      <c r="FL32" s="849" t="n"/>
      <c r="FM32" s="849" t="n"/>
      <c r="FN32" s="849" t="n"/>
      <c r="FO32" s="849" t="n"/>
      <c r="FP32" s="849" t="n"/>
      <c r="FQ32" s="849" t="n"/>
      <c r="FR32" s="849" t="n"/>
      <c r="FS32" s="849" t="n"/>
      <c r="FT32" s="849" t="n"/>
      <c r="FU32" s="849" t="n"/>
      <c r="FV32" s="849" t="n"/>
      <c r="FW32" s="849" t="n"/>
      <c r="FX32" s="849" t="n"/>
      <c r="FY32" s="849" t="n"/>
      <c r="FZ32" s="849" t="n"/>
      <c r="GA32" s="849" t="n"/>
      <c r="GB32" s="849" t="n"/>
      <c r="GC32" s="849" t="n"/>
      <c r="GD32" s="849" t="n"/>
      <c r="GE32" s="849" t="n"/>
      <c r="GF32" s="849" t="n"/>
      <c r="GG32" s="849" t="n"/>
      <c r="GH32" s="849" t="n"/>
      <c r="GI32" s="849" t="n"/>
      <c r="GJ32" s="849" t="n"/>
      <c r="GK32" s="849" t="n"/>
      <c r="GL32" s="849" t="n"/>
      <c r="GM32" s="849" t="n"/>
      <c r="GN32" s="849" t="n"/>
      <c r="GO32" s="849" t="n"/>
      <c r="GP32" s="849" t="n"/>
      <c r="GQ32" s="849" t="n"/>
      <c r="GR32" s="849" t="n"/>
      <c r="GS32" s="849" t="n"/>
      <c r="GT32" s="849" t="n"/>
      <c r="GU32" s="849" t="n"/>
      <c r="GV32" s="849" t="n"/>
      <c r="GW32" s="849" t="n"/>
      <c r="GX32" s="849" t="n"/>
      <c r="GY32" s="849" t="n"/>
      <c r="GZ32" s="849" t="n"/>
      <c r="HA32" s="849" t="n"/>
      <c r="HB32" s="849" t="n"/>
      <c r="HC32" s="849" t="n"/>
      <c r="HD32" s="849" t="n"/>
      <c r="HE32" s="849" t="n"/>
      <c r="HF32" s="849" t="n"/>
      <c r="HG32" s="849" t="n"/>
      <c r="HH32" s="849" t="n"/>
      <c r="HI32" s="849" t="n"/>
      <c r="HJ32" s="849" t="n"/>
      <c r="HK32" s="849" t="n"/>
      <c r="HL32" s="849" t="n"/>
      <c r="HM32" s="849" t="n"/>
      <c r="HN32" s="849" t="n"/>
      <c r="HO32" s="849" t="n"/>
      <c r="HP32" s="849" t="n"/>
      <c r="HQ32" s="849" t="n"/>
      <c r="HR32" s="849" t="n"/>
      <c r="HS32" s="849" t="n"/>
      <c r="HT32" s="849" t="n"/>
      <c r="HU32" s="849" t="n"/>
      <c r="HV32" s="849" t="n"/>
      <c r="HW32" s="849" t="n"/>
      <c r="HX32" s="849" t="n"/>
      <c r="HY32" s="849" t="n"/>
      <c r="HZ32" s="849" t="n"/>
      <c r="IA32" s="849" t="n"/>
      <c r="IB32" s="849" t="n"/>
      <c r="IC32" s="849" t="n"/>
      <c r="ID32" s="849" t="n"/>
      <c r="IE32" s="849" t="n"/>
      <c r="IF32" s="849" t="n"/>
      <c r="IG32" s="849" t="n"/>
      <c r="IH32" s="849" t="n"/>
      <c r="II32" s="849" t="n"/>
      <c r="IJ32" s="849" t="n"/>
      <c r="IK32" s="849" t="n"/>
      <c r="IL32" s="849" t="n"/>
      <c r="IM32" s="849" t="n"/>
      <c r="IN32" s="849" t="n"/>
      <c r="IO32" s="849" t="n"/>
      <c r="IP32" s="849" t="n"/>
      <c r="IQ32" s="849" t="n"/>
      <c r="IR32" s="849" t="n"/>
      <c r="IS32" s="849" t="n"/>
      <c r="IT32" s="849" t="n"/>
      <c r="IU32" s="849" t="n"/>
      <c r="IV32" s="849" t="n"/>
      <c r="IW32" s="849" t="n"/>
    </row>
    <row r="33" ht="15" customHeight="1" s="850">
      <c r="A33" s="849" t="n"/>
      <c r="B33" s="849" t="n"/>
      <c r="C33" s="849" t="n"/>
      <c r="D33" s="849" t="n"/>
      <c r="E33" s="849" t="n"/>
      <c r="F33" s="849" t="n"/>
      <c r="G33" s="849" t="n"/>
      <c r="H33" s="849" t="n"/>
      <c r="I33" s="849" t="n"/>
      <c r="J33" s="849" t="n"/>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c r="AE33" s="849" t="n"/>
      <c r="AF33" s="849" t="n"/>
      <c r="AG33" s="849" t="n"/>
      <c r="AH33" s="849" t="n"/>
      <c r="AI33" s="849" t="n"/>
      <c r="AJ33" s="849" t="n"/>
      <c r="AK33" s="849" t="n"/>
      <c r="AL33" s="849" t="n"/>
      <c r="AM33" s="849" t="n"/>
      <c r="AN33" s="849" t="n"/>
      <c r="AO33" s="849" t="n"/>
      <c r="AP33" s="849" t="n"/>
      <c r="AQ33" s="849" t="n"/>
      <c r="AR33" s="849" t="n"/>
      <c r="AS33" s="849" t="n"/>
      <c r="AT33" s="849" t="n"/>
      <c r="AU33" s="849" t="n"/>
      <c r="AV33" s="849" t="n"/>
      <c r="AW33" s="849" t="n"/>
      <c r="AX33" s="849" t="n"/>
      <c r="AY33" s="849" t="n"/>
      <c r="AZ33" s="849" t="n"/>
      <c r="BA33" s="849" t="n"/>
      <c r="BB33" s="849" t="n"/>
      <c r="BC33" s="849" t="n"/>
      <c r="BD33" s="849" t="n"/>
      <c r="BE33" s="849" t="n"/>
      <c r="BF33" s="849" t="n"/>
      <c r="BG33" s="849" t="n"/>
      <c r="BH33" s="849" t="n"/>
      <c r="BI33" s="849" t="n"/>
      <c r="BJ33" s="849" t="n"/>
      <c r="BK33" s="849" t="n"/>
      <c r="BL33" s="849" t="n"/>
      <c r="BM33" s="849" t="n"/>
      <c r="BN33" s="849" t="n"/>
      <c r="BO33" s="849" t="n"/>
      <c r="BP33" s="849" t="n"/>
      <c r="BQ33" s="849" t="n"/>
      <c r="BR33" s="849" t="n"/>
      <c r="BS33" s="849" t="n"/>
      <c r="BT33" s="849" t="n"/>
      <c r="BU33" s="849" t="n"/>
      <c r="BV33" s="849" t="n"/>
      <c r="BW33" s="849" t="n"/>
      <c r="BX33" s="849" t="n"/>
      <c r="BY33" s="849" t="n"/>
      <c r="BZ33" s="849" t="n"/>
      <c r="CA33" s="849" t="n"/>
      <c r="CB33" s="849" t="n"/>
      <c r="CC33" s="849" t="n"/>
      <c r="CD33" s="849" t="n"/>
      <c r="CE33" s="849" t="n"/>
      <c r="CF33" s="849" t="n"/>
      <c r="CG33" s="849" t="n"/>
      <c r="CH33" s="849" t="n"/>
      <c r="CI33" s="849" t="n"/>
      <c r="CJ33" s="849" t="n"/>
      <c r="CK33" s="849" t="n"/>
      <c r="CL33" s="849" t="n"/>
      <c r="CM33" s="849" t="n"/>
      <c r="CN33" s="849" t="n"/>
      <c r="CO33" s="849" t="n"/>
      <c r="CP33" s="849" t="n"/>
      <c r="CQ33" s="849" t="n"/>
      <c r="CR33" s="849" t="n"/>
      <c r="CS33" s="849" t="n"/>
      <c r="CT33" s="849" t="n"/>
      <c r="CU33" s="849" t="n"/>
      <c r="CV33" s="849" t="n"/>
      <c r="CW33" s="849" t="n"/>
      <c r="CX33" s="849" t="n"/>
      <c r="CY33" s="849" t="n"/>
      <c r="CZ33" s="849" t="n"/>
      <c r="DA33" s="849" t="n"/>
      <c r="DB33" s="849" t="n"/>
      <c r="DC33" s="849" t="n"/>
      <c r="DD33" s="849" t="n"/>
      <c r="DE33" s="849" t="n"/>
      <c r="DF33" s="849" t="n"/>
      <c r="DG33" s="849" t="n"/>
      <c r="DH33" s="849" t="n"/>
      <c r="DI33" s="849" t="n"/>
      <c r="DJ33" s="849" t="n"/>
      <c r="DK33" s="849" t="n"/>
      <c r="DL33" s="849" t="n"/>
      <c r="DM33" s="849" t="n"/>
      <c r="DN33" s="849" t="n"/>
      <c r="DO33" s="849" t="n"/>
      <c r="DP33" s="849" t="n"/>
      <c r="DQ33" s="849" t="n"/>
      <c r="DR33" s="849" t="n"/>
      <c r="DS33" s="849" t="n"/>
      <c r="DT33" s="849" t="n"/>
      <c r="DU33" s="849" t="n"/>
      <c r="DV33" s="849" t="n"/>
      <c r="DW33" s="849" t="n"/>
      <c r="DX33" s="849" t="n"/>
      <c r="DY33" s="849" t="n"/>
      <c r="DZ33" s="849" t="n"/>
      <c r="EA33" s="849" t="n"/>
      <c r="EB33" s="849" t="n"/>
      <c r="EC33" s="849" t="n"/>
      <c r="ED33" s="849" t="n"/>
      <c r="EE33" s="849" t="n"/>
      <c r="EF33" s="849" t="n"/>
      <c r="EG33" s="849" t="n"/>
      <c r="EH33" s="849" t="n"/>
      <c r="EI33" s="849" t="n"/>
      <c r="EJ33" s="849" t="n"/>
      <c r="EK33" s="849" t="n"/>
      <c r="EL33" s="849" t="n"/>
      <c r="EM33" s="849" t="n"/>
      <c r="EN33" s="849" t="n"/>
      <c r="EO33" s="849" t="n"/>
      <c r="EP33" s="849" t="n"/>
      <c r="EQ33" s="849" t="n"/>
      <c r="ER33" s="849" t="n"/>
      <c r="ES33" s="849" t="n"/>
      <c r="ET33" s="849" t="n"/>
      <c r="EU33" s="849" t="n"/>
      <c r="EV33" s="849" t="n"/>
      <c r="EW33" s="849" t="n"/>
      <c r="EX33" s="849" t="n"/>
      <c r="EY33" s="849" t="n"/>
      <c r="EZ33" s="849" t="n"/>
      <c r="FA33" s="849" t="n"/>
      <c r="FB33" s="849" t="n"/>
      <c r="FC33" s="849" t="n"/>
      <c r="FD33" s="849" t="n"/>
      <c r="FE33" s="849" t="n"/>
      <c r="FF33" s="849" t="n"/>
      <c r="FG33" s="849" t="n"/>
      <c r="FH33" s="849" t="n"/>
      <c r="FI33" s="849" t="n"/>
      <c r="FJ33" s="849" t="n"/>
      <c r="FK33" s="849" t="n"/>
      <c r="FL33" s="849" t="n"/>
      <c r="FM33" s="849" t="n"/>
      <c r="FN33" s="849" t="n"/>
      <c r="FO33" s="849" t="n"/>
      <c r="FP33" s="849" t="n"/>
      <c r="FQ33" s="849" t="n"/>
      <c r="FR33" s="849" t="n"/>
      <c r="FS33" s="849" t="n"/>
      <c r="FT33" s="849" t="n"/>
      <c r="FU33" s="849" t="n"/>
      <c r="FV33" s="849" t="n"/>
      <c r="FW33" s="849" t="n"/>
      <c r="FX33" s="849" t="n"/>
      <c r="FY33" s="849" t="n"/>
      <c r="FZ33" s="849" t="n"/>
      <c r="GA33" s="849" t="n"/>
      <c r="GB33" s="849" t="n"/>
      <c r="GC33" s="849" t="n"/>
      <c r="GD33" s="849" t="n"/>
      <c r="GE33" s="849" t="n"/>
      <c r="GF33" s="849" t="n"/>
      <c r="GG33" s="849" t="n"/>
      <c r="GH33" s="849" t="n"/>
      <c r="GI33" s="849" t="n"/>
      <c r="GJ33" s="849" t="n"/>
      <c r="GK33" s="849" t="n"/>
      <c r="GL33" s="849" t="n"/>
      <c r="GM33" s="849" t="n"/>
      <c r="GN33" s="849" t="n"/>
      <c r="GO33" s="849" t="n"/>
      <c r="GP33" s="849" t="n"/>
      <c r="GQ33" s="849" t="n"/>
      <c r="GR33" s="849" t="n"/>
      <c r="GS33" s="849" t="n"/>
      <c r="GT33" s="849" t="n"/>
      <c r="GU33" s="849" t="n"/>
      <c r="GV33" s="849" t="n"/>
      <c r="GW33" s="849" t="n"/>
      <c r="GX33" s="849" t="n"/>
      <c r="GY33" s="849" t="n"/>
      <c r="GZ33" s="849" t="n"/>
      <c r="HA33" s="849" t="n"/>
      <c r="HB33" s="849" t="n"/>
      <c r="HC33" s="849" t="n"/>
      <c r="HD33" s="849" t="n"/>
      <c r="HE33" s="849" t="n"/>
      <c r="HF33" s="849" t="n"/>
      <c r="HG33" s="849" t="n"/>
      <c r="HH33" s="849" t="n"/>
      <c r="HI33" s="849" t="n"/>
      <c r="HJ33" s="849" t="n"/>
      <c r="HK33" s="849" t="n"/>
      <c r="HL33" s="849" t="n"/>
      <c r="HM33" s="849" t="n"/>
      <c r="HN33" s="849" t="n"/>
      <c r="HO33" s="849" t="n"/>
      <c r="HP33" s="849" t="n"/>
      <c r="HQ33" s="849" t="n"/>
      <c r="HR33" s="849" t="n"/>
      <c r="HS33" s="849" t="n"/>
      <c r="HT33" s="849" t="n"/>
      <c r="HU33" s="849" t="n"/>
      <c r="HV33" s="849" t="n"/>
      <c r="HW33" s="849" t="n"/>
      <c r="HX33" s="849" t="n"/>
      <c r="HY33" s="849" t="n"/>
      <c r="HZ33" s="849" t="n"/>
      <c r="IA33" s="849" t="n"/>
      <c r="IB33" s="849" t="n"/>
      <c r="IC33" s="849" t="n"/>
      <c r="ID33" s="849" t="n"/>
      <c r="IE33" s="849" t="n"/>
      <c r="IF33" s="849" t="n"/>
      <c r="IG33" s="849" t="n"/>
      <c r="IH33" s="849" t="n"/>
      <c r="II33" s="849" t="n"/>
      <c r="IJ33" s="849" t="n"/>
      <c r="IK33" s="849" t="n"/>
      <c r="IL33" s="849" t="n"/>
      <c r="IM33" s="849" t="n"/>
      <c r="IN33" s="849" t="n"/>
      <c r="IO33" s="849" t="n"/>
      <c r="IP33" s="849" t="n"/>
      <c r="IQ33" s="849" t="n"/>
      <c r="IR33" s="849" t="n"/>
      <c r="IS33" s="849" t="n"/>
      <c r="IT33" s="849" t="n"/>
      <c r="IU33" s="849" t="n"/>
      <c r="IV33" s="849" t="n"/>
      <c r="IW33" s="849" t="n"/>
    </row>
    <row r="34" ht="19.5" customHeight="1" s="850">
      <c r="A34" s="849" t="n"/>
      <c r="B34" s="849" t="n"/>
      <c r="C34" s="849" t="n"/>
      <c r="D34" s="849" t="n"/>
      <c r="E34" s="849" t="n"/>
      <c r="F34" s="849" t="n"/>
      <c r="G34" s="849" t="n"/>
      <c r="H34" s="849" t="n"/>
      <c r="I34" s="849" t="n"/>
      <c r="J34" s="849" t="n"/>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c r="AE34" s="849" t="n"/>
      <c r="AF34" s="849" t="n"/>
      <c r="AG34" s="849" t="n"/>
      <c r="AH34" s="849" t="n"/>
      <c r="AI34" s="849" t="n"/>
      <c r="AJ34" s="849" t="n"/>
      <c r="AK34" s="849" t="n"/>
      <c r="AL34" s="849" t="n"/>
      <c r="AM34" s="849" t="n"/>
      <c r="AN34" s="849" t="n"/>
      <c r="AO34" s="849" t="n"/>
      <c r="AP34" s="849" t="n"/>
      <c r="AQ34" s="849" t="n"/>
      <c r="AR34" s="849" t="n"/>
      <c r="AS34" s="849" t="n"/>
      <c r="AT34" s="849" t="n"/>
      <c r="AU34" s="849" t="n"/>
      <c r="AV34" s="849" t="n"/>
      <c r="AW34" s="849" t="n"/>
      <c r="AX34" s="849" t="n"/>
      <c r="AY34" s="849" t="n"/>
      <c r="AZ34" s="849" t="n"/>
      <c r="BA34" s="849" t="n"/>
      <c r="BB34" s="849" t="n"/>
      <c r="BC34" s="849" t="n"/>
      <c r="BD34" s="849" t="n"/>
      <c r="BE34" s="849" t="n"/>
      <c r="BF34" s="849" t="n"/>
      <c r="BG34" s="849" t="n"/>
      <c r="BH34" s="849" t="n"/>
      <c r="BI34" s="849" t="n"/>
      <c r="BJ34" s="849" t="n"/>
      <c r="BK34" s="849" t="n"/>
      <c r="BL34" s="849" t="n"/>
      <c r="BM34" s="849" t="n"/>
      <c r="BN34" s="849" t="n"/>
      <c r="BO34" s="849" t="n"/>
      <c r="BP34" s="849" t="n"/>
      <c r="BQ34" s="849" t="n"/>
      <c r="BR34" s="849" t="n"/>
      <c r="BS34" s="849" t="n"/>
      <c r="BT34" s="849" t="n"/>
      <c r="BU34" s="849" t="n"/>
      <c r="BV34" s="849" t="n"/>
      <c r="BW34" s="849" t="n"/>
      <c r="BX34" s="849" t="n"/>
      <c r="BY34" s="849" t="n"/>
      <c r="BZ34" s="849" t="n"/>
      <c r="CA34" s="849" t="n"/>
      <c r="CB34" s="849" t="n"/>
      <c r="CC34" s="849" t="n"/>
      <c r="CD34" s="849" t="n"/>
      <c r="CE34" s="849" t="n"/>
      <c r="CF34" s="849" t="n"/>
      <c r="CG34" s="849" t="n"/>
      <c r="CH34" s="849" t="n"/>
      <c r="CI34" s="849" t="n"/>
      <c r="CJ34" s="849" t="n"/>
      <c r="CK34" s="849" t="n"/>
      <c r="CL34" s="849" t="n"/>
      <c r="CM34" s="849" t="n"/>
      <c r="CN34" s="849" t="n"/>
      <c r="CO34" s="849" t="n"/>
      <c r="CP34" s="849" t="n"/>
      <c r="CQ34" s="849" t="n"/>
      <c r="CR34" s="849" t="n"/>
      <c r="CS34" s="849" t="n"/>
      <c r="CT34" s="849" t="n"/>
      <c r="CU34" s="849" t="n"/>
      <c r="CV34" s="849" t="n"/>
      <c r="CW34" s="849" t="n"/>
      <c r="CX34" s="849" t="n"/>
      <c r="CY34" s="849" t="n"/>
      <c r="CZ34" s="849" t="n"/>
      <c r="DA34" s="849" t="n"/>
      <c r="DB34" s="849" t="n"/>
      <c r="DC34" s="849" t="n"/>
      <c r="DD34" s="849" t="n"/>
      <c r="DE34" s="849" t="n"/>
      <c r="DF34" s="849" t="n"/>
      <c r="DG34" s="849" t="n"/>
      <c r="DH34" s="849" t="n"/>
      <c r="DI34" s="849" t="n"/>
      <c r="DJ34" s="849" t="n"/>
      <c r="DK34" s="849" t="n"/>
      <c r="DL34" s="849" t="n"/>
      <c r="DM34" s="849" t="n"/>
      <c r="DN34" s="849" t="n"/>
      <c r="DO34" s="849" t="n"/>
      <c r="DP34" s="849" t="n"/>
      <c r="DQ34" s="849" t="n"/>
      <c r="DR34" s="849" t="n"/>
      <c r="DS34" s="849" t="n"/>
      <c r="DT34" s="849" t="n"/>
      <c r="DU34" s="849" t="n"/>
      <c r="DV34" s="849" t="n"/>
      <c r="DW34" s="849" t="n"/>
      <c r="DX34" s="849" t="n"/>
      <c r="DY34" s="849" t="n"/>
      <c r="DZ34" s="849" t="n"/>
      <c r="EA34" s="849" t="n"/>
      <c r="EB34" s="849" t="n"/>
      <c r="EC34" s="849" t="n"/>
      <c r="ED34" s="849" t="n"/>
      <c r="EE34" s="849" t="n"/>
      <c r="EF34" s="849" t="n"/>
      <c r="EG34" s="849" t="n"/>
      <c r="EH34" s="849" t="n"/>
      <c r="EI34" s="849" t="n"/>
      <c r="EJ34" s="849" t="n"/>
      <c r="EK34" s="849" t="n"/>
      <c r="EL34" s="849" t="n"/>
      <c r="EM34" s="849" t="n"/>
      <c r="EN34" s="849" t="n"/>
      <c r="EO34" s="849" t="n"/>
      <c r="EP34" s="849" t="n"/>
      <c r="EQ34" s="849" t="n"/>
      <c r="ER34" s="849" t="n"/>
      <c r="ES34" s="849" t="n"/>
      <c r="ET34" s="849" t="n"/>
      <c r="EU34" s="849" t="n"/>
      <c r="EV34" s="849" t="n"/>
      <c r="EW34" s="849" t="n"/>
      <c r="EX34" s="849" t="n"/>
      <c r="EY34" s="849" t="n"/>
      <c r="EZ34" s="849" t="n"/>
      <c r="FA34" s="849" t="n"/>
      <c r="FB34" s="849" t="n"/>
      <c r="FC34" s="849" t="n"/>
      <c r="FD34" s="849" t="n"/>
      <c r="FE34" s="849" t="n"/>
      <c r="FF34" s="849" t="n"/>
      <c r="FG34" s="849" t="n"/>
      <c r="FH34" s="849" t="n"/>
      <c r="FI34" s="849" t="n"/>
      <c r="FJ34" s="849" t="n"/>
      <c r="FK34" s="849" t="n"/>
      <c r="FL34" s="849" t="n"/>
      <c r="FM34" s="849" t="n"/>
      <c r="FN34" s="849" t="n"/>
      <c r="FO34" s="849" t="n"/>
      <c r="FP34" s="849" t="n"/>
      <c r="FQ34" s="849" t="n"/>
      <c r="FR34" s="849" t="n"/>
      <c r="FS34" s="849" t="n"/>
      <c r="FT34" s="849" t="n"/>
      <c r="FU34" s="849" t="n"/>
      <c r="FV34" s="849" t="n"/>
      <c r="FW34" s="849" t="n"/>
      <c r="FX34" s="849" t="n"/>
      <c r="FY34" s="849" t="n"/>
      <c r="FZ34" s="849" t="n"/>
      <c r="GA34" s="849" t="n"/>
      <c r="GB34" s="849" t="n"/>
      <c r="GC34" s="849" t="n"/>
      <c r="GD34" s="849" t="n"/>
      <c r="GE34" s="849" t="n"/>
      <c r="GF34" s="849" t="n"/>
      <c r="GG34" s="849" t="n"/>
      <c r="GH34" s="849" t="n"/>
      <c r="GI34" s="849" t="n"/>
      <c r="GJ34" s="849" t="n"/>
      <c r="GK34" s="849" t="n"/>
      <c r="GL34" s="849" t="n"/>
      <c r="GM34" s="849" t="n"/>
      <c r="GN34" s="849" t="n"/>
      <c r="GO34" s="849" t="n"/>
      <c r="GP34" s="849" t="n"/>
      <c r="GQ34" s="849" t="n"/>
      <c r="GR34" s="849" t="n"/>
      <c r="GS34" s="849" t="n"/>
      <c r="GT34" s="849" t="n"/>
      <c r="GU34" s="849" t="n"/>
      <c r="GV34" s="849" t="n"/>
      <c r="GW34" s="849" t="n"/>
      <c r="GX34" s="849" t="n"/>
      <c r="GY34" s="849" t="n"/>
      <c r="GZ34" s="849" t="n"/>
      <c r="HA34" s="849" t="n"/>
      <c r="HB34" s="849" t="n"/>
      <c r="HC34" s="849" t="n"/>
      <c r="HD34" s="849" t="n"/>
      <c r="HE34" s="849" t="n"/>
      <c r="HF34" s="849" t="n"/>
      <c r="HG34" s="849" t="n"/>
      <c r="HH34" s="849" t="n"/>
      <c r="HI34" s="849" t="n"/>
      <c r="HJ34" s="849" t="n"/>
      <c r="HK34" s="849" t="n"/>
      <c r="HL34" s="849" t="n"/>
      <c r="HM34" s="849" t="n"/>
      <c r="HN34" s="849" t="n"/>
      <c r="HO34" s="849" t="n"/>
      <c r="HP34" s="849" t="n"/>
      <c r="HQ34" s="849" t="n"/>
      <c r="HR34" s="849" t="n"/>
      <c r="HS34" s="849" t="n"/>
      <c r="HT34" s="849" t="n"/>
      <c r="HU34" s="849" t="n"/>
      <c r="HV34" s="849" t="n"/>
      <c r="HW34" s="849" t="n"/>
      <c r="HX34" s="849" t="n"/>
      <c r="HY34" s="849" t="n"/>
      <c r="HZ34" s="849" t="n"/>
      <c r="IA34" s="849" t="n"/>
      <c r="IB34" s="849" t="n"/>
      <c r="IC34" s="849" t="n"/>
      <c r="ID34" s="849" t="n"/>
      <c r="IE34" s="849" t="n"/>
      <c r="IF34" s="849" t="n"/>
      <c r="IG34" s="849" t="n"/>
      <c r="IH34" s="849" t="n"/>
      <c r="II34" s="849" t="n"/>
      <c r="IJ34" s="849" t="n"/>
      <c r="IK34" s="849" t="n"/>
      <c r="IL34" s="849" t="n"/>
      <c r="IM34" s="849" t="n"/>
      <c r="IN34" s="849" t="n"/>
      <c r="IO34" s="849" t="n"/>
      <c r="IP34" s="849" t="n"/>
      <c r="IQ34" s="849" t="n"/>
      <c r="IR34" s="849" t="n"/>
      <c r="IS34" s="849" t="n"/>
      <c r="IT34" s="849" t="n"/>
      <c r="IU34" s="849" t="n"/>
      <c r="IV34" s="849" t="n"/>
      <c r="IW34" s="849" t="n"/>
    </row>
    <row r="35" ht="15" customHeight="1" s="850">
      <c r="A35" s="849" t="n"/>
      <c r="B35" s="849" t="n"/>
      <c r="C35" s="849" t="n"/>
      <c r="D35" s="849" t="n"/>
      <c r="E35" s="849" t="n"/>
      <c r="F35" s="849" t="n"/>
      <c r="G35" s="849" t="n"/>
      <c r="H35" s="849" t="n"/>
      <c r="I35" s="849" t="n"/>
      <c r="J35" s="849" t="n"/>
      <c r="K35" s="849" t="n"/>
      <c r="L35" s="849" t="n"/>
      <c r="M35" s="849" t="n"/>
      <c r="N35" s="849" t="n"/>
      <c r="O35" s="849" t="n"/>
      <c r="P35" s="849" t="n"/>
      <c r="Q35" s="849" t="n"/>
      <c r="R35" s="849" t="n"/>
      <c r="S35" s="849" t="n"/>
      <c r="T35" s="849" t="n"/>
      <c r="U35" s="849" t="n"/>
      <c r="V35" s="849" t="n"/>
      <c r="W35" s="849" t="n"/>
      <c r="X35" s="849" t="n"/>
      <c r="Y35" s="849" t="n"/>
      <c r="Z35" s="849" t="n"/>
      <c r="AA35" s="849" t="n"/>
      <c r="AB35" s="849" t="n"/>
      <c r="AC35" s="849" t="n"/>
      <c r="AD35" s="849" t="n"/>
      <c r="AE35" s="849" t="n"/>
      <c r="AF35" s="849" t="n"/>
      <c r="AG35" s="849" t="n"/>
      <c r="AH35" s="849" t="n"/>
      <c r="AI35" s="849" t="n"/>
      <c r="AJ35" s="849" t="n"/>
      <c r="AK35" s="849" t="n"/>
      <c r="AL35" s="849" t="n"/>
      <c r="AM35" s="849" t="n"/>
      <c r="AN35" s="849" t="n"/>
      <c r="AO35" s="849" t="n"/>
      <c r="AP35" s="849" t="n"/>
      <c r="AQ35" s="849" t="n"/>
      <c r="AR35" s="849" t="n"/>
      <c r="AS35" s="849" t="n"/>
      <c r="AT35" s="849" t="n"/>
      <c r="AU35" s="849" t="n"/>
      <c r="AV35" s="849" t="n"/>
      <c r="AW35" s="849" t="n"/>
      <c r="AX35" s="849" t="n"/>
      <c r="AY35" s="849" t="n"/>
      <c r="AZ35" s="849" t="n"/>
      <c r="BA35" s="849" t="n"/>
      <c r="BB35" s="849" t="n"/>
      <c r="BC35" s="849" t="n"/>
      <c r="BD35" s="849" t="n"/>
      <c r="BE35" s="849" t="n"/>
      <c r="BF35" s="849" t="n"/>
      <c r="BG35" s="849" t="n"/>
      <c r="BH35" s="849" t="n"/>
      <c r="BI35" s="849" t="n"/>
      <c r="BJ35" s="849" t="n"/>
      <c r="BK35" s="849" t="n"/>
      <c r="BL35" s="849" t="n"/>
      <c r="BM35" s="849" t="n"/>
      <c r="BN35" s="849" t="n"/>
      <c r="BO35" s="849" t="n"/>
      <c r="BP35" s="849" t="n"/>
      <c r="BQ35" s="849" t="n"/>
      <c r="BR35" s="849" t="n"/>
      <c r="BS35" s="849" t="n"/>
      <c r="BT35" s="849" t="n"/>
      <c r="BU35" s="849" t="n"/>
      <c r="BV35" s="849" t="n"/>
      <c r="BW35" s="849" t="n"/>
      <c r="BX35" s="849" t="n"/>
      <c r="BY35" s="849" t="n"/>
      <c r="BZ35" s="849" t="n"/>
      <c r="CA35" s="849" t="n"/>
      <c r="CB35" s="849" t="n"/>
      <c r="CC35" s="849" t="n"/>
      <c r="CD35" s="849" t="n"/>
      <c r="CE35" s="849" t="n"/>
      <c r="CF35" s="849" t="n"/>
      <c r="CG35" s="849" t="n"/>
      <c r="CH35" s="849" t="n"/>
      <c r="CI35" s="849" t="n"/>
      <c r="CJ35" s="849" t="n"/>
      <c r="CK35" s="849" t="n"/>
      <c r="CL35" s="849" t="n"/>
      <c r="CM35" s="849" t="n"/>
      <c r="CN35" s="849" t="n"/>
      <c r="CO35" s="849" t="n"/>
      <c r="CP35" s="849" t="n"/>
      <c r="CQ35" s="849" t="n"/>
      <c r="CR35" s="849" t="n"/>
      <c r="CS35" s="849" t="n"/>
      <c r="CT35" s="849" t="n"/>
      <c r="CU35" s="849" t="n"/>
      <c r="CV35" s="849" t="n"/>
      <c r="CW35" s="849" t="n"/>
      <c r="CX35" s="849" t="n"/>
      <c r="CY35" s="849" t="n"/>
      <c r="CZ35" s="849" t="n"/>
      <c r="DA35" s="849" t="n"/>
      <c r="DB35" s="849" t="n"/>
      <c r="DC35" s="849" t="n"/>
      <c r="DD35" s="849" t="n"/>
      <c r="DE35" s="849" t="n"/>
      <c r="DF35" s="849" t="n"/>
      <c r="DG35" s="849" t="n"/>
      <c r="DH35" s="849" t="n"/>
      <c r="DI35" s="849" t="n"/>
      <c r="DJ35" s="849" t="n"/>
      <c r="DK35" s="849" t="n"/>
      <c r="DL35" s="849" t="n"/>
      <c r="DM35" s="849" t="n"/>
      <c r="DN35" s="849" t="n"/>
      <c r="DO35" s="849" t="n"/>
      <c r="DP35" s="849" t="n"/>
      <c r="DQ35" s="849" t="n"/>
      <c r="DR35" s="849" t="n"/>
      <c r="DS35" s="849" t="n"/>
      <c r="DT35" s="849" t="n"/>
      <c r="DU35" s="849" t="n"/>
      <c r="DV35" s="849" t="n"/>
      <c r="DW35" s="849" t="n"/>
      <c r="DX35" s="849" t="n"/>
      <c r="DY35" s="849" t="n"/>
      <c r="DZ35" s="849" t="n"/>
      <c r="EA35" s="849" t="n"/>
      <c r="EB35" s="849" t="n"/>
      <c r="EC35" s="849" t="n"/>
      <c r="ED35" s="849" t="n"/>
      <c r="EE35" s="849" t="n"/>
      <c r="EF35" s="849" t="n"/>
      <c r="EG35" s="849" t="n"/>
      <c r="EH35" s="849" t="n"/>
      <c r="EI35" s="849" t="n"/>
      <c r="EJ35" s="849" t="n"/>
      <c r="EK35" s="849" t="n"/>
      <c r="EL35" s="849" t="n"/>
      <c r="EM35" s="849" t="n"/>
      <c r="EN35" s="849" t="n"/>
      <c r="EO35" s="849" t="n"/>
      <c r="EP35" s="849" t="n"/>
      <c r="EQ35" s="849" t="n"/>
      <c r="ER35" s="849" t="n"/>
      <c r="ES35" s="849" t="n"/>
      <c r="ET35" s="849" t="n"/>
      <c r="EU35" s="849" t="n"/>
      <c r="EV35" s="849" t="n"/>
      <c r="EW35" s="849" t="n"/>
      <c r="EX35" s="849" t="n"/>
      <c r="EY35" s="849" t="n"/>
      <c r="EZ35" s="849" t="n"/>
      <c r="FA35" s="849" t="n"/>
      <c r="FB35" s="849" t="n"/>
      <c r="FC35" s="849" t="n"/>
      <c r="FD35" s="849" t="n"/>
      <c r="FE35" s="849" t="n"/>
      <c r="FF35" s="849" t="n"/>
      <c r="FG35" s="849" t="n"/>
      <c r="FH35" s="849" t="n"/>
      <c r="FI35" s="849" t="n"/>
      <c r="FJ35" s="849" t="n"/>
      <c r="FK35" s="849" t="n"/>
      <c r="FL35" s="849" t="n"/>
      <c r="FM35" s="849" t="n"/>
      <c r="FN35" s="849" t="n"/>
      <c r="FO35" s="849" t="n"/>
      <c r="FP35" s="849" t="n"/>
      <c r="FQ35" s="849" t="n"/>
      <c r="FR35" s="849" t="n"/>
      <c r="FS35" s="849" t="n"/>
      <c r="FT35" s="849" t="n"/>
      <c r="FU35" s="849" t="n"/>
      <c r="FV35" s="849" t="n"/>
      <c r="FW35" s="849" t="n"/>
      <c r="FX35" s="849" t="n"/>
      <c r="FY35" s="849" t="n"/>
      <c r="FZ35" s="849" t="n"/>
      <c r="GA35" s="849" t="n"/>
      <c r="GB35" s="849" t="n"/>
      <c r="GC35" s="849" t="n"/>
      <c r="GD35" s="849" t="n"/>
      <c r="GE35" s="849" t="n"/>
      <c r="GF35" s="849" t="n"/>
      <c r="GG35" s="849" t="n"/>
      <c r="GH35" s="849" t="n"/>
      <c r="GI35" s="849" t="n"/>
      <c r="GJ35" s="849" t="n"/>
      <c r="GK35" s="849" t="n"/>
      <c r="GL35" s="849" t="n"/>
      <c r="GM35" s="849" t="n"/>
      <c r="GN35" s="849" t="n"/>
      <c r="GO35" s="849" t="n"/>
      <c r="GP35" s="849" t="n"/>
      <c r="GQ35" s="849" t="n"/>
      <c r="GR35" s="849" t="n"/>
      <c r="GS35" s="849" t="n"/>
      <c r="GT35" s="849" t="n"/>
      <c r="GU35" s="849" t="n"/>
      <c r="GV35" s="849" t="n"/>
      <c r="GW35" s="849" t="n"/>
      <c r="GX35" s="849" t="n"/>
      <c r="GY35" s="849" t="n"/>
      <c r="GZ35" s="849" t="n"/>
      <c r="HA35" s="849" t="n"/>
      <c r="HB35" s="849" t="n"/>
      <c r="HC35" s="849" t="n"/>
      <c r="HD35" s="849" t="n"/>
      <c r="HE35" s="849" t="n"/>
      <c r="HF35" s="849" t="n"/>
      <c r="HG35" s="849" t="n"/>
      <c r="HH35" s="849" t="n"/>
      <c r="HI35" s="849" t="n"/>
      <c r="HJ35" s="849" t="n"/>
      <c r="HK35" s="849" t="n"/>
      <c r="HL35" s="849" t="n"/>
      <c r="HM35" s="849" t="n"/>
      <c r="HN35" s="849" t="n"/>
      <c r="HO35" s="849" t="n"/>
      <c r="HP35" s="849" t="n"/>
      <c r="HQ35" s="849" t="n"/>
      <c r="HR35" s="849" t="n"/>
      <c r="HS35" s="849" t="n"/>
      <c r="HT35" s="849" t="n"/>
      <c r="HU35" s="849" t="n"/>
      <c r="HV35" s="849" t="n"/>
      <c r="HW35" s="849" t="n"/>
      <c r="HX35" s="849" t="n"/>
      <c r="HY35" s="849" t="n"/>
      <c r="HZ35" s="849" t="n"/>
      <c r="IA35" s="849" t="n"/>
      <c r="IB35" s="849" t="n"/>
      <c r="IC35" s="849" t="n"/>
      <c r="ID35" s="849" t="n"/>
      <c r="IE35" s="849" t="n"/>
      <c r="IF35" s="849" t="n"/>
      <c r="IG35" s="849" t="n"/>
      <c r="IH35" s="849" t="n"/>
      <c r="II35" s="849" t="n"/>
      <c r="IJ35" s="849" t="n"/>
      <c r="IK35" s="849" t="n"/>
      <c r="IL35" s="849" t="n"/>
      <c r="IM35" s="849" t="n"/>
      <c r="IN35" s="849" t="n"/>
      <c r="IO35" s="849" t="n"/>
      <c r="IP35" s="849" t="n"/>
      <c r="IQ35" s="849" t="n"/>
      <c r="IR35" s="849" t="n"/>
      <c r="IS35" s="849" t="n"/>
      <c r="IT35" s="849" t="n"/>
      <c r="IU35" s="849" t="n"/>
      <c r="IV35" s="849" t="n"/>
      <c r="IW35" s="849" t="n"/>
    </row>
    <row r="36" ht="12.75" customFormat="1" customHeight="1" s="1424">
      <c r="A36" s="1403" t="n"/>
      <c r="B36" s="1430" t="n"/>
      <c r="C36" s="1438" t="n"/>
      <c r="D36" s="1424" t="n"/>
      <c r="E36" s="1424" t="n"/>
    </row>
    <row r="37" ht="12.75" customHeight="1" s="850">
      <c r="B37" s="1415" t="n"/>
      <c r="C37" s="1416" t="n"/>
    </row>
    <row r="38" ht="12.75" customHeight="1" s="850">
      <c r="B38" s="1415" t="n"/>
      <c r="C38" s="1416" t="n"/>
    </row>
    <row r="39" ht="12.75" customHeight="1" s="850">
      <c r="B39" s="1415" t="n"/>
      <c r="C39" s="1416" t="n"/>
    </row>
    <row r="40" ht="12.75" customHeight="1" s="850">
      <c r="B40" s="1415" t="n"/>
      <c r="C40" s="1416" t="n"/>
    </row>
    <row r="41" ht="12.75" customHeight="1" s="850">
      <c r="B41" s="1415" t="n"/>
      <c r="C41" s="1416" t="n"/>
    </row>
    <row r="42" ht="12.75" customHeight="1" s="850">
      <c r="B42" s="1415" t="n"/>
      <c r="C42" s="1416" t="n"/>
    </row>
    <row r="43" ht="12.75" customHeight="1" s="850">
      <c r="B43" s="1415" t="n"/>
      <c r="C43" s="1416" t="n"/>
    </row>
    <row r="44" ht="12.75" customHeight="1" s="850">
      <c r="C44" s="1416" t="n"/>
    </row>
    <row r="45" ht="12.75" customHeight="1" s="850">
      <c r="C45" s="1416" t="n"/>
    </row>
    <row r="46" ht="12.75" customFormat="1" customHeight="1" s="1424">
      <c r="A46" s="1403" t="n"/>
      <c r="C46" s="1438" t="n"/>
      <c r="D46" s="1424" t="n"/>
      <c r="E46" s="1424" t="n"/>
    </row>
    <row r="47" ht="12.75" customHeight="1" s="850">
      <c r="B47" s="1439" t="n"/>
      <c r="C47" s="1416" t="n"/>
    </row>
    <row r="48" ht="12.75" customFormat="1" customHeight="1" s="1430">
      <c r="A48" s="1403" t="n"/>
      <c r="B48" s="1440" t="n"/>
      <c r="C48" s="1441" t="n"/>
      <c r="D48" s="1430" t="n"/>
      <c r="E48" s="1430" t="n"/>
    </row>
    <row r="49" ht="12.75" customHeight="1" s="850">
      <c r="C49" s="1416" t="n"/>
    </row>
    <row r="50" ht="12.75" customFormat="1" customHeight="1" s="1430">
      <c r="A50" s="1403" t="n"/>
      <c r="C50" s="1441" t="n"/>
      <c r="D50" s="1430" t="n"/>
      <c r="E50" s="1430" t="n"/>
    </row>
    <row r="51" ht="12.75" customFormat="1" customHeight="1" s="1430">
      <c r="A51" s="1403" t="n"/>
      <c r="C51" s="1441" t="n"/>
      <c r="D51" s="1430" t="n"/>
      <c r="E51" s="1430" t="n"/>
    </row>
    <row r="52" ht="12.75" customHeight="1" s="850">
      <c r="A52" s="1404" t="n"/>
      <c r="C52" s="1430" t="n"/>
      <c r="D52" s="1404" t="n"/>
      <c r="E52" s="1404" t="n"/>
    </row>
    <row r="55" ht="12.75" customHeight="1" s="850">
      <c r="A55" s="1404" t="n"/>
      <c r="B55" s="1413" t="n"/>
      <c r="D55" s="1404" t="n"/>
      <c r="E55" s="1404" t="n"/>
    </row>
  </sheetData>
  <mergeCells count="2">
    <mergeCell ref="F1:H2"/>
    <mergeCell ref="A4:A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D63"/>
  <sheetViews>
    <sheetView showFormulas="0" showGridLines="1"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96875" defaultRowHeight="15" zeroHeight="0" outlineLevelRow="0"/>
  <cols>
    <col width="34.56" customWidth="1" style="849" min="1" max="1"/>
    <col width="11.14" customWidth="1" style="849" min="2" max="2"/>
    <col width="11.56" customWidth="1" style="849" min="3" max="3"/>
    <col width="10.99" customWidth="1" style="849" min="4" max="5"/>
    <col width="11.28" customWidth="1" style="849" min="6" max="6"/>
    <col width="10.7" customWidth="1" style="849" min="7" max="7"/>
    <col width="10.85" customWidth="1" style="849" min="8" max="8"/>
    <col width="10.7" customWidth="1" style="849" min="9" max="9"/>
    <col width="10.99" customWidth="1" style="849" min="10" max="10"/>
  </cols>
  <sheetData>
    <row r="1" ht="19.5" customHeight="1" s="850">
      <c r="A1" s="1442" t="inlineStr">
        <is>
          <t>GAIL INDIA LTD.</t>
        </is>
      </c>
      <c r="B1" s="1443" t="n"/>
      <c r="C1" s="914" t="n"/>
      <c r="D1" s="914" t="n"/>
      <c r="E1" s="914" t="n"/>
      <c r="F1" s="1444" t="n"/>
      <c r="G1" s="1444" t="n"/>
      <c r="H1" s="1444" t="n"/>
      <c r="I1" s="1444" t="n"/>
      <c r="J1" s="914" t="n"/>
    </row>
    <row r="2" ht="17.25" customHeight="1" s="850">
      <c r="A2" s="1445" t="inlineStr">
        <is>
          <t>BALANCESHEET</t>
        </is>
      </c>
      <c r="B2" s="1446" t="n"/>
      <c r="C2" s="914" t="n"/>
      <c r="D2" s="914" t="n"/>
      <c r="E2" s="914" t="n"/>
      <c r="F2" s="914" t="n"/>
      <c r="G2" s="914" t="n"/>
      <c r="H2" s="914" t="n"/>
      <c r="I2" s="914" t="n"/>
      <c r="J2" s="914" t="n"/>
    </row>
    <row r="3" ht="17.25" customHeight="1" s="850">
      <c r="A3" s="1447" t="inlineStr">
        <is>
          <t xml:space="preserve"> (in Rs.crores)</t>
        </is>
      </c>
      <c r="B3" s="913" t="n"/>
      <c r="C3" s="914" t="n"/>
      <c r="D3" s="914" t="n"/>
      <c r="E3" s="914" t="n"/>
      <c r="F3" s="914" t="n"/>
      <c r="G3" s="914" t="n"/>
      <c r="H3" s="914" t="n"/>
      <c r="I3" s="914" t="n"/>
      <c r="J3" s="914" t="n"/>
    </row>
    <row r="4" ht="19.5" customHeight="1" s="850">
      <c r="A4" s="1448" t="inlineStr">
        <is>
          <t>BALANCESHEET</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2.75" customHeight="1" s="850">
      <c r="A5" s="1450"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451" t="inlineStr">
        <is>
          <t>SOURCES OF FUNDS</t>
        </is>
      </c>
    </row>
    <row r="8" ht="15" customHeight="1" s="850">
      <c r="A8" s="1452" t="inlineStr">
        <is>
          <t>Shareholder's funds</t>
        </is>
      </c>
      <c r="B8" s="1453">
        <f>SUM(B9:B10)</f>
        <v/>
      </c>
      <c r="C8" s="1453">
        <f>SUM(C9:C10)</f>
        <v/>
      </c>
      <c r="D8" s="1453">
        <f>SUM(D9:D10)</f>
        <v/>
      </c>
      <c r="E8" s="1453">
        <f>SUM(E9:E10)</f>
        <v/>
      </c>
      <c r="F8" s="1453">
        <f>SUM(F9:F10)</f>
        <v/>
      </c>
      <c r="G8" s="1453">
        <f>SUM(G9:G10)</f>
        <v/>
      </c>
      <c r="H8" s="1453">
        <f>SUM(H9:H10)</f>
        <v/>
      </c>
      <c r="I8" s="1453">
        <f>SUM(I9:I10)</f>
        <v/>
      </c>
      <c r="J8" s="1453">
        <f>SUM(J9:J10)</f>
        <v/>
      </c>
    </row>
    <row r="9" ht="21" customHeight="1" s="850">
      <c r="A9" s="1454" t="inlineStr">
        <is>
          <t>Capital:Issued, Subscribed &amp; Paid-up.</t>
        </is>
      </c>
      <c r="B9" s="1455" t="n">
        <v>845.65</v>
      </c>
      <c r="C9" s="1455" t="n">
        <v>845.65</v>
      </c>
      <c r="D9" s="1455" t="n">
        <v>845.65</v>
      </c>
      <c r="E9" s="1455" t="n">
        <v>1268.48</v>
      </c>
      <c r="F9" s="1455" t="n">
        <v>1268.48</v>
      </c>
      <c r="G9" s="1455" t="n">
        <v>1268.48</v>
      </c>
      <c r="H9" s="1455" t="n">
        <v>1268.48</v>
      </c>
      <c r="I9" s="1455" t="n">
        <v>1268.48</v>
      </c>
      <c r="J9" s="1455" t="n">
        <v>1268.48</v>
      </c>
    </row>
    <row r="10" ht="15" customHeight="1" s="850">
      <c r="A10" s="1456" t="inlineStr">
        <is>
          <t>Reserves and Surplus:</t>
        </is>
      </c>
      <c r="B10" s="1455">
        <f>SUM(B11:B17)</f>
        <v/>
      </c>
      <c r="C10" s="1455">
        <f>SUM(C11:C17)</f>
        <v/>
      </c>
      <c r="D10" s="1455">
        <f>SUM(D11:D17)</f>
        <v/>
      </c>
      <c r="E10" s="1455">
        <f>SUM(E11:E17)</f>
        <v/>
      </c>
      <c r="F10" s="1455">
        <f>SUM(F11:F17)</f>
        <v/>
      </c>
      <c r="G10" s="1455">
        <f>SUM(G11:G17)</f>
        <v/>
      </c>
      <c r="H10" s="1455">
        <f>SUM(H11:H17)</f>
        <v/>
      </c>
      <c r="I10" s="1455">
        <f>SUM(I11:I17)</f>
        <v/>
      </c>
      <c r="J10" s="1455">
        <f>SUM(J11:J17)</f>
        <v/>
      </c>
    </row>
    <row r="11" ht="15" customHeight="1" s="850">
      <c r="A11" s="1457" t="inlineStr">
        <is>
          <t>Capital Reserve</t>
        </is>
      </c>
      <c r="B11" s="1458" t="n">
        <v>2.1</v>
      </c>
      <c r="C11" s="1458" t="n">
        <v>1.98</v>
      </c>
      <c r="D11" s="1458" t="n">
        <v>1.86</v>
      </c>
      <c r="E11" s="1458" t="n">
        <v>1.74</v>
      </c>
      <c r="F11" s="1458" t="n">
        <v>1.7</v>
      </c>
      <c r="G11" s="1458" t="n">
        <v>1.65</v>
      </c>
      <c r="H11" s="1458" t="n">
        <v>1.65</v>
      </c>
      <c r="I11" s="1458" t="n">
        <v>1.63</v>
      </c>
      <c r="J11" s="1458" t="n">
        <v>1.6</v>
      </c>
    </row>
    <row r="12" ht="15" customHeight="1" s="850">
      <c r="A12" s="1457" t="inlineStr">
        <is>
          <t>Share Premium Account</t>
        </is>
      </c>
      <c r="B12" s="1458" t="n">
        <v>0.27</v>
      </c>
      <c r="C12" s="1458" t="n">
        <v>0.27</v>
      </c>
      <c r="D12" s="1458" t="n">
        <v>0.27</v>
      </c>
      <c r="E12" s="1458" t="n">
        <v>0.27</v>
      </c>
      <c r="F12" s="1458" t="n">
        <v>0.27</v>
      </c>
      <c r="G12" s="1458" t="n">
        <v>0.27</v>
      </c>
      <c r="H12" s="1458" t="n">
        <v>0.27</v>
      </c>
      <c r="I12" s="1458" t="n">
        <v>0.27</v>
      </c>
      <c r="J12" s="1458" t="n">
        <v>0.27</v>
      </c>
    </row>
    <row r="13" ht="15" customHeight="1" s="850">
      <c r="A13" s="1457" t="inlineStr">
        <is>
          <t>Investment Allowance Reserve</t>
        </is>
      </c>
      <c r="B13" s="1458" t="n">
        <v>251.31</v>
      </c>
      <c r="C13" s="1458" t="n">
        <v>215.1</v>
      </c>
      <c r="D13" s="1458" t="n">
        <v>146.48</v>
      </c>
      <c r="E13" s="1458" t="n">
        <v>19.11</v>
      </c>
      <c r="F13" s="1458" t="n">
        <v>19.11</v>
      </c>
      <c r="G13" s="1458" t="n">
        <v>19.11</v>
      </c>
      <c r="H13" s="1458" t="n">
        <v>19.11</v>
      </c>
      <c r="I13" s="1458" t="n">
        <v>19.11</v>
      </c>
      <c r="J13" s="1458" t="n">
        <v>19.11</v>
      </c>
    </row>
    <row r="14" ht="15" customHeight="1" s="850">
      <c r="A14" s="1457" t="inlineStr">
        <is>
          <t>Bonds Redemption Reserve</t>
        </is>
      </c>
      <c r="B14" s="1458" t="n">
        <v>96.38</v>
      </c>
      <c r="C14" s="1458" t="n">
        <v>128.51</v>
      </c>
      <c r="D14" s="1458" t="n">
        <v>160.64</v>
      </c>
      <c r="E14" s="1458" t="n">
        <v>192.77</v>
      </c>
      <c r="F14" s="1458" t="n">
        <v>192.77</v>
      </c>
      <c r="G14" s="1458" t="n">
        <v>192.77</v>
      </c>
      <c r="H14" s="1458" t="n">
        <v>192.77</v>
      </c>
      <c r="I14" s="1458" t="n">
        <v>192.77</v>
      </c>
      <c r="J14" s="1458" t="n">
        <v>192.77</v>
      </c>
    </row>
    <row r="15" ht="15" customHeight="1" s="850">
      <c r="A15" s="1457" t="inlineStr">
        <is>
          <t>Foreign Currency Translation Reserve</t>
        </is>
      </c>
      <c r="B15" s="1458" t="n">
        <v>-2.33</v>
      </c>
      <c r="C15" s="1458" t="n">
        <v>0</v>
      </c>
      <c r="D15" s="1458" t="n">
        <v>0</v>
      </c>
      <c r="E15" s="1458" t="n">
        <v>0</v>
      </c>
      <c r="F15" s="1458" t="n">
        <v>0</v>
      </c>
      <c r="G15" s="1458" t="n">
        <v>0</v>
      </c>
      <c r="H15" s="1458" t="n">
        <v>0</v>
      </c>
      <c r="I15" s="1458" t="n">
        <v>0</v>
      </c>
      <c r="J15" s="1458" t="n">
        <v>0</v>
      </c>
    </row>
    <row r="16" ht="15" customHeight="1" s="850">
      <c r="A16" s="1457" t="inlineStr">
        <is>
          <t>General Reserve</t>
        </is>
      </c>
      <c r="B16" s="1458" t="n">
        <v>1409.49</v>
      </c>
      <c r="C16" s="1458" t="n">
        <v>1684.37</v>
      </c>
      <c r="D16" s="1458" t="n">
        <v>2013.14</v>
      </c>
      <c r="E16" s="1458" t="n">
        <v>1997.68</v>
      </c>
      <c r="F16" s="1458" t="n">
        <v>2347.68</v>
      </c>
      <c r="G16" s="1458" t="n">
        <v>2747.68</v>
      </c>
      <c r="H16" s="1458" t="n">
        <v>3172.68</v>
      </c>
      <c r="I16" s="1458" t="n">
        <v>3622.68</v>
      </c>
      <c r="J16" s="1458" t="n">
        <v>4122.68</v>
      </c>
    </row>
    <row r="17" ht="15" customHeight="1" s="850">
      <c r="A17" s="1457" t="inlineStr">
        <is>
          <t>Profit and Loss A ccount</t>
        </is>
      </c>
      <c r="B17" s="1458" t="n">
        <v>7370.43</v>
      </c>
      <c r="C17" s="1458" t="n">
        <v>8517.030000000001</v>
      </c>
      <c r="D17" s="1458" t="n">
        <v>9836.84</v>
      </c>
      <c r="E17" s="1458" t="n">
        <v>11289.58</v>
      </c>
      <c r="F17" s="1458" t="n">
        <v>12741.74</v>
      </c>
      <c r="G17" s="1458" t="n">
        <v>14193.9</v>
      </c>
      <c r="H17" s="1458" t="n">
        <v>15646.06</v>
      </c>
      <c r="I17" s="1458" t="n">
        <v>17098.22</v>
      </c>
      <c r="J17" s="1458" t="n">
        <v>18550.38</v>
      </c>
    </row>
    <row r="18" ht="15" customFormat="1" customHeight="1" s="849">
      <c r="A18" s="1459" t="n"/>
      <c r="B18" s="1460" t="n"/>
      <c r="C18" s="1460" t="n"/>
      <c r="D18" s="1460" t="n"/>
      <c r="E18" s="1460" t="n"/>
      <c r="F18" s="1460" t="n"/>
      <c r="G18" s="1460" t="n"/>
      <c r="H18" s="1460" t="n"/>
      <c r="I18" s="1460" t="n"/>
      <c r="J18" s="1460" t="n"/>
    </row>
    <row r="19" ht="15" customFormat="1" customHeight="1" s="849">
      <c r="A19" s="1452" t="inlineStr">
        <is>
          <t>Loan Funds</t>
        </is>
      </c>
      <c r="B19" s="1453">
        <f>SUM(B20:B21)</f>
        <v/>
      </c>
      <c r="C19" s="1453">
        <f>SUM(C20:C21)</f>
        <v/>
      </c>
      <c r="D19" s="1453">
        <f>SUM(D20:D21)</f>
        <v/>
      </c>
      <c r="E19" s="1453">
        <f>SUM(E20:E21)</f>
        <v/>
      </c>
      <c r="F19" s="1453">
        <f>SUM(F20:F21)</f>
        <v/>
      </c>
      <c r="G19" s="1453">
        <f>SUM(G20:G21)</f>
        <v/>
      </c>
      <c r="H19" s="1453">
        <f>SUM(H20:H21)</f>
        <v/>
      </c>
      <c r="I19" s="1453">
        <f>SUM(I20:I21)</f>
        <v/>
      </c>
      <c r="J19" s="1453">
        <f>SUM(J20:J21)</f>
        <v/>
      </c>
      <c r="K19" s="849" t="n"/>
      <c r="L19" s="849" t="n"/>
      <c r="M19" s="849" t="n"/>
      <c r="N19" s="849" t="n"/>
      <c r="O19" s="849" t="n"/>
      <c r="P19" s="849" t="n"/>
      <c r="Q19" s="849" t="n"/>
      <c r="R19" s="849" t="n"/>
      <c r="S19" s="849" t="n"/>
      <c r="T19" s="849" t="n"/>
      <c r="U19" s="849" t="n"/>
      <c r="V19" s="849" t="n"/>
      <c r="W19" s="849" t="n"/>
      <c r="X19" s="849" t="n"/>
      <c r="Y19" s="849" t="n"/>
      <c r="Z19" s="849" t="n"/>
      <c r="AA19" s="849" t="n"/>
      <c r="AB19" s="849" t="n"/>
      <c r="AC19" s="849" t="n"/>
      <c r="AD19" s="849" t="n"/>
    </row>
    <row r="20" ht="15" customFormat="1" customHeight="1" s="849">
      <c r="A20" s="1457" t="inlineStr">
        <is>
          <t>Secured Loans</t>
        </is>
      </c>
      <c r="B20" s="1458" t="n">
        <v>1600</v>
      </c>
      <c r="C20" s="1458" t="n">
        <v>1100</v>
      </c>
      <c r="D20" s="1458" t="n">
        <v>1100</v>
      </c>
      <c r="E20" s="1458" t="n">
        <v>1100</v>
      </c>
      <c r="F20" s="1458" t="n">
        <v>1100</v>
      </c>
      <c r="G20" s="1458" t="n">
        <v>1100</v>
      </c>
      <c r="H20" s="1458" t="n">
        <v>1100</v>
      </c>
      <c r="I20" s="1458" t="n">
        <v>1100</v>
      </c>
      <c r="J20" s="1458" t="n">
        <v>1100</v>
      </c>
      <c r="K20" s="849" t="n"/>
      <c r="L20" s="849" t="n"/>
      <c r="M20" s="849" t="n"/>
      <c r="N20" s="849" t="n"/>
      <c r="O20" s="849" t="n"/>
      <c r="P20" s="849" t="n"/>
      <c r="Q20" s="849" t="n"/>
      <c r="R20" s="849" t="n"/>
      <c r="S20" s="849" t="n"/>
      <c r="T20" s="849" t="n"/>
      <c r="U20" s="849" t="n"/>
      <c r="V20" s="849" t="n"/>
      <c r="W20" s="849" t="n"/>
      <c r="X20" s="849" t="n"/>
      <c r="Y20" s="849" t="n"/>
      <c r="Z20" s="849" t="n"/>
      <c r="AA20" s="849" t="n"/>
      <c r="AB20" s="849" t="n"/>
      <c r="AC20" s="849" t="n"/>
      <c r="AD20" s="849" t="n"/>
    </row>
    <row r="21" ht="15" customFormat="1" customHeight="1" s="849">
      <c r="A21" s="1457" t="inlineStr">
        <is>
          <t>Unsecured Loans</t>
        </is>
      </c>
      <c r="B21" s="1458" t="n">
        <v>316.56</v>
      </c>
      <c r="C21" s="1458" t="n">
        <v>237.85</v>
      </c>
      <c r="D21" s="1458" t="n">
        <v>165.87</v>
      </c>
      <c r="E21" s="1458" t="n">
        <v>100.13</v>
      </c>
      <c r="F21" s="1458" t="n">
        <v>86.33</v>
      </c>
      <c r="G21" s="1458" t="n">
        <v>72.34</v>
      </c>
      <c r="H21" s="1458" t="n">
        <v>54.36</v>
      </c>
      <c r="I21" s="1458" t="n">
        <v>41.82</v>
      </c>
      <c r="J21" s="1458" t="n">
        <v>36.24</v>
      </c>
      <c r="K21" s="849" t="n"/>
      <c r="L21" s="849" t="n"/>
      <c r="M21" s="849" t="n"/>
      <c r="N21" s="849" t="n"/>
      <c r="O21" s="849" t="n"/>
      <c r="P21" s="849" t="n"/>
      <c r="Q21" s="849" t="n"/>
      <c r="R21" s="849" t="n"/>
      <c r="S21" s="849" t="n"/>
      <c r="T21" s="849" t="n"/>
      <c r="U21" s="849" t="n"/>
      <c r="V21" s="849" t="n"/>
      <c r="W21" s="849" t="n"/>
      <c r="X21" s="849" t="n"/>
      <c r="Y21" s="849" t="n"/>
      <c r="Z21" s="849" t="n"/>
      <c r="AA21" s="849" t="n"/>
      <c r="AB21" s="849" t="n"/>
      <c r="AC21" s="849" t="n"/>
      <c r="AD21" s="849" t="n"/>
    </row>
    <row r="22" ht="15" customFormat="1" customHeight="1" s="849">
      <c r="A22" s="1459" t="n"/>
      <c r="B22" s="1244" t="n"/>
      <c r="C22" s="1244" t="n"/>
      <c r="D22" s="1244" t="n"/>
      <c r="E22" s="1244" t="n"/>
      <c r="F22" s="1244" t="n"/>
      <c r="G22" s="1244" t="n"/>
      <c r="H22" s="1244" t="n"/>
      <c r="I22" s="1244" t="n"/>
      <c r="J22" s="1244" t="n"/>
    </row>
    <row r="23" ht="15" customFormat="1" customHeight="1" s="849">
      <c r="A23" s="1461" t="inlineStr">
        <is>
          <t>Deferred Tax Liability (Net)</t>
        </is>
      </c>
      <c r="B23" s="1455" t="n">
        <v>1299.7</v>
      </c>
      <c r="C23" s="1455" t="n">
        <v>1318.67</v>
      </c>
      <c r="D23" s="1455" t="n">
        <v>1319.69</v>
      </c>
      <c r="E23" s="1455" t="n">
        <v>1325.93</v>
      </c>
      <c r="F23" s="1455" t="n">
        <v>1327.87</v>
      </c>
      <c r="G23" s="1455" t="n">
        <v>1333.54</v>
      </c>
      <c r="H23" s="1455" t="n">
        <v>1341.86</v>
      </c>
      <c r="I23" s="1455" t="n">
        <v>1351.67</v>
      </c>
      <c r="J23" s="1455" t="n">
        <v>1363.51</v>
      </c>
      <c r="K23" s="849" t="n"/>
      <c r="L23" s="849" t="n"/>
      <c r="M23" s="849" t="n"/>
      <c r="N23" s="849" t="n"/>
      <c r="O23" s="849" t="n"/>
      <c r="P23" s="849" t="n"/>
      <c r="Q23" s="849" t="n"/>
      <c r="R23" s="849" t="n"/>
      <c r="S23" s="849" t="n"/>
      <c r="T23" s="849" t="n"/>
      <c r="U23" s="849" t="n"/>
      <c r="V23" s="849" t="n"/>
      <c r="W23" s="849" t="n"/>
      <c r="X23" s="849" t="n"/>
      <c r="Y23" s="849" t="n"/>
      <c r="Z23" s="849" t="n"/>
      <c r="AA23" s="849" t="n"/>
      <c r="AB23" s="849" t="n"/>
      <c r="AC23" s="849" t="n"/>
      <c r="AD23" s="849" t="n"/>
    </row>
    <row r="24" ht="15" customFormat="1" customHeight="1" s="849">
      <c r="A24" s="1462" t="inlineStr">
        <is>
          <t>TOTAL</t>
        </is>
      </c>
      <c r="B24" s="1463">
        <f>B9+B10+B19+B23</f>
        <v/>
      </c>
      <c r="C24" s="1463">
        <f>C9+C10+C19+C23</f>
        <v/>
      </c>
      <c r="D24" s="1463">
        <f>D9+D10+D19+D23</f>
        <v/>
      </c>
      <c r="E24" s="1463">
        <f>E9+E10+E19+E23</f>
        <v/>
      </c>
      <c r="F24" s="1463">
        <f>F9+F10+F19+F23</f>
        <v/>
      </c>
      <c r="G24" s="1463">
        <f>G9+G10+G19+G23</f>
        <v/>
      </c>
      <c r="H24" s="1463">
        <f>H9+H10+H19+H23</f>
        <v/>
      </c>
      <c r="I24" s="1463">
        <f>I9+I10+I19+I23</f>
        <v/>
      </c>
      <c r="J24" s="1463">
        <f>J9+J10+J19+J23</f>
        <v/>
      </c>
    </row>
    <row r="25" ht="15.75" customFormat="1" customHeight="1" s="849">
      <c r="A25" s="1464" t="n"/>
      <c r="B25" s="1458" t="n"/>
      <c r="C25" s="1458" t="n"/>
      <c r="D25" s="1458" t="n"/>
      <c r="E25" s="1458" t="n"/>
      <c r="F25" s="1458" t="n"/>
      <c r="G25" s="1458" t="n"/>
      <c r="H25" s="1458" t="n"/>
      <c r="I25" s="1458" t="n"/>
      <c r="J25" s="1458" t="n"/>
      <c r="K25" s="849" t="n"/>
      <c r="L25" s="849" t="n"/>
      <c r="M25" s="849" t="n"/>
      <c r="N25" s="849" t="n"/>
      <c r="O25" s="849" t="n"/>
      <c r="P25" s="849" t="n"/>
      <c r="Q25" s="849" t="n"/>
      <c r="R25" s="849" t="n"/>
      <c r="S25" s="849" t="n"/>
      <c r="T25" s="849" t="n"/>
      <c r="U25" s="849" t="n"/>
      <c r="V25" s="849" t="n"/>
      <c r="W25" s="849" t="n"/>
      <c r="X25" s="849" t="n"/>
      <c r="Y25" s="849" t="n"/>
      <c r="Z25" s="849" t="n"/>
      <c r="AA25" s="849" t="n"/>
      <c r="AB25" s="849" t="n"/>
      <c r="AC25" s="849" t="n"/>
      <c r="AD25" s="849" t="n"/>
    </row>
    <row r="26" ht="15" customFormat="1" customHeight="1" s="849">
      <c r="A26" s="1465" t="inlineStr">
        <is>
          <t>APPLICATION OF FUNDS</t>
        </is>
      </c>
      <c r="B26" s="1458" t="n"/>
      <c r="C26" s="1458" t="n"/>
      <c r="D26" s="1458" t="n"/>
      <c r="E26" s="1458" t="n"/>
      <c r="F26" s="1458" t="n"/>
      <c r="G26" s="1458" t="n"/>
      <c r="H26" s="1458" t="n"/>
      <c r="I26" s="1458" t="n"/>
      <c r="J26" s="1458" t="n"/>
      <c r="K26" s="849" t="n"/>
      <c r="L26" s="849" t="n"/>
      <c r="M26" s="849" t="n"/>
      <c r="N26" s="849" t="n"/>
      <c r="O26" s="849" t="n"/>
      <c r="P26" s="849" t="n"/>
      <c r="Q26" s="849" t="n"/>
      <c r="R26" s="849" t="n"/>
      <c r="S26" s="849" t="n"/>
      <c r="T26" s="849" t="n"/>
      <c r="U26" s="849" t="n"/>
      <c r="V26" s="849" t="n"/>
      <c r="W26" s="849" t="n"/>
      <c r="X26" s="849" t="n"/>
      <c r="Y26" s="849" t="n"/>
      <c r="Z26" s="849" t="n"/>
      <c r="AA26" s="849" t="n"/>
      <c r="AB26" s="849" t="n"/>
      <c r="AC26" s="849" t="n"/>
      <c r="AD26" s="849" t="n"/>
    </row>
    <row r="27" ht="15" customFormat="1" customHeight="1" s="849">
      <c r="A27" s="1452" t="inlineStr">
        <is>
          <t>Fixed Assets</t>
        </is>
      </c>
      <c r="B27" s="1453">
        <f>SUM(B30:B31)</f>
        <v/>
      </c>
      <c r="C27" s="1453">
        <f>SUM(C30:C31)</f>
        <v/>
      </c>
      <c r="D27" s="1453">
        <f>SUM(D30:D31)</f>
        <v/>
      </c>
      <c r="E27" s="1453">
        <f>SUM(E30:E31)</f>
        <v/>
      </c>
      <c r="F27" s="1453">
        <f>SUM(F30:F31)</f>
        <v/>
      </c>
      <c r="G27" s="1453">
        <f>SUM(G30:G31)</f>
        <v/>
      </c>
      <c r="H27" s="1453">
        <f>SUM(H30:H31)</f>
        <v/>
      </c>
      <c r="I27" s="1453">
        <f>SUM(I30:I31)</f>
        <v/>
      </c>
      <c r="J27" s="1453">
        <f>SUM(J30:J31)</f>
        <v/>
      </c>
      <c r="K27" s="849" t="n"/>
      <c r="L27" s="849" t="n"/>
      <c r="M27" s="849" t="n"/>
      <c r="N27" s="849" t="n"/>
      <c r="O27" s="849" t="n"/>
      <c r="P27" s="849" t="n"/>
      <c r="Q27" s="849" t="n"/>
      <c r="R27" s="849" t="n"/>
      <c r="S27" s="849" t="n"/>
      <c r="T27" s="849" t="n"/>
      <c r="U27" s="849" t="n"/>
      <c r="V27" s="849" t="n"/>
      <c r="W27" s="849" t="n"/>
      <c r="X27" s="849" t="n"/>
      <c r="Y27" s="849" t="n"/>
      <c r="Z27" s="849" t="n"/>
      <c r="AA27" s="849" t="n"/>
      <c r="AB27" s="849" t="n"/>
      <c r="AC27" s="849" t="n"/>
      <c r="AD27" s="849" t="n"/>
    </row>
    <row r="28" ht="15" customFormat="1" customHeight="1" s="849">
      <c r="A28" s="1457" t="inlineStr">
        <is>
          <t xml:space="preserve">               Gross Block</t>
        </is>
      </c>
      <c r="B28" s="1458" t="n">
        <v>14469.48</v>
      </c>
      <c r="C28" s="1458" t="n">
        <v>14932.56</v>
      </c>
      <c r="D28" s="1458" t="n">
        <v>16957.86</v>
      </c>
      <c r="E28" s="1458" t="n">
        <v>17603.98</v>
      </c>
      <c r="F28" s="1458" t="n">
        <v>18850.98</v>
      </c>
      <c r="G28" s="1458" t="n">
        <v>19850.77</v>
      </c>
      <c r="H28" s="1458" t="n">
        <v>20977.16</v>
      </c>
      <c r="I28" s="1458" t="n">
        <v>21301.43</v>
      </c>
      <c r="J28" s="1458" t="n">
        <v>22623.13</v>
      </c>
      <c r="K28" s="849" t="n"/>
      <c r="L28" s="849" t="n"/>
      <c r="M28" s="849" t="n"/>
      <c r="N28" s="849" t="n"/>
      <c r="O28" s="849" t="n"/>
      <c r="P28" s="849" t="n"/>
      <c r="Q28" s="849" t="n"/>
      <c r="R28" s="849" t="n"/>
      <c r="S28" s="849" t="n"/>
      <c r="T28" s="849" t="n"/>
      <c r="U28" s="849" t="n"/>
      <c r="V28" s="849" t="n"/>
      <c r="W28" s="849" t="n"/>
      <c r="X28" s="849" t="n"/>
      <c r="Y28" s="849" t="n"/>
      <c r="Z28" s="849" t="n"/>
      <c r="AA28" s="849" t="n"/>
      <c r="AB28" s="849" t="n"/>
      <c r="AC28" s="849" t="n"/>
      <c r="AD28" s="849" t="n"/>
    </row>
    <row r="29" ht="15" customFormat="1" customHeight="1" s="849">
      <c r="A29" s="1457" t="inlineStr">
        <is>
          <t xml:space="preserve">               Less: Depreciation</t>
        </is>
      </c>
      <c r="B29" s="1458" t="n">
        <v>6913.52</v>
      </c>
      <c r="C29" s="1458" t="n">
        <v>7478.19</v>
      </c>
      <c r="D29" s="1458" t="n">
        <v>8024.57</v>
      </c>
      <c r="E29" s="1458" t="n">
        <v>8553.66</v>
      </c>
      <c r="F29" s="1458" t="n">
        <v>9062.889999999999</v>
      </c>
      <c r="G29" s="1458" t="n">
        <v>9555.530000000001</v>
      </c>
      <c r="H29" s="1458" t="n">
        <v>10041.85</v>
      </c>
      <c r="I29" s="1458" t="n">
        <v>10507.54</v>
      </c>
      <c r="J29" s="1458" t="n">
        <v>10955.43</v>
      </c>
      <c r="K29" s="849" t="n"/>
      <c r="L29" s="849" t="n"/>
      <c r="M29" s="849" t="n"/>
      <c r="N29" s="849" t="n"/>
      <c r="O29" s="849" t="n"/>
      <c r="P29" s="849" t="n"/>
      <c r="Q29" s="849" t="n"/>
      <c r="R29" s="849" t="n"/>
      <c r="S29" s="849" t="n"/>
      <c r="T29" s="849" t="n"/>
      <c r="U29" s="849" t="n"/>
      <c r="V29" s="849" t="n"/>
      <c r="W29" s="849" t="n"/>
      <c r="X29" s="849" t="n"/>
      <c r="Y29" s="849" t="n"/>
      <c r="Z29" s="849" t="n"/>
      <c r="AA29" s="849" t="n"/>
      <c r="AB29" s="849" t="n"/>
      <c r="AC29" s="849" t="n"/>
      <c r="AD29" s="849" t="n"/>
    </row>
    <row r="30" ht="15" customFormat="1" customHeight="1" s="849">
      <c r="A30" s="1459" t="inlineStr">
        <is>
          <t>NET BLOCK</t>
        </is>
      </c>
      <c r="B30" s="1460">
        <f>B28-B29</f>
        <v/>
      </c>
      <c r="C30" s="1460">
        <f>C28-C29</f>
        <v/>
      </c>
      <c r="D30" s="1460">
        <f>D28-D29</f>
        <v/>
      </c>
      <c r="E30" s="1460">
        <f>E28-E29</f>
        <v/>
      </c>
      <c r="F30" s="1460">
        <f>F28-F29</f>
        <v/>
      </c>
      <c r="G30" s="1460">
        <f>G28-G29</f>
        <v/>
      </c>
      <c r="H30" s="1460">
        <f>H28-H29</f>
        <v/>
      </c>
      <c r="I30" s="1460">
        <f>I28-I29</f>
        <v/>
      </c>
      <c r="J30" s="1460">
        <f>J28-J29</f>
        <v/>
      </c>
      <c r="K30" s="849" t="n"/>
      <c r="L30" s="849" t="n"/>
      <c r="M30" s="849" t="n"/>
      <c r="N30" s="849" t="n"/>
      <c r="O30" s="849" t="n"/>
      <c r="P30" s="849" t="n"/>
      <c r="Q30" s="849" t="n"/>
      <c r="R30" s="849" t="n"/>
      <c r="S30" s="849" t="n"/>
      <c r="T30" s="849" t="n"/>
      <c r="U30" s="849" t="n"/>
      <c r="V30" s="849" t="n"/>
      <c r="W30" s="849" t="n"/>
      <c r="X30" s="849" t="n"/>
      <c r="Y30" s="849" t="n"/>
      <c r="Z30" s="849" t="n"/>
      <c r="AA30" s="849" t="n"/>
      <c r="AB30" s="849" t="n"/>
      <c r="AC30" s="849" t="n"/>
      <c r="AD30" s="849" t="n"/>
    </row>
    <row r="31" ht="15" customFormat="1" customHeight="1" s="849">
      <c r="A31" s="1457" t="inlineStr">
        <is>
          <t>Capital Work -in- Progress</t>
        </is>
      </c>
      <c r="B31" s="1458" t="n">
        <v>615.59</v>
      </c>
      <c r="C31" s="1458" t="n">
        <v>1936.94</v>
      </c>
      <c r="D31" s="1458" t="n">
        <v>816.66</v>
      </c>
      <c r="E31" s="1458" t="n">
        <v>2426.33</v>
      </c>
      <c r="F31" s="1458" t="n">
        <v>3747.68</v>
      </c>
      <c r="G31" s="1458" t="n">
        <v>2862.68</v>
      </c>
      <c r="H31" s="1458" t="n">
        <v>5137.77</v>
      </c>
      <c r="I31" s="1458" t="n">
        <v>6059.77</v>
      </c>
      <c r="J31" s="1458" t="n">
        <v>7314.77</v>
      </c>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row>
    <row r="32" ht="15" customFormat="1" customHeight="1" s="849">
      <c r="A32" s="1459" t="n"/>
      <c r="B32" s="1460" t="n"/>
      <c r="C32" s="1460" t="n"/>
      <c r="D32" s="1460" t="n"/>
      <c r="E32" s="1460" t="n"/>
      <c r="F32" s="1460" t="n"/>
      <c r="G32" s="1460" t="n"/>
      <c r="H32" s="1460" t="n"/>
      <c r="I32" s="1460" t="n"/>
      <c r="J32" s="1460" t="n"/>
    </row>
    <row r="33" ht="15" customFormat="1" customHeight="1" s="849">
      <c r="A33" s="1452" t="inlineStr">
        <is>
          <t>Investments</t>
        </is>
      </c>
      <c r="B33" s="1453" t="n">
        <v>927.5700000000001</v>
      </c>
      <c r="C33" s="1453" t="n">
        <v>1441.05</v>
      </c>
      <c r="D33" s="1453" t="n">
        <v>1441.09</v>
      </c>
      <c r="E33" s="1453" t="n">
        <v>1437.52</v>
      </c>
      <c r="F33" s="1453" t="n">
        <v>1540.88</v>
      </c>
      <c r="G33" s="1453" t="n">
        <v>1623.35</v>
      </c>
      <c r="H33" s="1453" t="n">
        <v>1688.45</v>
      </c>
      <c r="I33" s="1453" t="n">
        <v>1744.54</v>
      </c>
      <c r="J33" s="1453" t="n">
        <v>1828.77</v>
      </c>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row>
    <row r="34" ht="15" customFormat="1" customHeight="1" s="849">
      <c r="A34" s="1454" t="inlineStr">
        <is>
          <t>Advances For Investment (Pending Allotment)</t>
        </is>
      </c>
      <c r="B34" s="1453" t="n">
        <v>515.79</v>
      </c>
      <c r="C34" s="1453" t="n">
        <v>22.79</v>
      </c>
      <c r="D34" s="1453" t="n">
        <v>49.79</v>
      </c>
      <c r="E34" s="1453" t="n">
        <v>299.75</v>
      </c>
      <c r="F34" s="1453" t="n">
        <v>50.8</v>
      </c>
      <c r="G34" s="1453" t="n">
        <v>235.98</v>
      </c>
      <c r="H34" s="1453" t="n">
        <v>435</v>
      </c>
      <c r="I34" s="1453" t="n">
        <v>33.45</v>
      </c>
      <c r="J34" s="1453" t="n">
        <v>480</v>
      </c>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row>
    <row r="35" ht="15" customFormat="1" customHeight="1" s="849">
      <c r="A35" s="1459" t="n"/>
      <c r="B35" s="1244" t="n"/>
      <c r="C35" s="1244" t="n"/>
      <c r="D35" s="1244" t="n"/>
      <c r="E35" s="1244" t="n"/>
      <c r="F35" s="1244" t="n"/>
      <c r="G35" s="1244" t="n"/>
      <c r="H35" s="1244" t="n"/>
      <c r="I35" s="1244" t="n"/>
      <c r="J35" s="1244" t="n"/>
    </row>
    <row r="36" ht="30.75" customFormat="1" customHeight="1" s="849">
      <c r="A36" s="1466" t="inlineStr">
        <is>
          <t>Current Assets, Loans and Advances</t>
        </is>
      </c>
      <c r="B36" s="1461">
        <f>SUM(B37:B41)</f>
        <v/>
      </c>
      <c r="C36" s="1461">
        <f>SUM(C37:C41)</f>
        <v/>
      </c>
      <c r="D36" s="1461">
        <f>SUM(D37:D41)</f>
        <v/>
      </c>
      <c r="E36" s="1461">
        <f>SUM(E37:E41)</f>
        <v/>
      </c>
      <c r="F36" s="1461">
        <f>SUM(F37:F41)</f>
        <v/>
      </c>
      <c r="G36" s="1461">
        <f>SUM(G37:G41)</f>
        <v/>
      </c>
      <c r="H36" s="1461">
        <f>SUM(H37:H41)</f>
        <v/>
      </c>
      <c r="I36" s="1461">
        <f>SUM(I37:I41)</f>
        <v/>
      </c>
      <c r="J36" s="1461">
        <f>SUM(J37:J41)</f>
        <v/>
      </c>
      <c r="K36" s="849" t="n"/>
      <c r="L36" s="849" t="n"/>
      <c r="M36" s="849" t="n"/>
      <c r="N36" s="849" t="n"/>
      <c r="O36" s="849" t="n"/>
      <c r="P36" s="849" t="n"/>
      <c r="Q36" s="849" t="n"/>
      <c r="R36" s="849" t="n"/>
      <c r="S36" s="849" t="n"/>
      <c r="T36" s="849" t="n"/>
      <c r="U36" s="849" t="n"/>
      <c r="V36" s="849" t="n"/>
      <c r="W36" s="849" t="n"/>
      <c r="X36" s="849" t="n"/>
      <c r="Y36" s="849" t="n"/>
      <c r="Z36" s="849" t="n"/>
      <c r="AA36" s="849" t="n"/>
      <c r="AB36" s="849" t="n"/>
      <c r="AC36" s="849" t="n"/>
      <c r="AD36" s="849" t="n"/>
    </row>
    <row r="37" ht="15" customFormat="1" customHeight="1" s="849">
      <c r="A37" s="1457" t="inlineStr">
        <is>
          <t>Inventories</t>
        </is>
      </c>
      <c r="B37" s="1236" t="n">
        <v>483.19</v>
      </c>
      <c r="C37" s="1236" t="n">
        <v>552.36</v>
      </c>
      <c r="D37" s="1236" t="n">
        <v>569.8099999999999</v>
      </c>
      <c r="E37" s="1236" t="n">
        <v>601.41</v>
      </c>
      <c r="F37" s="1236" t="n">
        <v>632.45</v>
      </c>
      <c r="G37" s="1236" t="n">
        <v>656.67</v>
      </c>
      <c r="H37" s="1236" t="n">
        <v>685.55</v>
      </c>
      <c r="I37" s="1236" t="n">
        <v>715.65</v>
      </c>
      <c r="J37" s="1236" t="n">
        <v>740.99</v>
      </c>
      <c r="K37" s="849" t="n"/>
      <c r="L37" s="849" t="n"/>
      <c r="M37" s="849" t="n"/>
      <c r="N37" s="849" t="n"/>
      <c r="O37" s="849" t="n"/>
      <c r="P37" s="849" t="n"/>
      <c r="Q37" s="849" t="n"/>
      <c r="R37" s="849" t="n"/>
      <c r="S37" s="849" t="n"/>
      <c r="T37" s="849" t="n"/>
      <c r="U37" s="849" t="n"/>
      <c r="V37" s="849" t="n"/>
      <c r="W37" s="849" t="n"/>
      <c r="X37" s="849" t="n"/>
      <c r="Y37" s="849" t="n"/>
      <c r="Z37" s="849" t="n"/>
      <c r="AA37" s="849" t="n"/>
      <c r="AB37" s="849" t="n"/>
      <c r="AC37" s="849" t="n"/>
      <c r="AD37" s="849" t="n"/>
    </row>
    <row r="38" ht="15" customFormat="1" customHeight="1" s="849">
      <c r="A38" s="1457" t="inlineStr">
        <is>
          <t>Sundry Debtors</t>
        </is>
      </c>
      <c r="B38" s="1236" t="n">
        <v>753.47</v>
      </c>
      <c r="C38" s="1236" t="n">
        <v>790.71</v>
      </c>
      <c r="D38" s="1236" t="n">
        <v>1073.54</v>
      </c>
      <c r="E38" s="1236" t="n">
        <v>1503.34</v>
      </c>
      <c r="F38" s="1236" t="n">
        <v>1828.76</v>
      </c>
      <c r="G38" s="1236" t="n">
        <v>2135.56</v>
      </c>
      <c r="H38" s="1236" t="n">
        <v>2465</v>
      </c>
      <c r="I38" s="1236" t="n">
        <v>2667.78</v>
      </c>
      <c r="J38" s="1236" t="n">
        <v>2989.97</v>
      </c>
      <c r="K38" s="849" t="n"/>
      <c r="L38" s="849" t="n"/>
      <c r="M38" s="849" t="n"/>
      <c r="N38" s="849" t="n"/>
      <c r="O38" s="849" t="n"/>
      <c r="P38" s="849" t="n"/>
      <c r="Q38" s="849" t="n"/>
      <c r="R38" s="849" t="n"/>
      <c r="S38" s="849" t="n"/>
      <c r="T38" s="849" t="n"/>
      <c r="U38" s="849" t="n"/>
      <c r="V38" s="849" t="n"/>
      <c r="W38" s="849" t="n"/>
      <c r="X38" s="849" t="n"/>
      <c r="Y38" s="849" t="n"/>
      <c r="Z38" s="849" t="n"/>
      <c r="AA38" s="849" t="n"/>
      <c r="AB38" s="849" t="n"/>
      <c r="AC38" s="849" t="n"/>
      <c r="AD38" s="849" t="n"/>
    </row>
    <row r="39" ht="15" customFormat="1" customHeight="1" s="849">
      <c r="A39" s="1457" t="inlineStr">
        <is>
          <t>Cash and Bank balances</t>
        </is>
      </c>
      <c r="B39" s="1236" t="n">
        <v>4495.94</v>
      </c>
      <c r="C39" s="1236" t="n">
        <v>2660.41</v>
      </c>
      <c r="D39" s="1236" t="n">
        <v>4472.99</v>
      </c>
      <c r="E39" s="1236" t="n">
        <v>3456.15</v>
      </c>
      <c r="F39" s="1236" t="n">
        <v>3500.76</v>
      </c>
      <c r="G39" s="1236" t="n">
        <v>3657.75</v>
      </c>
      <c r="H39" s="1236" t="n">
        <v>3699</v>
      </c>
      <c r="I39" s="1236" t="n">
        <v>3734</v>
      </c>
      <c r="J39" s="1236" t="n">
        <v>3800</v>
      </c>
      <c r="K39" s="849" t="n"/>
      <c r="L39" s="849" t="n"/>
      <c r="M39" s="849" t="n"/>
      <c r="N39" s="849" t="n"/>
      <c r="O39" s="849" t="n"/>
      <c r="P39" s="849" t="n"/>
      <c r="Q39" s="849" t="n"/>
      <c r="R39" s="849" t="n"/>
      <c r="S39" s="849" t="n"/>
      <c r="T39" s="849" t="n"/>
      <c r="U39" s="849" t="n"/>
      <c r="V39" s="849" t="n"/>
      <c r="W39" s="849" t="n"/>
      <c r="X39" s="849" t="n"/>
      <c r="Y39" s="849" t="n"/>
      <c r="Z39" s="849" t="n"/>
      <c r="AA39" s="849" t="n"/>
      <c r="AB39" s="849" t="n"/>
      <c r="AC39" s="849" t="n"/>
      <c r="AD39" s="849" t="n"/>
    </row>
    <row r="40" ht="15" customFormat="1" customHeight="1" s="849">
      <c r="A40" s="1457" t="inlineStr">
        <is>
          <t>Other Current Assets</t>
        </is>
      </c>
      <c r="B40" s="1236" t="n">
        <v>39.65</v>
      </c>
      <c r="C40" s="1236" t="n">
        <v>31.67</v>
      </c>
      <c r="D40" s="1236" t="n">
        <v>56.82</v>
      </c>
      <c r="E40" s="1236" t="n">
        <v>54.63</v>
      </c>
      <c r="F40" s="1236" t="n">
        <v>58.87</v>
      </c>
      <c r="G40" s="1236" t="n">
        <v>61.98</v>
      </c>
      <c r="H40" s="1236" t="n">
        <v>64.65000000000001</v>
      </c>
      <c r="I40" s="1236" t="n">
        <v>66.67</v>
      </c>
      <c r="J40" s="1236" t="n">
        <v>68.88</v>
      </c>
      <c r="K40" s="849" t="n"/>
      <c r="L40" s="849" t="n"/>
      <c r="M40" s="849" t="n"/>
      <c r="N40" s="849" t="n"/>
      <c r="O40" s="849" t="n"/>
      <c r="P40" s="849" t="n"/>
      <c r="Q40" s="849" t="n"/>
      <c r="R40" s="849" t="n"/>
      <c r="S40" s="849" t="n"/>
      <c r="T40" s="849" t="n"/>
      <c r="U40" s="849" t="n"/>
      <c r="V40" s="849" t="n"/>
      <c r="W40" s="849" t="n"/>
      <c r="X40" s="849" t="n"/>
      <c r="Y40" s="849" t="n"/>
      <c r="Z40" s="849" t="n"/>
      <c r="AA40" s="849" t="n"/>
      <c r="AB40" s="849" t="n"/>
      <c r="AC40" s="849" t="n"/>
      <c r="AD40" s="849" t="n"/>
    </row>
    <row r="41" ht="15" customFormat="1" customHeight="1" s="849">
      <c r="A41" s="1457" t="inlineStr">
        <is>
          <t>Loans and Advances</t>
        </is>
      </c>
      <c r="B41" s="1236" t="n">
        <v>6516.39</v>
      </c>
      <c r="C41" s="1236" t="n">
        <v>3710.36</v>
      </c>
      <c r="D41" s="1236" t="n">
        <v>4236.86</v>
      </c>
      <c r="E41" s="1236" t="n">
        <v>6621.01</v>
      </c>
      <c r="F41" s="1236" t="n">
        <v>6435.82</v>
      </c>
      <c r="G41" s="1236" t="n">
        <v>5623.36</v>
      </c>
      <c r="H41" s="1236" t="n">
        <v>4521.67</v>
      </c>
      <c r="I41" s="1236" t="n">
        <v>5161.24</v>
      </c>
      <c r="J41" s="1236" t="n">
        <v>5075.73</v>
      </c>
      <c r="K41" s="849" t="n"/>
      <c r="L41" s="849" t="n"/>
      <c r="M41" s="849" t="n"/>
      <c r="N41" s="849" t="n"/>
      <c r="O41" s="849" t="n"/>
      <c r="P41" s="849" t="n"/>
      <c r="Q41" s="849" t="n"/>
      <c r="R41" s="849" t="n"/>
      <c r="S41" s="849" t="n"/>
      <c r="T41" s="849" t="n"/>
      <c r="U41" s="849" t="n"/>
      <c r="V41" s="849" t="n"/>
      <c r="W41" s="849" t="n"/>
      <c r="X41" s="849" t="n"/>
      <c r="Y41" s="849" t="n"/>
      <c r="Z41" s="849" t="n"/>
      <c r="AA41" s="849" t="n"/>
      <c r="AB41" s="849" t="n"/>
      <c r="AC41" s="849" t="n"/>
      <c r="AD41" s="849" t="n"/>
    </row>
    <row r="42" ht="15.75" customFormat="1" customHeight="1" s="849">
      <c r="A42" s="1457" t="n"/>
      <c r="B42" s="1236" t="n"/>
      <c r="C42" s="1236" t="n"/>
      <c r="D42" s="1236" t="n"/>
      <c r="E42" s="1236" t="n"/>
      <c r="F42" s="1236" t="n"/>
      <c r="G42" s="1236" t="n"/>
      <c r="H42" s="1236" t="n"/>
      <c r="I42" s="1236" t="n"/>
      <c r="J42" s="1236" t="n"/>
      <c r="K42" s="849" t="n"/>
      <c r="L42" s="849" t="n"/>
      <c r="M42" s="849" t="n"/>
      <c r="N42" s="849" t="n"/>
      <c r="O42" s="849" t="n"/>
      <c r="P42" s="849" t="n"/>
      <c r="Q42" s="849" t="n"/>
      <c r="R42" s="849" t="n"/>
      <c r="S42" s="849" t="n"/>
      <c r="T42" s="849" t="n"/>
      <c r="U42" s="849" t="n"/>
      <c r="V42" s="849" t="n"/>
      <c r="W42" s="849" t="n"/>
      <c r="X42" s="849" t="n"/>
      <c r="Y42" s="849" t="n"/>
      <c r="Z42" s="849" t="n"/>
      <c r="AA42" s="849" t="n"/>
      <c r="AB42" s="849" t="n"/>
      <c r="AC42" s="849" t="n"/>
      <c r="AD42" s="849" t="n"/>
    </row>
    <row r="43" ht="30.75" customFormat="1" customHeight="1" s="849">
      <c r="A43" s="1466" t="inlineStr">
        <is>
          <t>Less: Current Liabilities and Provisions</t>
        </is>
      </c>
      <c r="B43" s="1461">
        <f>B44+B52</f>
        <v/>
      </c>
      <c r="C43" s="1461">
        <f>C44+C52</f>
        <v/>
      </c>
      <c r="D43" s="1461">
        <f>D44+D52</f>
        <v/>
      </c>
      <c r="E43" s="1467">
        <f>E44+E52</f>
        <v/>
      </c>
      <c r="F43" s="1468" t="n">
        <v>6629.29</v>
      </c>
      <c r="G43" s="1469" t="n">
        <v>5432.23</v>
      </c>
      <c r="H43" s="1469" t="n">
        <v>7456.68</v>
      </c>
      <c r="I43" s="1469" t="n">
        <v>7878.78</v>
      </c>
      <c r="J43" s="1470" t="n">
        <v>9235.530000000001</v>
      </c>
      <c r="K43" s="849" t="n"/>
      <c r="L43" s="849" t="n"/>
      <c r="M43" s="849" t="n"/>
      <c r="N43" s="849" t="n"/>
      <c r="O43" s="849" t="n"/>
      <c r="P43" s="849" t="n"/>
      <c r="Q43" s="849" t="n"/>
      <c r="R43" s="849" t="n"/>
      <c r="S43" s="849" t="n"/>
      <c r="T43" s="849" t="n"/>
      <c r="U43" s="849" t="n"/>
      <c r="V43" s="849" t="n"/>
      <c r="W43" s="849" t="n"/>
      <c r="X43" s="849" t="n"/>
      <c r="Y43" s="849" t="n"/>
      <c r="Z43" s="849" t="n"/>
      <c r="AA43" s="849" t="n"/>
      <c r="AB43" s="849" t="n"/>
      <c r="AC43" s="849" t="n"/>
      <c r="AD43" s="849" t="n"/>
    </row>
    <row r="44" ht="15" customFormat="1" customHeight="1" s="849">
      <c r="A44" s="1471" t="inlineStr">
        <is>
          <t>Current Liabilities:</t>
        </is>
      </c>
      <c r="B44" s="1461">
        <f>SUM(B45:B50)</f>
        <v/>
      </c>
      <c r="C44" s="1461">
        <f>SUM(C45:C50)</f>
        <v/>
      </c>
      <c r="D44" s="1461">
        <f>SUM(D45:D50)</f>
        <v/>
      </c>
      <c r="E44" s="1461">
        <f>SUM(E45:E50)</f>
        <v/>
      </c>
      <c r="F44" s="1472">
        <f>SUM(F45:F50)</f>
        <v/>
      </c>
      <c r="G44" s="1472">
        <f>SUM(G45:G50)</f>
        <v/>
      </c>
      <c r="H44" s="1472">
        <f>SUM(H45:H50)</f>
        <v/>
      </c>
      <c r="I44" s="1472">
        <f>SUM(I45:I50)</f>
        <v/>
      </c>
      <c r="J44" s="1472">
        <f>SUM(J45:J50)</f>
        <v/>
      </c>
      <c r="K44" s="849" t="n"/>
      <c r="L44" s="849" t="n"/>
      <c r="M44" s="849" t="n"/>
      <c r="N44" s="849" t="n"/>
      <c r="O44" s="849" t="n"/>
      <c r="P44" s="849" t="n"/>
      <c r="Q44" s="849" t="n"/>
      <c r="R44" s="849" t="n"/>
      <c r="S44" s="849" t="n"/>
      <c r="T44" s="849" t="n"/>
      <c r="U44" s="849" t="n"/>
      <c r="V44" s="849" t="n"/>
      <c r="W44" s="849" t="n"/>
      <c r="X44" s="849" t="n"/>
      <c r="Y44" s="849" t="n"/>
      <c r="Z44" s="849" t="n"/>
      <c r="AA44" s="849" t="n"/>
      <c r="AB44" s="849" t="n"/>
      <c r="AC44" s="849" t="n"/>
      <c r="AD44" s="849" t="n"/>
    </row>
    <row r="45" ht="15" customFormat="1" customHeight="1" s="849">
      <c r="A45" s="1457" t="inlineStr">
        <is>
          <t>Sundry Creditors</t>
        </is>
      </c>
      <c r="B45" s="1236" t="n">
        <v>1520.24</v>
      </c>
      <c r="C45" s="1236" t="n">
        <v>1448.36</v>
      </c>
      <c r="D45" s="1236" t="n">
        <v>1797.75</v>
      </c>
      <c r="E45" s="1236" t="n">
        <v>1972.49</v>
      </c>
      <c r="F45" s="1236" t="n"/>
      <c r="G45" s="1236" t="n"/>
      <c r="H45" s="1236" t="n"/>
      <c r="I45" s="1236" t="n"/>
      <c r="J45" s="1236" t="n"/>
      <c r="K45" s="849" t="n"/>
      <c r="L45" s="849" t="n"/>
      <c r="M45" s="849" t="n"/>
      <c r="N45" s="849" t="n"/>
      <c r="O45" s="849" t="n"/>
      <c r="P45" s="849" t="n"/>
      <c r="Q45" s="849" t="n"/>
      <c r="R45" s="849" t="n"/>
      <c r="S45" s="849" t="n"/>
      <c r="T45" s="849" t="n"/>
      <c r="U45" s="849" t="n"/>
      <c r="V45" s="849" t="n"/>
      <c r="W45" s="849" t="n"/>
      <c r="X45" s="849" t="n"/>
      <c r="Y45" s="849" t="n"/>
      <c r="Z45" s="849" t="n"/>
      <c r="AA45" s="849" t="n"/>
      <c r="AB45" s="849" t="n"/>
      <c r="AC45" s="849" t="n"/>
      <c r="AD45" s="849" t="n"/>
    </row>
    <row r="46" ht="24.75" customFormat="1" customHeight="1" s="849">
      <c r="A46" s="1473" t="inlineStr">
        <is>
          <t>Deposits/Retention Money from Contractors and Others</t>
        </is>
      </c>
      <c r="B46" s="1236" t="n">
        <v>123.91</v>
      </c>
      <c r="C46" s="1236" t="n">
        <v>308.14</v>
      </c>
      <c r="D46" s="1236" t="n">
        <v>185.38</v>
      </c>
      <c r="E46" s="1236" t="n">
        <v>212.28</v>
      </c>
      <c r="F46" s="1236" t="n"/>
      <c r="G46" s="1236" t="n"/>
      <c r="H46" s="1236" t="n"/>
      <c r="I46" s="1236" t="n"/>
      <c r="J46" s="1236" t="n"/>
      <c r="K46" s="849" t="n"/>
      <c r="L46" s="849" t="n"/>
      <c r="M46" s="849" t="n"/>
      <c r="N46" s="849" t="n"/>
      <c r="O46" s="849" t="n"/>
      <c r="P46" s="849" t="n"/>
      <c r="Q46" s="849" t="n"/>
      <c r="R46" s="849" t="n"/>
      <c r="S46" s="849" t="n"/>
      <c r="T46" s="849" t="n"/>
      <c r="U46" s="849" t="n"/>
      <c r="V46" s="849" t="n"/>
      <c r="W46" s="849" t="n"/>
      <c r="X46" s="849" t="n"/>
      <c r="Y46" s="849" t="n"/>
      <c r="Z46" s="849" t="n"/>
      <c r="AA46" s="849" t="n"/>
      <c r="AB46" s="849" t="n"/>
      <c r="AC46" s="849" t="n"/>
      <c r="AD46" s="849" t="n"/>
    </row>
    <row r="47" ht="15" customFormat="1" customHeight="1" s="849">
      <c r="A47" s="1457" t="inlineStr">
        <is>
          <t>Other Liabilities</t>
        </is>
      </c>
      <c r="B47" s="1236" t="n">
        <v>762.9299999999999</v>
      </c>
      <c r="C47" s="1236" t="n">
        <v>726.25</v>
      </c>
      <c r="D47" s="1236" t="n">
        <v>637.5</v>
      </c>
      <c r="E47" s="1236" t="n">
        <v>452.93</v>
      </c>
      <c r="F47" s="1236" t="n"/>
      <c r="G47" s="1236" t="n"/>
      <c r="H47" s="1236" t="n"/>
      <c r="I47" s="1236" t="n"/>
      <c r="J47" s="1236" t="n"/>
      <c r="K47" s="849" t="n"/>
      <c r="L47" s="849" t="n"/>
      <c r="M47" s="849" t="n"/>
      <c r="N47" s="849" t="n"/>
      <c r="O47" s="849" t="n"/>
      <c r="P47" s="849" t="n"/>
      <c r="Q47" s="849" t="n"/>
      <c r="R47" s="849" t="n"/>
      <c r="S47" s="849" t="n"/>
      <c r="T47" s="849" t="n"/>
      <c r="U47" s="849" t="n"/>
      <c r="V47" s="849" t="n"/>
      <c r="W47" s="849" t="n"/>
      <c r="X47" s="849" t="n"/>
      <c r="Y47" s="849" t="n"/>
      <c r="Z47" s="849" t="n"/>
      <c r="AA47" s="849" t="n"/>
      <c r="AB47" s="849" t="n"/>
      <c r="AC47" s="849" t="n"/>
      <c r="AD47" s="849" t="n"/>
    </row>
    <row r="48" ht="15" customFormat="1" customHeight="1" s="849">
      <c r="A48" s="1457" t="inlineStr">
        <is>
          <t>Gas Pool Money</t>
        </is>
      </c>
      <c r="B48" s="1236" t="n">
        <v>726.67</v>
      </c>
      <c r="C48" s="1236" t="n">
        <v>71.48999999999999</v>
      </c>
      <c r="D48" s="1236" t="n">
        <v>710.6</v>
      </c>
      <c r="E48" s="1236" t="n">
        <v>1512.25</v>
      </c>
      <c r="F48" s="1236" t="n"/>
      <c r="G48" s="1236" t="n"/>
      <c r="H48" s="1236" t="n"/>
      <c r="I48" s="1236" t="n"/>
      <c r="J48" s="1236" t="n"/>
      <c r="K48" s="849" t="n"/>
      <c r="L48" s="849" t="n"/>
      <c r="M48" s="849" t="n"/>
      <c r="N48" s="849" t="n"/>
      <c r="O48" s="849" t="n"/>
      <c r="P48" s="849" t="n"/>
      <c r="Q48" s="849" t="n"/>
      <c r="R48" s="849" t="n"/>
      <c r="S48" s="849" t="n"/>
      <c r="T48" s="849" t="n"/>
      <c r="U48" s="849" t="n"/>
      <c r="V48" s="849" t="n"/>
      <c r="W48" s="849" t="n"/>
      <c r="X48" s="849" t="n"/>
      <c r="Y48" s="849" t="n"/>
      <c r="Z48" s="849" t="n"/>
      <c r="AA48" s="849" t="n"/>
      <c r="AB48" s="849" t="n"/>
      <c r="AC48" s="849" t="n"/>
      <c r="AD48" s="849" t="n"/>
    </row>
    <row r="49" ht="15" customFormat="1" customHeight="1" s="849">
      <c r="A49" s="1457" t="inlineStr">
        <is>
          <t>Unclaimed Dividend</t>
        </is>
      </c>
      <c r="B49" s="1236" t="n">
        <v>1.96</v>
      </c>
      <c r="C49" s="1236" t="n">
        <v>2.83</v>
      </c>
      <c r="D49" s="1236" t="n">
        <v>2.23</v>
      </c>
      <c r="E49" s="1236" t="n">
        <v>2.88</v>
      </c>
      <c r="F49" s="1236" t="n"/>
      <c r="G49" s="1236" t="n"/>
      <c r="H49" s="1236" t="n"/>
      <c r="I49" s="1236" t="n"/>
      <c r="J49" s="1236" t="n"/>
      <c r="K49" s="849" t="n"/>
      <c r="L49" s="849" t="n"/>
      <c r="M49" s="849" t="n"/>
      <c r="N49" s="849" t="n"/>
      <c r="O49" s="849" t="n"/>
      <c r="P49" s="849" t="n"/>
      <c r="Q49" s="849" t="n"/>
      <c r="R49" s="849" t="n"/>
      <c r="S49" s="849" t="n"/>
      <c r="T49" s="849" t="n"/>
      <c r="U49" s="849" t="n"/>
      <c r="V49" s="849" t="n"/>
      <c r="W49" s="849" t="n"/>
      <c r="X49" s="849" t="n"/>
      <c r="Y49" s="849" t="n"/>
      <c r="Z49" s="849" t="n"/>
      <c r="AA49" s="849" t="n"/>
      <c r="AB49" s="849" t="n"/>
      <c r="AC49" s="849" t="n"/>
      <c r="AD49" s="849" t="n"/>
    </row>
    <row r="50" ht="15" customFormat="1" customHeight="1" s="849">
      <c r="A50" s="1457" t="inlineStr">
        <is>
          <t>Interest Accrued But not due</t>
        </is>
      </c>
      <c r="B50" s="1236" t="n">
        <v>28.91</v>
      </c>
      <c r="C50" s="1236" t="n">
        <v>28.52</v>
      </c>
      <c r="D50" s="1236" t="n">
        <v>26.43</v>
      </c>
      <c r="E50" s="1236" t="n">
        <v>23.84</v>
      </c>
      <c r="F50" s="1236" t="n"/>
      <c r="G50" s="1236" t="n"/>
      <c r="H50" s="1236" t="n"/>
      <c r="I50" s="1236" t="n"/>
      <c r="J50" s="1236" t="n"/>
      <c r="K50" s="849" t="n"/>
      <c r="L50" s="849" t="n"/>
      <c r="M50" s="849" t="n"/>
      <c r="N50" s="849" t="n"/>
      <c r="O50" s="849" t="n"/>
      <c r="P50" s="849" t="n"/>
      <c r="Q50" s="849" t="n"/>
      <c r="R50" s="849" t="n"/>
      <c r="S50" s="849" t="n"/>
      <c r="T50" s="849" t="n"/>
      <c r="U50" s="849" t="n"/>
      <c r="V50" s="849" t="n"/>
      <c r="W50" s="849" t="n"/>
      <c r="X50" s="849" t="n"/>
      <c r="Y50" s="849" t="n"/>
      <c r="Z50" s="849" t="n"/>
      <c r="AA50" s="849" t="n"/>
      <c r="AB50" s="849" t="n"/>
      <c r="AC50" s="849" t="n"/>
      <c r="AD50" s="849" t="n"/>
    </row>
    <row r="51" ht="15" customFormat="1" customHeight="1" s="849">
      <c r="A51" s="1457" t="n"/>
      <c r="B51" s="1236" t="n"/>
      <c r="C51" s="1236" t="n"/>
      <c r="D51" s="1236" t="n"/>
      <c r="E51" s="1236" t="n"/>
      <c r="F51" s="1236" t="n"/>
      <c r="G51" s="1236" t="n"/>
      <c r="H51" s="1236" t="n"/>
      <c r="I51" s="1236" t="n"/>
      <c r="J51" s="1236" t="n"/>
      <c r="K51" s="849" t="n"/>
      <c r="L51" s="849" t="n"/>
      <c r="M51" s="849" t="n"/>
      <c r="N51" s="849" t="n"/>
      <c r="O51" s="849" t="n"/>
      <c r="P51" s="849" t="n"/>
      <c r="Q51" s="849" t="n"/>
      <c r="R51" s="849" t="n"/>
      <c r="S51" s="849" t="n"/>
      <c r="T51" s="849" t="n"/>
      <c r="U51" s="849" t="n"/>
      <c r="V51" s="849" t="n"/>
      <c r="W51" s="849" t="n"/>
      <c r="X51" s="849" t="n"/>
      <c r="Y51" s="849" t="n"/>
      <c r="Z51" s="849" t="n"/>
      <c r="AA51" s="849" t="n"/>
      <c r="AB51" s="849" t="n"/>
      <c r="AC51" s="849" t="n"/>
      <c r="AD51" s="849" t="n"/>
    </row>
    <row r="52" ht="15" customFormat="1" customHeight="1" s="849">
      <c r="A52" s="1474" t="inlineStr">
        <is>
          <t>Provisions:</t>
        </is>
      </c>
      <c r="B52" s="1236">
        <f>SUM(B53:B56)</f>
        <v/>
      </c>
      <c r="C52" s="1236">
        <f>SUM(C53:C56)</f>
        <v/>
      </c>
      <c r="D52" s="1236">
        <f>SUM(D53:D56)</f>
        <v/>
      </c>
      <c r="E52" s="1236">
        <f>SUM(E53:E56)</f>
        <v/>
      </c>
      <c r="F52" s="1236" t="n"/>
      <c r="G52" s="1236" t="n"/>
      <c r="H52" s="1236" t="n"/>
      <c r="I52" s="1236" t="n"/>
      <c r="J52" s="1236" t="n"/>
      <c r="K52" s="849" t="n"/>
      <c r="L52" s="849" t="n"/>
      <c r="M52" s="849" t="n"/>
      <c r="N52" s="849" t="n"/>
      <c r="O52" s="849" t="n"/>
      <c r="P52" s="849" t="n"/>
      <c r="Q52" s="849" t="n"/>
      <c r="R52" s="849" t="n"/>
      <c r="S52" s="849" t="n"/>
      <c r="T52" s="849" t="n"/>
      <c r="U52" s="849" t="n"/>
      <c r="V52" s="849" t="n"/>
      <c r="W52" s="849" t="n"/>
      <c r="X52" s="849" t="n"/>
      <c r="Y52" s="849" t="n"/>
      <c r="Z52" s="849" t="n"/>
      <c r="AA52" s="849" t="n"/>
      <c r="AB52" s="849" t="n"/>
      <c r="AC52" s="849" t="n"/>
      <c r="AD52" s="849" t="n"/>
    </row>
    <row r="53" ht="15" customFormat="1" customHeight="1" s="849">
      <c r="A53" s="1457" t="inlineStr">
        <is>
          <t xml:space="preserve">Provision for Taxation(FBT) </t>
        </is>
      </c>
      <c r="B53" s="1236" t="n">
        <v>5316.15</v>
      </c>
      <c r="C53" s="1236" t="n">
        <v>1716.12</v>
      </c>
      <c r="D53" s="1236" t="n">
        <v>2018.64</v>
      </c>
      <c r="E53" s="1236" t="n">
        <v>3390.53</v>
      </c>
      <c r="F53" s="1236" t="n"/>
      <c r="G53" s="1236" t="n"/>
      <c r="H53" s="1236" t="n"/>
      <c r="I53" s="1236" t="n"/>
      <c r="J53" s="1236" t="n"/>
      <c r="K53" s="849" t="n"/>
      <c r="L53" s="849" t="n"/>
      <c r="M53" s="849" t="n"/>
      <c r="N53" s="849" t="n"/>
      <c r="O53" s="849" t="n"/>
      <c r="P53" s="849" t="n"/>
      <c r="Q53" s="849" t="n"/>
      <c r="R53" s="849" t="n"/>
      <c r="S53" s="849" t="n"/>
      <c r="T53" s="849" t="n"/>
      <c r="U53" s="849" t="n"/>
      <c r="V53" s="849" t="n"/>
      <c r="W53" s="849" t="n"/>
      <c r="X53" s="849" t="n"/>
      <c r="Y53" s="849" t="n"/>
      <c r="Z53" s="849" t="n"/>
      <c r="AA53" s="849" t="n"/>
      <c r="AB53" s="849" t="n"/>
      <c r="AC53" s="849" t="n"/>
      <c r="AD53" s="849" t="n"/>
    </row>
    <row r="54" ht="15" customFormat="1" customHeight="1" s="849">
      <c r="A54" s="1457" t="inlineStr">
        <is>
          <t>Provision for Proposed dividend</t>
        </is>
      </c>
      <c r="B54" s="1236" t="n">
        <v>169.13</v>
      </c>
      <c r="C54" s="1236" t="n">
        <v>169.13</v>
      </c>
      <c r="D54" s="1236" t="n">
        <v>507.39</v>
      </c>
      <c r="E54" s="1236" t="n">
        <v>380.54</v>
      </c>
      <c r="F54" s="1236" t="n"/>
      <c r="G54" s="1236" t="n"/>
      <c r="H54" s="1236" t="n"/>
      <c r="I54" s="1236" t="n"/>
      <c r="J54" s="1236" t="n"/>
      <c r="K54" s="849" t="n"/>
      <c r="L54" s="849" t="n"/>
      <c r="M54" s="849" t="n"/>
      <c r="N54" s="849" t="n"/>
      <c r="O54" s="849" t="n"/>
      <c r="P54" s="849" t="n"/>
      <c r="Q54" s="849" t="n"/>
      <c r="R54" s="849" t="n"/>
      <c r="S54" s="849" t="n"/>
      <c r="T54" s="849" t="n"/>
      <c r="U54" s="849" t="n"/>
      <c r="V54" s="849" t="n"/>
      <c r="W54" s="849" t="n"/>
      <c r="X54" s="849" t="n"/>
      <c r="Y54" s="849" t="n"/>
      <c r="Z54" s="849" t="n"/>
      <c r="AA54" s="849" t="n"/>
      <c r="AB54" s="849" t="n"/>
      <c r="AC54" s="849" t="n"/>
      <c r="AD54" s="849" t="n"/>
    </row>
    <row r="55" ht="15" customFormat="1" customHeight="1" s="849">
      <c r="A55" s="1473" t="inlineStr">
        <is>
          <t>Provision for Corporate Dividend Tax</t>
        </is>
      </c>
      <c r="B55" s="1236" t="n">
        <v>23.72</v>
      </c>
      <c r="C55" s="1236" t="n">
        <v>28.74</v>
      </c>
      <c r="D55" s="1236" t="n">
        <v>86.23</v>
      </c>
      <c r="E55" s="1236" t="n">
        <v>64.67</v>
      </c>
      <c r="F55" s="1236" t="n"/>
      <c r="G55" s="1236" t="n"/>
      <c r="H55" s="1236" t="n"/>
      <c r="I55" s="1236" t="n"/>
      <c r="J55" s="1236" t="n"/>
      <c r="K55" s="849" t="n"/>
      <c r="L55" s="849" t="n"/>
      <c r="M55" s="849" t="n"/>
      <c r="N55" s="849" t="n"/>
      <c r="O55" s="849" t="n"/>
      <c r="P55" s="849" t="n"/>
      <c r="Q55" s="849" t="n"/>
      <c r="R55" s="849" t="n"/>
      <c r="S55" s="849" t="n"/>
      <c r="T55" s="849" t="n"/>
      <c r="U55" s="849" t="n"/>
      <c r="V55" s="849" t="n"/>
      <c r="W55" s="849" t="n"/>
      <c r="X55" s="849" t="n"/>
      <c r="Y55" s="849" t="n"/>
      <c r="Z55" s="849" t="n"/>
      <c r="AA55" s="849" t="n"/>
      <c r="AB55" s="849" t="n"/>
      <c r="AC55" s="849" t="n"/>
      <c r="AD55" s="849" t="n"/>
    </row>
    <row r="56" ht="51.75" customFormat="1" customHeight="1" s="849">
      <c r="A56" s="1473" t="inlineStr">
        <is>
          <t>Provision for Leave Encashment &amp; Post Retirement Medical Benefits</t>
        </is>
      </c>
      <c r="B56" s="1236" t="n">
        <v>40.37</v>
      </c>
      <c r="C56" s="1236" t="n">
        <v>51.65</v>
      </c>
      <c r="D56" s="1236" t="n">
        <v>87.13</v>
      </c>
      <c r="E56" s="1236" t="n">
        <v>141.11</v>
      </c>
      <c r="F56" s="1236" t="n"/>
      <c r="G56" s="1236" t="n"/>
      <c r="H56" s="1236" t="n"/>
      <c r="I56" s="1236" t="n"/>
      <c r="J56" s="1236" t="n"/>
      <c r="K56" s="849" t="n"/>
      <c r="L56" s="849" t="n"/>
      <c r="M56" s="849" t="n"/>
      <c r="N56" s="849" t="n"/>
      <c r="O56" s="849" t="n"/>
      <c r="P56" s="849" t="n"/>
      <c r="Q56" s="849" t="n"/>
      <c r="R56" s="849" t="n"/>
      <c r="S56" s="849" t="n"/>
      <c r="T56" s="849" t="n"/>
      <c r="U56" s="849" t="n"/>
      <c r="V56" s="849" t="n"/>
      <c r="W56" s="849" t="n"/>
      <c r="X56" s="849" t="n"/>
      <c r="Y56" s="849" t="n"/>
      <c r="Z56" s="849" t="n"/>
      <c r="AA56" s="849" t="n"/>
      <c r="AB56" s="849" t="n"/>
      <c r="AC56" s="849" t="n"/>
      <c r="AD56" s="849" t="n"/>
    </row>
    <row r="57" ht="15" customFormat="1" customHeight="1" s="849">
      <c r="A57" s="1457" t="n"/>
      <c r="B57" s="1236" t="n"/>
      <c r="C57" s="1236" t="n"/>
      <c r="D57" s="1236" t="n"/>
      <c r="E57" s="1236" t="n"/>
      <c r="F57" s="1236" t="n"/>
      <c r="G57" s="1236" t="n"/>
      <c r="H57" s="1236" t="n"/>
      <c r="I57" s="1236" t="n"/>
      <c r="J57" s="1236" t="n"/>
      <c r="K57" s="849" t="n"/>
      <c r="L57" s="849" t="n"/>
      <c r="M57" s="849" t="n"/>
      <c r="N57" s="849" t="n"/>
      <c r="O57" s="849" t="n"/>
      <c r="P57" s="849" t="n"/>
      <c r="Q57" s="849" t="n"/>
      <c r="R57" s="849" t="n"/>
      <c r="S57" s="849" t="n"/>
      <c r="T57" s="849" t="n"/>
      <c r="U57" s="849" t="n"/>
      <c r="V57" s="849" t="n"/>
      <c r="W57" s="849" t="n"/>
      <c r="X57" s="849" t="n"/>
      <c r="Y57" s="849" t="n"/>
      <c r="Z57" s="849" t="n"/>
      <c r="AA57" s="849" t="n"/>
      <c r="AB57" s="849" t="n"/>
      <c r="AC57" s="849" t="n"/>
      <c r="AD57" s="849" t="n"/>
    </row>
    <row r="58" ht="15" customFormat="1" customHeight="1" s="849">
      <c r="A58" s="1475" t="inlineStr">
        <is>
          <t>Net current Assets</t>
        </is>
      </c>
      <c r="B58" s="1476">
        <f>B36-(B44+B52)</f>
        <v/>
      </c>
      <c r="C58" s="1476">
        <f>C36-(C44+C52)</f>
        <v/>
      </c>
      <c r="D58" s="1476">
        <f>D36-(D44+D52)</f>
        <v/>
      </c>
      <c r="E58" s="1476">
        <f>E36-(E44+E52)</f>
        <v/>
      </c>
      <c r="F58" s="1476" t="n">
        <v>4009.3</v>
      </c>
      <c r="G58" s="1476" t="n">
        <v>6148.47</v>
      </c>
      <c r="H58" s="1476" t="n">
        <v>5035.71</v>
      </c>
      <c r="I58" s="1476" t="n">
        <v>4829.97</v>
      </c>
      <c r="J58" s="1476" t="n">
        <v>4575.32</v>
      </c>
      <c r="K58" s="849" t="n"/>
      <c r="L58" s="849" t="n"/>
      <c r="M58" s="849" t="n"/>
      <c r="N58" s="849" t="n"/>
      <c r="O58" s="849" t="n"/>
      <c r="P58" s="849" t="n"/>
      <c r="Q58" s="849" t="n"/>
      <c r="R58" s="849" t="n"/>
      <c r="S58" s="849" t="n"/>
      <c r="T58" s="849" t="n"/>
      <c r="U58" s="849" t="n"/>
      <c r="V58" s="849" t="n"/>
      <c r="W58" s="849" t="n"/>
      <c r="X58" s="849" t="n"/>
      <c r="Y58" s="849" t="n"/>
      <c r="Z58" s="849" t="n"/>
      <c r="AA58" s="849" t="n"/>
      <c r="AB58" s="849" t="n"/>
      <c r="AC58" s="849" t="n"/>
      <c r="AD58" s="849" t="n"/>
    </row>
    <row r="59" ht="15.75" customFormat="1" customHeight="1" s="849">
      <c r="A59" s="1477" t="n"/>
      <c r="B59" s="1236" t="n"/>
      <c r="C59" s="1236" t="n"/>
      <c r="D59" s="1236" t="n"/>
      <c r="E59" s="1236" t="n"/>
      <c r="F59" s="1236" t="n"/>
      <c r="G59" s="1236" t="n"/>
      <c r="H59" s="1236" t="n"/>
      <c r="I59" s="1236" t="n"/>
      <c r="J59" s="1236" t="n"/>
      <c r="K59" s="849" t="n"/>
      <c r="L59" s="849" t="n"/>
      <c r="M59" s="849" t="n"/>
      <c r="N59" s="849" t="n"/>
      <c r="O59" s="849" t="n"/>
      <c r="P59" s="849" t="n"/>
      <c r="Q59" s="849" t="n"/>
      <c r="R59" s="849" t="n"/>
      <c r="S59" s="849" t="n"/>
      <c r="T59" s="849" t="n"/>
      <c r="U59" s="849" t="n"/>
      <c r="V59" s="849" t="n"/>
      <c r="W59" s="849" t="n"/>
      <c r="X59" s="849" t="n"/>
      <c r="Y59" s="849" t="n"/>
      <c r="Z59" s="849" t="n"/>
      <c r="AA59" s="849" t="n"/>
      <c r="AB59" s="849" t="n"/>
      <c r="AC59" s="849" t="n"/>
      <c r="AD59" s="849" t="n"/>
    </row>
    <row r="60" ht="15.75" customFormat="1" customHeight="1" s="849">
      <c r="A60" s="1478" t="inlineStr">
        <is>
          <t>TOTAL</t>
        </is>
      </c>
      <c r="B60" s="1479">
        <f>B27+B33+B34+B58</f>
        <v/>
      </c>
      <c r="C60" s="1479">
        <f>C27+C33+C34+C58</f>
        <v/>
      </c>
      <c r="D60" s="1479">
        <f>D27+D33+D34+D58</f>
        <v/>
      </c>
      <c r="E60" s="1479">
        <f>E27+E33+E34+E58</f>
        <v/>
      </c>
      <c r="F60" s="1479">
        <f>F27+F33+F34+F58</f>
        <v/>
      </c>
      <c r="G60" s="1479">
        <f>G27+G33+G34+G58</f>
        <v/>
      </c>
      <c r="H60" s="1479">
        <f>H27+H33+H34+H58</f>
        <v/>
      </c>
      <c r="I60" s="1479">
        <f>I27+I33+I34+I58</f>
        <v/>
      </c>
      <c r="J60" s="1479">
        <f>J27+J33+J34+J58</f>
        <v/>
      </c>
    </row>
    <row r="61" ht="15" customFormat="1" customHeight="1" s="849">
      <c r="A61" s="849" t="n"/>
      <c r="B61" s="849" t="n"/>
      <c r="C61" s="849" t="n"/>
      <c r="D61" s="849" t="n"/>
      <c r="E61" s="849" t="n"/>
      <c r="F61" s="849" t="n"/>
      <c r="G61" s="849" t="n"/>
      <c r="H61" s="849" t="n"/>
      <c r="I61" s="849" t="n"/>
      <c r="J61" s="849" t="n"/>
      <c r="K61" s="849" t="n"/>
      <c r="L61" s="849" t="n"/>
      <c r="M61" s="849" t="n"/>
      <c r="N61" s="849" t="n"/>
      <c r="O61" s="849" t="n"/>
      <c r="P61" s="849" t="n"/>
      <c r="Q61" s="849" t="n"/>
      <c r="R61" s="849" t="n"/>
      <c r="S61" s="849" t="n"/>
      <c r="T61" s="849" t="n"/>
      <c r="U61" s="849" t="n"/>
      <c r="V61" s="849" t="n"/>
      <c r="W61" s="849" t="n"/>
      <c r="X61" s="849" t="n"/>
      <c r="Y61" s="849" t="n"/>
      <c r="Z61" s="849" t="n"/>
      <c r="AA61" s="849" t="n"/>
      <c r="AB61" s="849" t="n"/>
      <c r="AC61" s="849" t="n"/>
      <c r="AD61" s="849" t="n"/>
    </row>
    <row r="62" ht="15" customFormat="1" customHeight="1" s="849">
      <c r="A62" s="849" t="n"/>
      <c r="B62" s="849" t="n"/>
      <c r="C62" s="849" t="n"/>
      <c r="D62" s="849" t="n"/>
      <c r="E62" s="849" t="n"/>
      <c r="F62" s="849" t="n"/>
      <c r="G62" s="849" t="n"/>
      <c r="H62" s="849" t="n"/>
      <c r="I62" s="849" t="n"/>
      <c r="J62" s="849" t="n"/>
      <c r="K62" s="849" t="n"/>
      <c r="L62" s="849" t="n"/>
      <c r="M62" s="849" t="n"/>
      <c r="N62" s="849" t="n"/>
      <c r="O62" s="849" t="n"/>
      <c r="P62" s="849" t="n"/>
      <c r="Q62" s="849" t="n"/>
      <c r="R62" s="849" t="n"/>
      <c r="S62" s="849" t="n"/>
      <c r="T62" s="849" t="n"/>
      <c r="U62" s="849" t="n"/>
      <c r="V62" s="849" t="n"/>
      <c r="W62" s="849" t="n"/>
      <c r="X62" s="849" t="n"/>
      <c r="Y62" s="849" t="n"/>
      <c r="Z62" s="849" t="n"/>
      <c r="AA62" s="849" t="n"/>
      <c r="AB62" s="849" t="n"/>
      <c r="AC62" s="849" t="n"/>
      <c r="AD62" s="849" t="n"/>
    </row>
    <row r="63" ht="15" customFormat="1" customHeight="1" s="849">
      <c r="A63" s="849" t="n"/>
      <c r="B63" s="849" t="n"/>
      <c r="C63" s="849" t="n"/>
      <c r="D63" s="849" t="n"/>
      <c r="E63" s="849" t="n"/>
      <c r="F63" s="849" t="n"/>
      <c r="G63" s="849" t="n"/>
      <c r="H63" s="849" t="n"/>
      <c r="I63" s="849" t="n"/>
      <c r="J63" s="849" t="n"/>
      <c r="K63" s="849" t="n"/>
      <c r="L63" s="849" t="n"/>
      <c r="M63" s="849" t="n"/>
      <c r="N63" s="849" t="n"/>
      <c r="O63" s="849" t="n"/>
      <c r="P63" s="849" t="n"/>
      <c r="Q63" s="849" t="n"/>
      <c r="R63" s="849" t="n"/>
      <c r="S63" s="849" t="n"/>
      <c r="T63" s="849" t="n"/>
      <c r="U63" s="849" t="n"/>
      <c r="V63" s="849" t="n"/>
      <c r="W63" s="849" t="n"/>
      <c r="X63" s="849" t="n"/>
      <c r="Y63" s="849" t="n"/>
      <c r="Z63" s="849" t="n"/>
      <c r="AA63" s="849" t="n"/>
      <c r="AB63" s="849" t="n"/>
      <c r="AC63" s="849" t="n"/>
      <c r="AD63" s="849"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I116"/>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K13" activeCellId="0" sqref="K13"/>
    </sheetView>
  </sheetViews>
  <sheetFormatPr baseColWidth="8" defaultColWidth="9.13671875" defaultRowHeight="15" zeroHeight="0" outlineLevelRow="0"/>
  <cols>
    <col width="35.71" customWidth="1" style="1480" min="1" max="1"/>
    <col width="13.28" customWidth="1" style="1480" min="2" max="2"/>
    <col width="11.56" customWidth="1" style="1480" min="3" max="3"/>
    <col width="10.85" customWidth="1" style="1480" min="4" max="4"/>
    <col width="11.71" customWidth="1" style="1480" min="5" max="5"/>
    <col width="11.56" customWidth="1" style="1480" min="6" max="6"/>
    <col width="11.71" customWidth="1" style="1480" min="7" max="7"/>
    <col width="11.28" customWidth="1" style="1480" min="8" max="8"/>
    <col width="11.56" customWidth="1" style="1480" min="9" max="9"/>
    <col width="9.130000000000001" customWidth="1" style="1480" min="10" max="257"/>
  </cols>
  <sheetData>
    <row r="1" ht="19.5" customHeight="1" s="850">
      <c r="A1" s="1156" t="inlineStr">
        <is>
          <t>GAIL (INDIA) LTD.</t>
        </is>
      </c>
      <c r="B1" s="1481" t="n"/>
      <c r="C1" s="1482" t="n"/>
      <c r="D1" s="1482" t="n"/>
      <c r="E1" s="1482" t="n"/>
    </row>
    <row r="2" ht="18" customFormat="1" customHeight="1" s="1483">
      <c r="A2" s="1484" t="inlineStr">
        <is>
          <t>DEBT SCHEDULE</t>
        </is>
      </c>
      <c r="B2" s="1485" t="inlineStr">
        <is>
          <t>FY 2006-07 A</t>
        </is>
      </c>
      <c r="C2" s="1486" t="inlineStr">
        <is>
          <t>FY 2008 A</t>
        </is>
      </c>
      <c r="D2" s="1486" t="inlineStr">
        <is>
          <t>FY 2009 A</t>
        </is>
      </c>
      <c r="E2" s="1486" t="inlineStr">
        <is>
          <t>FY 2010 E</t>
        </is>
      </c>
      <c r="F2" s="1486" t="inlineStr">
        <is>
          <t>FY 2011 E</t>
        </is>
      </c>
      <c r="G2" s="1486" t="inlineStr">
        <is>
          <t>FY 2012 E</t>
        </is>
      </c>
      <c r="H2" s="1486" t="inlineStr">
        <is>
          <t>FY 2013 E</t>
        </is>
      </c>
      <c r="I2" s="1486" t="inlineStr">
        <is>
          <t>FY 2014 E</t>
        </is>
      </c>
    </row>
    <row r="3" ht="15" customFormat="1" customHeight="1" s="1483">
      <c r="A3" s="1487" t="inlineStr">
        <is>
          <t>(Figures in Rs. Millions.)</t>
        </is>
      </c>
      <c r="B3" s="1488" t="n"/>
      <c r="C3" s="1488" t="n"/>
      <c r="D3" s="1488" t="n"/>
      <c r="E3" s="1489" t="n"/>
      <c r="F3" s="1489" t="n"/>
      <c r="G3" s="1489" t="n"/>
      <c r="H3" s="1489" t="n"/>
      <c r="I3" s="1489" t="n"/>
    </row>
    <row r="4" ht="15" customHeight="1" s="850">
      <c r="A4" s="1490" t="n"/>
    </row>
    <row r="5" ht="15" customHeight="1" s="850">
      <c r="A5" s="1491" t="inlineStr">
        <is>
          <t>SECURED LOANS</t>
        </is>
      </c>
      <c r="B5" s="1492" t="n"/>
      <c r="C5" s="1493" t="n"/>
      <c r="D5" s="1493" t="n"/>
      <c r="E5" s="1493" t="n"/>
      <c r="F5" s="1493" t="n"/>
      <c r="G5" s="1493" t="n"/>
      <c r="H5" s="1493" t="n"/>
      <c r="I5" s="1493" t="n"/>
    </row>
    <row r="6" ht="15" customHeight="1" s="850">
      <c r="A6" s="1494" t="inlineStr">
        <is>
          <t>BOND SERIES-I</t>
        </is>
      </c>
      <c r="B6" s="1495" t="n"/>
      <c r="C6" s="1495" t="n"/>
      <c r="D6" s="1496" t="n"/>
      <c r="E6" s="1496" t="n"/>
      <c r="F6" s="1496" t="n"/>
      <c r="G6" s="1496" t="n"/>
      <c r="H6" s="1496" t="n"/>
      <c r="I6" s="1496" t="n"/>
    </row>
    <row r="7" ht="15" customHeight="1" s="850">
      <c r="A7" s="1497" t="inlineStr">
        <is>
          <t>6.10% Non-Convertible Redeemable Bonds</t>
        </is>
      </c>
      <c r="B7" s="1498" t="n">
        <v>5000</v>
      </c>
      <c r="C7" s="1498" t="n">
        <v>5000</v>
      </c>
      <c r="D7" s="1498" t="n">
        <v>5000</v>
      </c>
      <c r="E7" s="1498" t="n">
        <v>5000</v>
      </c>
      <c r="F7" s="1498" t="n">
        <v>5000</v>
      </c>
      <c r="G7" s="1498" t="n">
        <v>5000</v>
      </c>
      <c r="H7" s="1498" t="n">
        <v>5000</v>
      </c>
      <c r="I7" s="1498" t="n">
        <v>5000</v>
      </c>
    </row>
    <row r="8" ht="15" customHeight="1" s="850">
      <c r="A8" s="1494" t="inlineStr">
        <is>
          <t>BOND SERIES-II</t>
        </is>
      </c>
      <c r="B8" s="1498" t="n"/>
      <c r="C8" s="1498" t="n"/>
      <c r="D8" s="1498" t="n"/>
      <c r="E8" s="1498" t="n"/>
      <c r="F8" s="1498" t="n"/>
      <c r="G8" s="1498" t="n"/>
      <c r="H8" s="1498" t="n"/>
      <c r="I8" s="1498" t="n"/>
    </row>
    <row r="9" ht="15" customHeight="1" s="850">
      <c r="A9" s="1497" t="inlineStr">
        <is>
          <t>5.85% Secure Non-Convertible Redeemable Bonds</t>
        </is>
      </c>
      <c r="B9" s="1498" t="n">
        <v>6000</v>
      </c>
      <c r="C9" s="1498" t="n">
        <v>6000</v>
      </c>
      <c r="D9" s="1498" t="n">
        <v>6000</v>
      </c>
      <c r="E9" s="1498" t="n">
        <v>6000</v>
      </c>
      <c r="F9" s="1498" t="n">
        <v>6000</v>
      </c>
      <c r="G9" s="1498" t="n">
        <v>6000</v>
      </c>
      <c r="H9" s="1498" t="n">
        <v>6000</v>
      </c>
      <c r="I9" s="1498" t="n">
        <v>6000</v>
      </c>
    </row>
    <row r="10" ht="15" customHeight="1" s="850">
      <c r="A10" s="1496" t="n"/>
      <c r="B10" s="1498" t="n"/>
      <c r="C10" s="1498" t="n"/>
      <c r="D10" s="1499" t="n"/>
      <c r="E10" s="1498" t="n"/>
      <c r="F10" s="1498" t="n"/>
      <c r="G10" s="1499" t="n"/>
      <c r="H10" s="1499" t="n"/>
      <c r="I10" s="1499" t="n"/>
    </row>
    <row r="11" ht="15" customHeight="1" s="850">
      <c r="A11" s="1500" t="inlineStr">
        <is>
          <t>Total</t>
        </is>
      </c>
      <c r="B11" s="1501">
        <f>B7+B9</f>
        <v/>
      </c>
      <c r="C11" s="1501">
        <f>C7+C9</f>
        <v/>
      </c>
      <c r="D11" s="1501">
        <f>D7+D9</f>
        <v/>
      </c>
      <c r="E11" s="1501">
        <f>E7+E9</f>
        <v/>
      </c>
      <c r="F11" s="1501">
        <f>F7+F9</f>
        <v/>
      </c>
      <c r="G11" s="1501">
        <f>G7+G9</f>
        <v/>
      </c>
      <c r="H11" s="1501">
        <f>H7+H9</f>
        <v/>
      </c>
      <c r="I11" s="1501">
        <f>I7+I9</f>
        <v/>
      </c>
    </row>
    <row r="12" ht="15" customHeight="1" s="850">
      <c r="A12" s="1482" t="n"/>
      <c r="B12" s="1502" t="n"/>
      <c r="C12" s="1502" t="n"/>
      <c r="D12" s="1502" t="n"/>
      <c r="E12" s="1502" t="n"/>
      <c r="F12" s="1502" t="n"/>
      <c r="G12" s="1482" t="n"/>
      <c r="H12" s="1482" t="n"/>
      <c r="I12" s="1482" t="n"/>
    </row>
    <row r="13" ht="15" customHeight="1" s="850">
      <c r="A13" s="1503" t="inlineStr">
        <is>
          <t>UNSECURED LOANS</t>
        </is>
      </c>
      <c r="B13" s="1504" t="n"/>
      <c r="C13" s="1505" t="n"/>
      <c r="D13" s="1493" t="n"/>
      <c r="E13" s="1506" t="n"/>
      <c r="F13" s="1505" t="n"/>
      <c r="G13" s="1493" t="n"/>
      <c r="H13" s="1493" t="n"/>
      <c r="I13" s="1493" t="n"/>
    </row>
    <row r="14" ht="15" customHeight="1" s="850">
      <c r="A14" s="1507" t="inlineStr">
        <is>
          <t>OTHER LOANS &amp; ADVANCES</t>
        </is>
      </c>
      <c r="B14" s="1508" t="n"/>
      <c r="C14" s="1508" t="n"/>
      <c r="D14" s="1508" t="n"/>
      <c r="E14" s="1509" t="n"/>
      <c r="F14" s="1508" t="n"/>
      <c r="G14" s="1510" t="n"/>
      <c r="H14" s="1510" t="n"/>
      <c r="I14" s="1510" t="n"/>
    </row>
    <row r="15" ht="15" customHeight="1" s="850">
      <c r="A15" s="1507" t="inlineStr">
        <is>
          <t xml:space="preserve">  From Banks:</t>
        </is>
      </c>
      <c r="B15" s="1508" t="n"/>
      <c r="C15" s="1508" t="n"/>
      <c r="D15" s="1508" t="n"/>
      <c r="E15" s="1509" t="n"/>
      <c r="F15" s="1508" t="n"/>
      <c r="G15" s="1510" t="n"/>
      <c r="H15" s="1510" t="n"/>
      <c r="I15" s="1510" t="n"/>
    </row>
    <row r="16" ht="15" customHeight="1" s="850">
      <c r="A16" s="1507" t="inlineStr">
        <is>
          <t xml:space="preserve">   State Bank Of India, London</t>
        </is>
      </c>
      <c r="B16" s="1498" t="n">
        <v>62.2</v>
      </c>
      <c r="C16" s="1498" t="n">
        <v>0</v>
      </c>
      <c r="D16" s="1498" t="n">
        <v>0</v>
      </c>
      <c r="E16" s="1511" t="n">
        <v>0</v>
      </c>
      <c r="F16" s="1498" t="n">
        <v>0</v>
      </c>
      <c r="G16" s="1498" t="n">
        <v>0</v>
      </c>
      <c r="H16" s="1498" t="n">
        <v>0</v>
      </c>
      <c r="I16" s="1498" t="n">
        <v>0</v>
      </c>
    </row>
    <row r="17" ht="15" customHeight="1" s="850">
      <c r="A17" s="1507" t="inlineStr">
        <is>
          <t xml:space="preserve">  From Others:</t>
        </is>
      </c>
      <c r="B17" s="1498" t="n"/>
      <c r="C17" s="1498" t="n"/>
      <c r="D17" s="1499" t="n"/>
      <c r="E17" s="1511" t="n"/>
      <c r="F17" s="1498" t="n"/>
      <c r="G17" s="1499" t="n"/>
      <c r="H17" s="1499" t="n"/>
      <c r="I17" s="1499" t="n"/>
    </row>
    <row r="18" ht="15" customHeight="1" s="850">
      <c r="A18" s="1507" t="inlineStr">
        <is>
          <t xml:space="preserve">       Oil Industry Development Board</t>
        </is>
      </c>
      <c r="B18" s="1498" t="n">
        <v>2316.3</v>
      </c>
      <c r="C18" s="1498" t="n">
        <v>1658.7</v>
      </c>
      <c r="D18" s="1499" t="n">
        <v>1001.3</v>
      </c>
      <c r="E18" s="1511" t="n">
        <v>86.33</v>
      </c>
      <c r="F18" s="1512" t="n">
        <v>72.34</v>
      </c>
      <c r="G18" s="1512" t="n">
        <v>54.36</v>
      </c>
      <c r="H18" s="1512" t="n">
        <v>41.82</v>
      </c>
      <c r="I18" s="1512" t="n">
        <v>36.24</v>
      </c>
    </row>
    <row r="19" ht="15" customHeight="1" s="850">
      <c r="A19" s="1510" t="n"/>
      <c r="B19" s="1498" t="n"/>
      <c r="C19" s="1498" t="n"/>
      <c r="D19" s="1499" t="n"/>
      <c r="E19" s="1511" t="n"/>
      <c r="F19" s="1498" t="n"/>
      <c r="G19" s="1499" t="n"/>
      <c r="H19" s="1499" t="n"/>
      <c r="I19" s="1499" t="n"/>
    </row>
    <row r="20" ht="15" customHeight="1" s="850">
      <c r="A20" s="1513" t="inlineStr">
        <is>
          <t>Total</t>
        </is>
      </c>
      <c r="B20" s="1514">
        <f>B16+B18</f>
        <v/>
      </c>
      <c r="C20" s="1514">
        <f>C16+C18</f>
        <v/>
      </c>
      <c r="D20" s="1514">
        <f>D16+D18</f>
        <v/>
      </c>
      <c r="E20" s="1515">
        <f>E16+E18</f>
        <v/>
      </c>
      <c r="F20" s="1514">
        <f>F16+F18</f>
        <v/>
      </c>
      <c r="G20" s="1514">
        <f>G16+G18</f>
        <v/>
      </c>
      <c r="H20" s="1514">
        <f>H16+H18</f>
        <v/>
      </c>
      <c r="I20" s="1514">
        <f>I16+I18</f>
        <v/>
      </c>
    </row>
    <row r="21" ht="15" customHeight="1" s="850">
      <c r="A21" s="1516" t="inlineStr">
        <is>
          <t>TOTAL DEBT</t>
        </is>
      </c>
      <c r="B21" s="1517">
        <f>B20+B11</f>
        <v/>
      </c>
      <c r="C21" s="1517">
        <f>C20+C11</f>
        <v/>
      </c>
      <c r="D21" s="1517">
        <f>D20+D11</f>
        <v/>
      </c>
      <c r="E21" s="1518">
        <f>E20+E11</f>
        <v/>
      </c>
      <c r="F21" s="1519">
        <f>F20+F11</f>
        <v/>
      </c>
      <c r="G21" s="1519">
        <f>G20+G11</f>
        <v/>
      </c>
      <c r="H21" s="1519">
        <f>H20+H11</f>
        <v/>
      </c>
      <c r="I21" s="1519">
        <f>I20+I11</f>
        <v/>
      </c>
    </row>
    <row r="22" ht="15" customHeight="1" s="850">
      <c r="E22" s="1520" t="n"/>
      <c r="F22" s="1521" t="n"/>
    </row>
    <row r="23" ht="15" customHeight="1" s="850">
      <c r="E23" s="1521" t="n"/>
      <c r="F23" s="1521" t="n"/>
    </row>
    <row r="24" ht="15" customHeight="1" s="850">
      <c r="A24" s="1482" t="n"/>
      <c r="E24" s="1521" t="n"/>
      <c r="F24" s="1521" t="n"/>
    </row>
    <row r="29" ht="15" customFormat="1" customHeight="1" s="1482">
      <c r="A29" s="1480" t="n"/>
      <c r="B29" s="1480" t="n"/>
      <c r="C29" s="1480" t="n"/>
      <c r="D29" s="1480" t="n"/>
      <c r="E29" s="1480" t="n"/>
      <c r="F29" s="1480" t="n"/>
      <c r="G29" s="1480" t="n"/>
      <c r="H29" s="1480" t="n"/>
      <c r="I29" s="1480" t="n"/>
    </row>
    <row r="30" ht="15" customFormat="1" customHeight="1" s="1482">
      <c r="A30" s="1480" t="n"/>
      <c r="B30" s="1480" t="n"/>
      <c r="C30" s="1480" t="n"/>
      <c r="D30" s="1480" t="n"/>
      <c r="E30" s="1480" t="n"/>
      <c r="F30" s="1480" t="n"/>
      <c r="G30" s="1480" t="n"/>
      <c r="H30" s="1480" t="n"/>
      <c r="I30" s="1480" t="n"/>
    </row>
    <row r="36" ht="15" customFormat="1" customHeight="1" s="1482">
      <c r="A36" s="1522" t="n"/>
      <c r="B36" s="1523" t="n"/>
      <c r="C36" s="1522" t="n"/>
      <c r="D36" s="1522" t="n"/>
      <c r="E36" s="1522" t="n"/>
      <c r="F36" s="1524" t="n"/>
      <c r="G36" s="1524" t="n"/>
      <c r="H36" s="1524" t="n"/>
      <c r="I36" s="1524" t="n"/>
    </row>
    <row r="37" ht="15" customFormat="1" customHeight="1" s="1482">
      <c r="A37" s="1525" t="n"/>
      <c r="B37" s="1526" t="n"/>
      <c r="C37" s="1525" t="n"/>
      <c r="D37" s="1525" t="n"/>
      <c r="E37" s="1525" t="n"/>
      <c r="F37" s="1525" t="n"/>
      <c r="G37" s="1525" t="n"/>
      <c r="H37" s="1525" t="n"/>
      <c r="I37" s="1525" t="n"/>
    </row>
    <row r="38" ht="15" customHeight="1" s="850">
      <c r="A38" s="1525" t="n"/>
      <c r="B38" s="1527" t="n"/>
      <c r="C38" s="1527" t="n"/>
      <c r="D38" s="1527" t="n"/>
      <c r="E38" s="1527" t="n"/>
      <c r="F38" s="1527" t="n"/>
      <c r="G38" s="1527" t="n"/>
      <c r="H38" s="1527" t="n"/>
      <c r="I38" s="1527" t="n"/>
    </row>
    <row r="39" ht="15" customHeight="1" s="850">
      <c r="A39" s="1527" t="n"/>
      <c r="B39" s="1528" t="n"/>
      <c r="C39" s="1527" t="n"/>
      <c r="D39" s="1527" t="n"/>
      <c r="E39" s="1527" t="n"/>
      <c r="F39" s="1527" t="n"/>
      <c r="G39" s="1527" t="n"/>
      <c r="H39" s="1527" t="n"/>
      <c r="I39" s="1527" t="n"/>
    </row>
    <row r="40" ht="15" customHeight="1" s="850">
      <c r="A40" s="1527" t="n"/>
      <c r="B40" s="1528" t="n"/>
      <c r="C40" s="1527" t="n"/>
      <c r="D40" s="1527" t="n"/>
      <c r="E40" s="1527" t="n"/>
      <c r="F40" s="1527" t="n"/>
      <c r="G40" s="1527" t="n"/>
      <c r="H40" s="1527" t="n"/>
      <c r="I40" s="1527" t="n"/>
    </row>
    <row r="41" ht="15" customHeight="1" s="850">
      <c r="A41" s="1527" t="n"/>
      <c r="B41" s="1528" t="n"/>
      <c r="C41" s="1527" t="n"/>
      <c r="D41" s="1527" t="n"/>
      <c r="E41" s="1527" t="n"/>
      <c r="F41" s="1527" t="n"/>
      <c r="G41" s="1527" t="n"/>
      <c r="H41" s="1527" t="n"/>
      <c r="I41" s="1527" t="n"/>
    </row>
    <row r="42" ht="15" customHeight="1" s="850">
      <c r="A42" s="1527" t="n"/>
      <c r="B42" s="1528" t="n"/>
      <c r="C42" s="1527" t="n"/>
      <c r="D42" s="1527" t="n"/>
      <c r="E42" s="1527" t="n"/>
      <c r="F42" s="1527" t="n"/>
      <c r="G42" s="1527" t="n"/>
      <c r="H42" s="1527" t="n"/>
      <c r="I42" s="1527" t="n"/>
    </row>
    <row r="43" ht="15" customHeight="1" s="850">
      <c r="A43" s="1529" t="n"/>
      <c r="B43" s="1530" t="n"/>
      <c r="C43" s="1529" t="n"/>
      <c r="D43" s="1529" t="n"/>
      <c r="E43" s="1529" t="n"/>
      <c r="F43" s="1482" t="n"/>
      <c r="G43" s="1482" t="n"/>
      <c r="H43" s="1482" t="n"/>
      <c r="I43" s="1482" t="n"/>
    </row>
    <row r="44" ht="15" customHeight="1" s="850">
      <c r="A44" s="1525" t="n"/>
      <c r="B44" s="1528" t="n"/>
      <c r="C44" s="1527" t="n"/>
      <c r="D44" s="1527" t="n"/>
      <c r="E44" s="1527" t="n"/>
      <c r="F44" s="1527" t="n"/>
      <c r="G44" s="1527" t="n"/>
      <c r="H44" s="1527" t="n"/>
      <c r="I44" s="1527" t="n"/>
    </row>
    <row r="45" ht="15" customHeight="1" s="850">
      <c r="A45" s="1529" t="n"/>
      <c r="B45" s="1530" t="n"/>
      <c r="C45" s="1529" t="n"/>
      <c r="D45" s="1529" t="n"/>
      <c r="E45" s="1529" t="n"/>
      <c r="F45" s="1482" t="n"/>
      <c r="G45" s="1482" t="n"/>
      <c r="H45" s="1482" t="n"/>
      <c r="I45" s="1482" t="n"/>
    </row>
    <row r="46" ht="15" customHeight="1" s="850">
      <c r="A46" s="1525" t="n"/>
      <c r="B46" s="1527" t="n"/>
      <c r="C46" s="1527" t="n"/>
      <c r="D46" s="1527" t="n"/>
      <c r="E46" s="1527" t="n"/>
      <c r="F46" s="1527" t="n"/>
      <c r="G46" s="1527" t="n"/>
      <c r="H46" s="1527" t="n"/>
      <c r="I46" s="1527" t="n"/>
    </row>
    <row r="47" ht="15" customHeight="1" s="850">
      <c r="A47" s="1525" t="n"/>
      <c r="B47" s="1527" t="n"/>
      <c r="C47" s="1527" t="n"/>
      <c r="D47" s="1527" t="n"/>
      <c r="E47" s="1527" t="n"/>
      <c r="F47" s="1527" t="n"/>
      <c r="G47" s="1527" t="n"/>
      <c r="H47" s="1527" t="n"/>
      <c r="I47" s="1527" t="n"/>
    </row>
    <row r="48" ht="15" customHeight="1" s="850">
      <c r="A48" s="1527" t="n"/>
      <c r="B48" s="1528" t="n"/>
      <c r="C48" s="1527" t="n"/>
      <c r="D48" s="1527" t="n"/>
      <c r="E48" s="1527" t="n"/>
      <c r="F48" s="1527" t="n"/>
      <c r="G48" s="1527" t="n"/>
      <c r="H48" s="1527" t="n"/>
      <c r="I48" s="1527" t="n"/>
    </row>
    <row r="49" ht="15" customHeight="1" s="850">
      <c r="A49" s="1527" t="n"/>
      <c r="B49" s="1528" t="n"/>
      <c r="C49" s="1527" t="n"/>
      <c r="D49" s="1527" t="n"/>
      <c r="E49" s="1527" t="n"/>
      <c r="F49" s="1527" t="n"/>
      <c r="G49" s="1527" t="n"/>
      <c r="H49" s="1527" t="n"/>
      <c r="I49" s="1527" t="n"/>
    </row>
    <row r="50" ht="15" customHeight="1" s="850">
      <c r="A50" s="1527" t="n"/>
      <c r="B50" s="1528" t="n"/>
      <c r="C50" s="1527" t="n"/>
      <c r="D50" s="1527" t="n"/>
      <c r="E50" s="1527" t="n"/>
      <c r="F50" s="1527" t="n"/>
      <c r="G50" s="1527" t="n"/>
      <c r="H50" s="1527" t="n"/>
      <c r="I50" s="1527" t="n"/>
    </row>
    <row r="51" ht="15" customHeight="1" s="850">
      <c r="A51" s="1527" t="n"/>
      <c r="B51" s="1528" t="n"/>
      <c r="C51" s="1527" t="n"/>
      <c r="D51" s="1527" t="n"/>
      <c r="E51" s="1527" t="n"/>
      <c r="F51" s="1527" t="n"/>
      <c r="G51" s="1527" t="n"/>
      <c r="H51" s="1527" t="n"/>
      <c r="I51" s="1527" t="n"/>
    </row>
    <row r="52" ht="15" customFormat="1" customHeight="1" s="1524">
      <c r="A52" s="1527" t="n"/>
      <c r="B52" s="1528" t="n"/>
      <c r="C52" s="1527" t="n"/>
      <c r="D52" s="1527" t="n"/>
      <c r="E52" s="1527" t="n"/>
      <c r="F52" s="1527" t="n"/>
      <c r="G52" s="1527" t="n"/>
      <c r="H52" s="1527" t="n"/>
      <c r="I52" s="1527" t="n"/>
    </row>
    <row r="53" ht="15" customFormat="1" customHeight="1" s="1525">
      <c r="A53" s="1527" t="n"/>
      <c r="B53" s="1528" t="n"/>
      <c r="C53" s="1527" t="n"/>
      <c r="D53" s="1527" t="n"/>
      <c r="E53" s="1527" t="n"/>
      <c r="F53" s="1527" t="n"/>
      <c r="G53" s="1527" t="n"/>
      <c r="H53" s="1527" t="n"/>
      <c r="I53" s="1527" t="n"/>
    </row>
    <row r="54" ht="15" customFormat="1" customHeight="1" s="1527">
      <c r="A54" s="1531" t="n"/>
      <c r="B54" s="1532" t="n"/>
      <c r="C54" s="1531" t="n"/>
      <c r="D54" s="1531" t="n"/>
      <c r="E54" s="1531" t="n"/>
      <c r="F54" s="1525" t="n"/>
      <c r="G54" s="1525" t="n"/>
      <c r="H54" s="1525" t="n"/>
      <c r="I54" s="1525" t="n"/>
    </row>
    <row r="55" ht="15" customFormat="1" customHeight="1" s="1527">
      <c r="A55" s="1525" t="n"/>
      <c r="B55" s="1525" t="n"/>
      <c r="C55" s="1525" t="n"/>
      <c r="D55" s="1525" t="n"/>
      <c r="E55" s="1525" t="n"/>
      <c r="F55" s="1525" t="n"/>
      <c r="G55" s="1525" t="n"/>
      <c r="H55" s="1525" t="n"/>
      <c r="I55" s="1525" t="n"/>
    </row>
    <row r="56" ht="15" customFormat="1" customHeight="1" s="1527">
      <c r="A56" s="1527" t="n"/>
      <c r="B56" s="1528" t="n"/>
      <c r="C56" s="1527" t="n"/>
      <c r="D56" s="1527" t="n"/>
      <c r="E56" s="1527" t="n"/>
    </row>
    <row r="57" ht="15" customFormat="1" customHeight="1" s="1527">
      <c r="A57" s="1527" t="n"/>
      <c r="B57" s="1528" t="n"/>
      <c r="C57" s="1527" t="n"/>
      <c r="D57" s="1527" t="n"/>
      <c r="E57" s="1527" t="n"/>
    </row>
    <row r="58" ht="15" customFormat="1" customHeight="1" s="1527">
      <c r="A58" s="1531" t="n"/>
      <c r="B58" s="1532" t="n"/>
      <c r="C58" s="1531" t="n"/>
      <c r="D58" s="1531" t="n"/>
      <c r="E58" s="1531" t="n"/>
      <c r="F58" s="1525" t="n"/>
      <c r="G58" s="1525" t="n"/>
      <c r="H58" s="1525" t="n"/>
      <c r="I58" s="1525" t="n"/>
    </row>
    <row r="59" ht="15" customFormat="1" customHeight="1" s="1482">
      <c r="A59" s="1529" t="n"/>
      <c r="B59" s="1530" t="n"/>
      <c r="C59" s="1529" t="n"/>
      <c r="D59" s="1529" t="n"/>
      <c r="E59" s="1529" t="n"/>
    </row>
    <row r="60" ht="15" customFormat="1" customHeight="1" s="1527">
      <c r="A60" s="1525" t="n"/>
      <c r="B60" s="1528" t="n"/>
      <c r="C60" s="1527" t="n"/>
      <c r="D60" s="1527" t="n"/>
      <c r="E60" s="1527" t="n"/>
    </row>
    <row r="61" ht="15" customFormat="1" customHeight="1" s="1482">
      <c r="A61" s="1525" t="n"/>
      <c r="B61" s="1526" t="n"/>
      <c r="C61" s="1525" t="n"/>
      <c r="D61" s="1525" t="n"/>
      <c r="E61" s="1525" t="n"/>
      <c r="F61" s="1525" t="n"/>
      <c r="G61" s="1525" t="n"/>
      <c r="H61" s="1525" t="n"/>
      <c r="I61" s="1525" t="n"/>
    </row>
    <row r="62" ht="15" customFormat="1" customHeight="1" s="1527">
      <c r="A62" s="1524" t="n"/>
      <c r="B62" s="1533" t="n"/>
      <c r="C62" s="1524" t="n"/>
      <c r="D62" s="1524" t="n"/>
      <c r="E62" s="1524" t="n"/>
      <c r="F62" s="1524" t="n"/>
      <c r="G62" s="1524" t="n"/>
      <c r="H62" s="1524" t="n"/>
      <c r="I62" s="1524" t="n"/>
    </row>
    <row r="63" ht="15" customFormat="1" customHeight="1" s="1527">
      <c r="A63" s="1534" t="n"/>
      <c r="B63" s="1480" t="n"/>
      <c r="C63" s="1480" t="n"/>
      <c r="D63" s="1480" t="n"/>
      <c r="E63" s="1480" t="n"/>
      <c r="F63" s="1480" t="n"/>
      <c r="G63" s="1480" t="n"/>
      <c r="H63" s="1480" t="n"/>
      <c r="I63" s="1480" t="n"/>
    </row>
    <row r="64" ht="15" customFormat="1" customHeight="1" s="1527">
      <c r="A64" s="1480" t="n"/>
      <c r="B64" s="1480" t="n"/>
      <c r="C64" s="1480" t="n"/>
      <c r="D64" s="1480" t="n"/>
      <c r="E64" s="1480" t="n"/>
      <c r="F64" s="1480" t="n"/>
      <c r="G64" s="1480" t="n"/>
      <c r="H64" s="1480" t="n"/>
      <c r="I64" s="1480" t="n"/>
    </row>
    <row r="65" ht="15" customFormat="1" customHeight="1" s="1527">
      <c r="A65" s="1535" t="n"/>
      <c r="B65" s="1536" t="n"/>
      <c r="C65" s="1537" t="n"/>
      <c r="D65" s="1537" t="n"/>
      <c r="E65" s="1537" t="n"/>
      <c r="F65" s="1480" t="n"/>
      <c r="G65" s="1480" t="n"/>
      <c r="H65" s="1480" t="n"/>
      <c r="I65" s="1480" t="n"/>
    </row>
    <row r="66" ht="15" customFormat="1" customHeight="1" s="1527">
      <c r="A66" s="1480" t="n"/>
      <c r="B66" s="1480" t="n"/>
      <c r="C66" s="1480" t="n"/>
      <c r="D66" s="1480" t="n"/>
      <c r="E66" s="1480" t="n"/>
      <c r="F66" s="1480" t="n"/>
      <c r="G66" s="1480" t="n"/>
      <c r="H66" s="1480" t="n"/>
      <c r="I66" s="1480" t="n"/>
    </row>
    <row r="67" ht="15" customFormat="1" customHeight="1" s="1527">
      <c r="A67" s="1527" t="n"/>
      <c r="B67" s="1520" t="n"/>
      <c r="C67" s="1480" t="n"/>
      <c r="D67" s="1480" t="n"/>
      <c r="E67" s="1480" t="n"/>
      <c r="F67" s="1480" t="n"/>
      <c r="G67" s="1480" t="n"/>
      <c r="H67" s="1480" t="n"/>
      <c r="I67" s="1480" t="n"/>
    </row>
    <row r="68" ht="15" customFormat="1" customHeight="1" s="1527">
      <c r="A68" s="1480" t="n"/>
      <c r="B68" s="1520" t="n"/>
      <c r="C68" s="1480" t="n"/>
      <c r="D68" s="1480" t="n"/>
      <c r="E68" s="1480" t="n"/>
      <c r="F68" s="1480" t="n"/>
      <c r="G68" s="1480" t="n"/>
      <c r="H68" s="1480" t="n"/>
      <c r="I68" s="1480" t="n"/>
    </row>
    <row r="69" ht="15" customFormat="1" customHeight="1" s="1527">
      <c r="A69" s="1534" t="n"/>
      <c r="B69" s="1520" t="n"/>
      <c r="C69" s="1480" t="n"/>
      <c r="D69" s="1480" t="n"/>
      <c r="E69" s="1480" t="n"/>
      <c r="F69" s="1480" t="n"/>
      <c r="G69" s="1480" t="n"/>
      <c r="H69" s="1480" t="n"/>
      <c r="I69" s="1480" t="n"/>
    </row>
    <row r="70" ht="15" customFormat="1" customHeight="1" s="1525">
      <c r="A70" s="1538" t="n"/>
      <c r="B70" s="1520" t="n"/>
      <c r="C70" s="1480" t="n"/>
      <c r="D70" s="1480" t="n"/>
      <c r="E70" s="1480" t="n"/>
      <c r="F70" s="1480" t="n"/>
      <c r="G70" s="1480" t="n"/>
      <c r="H70" s="1480" t="n"/>
      <c r="I70" s="1480" t="n"/>
    </row>
    <row r="71" ht="15" customFormat="1" customHeight="1" s="1525">
      <c r="A71" s="1482" t="n"/>
      <c r="B71" s="1520" t="n"/>
      <c r="C71" s="1480" t="n"/>
      <c r="D71" s="1480" t="n"/>
      <c r="E71" s="1480" t="n"/>
      <c r="F71" s="1480" t="n"/>
      <c r="G71" s="1480" t="n"/>
      <c r="H71" s="1480" t="n"/>
      <c r="I71" s="1480" t="n"/>
    </row>
    <row r="72" ht="15" customFormat="1" customHeight="1" s="1527">
      <c r="A72" s="1482" t="n"/>
      <c r="B72" s="1520" t="n"/>
      <c r="C72" s="1480" t="n"/>
      <c r="D72" s="1480" t="n"/>
      <c r="E72" s="1480" t="n"/>
      <c r="F72" s="1480" t="n"/>
      <c r="G72" s="1480" t="n"/>
      <c r="H72" s="1480" t="n"/>
      <c r="I72" s="1480" t="n"/>
    </row>
    <row r="73" ht="15" customFormat="1" customHeight="1" s="1527">
      <c r="A73" s="1482" t="n"/>
      <c r="B73" s="1520" t="n"/>
      <c r="C73" s="1480" t="n"/>
      <c r="D73" s="1480" t="n"/>
      <c r="E73" s="1480" t="n"/>
      <c r="F73" s="1480" t="n"/>
      <c r="G73" s="1480" t="n"/>
      <c r="H73" s="1480" t="n"/>
      <c r="I73" s="1480" t="n"/>
    </row>
    <row r="74" ht="15" customFormat="1" customHeight="1" s="1525">
      <c r="A74" s="1482" t="n"/>
      <c r="B74" s="1520" t="n"/>
      <c r="C74" s="1480" t="n"/>
      <c r="D74" s="1480" t="n"/>
      <c r="E74" s="1480" t="n"/>
      <c r="F74" s="1480" t="n"/>
      <c r="G74" s="1480" t="n"/>
      <c r="H74" s="1480" t="n"/>
      <c r="I74" s="1480" t="n"/>
    </row>
    <row r="75" ht="15" customFormat="1" customHeight="1" s="1482">
      <c r="A75" s="1482" t="n"/>
      <c r="B75" s="1520" t="n"/>
      <c r="C75" s="1480" t="n"/>
      <c r="D75" s="1480" t="n"/>
      <c r="E75" s="1480" t="n"/>
      <c r="F75" s="1480" t="n"/>
      <c r="G75" s="1480" t="n"/>
      <c r="H75" s="1480" t="n"/>
      <c r="I75" s="1480" t="n"/>
    </row>
    <row r="76" ht="15" customFormat="1" customHeight="1" s="1527">
      <c r="A76" s="1539" t="n"/>
      <c r="B76" s="1540" t="n"/>
      <c r="C76" s="1524" t="n"/>
      <c r="D76" s="1524" t="n"/>
      <c r="E76" s="1524" t="n"/>
      <c r="F76" s="1524" t="n"/>
      <c r="G76" s="1524" t="n"/>
      <c r="H76" s="1524" t="n"/>
      <c r="I76" s="1524" t="n"/>
    </row>
    <row r="77" ht="15" customFormat="1" customHeight="1" s="1525">
      <c r="A77" s="1525" t="n"/>
      <c r="B77" s="1480" t="n"/>
      <c r="C77" s="1480" t="n"/>
      <c r="D77" s="1480" t="n"/>
      <c r="E77" s="1480" t="n"/>
      <c r="F77" s="1480" t="n"/>
      <c r="G77" s="1480" t="n"/>
      <c r="H77" s="1480" t="n"/>
      <c r="I77" s="1480" t="n"/>
    </row>
    <row r="78" ht="15" customFormat="1" customHeight="1" s="1524">
      <c r="A78" s="1527" t="n"/>
      <c r="B78" s="1520" t="n"/>
      <c r="C78" s="1480" t="n"/>
      <c r="D78" s="1480" t="n"/>
      <c r="E78" s="1480" t="n"/>
      <c r="F78" s="1480" t="n"/>
      <c r="G78" s="1480" t="n"/>
      <c r="H78" s="1480" t="n"/>
      <c r="I78" s="1480" t="n"/>
    </row>
    <row r="79" ht="15" customHeight="1" s="850">
      <c r="A79" s="1527" t="n"/>
      <c r="B79" s="1520" t="n"/>
    </row>
    <row r="80" ht="15" customHeight="1" s="850">
      <c r="A80" s="1527" t="n"/>
      <c r="B80" s="1520" t="n"/>
    </row>
    <row r="81" ht="15" customHeight="1" s="850">
      <c r="A81" s="1527" t="n"/>
      <c r="B81" s="1541" t="n"/>
      <c r="C81" s="1527" t="n"/>
      <c r="D81" s="1527" t="n"/>
      <c r="E81" s="1527" t="n"/>
      <c r="F81" s="1527" t="n"/>
      <c r="G81" s="1527" t="n"/>
      <c r="H81" s="1527" t="n"/>
      <c r="I81" s="1527" t="n"/>
    </row>
    <row r="82" ht="15" customHeight="1" s="850">
      <c r="A82" s="1525" t="n"/>
      <c r="B82" s="1520" t="n"/>
    </row>
    <row r="83" ht="15" customHeight="1" s="850">
      <c r="A83" s="1525" t="n"/>
      <c r="B83" s="1520" t="n"/>
    </row>
    <row r="84" ht="15" customHeight="1" s="850">
      <c r="A84" s="1525" t="n"/>
      <c r="B84" s="1520" t="n"/>
    </row>
    <row r="85" ht="15" customHeight="1" s="850">
      <c r="A85" s="1525" t="n"/>
    </row>
    <row r="86" ht="15" customHeight="1" s="850">
      <c r="A86" s="1527" t="n"/>
      <c r="B86" s="1520" t="n"/>
    </row>
    <row r="87" ht="15" customHeight="1" s="850">
      <c r="A87" s="1527" t="n"/>
      <c r="B87" s="1520" t="n"/>
    </row>
    <row r="88" ht="15" customHeight="1" s="850">
      <c r="A88" s="1527" t="n"/>
      <c r="B88" s="1541" t="n"/>
    </row>
    <row r="89" ht="15" customHeight="1" s="850">
      <c r="A89" s="1527" t="n"/>
      <c r="B89" s="1541" t="n"/>
      <c r="C89" s="1527" t="n"/>
      <c r="D89" s="1527" t="n"/>
      <c r="E89" s="1527" t="n"/>
      <c r="F89" s="1527" t="n"/>
      <c r="G89" s="1527" t="n"/>
      <c r="H89" s="1527" t="n"/>
      <c r="I89" s="1527" t="n"/>
    </row>
    <row r="90" ht="15" customHeight="1" s="850">
      <c r="A90" s="1527" t="n"/>
      <c r="B90" s="1541" t="n"/>
      <c r="C90" s="1527" t="n"/>
      <c r="D90" s="1527" t="n"/>
      <c r="E90" s="1527" t="n"/>
      <c r="F90" s="1527" t="n"/>
      <c r="G90" s="1527" t="n"/>
      <c r="H90" s="1527" t="n"/>
      <c r="I90" s="1527" t="n"/>
    </row>
    <row r="91" ht="15" customHeight="1" s="850">
      <c r="A91" s="1527" t="n"/>
      <c r="B91" s="1520" t="n"/>
      <c r="C91" s="1482" t="n"/>
      <c r="D91" s="1482" t="n"/>
      <c r="E91" s="1482" t="n"/>
      <c r="F91" s="1482" t="n"/>
      <c r="G91" s="1482" t="n"/>
      <c r="H91" s="1482" t="n"/>
      <c r="I91" s="1482" t="n"/>
    </row>
    <row r="92" ht="15" customFormat="1" customHeight="1" s="1524">
      <c r="A92" s="1527" t="n"/>
      <c r="B92" s="1520" t="n"/>
      <c r="C92" s="1480" t="n"/>
      <c r="D92" s="1480" t="n"/>
      <c r="E92" s="1480" t="n"/>
      <c r="F92" s="1480" t="n"/>
      <c r="G92" s="1480" t="n"/>
      <c r="H92" s="1480" t="n"/>
      <c r="I92" s="1480" t="n"/>
    </row>
    <row r="93" ht="15" customHeight="1" s="850">
      <c r="A93" s="1525" t="n"/>
      <c r="B93" s="1520" t="n"/>
    </row>
    <row r="94" ht="15" customHeight="1" s="850">
      <c r="A94" s="1527" t="n"/>
      <c r="B94" s="1520" t="n"/>
    </row>
    <row r="95" ht="15" customHeight="1" s="850">
      <c r="A95" s="1527" t="n"/>
      <c r="B95" s="1520" t="n"/>
    </row>
    <row r="96" ht="15" customHeight="1" s="850">
      <c r="A96" s="1527" t="n"/>
      <c r="B96" s="1520" t="n"/>
    </row>
    <row r="97" ht="15" customFormat="1" customHeight="1" s="1527">
      <c r="A97" s="1525" t="n"/>
      <c r="B97" s="1520" t="n"/>
      <c r="C97" s="1480" t="n"/>
      <c r="D97" s="1480" t="n"/>
      <c r="E97" s="1480" t="n"/>
      <c r="F97" s="1480" t="n"/>
      <c r="G97" s="1480" t="n"/>
      <c r="H97" s="1480" t="n"/>
      <c r="I97" s="1480" t="n"/>
    </row>
    <row r="98" ht="15" customHeight="1" s="850">
      <c r="A98" s="1525" t="n"/>
      <c r="B98" s="1520" t="n"/>
    </row>
    <row r="99" ht="15" customHeight="1" s="850">
      <c r="A99" s="1539" t="n"/>
      <c r="B99" s="1540" t="n"/>
      <c r="C99" s="1524" t="n"/>
      <c r="D99" s="1524" t="n"/>
      <c r="E99" s="1524" t="n"/>
      <c r="F99" s="1524" t="n"/>
      <c r="G99" s="1524" t="n"/>
      <c r="H99" s="1524" t="n"/>
      <c r="I99" s="1524" t="n"/>
    </row>
    <row r="100" ht="15" customHeight="1" s="850">
      <c r="A100" s="1524" t="n"/>
      <c r="B100" s="1542" t="n"/>
      <c r="C100" s="1543" t="n"/>
      <c r="D100" s="1543" t="n"/>
      <c r="E100" s="1543" t="n"/>
      <c r="F100" s="1543" t="n"/>
      <c r="G100" s="1543" t="n"/>
      <c r="H100" s="1543" t="n"/>
      <c r="I100" s="1543" t="n"/>
    </row>
    <row r="102" ht="15" customHeight="1" s="850">
      <c r="B102" s="1521" t="n"/>
    </row>
    <row r="105" ht="15" customFormat="1" customHeight="1" s="1527">
      <c r="A105" s="1480" t="n"/>
      <c r="B105" s="1480" t="n"/>
      <c r="C105" s="1480" t="n"/>
      <c r="D105" s="1480" t="n"/>
      <c r="E105" s="1480" t="n"/>
      <c r="F105" s="1480" t="n"/>
      <c r="G105" s="1480" t="n"/>
      <c r="H105" s="1480" t="n"/>
      <c r="I105" s="1480" t="n"/>
    </row>
    <row r="106" ht="15" customFormat="1" customHeight="1" s="1527">
      <c r="A106" s="1480" t="n"/>
      <c r="B106" s="1480" t="n"/>
      <c r="C106" s="1480" t="n"/>
      <c r="D106" s="1480" t="n"/>
      <c r="E106" s="1480" t="n"/>
      <c r="F106" s="1480" t="n"/>
      <c r="G106" s="1480" t="n"/>
      <c r="H106" s="1480" t="n"/>
      <c r="I106" s="1480" t="n"/>
    </row>
    <row r="107" ht="15" customFormat="1" customHeight="1" s="1482">
      <c r="A107" s="1480" t="n"/>
      <c r="B107" s="1480" t="n"/>
      <c r="C107" s="1480" t="n"/>
      <c r="D107" s="1480" t="n"/>
      <c r="E107" s="1480" t="n"/>
      <c r="F107" s="1480" t="n"/>
      <c r="G107" s="1480" t="n"/>
      <c r="H107" s="1480" t="n"/>
      <c r="I107" s="1480" t="n"/>
    </row>
    <row r="115" ht="15" customFormat="1" customHeight="1" s="1524">
      <c r="A115" s="1480" t="n"/>
      <c r="B115" s="1480" t="n"/>
      <c r="C115" s="1480" t="n"/>
      <c r="D115" s="1480" t="n"/>
      <c r="E115" s="1480" t="n"/>
      <c r="F115" s="1480" t="n"/>
      <c r="G115" s="1480" t="n"/>
      <c r="H115" s="1480" t="n"/>
      <c r="I115" s="1480" t="n"/>
    </row>
    <row r="116" ht="15" customFormat="1" customHeight="1" s="1543">
      <c r="A116" s="1480" t="n"/>
      <c r="B116" s="1480" t="n"/>
      <c r="C116" s="1480" t="n"/>
      <c r="D116" s="1480" t="n"/>
      <c r="E116" s="1480" t="n"/>
      <c r="F116" s="1480" t="n"/>
      <c r="G116" s="1480" t="n"/>
      <c r="H116" s="1480" t="n"/>
      <c r="I116" s="1480"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D80"/>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G15" activeCellId="0" sqref="G15"/>
    </sheetView>
  </sheetViews>
  <sheetFormatPr baseColWidth="8" defaultColWidth="9.13671875" defaultRowHeight="11.25" zeroHeight="0" outlineLevelRow="0"/>
  <cols>
    <col width="31.28" customWidth="1" style="970" min="1" max="1"/>
    <col width="9.130000000000001" customWidth="1" style="970" min="2" max="5"/>
    <col width="9.56" customWidth="1" style="970" min="6" max="6"/>
    <col width="9.130000000000001" customWidth="1" style="970" min="7" max="10"/>
    <col width="9.99" customWidth="1" style="970" min="11" max="11"/>
    <col width="9.130000000000001" customWidth="1" style="970" min="12" max="257"/>
  </cols>
  <sheetData>
    <row r="1" ht="21" customHeight="1" s="850">
      <c r="A1" s="1544" t="inlineStr">
        <is>
          <t>GAIL INDIA LTD.</t>
        </is>
      </c>
      <c r="B1" s="970" t="n"/>
      <c r="L1" s="970" t="n"/>
      <c r="M1" s="970" t="n"/>
      <c r="N1" s="970" t="n"/>
      <c r="O1" s="970" t="n"/>
      <c r="P1" s="970" t="n"/>
      <c r="Q1" s="970" t="n"/>
      <c r="R1" s="970" t="n"/>
      <c r="S1" s="970" t="n"/>
      <c r="T1" s="970" t="n"/>
      <c r="U1" s="970" t="n"/>
      <c r="V1" s="970" t="n"/>
      <c r="W1" s="970" t="n"/>
      <c r="X1" s="970" t="n"/>
      <c r="Y1" s="970" t="n"/>
      <c r="Z1" s="970" t="n"/>
      <c r="AA1" s="970" t="n"/>
      <c r="AB1" s="970" t="n"/>
      <c r="AC1" s="970" t="n"/>
      <c r="AD1" s="970" t="n"/>
    </row>
    <row r="2" ht="15.75" customHeight="1" s="850">
      <c r="A2" s="982" t="inlineStr">
        <is>
          <t>Valuation</t>
        </is>
      </c>
      <c r="B2" s="970" t="n"/>
      <c r="L2" s="970" t="n"/>
      <c r="M2" s="970" t="n"/>
      <c r="N2" s="970" t="n"/>
      <c r="O2" s="970" t="n"/>
      <c r="P2" s="970" t="n"/>
      <c r="Q2" s="970" t="n"/>
      <c r="R2" s="970" t="n"/>
      <c r="S2" s="970" t="n"/>
      <c r="T2" s="970" t="n"/>
      <c r="U2" s="970" t="n"/>
      <c r="V2" s="970" t="n"/>
      <c r="W2" s="970" t="n"/>
      <c r="X2" s="970" t="n"/>
      <c r="Y2" s="970" t="n"/>
      <c r="Z2" s="970" t="n"/>
      <c r="AA2" s="970" t="n"/>
      <c r="AB2" s="970" t="n"/>
      <c r="AC2" s="970" t="n"/>
      <c r="AD2" s="970" t="n"/>
    </row>
    <row r="3" ht="12.75" customHeight="1" s="850">
      <c r="A3" s="1545" t="inlineStr">
        <is>
          <t>(in Rs. Crores)</t>
        </is>
      </c>
      <c r="B3" s="1546" t="n"/>
      <c r="C3" s="1546" t="n"/>
      <c r="D3" s="1546" t="n"/>
      <c r="E3" s="1546" t="n"/>
      <c r="F3" s="1546" t="n"/>
      <c r="G3" s="1546" t="n"/>
      <c r="H3" s="1546" t="n"/>
      <c r="I3" s="1546" t="n"/>
      <c r="J3" s="1546" t="n"/>
      <c r="K3" s="1546" t="n"/>
      <c r="L3" s="970" t="n"/>
      <c r="M3" s="970" t="n"/>
      <c r="N3" s="970" t="n"/>
      <c r="O3" s="970" t="n"/>
      <c r="P3" s="970" t="n"/>
      <c r="Q3" s="970" t="n"/>
      <c r="R3" s="970" t="n"/>
      <c r="S3" s="970" t="n"/>
      <c r="T3" s="970" t="n"/>
      <c r="U3" s="970" t="n"/>
      <c r="V3" s="970" t="n"/>
      <c r="W3" s="970" t="n"/>
      <c r="X3" s="970" t="n"/>
      <c r="Y3" s="970" t="n"/>
      <c r="Z3" s="970" t="n"/>
      <c r="AA3" s="970" t="n"/>
      <c r="AB3" s="970" t="n"/>
      <c r="AC3" s="970" t="n"/>
      <c r="AD3" s="970" t="n"/>
    </row>
    <row r="5" ht="12" customHeight="1" s="850">
      <c r="A5" s="1547" t="inlineStr">
        <is>
          <t>Growth Assumptions</t>
        </is>
      </c>
      <c r="B5" s="911" t="n"/>
      <c r="D5" s="1548" t="inlineStr">
        <is>
          <t>Enterpsire Value (EV)</t>
        </is>
      </c>
      <c r="E5" s="910" t="n"/>
      <c r="F5" s="911" t="n"/>
      <c r="G5" s="911" t="n"/>
      <c r="I5" s="1548" t="inlineStr">
        <is>
          <t>Debt Equity Weightage</t>
        </is>
      </c>
      <c r="J5" s="910" t="n"/>
      <c r="K5" s="911" t="n"/>
    </row>
    <row r="6" ht="11.25" customHeight="1" s="850">
      <c r="A6" s="1549" t="inlineStr">
        <is>
          <t>Long term World GDP growth rate</t>
        </is>
      </c>
      <c r="B6" s="1550" t="n">
        <v>0.025</v>
      </c>
      <c r="D6" s="1549" t="n"/>
      <c r="E6" s="1549" t="n"/>
      <c r="F6" s="1549" t="n"/>
      <c r="G6" s="1549" t="n"/>
      <c r="I6" s="1551" t="inlineStr">
        <is>
          <t>E/(D+E) @ Enterprise Value</t>
        </is>
      </c>
      <c r="J6" s="1551" t="n"/>
      <c r="K6" s="1552">
        <f>G9/G13</f>
        <v/>
      </c>
    </row>
    <row r="7" ht="11.25" customHeight="1" s="850">
      <c r="D7" s="1553" t="inlineStr">
        <is>
          <t>Current Market Price</t>
        </is>
      </c>
      <c r="F7" s="1549" t="n"/>
      <c r="G7" s="1554" t="n">
        <v>420.65</v>
      </c>
      <c r="I7" s="1549" t="inlineStr">
        <is>
          <t>D/(D+E) @ Enterprise Value</t>
        </is>
      </c>
      <c r="J7" s="1549" t="n"/>
      <c r="K7" s="1555">
        <f>G12/G13</f>
        <v/>
      </c>
    </row>
    <row r="8" ht="11.25" customHeight="1" s="850">
      <c r="D8" s="1553" t="inlineStr">
        <is>
          <t>Diluted Shares</t>
        </is>
      </c>
      <c r="F8" s="1549" t="n"/>
      <c r="G8" s="947" t="n">
        <v>12684.8</v>
      </c>
      <c r="I8" s="1549" t="n"/>
      <c r="J8" s="1549" t="n"/>
      <c r="K8" s="1549" t="n"/>
    </row>
    <row r="9" ht="12" customHeight="1" s="850">
      <c r="A9" s="1547" t="inlineStr">
        <is>
          <t>CAPM Assumptions</t>
        </is>
      </c>
      <c r="B9" s="911" t="n"/>
      <c r="D9" s="1553" t="inlineStr">
        <is>
          <t>Market Capitalisation</t>
        </is>
      </c>
      <c r="F9" s="1549" t="n"/>
      <c r="G9" s="1556">
        <f>G8*G7</f>
        <v/>
      </c>
      <c r="I9" s="1549" t="inlineStr">
        <is>
          <t>Interest Rate (%)</t>
        </is>
      </c>
      <c r="J9" s="1549" t="n"/>
      <c r="K9" s="1557" t="n">
        <v>0.06</v>
      </c>
    </row>
    <row r="10" ht="11.25" customHeight="1" s="850">
      <c r="A10" s="1549" t="inlineStr">
        <is>
          <t>Ke</t>
        </is>
      </c>
      <c r="B10" s="1558">
        <f>B11+B12*(B13)</f>
        <v/>
      </c>
      <c r="D10" s="1553" t="inlineStr">
        <is>
          <t>Long Term Liabilities</t>
        </is>
      </c>
      <c r="F10" s="1549" t="n"/>
      <c r="G10" s="932">
        <f>BALANCESHEET!E19</f>
        <v/>
      </c>
      <c r="I10" s="1549" t="inlineStr">
        <is>
          <t>Tax Rate (%)</t>
        </is>
      </c>
      <c r="J10" s="1549" t="n"/>
      <c r="K10" s="1559">
        <f>'INCOME STATEMENT'!V37</f>
        <v/>
      </c>
    </row>
    <row r="11" ht="11.25" customHeight="1" s="850">
      <c r="A11" s="1549" t="inlineStr">
        <is>
          <t>RFR</t>
        </is>
      </c>
      <c r="B11" s="1560" t="n">
        <v>0.04</v>
      </c>
      <c r="D11" s="1553" t="inlineStr">
        <is>
          <t>Less: Cash &amp; Cash Equivalents</t>
        </is>
      </c>
      <c r="F11" s="1549" t="n"/>
      <c r="G11" s="932">
        <f>BALANCESHEET!E39</f>
        <v/>
      </c>
    </row>
    <row r="12" ht="12" customHeight="1" s="850">
      <c r="A12" s="1549" t="inlineStr">
        <is>
          <t>Beta</t>
        </is>
      </c>
      <c r="B12" s="1561" t="n">
        <v>1.39</v>
      </c>
      <c r="D12" s="1553" t="inlineStr">
        <is>
          <t>Net Debt</t>
        </is>
      </c>
      <c r="F12" s="1549" t="n"/>
      <c r="G12" s="932">
        <f>G10+G11</f>
        <v/>
      </c>
      <c r="I12" s="1548" t="inlineStr">
        <is>
          <t>WACC Calculation</t>
        </is>
      </c>
      <c r="J12" s="910" t="n"/>
      <c r="K12" s="911" t="n"/>
    </row>
    <row r="13" ht="11.25" customHeight="1" s="850">
      <c r="A13" s="1549" t="inlineStr">
        <is>
          <t>Rp</t>
        </is>
      </c>
      <c r="B13" s="1550" t="n">
        <v>0.06</v>
      </c>
      <c r="D13" s="1553" t="inlineStr">
        <is>
          <t>Enterprise Value (EV)</t>
        </is>
      </c>
      <c r="F13" s="1549" t="n"/>
      <c r="G13" s="1556">
        <f>G9+G12</f>
        <v/>
      </c>
      <c r="I13" s="1551" t="inlineStr">
        <is>
          <t>WACC</t>
        </is>
      </c>
      <c r="J13" s="1551" t="n"/>
      <c r="K13" s="1557">
        <f>B10*K6+K9*K7*(1-K10)</f>
        <v/>
      </c>
    </row>
    <row r="15" ht="12" customHeight="1" s="850">
      <c r="A15" s="1547" t="inlineStr">
        <is>
          <t>Calculation of Free Cash Flow</t>
        </is>
      </c>
      <c r="B15" s="911" t="n"/>
      <c r="C15" s="911" t="n"/>
      <c r="D15" s="911" t="n"/>
      <c r="E15" s="911" t="n"/>
      <c r="F15" s="911" t="n"/>
      <c r="G15" s="911" t="n"/>
      <c r="H15" s="911" t="n"/>
      <c r="I15" s="911" t="n"/>
      <c r="J15" s="911" t="n"/>
      <c r="K15" s="911" t="n"/>
    </row>
    <row r="16" ht="22.5" customHeight="1" s="850">
      <c r="B16" s="1549" t="n"/>
      <c r="C16" s="1562" t="inlineStr">
        <is>
          <t>Explicit Forecast Period</t>
        </is>
      </c>
      <c r="D16" s="1563" t="n"/>
      <c r="E16" s="1564" t="n"/>
      <c r="F16" s="1565" t="inlineStr">
        <is>
          <t>First Stage of Valuation</t>
        </is>
      </c>
      <c r="G16" s="1563" t="n"/>
      <c r="H16" s="1563" t="n"/>
      <c r="I16" s="1563" t="n"/>
      <c r="J16" s="1564" t="n"/>
      <c r="K16" s="1566" t="inlineStr">
        <is>
          <t>Second Stage of Valuation</t>
        </is>
      </c>
    </row>
    <row r="17" ht="12" customHeight="1" s="850">
      <c r="B17" s="1567" t="inlineStr">
        <is>
          <t>2009A</t>
        </is>
      </c>
      <c r="C17" s="1568" t="inlineStr">
        <is>
          <t>2010E</t>
        </is>
      </c>
      <c r="D17" s="1568" t="inlineStr">
        <is>
          <t>2011E</t>
        </is>
      </c>
      <c r="E17" s="1568" t="inlineStr">
        <is>
          <t>2012E</t>
        </is>
      </c>
      <c r="F17" s="1568" t="inlineStr">
        <is>
          <t>2013E</t>
        </is>
      </c>
      <c r="G17" s="1568" t="inlineStr">
        <is>
          <t>2014E</t>
        </is>
      </c>
      <c r="H17" s="1568" t="inlineStr">
        <is>
          <t>2015E</t>
        </is>
      </c>
      <c r="I17" s="1568" t="inlineStr">
        <is>
          <t>2016E</t>
        </is>
      </c>
      <c r="J17" s="1568" t="inlineStr">
        <is>
          <t>2017E</t>
        </is>
      </c>
      <c r="K17" s="1568" t="inlineStr">
        <is>
          <t>Terminal Year</t>
        </is>
      </c>
    </row>
    <row r="19" ht="11.25" customHeight="1" s="850">
      <c r="A19" s="1569" t="inlineStr">
        <is>
          <t>Revenues</t>
        </is>
      </c>
      <c r="B19" s="1570">
        <f>'INCOME STATEMENT'!V6</f>
        <v/>
      </c>
      <c r="C19" s="1570">
        <f>'INCOME STATEMENT'!AC6</f>
        <v/>
      </c>
      <c r="D19" s="1570">
        <f>'INCOME STATEMENT'!AD6</f>
        <v/>
      </c>
      <c r="E19" s="1570">
        <f>'INCOME STATEMENT'!AE6</f>
        <v/>
      </c>
      <c r="F19" s="1570">
        <f>'INCOME STATEMENT'!AF6</f>
        <v/>
      </c>
      <c r="G19" s="1570">
        <f>'INCOME STATEMENT'!AG6</f>
        <v/>
      </c>
      <c r="H19" s="1570">
        <f>G19*(1+H37)</f>
        <v/>
      </c>
      <c r="I19" s="1570">
        <f>H19*(1+I37)</f>
        <v/>
      </c>
      <c r="J19" s="1570">
        <f>I19*(1+J37)</f>
        <v/>
      </c>
      <c r="K19" s="1570">
        <f>J19*(1+K37)</f>
        <v/>
      </c>
    </row>
    <row r="20" ht="11.25" customHeight="1" s="850">
      <c r="A20" s="1569" t="inlineStr">
        <is>
          <t>EBITDA</t>
        </is>
      </c>
      <c r="B20" s="1570">
        <f>'INCOME STATEMENT'!V21</f>
        <v/>
      </c>
      <c r="C20" s="1570">
        <f>'INCOME STATEMENT'!AC21</f>
        <v/>
      </c>
      <c r="D20" s="1570">
        <f>'INCOME STATEMENT'!AD21</f>
        <v/>
      </c>
      <c r="E20" s="1570">
        <f>'INCOME STATEMENT'!AE21</f>
        <v/>
      </c>
      <c r="F20" s="1570">
        <f>'INCOME STATEMENT'!AF21</f>
        <v/>
      </c>
      <c r="G20" s="1570">
        <f>'INCOME STATEMENT'!AG21</f>
        <v/>
      </c>
      <c r="H20" s="1570">
        <f>H21+H24</f>
        <v/>
      </c>
      <c r="I20" s="1570">
        <f>I21+I24</f>
        <v/>
      </c>
      <c r="J20" s="1570">
        <f>J21+J24</f>
        <v/>
      </c>
      <c r="K20" s="1570">
        <f>K21+K24</f>
        <v/>
      </c>
    </row>
    <row r="21" ht="11.25" customHeight="1" s="850">
      <c r="A21" s="1571" t="inlineStr">
        <is>
          <t>EBIT</t>
        </is>
      </c>
      <c r="B21" s="1570">
        <f>'INCOME STATEMENT'!V21-'INCOME STATEMENT'!V27</f>
        <v/>
      </c>
      <c r="C21" s="1570">
        <f>C20-'INCOME STATEMENT'!AC27</f>
        <v/>
      </c>
      <c r="D21" s="1570">
        <f>D20-'INCOME STATEMENT'!AD27</f>
        <v/>
      </c>
      <c r="E21" s="1570">
        <f>E20-'INCOME STATEMENT'!AE27</f>
        <v/>
      </c>
      <c r="F21" s="1570">
        <f>F20-'INCOME STATEMENT'!AF27</f>
        <v/>
      </c>
      <c r="G21" s="1570">
        <f>G20-'INCOME STATEMENT'!AG27</f>
        <v/>
      </c>
      <c r="H21" s="1572">
        <f>H19*H44</f>
        <v/>
      </c>
      <c r="I21" s="1572">
        <f>I19*I44</f>
        <v/>
      </c>
      <c r="J21" s="1572">
        <f>J19*J44</f>
        <v/>
      </c>
      <c r="K21" s="1572">
        <f>K19*K44</f>
        <v/>
      </c>
    </row>
    <row r="22" ht="11.25" customHeight="1" s="850">
      <c r="A22" s="1573" t="inlineStr">
        <is>
          <t>Tax Expense</t>
        </is>
      </c>
      <c r="B22" s="1574">
        <f>'INCOME STATEMENT'!V33</f>
        <v/>
      </c>
      <c r="C22" s="1574">
        <f>'INCOME STATEMENT'!AC33</f>
        <v/>
      </c>
      <c r="D22" s="1574">
        <f>'INCOME STATEMENT'!AD33</f>
        <v/>
      </c>
      <c r="E22" s="1574">
        <f>'INCOME STATEMENT'!AE33</f>
        <v/>
      </c>
      <c r="F22" s="1574">
        <f>'INCOME STATEMENT'!AF33</f>
        <v/>
      </c>
      <c r="G22" s="1574">
        <f>'INCOME STATEMENT'!AG33</f>
        <v/>
      </c>
      <c r="H22" s="1575">
        <f>H21*H48</f>
        <v/>
      </c>
      <c r="I22" s="1575">
        <f>I21*I48</f>
        <v/>
      </c>
      <c r="J22" s="1575">
        <f>J21*J48</f>
        <v/>
      </c>
      <c r="K22" s="1575">
        <f>K21*K48</f>
        <v/>
      </c>
    </row>
    <row r="23" ht="11.25" customHeight="1" s="850">
      <c r="A23" s="1549" t="inlineStr">
        <is>
          <t>Net Operating Profit After Tax</t>
        </is>
      </c>
      <c r="B23" s="1570">
        <f>B21-B22</f>
        <v/>
      </c>
      <c r="C23" s="1570">
        <f>C21-C22</f>
        <v/>
      </c>
      <c r="D23" s="1570">
        <f>D21-D22</f>
        <v/>
      </c>
      <c r="E23" s="1570">
        <f>E21-E22</f>
        <v/>
      </c>
      <c r="F23" s="1570">
        <f>F21-F22</f>
        <v/>
      </c>
      <c r="G23" s="1570">
        <f>G21-G22</f>
        <v/>
      </c>
      <c r="H23" s="1570">
        <f>H21-H22</f>
        <v/>
      </c>
      <c r="I23" s="1570">
        <f>I21-I22</f>
        <v/>
      </c>
      <c r="J23" s="1570">
        <f>J21-J22</f>
        <v/>
      </c>
      <c r="K23" s="1570">
        <f>K21-K22</f>
        <v/>
      </c>
    </row>
    <row r="24" ht="11.25" customHeight="1" s="850">
      <c r="A24" s="1569" t="inlineStr">
        <is>
          <t>Depreciation &amp; Amortisation</t>
        </is>
      </c>
      <c r="B24" s="1570">
        <f>'INCOME STATEMENT'!V27</f>
        <v/>
      </c>
      <c r="C24" s="1570">
        <f>'INCOME STATEMENT'!AC27</f>
        <v/>
      </c>
      <c r="D24" s="1570">
        <f>'INCOME STATEMENT'!AD27</f>
        <v/>
      </c>
      <c r="E24" s="1570">
        <f>'INCOME STATEMENT'!AE27</f>
        <v/>
      </c>
      <c r="F24" s="1570">
        <f>'INCOME STATEMENT'!AF27</f>
        <v/>
      </c>
      <c r="G24" s="1570">
        <f>'INCOME STATEMENT'!AG27</f>
        <v/>
      </c>
      <c r="H24" s="1570">
        <f>H45*H19</f>
        <v/>
      </c>
      <c r="I24" s="1570">
        <f>I45*I19</f>
        <v/>
      </c>
      <c r="J24" s="1570">
        <f>J45*J19</f>
        <v/>
      </c>
      <c r="K24" s="1570">
        <f>K45*K19</f>
        <v/>
      </c>
    </row>
    <row r="25" ht="11.25" customHeight="1" s="850">
      <c r="A25" s="1573" t="inlineStr">
        <is>
          <t>Working Capital Change</t>
        </is>
      </c>
      <c r="B25" s="1574">
        <f>'CASH FOW STATEMENT'!D20</f>
        <v/>
      </c>
      <c r="C25" s="1574">
        <f>'CASH FOW STATEMENT'!E20</f>
        <v/>
      </c>
      <c r="D25" s="1574">
        <f>'CASH FOW STATEMENT'!F20</f>
        <v/>
      </c>
      <c r="E25" s="1574">
        <f>'CASH FOW STATEMENT'!G20</f>
        <v/>
      </c>
      <c r="F25" s="1574">
        <f>'CASH FOW STATEMENT'!H20</f>
        <v/>
      </c>
      <c r="G25" s="1574">
        <f>'CASH FOW STATEMENT'!I20</f>
        <v/>
      </c>
      <c r="H25" s="1576">
        <f>G25</f>
        <v/>
      </c>
      <c r="I25" s="1576">
        <f>H25</f>
        <v/>
      </c>
      <c r="J25" s="1576">
        <f>I25</f>
        <v/>
      </c>
      <c r="K25" s="1576">
        <f>J25</f>
        <v/>
      </c>
    </row>
    <row r="26" ht="11.25" customHeight="1" s="850">
      <c r="A26" s="1549" t="inlineStr">
        <is>
          <t>Operating Cash Flow</t>
        </is>
      </c>
      <c r="B26" s="1570">
        <f>B23+B24-B25</f>
        <v/>
      </c>
      <c r="C26" s="1570">
        <f>C23+C24-C25</f>
        <v/>
      </c>
      <c r="D26" s="1570">
        <f>D23+D24-D25</f>
        <v/>
      </c>
      <c r="E26" s="1570">
        <f>E23+E24-E25</f>
        <v/>
      </c>
      <c r="F26" s="1570">
        <f>F23+F24-F25</f>
        <v/>
      </c>
      <c r="G26" s="1570">
        <f>G23+G24-G25</f>
        <v/>
      </c>
      <c r="H26" s="1570">
        <f>H23+H24-H25</f>
        <v/>
      </c>
      <c r="I26" s="1570">
        <f>I23+I24-I25</f>
        <v/>
      </c>
      <c r="J26" s="1570">
        <f>J23+J24-J25</f>
        <v/>
      </c>
      <c r="K26" s="1570">
        <f>K23+K24-K25</f>
        <v/>
      </c>
    </row>
    <row r="27" ht="11.25" customHeight="1" s="850">
      <c r="A27" s="1573" t="inlineStr">
        <is>
          <t>Capex</t>
        </is>
      </c>
      <c r="B27" s="1574">
        <f>'CASH FOW STATEMENT'!D13</f>
        <v/>
      </c>
      <c r="C27" s="1574">
        <f>'CASH FOW STATEMENT'!E13</f>
        <v/>
      </c>
      <c r="D27" s="1574">
        <f>'CASH FOW STATEMENT'!F13</f>
        <v/>
      </c>
      <c r="E27" s="1574">
        <f>'CASH FOW STATEMENT'!G13</f>
        <v/>
      </c>
      <c r="F27" s="1574">
        <f>'CASH FOW STATEMENT'!H13</f>
        <v/>
      </c>
      <c r="G27" s="1574">
        <f>'CASH FOW STATEMENT'!I13</f>
        <v/>
      </c>
      <c r="H27" s="1575">
        <f>H46*-H19</f>
        <v/>
      </c>
      <c r="I27" s="1575">
        <f>I46*-I19</f>
        <v/>
      </c>
      <c r="J27" s="1575">
        <f>J46*-J19</f>
        <v/>
      </c>
      <c r="K27" s="1575">
        <f>K46*-K19</f>
        <v/>
      </c>
    </row>
    <row r="28" ht="11.25" customHeight="1" s="850">
      <c r="A28" s="1549" t="inlineStr">
        <is>
          <t>FCF</t>
        </is>
      </c>
      <c r="B28" s="1570">
        <f>B26+B27</f>
        <v/>
      </c>
      <c r="C28" s="1570">
        <f>C26+C27</f>
        <v/>
      </c>
      <c r="D28" s="1570">
        <f>D26+D27</f>
        <v/>
      </c>
      <c r="E28" s="1570">
        <f>E26+E27</f>
        <v/>
      </c>
      <c r="F28" s="1570">
        <f>F26+F27</f>
        <v/>
      </c>
      <c r="G28" s="1570">
        <f>G26+G27</f>
        <v/>
      </c>
      <c r="H28" s="1570">
        <f>H26+H27</f>
        <v/>
      </c>
      <c r="I28" s="1570">
        <f>I26+I27</f>
        <v/>
      </c>
      <c r="J28" s="1570">
        <f>J26+J27</f>
        <v/>
      </c>
      <c r="K28" s="1570">
        <f>K26+K27</f>
        <v/>
      </c>
    </row>
    <row r="29" ht="11.25" customHeight="1" s="850">
      <c r="B29" s="1549" t="n"/>
      <c r="C29" s="1549" t="n"/>
      <c r="D29" s="1549" t="n"/>
      <c r="E29" s="1549" t="n"/>
    </row>
    <row r="30" ht="11.25" customHeight="1" s="850">
      <c r="A30" s="1549" t="inlineStr">
        <is>
          <t>Diluted Shares</t>
        </is>
      </c>
      <c r="B30" s="1570">
        <f>'INCOME STATEMENT'!V48</f>
        <v/>
      </c>
      <c r="C30" s="1570">
        <f>'INCOME STATEMENT'!AC48</f>
        <v/>
      </c>
      <c r="D30" s="1570">
        <f>'INCOME STATEMENT'!AD48</f>
        <v/>
      </c>
      <c r="E30" s="1570">
        <f>'INCOME STATEMENT'!AE48</f>
        <v/>
      </c>
      <c r="F30" s="1570">
        <f>'INCOME STATEMENT'!AF48</f>
        <v/>
      </c>
      <c r="G30" s="1570">
        <f>'INCOME STATEMENT'!AG48</f>
        <v/>
      </c>
      <c r="H30" s="1577">
        <f>G30</f>
        <v/>
      </c>
      <c r="I30" s="1577">
        <f>H30</f>
        <v/>
      </c>
      <c r="J30" s="1577">
        <f>I30</f>
        <v/>
      </c>
      <c r="K30" s="1577">
        <f>J30</f>
        <v/>
      </c>
    </row>
    <row r="32" ht="11.25" customHeight="1" s="850">
      <c r="A32" s="1549" t="inlineStr">
        <is>
          <t>Projection Year</t>
        </is>
      </c>
      <c r="C32" s="891" t="n">
        <v>1</v>
      </c>
      <c r="D32" s="891" t="n">
        <v>2</v>
      </c>
      <c r="E32" s="891" t="n">
        <v>3</v>
      </c>
      <c r="F32" s="891" t="n">
        <v>4</v>
      </c>
      <c r="G32" s="891" t="n">
        <v>5</v>
      </c>
      <c r="H32" s="891" t="n">
        <v>6</v>
      </c>
      <c r="I32" s="891" t="n">
        <v>7</v>
      </c>
      <c r="J32" s="891" t="n">
        <v>8</v>
      </c>
    </row>
    <row r="33" ht="11.25" customHeight="1" s="850">
      <c r="A33" s="1578" t="inlineStr">
        <is>
          <t>Discount Factor</t>
        </is>
      </c>
      <c r="B33" s="1574" t="n"/>
      <c r="C33" s="1579">
        <f>1/(1+$K$13)^C32</f>
        <v/>
      </c>
      <c r="D33" s="1579">
        <f>1/(1+$K$13)^D32</f>
        <v/>
      </c>
      <c r="E33" s="1579">
        <f>1/(1+$K$13)^E32</f>
        <v/>
      </c>
      <c r="F33" s="1579">
        <f>1/(1+$K$13)^F32</f>
        <v/>
      </c>
      <c r="G33" s="1579">
        <f>1/(1+$K$13)^G32</f>
        <v/>
      </c>
      <c r="H33" s="1579">
        <f>1/(1+$K$13)^H32</f>
        <v/>
      </c>
      <c r="I33" s="1579">
        <f>1/(1+$K$13)^I32</f>
        <v/>
      </c>
      <c r="J33" s="1579">
        <f>1/(1+$K$13)^J32</f>
        <v/>
      </c>
      <c r="K33" s="1575" t="n"/>
    </row>
    <row r="34" ht="11.25" customHeight="1" s="850">
      <c r="A34" s="1580" t="inlineStr">
        <is>
          <t>Present Value of FCF</t>
        </is>
      </c>
      <c r="B34" s="955" t="n"/>
      <c r="C34" s="1581">
        <f>C33*C28</f>
        <v/>
      </c>
      <c r="D34" s="1581">
        <f>D33*D28</f>
        <v/>
      </c>
      <c r="E34" s="1581">
        <f>E33*E28</f>
        <v/>
      </c>
      <c r="F34" s="1581">
        <f>F33*F28</f>
        <v/>
      </c>
      <c r="G34" s="1581">
        <f>G33*G28</f>
        <v/>
      </c>
      <c r="H34" s="1581">
        <f>H33*H28</f>
        <v/>
      </c>
      <c r="I34" s="1581">
        <f>I33*I28</f>
        <v/>
      </c>
      <c r="J34" s="1581">
        <f>J33*J28</f>
        <v/>
      </c>
    </row>
    <row r="35" ht="11.25" customHeight="1" s="850">
      <c r="A35" s="1580" t="n"/>
      <c r="B35" s="955" t="n"/>
      <c r="C35" s="1581" t="n"/>
      <c r="D35" s="1581" t="n"/>
      <c r="E35" s="1581" t="n"/>
      <c r="F35" s="1581" t="n"/>
      <c r="G35" s="1581" t="n"/>
      <c r="H35" s="1581" t="n"/>
      <c r="I35" s="1581" t="n"/>
      <c r="J35" s="1581" t="n"/>
    </row>
    <row r="36" ht="11.25" customHeight="1" s="850">
      <c r="A36" s="1582" t="inlineStr">
        <is>
          <t>Y/Y Growth Analysis</t>
        </is>
      </c>
    </row>
    <row r="37" ht="11.25" customHeight="1" s="850">
      <c r="A37" s="1569" t="inlineStr">
        <is>
          <t>Revenues</t>
        </is>
      </c>
      <c r="B37" s="1583" t="n"/>
      <c r="C37" s="1583">
        <f>C19/B19-1</f>
        <v/>
      </c>
      <c r="D37" s="1583">
        <f>D19/C19-1</f>
        <v/>
      </c>
      <c r="E37" s="1583">
        <f>E19/D19-1</f>
        <v/>
      </c>
      <c r="F37" s="1584">
        <f>E37-($E$37-$J$37)/5</f>
        <v/>
      </c>
      <c r="G37" s="1584">
        <f>F37-($E$37-$J$37)/5</f>
        <v/>
      </c>
      <c r="H37" s="1584">
        <f>G37-($E$37-$J$37)/5</f>
        <v/>
      </c>
      <c r="I37" s="1584">
        <f>H37-($E$37-$J$37)/5</f>
        <v/>
      </c>
      <c r="J37" s="1584" t="n">
        <v>0.06</v>
      </c>
      <c r="K37" s="1585">
        <f>B6</f>
        <v/>
      </c>
    </row>
    <row r="38" ht="11.25" customHeight="1" s="850">
      <c r="A38" s="1569" t="inlineStr">
        <is>
          <t>EBITDA</t>
        </is>
      </c>
      <c r="B38" s="1583" t="n"/>
      <c r="C38" s="1583">
        <f>C20/B20-1</f>
        <v/>
      </c>
      <c r="D38" s="1583">
        <f>D20/C20-1</f>
        <v/>
      </c>
      <c r="E38" s="1583">
        <f>E20/D20-1</f>
        <v/>
      </c>
      <c r="F38" s="1583">
        <f>F20/E20-1</f>
        <v/>
      </c>
      <c r="G38" s="1583">
        <f>G20/F20-1</f>
        <v/>
      </c>
      <c r="H38" s="1583">
        <f>H20/G20-1</f>
        <v/>
      </c>
      <c r="I38" s="1583">
        <f>I20/H20-1</f>
        <v/>
      </c>
      <c r="J38" s="1583">
        <f>J20/I20-1</f>
        <v/>
      </c>
      <c r="K38" s="1583">
        <f>K20/J20-1</f>
        <v/>
      </c>
    </row>
    <row r="39" ht="11.25" customHeight="1" s="850">
      <c r="A39" s="1569" t="inlineStr">
        <is>
          <t>EBIT</t>
        </is>
      </c>
      <c r="B39" s="1557" t="n"/>
      <c r="C39" s="1583">
        <f>C21/B21-1</f>
        <v/>
      </c>
      <c r="D39" s="1583">
        <f>D21/C21-1</f>
        <v/>
      </c>
      <c r="E39" s="1583">
        <f>E21/D21-1</f>
        <v/>
      </c>
      <c r="F39" s="1583">
        <f>F21/E21-1</f>
        <v/>
      </c>
      <c r="G39" s="1583">
        <f>G21/F21-1</f>
        <v/>
      </c>
      <c r="H39" s="1583">
        <f>H21/G21-1</f>
        <v/>
      </c>
      <c r="I39" s="1583">
        <f>I21/H21-1</f>
        <v/>
      </c>
      <c r="J39" s="1583">
        <f>J21/I21-1</f>
        <v/>
      </c>
      <c r="K39" s="1583">
        <f>K21/J21-1</f>
        <v/>
      </c>
    </row>
    <row r="40" ht="11.25" customHeight="1" s="850">
      <c r="A40" s="1569" t="inlineStr">
        <is>
          <t>Depreciation &amp; Amortisation</t>
        </is>
      </c>
      <c r="B40" s="1557" t="n"/>
      <c r="C40" s="1583">
        <f>C24/B24-1</f>
        <v/>
      </c>
      <c r="D40" s="1583">
        <f>D24/C24-1</f>
        <v/>
      </c>
      <c r="E40" s="1583">
        <f>E24/D24-1</f>
        <v/>
      </c>
      <c r="F40" s="1583">
        <f>F24/E24-1</f>
        <v/>
      </c>
      <c r="G40" s="1583">
        <f>G24/F24-1</f>
        <v/>
      </c>
      <c r="H40" s="1583">
        <f>H24/G24-1</f>
        <v/>
      </c>
      <c r="I40" s="1583">
        <f>I24/H24-1</f>
        <v/>
      </c>
      <c r="J40" s="1583">
        <f>J24/I24-1</f>
        <v/>
      </c>
      <c r="K40" s="1583">
        <f>K24/J24-1</f>
        <v/>
      </c>
    </row>
    <row r="42" ht="11.25" customHeight="1" s="850">
      <c r="A42" s="1582" t="inlineStr">
        <is>
          <t>Margin Analysis (As % of Revenues)</t>
        </is>
      </c>
    </row>
    <row r="43" ht="11.25" customHeight="1" s="850">
      <c r="A43" s="1571" t="inlineStr">
        <is>
          <t>EBITA Margin</t>
        </is>
      </c>
      <c r="B43" s="1583">
        <f>B20/B$19</f>
        <v/>
      </c>
      <c r="C43" s="1583">
        <f>C20/C$19</f>
        <v/>
      </c>
      <c r="D43" s="1583">
        <f>D20/D$19</f>
        <v/>
      </c>
      <c r="E43" s="1583">
        <f>E20/E$19</f>
        <v/>
      </c>
    </row>
    <row r="44" ht="11.25" customHeight="1" s="850">
      <c r="A44" s="1569" t="inlineStr">
        <is>
          <t>EBIT Margin</t>
        </is>
      </c>
      <c r="B44" s="1583">
        <f>B21/B$19</f>
        <v/>
      </c>
      <c r="C44" s="1583">
        <f>C21/C$19</f>
        <v/>
      </c>
      <c r="D44" s="1583">
        <f>D21/D$19</f>
        <v/>
      </c>
      <c r="E44" s="1583">
        <f>E21/E$19</f>
        <v/>
      </c>
      <c r="F44" s="1585">
        <f>E44</f>
        <v/>
      </c>
      <c r="G44" s="1585">
        <f>F44</f>
        <v/>
      </c>
      <c r="H44" s="1585">
        <f>G44</f>
        <v/>
      </c>
      <c r="I44" s="1585">
        <f>H44</f>
        <v/>
      </c>
      <c r="J44" s="1585">
        <f>I44</f>
        <v/>
      </c>
      <c r="K44" s="1585">
        <f>J44</f>
        <v/>
      </c>
    </row>
    <row r="45" ht="11.25" customHeight="1" s="850">
      <c r="A45" s="1569" t="inlineStr">
        <is>
          <t>Depreciation &amp; Amortisation</t>
        </is>
      </c>
      <c r="B45" s="1583">
        <f>B24/B$19</f>
        <v/>
      </c>
      <c r="C45" s="1583">
        <f>C24/C$19</f>
        <v/>
      </c>
      <c r="D45" s="1583">
        <f>D24/D$19</f>
        <v/>
      </c>
      <c r="E45" s="1583">
        <f>E24/E$19</f>
        <v/>
      </c>
      <c r="F45" s="1585">
        <f>E45</f>
        <v/>
      </c>
      <c r="G45" s="1585">
        <f>F45</f>
        <v/>
      </c>
      <c r="H45" s="1585">
        <f>G45</f>
        <v/>
      </c>
      <c r="I45" s="1585">
        <f>H45</f>
        <v/>
      </c>
      <c r="J45" s="1585">
        <f>I45</f>
        <v/>
      </c>
      <c r="K45" s="1585">
        <f>J45</f>
        <v/>
      </c>
    </row>
    <row r="46" ht="11.25" customHeight="1" s="850">
      <c r="A46" s="1571" t="inlineStr">
        <is>
          <t>Capex</t>
        </is>
      </c>
      <c r="B46" s="1586">
        <f>-B27/B$19</f>
        <v/>
      </c>
      <c r="C46" s="1586">
        <f>-C27/C$19</f>
        <v/>
      </c>
      <c r="D46" s="1586">
        <f>-D27/D$19</f>
        <v/>
      </c>
      <c r="E46" s="1586">
        <f>-E27/E$19</f>
        <v/>
      </c>
      <c r="F46" s="1587">
        <f>E46</f>
        <v/>
      </c>
      <c r="G46" s="1587">
        <f>F46</f>
        <v/>
      </c>
      <c r="H46" s="1587">
        <f>G46</f>
        <v/>
      </c>
      <c r="I46" s="1587">
        <f>H46</f>
        <v/>
      </c>
      <c r="J46" s="1587">
        <f>I46</f>
        <v/>
      </c>
      <c r="K46" s="1587">
        <f>J46</f>
        <v/>
      </c>
    </row>
    <row r="47" ht="11.25" customHeight="1" s="850">
      <c r="F47" s="1588" t="n"/>
      <c r="G47" s="1588" t="n"/>
      <c r="H47" s="1588" t="n"/>
      <c r="I47" s="1588" t="n"/>
      <c r="J47" s="1588" t="n"/>
      <c r="K47" s="1588" t="n"/>
    </row>
    <row r="48" ht="11.25" customHeight="1" s="850">
      <c r="A48" s="1589" t="inlineStr">
        <is>
          <t>Tax Rate (Tax Expense/EBIT)</t>
        </is>
      </c>
      <c r="B48" s="1557">
        <f>B22/B21</f>
        <v/>
      </c>
      <c r="C48" s="1557">
        <f>C22/C21</f>
        <v/>
      </c>
      <c r="D48" s="1557">
        <f>D22/D21</f>
        <v/>
      </c>
      <c r="E48" s="1557">
        <f>E22/E21</f>
        <v/>
      </c>
      <c r="F48" s="1585">
        <f>E48</f>
        <v/>
      </c>
      <c r="G48" s="1585">
        <f>F48</f>
        <v/>
      </c>
      <c r="H48" s="1585">
        <f>G48</f>
        <v/>
      </c>
      <c r="I48" s="1585">
        <f>H48</f>
        <v/>
      </c>
      <c r="J48" s="1585">
        <f>I48</f>
        <v/>
      </c>
      <c r="K48" s="1585">
        <f>J48</f>
        <v/>
      </c>
    </row>
    <row r="49" ht="12" customHeight="1" s="850">
      <c r="A49" s="1590" t="n"/>
      <c r="B49" s="1590" t="n"/>
      <c r="C49" s="1590" t="n"/>
      <c r="D49" s="1590" t="n"/>
      <c r="E49" s="1590" t="n"/>
      <c r="F49" s="1590" t="n"/>
      <c r="G49" s="1590" t="n"/>
      <c r="H49" s="1590" t="n"/>
      <c r="I49" s="1590" t="n"/>
      <c r="J49" s="1590" t="n"/>
      <c r="K49" s="1590" t="n"/>
    </row>
    <row r="51" ht="12" customHeight="1" s="850">
      <c r="A51" s="1591" t="inlineStr">
        <is>
          <t>Terminal Value</t>
        </is>
      </c>
      <c r="B51" s="911" t="n"/>
      <c r="C51" s="1549" t="n"/>
      <c r="D51" s="1591" t="inlineStr">
        <is>
          <t>Calculated Equity Value</t>
        </is>
      </c>
      <c r="E51" s="1591" t="n"/>
      <c r="F51" s="911" t="n"/>
      <c r="G51" s="911" t="n"/>
      <c r="H51" s="1549" t="n"/>
      <c r="I51" s="1591" t="inlineStr">
        <is>
          <t>Intrinsic Value</t>
        </is>
      </c>
      <c r="J51" s="1591" t="n"/>
      <c r="K51" s="911" t="n"/>
    </row>
    <row r="52" ht="11.25" customHeight="1" s="850">
      <c r="A52" s="1549" t="inlineStr">
        <is>
          <t>Sum of PV of FCF for explicit forecast</t>
        </is>
      </c>
      <c r="B52" s="1570">
        <f>SUM(C34:J34)</f>
        <v/>
      </c>
      <c r="C52" s="947" t="n"/>
      <c r="D52" s="1549" t="inlineStr">
        <is>
          <t>Enterprise Value</t>
        </is>
      </c>
      <c r="E52" s="1549" t="n"/>
      <c r="F52" s="1549" t="n"/>
      <c r="G52" s="1570">
        <f>B55+B52</f>
        <v/>
      </c>
      <c r="H52" s="1549" t="n"/>
      <c r="I52" s="1549" t="inlineStr">
        <is>
          <t>Equity Value</t>
        </is>
      </c>
      <c r="J52" s="1549" t="n"/>
      <c r="K52" s="1572">
        <f>G56</f>
        <v/>
      </c>
    </row>
    <row r="53" ht="11.25" customHeight="1" s="850">
      <c r="A53" s="1549" t="inlineStr">
        <is>
          <t>WACC</t>
        </is>
      </c>
      <c r="B53" s="1557">
        <f>K13</f>
        <v/>
      </c>
      <c r="C53" s="1549" t="n"/>
      <c r="D53" s="1549" t="inlineStr">
        <is>
          <t>-   Debt</t>
        </is>
      </c>
      <c r="E53" s="1549" t="n"/>
      <c r="F53" s="1549" t="n"/>
      <c r="G53" s="1570">
        <f>-G10</f>
        <v/>
      </c>
      <c r="H53" s="1549" t="n"/>
      <c r="I53" s="1549" t="inlineStr">
        <is>
          <t>Diluted Shares</t>
        </is>
      </c>
      <c r="J53" s="1549" t="n"/>
      <c r="K53" s="1572">
        <f>G8</f>
        <v/>
      </c>
    </row>
    <row r="54" ht="11.25" customHeight="1" s="850">
      <c r="A54" s="1549" t="inlineStr">
        <is>
          <t>Long term growth in EBIT</t>
        </is>
      </c>
      <c r="B54" s="1592">
        <f>B6</f>
        <v/>
      </c>
      <c r="C54" s="1549" t="n"/>
      <c r="D54" s="1549" t="inlineStr">
        <is>
          <t>+  Cash</t>
        </is>
      </c>
      <c r="E54" s="1549" t="n"/>
      <c r="F54" s="1549" t="n"/>
      <c r="G54" s="1570">
        <f>-G11</f>
        <v/>
      </c>
      <c r="H54" s="1549" t="n"/>
      <c r="I54" s="1549" t="n"/>
      <c r="J54" s="1549" t="n"/>
      <c r="K54" s="1549" t="n"/>
    </row>
    <row r="55" ht="11.25" customHeight="1" s="850">
      <c r="A55" s="1549" t="inlineStr">
        <is>
          <t>Present Value of terminal value</t>
        </is>
      </c>
      <c r="B55" s="1570">
        <f>K28/($B$53-$B$54)*J33</f>
        <v/>
      </c>
      <c r="C55" s="1549" t="n"/>
      <c r="D55" s="1549" t="inlineStr">
        <is>
          <t>Net Debt</t>
        </is>
      </c>
      <c r="E55" s="1549" t="n"/>
      <c r="F55" s="1549" t="n"/>
      <c r="G55" s="1572">
        <f>G53+G54</f>
        <v/>
      </c>
      <c r="H55" s="1549" t="n"/>
      <c r="I55" s="1549" t="inlineStr">
        <is>
          <t>Intrinsic Value</t>
        </is>
      </c>
      <c r="J55" s="1549" t="n"/>
      <c r="K55" s="1593">
        <f>K52/K53</f>
        <v/>
      </c>
    </row>
    <row r="56" ht="11.25" customHeight="1" s="850">
      <c r="A56" s="1549" t="inlineStr">
        <is>
          <t>Terminal Value as % of Total Value</t>
        </is>
      </c>
      <c r="B56" s="1557">
        <f>B55/(B55+B52)</f>
        <v/>
      </c>
      <c r="C56" s="1549" t="n"/>
      <c r="D56" s="1549" t="inlineStr">
        <is>
          <t>Equity Value</t>
        </is>
      </c>
      <c r="E56" s="1549" t="n"/>
      <c r="F56" s="1549" t="n"/>
      <c r="G56" s="1570">
        <f>G52+G55</f>
        <v/>
      </c>
      <c r="H56" s="1549" t="n"/>
      <c r="I56" s="1549" t="n"/>
      <c r="J56" s="1549" t="n"/>
      <c r="K56" s="1549" t="n"/>
    </row>
    <row r="57" ht="12" customHeight="1" s="850">
      <c r="A57" s="1590" t="n"/>
      <c r="B57" s="1590" t="n"/>
      <c r="C57" s="1590" t="n"/>
      <c r="D57" s="1590" t="n"/>
      <c r="E57" s="1590" t="n"/>
      <c r="F57" s="1590" t="n"/>
      <c r="G57" s="1590" t="n"/>
      <c r="H57" s="1590" t="n"/>
      <c r="I57" s="1590" t="n"/>
      <c r="J57" s="1590" t="n"/>
      <c r="K57" s="1590" t="n"/>
    </row>
    <row r="59" ht="12" customHeight="1" s="850">
      <c r="A59" s="1590" t="n"/>
      <c r="B59" s="1590" t="n"/>
      <c r="C59" s="1590" t="n"/>
      <c r="D59" s="1590" t="n"/>
      <c r="E59" s="1590" t="n"/>
      <c r="F59" s="1590" t="n"/>
      <c r="G59" s="1590" t="n"/>
      <c r="H59" s="1590" t="n"/>
      <c r="I59" s="1590" t="n"/>
      <c r="J59" s="1590" t="n"/>
    </row>
    <row r="60" ht="11.25" customHeight="1" s="850">
      <c r="A60" s="1549" t="n"/>
      <c r="B60" s="1549" t="n"/>
      <c r="C60" s="1549" t="n"/>
      <c r="D60" s="1549" t="n"/>
      <c r="E60" s="1549" t="n"/>
      <c r="F60" s="1549" t="n"/>
      <c r="G60" s="1549" t="n"/>
      <c r="H60" s="1549" t="n"/>
      <c r="I60" s="1549" t="n"/>
      <c r="J60" s="1549" t="n"/>
    </row>
    <row r="61" ht="12" customHeight="1" s="850">
      <c r="A61" s="1591" t="inlineStr">
        <is>
          <t>Sensitivity - Varying Terminal Growth Rate</t>
        </is>
      </c>
      <c r="B61" s="911" t="n"/>
      <c r="C61" s="911" t="n"/>
      <c r="D61" s="911" t="n"/>
      <c r="E61" s="911" t="n"/>
      <c r="F61" s="911" t="n"/>
      <c r="G61" s="911" t="n"/>
      <c r="H61" s="911" t="n"/>
      <c r="I61" s="911" t="n"/>
      <c r="J61" s="911" t="n"/>
    </row>
    <row r="63" ht="12" customHeight="1" s="850">
      <c r="A63" s="1549" t="n"/>
      <c r="B63" s="1594" t="n"/>
      <c r="C63" s="1549" t="n"/>
      <c r="D63" s="1595" t="inlineStr">
        <is>
          <t>PV of Terminal Value</t>
        </is>
      </c>
      <c r="E63" s="910" t="n"/>
      <c r="F63" s="910" t="n"/>
      <c r="G63" s="1549" t="n"/>
      <c r="H63" s="1595" t="inlineStr">
        <is>
          <t>Intrinsic Value</t>
        </is>
      </c>
      <c r="I63" s="910" t="n"/>
      <c r="J63" s="910" t="n"/>
    </row>
    <row r="64" ht="11.25" customHeight="1" s="850">
      <c r="A64" s="1596" t="inlineStr">
        <is>
          <t>WACC</t>
        </is>
      </c>
      <c r="B64" s="1597" t="inlineStr">
        <is>
          <t>PV of FCF</t>
        </is>
      </c>
      <c r="C64" s="1598">
        <f>B55</f>
        <v/>
      </c>
      <c r="D64" s="1599" t="n">
        <v>0.02</v>
      </c>
      <c r="E64" s="1599" t="n">
        <v>0.025</v>
      </c>
      <c r="F64" s="1599" t="n">
        <v>0.03</v>
      </c>
      <c r="G64" s="1600" t="n"/>
      <c r="H64" s="1599">
        <f>D64</f>
        <v/>
      </c>
      <c r="I64" s="1599">
        <f>E64</f>
        <v/>
      </c>
      <c r="J64" s="1599">
        <f>F64</f>
        <v/>
      </c>
    </row>
    <row r="65" ht="11.25" customHeight="1" s="850">
      <c r="A65" s="1601" t="n">
        <v>0.1</v>
      </c>
      <c r="B65" s="1602">
        <f>NPV(A65,$C$28:$J$28)</f>
        <v/>
      </c>
      <c r="C65" s="1603" t="n">
        <v>0.1</v>
      </c>
      <c r="D65" s="891" t="n">
        <v>92943.17628157631</v>
      </c>
      <c r="E65" s="891" t="n">
        <v>99770.4659448358</v>
      </c>
      <c r="F65" s="891" t="n">
        <v>107573.082702847</v>
      </c>
      <c r="H65" s="1604">
        <f>($B65+D65+$G$55)/$K$53</f>
        <v/>
      </c>
      <c r="I65" s="1604">
        <f>($B65+E65+$G$55)/$K$53</f>
        <v/>
      </c>
      <c r="J65" s="1604">
        <f>($B65+F65+$G$55)/$K$53</f>
        <v/>
      </c>
    </row>
    <row r="66" ht="11.25" customHeight="1" s="850">
      <c r="A66" s="1601" t="n">
        <v>0.11</v>
      </c>
      <c r="B66" s="1602">
        <f>NPV(A66,$C$28:$J$28)</f>
        <v/>
      </c>
      <c r="C66" s="1603" t="n">
        <v>0.11</v>
      </c>
      <c r="D66" s="891" t="n">
        <v>76846.2428097862</v>
      </c>
      <c r="E66" s="891" t="n">
        <v>81884.5542265714</v>
      </c>
      <c r="F66" s="891" t="n">
        <v>87552.65457045491</v>
      </c>
      <c r="H66" s="1604">
        <f>($B66+D66+$G$55)/$K$53</f>
        <v/>
      </c>
      <c r="I66" s="1604">
        <f>($B66+E66+$G$55)/$K$53</f>
        <v/>
      </c>
      <c r="J66" s="1604">
        <f>($B66+F66+$G$55)/$K$53</f>
        <v/>
      </c>
    </row>
    <row r="67" ht="11.25" customHeight="1" s="850">
      <c r="A67" s="1601">
        <f>$B$53</f>
        <v/>
      </c>
      <c r="B67" s="1602">
        <f>NPV(A67,$C$28:$J$28)</f>
        <v/>
      </c>
      <c r="C67" s="1603" t="n">
        <v>0.122011721437155</v>
      </c>
      <c r="D67" s="891" t="n">
        <v>62204.2059594607</v>
      </c>
      <c r="E67" s="891" t="n">
        <v>65826.5937251342</v>
      </c>
      <c r="F67" s="891" t="n">
        <v>69842.6691328923</v>
      </c>
      <c r="H67" s="1604">
        <f>($B67+D67+$G$55)/$K$53</f>
        <v/>
      </c>
      <c r="I67" s="1605">
        <f>($B67+E67+$G$55)/$K$53</f>
        <v/>
      </c>
      <c r="J67" s="1604">
        <f>($B67+F67+$G$55)/$K$53</f>
        <v/>
      </c>
    </row>
    <row r="68" ht="11.25" customHeight="1" s="850">
      <c r="A68" s="1558" t="n">
        <v>0.13</v>
      </c>
      <c r="B68" s="1602">
        <f>NPV(A68,$C$28:$J$28)</f>
        <v/>
      </c>
      <c r="C68" s="1603" t="n">
        <v>0.13</v>
      </c>
      <c r="D68" s="891" t="n">
        <v>54504.0463686265</v>
      </c>
      <c r="E68" s="891" t="n">
        <v>57462.9474042699</v>
      </c>
      <c r="F68" s="891" t="n">
        <v>60717.7385434776</v>
      </c>
      <c r="H68" s="1604">
        <f>($B68+D68+$G$55)/$K$53</f>
        <v/>
      </c>
      <c r="I68" s="1604">
        <f>($B68+E68+$G$55)/$K$53</f>
        <v/>
      </c>
      <c r="J68" s="1604">
        <f>($B68+F68+$G$55)/$K$53</f>
        <v/>
      </c>
    </row>
    <row r="69" ht="11.25" customHeight="1" s="850">
      <c r="A69" s="1601" t="n">
        <v>0.14</v>
      </c>
      <c r="B69" s="1602">
        <f>NPV(A69,$C$28:$J$28)</f>
        <v/>
      </c>
      <c r="C69" s="1603" t="n">
        <v>0.14</v>
      </c>
      <c r="D69" s="891" t="n">
        <v>46561.7100097448</v>
      </c>
      <c r="E69" s="891" t="n">
        <v>48895.4102159308</v>
      </c>
      <c r="F69" s="891" t="n">
        <v>51441.2649863157</v>
      </c>
      <c r="H69" s="1604">
        <f>($B69+D69+$G$55)/$K$53</f>
        <v/>
      </c>
      <c r="I69" s="1604">
        <f>($B69+E69+$G$55)/$K$53</f>
        <v/>
      </c>
      <c r="J69" s="1604">
        <f>($B69+F69+$G$55)/$K$53</f>
        <v/>
      </c>
    </row>
    <row r="71" ht="12" customHeight="1" s="850">
      <c r="A71" s="1591" t="inlineStr">
        <is>
          <t>Sensitivity - EV/EBITDA Exit Multiple</t>
        </is>
      </c>
      <c r="B71" s="911" t="n"/>
      <c r="C71" s="911" t="n"/>
      <c r="D71" s="911" t="n"/>
      <c r="E71" s="911" t="n"/>
      <c r="F71" s="911" t="n"/>
      <c r="G71" s="911" t="n"/>
      <c r="H71" s="911" t="n"/>
      <c r="I71" s="911" t="n"/>
      <c r="J71" s="911" t="n"/>
    </row>
    <row r="72" ht="11.25" customHeight="1" s="850">
      <c r="A72" s="1606" t="n"/>
      <c r="B72" s="1606" t="n"/>
      <c r="C72" s="1549" t="n"/>
      <c r="D72" s="1549" t="n"/>
      <c r="E72" s="1549" t="n"/>
      <c r="F72" s="1549" t="n"/>
      <c r="G72" s="1549" t="n"/>
      <c r="H72" s="1549" t="n"/>
      <c r="I72" s="1549" t="n"/>
      <c r="J72" s="1549" t="n"/>
    </row>
    <row r="73" ht="12" customHeight="1" s="850">
      <c r="A73" s="1549" t="n"/>
      <c r="B73" s="1594" t="n"/>
      <c r="C73" s="1549" t="n"/>
      <c r="D73" s="1595" t="inlineStr">
        <is>
          <t>PV of Terminal Value (EV/EBITDA)</t>
        </is>
      </c>
      <c r="E73" s="910" t="n"/>
      <c r="F73" s="910" t="n"/>
      <c r="G73" s="1549" t="n"/>
      <c r="H73" s="1595" t="inlineStr">
        <is>
          <t>Intrinsic Value</t>
        </is>
      </c>
      <c r="I73" s="910" t="n"/>
      <c r="J73" s="910" t="n"/>
    </row>
    <row r="74" ht="11.25" customHeight="1" s="850">
      <c r="A74" s="1596" t="inlineStr">
        <is>
          <t>WACC</t>
        </is>
      </c>
      <c r="B74" s="1597" t="inlineStr">
        <is>
          <t>PV of FCF</t>
        </is>
      </c>
      <c r="C74" s="1600" t="n"/>
      <c r="D74" s="1607" t="n">
        <v>5</v>
      </c>
      <c r="E74" s="1607" t="n">
        <v>5.5</v>
      </c>
      <c r="F74" s="1607" t="n">
        <v>6</v>
      </c>
      <c r="G74" s="1608" t="n"/>
      <c r="H74" s="1609">
        <f>D74</f>
        <v/>
      </c>
      <c r="I74" s="1609">
        <f>E74</f>
        <v/>
      </c>
      <c r="J74" s="1609">
        <f>F74</f>
        <v/>
      </c>
    </row>
    <row r="75" ht="11.25" customHeight="1" s="850">
      <c r="A75" s="1601" t="n">
        <v>0.1</v>
      </c>
      <c r="B75" s="1602">
        <f>NPV(A75,$C$28:$J$28)</f>
        <v/>
      </c>
      <c r="D75" s="1570">
        <f>(D$74*($K$21+$K$24))/(1+$A75)^$J$32</f>
        <v/>
      </c>
      <c r="E75" s="1570">
        <f>(E$74*($K$21+$K$24))/(1+$A75)^$J$32</f>
        <v/>
      </c>
      <c r="F75" s="1570">
        <f>(F$74*($K$21+$K$24))/(1+$A75)^$J$32</f>
        <v/>
      </c>
      <c r="H75" s="1604">
        <f>($B75+D75+$G$55)/$K$53</f>
        <v/>
      </c>
      <c r="I75" s="1604">
        <f>($B75+E75+$G$55)/$K$53</f>
        <v/>
      </c>
      <c r="J75" s="1604">
        <f>($B75+F75+$G$55)/$K$53</f>
        <v/>
      </c>
    </row>
    <row r="76" ht="11.25" customHeight="1" s="850">
      <c r="A76" s="1601" t="n">
        <v>0.11</v>
      </c>
      <c r="B76" s="1602">
        <f>NPV(A76,$C$28:$J$28)</f>
        <v/>
      </c>
      <c r="D76" s="1570">
        <f>(D$74*($K$21+$K$24))/(1+$A76)^$J$32</f>
        <v/>
      </c>
      <c r="E76" s="1570">
        <f>(E$74*($K$21+$K$24))/(1+$A76)^$J$32</f>
        <v/>
      </c>
      <c r="F76" s="1570">
        <f>(F$74*($K$21+$K$24))/(1+$A76)^$J$32</f>
        <v/>
      </c>
      <c r="H76" s="1604">
        <f>($B76+D76+$G$55)/$K$53</f>
        <v/>
      </c>
      <c r="I76" s="1604">
        <f>($B76+E76+$G$55)/$K$53</f>
        <v/>
      </c>
      <c r="J76" s="1604">
        <f>($B76+F76+$G$55)/$K$53</f>
        <v/>
      </c>
    </row>
    <row r="77" ht="11.25" customHeight="1" s="850">
      <c r="A77" s="1601">
        <f>$B$53</f>
        <v/>
      </c>
      <c r="B77" s="1602">
        <f>NPV(A77,$C$28:$J$28)</f>
        <v/>
      </c>
      <c r="D77" s="1570">
        <f>(D$74*($K$21+$K$24))/(1+$A77)^$J$32</f>
        <v/>
      </c>
      <c r="E77" s="1570">
        <f>(E$74*($K$21+$K$24))/(1+$A77)^$J$32</f>
        <v/>
      </c>
      <c r="F77" s="1570">
        <f>(F$74*($K$21+$K$24))/(1+$A77)^$J$32</f>
        <v/>
      </c>
      <c r="H77" s="1604">
        <f>($B77+D77+$G$55)/$K$53</f>
        <v/>
      </c>
      <c r="I77" s="1605">
        <f>($B77+E77+$G$55)/$K$53</f>
        <v/>
      </c>
      <c r="J77" s="1604">
        <f>($B77+F77+$G$55)/$K$53</f>
        <v/>
      </c>
    </row>
    <row r="78" ht="11.25" customHeight="1" s="850">
      <c r="A78" s="1558" t="n">
        <v>0.13</v>
      </c>
      <c r="B78" s="1602">
        <f>NPV(A78,$C$28:$J$28)</f>
        <v/>
      </c>
      <c r="D78" s="1570">
        <f>(D$74*($K$21+$K$24))/(1+$A78)^$J$32</f>
        <v/>
      </c>
      <c r="E78" s="1570">
        <f>(E$74*($K$21+$K$24))/(1+$A78)^$J$32</f>
        <v/>
      </c>
      <c r="F78" s="1570">
        <f>(F$74*($K$21+$K$24))/(1+$A78)^$J$32</f>
        <v/>
      </c>
      <c r="H78" s="1604">
        <f>($B78+D78+$G$55)/$K$53</f>
        <v/>
      </c>
      <c r="I78" s="1604">
        <f>($B78+E78+$G$55)/$K$53</f>
        <v/>
      </c>
      <c r="J78" s="1604">
        <f>($B78+F78+$G$55)/$K$53</f>
        <v/>
      </c>
    </row>
    <row r="79" ht="11.25" customHeight="1" s="850">
      <c r="A79" s="1601" t="n">
        <v>0.14</v>
      </c>
      <c r="B79" s="1602">
        <f>NPV(A79,$C$28:$J$28)</f>
        <v/>
      </c>
      <c r="D79" s="1570">
        <f>(D$74*($K$21+$K$24))/(1+$A79)^$J$32</f>
        <v/>
      </c>
      <c r="E79" s="1570">
        <f>(E$74*($K$21+$K$24))/(1+$A79)^$J$32</f>
        <v/>
      </c>
      <c r="F79" s="1570">
        <f>(F$74*($K$21+$K$24))/(1+$A79)^$J$32</f>
        <v/>
      </c>
      <c r="H79" s="1604">
        <f>($B79+D79+$G$55)/$K$53</f>
        <v/>
      </c>
      <c r="I79" s="1604">
        <f>($B79+E79+$G$55)/$K$53</f>
        <v/>
      </c>
      <c r="J79" s="1604">
        <f>($B79+F79+$G$55)/$K$53</f>
        <v/>
      </c>
    </row>
    <row r="80" ht="12" customHeight="1" s="850">
      <c r="A80" s="1590" t="n"/>
      <c r="B80" s="1590" t="n"/>
      <c r="C80" s="1590" t="n"/>
      <c r="D80" s="1590" t="n"/>
      <c r="E80" s="1590" t="n"/>
      <c r="F80" s="1590" t="n"/>
      <c r="G80" s="1590" t="n"/>
      <c r="H80" s="1590" t="n"/>
      <c r="I80" s="1590" t="n"/>
      <c r="J80" s="1590" t="n"/>
    </row>
  </sheetData>
  <mergeCells count="16">
    <mergeCell ref="D8:E8"/>
    <mergeCell ref="C16:E16"/>
    <mergeCell ref="H63:J63"/>
    <mergeCell ref="I12:J12"/>
    <mergeCell ref="H73:J73"/>
    <mergeCell ref="D12:E12"/>
    <mergeCell ref="D7:E7"/>
    <mergeCell ref="D10:E10"/>
    <mergeCell ref="D11:E11"/>
    <mergeCell ref="D13:E13"/>
    <mergeCell ref="F16:J16"/>
    <mergeCell ref="D5:E5"/>
    <mergeCell ref="I5:J5"/>
    <mergeCell ref="D9:E9"/>
    <mergeCell ref="D63:F63"/>
    <mergeCell ref="D73:F7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J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14" activeCellId="0" sqref="H14"/>
    </sheetView>
  </sheetViews>
  <sheetFormatPr baseColWidth="8" defaultColWidth="8.96875" defaultRowHeight="15" zeroHeight="0" outlineLevelRow="0"/>
  <cols>
    <col width="26.99" customWidth="1" style="849" min="1" max="1"/>
    <col width="11.99" customWidth="1" style="849" min="2" max="2"/>
    <col width="12.42" customWidth="1" style="849" min="3" max="3"/>
    <col width="11.71" customWidth="1" style="849" min="4" max="10"/>
  </cols>
  <sheetData>
    <row r="1" ht="20.25" customHeight="1" s="850">
      <c r="A1" s="1610" t="inlineStr">
        <is>
          <t>GAIL INDIA LTD.</t>
        </is>
      </c>
      <c r="B1" s="1443" t="n"/>
      <c r="C1" s="914" t="n"/>
      <c r="D1" s="914" t="n"/>
      <c r="E1" s="914" t="n"/>
      <c r="F1" s="914" t="n"/>
      <c r="G1" s="914" t="n"/>
      <c r="H1" s="914" t="n"/>
      <c r="I1" s="914" t="n"/>
      <c r="J1" s="914" t="n"/>
    </row>
    <row r="2" ht="16.5" customHeight="1" s="850">
      <c r="A2" s="1611" t="inlineStr">
        <is>
          <t>RATIO ANALYSIS</t>
        </is>
      </c>
      <c r="B2" s="1446" t="n"/>
      <c r="C2" s="914" t="n"/>
      <c r="D2" s="914" t="n"/>
      <c r="E2" s="914" t="n"/>
      <c r="F2" s="914" t="n"/>
      <c r="G2" s="914" t="n"/>
      <c r="H2" s="914" t="n"/>
      <c r="I2" s="914" t="n"/>
      <c r="J2" s="914" t="n"/>
    </row>
    <row r="3" ht="17.25" customHeight="1" s="850">
      <c r="A3" s="912" t="inlineStr">
        <is>
          <t xml:space="preserve"> (in Rs.crores)</t>
        </is>
      </c>
      <c r="B3" s="913" t="n"/>
      <c r="C3" s="914" t="n"/>
      <c r="D3" s="914" t="n"/>
      <c r="E3" s="914" t="n"/>
      <c r="F3" s="914" t="n"/>
      <c r="G3" s="914" t="n"/>
      <c r="H3" s="914" t="n"/>
      <c r="I3" s="914" t="n"/>
      <c r="J3" s="914" t="n"/>
    </row>
    <row r="4" ht="15" customHeight="1" s="850">
      <c r="A4" s="1612" t="inlineStr">
        <is>
          <t>RATIOS</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5.75" customHeight="1" s="850">
      <c r="A5" s="1412"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613" t="inlineStr">
        <is>
          <t>GEARING %</t>
        </is>
      </c>
      <c r="B7" s="1614">
        <f>(BALANCESHEET!B19+BALANCESHEET!B23)/BALANCESHEET!B24%</f>
        <v/>
      </c>
      <c r="C7" s="1614">
        <f>(BALANCESHEET!C19+BALANCESHEET!C23)/BALANCESHEET!C24%</f>
        <v/>
      </c>
      <c r="D7" s="1614">
        <f>(BALANCESHEET!D19+BALANCESHEET!D23)/BALANCESHEET!D24%</f>
        <v/>
      </c>
      <c r="E7" s="1614">
        <f>(BALANCESHEET!E19+BALANCESHEET!E23)/BALANCESHEET!E24%</f>
        <v/>
      </c>
      <c r="F7" s="1614">
        <f>(BALANCESHEET!F19+BALANCESHEET!F23)/BALANCESHEET!F24%</f>
        <v/>
      </c>
      <c r="G7" s="1614">
        <f>(BALANCESHEET!G19+BALANCESHEET!G23)/BALANCESHEET!G24%</f>
        <v/>
      </c>
      <c r="H7" s="1614">
        <f>(BALANCESHEET!H19+BALANCESHEET!H23)/BALANCESHEET!H24%</f>
        <v/>
      </c>
      <c r="I7" s="1614">
        <f>(BALANCESHEET!I19+BALANCESHEET!I23)/BALANCESHEET!I24%</f>
        <v/>
      </c>
      <c r="J7" s="1614">
        <f>(BALANCESHEET!J19+BALANCESHEET!J23)/BALANCESHEET!J24%</f>
        <v/>
      </c>
    </row>
    <row r="8" ht="15" customHeight="1" s="850">
      <c r="A8" s="1613" t="inlineStr">
        <is>
          <t>DEBT EQUITY</t>
        </is>
      </c>
      <c r="B8" s="1615">
        <f>BALANCESHEET!B19/BALANCESHEET!B8</f>
        <v/>
      </c>
      <c r="C8" s="1615">
        <f>BALANCESHEET!C19/BALANCESHEET!C8</f>
        <v/>
      </c>
      <c r="D8" s="1615">
        <f>BALANCESHEET!D19/BALANCESHEET!D8</f>
        <v/>
      </c>
      <c r="E8" s="1615">
        <f>BALANCESHEET!E19/BALANCESHEET!E8</f>
        <v/>
      </c>
      <c r="F8" s="1615">
        <f>BALANCESHEET!F19/BALANCESHEET!F8</f>
        <v/>
      </c>
      <c r="G8" s="1615">
        <f>BALANCESHEET!G19/BALANCESHEET!G8</f>
        <v/>
      </c>
      <c r="H8" s="1615">
        <f>BALANCESHEET!H19/BALANCESHEET!H8</f>
        <v/>
      </c>
      <c r="I8" s="1615">
        <f>BALANCESHEET!I19/BALANCESHEET!I8</f>
        <v/>
      </c>
      <c r="J8" s="1615">
        <f>BALANCESHEET!J19/BALANCESHEET!J8</f>
        <v/>
      </c>
    </row>
    <row r="9" ht="15" customHeight="1" s="850">
      <c r="A9" s="1613" t="inlineStr">
        <is>
          <t>CURRENT RATIO</t>
        </is>
      </c>
      <c r="B9" s="1615">
        <f>BALANCESHEET!B36/BALANCESHEET!B43</f>
        <v/>
      </c>
      <c r="C9" s="1615">
        <f>BALANCESHEET!C36/BALANCESHEET!C43</f>
        <v/>
      </c>
      <c r="D9" s="1615">
        <f>BALANCESHEET!D36/BALANCESHEET!D43</f>
        <v/>
      </c>
      <c r="E9" s="1615">
        <f>BALANCESHEET!E36/BALANCESHEET!E43</f>
        <v/>
      </c>
      <c r="F9" s="1615">
        <f>BALANCESHEET!F36/BALANCESHEET!F43</f>
        <v/>
      </c>
      <c r="G9" s="1615">
        <f>BALANCESHEET!G36/BALANCESHEET!G43</f>
        <v/>
      </c>
      <c r="H9" s="1615">
        <f>BALANCESHEET!H36/BALANCESHEET!H43</f>
        <v/>
      </c>
      <c r="I9" s="1615">
        <f>BALANCESHEET!I36/BALANCESHEET!I43</f>
        <v/>
      </c>
      <c r="J9" s="1615">
        <f>BALANCESHEET!J36/BALANCESHEET!J43</f>
        <v/>
      </c>
    </row>
    <row r="10" ht="15.75" customHeight="1" s="850">
      <c r="A10" s="1613" t="inlineStr">
        <is>
          <t>ASSET TURNOVER</t>
        </is>
      </c>
      <c r="B10" s="1616" t="n"/>
      <c r="C10" s="1616">
        <f>'INCOME STATEMENT'!H6/(BALANCESHEET!C27+BALANCESHEET!B27)</f>
        <v/>
      </c>
      <c r="D10" s="1617">
        <f>'INCOME STATEMENT'!O6/(BALANCESHEET!D27+BALANCESHEET!C27)</f>
        <v/>
      </c>
      <c r="E10" s="1616">
        <f>'INCOME STATEMENT'!V6/(BALANCESHEET!E27+BALANCESHEET!D27)</f>
        <v/>
      </c>
      <c r="F10" s="1616">
        <f>'INCOME STATEMENT'!AC6/(BALANCESHEET!F27+BALANCESHEET!E27)</f>
        <v/>
      </c>
      <c r="G10" s="1616">
        <f>'INCOME STATEMENT'!AD6/(BALANCESHEET!G27+BALANCESHEET!F27)</f>
        <v/>
      </c>
      <c r="H10" s="1616">
        <f>'INCOME STATEMENT'!AE6/(BALANCESHEET!H27+BALANCESHEET!G27)</f>
        <v/>
      </c>
      <c r="I10" s="1616">
        <f>'INCOME STATEMENT'!AF6/(BALANCESHEET!I27+BALANCESHEET!H27)</f>
        <v/>
      </c>
      <c r="J10" s="1616">
        <f>'INCOME STATEMENT'!AG6/(BALANCESHEET!J27+BALANCESHEET!I27)</f>
        <v/>
      </c>
    </row>
    <row r="11" ht="15" customHeight="1" s="850">
      <c r="A11" s="1618" t="inlineStr">
        <is>
          <t>RONW(%)</t>
        </is>
      </c>
      <c r="B11" s="1619" t="n"/>
      <c r="C11" s="1619">
        <f>'INCOME STATEMENT'!H38/BALANCESHEET!C8</f>
        <v/>
      </c>
      <c r="D11" s="1619">
        <f>'INCOME STATEMENT'!O38/BALANCESHEET!D8</f>
        <v/>
      </c>
      <c r="E11" s="1619">
        <f>'INCOME STATEMENT'!V38/BALANCESHEET!E8</f>
        <v/>
      </c>
      <c r="F11" s="1619">
        <f>'INCOME STATEMENT'!AC38/BALANCESHEET!F8</f>
        <v/>
      </c>
      <c r="G11" s="1619">
        <f>'INCOME STATEMENT'!AD38/BALANCESHEET!G8</f>
        <v/>
      </c>
      <c r="H11" s="1619">
        <f>'INCOME STATEMENT'!AE38/BALANCESHEET!H8</f>
        <v/>
      </c>
      <c r="I11" s="1619">
        <f>'INCOME STATEMENT'!AF38/BALANCESHEET!I8</f>
        <v/>
      </c>
      <c r="J11" s="1619">
        <f>'INCOME STATEMENT'!AG38/BALANCESHEET!J8</f>
        <v/>
      </c>
    </row>
    <row r="12" ht="15.75" customHeight="1" s="850">
      <c r="A12" s="1618" t="inlineStr">
        <is>
          <t>ROCE(%)</t>
        </is>
      </c>
      <c r="B12" s="1620" t="n"/>
      <c r="C12" s="1620">
        <f>('INCOME STATEMENT'!H32+'INCOME STATEMENT'!H26)/((BALANCESHEET!C24+BALANCESHEET!B24)*0.5)</f>
        <v/>
      </c>
      <c r="D12" s="1620">
        <f>('INCOME STATEMENT'!O32+'INCOME STATEMENT'!O26)/(BALANCESHEET!D8+BALANCESHEET!C8)</f>
        <v/>
      </c>
      <c r="E12" s="1620">
        <f>('INCOME STATEMENT'!V32+'INCOME STATEMENT'!V26)/(BALANCESHEET!E8+BALANCESHEET!D8)</f>
        <v/>
      </c>
      <c r="F12" s="1620">
        <f>('INCOME STATEMENT'!AC32+'INCOME STATEMENT'!AC26)/(BALANCESHEET!F8+BALANCESHEET!E8)</f>
        <v/>
      </c>
      <c r="G12" s="1620">
        <f>('INCOME STATEMENT'!AD32+'INCOME STATEMENT'!AD26)/(BALANCESHEET!G8+BALANCESHEET!F8)</f>
        <v/>
      </c>
      <c r="H12" s="1620">
        <f>('INCOME STATEMENT'!AE32+'INCOME STATEMENT'!AE26)/(BALANCESHEET!H8+BALANCESHEET!G8)</f>
        <v/>
      </c>
      <c r="I12" s="1620">
        <f>('INCOME STATEMENT'!AF32+'INCOME STATEMENT'!AF26)/(BALANCESHEET!I8+BALANCESHEET!H8)</f>
        <v/>
      </c>
      <c r="J12" s="1620">
        <f>('INCOME STATEMENT'!AG32+'INCOME STATEMENT'!AG26)/(BALANCESHEET!J8+BALANCESHEET!I8)</f>
        <v/>
      </c>
    </row>
    <row r="13" ht="15" customHeight="1" s="850">
      <c r="A13" s="1613" t="inlineStr">
        <is>
          <t>OPM(%)</t>
        </is>
      </c>
      <c r="B13" s="1621" t="n"/>
      <c r="C13" s="1621">
        <f>('INCOME STATEMENT'!H21*100)/'INCOME STATEMENT'!H6</f>
        <v/>
      </c>
      <c r="D13" s="1621">
        <f>('INCOME STATEMENT'!O21*100)/'INCOME STATEMENT'!O6</f>
        <v/>
      </c>
      <c r="E13" s="1621">
        <f>('INCOME STATEMENT'!V21*100)/'INCOME STATEMENT'!V6</f>
        <v/>
      </c>
      <c r="F13" s="1621">
        <f>('INCOME STATEMENT'!AC21*100)/'INCOME STATEMENT'!AC6</f>
        <v/>
      </c>
      <c r="G13" s="1621">
        <f>('INCOME STATEMENT'!AD21*100)/'INCOME STATEMENT'!AD6</f>
        <v/>
      </c>
      <c r="H13" s="1621">
        <f>('INCOME STATEMENT'!AE21*100)/'INCOME STATEMENT'!AE6</f>
        <v/>
      </c>
      <c r="I13" s="1621">
        <f>('INCOME STATEMENT'!AF21*100)/'INCOME STATEMENT'!AF6</f>
        <v/>
      </c>
      <c r="J13" s="1622">
        <f>('INCOME STATEMENT'!AG21*100)/'INCOME STATEMENT'!AG6</f>
        <v/>
      </c>
    </row>
    <row r="14" ht="15" customHeight="1" s="850">
      <c r="A14" s="1613" t="inlineStr">
        <is>
          <t>NPM(%)</t>
        </is>
      </c>
      <c r="B14" s="1615" t="n"/>
      <c r="C14" s="1615">
        <f>('INCOME STATEMENT'!H41*100)/'INCOME STATEMENT'!H6</f>
        <v/>
      </c>
      <c r="D14" s="1615">
        <f>('INCOME STATEMENT'!O41*100/'INCOME STATEMENT'!O6)</f>
        <v/>
      </c>
      <c r="E14" s="1615">
        <f>('INCOME STATEMENT'!V41*100)/'INCOME STATEMENT'!V6</f>
        <v/>
      </c>
      <c r="F14" s="1615">
        <f>('INCOME STATEMENT'!AC41*100)/'INCOME STATEMENT'!AC6</f>
        <v/>
      </c>
      <c r="G14" s="1615">
        <f>('INCOME STATEMENT'!AD41*100)/'INCOME STATEMENT'!AD6</f>
        <v/>
      </c>
      <c r="H14" s="1615">
        <f>('INCOME STATEMENT'!AE41*100)/'INCOME STATEMENT'!AE6</f>
        <v/>
      </c>
      <c r="I14" s="1615">
        <f>('INCOME STATEMENT'!AF41*100)/'INCOME STATEMENT'!AF6</f>
        <v/>
      </c>
      <c r="J14" s="1623">
        <f>('INCOME STATEMENT'!AG41*100)/'INCOME STATEMENT'!AG6</f>
        <v/>
      </c>
    </row>
    <row r="15" ht="15" customHeight="1" s="850">
      <c r="A15" s="1613" t="inlineStr">
        <is>
          <t>Effective Interest Rate</t>
        </is>
      </c>
      <c r="B15" s="1615" t="n"/>
      <c r="C15" s="1615">
        <f>'INCOME STATEMENT'!H26/((BALANCESHEET!C19+BALANCESHEET!B19))</f>
        <v/>
      </c>
      <c r="D15" s="1615">
        <f>'INCOME STATEMENT'!O26/(BALANCESHEET!D19+BALANCESHEET!C19)</f>
        <v/>
      </c>
      <c r="E15" s="1615">
        <f>'INCOME STATEMENT'!V26/(BALANCESHEET!E19+BALANCESHEET!D19)</f>
        <v/>
      </c>
      <c r="F15" s="1615">
        <f>'INCOME STATEMENT'!AC26/(BALANCESHEET!F19+BALANCESHEET!E19)</f>
        <v/>
      </c>
      <c r="G15" s="1615">
        <f>'INCOME STATEMENT'!AD26/(BALANCESHEET!G19+BALANCESHEET!F19)</f>
        <v/>
      </c>
      <c r="H15" s="1615">
        <f>'INCOME STATEMENT'!AE26/(BALANCESHEET!H19+BALANCESHEET!G19)</f>
        <v/>
      </c>
      <c r="I15" s="1615">
        <f>'INCOME STATEMENT'!AF26/(BALANCESHEET!I19+BALANCESHEET!H19)</f>
        <v/>
      </c>
      <c r="J15" s="1615">
        <f>'INCOME STATEMENT'!AG26/(BALANCESHEET!J19+BALANCESHEET!I19)</f>
        <v/>
      </c>
    </row>
    <row r="16" ht="15" customHeight="1" s="850">
      <c r="A16" s="1613" t="inlineStr">
        <is>
          <t>Effective Tax Rate(%)</t>
        </is>
      </c>
      <c r="B16" s="1615" t="n"/>
      <c r="C16" s="1615">
        <f>'INCOME STATEMENT'!H37%</f>
        <v/>
      </c>
      <c r="D16" s="1615">
        <f>'INCOME STATEMENT'!O37%</f>
        <v/>
      </c>
      <c r="E16" s="1615">
        <f>'INCOME STATEMENT'!V37%</f>
        <v/>
      </c>
      <c r="F16" s="1615">
        <f>'INCOME STATEMENT'!AC37%</f>
        <v/>
      </c>
      <c r="G16" s="1615">
        <f>'INCOME STATEMENT'!AD37%</f>
        <v/>
      </c>
      <c r="H16" s="1615">
        <f>'INCOME STATEMENT'!AE37%</f>
        <v/>
      </c>
      <c r="I16" s="1615">
        <f>'INCOME STATEMENT'!AF37%</f>
        <v/>
      </c>
      <c r="J16" s="1615">
        <f>'INCOME STATEMENT'!AG37%</f>
        <v/>
      </c>
    </row>
    <row r="17" ht="15" customHeight="1" s="850">
      <c r="A17" s="1613" t="inlineStr">
        <is>
          <t>Cash/Net Assets</t>
        </is>
      </c>
      <c r="B17" s="1624">
        <f>BALANCESHEET!B39/BALANCESHEET!B27</f>
        <v/>
      </c>
      <c r="C17" s="1624">
        <f>BALANCESHEET!C39/BALANCESHEET!C27</f>
        <v/>
      </c>
      <c r="D17" s="1624">
        <f>BALANCESHEET!D39/BALANCESHEET!D27</f>
        <v/>
      </c>
      <c r="E17" s="1624">
        <f>BALANCESHEET!E39/BALANCESHEET!E27</f>
        <v/>
      </c>
      <c r="F17" s="1624">
        <f>BALANCESHEET!F39/BALANCESHEET!F27</f>
        <v/>
      </c>
      <c r="G17" s="1624">
        <f>BALANCESHEET!G39/BALANCESHEET!G27</f>
        <v/>
      </c>
      <c r="H17" s="1624">
        <f>BALANCESHEET!H39/BALANCESHEET!H27</f>
        <v/>
      </c>
      <c r="I17" s="1624">
        <f>BALANCESHEET!I39/BALANCESHEET!I27</f>
        <v/>
      </c>
      <c r="J17" s="1625">
        <f>BALANCESHEET!J39/BALANCESHEET!J27</f>
        <v/>
      </c>
    </row>
    <row r="18" ht="15" customHeight="1" s="850">
      <c r="A18" s="1613" t="inlineStr">
        <is>
          <t>Other Income/PBT</t>
        </is>
      </c>
      <c r="B18" s="1615" t="n"/>
      <c r="C18" s="1624">
        <f>'INCOME STATEMENT'!H29/'INCOME STATEMENT'!H32</f>
        <v/>
      </c>
      <c r="D18" s="1624">
        <f>'INCOME STATEMENT'!O29/'INCOME STATEMENT'!O32</f>
        <v/>
      </c>
      <c r="E18" s="1624">
        <f>'INCOME STATEMENT'!V29/'INCOME STATEMENT'!V32</f>
        <v/>
      </c>
      <c r="F18" s="1624">
        <f>'INCOME STATEMENT'!AC29/'INCOME STATEMENT'!AC32</f>
        <v/>
      </c>
      <c r="G18" s="1624">
        <f>'INCOME STATEMENT'!AD29/'INCOME STATEMENT'!AD32</f>
        <v/>
      </c>
      <c r="H18" s="1624">
        <f>'INCOME STATEMENT'!AE29/'INCOME STATEMENT'!AE32</f>
        <v/>
      </c>
      <c r="I18" s="1624">
        <f>'INCOME STATEMENT'!AF29/'INCOME STATEMENT'!AF32</f>
        <v/>
      </c>
      <c r="J18" s="1624">
        <f>'INCOME STATEMENT'!AG29/'INCOME STATEMENT'!AG32</f>
        <v/>
      </c>
    </row>
    <row r="19" ht="15" customHeight="1" s="850">
      <c r="A19" s="1613" t="inlineStr">
        <is>
          <t>Interest Coverage</t>
        </is>
      </c>
      <c r="B19" s="1615" t="n"/>
      <c r="C19" s="1615">
        <f>('INCOME STATEMENT'!H21-'INCOME STATEMENT'!H27)/'INCOME STATEMENT'!H26</f>
        <v/>
      </c>
      <c r="D19" s="1615">
        <f>('INCOME STATEMENT'!O21-'INCOME STATEMENT'!O27)/'INCOME STATEMENT'!O26</f>
        <v/>
      </c>
      <c r="E19" s="1615">
        <f>('INCOME STATEMENT'!V21-'INCOME STATEMENT'!V27)/'INCOME STATEMENT'!V26</f>
        <v/>
      </c>
      <c r="F19" s="1615">
        <f>('INCOME STATEMENT'!AC21-'INCOME STATEMENT'!AC27)/'INCOME STATEMENT'!AC26</f>
        <v/>
      </c>
      <c r="G19" s="1615">
        <f>('INCOME STATEMENT'!AD21-'INCOME STATEMENT'!AD27)/'INCOME STATEMENT'!AD26</f>
        <v/>
      </c>
      <c r="H19" s="1615">
        <f>('INCOME STATEMENT'!AE21-'INCOME STATEMENT'!AE27)/'INCOME STATEMENT'!AE26</f>
        <v/>
      </c>
      <c r="I19" s="1615">
        <f>('INCOME STATEMENT'!AF21-'INCOME STATEMENT'!AF27)/'INCOME STATEMENT'!AF26</f>
        <v/>
      </c>
      <c r="J19" s="1615">
        <f>('INCOME STATEMENT'!AG21-'INCOME STATEMENT'!AG27)/'INCOME STATEMENT'!AG26</f>
        <v/>
      </c>
    </row>
    <row r="20" ht="15" customHeight="1" s="850">
      <c r="A20" s="1613" t="inlineStr">
        <is>
          <t>Growth in Gross Block</t>
        </is>
      </c>
      <c r="B20" s="1615" t="n"/>
      <c r="C20" s="1615">
        <f>BALANCESHEET!C28/BALANCESHEET!B28-1</f>
        <v/>
      </c>
      <c r="D20" s="1615">
        <f>BALANCESHEET!D28/BALANCESHEET!C28-1</f>
        <v/>
      </c>
      <c r="E20" s="1615">
        <f>BALANCESHEET!E28/BALANCESHEET!D28-1</f>
        <v/>
      </c>
      <c r="F20" s="1615">
        <f>BALANCESHEET!F28/BALANCESHEET!E28-1</f>
        <v/>
      </c>
      <c r="G20" s="1615">
        <f>BALANCESHEET!G28/BALANCESHEET!F28-1</f>
        <v/>
      </c>
      <c r="H20" s="1615">
        <f>BALANCESHEET!H28/BALANCESHEET!G28-1</f>
        <v/>
      </c>
      <c r="I20" s="1615">
        <f>BALANCESHEET!I28/BALANCESHEET!H28-1</f>
        <v/>
      </c>
      <c r="J20" s="1615">
        <f>BALANCESHEET!J28/BALANCESHEET!I28-1</f>
        <v/>
      </c>
    </row>
    <row r="21" ht="15" customHeight="1" s="850">
      <c r="A21" s="1613" t="inlineStr">
        <is>
          <t>Sales Growth</t>
        </is>
      </c>
      <c r="B21" s="1615" t="n"/>
      <c r="C21" s="1615" t="n"/>
      <c r="D21" s="1626">
        <f>'INCOME STATEMENT'!O6/'INCOME STATEMENT'!H6-1</f>
        <v/>
      </c>
      <c r="E21" s="1615">
        <f>'INCOME STATEMENT'!V6/'INCOME STATEMENT'!O6-1</f>
        <v/>
      </c>
      <c r="F21" s="1615">
        <f>'INCOME STATEMENT'!AC6/'INCOME STATEMENT'!V6-1</f>
        <v/>
      </c>
      <c r="G21" s="1615">
        <f>'INCOME STATEMENT'!AD6/'INCOME STATEMENT'!W6-1</f>
        <v/>
      </c>
      <c r="H21" s="1615">
        <f>'INCOME STATEMENT'!AE6/'INCOME STATEMENT'!X6-1</f>
        <v/>
      </c>
      <c r="I21" s="1615">
        <f>'INCOME STATEMENT'!AF6/'INCOME STATEMENT'!Y6-1</f>
        <v/>
      </c>
      <c r="J21" s="1615">
        <f>'INCOME STATEMENT'!AG6/'INCOME STATEMENT'!Z6-1</f>
        <v/>
      </c>
    </row>
    <row r="22" ht="15" customHeight="1" s="850">
      <c r="A22" s="1613" t="inlineStr">
        <is>
          <t>Operating Profit Growth</t>
        </is>
      </c>
      <c r="B22" s="1615" t="n"/>
      <c r="C22" s="1615" t="n"/>
      <c r="D22" s="1615">
        <f>'INCOME STATEMENT'!O21/'INCOME STATEMENT'!H21-1</f>
        <v/>
      </c>
      <c r="E22" s="1615">
        <f>'INCOME STATEMENT'!V21/'INCOME STATEMENT'!O21-1</f>
        <v/>
      </c>
      <c r="F22" s="1615">
        <f>'INCOME STATEMENT'!AC21/'INCOME STATEMENT'!V21-1</f>
        <v/>
      </c>
      <c r="G22" s="1615">
        <f>'INCOME STATEMENT'!AD21/'INCOME STATEMENT'!W21-1</f>
        <v/>
      </c>
      <c r="H22" s="1615">
        <f>'INCOME STATEMENT'!AE21/'INCOME STATEMENT'!X21-1</f>
        <v/>
      </c>
      <c r="I22" s="1615">
        <f>'INCOME STATEMENT'!AF21/'INCOME STATEMENT'!Y21-1</f>
        <v/>
      </c>
      <c r="J22" s="1615">
        <f>'INCOME STATEMENT'!AG21/'INCOME STATEMENT'!Z21-1</f>
        <v/>
      </c>
    </row>
    <row r="23" ht="15" customHeight="1" s="850">
      <c r="A23" s="1613" t="inlineStr">
        <is>
          <t>Inventory Turnover</t>
        </is>
      </c>
      <c r="B23" s="1615" t="n"/>
      <c r="C23" s="1615" t="n"/>
      <c r="D23" s="1615">
        <f>'INCOME STATEMENT'!O6/((BALANCESHEET!D37+BALANCESHEET!C37)*0.5)</f>
        <v/>
      </c>
      <c r="E23" s="1615">
        <f>'INCOME STATEMENT'!V6/((BALANCESHEET!E37+BALANCESHEET!D37)*0.5)</f>
        <v/>
      </c>
      <c r="F23" s="1615">
        <f>'INCOME STATEMENT'!AC6/((BALANCESHEET!F37+BALANCESHEET!E37)*0.5)</f>
        <v/>
      </c>
      <c r="G23" s="1615">
        <f>'INCOME STATEMENT'!AD6/((BALANCESHEET!G37+BALANCESHEET!F37)*0.5)</f>
        <v/>
      </c>
      <c r="H23" s="1615">
        <f>'INCOME STATEMENT'!AE6/((BALANCESHEET!H37+BALANCESHEET!G37)*0.5)</f>
        <v/>
      </c>
      <c r="I23" s="1615">
        <f>'INCOME STATEMENT'!AF6/((BALANCESHEET!I37+BALANCESHEET!H37)*0.5)</f>
        <v/>
      </c>
      <c r="J23" s="1615">
        <f>'INCOME STATEMENT'!AG6/((BALANCESHEET!J37+BALANCESHEET!I37)*0.5)</f>
        <v/>
      </c>
    </row>
    <row r="24" ht="15" customHeight="1" s="850">
      <c r="A24" s="1613" t="inlineStr">
        <is>
          <t>Net Current Assets/Sales</t>
        </is>
      </c>
      <c r="B24" s="1615" t="n"/>
      <c r="C24" s="1624">
        <f>BALANCESHEET!C58/'INCOME STATEMENT'!H6</f>
        <v/>
      </c>
      <c r="D24" s="1624">
        <f>BALANCESHEET!D58/'INCOME STATEMENT'!O6</f>
        <v/>
      </c>
      <c r="E24" s="1624">
        <f>BALANCESHEET!E58/'INCOME STATEMENT'!V6</f>
        <v/>
      </c>
      <c r="F24" s="1624">
        <f>BALANCESHEET!F58/'INCOME STATEMENT'!AC6</f>
        <v/>
      </c>
      <c r="G24" s="1624">
        <f>BALANCESHEET!G58/'INCOME STATEMENT'!AD6</f>
        <v/>
      </c>
      <c r="H24" s="1624">
        <f>BALANCESHEET!H58/'INCOME STATEMENT'!AE6</f>
        <v/>
      </c>
      <c r="I24" s="1624">
        <f>BALANCESHEET!I58/'INCOME STATEMENT'!AF6</f>
        <v/>
      </c>
      <c r="J24" s="1624">
        <f>BALANCESHEET!J58/'INCOME STATEMENT'!AG6</f>
        <v/>
      </c>
    </row>
    <row r="25" ht="15" customHeight="1" s="850">
      <c r="A25" s="1613" t="inlineStr">
        <is>
          <t>Tax Rate Non-Deferred</t>
        </is>
      </c>
      <c r="B25" s="1615" t="n"/>
      <c r="C25" s="1627">
        <f>'INCOME STATEMENT'!H36/100</f>
        <v/>
      </c>
      <c r="D25" s="1627">
        <f>'INCOME STATEMENT'!O36/100</f>
        <v/>
      </c>
      <c r="E25" s="1627">
        <f>'INCOME STATEMENT'!V36/100</f>
        <v/>
      </c>
      <c r="F25" s="1627">
        <f>'INCOME STATEMENT'!AC36/100</f>
        <v/>
      </c>
      <c r="G25" s="1627">
        <f>'INCOME STATEMENT'!AD36/100</f>
        <v/>
      </c>
      <c r="H25" s="1627">
        <f>'INCOME STATEMENT'!AE36/100</f>
        <v/>
      </c>
      <c r="I25" s="1627">
        <f>'INCOME STATEMENT'!AF36/100</f>
        <v/>
      </c>
      <c r="J25" s="1627">
        <f>'INCOME STATEMENT'!AG36/100</f>
        <v/>
      </c>
    </row>
    <row r="26" ht="15.75" customHeight="1" s="850">
      <c r="A26" s="1628" t="inlineStr">
        <is>
          <t>PBT From Operations Growth</t>
        </is>
      </c>
      <c r="B26" s="1615" t="n"/>
      <c r="C26" s="1615" t="n"/>
      <c r="D26" s="1615">
        <f>'INCOME STATEMENT'!O30/'INCOME STATEMENT'!H30-1</f>
        <v/>
      </c>
      <c r="E26" s="1615">
        <f>'INCOME STATEMENT'!V30/'INCOME STATEMENT'!O30-1</f>
        <v/>
      </c>
      <c r="F26" s="1615">
        <f>'INCOME STATEMENT'!AC30/'INCOME STATEMENT'!V30-1</f>
        <v/>
      </c>
      <c r="G26" s="1615">
        <f>'INCOME STATEMENT'!AD30/'INCOME STATEMENT'!W30-1</f>
        <v/>
      </c>
      <c r="H26" s="1615">
        <f>'INCOME STATEMENT'!AE30/'INCOME STATEMENT'!X30-1</f>
        <v/>
      </c>
      <c r="I26" s="1615">
        <f>'INCOME STATEMENT'!AF30/'INCOME STATEMENT'!Y30-1</f>
        <v/>
      </c>
      <c r="J26" s="1615">
        <f>'INCOME STATEMENT'!AG30/'INCOME STATEMENT'!Z30-1</f>
        <v/>
      </c>
    </row>
    <row r="27" ht="15.75" customHeight="1" s="850">
      <c r="A27" s="1629" t="inlineStr">
        <is>
          <t>EPS Growth</t>
        </is>
      </c>
      <c r="B27" s="1630" t="n"/>
      <c r="C27" s="1630">
        <f>'INCOME STATEMENT'!H49</f>
        <v/>
      </c>
      <c r="D27" s="1630">
        <f>'INCOME STATEMENT'!O49</f>
        <v/>
      </c>
      <c r="E27" s="1630">
        <f>'INCOME STATEMENT'!V49</f>
        <v/>
      </c>
      <c r="F27" s="1630">
        <f>'INCOME STATEMENT'!AC49</f>
        <v/>
      </c>
      <c r="G27" s="1630">
        <f>'INCOME STATEMENT'!AD49</f>
        <v/>
      </c>
      <c r="H27" s="1630">
        <f>'INCOME STATEMENT'!AE49</f>
        <v/>
      </c>
      <c r="I27" s="1630">
        <f>'INCOME STATEMENT'!AF49</f>
        <v/>
      </c>
      <c r="J27" s="1631">
        <f>'INCOME STATEMENT'!AG49</f>
        <v/>
      </c>
    </row>
    <row r="28" ht="15.75" customHeight="1" s="850">
      <c r="A28" s="1632" t="n"/>
      <c r="B28" s="1633" t="n"/>
      <c r="C28" s="1633" t="n"/>
      <c r="D28" s="1633" t="n"/>
      <c r="E28" s="1633" t="n"/>
      <c r="F28" s="1633" t="n"/>
      <c r="G28" s="1633" t="n"/>
      <c r="H28" s="1633" t="n"/>
      <c r="I28" s="1633" t="n"/>
      <c r="J28" s="1633" t="n"/>
    </row>
    <row r="29" ht="15.75" customHeight="1" s="850">
      <c r="A29" s="1632" t="n"/>
      <c r="B29" s="1633" t="n"/>
      <c r="C29" s="1633" t="n"/>
      <c r="D29" s="1633" t="n"/>
      <c r="E29" s="1633" t="n"/>
      <c r="F29" s="1633" t="n"/>
      <c r="G29" s="1633" t="n"/>
      <c r="H29" s="1633" t="n"/>
      <c r="I29" s="1633" t="n"/>
      <c r="J29" s="1633" t="n"/>
    </row>
    <row r="30" ht="15.75" customHeight="1" s="850">
      <c r="A30" s="1632" t="n"/>
      <c r="B30" s="1633" t="n"/>
      <c r="C30" s="1633" t="n"/>
      <c r="D30" s="1633" t="n"/>
      <c r="E30" s="1633" t="n"/>
      <c r="F30" s="1633" t="n"/>
      <c r="G30" s="1633" t="n"/>
      <c r="H30" s="1633" t="n"/>
      <c r="I30" s="1633" t="n"/>
      <c r="J30" s="1633"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Disha Vyas</dc:creator>
  <dc:language>en-US</dc:language>
  <dcterms:created xsi:type="dcterms:W3CDTF">2010-01-06T11:30:21Z</dcterms:created>
  <dcterms:modified xsi:type="dcterms:W3CDTF">2026-03-05T04:14:37Z</dcterms:modified>
  <cp:lastModifiedBy>IMS</cp:lastModifiedBy>
  <cp:revision>0</cp:revision>
</cp:coreProperties>
</file>