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>
        <is>
          <t>{"type": "null", "value": null}</t>
        </is>
      </c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R2" t="b">
        <v>0</v>
      </c>
      <c r="W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>
        <is>
          <t>{"type": "null", "value": null}</t>
        </is>
      </c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R3" t="b">
        <v>0</v>
      </c>
      <c r="W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>
        <is>
          <t>{"type": "null", "value": null}</t>
        </is>
      </c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R4" t="b">
        <v>0</v>
      </c>
      <c r="W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>
        <is>
          <t>{"type": "null", "value": null}</t>
        </is>
      </c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R5" t="b">
        <v>0</v>
      </c>
      <c r="W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>
        <is>
          <t>{"type": "null", "value": null}</t>
        </is>
      </c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R6" t="b">
        <v>0</v>
      </c>
      <c r="W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>
        <is>
          <t>{"type": "null", "value": null}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R7" t="b">
        <v>0</v>
      </c>
      <c r="W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>
        <is>
          <t>{"type": "null", "value": null}</t>
        </is>
      </c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R8" t="b">
        <v>0</v>
      </c>
      <c r="W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>
        <is>
          <t>{"type": "null", "value": null}</t>
        </is>
      </c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R9" t="b">
        <v>0</v>
      </c>
      <c r="W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>
        <is>
          <t>{"type": "null", "value": null}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R10" t="b">
        <v>0</v>
      </c>
      <c r="W1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>
        <is>
          <t>{"type": "null", "value": null}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R11" t="b">
        <v>0</v>
      </c>
      <c r="W1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>
        <is>
          <t>{"type": "null", "value": null}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R12" t="b">
        <v>0</v>
      </c>
      <c r="W1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>
        <is>
          <t>{"type": "str", "value": "Reference Model"}</t>
        </is>
      </c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W13" t="inlineStr">
        <is>
          <t>{"number_format": "General", "font": {"name": "Calibri", "size": 22.0, "bold": true, "italic": false, "underline": "single", "strike": null, "color": {"type": "rgb", "rgb": "FF404040",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>
        <is>
          <t>{"type": "null", "value": null}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R14" t="b">
        <v>0</v>
      </c>
      <c r="W1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>
        <is>
          <t>{"type": "null", "value": null}</t>
        </is>
      </c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R15" t="b">
        <v>0</v>
      </c>
      <c r="W1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>
        <is>
          <t>{"type": "null", "value": null}</t>
        </is>
      </c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R16" t="b">
        <v>0</v>
      </c>
      <c r="W1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>
        <is>
          <t>{"type": "null", "value": null}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R17" t="b">
        <v>0</v>
      </c>
      <c r="W1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>
        <is>
          <t>{"type": "null", "value": null}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R18" t="b">
        <v>0</v>
      </c>
      <c r="W1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>
        <is>
          <t>{"type": "null", "value": null}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R19" t="b">
        <v>0</v>
      </c>
      <c r="W1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R21" t="b">
        <v>0</v>
      </c>
      <c r="W2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R22" t="b">
        <v>0</v>
      </c>
      <c r="W2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R23" t="b">
        <v>0</v>
      </c>
      <c r="W2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R24" t="b">
        <v>0</v>
      </c>
      <c r="W2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>
        <is>
          <t>{"type": "null", "value": null}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R25" t="b">
        <v>0</v>
      </c>
      <c r="W2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>
        <is>
          <t>{"type": "null", "value": null}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R26" t="b">
        <v>0</v>
      </c>
      <c r="W2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>
        <is>
          <t>{"type": "str", "value": "ACC Cement"}</t>
        </is>
      </c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W27" t="inlineStr">
        <is>
          <t>{"number_format": "General", "font": {"name": "Calibri", "size": 32.0,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>
        <is>
          <t>{"type": "null", "value": null}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R28" t="b">
        <v>0</v>
      </c>
      <c r="W2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>
        <is>
          <t>{"type": "null", "value": null}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R29" t="b">
        <v>0</v>
      </c>
      <c r="W2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>
        <is>
          <t>{"type": "null", "value": null}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R30" t="b">
        <v>0</v>
      </c>
      <c r="W3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>
        <is>
          <t>{"type": "null", "value": null}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R31" t="b">
        <v>0</v>
      </c>
      <c r="W3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>
        <is>
          <t>{"type": "null", "value": null}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R32" t="b">
        <v>0</v>
      </c>
      <c r="W3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>
        <is>
          <t>{"type": "str", "value": "Prepared By: "}</t>
        </is>
      </c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W3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0.249977111117893,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>
        <is>
          <t>{"type": "str", "value": "Suvin Shetty , Yogesh Choudhari , Akshada Joshi "}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>
        <is>
          <t>{"type": "null", "value": null}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R35" t="b">
        <v>0</v>
      </c>
      <c r="W3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>
        <is>
          <t>{"type": "null", "value": null}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R36" t="b">
        <v>0</v>
      </c>
      <c r="W3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R37" t="b">
        <v>0</v>
      </c>
      <c r="W3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R38" t="b">
        <v>0</v>
      </c>
      <c r="W3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>
        <is>
          <t>{"type": "str", "value": "Year"}</t>
        </is>
      </c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W4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>
        <is>
          <t>{"type": "int", "value": 2017}</t>
        </is>
      </c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W4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>
        <is>
          <t>{"type": "null", "value": null}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R42" t="b">
        <v>0</v>
      </c>
      <c r="W4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>
        <is>
          <t>{"type": "null", "value": null}</t>
        </is>
      </c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R43" t="b">
        <v>0</v>
      </c>
      <c r="W4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>
        <is>
          <t>{"type": "null", "value": null}</t>
        </is>
      </c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R44" t="b">
        <v>0</v>
      </c>
      <c r="W4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>
        <is>
          <t>{"type": "null", "value": null}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R45" t="b">
        <v>0</v>
      </c>
      <c r="W4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>
        <is>
          <t>{"type": "null", "value": null}</t>
        </is>
      </c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R46" t="b">
        <v>0</v>
      </c>
      <c r="W4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>
        <is>
          <t>{"type": "null", "value": null}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R47" t="b">
        <v>0</v>
      </c>
      <c r="W4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>
        <is>
          <t>{"type": "null", "value": null}</t>
        </is>
      </c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R48" t="b">
        <v>0</v>
      </c>
      <c r="W4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>
        <is>
          <t>{"type": "null", "value": null}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R49" t="b">
        <v>0</v>
      </c>
      <c r="W4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>
        <is>
          <t>{"type": "null", "value": null}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R50" t="b">
        <v>0</v>
      </c>
      <c r="W5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>
        <is>
          <t>{"type": "null", "value": null}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R51" t="b">
        <v>0</v>
      </c>
      <c r="W5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>
        <is>
          <t>{"type": "null", "value": null}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R52" t="b">
        <v>0</v>
      </c>
      <c r="W5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>
        <is>
          <t>{"type": "null", "value": null}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R53" t="b">
        <v>0</v>
      </c>
      <c r="W5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>
        <is>
          <t>{"type": "null", "value": null}</t>
        </is>
      </c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R54" t="b">
        <v>0</v>
      </c>
      <c r="W5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>
        <is>
          <t>{"type": "null", "value": null}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R55" t="b">
        <v>0</v>
      </c>
      <c r="W5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>
        <is>
          <t>{"type": "null", "value": null}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R56" t="b">
        <v>0</v>
      </c>
      <c r="W5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R57" t="b">
        <v>0</v>
      </c>
      <c r="W5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R58" t="b">
        <v>0</v>
      </c>
      <c r="W5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R59" t="b">
        <v>0</v>
      </c>
      <c r="W5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R60" t="b">
        <v>0</v>
      </c>
      <c r="W6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R61" t="b">
        <v>0</v>
      </c>
      <c r="W6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R62" t="b">
        <v>0</v>
      </c>
      <c r="W6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R63" t="b">
        <v>0</v>
      </c>
      <c r="W6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R64" t="b">
        <v>0</v>
      </c>
      <c r="W6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R65" t="b">
        <v>0</v>
      </c>
      <c r="W6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>
        <is>
          <t>{"type": "null", "value": null}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R66" t="b">
        <v>0</v>
      </c>
      <c r="W6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>
        <is>
          <t>{"type": "null", "value": null}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R67" t="b">
        <v>0</v>
      </c>
      <c r="W6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>
        <is>
          <t>{"type": "null", "value": null}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R68" t="b">
        <v>0</v>
      </c>
      <c r="W6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>
        <is>
          <t>{"type": "null", "value": null}</t>
        </is>
      </c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R69" t="b">
        <v>0</v>
      </c>
      <c r="W6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>
        <is>
          <t>{"type": "null", "value": null}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R70" t="b">
        <v>0</v>
      </c>
      <c r="W7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>
        <is>
          <t>{"type": "null", "value": null}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R71" t="b">
        <v>0</v>
      </c>
      <c r="W7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>
        <is>
          <t>{"type": "null", "value": null}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R72" t="b">
        <v>0</v>
      </c>
      <c r="W7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>
        <is>
          <t>{"type": "null", "value": null}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R73" t="b">
        <v>0</v>
      </c>
      <c r="W7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>
        <is>
          <t>{"type": "null", "value": null}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R74" t="b">
        <v>0</v>
      </c>
      <c r="W7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>
        <is>
          <t>{"type": "null", "value": null}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R75" t="b">
        <v>0</v>
      </c>
      <c r="W7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>
        <is>
          <t>{"type": "null", "value": null}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R76" t="b">
        <v>0</v>
      </c>
      <c r="W7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>
        <is>
          <t>{"type": "null", "value": null}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R77" t="b">
        <v>0</v>
      </c>
      <c r="W7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>
        <is>
          <t>{"type": "null", "value": null}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R78" t="b">
        <v>0</v>
      </c>
      <c r="W7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>
        <is>
          <t>{"type": "null", "value": null}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R79" t="b">
        <v>0</v>
      </c>
      <c r="W7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>
        <is>
          <t>{"type": "null", "value": null}</t>
        </is>
      </c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R80" t="b">
        <v>0</v>
      </c>
      <c r="W8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>
        <is>
          <t>{"type": "null", "value": null}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R81" t="b">
        <v>0</v>
      </c>
      <c r="W8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>
        <is>
          <t>{"type": "null", "value": null}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R82" t="b">
        <v>0</v>
      </c>
      <c r="W8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>
        <is>
          <t>{"type": "null", "value": null}</t>
        </is>
      </c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R83" t="b">
        <v>0</v>
      </c>
      <c r="W8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>
        <is>
          <t>{"type": "null", "value": null}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R84" t="b">
        <v>0</v>
      </c>
      <c r="W8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>
        <is>
          <t>{"type": "null", "value": null}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R85" t="b">
        <v>0</v>
      </c>
      <c r="W8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>
        <is>
          <t>{"type": "null", "value": null}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R88" t="b">
        <v>0</v>
      </c>
      <c r="W8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R89" t="b">
        <v>0</v>
      </c>
      <c r="W8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>
        <is>
          <t>{"type": "str", "value": "http://proschoolonline.com"}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W90" t="inlineStr">
        <is>
          <t>{"number_format": "General", "font": {"name": "Calibri", "size": 11.0, "bold": false, "italic": false, "underline": "single", "strike": null, "color": {"type": "rgb", "rgb": "FF0000FF",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>
        <is>
          <t>{"type": "null", "value": null}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R91" t="b">
        <v>0</v>
      </c>
      <c r="W9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>
        <is>
          <t>{"type": "null", "value": null}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R95" t="b">
        <v>0</v>
      </c>
      <c r="W9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>
        <is>
          <t>{"type": "null", "value": null}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R96" t="b">
        <v>0</v>
      </c>
      <c r="W9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>
        <is>
          <t>{"type": "str", "value": "Email ID :\u00a0mumbai@proschoolonline.com"}</t>
        </is>
      </c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W97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>
        <is>
          <t>{"type": "null", "value": null}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R98" t="b">
        <v>0</v>
      </c>
      <c r="W9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>
        <is>
          <t>{"type": "null", "value": null}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R99" t="b">
        <v>0</v>
      </c>
      <c r="W9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>
        <is>
          <t>{"type": "null", "value": null}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R100" t="b">
        <v>0</v>
      </c>
      <c r="W10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>
        <is>
          <t>{"type": "null", "value": null}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R101" t="b">
        <v>0</v>
      </c>
      <c r="W10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>
        <is>
          <t>{"type": "null", "value": null}</t>
        </is>
      </c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R102" t="b">
        <v>0</v>
      </c>
      <c r="W10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R103" t="b">
        <v>0</v>
      </c>
      <c r="W10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W104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R105" t="b">
        <v>0</v>
      </c>
      <c r="W10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>
        <is>
          <t>{"type": "null", "value": null}</t>
        </is>
      </c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R106" t="b">
        <v>0</v>
      </c>
      <c r="W10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>
        <is>
          <t>{"type": "null", "value": null}</t>
        </is>
      </c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R107" t="b">
        <v>0</v>
      </c>
      <c r="W10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>
        <is>
          <t>{"type": "null", "value": null}</t>
        </is>
      </c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R108" t="b">
        <v>0</v>
      </c>
      <c r="W10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>
        <is>
          <t>{"type": "null", "value": null}</t>
        </is>
      </c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R109" t="b">
        <v>0</v>
      </c>
      <c r="W10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>
        <is>
          <t>{"type": "null", "value": null}</t>
        </is>
      </c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R110" t="b">
        <v>0</v>
      </c>
      <c r="W11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>
        <is>
          <t>{"type": "str", "value": "Mumbai"}</t>
        </is>
      </c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W111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>
        <is>
          <t>{"type": "null", "value": null}</t>
        </is>
      </c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R112" t="b">
        <v>0</v>
      </c>
      <c r="W11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>
        <is>
          <t>{"type": "null", "value": null}</t>
        </is>
      </c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R113" t="b">
        <v>0</v>
      </c>
      <c r="W11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>
        <is>
          <t>{"type": "null", "value": null}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R114" t="b">
        <v>0</v>
      </c>
      <c r="W11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R115" t="b">
        <v>0</v>
      </c>
      <c r="W11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R116" t="b">
        <v>0</v>
      </c>
      <c r="W11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>
        <is>
          <t>{"type": "null", "value": null}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R117" t="b">
        <v>0</v>
      </c>
      <c r="W11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W11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R119" t="b">
        <v>0</v>
      </c>
      <c r="W11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R120" t="b">
        <v>0</v>
      </c>
      <c r="W12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R121" t="b">
        <v>0</v>
      </c>
      <c r="W12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>
        <is>
          <t>{"type": "null", "value": null}</t>
        </is>
      </c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R122" t="b">
        <v>0</v>
      </c>
      <c r="W12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>
        <is>
          <t>{"type": "null", "value": null}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R123" t="b">
        <v>0</v>
      </c>
      <c r="W12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>
        <is>
          <t>{"type": "null", "value": null}</t>
        </is>
      </c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R124" t="b">
        <v>0</v>
      </c>
      <c r="W12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>
        <is>
          <t>{"type": "str", "value": "IMS Proschool Pvt Ltd,"}</t>
        </is>
      </c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W125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>
        <is>
          <t>{"type": "null", "value": null}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R126" t="b">
        <v>0</v>
      </c>
      <c r="W12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>
        <is>
          <t>{"type": "null", "value": null}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R127" t="b">
        <v>0</v>
      </c>
      <c r="W12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>
        <is>
          <t>{"type": "null", "value": null}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R128" t="b">
        <v>0</v>
      </c>
      <c r="W12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R129" t="b">
        <v>0</v>
      </c>
      <c r="W12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R130" t="b">
        <v>0</v>
      </c>
      <c r="W13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>
        <is>
          <t>{"type": "null", "value": null}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R131" t="b">
        <v>0</v>
      </c>
      <c r="W13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>
        <is>
          <t>{"type": "str", "value": "Maharashtra High School Complex,"}</t>
        </is>
      </c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W132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>
        <is>
          <t>{"type": "null", "value": null}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R133" t="b">
        <v>0</v>
      </c>
      <c r="W13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>
        <is>
          <t>{"type": "null", "value": null}</t>
        </is>
      </c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R134" t="b">
        <v>0</v>
      </c>
      <c r="W13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>
        <is>
          <t>{"type": "null", "value": null}</t>
        </is>
      </c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R135" t="b">
        <v>0</v>
      </c>
      <c r="W13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>
        <is>
          <t>{"type": "null", "value": null}</t>
        </is>
      </c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R136" t="b">
        <v>0</v>
      </c>
      <c r="W13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>
        <is>
          <t>{"type": "null", "value": null}</t>
        </is>
      </c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R137" t="b">
        <v>0</v>
      </c>
      <c r="W13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>
        <is>
          <t>{"type": "null", "value": null}</t>
        </is>
      </c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R138" t="b">
        <v>0</v>
      </c>
      <c r="W13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>
        <is>
          <t>{"type": "str", "value": "Principal N.M Kale Marg, Off Gokhale Rd,"}</t>
        </is>
      </c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W139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>
        <is>
          <t>{"type": "null", "value": null}</t>
        </is>
      </c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R140" t="b">
        <v>0</v>
      </c>
      <c r="W14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>
        <is>
          <t>{"type": "null", "value": null}</t>
        </is>
      </c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R141" t="b">
        <v>0</v>
      </c>
      <c r="W14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>
        <is>
          <t>{"type": "null", "value": null}</t>
        </is>
      </c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R142" t="b">
        <v>0</v>
      </c>
      <c r="W14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>
        <is>
          <t>{"type": "null", "value": null}</t>
        </is>
      </c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R143" t="b">
        <v>0</v>
      </c>
      <c r="W143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>
        <is>
          <t>{"type": "null", "value": null}</t>
        </is>
      </c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R144" t="b">
        <v>0</v>
      </c>
      <c r="W14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>
        <is>
          <t>{"type": "null", "value": null}</t>
        </is>
      </c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R145" t="b">
        <v>0</v>
      </c>
      <c r="W14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>
        <is>
          <t>{"type": "str", "value": "Dadar (W), Mumbai 400028"}</t>
        </is>
      </c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W146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>
        <is>
          <t>{"type": "null", "value": null}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R147" t="b">
        <v>0</v>
      </c>
      <c r="W14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>
        <is>
          <t>{"type": "null", "value": null}</t>
        </is>
      </c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R148" t="b">
        <v>0</v>
      </c>
      <c r="W14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>
        <is>
          <t>{"type": "null", "value": null}</t>
        </is>
      </c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R149" t="b">
        <v>0</v>
      </c>
      <c r="W14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>
        <is>
          <t>{"type": "null", "value": null}</t>
        </is>
      </c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R150" t="b">
        <v>0</v>
      </c>
      <c r="W150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>
        <is>
          <t>{"type": "null", "value": null}</t>
        </is>
      </c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R151" t="b">
        <v>0</v>
      </c>
      <c r="W15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>
        <is>
          <t>{"type": "null", "value": null}</t>
        </is>
      </c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R152" t="b">
        <v>0</v>
      </c>
      <c r="W15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>
        <is>
          <t>{"type": "str", "value": "Tel. No. :\u00a0022-65285393/94"}</t>
        </is>
      </c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W153" t="inlineStr">
        <is>
          <t>{"number_format": "General", "font": {"name": "Tahoma", "size": 9.0, "bold": true,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>
        <is>
          <t>{"type": "null", "value": null}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R154" t="b">
        <v>0</v>
      </c>
      <c r="W154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>
        <is>
          <t>{"type": "null", "value": null}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R155" t="b">
        <v>0</v>
      </c>
      <c r="W155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>
        <is>
          <t>{"type": "null", "value": null}</t>
        </is>
      </c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R156" t="b">
        <v>0</v>
      </c>
      <c r="W156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>
        <is>
          <t>{"type": "null", "value": null}</t>
        </is>
      </c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R157" t="b">
        <v>0</v>
      </c>
      <c r="W157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>
        <is>
          <t>{"type": "null", "value": null}</t>
        </is>
      </c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R158" t="b">
        <v>0</v>
      </c>
      <c r="W158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>
        <is>
          <t>{"type": "null", "value": null}</t>
        </is>
      </c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R159" t="b">
        <v>0</v>
      </c>
      <c r="W159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>
        <is>
          <t>{"type": "str", "value": "+91 9372895050"}</t>
        </is>
      </c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W160" t="inlineStr">
        <is>
          <t>{"number_format": "General", "font": {"name": "Tahoma", "size": 9.0, "bold": false, "italic": false, "underline": null, "strike": null, "color": {"type": "rgb", "rgb": "FF444444",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>
        <is>
          <t>{"type": "null", "value": null}</t>
        </is>
      </c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R161" t="b">
        <v>0</v>
      </c>
      <c r="W161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>
        <is>
          <t>{"type": "null", "value": null}</t>
        </is>
      </c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R162" t="b">
        <v>0</v>
      </c>
      <c r="W162" t="inlineStr">
        <is>
          <t>{"number_format": "General", "font": {"name": "Calibri", "size": 11.0, "bold": false, "italic": false, "underline": null, "strike": null, "color": {"type": "theme", "rgb": "Values must be of type &lt;class 'str'&gt;", "indexed": null, "theme": 1,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ACC Ltd</t>
        </is>
      </c>
      <c r="H2" t="inlineStr">
        <is>
          <t>{"type": "str", "value": "ACC Ltd"}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null,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n">
        <v>2015</v>
      </c>
      <c r="H3" t="inlineStr">
        <is>
          <t>{"type": "int", "value": 2015}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G4" t="n">
        <v>2016</v>
      </c>
      <c r="H4" t="inlineStr">
        <is>
          <t>{"type": "int", "value": 2016}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G5" t="n">
        <v>2017</v>
      </c>
      <c r="H5" t="inlineStr">
        <is>
          <t>{"type": "int", "value": 2017}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G6" t="inlineStr">
        <is>
          <t>2018 F</t>
        </is>
      </c>
      <c r="H6" t="inlineStr">
        <is>
          <t>{"type": "str", "value": "2018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G7" t="inlineStr">
        <is>
          <t>2019 F</t>
        </is>
      </c>
      <c r="H7" t="inlineStr">
        <is>
          <t>{"type": "str", "value": "2019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G8" t="inlineStr">
        <is>
          <t>2020 F</t>
        </is>
      </c>
      <c r="H8" t="inlineStr">
        <is>
          <t>{"type": "str", "value": "2020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G9" t="inlineStr">
        <is>
          <t>2021 F</t>
        </is>
      </c>
      <c r="H9" t="inlineStr">
        <is>
          <t>{"type": "str", "value": "2021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G10" t="inlineStr">
        <is>
          <t>2022 F</t>
        </is>
      </c>
      <c r="H10" t="inlineStr">
        <is>
          <t>{"type": "str", "value": "2022 F"}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G11" t="inlineStr">
        <is>
          <t>Cement Sales - Value in cr</t>
        </is>
      </c>
      <c r="H11" t="inlineStr">
        <is>
          <t>{"type": "str", "value": "Cement Sales - Value in cr"}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>
        <f>'DuPoint Analysis'!E9-1443</f>
        <v/>
      </c>
      <c r="G12" t="n">
        <v>11917</v>
      </c>
      <c r="H12" t="inlineStr">
        <is>
          <t>{"type": "int", "value": 11917}</t>
        </is>
      </c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V12">
        <f>'DuPoint Analysis'!R[7]C[3]-1443</f>
        <v/>
      </c>
      <c r="W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>
        <f>'DuPoint Analysis'!F9-1534</f>
        <v/>
      </c>
      <c r="G13" t="n">
        <v>11112.2</v>
      </c>
      <c r="H13" t="inlineStr">
        <is>
          <t>{"type": "float", "value": 11112.2}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V13">
        <f>'DuPoint Analysis'!R[7]C[3]-1534</f>
        <v/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>
        <f>'DuPoint Analysis'!G9-916</f>
        <v/>
      </c>
      <c r="G14" t="n">
        <v>13413.58</v>
      </c>
      <c r="H14" t="inlineStr">
        <is>
          <t>{"type": "float", "value": 13413.58}</t>
        </is>
      </c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V14">
        <f>'DuPoint Analysis'!R[7]C[3]-916</f>
        <v/>
      </c>
      <c r="W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>
        <f>E4*E11</f>
        <v/>
      </c>
      <c r="G15" t="n">
        <v>14440.82251898734</v>
      </c>
      <c r="H15" t="inlineStr">
        <is>
          <t>{"type": "float", "value": 14440.822518987343}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>
        <f>R[2]C[0]*R[9]C[0]</f>
        <v/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>
        <f>F4*F11</f>
        <v/>
      </c>
      <c r="G16" t="n">
        <v>15537.25533987342</v>
      </c>
      <c r="H16" t="inlineStr">
        <is>
          <t>{"type": "float", "value": 15537.255339873422}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>
        <f>R[2]C[0]*R[9]C[0]</f>
        <v/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>
        <f>G4*G11</f>
        <v/>
      </c>
      <c r="G17" t="n">
        <v>16707.22938655064</v>
      </c>
      <c r="H17" t="inlineStr">
        <is>
          <t>{"type": "float", "value": 16707.229386550636}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>
        <f>R[2]C[0]*R[9]C[0]</f>
        <v/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>
        <f>H4*H11</f>
        <v/>
      </c>
      <c r="G18" t="n">
        <v>17955.35769954589</v>
      </c>
      <c r="H18" t="inlineStr">
        <is>
          <t>{"type": "float", "value": 17955.35769954589}</t>
        </is>
      </c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>
        <f>R[2]C[0]*R[9]C[0]</f>
        <v/>
      </c>
      <c r="W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>
        <f>I4*I11</f>
        <v/>
      </c>
      <c r="G19" t="n">
        <v>19286.5307703743</v>
      </c>
      <c r="H19" t="inlineStr">
        <is>
          <t>{"type": "float", "value": 19286.5307703743}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>
        <f>R[2]C[0]*R[9]C[0]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0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0</v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0</v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0</v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H25" t="inlineStr">
        <is>
          <t>{"type": "null", "value": null}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0</v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H26" t="inlineStr">
        <is>
          <t>{"type": "null", "value": null}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0</v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H27" t="inlineStr">
        <is>
          <t>{"type": "null", "value": null}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0</v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H28" t="inlineStr">
        <is>
          <t>{"type": "null", "value": null}</t>
        </is>
      </c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0</v>
      </c>
      <c r="W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G29" t="inlineStr">
        <is>
          <t>Cement Sales - Volume Million Tonnes</t>
        </is>
      </c>
      <c r="H29" t="inlineStr">
        <is>
          <t>{"type": "str", "value": "Cement Sales - Volume Million Tonnes"}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G30" t="n">
        <v>23.62</v>
      </c>
      <c r="H30" t="inlineStr">
        <is>
          <t>{"type": "float", "value": 23.62}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G31" t="n">
        <v>22.99</v>
      </c>
      <c r="H31" t="inlineStr">
        <is>
          <t>{"type": "float", "value": 22.99}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G32" t="n">
        <v>26.21</v>
      </c>
      <c r="H32" t="inlineStr">
        <is>
          <t>{"type": "float", "value": 26.21}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>
        <f>E5*E6</f>
        <v/>
      </c>
      <c r="G33" t="n">
        <v>26.87354430379747</v>
      </c>
      <c r="H33" t="inlineStr">
        <is>
          <t>{"type": "float", "value": 26.87354430379747}</t>
        </is>
      </c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>
        <f>R[1]C[0]*R[2]C[0]</f>
        <v/>
      </c>
      <c r="W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>
        <f>F5*F6</f>
        <v/>
      </c>
      <c r="G34" t="n">
        <v>27.53708860759494</v>
      </c>
      <c r="H34" t="inlineStr">
        <is>
          <t>{"type": "float", "value": 27.53708860759494}</t>
        </is>
      </c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>
        <f>R[1]C[0]*R[2]C[0]</f>
        <v/>
      </c>
      <c r="W3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>
        <f>G5*G6</f>
        <v/>
      </c>
      <c r="G35" t="n">
        <v>28.20063291139241</v>
      </c>
      <c r="H35" t="inlineStr">
        <is>
          <t>{"type": "float", "value": 28.200632911392407}</t>
        </is>
      </c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>
        <f>R[1]C[0]*R[2]C[0]</f>
        <v/>
      </c>
      <c r="W3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>
        <f>H5*H6</f>
        <v/>
      </c>
      <c r="G36" t="n">
        <v>28.86417721518987</v>
      </c>
      <c r="H36" t="inlineStr">
        <is>
          <t>{"type": "float", "value": 28.864177215189873}</t>
        </is>
      </c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>
        <f>R[1]C[0]*R[2]C[0]</f>
        <v/>
      </c>
      <c r="W3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>
        <f>I5*I6</f>
        <v/>
      </c>
      <c r="G37" t="n">
        <v>29.52772151898735</v>
      </c>
      <c r="H37" t="inlineStr">
        <is>
          <t>{"type": "float", "value": 29.527721518987345}</t>
        </is>
      </c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>
        <f>R[1]C[0]*R[2]C[0]</f>
        <v/>
      </c>
      <c r="W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G38" t="inlineStr">
        <is>
          <t>Cement Production Million Tonnes</t>
        </is>
      </c>
      <c r="H38" t="inlineStr">
        <is>
          <t>{"type": "str", "value": "Cement Production Million Tonnes"}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G39" t="n">
        <v>23.84</v>
      </c>
      <c r="H39" t="inlineStr">
        <is>
          <t>{"type": "float", "value": 23.84}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G40" t="n">
        <v>23.18</v>
      </c>
      <c r="H40" t="inlineStr">
        <is>
          <t>{"type": "float", "value": 23.18}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G41" t="n">
        <v>26.56</v>
      </c>
      <c r="H41" t="inlineStr">
        <is>
          <t>{"type": "float", "value": 26.56}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>
        <f>E9*E8</f>
        <v/>
      </c>
      <c r="G42" t="n">
        <v>27.23240506329114</v>
      </c>
      <c r="H42" t="inlineStr">
        <is>
          <t>{"type": "float", "value": 27.232405063291136}</t>
        </is>
      </c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>
        <f>R[4]C[0]*R[3]C[0]</f>
        <v/>
      </c>
      <c r="W4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>
        <f>F9*F8</f>
        <v/>
      </c>
      <c r="G43" t="n">
        <v>27.90481012658228</v>
      </c>
      <c r="H43" t="inlineStr">
        <is>
          <t>{"type": "float", "value": 27.904810126582277}</t>
        </is>
      </c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>
        <f>R[4]C[0]*R[3]C[0]</f>
        <v/>
      </c>
      <c r="W4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>
        <f>G9*G8</f>
        <v/>
      </c>
      <c r="G44" t="n">
        <v>28.57721518987342</v>
      </c>
      <c r="H44" t="inlineStr">
        <is>
          <t>{"type": "float", "value": 28.577215189873417}</t>
        </is>
      </c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>
        <f>R[4]C[0]*R[3]C[0]</f>
        <v/>
      </c>
      <c r="W4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>
        <f>H9*H8</f>
        <v/>
      </c>
      <c r="G45" t="n">
        <v>29.24962025316455</v>
      </c>
      <c r="H45" t="inlineStr">
        <is>
          <t>{"type": "float", "value": 29.249620253164554}</t>
        </is>
      </c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>
        <f>R[4]C[0]*R[3]C[0]</f>
        <v/>
      </c>
      <c r="W4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>
        <f>I9*I8</f>
        <v/>
      </c>
      <c r="G46" t="n">
        <v>29.9220253164557</v>
      </c>
      <c r="H46" t="inlineStr">
        <is>
          <t>{"type": "float", "value": 29.922025316455695}</t>
        </is>
      </c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>
        <f>R[4]C[0]*R[3]C[0]</f>
        <v/>
      </c>
      <c r="W4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G47" t="inlineStr">
        <is>
          <t>Sales as % of prodn</t>
        </is>
      </c>
      <c r="H47" t="inlineStr">
        <is>
          <t>{"type": "str", "value": "Sales as % of prodn"}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>
        <f>B4/B5</f>
        <v/>
      </c>
      <c r="G48" t="n">
        <v>0.990771812080537</v>
      </c>
      <c r="H48" t="inlineStr">
        <is>
          <t>{"type": "float", "value": 0.990771812080537}</t>
        </is>
      </c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>
        <f>R[-2]C[0]/R[-1]C[0]</f>
        <v/>
      </c>
      <c r="W4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>
        <f>C4/C5</f>
        <v/>
      </c>
      <c r="G49" t="n">
        <v>0.9918032786885246</v>
      </c>
      <c r="H49" t="inlineStr">
        <is>
          <t>{"type": "float", "value": 0.9918032786885246}</t>
        </is>
      </c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>
        <f>R[-2]C[0]/R[-1]C[0]</f>
        <v/>
      </c>
      <c r="W4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>
        <f>D4/D5</f>
        <v/>
      </c>
      <c r="G50" t="n">
        <v>0.9868222891566266</v>
      </c>
      <c r="H50" t="inlineStr">
        <is>
          <t>{"type": "float", "value": 0.9868222891566266}</t>
        </is>
      </c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>
        <f>R[-2]C[0]/R[-1]C[0]</f>
        <v/>
      </c>
      <c r="W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>
        <f>$D$6</f>
        <v/>
      </c>
      <c r="G51" t="n">
        <v>0.9868222891566266</v>
      </c>
      <c r="H51" t="inlineStr">
        <is>
          <t>{"type": "float", "value": 0.9868222891566266}</t>
        </is>
      </c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>
        <f>R6C4</f>
        <v/>
      </c>
      <c r="W5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>
        <f>$D$6</f>
        <v/>
      </c>
      <c r="G52" t="n">
        <v>0.9868222891566266</v>
      </c>
      <c r="H52" t="inlineStr">
        <is>
          <t>{"type": "float", "value": 0.9868222891566266}</t>
        </is>
      </c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>
        <f>R6C4</f>
        <v/>
      </c>
      <c r="W5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>
        <f>$D$6</f>
        <v/>
      </c>
      <c r="G53" t="n">
        <v>0.9868222891566266</v>
      </c>
      <c r="H53" t="inlineStr">
        <is>
          <t>{"type": "float", "value": 0.9868222891566266}</t>
        </is>
      </c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>
        <f>R6C4</f>
        <v/>
      </c>
      <c r="W53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>
        <f>$D$6</f>
        <v/>
      </c>
      <c r="G54" t="n">
        <v>0.9868222891566266</v>
      </c>
      <c r="H54" t="inlineStr">
        <is>
          <t>{"type": "float", "value": 0.9868222891566266}</t>
        </is>
      </c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>
        <f>R6C4</f>
        <v/>
      </c>
      <c r="W54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>
        <f>$D$6</f>
        <v/>
      </c>
      <c r="G55" t="n">
        <v>0.9868222891566266</v>
      </c>
      <c r="H55" t="inlineStr">
        <is>
          <t>{"type": "float", "value": 0.9868222891566266}</t>
        </is>
      </c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>
        <f>R6C4</f>
        <v/>
      </c>
      <c r="W55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G56" t="inlineStr">
        <is>
          <t>Assuming this to be same over the period</t>
        </is>
      </c>
      <c r="H56" t="inlineStr">
        <is>
          <t>{"type": "str", "value": "Assuming this to be same over the period"}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0</v>
      </c>
      <c r="W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0</v>
      </c>
      <c r="W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0</v>
      </c>
      <c r="W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0</v>
      </c>
      <c r="W6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G66" t="inlineStr">
        <is>
          <t>Capacity utilisation</t>
        </is>
      </c>
      <c r="H66" t="inlineStr">
        <is>
          <t>{"type": "str", "value": "Capacity utilisation"}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G67" t="n">
        <v>0.77</v>
      </c>
      <c r="H67" t="inlineStr">
        <is>
          <t>{"type": "float", "value": 0.77}</t>
        </is>
      </c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G68" t="n">
        <v>0.73</v>
      </c>
      <c r="H68" t="inlineStr">
        <is>
          <t>{"type": "float", "value": 0.73}</t>
        </is>
      </c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G69" t="n">
        <v>0.79</v>
      </c>
      <c r="H69" t="inlineStr">
        <is>
          <t>{"type": "float", "value": 0.79}</t>
        </is>
      </c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>
        <f>D8+2%</f>
        <v/>
      </c>
      <c r="G70" t="n">
        <v>0.8100000000000001</v>
      </c>
      <c r="H70" t="inlineStr">
        <is>
          <t>{"type": "float", "value": 0.81}</t>
        </is>
      </c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>
        <f>R[0]C[-1]+2%</f>
        <v/>
      </c>
      <c r="W70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>
        <f>E8+2%</f>
        <v/>
      </c>
      <c r="G71" t="n">
        <v>0.8300000000000001</v>
      </c>
      <c r="H71" t="inlineStr">
        <is>
          <t>{"type": "float", "value": 0.8300000000000001}</t>
        </is>
      </c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>
        <f>R[0]C[-1]+2%</f>
        <v/>
      </c>
      <c r="W7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>
        <f>F8+2%</f>
        <v/>
      </c>
      <c r="G72" t="n">
        <v>0.8500000000000001</v>
      </c>
      <c r="H72" t="inlineStr">
        <is>
          <t>{"type": "float", "value": 0.8500000000000001}</t>
        </is>
      </c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>
        <f>R[0]C[-1]+2%</f>
        <v/>
      </c>
      <c r="W7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>
        <f>G8+2%</f>
        <v/>
      </c>
      <c r="G73" t="n">
        <v>0.8700000000000001</v>
      </c>
      <c r="H73" t="inlineStr">
        <is>
          <t>{"type": "float", "value": 0.8700000000000001}</t>
        </is>
      </c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>
        <f>R[0]C[-1]+2%</f>
        <v/>
      </c>
      <c r="W73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>
        <f>H8+2%</f>
        <v/>
      </c>
      <c r="G74" t="n">
        <v>0.8900000000000001</v>
      </c>
      <c r="H74" t="inlineStr">
        <is>
          <t>{"type": "float", "value": 0.8900000000000001}</t>
        </is>
      </c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>
        <f>R[0]C[-1]+2%</f>
        <v/>
      </c>
      <c r="W74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G75" t="inlineStr">
        <is>
          <t>Assuming the utilisation to reach 90% as per various media reports</t>
        </is>
      </c>
      <c r="H75" t="inlineStr">
        <is>
          <t>{"type": "str", "value": "Assuming the utilisation to reach 90% as per various media reports"}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G76" t="inlineStr">
        <is>
          <t>Capacity Million Tonnes</t>
        </is>
      </c>
      <c r="H76" t="inlineStr">
        <is>
          <t>{"type": "str", "value": "Capacity Million Tonnes"}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>
        <f>B5*100%/B8</f>
        <v/>
      </c>
      <c r="G77" t="n">
        <v>30.96103896103896</v>
      </c>
      <c r="H77" t="inlineStr">
        <is>
          <t>{"type": "float", "value": 30.96103896103896}</t>
        </is>
      </c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>
        <f>R[-4]C[0]*100%/R[-1]C[0]</f>
        <v/>
      </c>
      <c r="W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>
        <f>C5*100%/C8</f>
        <v/>
      </c>
      <c r="G78" t="n">
        <v>31.75342465753425</v>
      </c>
      <c r="H78" t="inlineStr">
        <is>
          <t>{"type": "float", "value": 31.753424657534246}</t>
        </is>
      </c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>
        <f>R[-4]C[0]*100%/R[-1]C[0]</f>
        <v/>
      </c>
      <c r="W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>
        <f>D5*100%/D8</f>
        <v/>
      </c>
      <c r="G79" t="n">
        <v>33.62025316455696</v>
      </c>
      <c r="H79" t="inlineStr">
        <is>
          <t>{"type": "float", "value": 33.62025316455696}</t>
        </is>
      </c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>
        <f>R[-4]C[0]*100%/R[-1]C[0]</f>
        <v/>
      </c>
      <c r="W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>
        <f>$D$9</f>
        <v/>
      </c>
      <c r="G80" t="n">
        <v>33.62025316455696</v>
      </c>
      <c r="H80" t="inlineStr">
        <is>
          <t>{"type": "float", "value": 33.62025316455696}</t>
        </is>
      </c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>
        <f>R9C4</f>
        <v/>
      </c>
      <c r="W80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>
        <f>$D$9</f>
        <v/>
      </c>
      <c r="G81" t="n">
        <v>33.62025316455696</v>
      </c>
      <c r="H81" t="inlineStr">
        <is>
          <t>{"type": "float", "value": 33.62025316455696}</t>
        </is>
      </c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>
        <f>R9C4</f>
        <v/>
      </c>
      <c r="W81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>
        <f>$D$9</f>
        <v/>
      </c>
      <c r="G82" t="n">
        <v>33.62025316455696</v>
      </c>
      <c r="H82" t="inlineStr">
        <is>
          <t>{"type": "float", "value": 33.62025316455696}</t>
        </is>
      </c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>
        <f>R9C4</f>
        <v/>
      </c>
      <c r="W82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>
        <f>$D$9</f>
        <v/>
      </c>
      <c r="G83" t="n">
        <v>33.62025316455696</v>
      </c>
      <c r="H83" t="inlineStr">
        <is>
          <t>{"type": "float", "value": 33.62025316455696}</t>
        </is>
      </c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>
        <f>R9C4</f>
        <v/>
      </c>
      <c r="W83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>
        <f>$D$9</f>
        <v/>
      </c>
      <c r="G84" t="n">
        <v>33.62025316455696</v>
      </c>
      <c r="H84" t="inlineStr">
        <is>
          <t>{"type": "float", "value": 33.62025316455696}</t>
        </is>
      </c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>
        <f>R9C4</f>
        <v/>
      </c>
      <c r="W84" t="inlineStr">
        <is>
          <t>{"number_format": "0.00",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G85" t="inlineStr">
        <is>
          <t>Assuming the capacity to remain same</t>
        </is>
      </c>
      <c r="H85" t="inlineStr">
        <is>
          <t>{"type": "str", "value": "Assuming the capacity to remain same"}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H88" t="inlineStr">
        <is>
          <t>{"type": "null", "value": null}</t>
        </is>
      </c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0</v>
      </c>
      <c r="W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0</v>
      </c>
      <c r="W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H90" t="inlineStr">
        <is>
          <t>{"type": "null", "value": null}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0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H91" t="inlineStr">
        <is>
          <t>{"type": "null", "value": null}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0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G95" t="inlineStr">
        <is>
          <t>Average price in crores per Million Tonnes</t>
        </is>
      </c>
      <c r="H95" t="inlineStr">
        <is>
          <t>{"type": "str", "value": "Average price in crores per Million Tonnes"}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>
        <f>B2/B4</f>
        <v/>
      </c>
      <c r="G96" t="n">
        <v>504.5300592718035</v>
      </c>
      <c r="H96" t="inlineStr">
        <is>
          <t>{"type": "float", "value": 504.5300592718035}</t>
        </is>
      </c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>
        <f>R[-9]C[0]/R[-7]C[0]</f>
        <v/>
      </c>
      <c r="W9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>
        <f>C2/C4</f>
        <v/>
      </c>
      <c r="G97" t="n">
        <v>483.3492822966508</v>
      </c>
      <c r="H97" t="inlineStr">
        <is>
          <t>{"type": "float", "value": 483.34928229665076}</t>
        </is>
      </c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>
        <f>R[-9]C[0]/R[-7]C[0]</f>
        <v/>
      </c>
      <c r="W9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>
        <f>D2/D4</f>
        <v/>
      </c>
      <c r="G98" t="n">
        <v>511.7733689431515</v>
      </c>
      <c r="H98" t="inlineStr">
        <is>
          <t>{"type": "float", "value": 511.77336894315147}</t>
        </is>
      </c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>
        <f>R[-9]C[0]/R[-7]C[0]</f>
        <v/>
      </c>
      <c r="W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>
        <f>D11*(1+E12)</f>
        <v/>
      </c>
      <c r="G99" t="n">
        <v>537.3620373903091</v>
      </c>
      <c r="H99" t="inlineStr">
        <is>
          <t>{"type": "float", "value": 537.3620373903091}</t>
        </is>
      </c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>
        <f>R[0]C[-1]*(1+R[1]C[0])</f>
        <v/>
      </c>
      <c r="W9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>
        <f>E11*(1+F12)</f>
        <v/>
      </c>
      <c r="G100" t="n">
        <v>564.2301392598246</v>
      </c>
      <c r="H100" t="inlineStr">
        <is>
          <t>{"type": "float", "value": 564.2301392598246}</t>
        </is>
      </c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>
        <f>R[0]C[-1]*(1+R[1]C[0])</f>
        <v/>
      </c>
      <c r="W10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>
        <f>F11*(1+G12)</f>
        <v/>
      </c>
      <c r="G101" t="n">
        <v>592.4416462228158</v>
      </c>
      <c r="H101" t="inlineStr">
        <is>
          <t>{"type": "float", "value": 592.4416462228158}</t>
        </is>
      </c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>
        <f>R[0]C[-1]*(1+R[1]C[0])</f>
        <v/>
      </c>
      <c r="W10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>
        <f>G11*(1+H12)</f>
        <v/>
      </c>
      <c r="G102" t="n">
        <v>622.0637285339567</v>
      </c>
      <c r="H102" t="inlineStr">
        <is>
          <t>{"type": "float", "value": 622.0637285339567}</t>
        </is>
      </c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>
        <f>R[0]C[-1]*(1+R[1]C[0])</f>
        <v/>
      </c>
      <c r="W10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>
        <f>H11*(1+I12)</f>
        <v/>
      </c>
      <c r="G103" t="n">
        <v>653.1669149606546</v>
      </c>
      <c r="H103" t="inlineStr">
        <is>
          <t>{"type": "float", "value": 653.1669149606546}</t>
        </is>
      </c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>
        <f>R[0]C[-1]*(1+R[1]C[0])</f>
        <v/>
      </c>
      <c r="W10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0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>
        <f>C11/B11-1</f>
        <v/>
      </c>
      <c r="G106" t="n">
        <v>-0.04198119930797251</v>
      </c>
      <c r="H106" t="inlineStr">
        <is>
          <t>{"type": "float", "value": -0.041981199307972505}</t>
        </is>
      </c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>
        <f>R[-1]C[0]/R[-1]C[-1]-1</f>
        <v/>
      </c>
      <c r="W10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>
        <f>D11/C11-1</f>
        <v/>
      </c>
      <c r="G107" t="n">
        <v>0.05880651464183972</v>
      </c>
      <c r="H107" t="inlineStr">
        <is>
          <t>{"type": "float", "value": 0.058806514641839724}</t>
        </is>
      </c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>
        <f>R[-1]C[0]/R[-1]C[-1]-1</f>
        <v/>
      </c>
      <c r="W10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>
        <f>DCF!$B$33</f>
        <v/>
      </c>
      <c r="G108" t="n">
        <v>0.05</v>
      </c>
      <c r="H108" t="inlineStr">
        <is>
          <t>{"type": "float", "value": 0.05}</t>
        </is>
      </c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>
        <f>'DCF'!R33C2</f>
        <v/>
      </c>
      <c r="W108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>
        <f>DCF!$B$33</f>
        <v/>
      </c>
      <c r="G109" t="n">
        <v>0.05</v>
      </c>
      <c r="H109" t="inlineStr">
        <is>
          <t>{"type": "float", "value": 0.05}</t>
        </is>
      </c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>
        <f>'DCF'!R33C2</f>
        <v/>
      </c>
      <c r="W109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>
        <f>DCF!$B$33</f>
        <v/>
      </c>
      <c r="G110" t="n">
        <v>0.05</v>
      </c>
      <c r="H110" t="inlineStr">
        <is>
          <t>{"type": "float", "value": 0.05}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>
        <f>'DCF'!R33C2</f>
        <v/>
      </c>
      <c r="W110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>
        <f>DCF!$B$33</f>
        <v/>
      </c>
      <c r="G111" t="n">
        <v>0.05</v>
      </c>
      <c r="H111" t="inlineStr">
        <is>
          <t>{"type": "float", "value": 0.05}</t>
        </is>
      </c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>
        <f>'DCF'!R33C2</f>
        <v/>
      </c>
      <c r="W111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>
        <f>DCF!$B$33</f>
        <v/>
      </c>
      <c r="G112" t="n">
        <v>0.05</v>
      </c>
      <c r="H112" t="inlineStr">
        <is>
          <t>{"type": "float", "value": 0.05}</t>
        </is>
      </c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>
        <f>'DCF'!R33C2</f>
        <v/>
      </c>
      <c r="W112" t="inlineStr">
        <is>
          <t>{"number_format": "0%",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G113" t="inlineStr">
        <is>
          <t xml:space="preserve">Assuming the price to increase by 5% every year </t>
        </is>
      </c>
      <c r="H113" t="inlineStr">
        <is>
          <t>{"type": "str", "value": "Assuming the price to increase by 5% every year "}</t>
        </is>
      </c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W1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H114" t="inlineStr">
        <is>
          <t>{"type": "null", "value": null}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0</v>
      </c>
      <c r="W1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0</v>
      </c>
      <c r="W1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0</v>
      </c>
      <c r="W1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H117" t="inlineStr">
        <is>
          <t>{"type": "null", "value": null}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0</v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0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0</v>
      </c>
      <c r="W1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H122" t="inlineStr">
        <is>
          <t>{"type": "null", "value": null}</t>
        </is>
      </c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0</v>
      </c>
      <c r="W1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H123" t="inlineStr">
        <is>
          <t>{"type": "null", "value": null}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0</v>
      </c>
      <c r="W1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H124" t="inlineStr">
        <is>
          <t>{"type": "null", "value": null}</t>
        </is>
      </c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0</v>
      </c>
      <c r="W1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H125" t="inlineStr">
        <is>
          <t>{"type": "null", "value": null}</t>
        </is>
      </c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0</v>
      </c>
      <c r="W1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H126" t="inlineStr">
        <is>
          <t>{"type": "null", "value": null}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0</v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H127" t="inlineStr">
        <is>
          <t>{"type": "null", "value": null}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0</v>
      </c>
      <c r="W1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H128" t="inlineStr">
        <is>
          <t>{"type": "null", "value": null}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0</v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0</v>
      </c>
      <c r="W1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0</v>
      </c>
      <c r="W1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H131" t="inlineStr">
        <is>
          <t>{"type": "null", "value": null}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0</v>
      </c>
      <c r="W1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G132" t="inlineStr">
        <is>
          <t>Average price per tonne</t>
        </is>
      </c>
      <c r="H132" t="inlineStr">
        <is>
          <t>{"type": "str", "value": "Average price per tonne"}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>
        <f>B11*10000000/1000000</f>
        <v/>
      </c>
      <c r="G133" t="n">
        <v>5045.300592718035</v>
      </c>
      <c r="H133" t="inlineStr">
        <is>
          <t>{"type": "float", "value": 5045.300592718035}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>
        <f>R[-4]C[0]*10000000/1000000</f>
        <v/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>
        <f>C11*10000000/1000000</f>
        <v/>
      </c>
      <c r="G134" t="n">
        <v>4833.492822966508</v>
      </c>
      <c r="H134" t="inlineStr">
        <is>
          <t>{"type": "float", "value": 4833.492822966508}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>
        <f>R[-4]C[0]*10000000/1000000</f>
        <v/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>
        <f>D11*10000000/1000000</f>
        <v/>
      </c>
      <c r="G135" t="n">
        <v>5117.733689431515</v>
      </c>
      <c r="H135" t="inlineStr">
        <is>
          <t>{"type": "float", "value": 5117.733689431515}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>
        <f>R[-4]C[0]*10000000/1000000</f>
        <v/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>
        <f>E11*10000000/1000000</f>
        <v/>
      </c>
      <c r="G136" t="n">
        <v>5373.620373903091</v>
      </c>
      <c r="H136" t="inlineStr">
        <is>
          <t>{"type": "float", "value": 5373.620373903091}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>
        <f>R[-4]C[0]*10000000/1000000</f>
        <v/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>
        <f>F11*10000000/1000000</f>
        <v/>
      </c>
      <c r="G137" t="n">
        <v>5642.301392598246</v>
      </c>
      <c r="H137" t="inlineStr">
        <is>
          <t>{"type": "float", "value": 5642.301392598246}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>
        <f>R[-4]C[0]*10000000/1000000</f>
        <v/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>
        <f>G11*10000000/1000000</f>
        <v/>
      </c>
      <c r="G138" t="n">
        <v>5924.416462228159</v>
      </c>
      <c r="H138" t="inlineStr">
        <is>
          <t>{"type": "float", "value": 5924.416462228159}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>
        <f>R[-4]C[0]*10000000/1000000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>
        <f>H11*10000000/1000000</f>
        <v/>
      </c>
      <c r="G139" t="n">
        <v>6220.637285339567</v>
      </c>
      <c r="H139" t="inlineStr">
        <is>
          <t>{"type": "float", "value": 6220.637285339567}</t>
        </is>
      </c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>
        <f>R[-4]C[0]*10000000/1000000</f>
        <v/>
      </c>
      <c r="W1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>
        <f>I11*10000000/1000000</f>
        <v/>
      </c>
      <c r="G140" t="n">
        <v>6531.669149606547</v>
      </c>
      <c r="H140" t="inlineStr">
        <is>
          <t>{"type": "float", "value": 6531.669149606547}</t>
        </is>
      </c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>
        <f>R[-4]C[0]*10000000/1000000</f>
        <v/>
      </c>
      <c r="W1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G141" t="inlineStr">
        <is>
          <t>Average price per kg</t>
        </is>
      </c>
      <c r="H141" t="inlineStr">
        <is>
          <t>{"type": "str", "value": "Average price per kg"}</t>
        </is>
      </c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>
        <f>B15/1000</f>
        <v/>
      </c>
      <c r="G142" t="n">
        <v>5.045300592718035</v>
      </c>
      <c r="H142" t="inlineStr">
        <is>
          <t>{"type": "float", "value": 5.045300592718035}</t>
        </is>
      </c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>
        <f>R[-1]C[0]/1000</f>
        <v/>
      </c>
      <c r="W1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>
        <f>C15/1000</f>
        <v/>
      </c>
      <c r="G143" t="n">
        <v>4.833492822966508</v>
      </c>
      <c r="H143" t="inlineStr">
        <is>
          <t>{"type": "float", "value": 4.833492822966508}</t>
        </is>
      </c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>
        <f>R[-1]C[0]/1000</f>
        <v/>
      </c>
      <c r="W14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>
        <f>D15/1000</f>
        <v/>
      </c>
      <c r="G144" t="n">
        <v>5.117733689431515</v>
      </c>
      <c r="H144" t="inlineStr">
        <is>
          <t>{"type": "float", "value": 5.117733689431515}</t>
        </is>
      </c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>
        <f>R[-1]C[0]/1000</f>
        <v/>
      </c>
      <c r="W14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>
        <f>E15/1000</f>
        <v/>
      </c>
      <c r="G145" t="n">
        <v>5.373620373903091</v>
      </c>
      <c r="H145" t="inlineStr">
        <is>
          <t>{"type": "float", "value": 5.3736203739030906}</t>
        </is>
      </c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>
        <f>R[-1]C[0]/1000</f>
        <v/>
      </c>
      <c r="W14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>
        <f>F15/1000</f>
        <v/>
      </c>
      <c r="G146" t="n">
        <v>5.642301392598246</v>
      </c>
      <c r="H146" t="inlineStr">
        <is>
          <t>{"type": "float", "value": 5.642301392598246}</t>
        </is>
      </c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>
        <f>R[-1]C[0]/1000</f>
        <v/>
      </c>
      <c r="W14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>
        <f>G15/1000</f>
        <v/>
      </c>
      <c r="G147" t="n">
        <v>5.924416462228159</v>
      </c>
      <c r="H147" t="inlineStr">
        <is>
          <t>{"type": "float", "value": 5.924416462228159}</t>
        </is>
      </c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>
        <f>R[-1]C[0]/1000</f>
        <v/>
      </c>
      <c r="W14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>
        <f>H15/1000</f>
        <v/>
      </c>
      <c r="G148" t="n">
        <v>6.220637285339567</v>
      </c>
      <c r="H148" t="inlineStr">
        <is>
          <t>{"type": "float", "value": 6.220637285339567}</t>
        </is>
      </c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>
        <f>R[-1]C[0]/1000</f>
        <v/>
      </c>
      <c r="W1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>
        <f>I15/1000</f>
        <v/>
      </c>
      <c r="G149" t="n">
        <v>6.531669149606547</v>
      </c>
      <c r="H149" t="inlineStr">
        <is>
          <t>{"type": "float", "value": 6.531669149606547}</t>
        </is>
      </c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>
        <f>R[-1]C[0]/1000</f>
        <v/>
      </c>
      <c r="W1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H150" t="inlineStr">
        <is>
          <t>{"type": "null", "value": null}</t>
        </is>
      </c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0</v>
      </c>
      <c r="W1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H151" t="inlineStr">
        <is>
          <t>{"type": "null", "value": null}</t>
        </is>
      </c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0</v>
      </c>
      <c r="W1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H152" t="inlineStr">
        <is>
          <t>{"type": "null", "value": null}</t>
        </is>
      </c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0</v>
      </c>
      <c r="W15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H153" t="inlineStr">
        <is>
          <t>{"type": "null", "value": null}</t>
        </is>
      </c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0</v>
      </c>
      <c r="W15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H154" t="inlineStr">
        <is>
          <t>{"type": "null", "value": null}</t>
        </is>
      </c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0</v>
      </c>
      <c r="W15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H155" t="inlineStr">
        <is>
          <t>{"type": "null", "value": null}</t>
        </is>
      </c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0</v>
      </c>
      <c r="W15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H156" t="inlineStr">
        <is>
          <t>{"type": "null", "value": null}</t>
        </is>
      </c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0</v>
      </c>
      <c r="W15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H157" t="inlineStr">
        <is>
          <t>{"type": "null", "value": null}</t>
        </is>
      </c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0</v>
      </c>
      <c r="W1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H158" t="inlineStr">
        <is>
          <t>{"type": "null", "value": null}</t>
        </is>
      </c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0</v>
      </c>
      <c r="W1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H159" t="inlineStr">
        <is>
          <t>{"type": "null", "value": null}</t>
        </is>
      </c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0</v>
      </c>
      <c r="W1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G160" t="inlineStr">
        <is>
          <t>Raw Materials</t>
        </is>
      </c>
      <c r="H160" t="inlineStr">
        <is>
          <t>{"type": "str", "value": "Raw Materials"}</t>
        </is>
      </c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G161" t="n">
        <v>1848.12</v>
      </c>
      <c r="H161" t="inlineStr">
        <is>
          <t>{"type": "float", "value": 1848.12}</t>
        </is>
      </c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G162" t="n">
        <v>1606.77</v>
      </c>
      <c r="H162" t="inlineStr">
        <is>
          <t>{"type": "float", "value": 1606.77}</t>
        </is>
      </c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G163" t="n">
        <v>1965.98</v>
      </c>
      <c r="H163" t="inlineStr">
        <is>
          <t>{"type": "float", "value": 1965.9799999999998}</t>
        </is>
      </c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W16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>
        <f>E$2*E29</f>
        <v/>
      </c>
      <c r="G164" t="n">
        <v>2116.539227848101</v>
      </c>
      <c r="H164" t="inlineStr">
        <is>
          <t>{"type": "float", "value": 2116.5392278481013}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>
        <f>R2C[0]*R[10]C[0]</f>
        <v/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>
        <f>F$2*F29</f>
        <v/>
      </c>
      <c r="G165" t="n">
        <v>2277.239428481013</v>
      </c>
      <c r="H165" t="inlineStr">
        <is>
          <t>{"type": "float", "value": 2277.239428481013}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>
        <f>R2C[0]*R[10]C[0]</f>
        <v/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>
        <f>G$2*G29</f>
        <v/>
      </c>
      <c r="G166" t="n">
        <v>2448.718301107595</v>
      </c>
      <c r="H166" t="inlineStr">
        <is>
          <t>{"type": "float", "value": 2448.718301107595}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>
        <f>R2C[0]*R[10]C[0]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>
        <f>H$2*H29</f>
        <v/>
      </c>
      <c r="G167" t="n">
        <v>2631.651962425633</v>
      </c>
      <c r="H167" t="inlineStr">
        <is>
          <t>{"type": "float", "value": 2631.651962425633}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>
        <f>R2C[0]*R[10]C[0]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>
        <f>I$2*I29</f>
        <v/>
      </c>
      <c r="G168" t="n">
        <v>2826.757194122707</v>
      </c>
      <c r="H168" t="inlineStr">
        <is>
          <t>{"type": "float", "value": 2826.7571941227066}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>
        <f>R2C[0]*R[10]C[0]</f>
        <v/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G169" t="inlineStr">
        <is>
          <t>Power</t>
        </is>
      </c>
      <c r="H169" t="inlineStr">
        <is>
          <t>{"type": "str", "value": "Power"}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G170" t="n">
        <v>2396.67</v>
      </c>
      <c r="H170" t="inlineStr">
        <is>
          <t>{"type": "float", "value": 2396.67}</t>
        </is>
      </c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W1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G171" t="n">
        <v>2159.91</v>
      </c>
      <c r="H171" t="inlineStr">
        <is>
          <t>{"type": "float", "value": 2159.91}</t>
        </is>
      </c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W1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G172" t="n">
        <v>2716.94</v>
      </c>
      <c r="H172" t="inlineStr">
        <is>
          <t>{"type": "float", "value": 2716.94}</t>
        </is>
      </c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W17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>
        <f>E$2*E30</f>
        <v/>
      </c>
      <c r="G173" t="n">
        <v>2925.009455696203</v>
      </c>
      <c r="H173" t="inlineStr">
        <is>
          <t>{"type": "float", "value": 2925.0094556962026}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>
        <f>R2C[0]*R[10]C[0]</f>
        <v/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>
        <f>F$2*F30</f>
        <v/>
      </c>
      <c r="G174" t="n">
        <v>3147.093506962026</v>
      </c>
      <c r="H174" t="inlineStr">
        <is>
          <t>{"type": "float", "value": 3147.0935069620264}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>
        <f>R2C[0]*R[10]C[0]</f>
        <v/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>
        <f>G$2*G30</f>
        <v/>
      </c>
      <c r="G175" t="n">
        <v>3384.07343971519</v>
      </c>
      <c r="H175" t="inlineStr">
        <is>
          <t>{"type": "float", "value": 3384.0734397151905}</t>
        </is>
      </c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>
        <f>R2C[0]*R[10]C[0]</f>
        <v/>
      </c>
      <c r="W1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>
        <f>H$2*H30</f>
        <v/>
      </c>
      <c r="G176" t="n">
        <v>3636.883631976267</v>
      </c>
      <c r="H176" t="inlineStr">
        <is>
          <t>{"type": "float", "value": 3636.8836319762668}</t>
        </is>
      </c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>
        <f>R2C[0]*R[10]C[0]</f>
        <v/>
      </c>
      <c r="W1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>
        <f>I$2*I30</f>
        <v/>
      </c>
      <c r="G177" t="n">
        <v>3906.514659864164</v>
      </c>
      <c r="H177" t="inlineStr">
        <is>
          <t>{"type": "float", "value": 3906.5146598641636}</t>
        </is>
      </c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>
        <f>R2C[0]*R[10]C[0]</f>
        <v/>
      </c>
      <c r="W1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G178" t="inlineStr">
        <is>
          <t>Transport</t>
        </is>
      </c>
      <c r="H178" t="inlineStr">
        <is>
          <t>{"type": "str", "value": "Transport"}</t>
        </is>
      </c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G179" t="n">
        <v>2704.21</v>
      </c>
      <c r="H179" t="inlineStr">
        <is>
          <t>{"type": "float", "value": 2704.21}</t>
        </is>
      </c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W17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G180" t="n">
        <v>2636.11</v>
      </c>
      <c r="H180" t="inlineStr">
        <is>
          <t>{"type": "float", "value": 2636.11}</t>
        </is>
      </c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G181" t="n">
        <v>3433.75</v>
      </c>
      <c r="H181" t="inlineStr">
        <is>
          <t>{"type": "float", "value": 3433.75}</t>
        </is>
      </c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>
        <f>E$2*E31</f>
        <v/>
      </c>
      <c r="G182" t="n">
        <v>3913.326736518988</v>
      </c>
      <c r="H182" t="inlineStr">
        <is>
          <t>{"type": "float", "value": 3913.3267365189877}</t>
        </is>
      </c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>
        <f>R2C[0]*R[10]C[0]</f>
        <v/>
      </c>
      <c r="W1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>
        <f>F$2*F31</f>
        <v/>
      </c>
      <c r="G183" t="n">
        <v>4288.135969139242</v>
      </c>
      <c r="H183" t="inlineStr">
        <is>
          <t>{"type": "float", "value": 4288.135969139242}</t>
        </is>
      </c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>
        <f>R2C[0]*R[10]C[0]</f>
        <v/>
      </c>
      <c r="W1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>
        <f>G$2*G31</f>
        <v/>
      </c>
      <c r="G184" t="n">
        <v>4694.573920977058</v>
      </c>
      <c r="H184" t="inlineStr">
        <is>
          <t>{"type": "float", "value": 4694.573920977058}</t>
        </is>
      </c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>
        <f>R2C[0]*R[10]C[0]</f>
        <v/>
      </c>
      <c r="W1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>
        <f>H$2*H31</f>
        <v/>
      </c>
      <c r="G185" t="n">
        <v>5135.062996512485</v>
      </c>
      <c r="H185" t="inlineStr">
        <is>
          <t>{"type": "float", "value": 5135.062996512485}</t>
        </is>
      </c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>
        <f>R2C[0]*R[10]C[0]</f>
        <v/>
      </c>
      <c r="W1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>
        <f>I$2*I31</f>
        <v/>
      </c>
      <c r="G186" t="n">
        <v>5612.198596657526</v>
      </c>
      <c r="H186" t="inlineStr">
        <is>
          <t>{"type": "float", "value": 5612.198596657526}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>
        <f>R2C[0]*R[10]C[0]</f>
        <v/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G187" t="inlineStr">
        <is>
          <t>Salaries</t>
        </is>
      </c>
      <c r="H187" t="inlineStr">
        <is>
          <t>{"type": "str", "value": "Salaries"}</t>
        </is>
      </c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W1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G188" t="n">
        <v>772.16</v>
      </c>
      <c r="H188" t="inlineStr">
        <is>
          <t>{"type": "float", "value": 772.16}</t>
        </is>
      </c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W18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G189" t="n">
        <v>756.72</v>
      </c>
      <c r="H189" t="inlineStr">
        <is>
          <t>{"type": "float", "value": 756.72}</t>
        </is>
      </c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W18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G190" t="n">
        <v>821.36</v>
      </c>
      <c r="H190" t="inlineStr">
        <is>
          <t>{"type": "float", "value": 821.36}</t>
        </is>
      </c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W19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>
        <f>E$2*E32</f>
        <v/>
      </c>
      <c r="G191" t="n">
        <v>884.2616202531647</v>
      </c>
      <c r="H191" t="inlineStr">
        <is>
          <t>{"type": "float", "value": 884.2616202531647}</t>
        </is>
      </c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>
        <f>R2C[0]*R[10]C[0]</f>
        <v/>
      </c>
      <c r="W1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>
        <f>F$2*F32</f>
        <v/>
      </c>
      <c r="G192" t="n">
        <v>951.4000025316458</v>
      </c>
      <c r="H192" t="inlineStr">
        <is>
          <t>{"type": "float", "value": 951.4000025316458}</t>
        </is>
      </c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>
        <f>R2C[0]*R[10]C[0]</f>
        <v/>
      </c>
      <c r="W1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>
        <f>G$2*G32</f>
        <v/>
      </c>
      <c r="G193" t="n">
        <v>1023.041568987342</v>
      </c>
      <c r="H193" t="inlineStr">
        <is>
          <t>{"type": "float", "value": 1023.041568987342}</t>
        </is>
      </c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>
        <f>R2C[0]*R[10]C[0]</f>
        <v/>
      </c>
      <c r="W1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>
        <f>H$2*H32</f>
        <v/>
      </c>
      <c r="G194" t="n">
        <v>1099.468792082279</v>
      </c>
      <c r="H194" t="inlineStr">
        <is>
          <t>{"type": "float", "value": 1099.4687920822787}</t>
        </is>
      </c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>
        <f>R2C[0]*R[10]C[0]</f>
        <v/>
      </c>
      <c r="W1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>
        <f>I$2*I32</f>
        <v/>
      </c>
      <c r="G195" t="n">
        <v>1180.981133564241</v>
      </c>
      <c r="H195" t="inlineStr">
        <is>
          <t>{"type": "float", "value": 1180.9811335642412}</t>
        </is>
      </c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>
        <f>R2C[0]*R[10]C[0]</f>
        <v/>
      </c>
      <c r="W1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G196" t="inlineStr">
        <is>
          <t>Other exps</t>
        </is>
      </c>
      <c r="H196" t="inlineStr">
        <is>
          <t>{"type": "str", "value": "Other exps"}</t>
        </is>
      </c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W1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G197" t="n">
        <v>2547.89</v>
      </c>
      <c r="H197" t="inlineStr">
        <is>
          <t>{"type": "float", "value": 2547.89}</t>
        </is>
      </c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W19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G198" t="n">
        <v>2357.68</v>
      </c>
      <c r="H198" t="inlineStr">
        <is>
          <t>{"type": "float", "value": 2357.68}</t>
        </is>
      </c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G199" t="n">
        <v>2440.8</v>
      </c>
      <c r="H199" t="inlineStr">
        <is>
          <t>{"type": "float", "value": 2440.8}</t>
        </is>
      </c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W19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>
        <f>E$2*E33</f>
        <v/>
      </c>
      <c r="G200" t="n">
        <v>2627.722025316456</v>
      </c>
      <c r="H200" t="inlineStr">
        <is>
          <t>{"type": "float", "value": 2627.722025316456}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>
        <f>R2C[0]*R[10]C[0]</f>
        <v/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>
        <f>F$2*F33</f>
        <v/>
      </c>
      <c r="G201" t="n">
        <v>2827.234253164558</v>
      </c>
      <c r="H201" t="inlineStr">
        <is>
          <t>{"type": "float", "value": 2827.2342531645577}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>
        <f>R2C[0]*R[10]C[0]</f>
        <v/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>
        <f>G$2*G33</f>
        <v/>
      </c>
      <c r="G202" t="n">
        <v>3040.128398734178</v>
      </c>
      <c r="H202" t="inlineStr">
        <is>
          <t>{"type": "float", "value": 3040.128398734178}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>
        <f>R2C[0]*R[10]C[0]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>
        <f>H$2*H33</f>
        <v/>
      </c>
      <c r="G203" t="n">
        <v>3267.243873227849</v>
      </c>
      <c r="H203" t="inlineStr">
        <is>
          <t>{"type": "float", "value": 3267.243873227849}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>
        <f>R2C[0]*R[10]C[0]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>
        <f>I$2*I33</f>
        <v/>
      </c>
      <c r="G204" t="n">
        <v>3509.470574174053</v>
      </c>
      <c r="H204" t="inlineStr">
        <is>
          <t>{"type": "float", "value": 3509.4705741740527}</t>
        </is>
      </c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>
        <f>R2C[0]*R[10]C[0]</f>
        <v/>
      </c>
      <c r="W2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G205" t="inlineStr">
        <is>
          <t>Total expenses</t>
        </is>
      </c>
      <c r="H205" t="inlineStr">
        <is>
          <t>{"type": "str", "value": "Total expenses"}</t>
        </is>
      </c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W20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>
        <f>SUM(B19:B23)</f>
        <v/>
      </c>
      <c r="G206" t="n">
        <v>10269.05</v>
      </c>
      <c r="H206" t="inlineStr">
        <is>
          <t>{"type": "float", "value": 10269.05}</t>
        </is>
      </c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>
        <f>SUM(R[-5]C[0]:R[-1]C[0])</f>
        <v/>
      </c>
      <c r="W206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>
        <f>SUM(C19:C23)</f>
        <v/>
      </c>
      <c r="G207" t="n">
        <v>9517.190000000001</v>
      </c>
      <c r="H207" t="inlineStr">
        <is>
          <t>{"type": "float", "value": 9517.19}</t>
        </is>
      </c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>
        <f>SUM(R[-5]C[0]:R[-1]C[0])</f>
        <v/>
      </c>
      <c r="W207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>
        <f>SUM(D19:D23)</f>
        <v/>
      </c>
      <c r="G208" t="n">
        <v>11378.83</v>
      </c>
      <c r="H208" t="inlineStr">
        <is>
          <t>{"type": "float", "value": 11378.830000000002}</t>
        </is>
      </c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>
        <f>SUM(R[-5]C[0]:R[-1]C[0])</f>
        <v/>
      </c>
      <c r="W208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>
        <f>SUM(E19:E23)</f>
        <v/>
      </c>
      <c r="G209" t="n">
        <v>12466.85906563291</v>
      </c>
      <c r="H209" t="inlineStr">
        <is>
          <t>{"type": "float", "value": 12466.859065632912}</t>
        </is>
      </c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>
        <f>SUM(R[-5]C[0]:R[-1]C[0])</f>
        <v/>
      </c>
      <c r="W209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>
        <f>SUM(F19:F23)</f>
        <v/>
      </c>
      <c r="G210" t="n">
        <v>13491.10316027848</v>
      </c>
      <c r="H210" t="inlineStr">
        <is>
          <t>{"type": "float", "value": 13491.103160278484}</t>
        </is>
      </c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>
        <f>SUM(R[-5]C[0]:R[-1]C[0])</f>
        <v/>
      </c>
      <c r="W210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>
        <f>SUM(G19:G23)</f>
        <v/>
      </c>
      <c r="G211" t="n">
        <v>14590.53562952136</v>
      </c>
      <c r="H211" t="inlineStr">
        <is>
          <t>{"type": "float", "value": 14590.535629521364}</t>
        </is>
      </c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>
        <f>SUM(R[-5]C[0]:R[-1]C[0])</f>
        <v/>
      </c>
      <c r="W211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>
        <f>SUM(H19:H23)</f>
        <v/>
      </c>
      <c r="G212" t="n">
        <v>15770.31125622451</v>
      </c>
      <c r="H212" t="inlineStr">
        <is>
          <t>{"type": "float", "value": 15770.311256224511}</t>
        </is>
      </c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>
        <f>SUM(R[-5]C[0]:R[-1]C[0])</f>
        <v/>
      </c>
      <c r="W212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>
        <f>SUM(I19:I23)</f>
        <v/>
      </c>
      <c r="G213" t="n">
        <v>17035.92215838269</v>
      </c>
      <c r="H213" t="inlineStr">
        <is>
          <t>{"type": "float", "value": 17035.922158382687}</t>
        </is>
      </c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>
        <f>SUM(R[-5]C[0]:R[-1]C[0])</f>
        <v/>
      </c>
      <c r="W213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H214" t="inlineStr">
        <is>
          <t>{"type": "null", "value": null}</t>
        </is>
      </c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0</v>
      </c>
      <c r="W2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H215" t="inlineStr">
        <is>
          <t>{"type": "null", "value": null}</t>
        </is>
      </c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0</v>
      </c>
      <c r="W21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H216" t="inlineStr">
        <is>
          <t>{"type": "null", "value": null}</t>
        </is>
      </c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0</v>
      </c>
      <c r="W21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H217" t="inlineStr">
        <is>
          <t>{"type": "null", "value": null}</t>
        </is>
      </c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0</v>
      </c>
      <c r="W21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H218" t="inlineStr">
        <is>
          <t>{"type": "null", "value": null}</t>
        </is>
      </c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0</v>
      </c>
      <c r="W2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G219" t="inlineStr">
        <is>
          <t>EBITDA</t>
        </is>
      </c>
      <c r="H219" t="inlineStr">
        <is>
          <t>{"type": "str", "value": "EBITDA"}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>
        <f>B2-B24</f>
        <v/>
      </c>
      <c r="G220" t="n">
        <v>1647.950000000001</v>
      </c>
      <c r="H220" t="inlineStr">
        <is>
          <t>{"type": "float", "value": 1647.9500000000007}</t>
        </is>
      </c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>
        <f>R[-24]C[0]-R[-2]C[0]</f>
        <v/>
      </c>
      <c r="W22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>
        <f>C2-C24</f>
        <v/>
      </c>
      <c r="G221" t="n">
        <v>1595.01</v>
      </c>
      <c r="H221" t="inlineStr">
        <is>
          <t>{"type": "float", "value": 1595.0100000000002}</t>
        </is>
      </c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>
        <f>R[-24]C[0]-R[-2]C[0]</f>
        <v/>
      </c>
      <c r="W22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>
        <f>D2-D24</f>
        <v/>
      </c>
      <c r="G222" t="n">
        <v>2034.749999999998</v>
      </c>
      <c r="H222" t="inlineStr">
        <is>
          <t>{"type": "float", "value": 2034.7499999999982}</t>
        </is>
      </c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>
        <f>R[-24]C[0]-R[-2]C[0]</f>
        <v/>
      </c>
      <c r="W22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>
        <f>E2-E24</f>
        <v/>
      </c>
      <c r="G223" t="n">
        <v>1973.96345335443</v>
      </c>
      <c r="H223" t="inlineStr">
        <is>
          <t>{"type": "float", "value": 1973.9634533544304}</t>
        </is>
      </c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>
        <f>R[-24]C[0]-R[-2]C[0]</f>
        <v/>
      </c>
      <c r="W22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>
        <f>F2-F24</f>
        <v/>
      </c>
      <c r="G224" t="n">
        <v>2046.152179594937</v>
      </c>
      <c r="H224" t="inlineStr">
        <is>
          <t>{"type": "float", "value": 2046.1521795949375}</t>
        </is>
      </c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>
        <f>R[-24]C[0]-R[-2]C[0]</f>
        <v/>
      </c>
      <c r="W22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>
        <f>G2-G24</f>
        <v/>
      </c>
      <c r="G225" t="n">
        <v>2116.693757029272</v>
      </c>
      <c r="H225" t="inlineStr">
        <is>
          <t>{"type": "float", "value": 2116.693757029272}</t>
        </is>
      </c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>
        <f>R[-24]C[0]-R[-2]C[0]</f>
        <v/>
      </c>
      <c r="W22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>
        <f>H2-H24</f>
        <v/>
      </c>
      <c r="G226" t="n">
        <v>2185.046443321378</v>
      </c>
      <c r="H226" t="inlineStr">
        <is>
          <t>{"type": "float", "value": 2185.0464433213783}</t>
        </is>
      </c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>
        <f>R[-24]C[0]-R[-2]C[0]</f>
        <v/>
      </c>
      <c r="W22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>
        <f>I2-I24</f>
        <v/>
      </c>
      <c r="G227" t="n">
        <v>2250.608611991611</v>
      </c>
      <c r="H227" t="inlineStr">
        <is>
          <t>{"type": "float", "value": 2250.608611991611}</t>
        </is>
      </c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>
        <f>R[-24]C[0]-R[-2]C[0]</f>
        <v/>
      </c>
      <c r="W22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H228" t="inlineStr">
        <is>
          <t>{"type": "null", "value": null}</t>
        </is>
      </c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0</v>
      </c>
      <c r="W22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G229" t="inlineStr">
        <is>
          <t>Margin</t>
        </is>
      </c>
      <c r="H229" t="inlineStr">
        <is>
          <t>{"type": "str", "value": "Margin"}</t>
        </is>
      </c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W2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>
        <f>B26/B2</f>
        <v/>
      </c>
      <c r="G230" t="n">
        <v>0.1382856423596543</v>
      </c>
      <c r="H230" t="inlineStr">
        <is>
          <t>{"type": "float", "value": 0.13828564235965435}</t>
        </is>
      </c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>
        <f>R[-1]C[0]/R[-25]C[0]</f>
        <v/>
      </c>
      <c r="W2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>
        <f>C26/C2</f>
        <v/>
      </c>
      <c r="G231" t="n">
        <v>0.1435368333903277</v>
      </c>
      <c r="H231" t="inlineStr">
        <is>
          <t>{"type": "float", "value": 0.14353683339032774}</t>
        </is>
      </c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>
        <f>R[-1]C[0]/R[-25]C[0]</f>
        <v/>
      </c>
      <c r="W2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>
        <f>D26/D2</f>
        <v/>
      </c>
      <c r="G232" t="n">
        <v>0.1516932839704239</v>
      </c>
      <c r="H232" t="inlineStr">
        <is>
          <t>{"type": "float", "value": 0.15169328397042386}</t>
        </is>
      </c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>
        <f>R[-1]C[0]/R[-25]C[0]</f>
        <v/>
      </c>
      <c r="W2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>
        <f>E26/E2</f>
        <v/>
      </c>
      <c r="G233" t="n">
        <v>0.136693283970424</v>
      </c>
      <c r="H233" t="inlineStr">
        <is>
          <t>{"type": "float", "value": 0.136693283970424}</t>
        </is>
      </c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>
        <f>R[-1]C[0]/R[-25]C[0]</f>
        <v/>
      </c>
      <c r="W23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>
        <f>F26/F2</f>
        <v/>
      </c>
      <c r="G234" t="n">
        <v>0.131693283970424</v>
      </c>
      <c r="H234" t="inlineStr">
        <is>
          <t>{"type": "float", "value": 0.131693283970424}</t>
        </is>
      </c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>
        <f>R[-1]C[0]/R[-25]C[0]</f>
        <v/>
      </c>
      <c r="W2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>
        <f>G26/G2</f>
        <v/>
      </c>
      <c r="G235" t="n">
        <v>0.126693283970424</v>
      </c>
      <c r="H235" t="inlineStr">
        <is>
          <t>{"type": "float", "value": 0.12669328397042398}</t>
        </is>
      </c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>
        <f>R[-1]C[0]/R[-25]C[0]</f>
        <v/>
      </c>
      <c r="W2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>
        <f>H26/H2</f>
        <v/>
      </c>
      <c r="G236" t="n">
        <v>0.1216932839704241</v>
      </c>
      <c r="H236" t="inlineStr">
        <is>
          <t>{"type": "float", "value": 0.12169328397042407}</t>
        </is>
      </c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>
        <f>R[-1]C[0]/R[-25]C[0]</f>
        <v/>
      </c>
      <c r="W2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>
        <f>I26/I2</f>
        <v/>
      </c>
      <c r="G237" t="n">
        <v>0.1166932839704241</v>
      </c>
      <c r="H237" t="inlineStr">
        <is>
          <t>{"type": "float", "value": 0.11669328397042412}</t>
        </is>
      </c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>
        <f>R[-1]C[0]/R[-25]C[0]</f>
        <v/>
      </c>
      <c r="W23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H238" t="inlineStr">
        <is>
          <t>{"type": "null", "value": null}</t>
        </is>
      </c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0</v>
      </c>
      <c r="W23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H239" t="inlineStr">
        <is>
          <t>{"type": "null", "value": null}</t>
        </is>
      </c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0</v>
      </c>
      <c r="W2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H240" t="inlineStr">
        <is>
          <t>{"type": "null", "value": null}</t>
        </is>
      </c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0</v>
      </c>
      <c r="W24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G241" t="inlineStr">
        <is>
          <t>Raw Materials as % of sales</t>
        </is>
      </c>
      <c r="H241" t="inlineStr">
        <is>
          <t>{"type": "str", "value": "Raw Materials as % of sales"}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>
        <f>B19/B$2</f>
        <v/>
      </c>
      <c r="G242" t="n">
        <v>0.1550826550306285</v>
      </c>
      <c r="H242" t="inlineStr">
        <is>
          <t>{"type": "float", "value": 0.1550826550306285}</t>
        </is>
      </c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>
        <f>R[-10]C[0]/R2C[0]</f>
        <v/>
      </c>
      <c r="W24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>
        <f>C19/C$2</f>
        <v/>
      </c>
      <c r="G243" t="n">
        <v>0.1445951296772916</v>
      </c>
      <c r="H243" t="inlineStr">
        <is>
          <t>{"type": "float", "value": 0.1445951296772916}</t>
        </is>
      </c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>
        <f>R[-10]C[0]/R2C[0]</f>
        <v/>
      </c>
      <c r="W2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>
        <f>D19/D$2</f>
        <v/>
      </c>
      <c r="G244" t="n">
        <v>0.1465663901806974</v>
      </c>
      <c r="H244" t="inlineStr">
        <is>
          <t>{"type": "float", "value": 0.14656639018069745}</t>
        </is>
      </c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>
        <f>R[-10]C[0]/R2C[0]</f>
        <v/>
      </c>
      <c r="W24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>
        <f>D29</f>
        <v/>
      </c>
      <c r="G245" t="n">
        <v>0.1465663901806974</v>
      </c>
      <c r="H245" t="inlineStr">
        <is>
          <t>{"type": "float", "value": 0.14656639018069745}</t>
        </is>
      </c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>
        <f>R[0]C[-1]</f>
        <v/>
      </c>
      <c r="W24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>
        <f>E29</f>
        <v/>
      </c>
      <c r="G246" t="n">
        <v>0.1465663901806974</v>
      </c>
      <c r="H246" t="inlineStr">
        <is>
          <t>{"type": "float", "value": 0.14656639018069745}</t>
        </is>
      </c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>
        <f>R[0]C[-1]</f>
        <v/>
      </c>
      <c r="W24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>
        <f>F29</f>
        <v/>
      </c>
      <c r="G247" t="n">
        <v>0.1465663901806974</v>
      </c>
      <c r="H247" t="inlineStr">
        <is>
          <t>{"type": "float", "value": 0.14656639018069745}</t>
        </is>
      </c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>
        <f>R[0]C[-1]</f>
        <v/>
      </c>
      <c r="W24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>
        <f>G29</f>
        <v/>
      </c>
      <c r="G248" t="n">
        <v>0.1465663901806974</v>
      </c>
      <c r="H248" t="inlineStr">
        <is>
          <t>{"type": "float", "value": 0.14656639018069745}</t>
        </is>
      </c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>
        <f>R[0]C[-1]</f>
        <v/>
      </c>
      <c r="W24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>
        <f>H29</f>
        <v/>
      </c>
      <c r="G249" t="n">
        <v>0.1465663901806974</v>
      </c>
      <c r="H249" t="inlineStr">
        <is>
          <t>{"type": "float", "value": 0.14656639018069745}</t>
        </is>
      </c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>
        <f>R[0]C[-1]</f>
        <v/>
      </c>
      <c r="W24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G250" t="inlineStr">
        <is>
          <t>Power as % of sales</t>
        </is>
      </c>
      <c r="H250" t="inlineStr">
        <is>
          <t>{"type": "str", "value": "Power as % of sales"}</t>
        </is>
      </c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W2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>
        <f>B20/B$2</f>
        <v/>
      </c>
      <c r="G251" t="n">
        <v>0.2011135352857263</v>
      </c>
      <c r="H251" t="inlineStr">
        <is>
          <t>{"type": "float", "value": 0.20111353528572629}</t>
        </is>
      </c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>
        <f>R[-10]C[0]/R2C[0]</f>
        <v/>
      </c>
      <c r="W2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>
        <f>C20/C$2</f>
        <v/>
      </c>
      <c r="G252" t="n">
        <v>0.1943728514605568</v>
      </c>
      <c r="H252" t="inlineStr">
        <is>
          <t>{"type": "float", "value": 0.19437285146055683}</t>
        </is>
      </c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>
        <f>R[-10]C[0]/R2C[0]</f>
        <v/>
      </c>
      <c r="W25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>
        <f>D20/D$2</f>
        <v/>
      </c>
      <c r="G253" t="n">
        <v>0.2025514441334826</v>
      </c>
      <c r="H253" t="inlineStr">
        <is>
          <t>{"type": "float", "value": 0.20255144413348264}</t>
        </is>
      </c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>
        <f>R[-10]C[0]/R2C[0]</f>
        <v/>
      </c>
      <c r="W25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>
        <f>D30</f>
        <v/>
      </c>
      <c r="G254" t="n">
        <v>0.2025514441334826</v>
      </c>
      <c r="H254" t="inlineStr">
        <is>
          <t>{"type": "float", "value": 0.20255144413348264}</t>
        </is>
      </c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>
        <f>R[0]C[-1]</f>
        <v/>
      </c>
      <c r="W25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>
        <f>E30</f>
        <v/>
      </c>
      <c r="G255" t="n">
        <v>0.2025514441334826</v>
      </c>
      <c r="H255" t="inlineStr">
        <is>
          <t>{"type": "float", "value": 0.20255144413348264}</t>
        </is>
      </c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>
        <f>R[0]C[-1]</f>
        <v/>
      </c>
      <c r="W25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>
        <f>F30</f>
        <v/>
      </c>
      <c r="G256" t="n">
        <v>0.2025514441334826</v>
      </c>
      <c r="H256" t="inlineStr">
        <is>
          <t>{"type": "float", "value": 0.20255144413348264}</t>
        </is>
      </c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>
        <f>R[0]C[-1]</f>
        <v/>
      </c>
      <c r="W25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>
        <f>G30</f>
        <v/>
      </c>
      <c r="G257" t="n">
        <v>0.2025514441334826</v>
      </c>
      <c r="H257" t="inlineStr">
        <is>
          <t>{"type": "float", "value": 0.20255144413348264}</t>
        </is>
      </c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>
        <f>R[0]C[-1]</f>
        <v/>
      </c>
      <c r="W2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>
        <f>H30</f>
        <v/>
      </c>
      <c r="G258" t="n">
        <v>0.2025514441334826</v>
      </c>
      <c r="H258" t="inlineStr">
        <is>
          <t>{"type": "float", "value": 0.20255144413348264}</t>
        </is>
      </c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>
        <f>R[0]C[-1]</f>
        <v/>
      </c>
      <c r="W2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G259" t="inlineStr">
        <is>
          <t>Transport as % of sales</t>
        </is>
      </c>
      <c r="H259" t="inlineStr">
        <is>
          <t>{"type": "str", "value": "Transport as % of sales"}</t>
        </is>
      </c>
      <c r="I259" t="inlineStr">
        <is>
          <t>General</t>
        </is>
      </c>
      <c r="J259" t="b">
        <v>0</v>
      </c>
      <c r="K259" t="b">
        <v>0</v>
      </c>
      <c r="L259" t="n">
        <v>11</v>
      </c>
      <c r="N259" t="inlineStr">
        <is>
          <t>00000000</t>
        </is>
      </c>
      <c r="R259" t="b">
        <v>1</v>
      </c>
      <c r="W259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>
        <f>B21/B$2</f>
        <v/>
      </c>
      <c r="G260" t="n">
        <v>0.2269203658638919</v>
      </c>
      <c r="H260" t="inlineStr">
        <is>
          <t>{"type": "float", "value": 0.22692036586389192}</t>
        </is>
      </c>
      <c r="I260" t="inlineStr">
        <is>
          <t>0%</t>
        </is>
      </c>
      <c r="J260" t="b">
        <v>0</v>
      </c>
      <c r="K260" t="b">
        <v>0</v>
      </c>
      <c r="L260" t="n">
        <v>11</v>
      </c>
      <c r="N260" t="inlineStr">
        <is>
          <t>00000000</t>
        </is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>
        <f>R[-10]C[0]/R2C[0]</f>
        <v/>
      </c>
      <c r="W260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>
        <f>C21/C$2</f>
        <v/>
      </c>
      <c r="G261" t="n">
        <v>0.2372266517881248</v>
      </c>
      <c r="H261" t="inlineStr">
        <is>
          <t>{"type": "float", "value": 0.23722665178812477}</t>
        </is>
      </c>
      <c r="I261" t="inlineStr">
        <is>
          <t>0%</t>
        </is>
      </c>
      <c r="J261" t="b">
        <v>0</v>
      </c>
      <c r="K261" t="b">
        <v>0</v>
      </c>
      <c r="L261" t="n">
        <v>11</v>
      </c>
      <c r="N261" t="inlineStr">
        <is>
          <t>00000000</t>
        </is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>
        <f>R[-10]C[0]/R2C[0]</f>
        <v/>
      </c>
      <c r="W261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>
        <f>D21/D$2</f>
        <v/>
      </c>
      <c r="G262" t="n">
        <v>0.2559905707499415</v>
      </c>
      <c r="H262" t="inlineStr">
        <is>
          <t>{"type": "float", "value": 0.25599057074994147}</t>
        </is>
      </c>
      <c r="I262" t="inlineStr">
        <is>
          <t>0%</t>
        </is>
      </c>
      <c r="J262" t="b">
        <v>0</v>
      </c>
      <c r="K262" t="b">
        <v>0</v>
      </c>
      <c r="L262" t="n">
        <v>11</v>
      </c>
      <c r="N262" t="inlineStr">
        <is>
          <t>00000000</t>
        </is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>
        <f>R[-10]C[0]/R2C[0]</f>
        <v/>
      </c>
      <c r="W262" t="inlineStr">
        <is>
          <t>{"number_format": "0%",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>
        <f>D31+1.5%</f>
        <v/>
      </c>
      <c r="G263" t="n">
        <v>0.2709905707499415</v>
      </c>
      <c r="H263" t="inlineStr">
        <is>
          <t>{"type": "float", "value": 0.2709905707499415}</t>
        </is>
      </c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1</v>
      </c>
      <c r="V263">
        <f>R[0]C[-1]+1.5%</f>
        <v/>
      </c>
      <c r="W2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>
        <f>E31+0.5%</f>
        <v/>
      </c>
      <c r="G264" t="n">
        <v>0.2759905707499415</v>
      </c>
      <c r="H264" t="inlineStr">
        <is>
          <t>{"type": "float", "value": 0.2759905707499415}</t>
        </is>
      </c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>
        <f>R[0]C[-1]+0.5%</f>
        <v/>
      </c>
      <c r="W2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>
        <f>F31+0.5%</f>
        <v/>
      </c>
      <c r="G265" t="n">
        <v>0.2809905707499415</v>
      </c>
      <c r="H265" t="inlineStr">
        <is>
          <t>{"type": "float", "value": 0.2809905707499415}</t>
        </is>
      </c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>
        <f>R[0]C[-1]+0.5%</f>
        <v/>
      </c>
      <c r="W2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>
        <f>G31+0.5%</f>
        <v/>
      </c>
      <c r="G266" t="n">
        <v>0.2859905707499415</v>
      </c>
      <c r="H266" t="inlineStr">
        <is>
          <t>{"type": "float", "value": 0.2859905707499415}</t>
        </is>
      </c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>
        <f>R[0]C[-1]+0.5%</f>
        <v/>
      </c>
      <c r="W26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>
        <f>H31+0.5%</f>
        <v/>
      </c>
      <c r="G267" t="n">
        <v>0.2909905707499415</v>
      </c>
      <c r="H267" t="inlineStr">
        <is>
          <t>{"type": "float", "value": 0.2909905707499415}</t>
        </is>
      </c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>
        <f>R[0]C[-1]+0.5%</f>
        <v/>
      </c>
      <c r="W26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G268" t="inlineStr">
        <is>
          <t>Salaries as % of sales</t>
        </is>
      </c>
      <c r="H268" t="inlineStr">
        <is>
          <t>{"type": "str", "value": "Salaries as % of sales"}</t>
        </is>
      </c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W2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>
        <f>B22/B$2</f>
        <v/>
      </c>
      <c r="G269" t="n">
        <v>0.06479483091382059</v>
      </c>
      <c r="H269" t="inlineStr">
        <is>
          <t>{"type": "float", "value": 0.06479483091382059}</t>
        </is>
      </c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>
        <f>R[-10]C[0]/R2C[0]</f>
        <v/>
      </c>
      <c r="W2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>
        <f>C22/C$2</f>
        <v/>
      </c>
      <c r="G270" t="n">
        <v>0.0680981263836144</v>
      </c>
      <c r="H270" t="inlineStr">
        <is>
          <t>{"type": "float", "value": 0.0680981263836144}</t>
        </is>
      </c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>
        <f>R[-10]C[0]/R2C[0]</f>
        <v/>
      </c>
      <c r="W27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>
        <f>D22/D$2</f>
        <v/>
      </c>
      <c r="G271" t="n">
        <v>0.06123346638257646</v>
      </c>
      <c r="H271" t="inlineStr">
        <is>
          <t>{"type": "float", "value": 0.061233466382576464}</t>
        </is>
      </c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>
        <f>R[-10]C[0]/R2C[0]</f>
        <v/>
      </c>
      <c r="W27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>
        <f>D32</f>
        <v/>
      </c>
      <c r="G272" t="n">
        <v>0.06123346638257646</v>
      </c>
      <c r="H272" t="inlineStr">
        <is>
          <t>{"type": "float", "value": 0.061233466382576464}</t>
        </is>
      </c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>
        <f>R[0]C[-1]</f>
        <v/>
      </c>
      <c r="W27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>
        <f>E32</f>
        <v/>
      </c>
      <c r="G273" t="n">
        <v>0.06123346638257646</v>
      </c>
      <c r="H273" t="inlineStr">
        <is>
          <t>{"type": "float", "value": 0.061233466382576464}</t>
        </is>
      </c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>
        <f>R[0]C[-1]</f>
        <v/>
      </c>
      <c r="W27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>
        <f>F32</f>
        <v/>
      </c>
      <c r="G274" t="n">
        <v>0.06123346638257646</v>
      </c>
      <c r="H274" t="inlineStr">
        <is>
          <t>{"type": "float", "value": 0.061233466382576464}</t>
        </is>
      </c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>
        <f>R[0]C[-1]</f>
        <v/>
      </c>
      <c r="W27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>
        <f>G32</f>
        <v/>
      </c>
      <c r="G275" t="n">
        <v>0.06123346638257646</v>
      </c>
      <c r="H275" t="inlineStr">
        <is>
          <t>{"type": "float", "value": 0.061233466382576464}</t>
        </is>
      </c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>
        <f>R[0]C[-1]</f>
        <v/>
      </c>
      <c r="W27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>
        <f>H32</f>
        <v/>
      </c>
      <c r="G276" t="n">
        <v>0.06123346638257646</v>
      </c>
      <c r="H276" t="inlineStr">
        <is>
          <t>{"type": "float", "value": 0.061233466382576464}</t>
        </is>
      </c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>
        <f>R[0]C[-1]</f>
        <v/>
      </c>
      <c r="W2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G277" t="inlineStr">
        <is>
          <t>Other exps as % of sales</t>
        </is>
      </c>
      <c r="H277" t="inlineStr">
        <is>
          <t>{"type": "str", "value": "Other exps as % of sales"}</t>
        </is>
      </c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>
        <f>B23/B$2</f>
        <v/>
      </c>
      <c r="G278" t="n">
        <v>0.2138029705462784</v>
      </c>
      <c r="H278" t="inlineStr">
        <is>
          <t>{"type": "float", "value": 0.21380297054627842}</t>
        </is>
      </c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>
        <f>R[-10]C[0]/R2C[0]</f>
        <v/>
      </c>
      <c r="W27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>
        <f>C23/C$2</f>
        <v/>
      </c>
      <c r="G279" t="n">
        <v>0.2121704073000846</v>
      </c>
      <c r="H279" t="inlineStr">
        <is>
          <t>{"type": "float", "value": 0.21217040730008457}</t>
        </is>
      </c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>
        <f>R[-10]C[0]/R2C[0]</f>
        <v/>
      </c>
      <c r="W27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>
        <f>D23/D$2</f>
        <v/>
      </c>
      <c r="G280" t="n">
        <v>0.181964844582878</v>
      </c>
      <c r="H280" t="inlineStr">
        <is>
          <t>{"type": "float", "value": 0.18196484458287795}</t>
        </is>
      </c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>
        <f>R[-10]C[0]/R2C[0]</f>
        <v/>
      </c>
      <c r="W28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>
        <f>D33</f>
        <v/>
      </c>
      <c r="G281" t="n">
        <v>0.181964844582878</v>
      </c>
      <c r="H281" t="inlineStr">
        <is>
          <t>{"type": "float", "value": 0.18196484458287795}</t>
        </is>
      </c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>
        <f>R[0]C[-1]</f>
        <v/>
      </c>
      <c r="W2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>
        <f>E33</f>
        <v/>
      </c>
      <c r="G282" t="n">
        <v>0.181964844582878</v>
      </c>
      <c r="H282" t="inlineStr">
        <is>
          <t>{"type": "float", "value": 0.18196484458287795}</t>
        </is>
      </c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>
        <f>R[0]C[-1]</f>
        <v/>
      </c>
      <c r="W28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>
        <f>F33</f>
        <v/>
      </c>
      <c r="G283" t="n">
        <v>0.181964844582878</v>
      </c>
      <c r="H283" t="inlineStr">
        <is>
          <t>{"type": "float", "value": 0.18196484458287795}</t>
        </is>
      </c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>
        <f>R[0]C[-1]</f>
        <v/>
      </c>
      <c r="W28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>
        <f>G33</f>
        <v/>
      </c>
      <c r="G284" t="n">
        <v>0.181964844582878</v>
      </c>
      <c r="H284" t="inlineStr">
        <is>
          <t>{"type": "float", "value": 0.18196484458287795}</t>
        </is>
      </c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>
        <f>R[0]C[-1]</f>
        <v/>
      </c>
      <c r="W28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>
        <f>H33</f>
        <v/>
      </c>
      <c r="G285" t="n">
        <v>0.181964844582878</v>
      </c>
      <c r="H285" t="inlineStr">
        <is>
          <t>{"type": "float", "value": 0.18196484458287795}</t>
        </is>
      </c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>
        <f>R[0]C[-1]</f>
        <v/>
      </c>
      <c r="W28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H286" t="inlineStr">
        <is>
          <t>{"type": "null", "value": null}</t>
        </is>
      </c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0</v>
      </c>
      <c r="W28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H287" t="inlineStr">
        <is>
          <t>{"type": "null", "value": null}</t>
        </is>
      </c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0</v>
      </c>
      <c r="W2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H288" t="inlineStr">
        <is>
          <t>{"type": "null", "value": null}</t>
        </is>
      </c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0</v>
      </c>
      <c r="W2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G289" t="inlineStr">
        <is>
          <t>Average Diesel prices</t>
        </is>
      </c>
      <c r="H289" t="inlineStr">
        <is>
          <t>{"type": "str", "value": "Average Diesel prices"}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G290" t="n">
        <v>48.72</v>
      </c>
      <c r="H290" t="inlineStr">
        <is>
          <t>{"type": "float", "value": 48.72}</t>
        </is>
      </c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W2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G291" t="n">
        <v>43.58</v>
      </c>
      <c r="H291" t="inlineStr">
        <is>
          <t>{"type": "float", "value": 43.58}</t>
        </is>
      </c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W2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G292" t="n">
        <v>50.83</v>
      </c>
      <c r="H292" t="inlineStr">
        <is>
          <t>{"type": "float", "value": 50.83}</t>
        </is>
      </c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W2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G293" t="inlineStr">
        <is>
          <t>Growth</t>
        </is>
      </c>
      <c r="H293" t="inlineStr">
        <is>
          <t>{"type": "str", "value": "Growth"}</t>
        </is>
      </c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W2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>
        <f>C35/B35-1</f>
        <v/>
      </c>
      <c r="G294" t="n">
        <v>-0.1055008210180625</v>
      </c>
      <c r="H294" t="inlineStr">
        <is>
          <t>{"type": "float", "value": -0.10550082101806246}</t>
        </is>
      </c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>
        <f>R[-1]C[0]/R[-1]C[-1]-1</f>
        <v/>
      </c>
      <c r="W29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>
        <f>D35/C35-1</f>
        <v/>
      </c>
      <c r="G295" t="n">
        <v>0.1663607159247362</v>
      </c>
      <c r="H295" t="inlineStr">
        <is>
          <t>{"type": "float", "value": 0.16636071592473622}</t>
        </is>
      </c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>
        <f>R[-1]C[0]/R[-1]C[-1]-1</f>
        <v/>
      </c>
      <c r="W29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G296" t="inlineStr">
        <is>
          <t>Crude</t>
        </is>
      </c>
      <c r="H296" t="inlineStr">
        <is>
          <t>{"type": "str", "value": "Crude"}</t>
        </is>
      </c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G297" t="n">
        <v>53.03</v>
      </c>
      <c r="H297" t="inlineStr">
        <is>
          <t>{"type": "float", "value": 53.03}</t>
        </is>
      </c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G298" t="n">
        <v>45.13</v>
      </c>
      <c r="H298" t="inlineStr">
        <is>
          <t>{"type": "float", "value": 45.13}</t>
        </is>
      </c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W2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G299" t="n">
        <v>54.17</v>
      </c>
      <c r="H299" t="inlineStr">
        <is>
          <t>{"type": "float", "value": 54.17}</t>
        </is>
      </c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W2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G300" t="n">
        <v>72.81999999999999</v>
      </c>
      <c r="H300" t="inlineStr">
        <is>
          <t>{"type": "float", "value": 72.82}</t>
        </is>
      </c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W3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>
        <f>C37/B37-1</f>
        <v/>
      </c>
      <c r="G301" t="n">
        <v>-0.1489722798415991</v>
      </c>
      <c r="H301" t="inlineStr">
        <is>
          <t>{"type": "float", "value": -0.1489722798415991}</t>
        </is>
      </c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>
        <f>R[-1]C[0]/R[-1]C[-1]-1</f>
        <v/>
      </c>
      <c r="W30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>
        <f>D37/C37-1</f>
        <v/>
      </c>
      <c r="G302" t="n">
        <v>0.2003102149346332</v>
      </c>
      <c r="H302" t="inlineStr">
        <is>
          <t>{"type": "float", "value": 0.2003102149346332}</t>
        </is>
      </c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>
        <f>R[-1]C[0]/R[-1]C[-1]-1</f>
        <v/>
      </c>
      <c r="W30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>
        <f>E37/D37-1</f>
        <v/>
      </c>
      <c r="G303" t="n">
        <v>0.3442865054458186</v>
      </c>
      <c r="H303" t="inlineStr">
        <is>
          <t>{"type": "float", "value": 0.3442865054458186}</t>
        </is>
      </c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>
        <f>R[-1]C[0]/R[-1]C[-1]-1</f>
        <v/>
      </c>
      <c r="W30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G304" t="inlineStr">
        <is>
          <t>INR USD</t>
        </is>
      </c>
      <c r="H304" t="inlineStr">
        <is>
          <t>{"type": "str", "value": "INR USD"}</t>
        </is>
      </c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G305" t="n">
        <v>66.768</v>
      </c>
      <c r="H305" t="inlineStr">
        <is>
          <t>{"type": "float", "value": 66.768}</t>
        </is>
      </c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W3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G306" t="n">
        <v>69.596</v>
      </c>
      <c r="H306" t="inlineStr">
        <is>
          <t>{"type": "float", "value": 69.596}</t>
        </is>
      </c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G307" t="n">
        <v>67.809</v>
      </c>
      <c r="H307" t="inlineStr">
        <is>
          <t>{"type": "float", "value": 67.809}</t>
        </is>
      </c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W3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>
        <f>C39/B39-1</f>
        <v/>
      </c>
      <c r="G308" t="n">
        <v>0.04235561945842314</v>
      </c>
      <c r="H308" t="inlineStr">
        <is>
          <t>{"type": "float", "value": 0.042355619458423144}</t>
        </is>
      </c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>
        <f>R[-1]C[0]/R[-1]C[-1]-1</f>
        <v/>
      </c>
      <c r="W3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>
        <f>D39/C39-1</f>
        <v/>
      </c>
      <c r="G309" t="n">
        <v>-0.02567676303235822</v>
      </c>
      <c r="H309" t="inlineStr">
        <is>
          <t>{"type": "float", "value": -0.02567676303235822}</t>
        </is>
      </c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>
        <f>R[-1]C[0]/R[-1]C[-1]-1</f>
        <v/>
      </c>
      <c r="W3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H310" t="inlineStr">
        <is>
          <t>{"type": "null", "value": null}</t>
        </is>
      </c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0</v>
      </c>
      <c r="W3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>
        <f>C21/B21-1</f>
        <v/>
      </c>
      <c r="G311" t="n">
        <v>-0.02518295546573668</v>
      </c>
      <c r="H311" t="inlineStr">
        <is>
          <t>{"type": "float", "value": -0.02518295546573668}</t>
        </is>
      </c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>
        <f>R[-20]C[0]/R[-20]C[-1]-1</f>
        <v/>
      </c>
      <c r="W31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>
        <f>D21/C21-1</f>
        <v/>
      </c>
      <c r="G312" t="n">
        <v>0.3025822139440311</v>
      </c>
      <c r="H312" t="inlineStr">
        <is>
          <t>{"type": "float", "value": 0.30258221394403106}</t>
        </is>
      </c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>
        <f>R[-20]C[0]/R[-20]C[-1]-1</f>
        <v/>
      </c>
      <c r="W31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H313" t="inlineStr">
        <is>
          <t>{"type": "null", "value": null}</t>
        </is>
      </c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0</v>
      </c>
      <c r="W31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H314" t="inlineStr">
        <is>
          <t>{"type": "null", "value": null}</t>
        </is>
      </c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0</v>
      </c>
      <c r="W3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H315" t="inlineStr">
        <is>
          <t>{"type": "null", "value": null}</t>
        </is>
      </c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0</v>
      </c>
      <c r="W31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H316" t="inlineStr">
        <is>
          <t>{"type": "null", "value": null}</t>
        </is>
      </c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0</v>
      </c>
      <c r="W31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H317" t="inlineStr">
        <is>
          <t>{"type": "null", "value": null}</t>
        </is>
      </c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0</v>
      </c>
      <c r="W3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H318" t="inlineStr">
        <is>
          <t>{"type": "null", "value": null}</t>
        </is>
      </c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0</v>
      </c>
      <c r="W3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H319" t="inlineStr">
        <is>
          <t>{"type": "null", "value": null}</t>
        </is>
      </c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0</v>
      </c>
      <c r="W3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H320" t="inlineStr">
        <is>
          <t>{"type": "null", "value": null}</t>
        </is>
      </c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0</v>
      </c>
      <c r="W32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H321" t="inlineStr">
        <is>
          <t>{"type": "null", "value": null}</t>
        </is>
      </c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0</v>
      </c>
      <c r="W3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H322" t="inlineStr">
        <is>
          <t>{"type": "null", "value": null}</t>
        </is>
      </c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0</v>
      </c>
      <c r="W3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H323" t="inlineStr">
        <is>
          <t>{"type": "null", "value": null}</t>
        </is>
      </c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0</v>
      </c>
      <c r="W32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>
        <is>
          <t>{"type": "str", "value": "Freehold Non Mining Land"}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>
        <is>
          <t>{"type": "float", "value": 92.69}</t>
        </is>
      </c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>
        <is>
          <t>{"type": "float", "value": 130.61}</t>
        </is>
      </c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W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>
        <is>
          <t>{"type": "float", "value": 130.61}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>
        <is>
          <t>{"type": "str", "value": "Freehold Mining Land"}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>
        <is>
          <t>{"type": "float", "value": 296.85}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>
        <is>
          <t>{"type": "float", "value": 303.09}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>
        <is>
          <t>{"type": "float", "value": 304.3}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>
        <is>
          <t>{"type": "str", "value": "Leasehold Land"}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>
        <is>
          <t>{"type": "float", "value": 40.05}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>
        <is>
          <t>{"type": "float", "value": 36.1}</t>
        </is>
      </c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W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>
        <is>
          <t>{"type": "float", "value": 38.46}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>
        <is>
          <t>{"type": "str", "value": "Buildings"}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>
        <is>
          <t>{"type": "float", "value": 928.56}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>
        <is>
          <t>{"type": "float", "value": 1515.39}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>
        <is>
          <t>{"type": "float", "value": 1472.4}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>
        <is>
          <t>{"type": "str", "value": "Plant and Equipment"}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W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>
        <is>
          <t>{"type": "float", "value": 3763.42}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>
        <is>
          <t>{"type": "float", "value": 5264.32}</t>
        </is>
      </c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>
        <is>
          <t>{"type": "float", "value": 4984.63}</t>
        </is>
      </c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>
        <is>
          <t>{"type": "str", "value": "Railway Sidings"}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>
        <is>
          <t>{"type": "float", "value": 109.03}</t>
        </is>
      </c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>
        <is>
          <t>{"type": "float", "value": 181.92}</t>
        </is>
      </c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>
        <is>
          <t>{"type": "float", "value": 212.14}</t>
        </is>
      </c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W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>
        <is>
          <t>{"type": "str", "value": "Furniture and Fixtures"}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>
        <is>
          <t>{"type": "float", "value": 19.67}</t>
        </is>
      </c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W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>
        <is>
          <t>{"type": "float", "value": 18.72}</t>
        </is>
      </c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>
        <is>
          <t>{"type": "float", "value": 16.51}</t>
        </is>
      </c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>
        <is>
          <t>{"type": "str", "value": "Vehicles"}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>
        <is>
          <t>{"type": "float", "value": 33.78}</t>
        </is>
      </c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>
        <is>
          <t>{"type": "float", "value": 41.91}</t>
        </is>
      </c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>
        <is>
          <t>{"type": "float", "value": 39.33}</t>
        </is>
      </c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>
        <is>
          <t>{"type": "str", "value": "Office equipment"}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>
        <is>
          <t>{"type": "float", "value": 30.95}</t>
        </is>
      </c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>
        <is>
          <t>{"type": "float", "value": 32.42}</t>
        </is>
      </c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>
        <is>
          <t>{"type": "float", "value": 26.08}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>
        <is>
          <t>{"type": "null", "value": null}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0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>
        <is>
          <t>{"type": "null", "value": null}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0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>
        <is>
          <t>{"type": "null", "value": null}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0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>
        <is>
          <t>{"type": "str", "value": "Computer Software"}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>
        <is>
          <t>{"type": "float", "value": 0.25}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>
        <is>
          <t>{"type": "float", "value": 3.63}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>
        <is>
          <t>{"type": "float", "value": 1.63}</t>
        </is>
      </c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>
        <is>
          <t>{"type": "str", "value": "Mining Rights"}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>
        <is>
          <t>{"type": "float", "value": 15.57}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>
        <is>
          <t>{"type": "float", "value": 24.09}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>
        <is>
          <t>{"type": "float", "value": 38.4}</t>
        </is>
      </c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>
        <is>
          <t>{"type": "null", "value": null}</t>
        </is>
      </c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0</v>
      </c>
      <c r="W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>
        <is>
          <t>{"type": "null", "value": null}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0</v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>
        <is>
          <t>{"type": "null", "value": null}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0</v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>
        <is>
          <t>{"type": "null", "value": null}</t>
        </is>
      </c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0</v>
      </c>
      <c r="W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>
        <is>
          <t>{"type": "str", "value": "Freehold Non Mining Land"}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>
        <is>
          <t>{"type": "str", "value": "-"}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>
        <is>
          <t>{"type": "str", "value": "-"}</t>
        </is>
      </c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>
        <is>
          <t>{"type": "str", "value": "-"}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>
        <is>
          <t>{"type": "str", "value": "Freehold Mining Land"}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>
        <is>
          <t>{"type": "float", "value": 0.25}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>
        <is>
          <t>{"type": "float", "value": 0.24}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>
        <is>
          <t>{"type": "float", "value": 0.27}</t>
        </is>
      </c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>
        <is>
          <t>{"type": "str", "value": "Leasehold Land"}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>
        <is>
          <t>{"type": "float", "value": 4.72}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>
        <is>
          <t>{"type": "float", "value": 0.29}</t>
        </is>
      </c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>
        <is>
          <t>{"type": "float", "value": 0.51}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>
        <is>
          <t>{"type": "str", "value": "Buildings"}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>
        <is>
          <t>{"type": "float", "value": 75.12}</t>
        </is>
      </c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>
        <is>
          <t>{"type": "float", "value": 65.24}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>
        <is>
          <t>{"type": "float", "value": 77.91}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>
        <is>
          <t>{"type": "str", "value": "Plant and Equipment"}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>
        <is>
          <t>{"type": "float", "value": 527.11}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>
        <is>
          <t>{"type": "float", "value": 498.55}</t>
        </is>
      </c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>
        <is>
          <t>{"type": "float", "value": 514.24}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>
        <is>
          <t>{"type": "str", "value": "Railway Sidings"}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>
        <is>
          <t>{"type": "float", "value": 13.23}</t>
        </is>
      </c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>
        <is>
          <t>{"type": "float", "value": 14.29}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>
        <is>
          <t>{"type": "float", "value": 20.06}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>
        <is>
          <t>{"type": "str", "value": "Furniture and Fixtures"}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>
        <is>
          <t>{"type": "float", "value": 5.96}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>
        <is>
          <t>{"type": "float", "value": 4.71}</t>
        </is>
      </c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>
        <is>
          <t>{"type": "float", "value": 4.52}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>
        <is>
          <t>{"type": "str", "value": "Vehicles"}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>
        <is>
          <t>{"type": "float", "value": 7.66}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>
        <is>
          <t>{"type": "float", "value": 8.78}</t>
        </is>
      </c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>
        <is>
          <t>{"type": "float", "value": 9.29}</t>
        </is>
      </c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>
        <is>
          <t>{"type": "str", "value": "Office equipment"}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>
        <is>
          <t>{"type": "float", "value": 23.32}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>
        <is>
          <t>{"type": "int", "value": 14}</t>
        </is>
      </c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W1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>
        <is>
          <t>{"type": "float", "value": 13.56}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>
        <is>
          <t>{"type": "null", "value": null}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0</v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0</v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>
        <is>
          <t>{"type": "str", "value": "Computer Software"}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>
        <is>
          <t>{"type": "float", "value": 0.56}</t>
        </is>
      </c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>
        <is>
          <t>{"type": "float", "value": 0.36}</t>
        </is>
      </c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>
        <is>
          <t>{"type": "float", "value": 0.79}</t>
        </is>
      </c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W1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>
        <is>
          <t>{"type": "str", "value": "Mining Rights"}</t>
        </is>
      </c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W1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>
        <is>
          <t>{"type": "float", "value": 5.88}</t>
        </is>
      </c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W1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>
        <is>
          <t>{"type": "float", "value": 2.89}</t>
        </is>
      </c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W1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>
        <is>
          <t>{"type": "float", "value": 2.47}</t>
        </is>
      </c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G10" t="n">
        <v>2015</v>
      </c>
      <c r="H10" t="inlineStr">
        <is>
          <t>{"type": "int", "value": 2015}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G11" t="n">
        <v>2016</v>
      </c>
      <c r="H11" t="inlineStr">
        <is>
          <t>{"type": "int", "value": 2016}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G12" t="n">
        <v>2017</v>
      </c>
      <c r="H12" t="inlineStr">
        <is>
          <t>{"type": "int", "value": 2017}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G13" t="inlineStr">
        <is>
          <t>2018 F</t>
        </is>
      </c>
      <c r="H13" t="inlineStr">
        <is>
          <t>{"type": "str", "value": "2018 F"}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G14" t="inlineStr">
        <is>
          <t>2019 F</t>
        </is>
      </c>
      <c r="H14" t="inlineStr">
        <is>
          <t>{"type": "str", "value": "2019 F"}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G15" t="inlineStr">
        <is>
          <t>2020 F</t>
        </is>
      </c>
      <c r="H15" t="inlineStr">
        <is>
          <t>{"type": "str", "value": "2020 F"}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G16" t="inlineStr">
        <is>
          <t>2021 F</t>
        </is>
      </c>
      <c r="H16" t="inlineStr">
        <is>
          <t>{"type": "str", "value": "2021 F"}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G17" t="inlineStr">
        <is>
          <t>2022 F</t>
        </is>
      </c>
      <c r="H17" t="inlineStr">
        <is>
          <t>{"type": "str", "value": "2022 F"}</t>
        </is>
      </c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W1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G18" t="inlineStr">
        <is>
          <t>Revenue</t>
        </is>
      </c>
      <c r="H18" t="inlineStr">
        <is>
          <t>{"type": "str", "value": "Revenue"}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>
        <f>'Revenue Model'!B2</f>
        <v/>
      </c>
      <c r="G19" t="n">
        <v>11917</v>
      </c>
      <c r="H19" t="inlineStr">
        <is>
          <t>{"type": "int", "value": 11917}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>
        <f>'Revenue Model'!R[0]C[0]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>
        <f>'Revenue Model'!C2</f>
        <v/>
      </c>
      <c r="G20" t="n">
        <v>11112.2</v>
      </c>
      <c r="H20" t="inlineStr">
        <is>
          <t>{"type": "float", "value": 11112.2}</t>
        </is>
      </c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>
        <f>'Revenue Model'!R[0]C[0]</f>
        <v/>
      </c>
      <c r="W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>
        <f>'Revenue Model'!D2</f>
        <v/>
      </c>
      <c r="G21" t="n">
        <v>13413.58</v>
      </c>
      <c r="H21" t="inlineStr">
        <is>
          <t>{"type": "float", "value": 13413.58}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>
        <f>'Revenue Model'!R[0]C[0]</f>
        <v/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>
        <f>'Revenue Model'!E2</f>
        <v/>
      </c>
      <c r="G22" t="n">
        <v>14440.82251898734</v>
      </c>
      <c r="H22" t="inlineStr">
        <is>
          <t>{"type": "float", "value": 14440.822518987343}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>
        <f>'Revenue Model'!R[0]C[0]</f>
        <v/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>
        <f>'Revenue Model'!F2</f>
        <v/>
      </c>
      <c r="G23" t="n">
        <v>15537.25533987342</v>
      </c>
      <c r="H23" t="inlineStr">
        <is>
          <t>{"type": "float", "value": 15537.255339873422}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>
        <f>'Revenue Model'!R[0]C[0]</f>
        <v/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>
        <f>'Revenue Model'!G2</f>
        <v/>
      </c>
      <c r="G24" t="n">
        <v>16707.22938655064</v>
      </c>
      <c r="H24" t="inlineStr">
        <is>
          <t>{"type": "float", "value": 16707.229386550636}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>
        <f>'Revenue Model'!R[0]C[0]</f>
        <v/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>
        <f>'Revenue Model'!H2</f>
        <v/>
      </c>
      <c r="G25" t="n">
        <v>17955.35769954589</v>
      </c>
      <c r="H25" t="inlineStr">
        <is>
          <t>{"type": "float", "value": 17955.35769954589}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>
        <f>'Revenue Model'!R[0]C[0]</f>
        <v/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>
        <f>'Revenue Model'!I2</f>
        <v/>
      </c>
      <c r="G26" t="n">
        <v>19286.5307703743</v>
      </c>
      <c r="H26" t="inlineStr">
        <is>
          <t>{"type": "float", "value": 19286.5307703743}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>
        <f>'Revenue Model'!R[0]C[0]</f>
        <v/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G27" t="inlineStr">
        <is>
          <t>Sources of Funds</t>
        </is>
      </c>
      <c r="H27" t="inlineStr">
        <is>
          <t>{"type": "str", "value": "Sources of Funds"}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G28" t="inlineStr">
        <is>
          <t>Expenses</t>
        </is>
      </c>
      <c r="H28" t="inlineStr">
        <is>
          <t>{"type": "str", "value": "Expenses"}</t>
        </is>
      </c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H29" t="inlineStr">
        <is>
          <t>{"type": "null", "value": null}</t>
        </is>
      </c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0</v>
      </c>
      <c r="W2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H30" t="inlineStr">
        <is>
          <t>{"type": "null", "value": null}</t>
        </is>
      </c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0</v>
      </c>
      <c r="W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H31" t="inlineStr">
        <is>
          <t>{"type": "null", "value": null}</t>
        </is>
      </c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0</v>
      </c>
      <c r="W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H32" t="inlineStr">
        <is>
          <t>{"type": "null", "value": null}</t>
        </is>
      </c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0</v>
      </c>
      <c r="W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H33" t="inlineStr">
        <is>
          <t>{"type": "null", "value": null}</t>
        </is>
      </c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0</v>
      </c>
      <c r="W3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H34" t="inlineStr">
        <is>
          <t>{"type": "null", "value": null}</t>
        </is>
      </c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0</v>
      </c>
      <c r="W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H35" t="inlineStr">
        <is>
          <t>{"type": "null", "value": null}</t>
        </is>
      </c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0</v>
      </c>
      <c r="W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G36" t="inlineStr">
        <is>
          <t>Equity</t>
        </is>
      </c>
      <c r="H36" t="inlineStr">
        <is>
          <t>{"type": "str", "value": "Equity"}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0</v>
      </c>
      <c r="W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0</v>
      </c>
      <c r="W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G39" t="n">
        <v>188</v>
      </c>
      <c r="H39" t="inlineStr">
        <is>
          <t>{"type": "int", "value": 188}</t>
        </is>
      </c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G40" t="n">
        <v>187.99</v>
      </c>
      <c r="H40" t="inlineStr">
        <is>
          <t>{"type": "float", "value": 187.99}</t>
        </is>
      </c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W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G41" t="n">
        <v>187.99</v>
      </c>
      <c r="H41" t="inlineStr">
        <is>
          <t>{"type": "float", "value": 187.99}</t>
        </is>
      </c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W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G42" t="n">
        <v>187.99</v>
      </c>
      <c r="H42" t="inlineStr">
        <is>
          <t>{"type": "float", "value": 187.99}</t>
        </is>
      </c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G43" t="n">
        <v>187.99</v>
      </c>
      <c r="H43" t="inlineStr">
        <is>
          <t>{"type": "float", "value": 187.99}</t>
        </is>
      </c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G44" t="n">
        <v>187.99</v>
      </c>
      <c r="H44" t="inlineStr">
        <is>
          <t>{"type": "float", "value": 187.99}</t>
        </is>
      </c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>
        <f>'Revenue Model'!A19</f>
        <v/>
      </c>
      <c r="G45" t="inlineStr">
        <is>
          <t>Raw Materials</t>
        </is>
      </c>
      <c r="H45" t="inlineStr">
        <is>
          <t>{"type": "str", "value": "Raw Materials"}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>
        <f>'Revenue Model'!R[15]C[0]</f>
        <v/>
      </c>
      <c r="W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>
        <f>'Revenue Model'!B19</f>
        <v/>
      </c>
      <c r="G46" t="n">
        <v>1848.12</v>
      </c>
      <c r="H46" t="inlineStr">
        <is>
          <t>{"type": "float", "value": 1848.12}</t>
        </is>
      </c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>
        <f>'Revenue Model'!R[15]C[0]</f>
        <v/>
      </c>
      <c r="W4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>
        <f>'Revenue Model'!C19</f>
        <v/>
      </c>
      <c r="G47" t="n">
        <v>1606.77</v>
      </c>
      <c r="H47" t="inlineStr">
        <is>
          <t>{"type": "float", "value": 1606.77}</t>
        </is>
      </c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>
        <f>'Revenue Model'!R[15]C[0]</f>
        <v/>
      </c>
      <c r="W4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>
        <f>'Revenue Model'!D19</f>
        <v/>
      </c>
      <c r="G48" t="n">
        <v>1965.98</v>
      </c>
      <c r="H48" t="inlineStr">
        <is>
          <t>{"type": "float", "value": 1965.9799999999998}</t>
        </is>
      </c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>
        <f>'Revenue Model'!R[15]C[0]</f>
        <v/>
      </c>
      <c r="W4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>
        <f>'Revenue Model'!E19</f>
        <v/>
      </c>
      <c r="G49" t="n">
        <v>2116.539227848101</v>
      </c>
      <c r="H49" t="inlineStr">
        <is>
          <t>{"type": "float", "value": 2116.5392278481013}</t>
        </is>
      </c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>
        <f>'Revenue Model'!R[15]C[0]</f>
        <v/>
      </c>
      <c r="W4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>
        <f>'Revenue Model'!F19</f>
        <v/>
      </c>
      <c r="G50" t="n">
        <v>2277.239428481013</v>
      </c>
      <c r="H50" t="inlineStr">
        <is>
          <t>{"type": "float", "value": 2277.239428481013}</t>
        </is>
      </c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>
        <f>'Revenue Model'!R[15]C[0]</f>
        <v/>
      </c>
      <c r="W5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>
        <f>'Revenue Model'!G19</f>
        <v/>
      </c>
      <c r="G51" t="n">
        <v>2448.718301107595</v>
      </c>
      <c r="H51" t="inlineStr">
        <is>
          <t>{"type": "float", "value": 2448.718301107595}</t>
        </is>
      </c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>
        <f>'Revenue Model'!R[15]C[0]</f>
        <v/>
      </c>
      <c r="W5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>
        <f>'Revenue Model'!H19</f>
        <v/>
      </c>
      <c r="G52" t="n">
        <v>2631.651962425633</v>
      </c>
      <c r="H52" t="inlineStr">
        <is>
          <t>{"type": "float", "value": 2631.651962425633}</t>
        </is>
      </c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>
        <f>'Revenue Model'!R[15]C[0]</f>
        <v/>
      </c>
      <c r="W5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>
        <f>'Revenue Model'!I19</f>
        <v/>
      </c>
      <c r="G53" t="n">
        <v>2826.757194122707</v>
      </c>
      <c r="H53" t="inlineStr">
        <is>
          <t>{"type": "float", "value": 2826.7571941227066}</t>
        </is>
      </c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>
        <f>'Revenue Model'!R[15]C[0]</f>
        <v/>
      </c>
      <c r="W5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G54" t="inlineStr">
        <is>
          <t>Reserves &amp; Surplus</t>
        </is>
      </c>
      <c r="H54" t="inlineStr">
        <is>
          <t>{"type": "str", "value": "Reserves &amp; Surplus"}</t>
        </is>
      </c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H55" t="inlineStr">
        <is>
          <t>{"type": "null", "value": null}</t>
        </is>
      </c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0</v>
      </c>
      <c r="W5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H56" t="inlineStr">
        <is>
          <t>{"type": "null", "value": null}</t>
        </is>
      </c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0</v>
      </c>
      <c r="W5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G57" t="n">
        <v>9167.860000000001</v>
      </c>
      <c r="H57" t="inlineStr">
        <is>
          <t>{"type": "float", "value": 9167.86}</t>
        </is>
      </c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>
        <f>N4+E20</f>
        <v/>
      </c>
      <c r="G58" t="n">
        <v>9775.935080537865</v>
      </c>
      <c r="H58" t="inlineStr">
        <is>
          <t>{"type": "float", "value": 9775.935080537865}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>
        <f>R[0]C[-1]+R[16]C[-10]</f>
        <v/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>
        <f>O4+F20</f>
        <v/>
      </c>
      <c r="G59" t="n">
        <v>10425.74684436236</v>
      </c>
      <c r="H59" t="inlineStr">
        <is>
          <t>{"type": "float", "value": 10425.746844362358}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>
        <f>R[0]C[-1]+R[16]C[-10]</f>
        <v/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>
        <f>P4+G20</f>
        <v/>
      </c>
      <c r="G60" t="n">
        <v>11114.37960676032</v>
      </c>
      <c r="H60" t="inlineStr">
        <is>
          <t>{"type": "float", "value": 11114.379606760322}</t>
        </is>
      </c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>
        <f>R[0]C[-1]+R[16]C[-10]</f>
        <v/>
      </c>
      <c r="W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>
        <f>Q4+H20</f>
        <v/>
      </c>
      <c r="G61" t="n">
        <v>11838.81970358575</v>
      </c>
      <c r="H61" t="inlineStr">
        <is>
          <t>{"type": "float", "value": 11838.819703585748}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>
        <f>R[0]C[-1]+R[16]C[-10]</f>
        <v/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>
        <f>R4+I20</f>
        <v/>
      </c>
      <c r="G62" t="n">
        <v>12595.89211658078</v>
      </c>
      <c r="H62" t="inlineStr">
        <is>
          <t>{"type": "float", "value": 12595.89211658078}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>
        <f>R[0]C[-1]+R[16]C[-10]</f>
        <v/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>
        <f>'Revenue Model'!A20</f>
        <v/>
      </c>
      <c r="G63" t="inlineStr">
        <is>
          <t>Power</t>
        </is>
      </c>
      <c r="H63" t="inlineStr">
        <is>
          <t>{"type": "str", "value": "Power"}</t>
        </is>
      </c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>
        <f>'Revenue Model'!R[15]C[0]</f>
        <v/>
      </c>
      <c r="W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>
        <f>'Revenue Model'!B20</f>
        <v/>
      </c>
      <c r="G64" t="n">
        <v>2396.67</v>
      </c>
      <c r="H64" t="inlineStr">
        <is>
          <t>{"type": "float", "value": 2396.67}</t>
        </is>
      </c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>
        <f>'Revenue Model'!R[15]C[0]</f>
        <v/>
      </c>
      <c r="W6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>
        <f>'Revenue Model'!C20</f>
        <v/>
      </c>
      <c r="G65" t="n">
        <v>2159.91</v>
      </c>
      <c r="H65" t="inlineStr">
        <is>
          <t>{"type": "float", "value": 2159.91}</t>
        </is>
      </c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>
        <f>'Revenue Model'!R[15]C[0]</f>
        <v/>
      </c>
      <c r="W6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>
        <f>'Revenue Model'!D20</f>
        <v/>
      </c>
      <c r="G66" t="n">
        <v>2716.94</v>
      </c>
      <c r="H66" t="inlineStr">
        <is>
          <t>{"type": "float", "value": 2716.94}</t>
        </is>
      </c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>
        <f>'Revenue Model'!R[15]C[0]</f>
        <v/>
      </c>
      <c r="W6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>
        <f>'Revenue Model'!E20</f>
        <v/>
      </c>
      <c r="G67" t="n">
        <v>2925.009455696203</v>
      </c>
      <c r="H67" t="inlineStr">
        <is>
          <t>{"type": "float", "value": 2925.0094556962026}</t>
        </is>
      </c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>
        <f>'Revenue Model'!R[15]C[0]</f>
        <v/>
      </c>
      <c r="W6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>
        <f>'Revenue Model'!F20</f>
        <v/>
      </c>
      <c r="G68" t="n">
        <v>3147.093506962026</v>
      </c>
      <c r="H68" t="inlineStr">
        <is>
          <t>{"type": "float", "value": 3147.0935069620264}</t>
        </is>
      </c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>
        <f>'Revenue Model'!R[15]C[0]</f>
        <v/>
      </c>
      <c r="W6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>
        <f>'Revenue Model'!G20</f>
        <v/>
      </c>
      <c r="G69" t="n">
        <v>3384.07343971519</v>
      </c>
      <c r="H69" t="inlineStr">
        <is>
          <t>{"type": "float", "value": 3384.0734397151905}</t>
        </is>
      </c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>
        <f>'Revenue Model'!R[15]C[0]</f>
        <v/>
      </c>
      <c r="W6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>
        <f>'Revenue Model'!H20</f>
        <v/>
      </c>
      <c r="G70" t="n">
        <v>3636.883631976267</v>
      </c>
      <c r="H70" t="inlineStr">
        <is>
          <t>{"type": "float", "value": 3636.8836319762668}</t>
        </is>
      </c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>
        <f>'Revenue Model'!R[15]C[0]</f>
        <v/>
      </c>
      <c r="W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>
        <f>'Revenue Model'!I20</f>
        <v/>
      </c>
      <c r="G71" t="n">
        <v>3906.514659864164</v>
      </c>
      <c r="H71" t="inlineStr">
        <is>
          <t>{"type": "float", "value": 3906.5146598641636}</t>
        </is>
      </c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>
        <f>'Revenue Model'!R[15]C[0]</f>
        <v/>
      </c>
      <c r="W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G72" t="inlineStr">
        <is>
          <t>Debt</t>
        </is>
      </c>
      <c r="H72" t="inlineStr">
        <is>
          <t>{"type": "str", "value": "Debt"}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G73" t="n">
        <v>0</v>
      </c>
      <c r="H73" t="inlineStr">
        <is>
          <t>{"type": "int", "value": 0}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G74" t="n">
        <v>0</v>
      </c>
      <c r="H74" t="inlineStr">
        <is>
          <t>{"type": "int", "value": 0}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G75" t="n">
        <v>0</v>
      </c>
      <c r="H75" t="inlineStr">
        <is>
          <t>{"type": "int", "value": 0}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G76" t="n">
        <v>0</v>
      </c>
      <c r="H76" t="inlineStr">
        <is>
          <t>{"type": "int", "value": 0}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G77" t="n">
        <v>0</v>
      </c>
      <c r="H77" t="inlineStr">
        <is>
          <t>{"type": "int", "value": 0}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G78" t="n">
        <v>0</v>
      </c>
      <c r="H78" t="inlineStr">
        <is>
          <t>{"type": "int", "value": 0}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>
        <f>'Revenue Model'!A21</f>
        <v/>
      </c>
      <c r="G79" t="inlineStr">
        <is>
          <t>Transport</t>
        </is>
      </c>
      <c r="H79" t="inlineStr">
        <is>
          <t>{"type": "str", "value": "Transport"}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>
        <f>'Revenue Model'!R[15]C[0]</f>
        <v/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>
        <f>'Revenue Model'!B21</f>
        <v/>
      </c>
      <c r="G80" t="n">
        <v>2704.21</v>
      </c>
      <c r="H80" t="inlineStr">
        <is>
          <t>{"type": "float", "value": 2704.21}</t>
        </is>
      </c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>
        <f>'Revenue Model'!R[15]C[0]</f>
        <v/>
      </c>
      <c r="W8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>
        <f>'Revenue Model'!C21</f>
        <v/>
      </c>
      <c r="G81" t="n">
        <v>2636.11</v>
      </c>
      <c r="H81" t="inlineStr">
        <is>
          <t>{"type": "float", "value": 2636.11}</t>
        </is>
      </c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>
        <f>'Revenue Model'!R[15]C[0]</f>
        <v/>
      </c>
      <c r="W8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>
        <f>'Revenue Model'!D21</f>
        <v/>
      </c>
      <c r="G82" t="n">
        <v>3433.75</v>
      </c>
      <c r="H82" t="inlineStr">
        <is>
          <t>{"type": "float", "value": 3433.75}</t>
        </is>
      </c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>
        <f>'Revenue Model'!R[15]C[0]</f>
        <v/>
      </c>
      <c r="W8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>
        <f>'Revenue Model'!E21</f>
        <v/>
      </c>
      <c r="G83" t="n">
        <v>3913.326736518988</v>
      </c>
      <c r="H83" t="inlineStr">
        <is>
          <t>{"type": "float", "value": 3913.3267365189877}</t>
        </is>
      </c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>
        <f>'Revenue Model'!R[15]C[0]</f>
        <v/>
      </c>
      <c r="W8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>
        <f>'Revenue Model'!F21</f>
        <v/>
      </c>
      <c r="G84" t="n">
        <v>4288.135969139242</v>
      </c>
      <c r="H84" t="inlineStr">
        <is>
          <t>{"type": "float", "value": 4288.135969139242}</t>
        </is>
      </c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>
        <f>'Revenue Model'!R[15]C[0]</f>
        <v/>
      </c>
      <c r="W8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>
        <f>'Revenue Model'!G21</f>
        <v/>
      </c>
      <c r="G85" t="n">
        <v>4694.573920977058</v>
      </c>
      <c r="H85" t="inlineStr">
        <is>
          <t>{"type": "float", "value": 4694.573920977058}</t>
        </is>
      </c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>
        <f>'Revenue Model'!R[15]C[0]</f>
        <v/>
      </c>
      <c r="W8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>
        <f>'Revenue Model'!H21</f>
        <v/>
      </c>
      <c r="G86" t="n">
        <v>5135.062996512485</v>
      </c>
      <c r="H86" t="inlineStr">
        <is>
          <t>{"type": "float", "value": 5135.062996512485}</t>
        </is>
      </c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>
        <f>'Revenue Model'!R[15]C[0]</f>
        <v/>
      </c>
      <c r="W8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>
        <f>'Revenue Model'!I21</f>
        <v/>
      </c>
      <c r="G87" t="n">
        <v>5612.198596657526</v>
      </c>
      <c r="H87" t="inlineStr">
        <is>
          <t>{"type": "float", "value": 5612.198596657526}</t>
        </is>
      </c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>
        <f>'Revenue Model'!R[15]C[0]</f>
        <v/>
      </c>
      <c r="W8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>
        <f>SUM(N3:N5)</f>
        <v/>
      </c>
      <c r="G88" t="n">
        <v>9355.860000000001</v>
      </c>
      <c r="H88" t="inlineStr">
        <is>
          <t>{"type": "float", "value": 9355.86}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>
        <f>SUM(R[-3]C[0]:R[-1]C[0])</f>
        <v/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>
        <f>SUM(O3:O5)</f>
        <v/>
      </c>
      <c r="G89" t="n">
        <v>9963.925080537865</v>
      </c>
      <c r="H89" t="inlineStr">
        <is>
          <t>{"type": "float", "value": 9963.925080537865}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>
        <f>SUM(R[-3]C[0]:R[-1]C[0])</f>
        <v/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>
        <f>SUM(P3:P5)</f>
        <v/>
      </c>
      <c r="G90" t="n">
        <v>10613.73684436236</v>
      </c>
      <c r="H90" t="inlineStr">
        <is>
          <t>{"type": "float", "value": 10613.736844362358}</t>
        </is>
      </c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>
        <f>SUM(R[-3]C[0]:R[-1]C[0])</f>
        <v/>
      </c>
      <c r="W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>
        <f>SUM(Q3:Q5)</f>
        <v/>
      </c>
      <c r="G91" t="n">
        <v>11302.36960676032</v>
      </c>
      <c r="H91" t="inlineStr">
        <is>
          <t>{"type": "float", "value": 11302.369606760321}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>
        <f>SUM(R[-3]C[0]:R[-1]C[0])</f>
        <v/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>
        <f>SUM(R3:R5)</f>
        <v/>
      </c>
      <c r="G92" t="n">
        <v>12026.80970358575</v>
      </c>
      <c r="H92" t="inlineStr">
        <is>
          <t>{"type": "float", "value": 12026.809703585748}</t>
        </is>
      </c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>
        <f>SUM(R[-3]C[0]:R[-1]C[0])</f>
        <v/>
      </c>
      <c r="W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>
        <f>SUM(S3:S5)</f>
        <v/>
      </c>
      <c r="G93" t="n">
        <v>12783.88211658078</v>
      </c>
      <c r="H93" t="inlineStr">
        <is>
          <t>{"type": "float", "value": 12783.88211658078}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>
        <f>SUM(R[-3]C[0]:R[-1]C[0])</f>
        <v/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>
        <f>'Revenue Model'!A22</f>
        <v/>
      </c>
      <c r="G94" t="inlineStr">
        <is>
          <t>Salaries</t>
        </is>
      </c>
      <c r="H94" t="inlineStr">
        <is>
          <t>{"type": "str", "value": "Salaries"}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>
        <f>'Revenue Model'!R[15]C[0]</f>
        <v/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>
        <f>'Revenue Model'!B22</f>
        <v/>
      </c>
      <c r="G95" t="n">
        <v>772.16</v>
      </c>
      <c r="H95" t="inlineStr">
        <is>
          <t>{"type": "float", "value": 772.16}</t>
        </is>
      </c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>
        <f>'Revenue Model'!R[15]C[0]</f>
        <v/>
      </c>
      <c r="W9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>
        <f>'Revenue Model'!C22</f>
        <v/>
      </c>
      <c r="G96" t="n">
        <v>756.72</v>
      </c>
      <c r="H96" t="inlineStr">
        <is>
          <t>{"type": "float", "value": 756.72}</t>
        </is>
      </c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>
        <f>'Revenue Model'!R[15]C[0]</f>
        <v/>
      </c>
      <c r="W9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>
        <f>'Revenue Model'!D22</f>
        <v/>
      </c>
      <c r="G97" t="n">
        <v>821.36</v>
      </c>
      <c r="H97" t="inlineStr">
        <is>
          <t>{"type": "float", "value": 821.36}</t>
        </is>
      </c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>
        <f>'Revenue Model'!R[15]C[0]</f>
        <v/>
      </c>
      <c r="W9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>
        <f>'Revenue Model'!E22</f>
        <v/>
      </c>
      <c r="G98" t="n">
        <v>884.2616202531647</v>
      </c>
      <c r="H98" t="inlineStr">
        <is>
          <t>{"type": "float", "value": 884.2616202531647}</t>
        </is>
      </c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>
        <f>'Revenue Model'!R[15]C[0]</f>
        <v/>
      </c>
      <c r="W9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>
        <f>'Revenue Model'!F22</f>
        <v/>
      </c>
      <c r="G99" t="n">
        <v>951.4000025316458</v>
      </c>
      <c r="H99" t="inlineStr">
        <is>
          <t>{"type": "float", "value": 951.4000025316458}</t>
        </is>
      </c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>
        <f>'Revenue Model'!R[15]C[0]</f>
        <v/>
      </c>
      <c r="W9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>
        <f>'Revenue Model'!G22</f>
        <v/>
      </c>
      <c r="G100" t="n">
        <v>1023.041568987342</v>
      </c>
      <c r="H100" t="inlineStr">
        <is>
          <t>{"type": "float", "value": 1023.041568987342}</t>
        </is>
      </c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>
        <f>'Revenue Model'!R[15]C[0]</f>
        <v/>
      </c>
      <c r="W10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>
        <f>'Revenue Model'!H22</f>
        <v/>
      </c>
      <c r="G101" t="n">
        <v>1099.468792082279</v>
      </c>
      <c r="H101" t="inlineStr">
        <is>
          <t>{"type": "float", "value": 1099.4687920822787}</t>
        </is>
      </c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>
        <f>'Revenue Model'!R[15]C[0]</f>
        <v/>
      </c>
      <c r="W10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>
        <f>'Revenue Model'!I22</f>
        <v/>
      </c>
      <c r="G102" t="n">
        <v>1180.981133564241</v>
      </c>
      <c r="H102" t="inlineStr">
        <is>
          <t>{"type": "float", "value": 1180.9811335642412}</t>
        </is>
      </c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>
        <f>'Revenue Model'!R[15]C[0]</f>
        <v/>
      </c>
      <c r="W10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G103" t="inlineStr">
        <is>
          <t>Uses of Funds</t>
        </is>
      </c>
      <c r="H103" t="inlineStr">
        <is>
          <t>{"type": "str", "value": "Uses of Funds"}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W1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H104" t="inlineStr">
        <is>
          <t>{"type": "null", "value": null}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0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>
        <f>'Revenue Model'!A23</f>
        <v/>
      </c>
      <c r="G105" t="inlineStr">
        <is>
          <t>Other exps</t>
        </is>
      </c>
      <c r="H105" t="inlineStr">
        <is>
          <t>{"type": "str", "value": "Other exps"}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>
        <f>'Revenue Model'!R[15]C[0]</f>
        <v/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>
        <f>'Revenue Model'!B23</f>
        <v/>
      </c>
      <c r="G106" t="n">
        <v>2547.89</v>
      </c>
      <c r="H106" t="inlineStr">
        <is>
          <t>{"type": "float", "value": 2547.89}</t>
        </is>
      </c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>
        <f>'Revenue Model'!R[15]C[0]</f>
        <v/>
      </c>
      <c r="W10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>
        <f>'Revenue Model'!C23</f>
        <v/>
      </c>
      <c r="G107" t="n">
        <v>2357.68</v>
      </c>
      <c r="H107" t="inlineStr">
        <is>
          <t>{"type": "float", "value": 2357.68}</t>
        </is>
      </c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>
        <f>'Revenue Model'!R[15]C[0]</f>
        <v/>
      </c>
      <c r="W10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>
        <f>'Revenue Model'!D23</f>
        <v/>
      </c>
      <c r="G108" t="n">
        <v>2440.8</v>
      </c>
      <c r="H108" t="inlineStr">
        <is>
          <t>{"type": "float", "value": 2440.8}</t>
        </is>
      </c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>
        <f>'Revenue Model'!R[15]C[0]</f>
        <v/>
      </c>
      <c r="W10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>
        <f>'Revenue Model'!E23</f>
        <v/>
      </c>
      <c r="G109" t="n">
        <v>2627.722025316456</v>
      </c>
      <c r="H109" t="inlineStr">
        <is>
          <t>{"type": "float", "value": 2627.722025316456}</t>
        </is>
      </c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>
        <f>'Revenue Model'!R[15]C[0]</f>
        <v/>
      </c>
      <c r="W10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>
        <f>'Revenue Model'!F23</f>
        <v/>
      </c>
      <c r="G110" t="n">
        <v>2827.234253164558</v>
      </c>
      <c r="H110" t="inlineStr">
        <is>
          <t>{"type": "float", "value": 2827.2342531645577}</t>
        </is>
      </c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>
        <f>'Revenue Model'!R[15]C[0]</f>
        <v/>
      </c>
      <c r="W11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>
        <f>'Revenue Model'!G23</f>
        <v/>
      </c>
      <c r="G111" t="n">
        <v>3040.128398734178</v>
      </c>
      <c r="H111" t="inlineStr">
        <is>
          <t>{"type": "float", "value": 3040.128398734178}</t>
        </is>
      </c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>
        <f>'Revenue Model'!R[15]C[0]</f>
        <v/>
      </c>
      <c r="W11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>
        <f>'Revenue Model'!H23</f>
        <v/>
      </c>
      <c r="G112" t="n">
        <v>3267.243873227849</v>
      </c>
      <c r="H112" t="inlineStr">
        <is>
          <t>{"type": "float", "value": 3267.243873227849}</t>
        </is>
      </c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>
        <f>'Revenue Model'!R[15]C[0]</f>
        <v/>
      </c>
      <c r="W11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>
        <f>'Revenue Model'!I23</f>
        <v/>
      </c>
      <c r="G113" t="n">
        <v>3509.470574174053</v>
      </c>
      <c r="H113" t="inlineStr">
        <is>
          <t>{"type": "float", "value": 3509.4705741740527}</t>
        </is>
      </c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>
        <f>'Revenue Model'!R[15]C[0]</f>
        <v/>
      </c>
      <c r="W11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G114" t="inlineStr">
        <is>
          <t>Fixed Assets</t>
        </is>
      </c>
      <c r="H114" t="inlineStr">
        <is>
          <t>{"type": "str", "value": "Fixed Assets"}</t>
        </is>
      </c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W1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H115" t="inlineStr">
        <is>
          <t>{"type": "null", "value": null}</t>
        </is>
      </c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0</v>
      </c>
      <c r="W1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H116" t="inlineStr">
        <is>
          <t>{"type": "null", "value": null}</t>
        </is>
      </c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0</v>
      </c>
      <c r="W1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G117" t="n">
        <v>7264.49</v>
      </c>
      <c r="H117" t="inlineStr">
        <is>
          <t>{"type": "float", "value": 7264.49}</t>
        </is>
      </c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G118" t="n">
        <v>7088.693052020696</v>
      </c>
      <c r="H118" t="inlineStr">
        <is>
          <t>{"type": "float", "value": 7088.693052020696}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119" t="n">
        <v>6960.331255933688</v>
      </c>
      <c r="H119" t="inlineStr">
        <is>
          <t>{"type": "float", "value": 6960.331255933688}</t>
        </is>
      </c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G120" t="n">
        <v>6876.924751098072</v>
      </c>
      <c r="H120" t="inlineStr">
        <is>
          <t>{"type": "float", "value": 6876.924751098072}</t>
        </is>
      </c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G121" t="n">
        <v>6836.457073271327</v>
      </c>
      <c r="H121" t="inlineStr">
        <is>
          <t>{"type": "float", "value": 6836.457073271327}</t>
        </is>
      </c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>
        <f>'Asset schedule'!I6+'Asset schedule'!I14+'Asset schedule'!I22+'Asset schedule'!I30+'Asset schedule'!I38+'Asset schedule'!I46+'Asset schedule'!I54+'Asset schedule'!I62+'Asset schedule'!I70+'Asset schedule'!I78+'Asset schedule'!I86</f>
        <v/>
      </c>
      <c r="G122" t="n">
        <v>6837.308117831549</v>
      </c>
      <c r="H122" t="inlineStr">
        <is>
          <t>{"type": "float", "value": 6837.308117831549}</t>
        </is>
      </c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>
        <f>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f>
        <v/>
      </c>
      <c r="W1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>
        <f>'Revenue Model'!A24</f>
        <v/>
      </c>
      <c r="G123" t="inlineStr">
        <is>
          <t>Total expenses</t>
        </is>
      </c>
      <c r="H123" t="inlineStr">
        <is>
          <t>{"type": "str", "value": "Total expenses"}</t>
        </is>
      </c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V123">
        <f>'Revenue Model'!R[15]C[0]</f>
        <v/>
      </c>
      <c r="W12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>
        <f>SUM(B4:B8)</f>
        <v/>
      </c>
      <c r="G124" t="n">
        <v>10269.05</v>
      </c>
      <c r="H124" t="inlineStr">
        <is>
          <t>{"type": "float", "value": 10269.05}</t>
        </is>
      </c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>
        <f>SUM(R[-5]C[0]:R[-1]C[0])</f>
        <v/>
      </c>
      <c r="W124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>
        <f>SUM(C4:C8)</f>
        <v/>
      </c>
      <c r="G125" t="n">
        <v>9517.190000000001</v>
      </c>
      <c r="H125" t="inlineStr">
        <is>
          <t>{"type": "float", "value": 9517.19}</t>
        </is>
      </c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>
        <f>SUM(R[-5]C[0]:R[-1]C[0])</f>
        <v/>
      </c>
      <c r="W125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>
        <f>SUM(D4:D8)</f>
        <v/>
      </c>
      <c r="G126" t="n">
        <v>11378.83</v>
      </c>
      <c r="H126" t="inlineStr">
        <is>
          <t>{"type": "float", "value": 11378.830000000002}</t>
        </is>
      </c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>
        <f>SUM(R[-5]C[0]:R[-1]C[0])</f>
        <v/>
      </c>
      <c r="W126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>
        <f>SUM(E4:E8)</f>
        <v/>
      </c>
      <c r="G127" t="n">
        <v>12466.85906563291</v>
      </c>
      <c r="H127" t="inlineStr">
        <is>
          <t>{"type": "float", "value": 12466.859065632912}</t>
        </is>
      </c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>
        <f>SUM(R[-5]C[0]:R[-1]C[0])</f>
        <v/>
      </c>
      <c r="W127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>
        <f>SUM(F4:F8)</f>
        <v/>
      </c>
      <c r="G128" t="n">
        <v>13491.10316027848</v>
      </c>
      <c r="H128" t="inlineStr">
        <is>
          <t>{"type": "float", "value": 13491.103160278484}</t>
        </is>
      </c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>
        <f>SUM(R[-5]C[0]:R[-1]C[0])</f>
        <v/>
      </c>
      <c r="W128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>
        <f>SUM(G4:G8)</f>
        <v/>
      </c>
      <c r="G129" t="n">
        <v>14590.53562952136</v>
      </c>
      <c r="H129" t="inlineStr">
        <is>
          <t>{"type": "float", "value": 14590.535629521364}</t>
        </is>
      </c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>
        <f>SUM(R[-5]C[0]:R[-1]C[0])</f>
        <v/>
      </c>
      <c r="W129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>
        <f>SUM(H4:H8)</f>
        <v/>
      </c>
      <c r="G130" t="n">
        <v>15770.31125622451</v>
      </c>
      <c r="H130" t="inlineStr">
        <is>
          <t>{"type": "float", "value": 15770.311256224511}</t>
        </is>
      </c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>
        <f>SUM(R[-5]C[0]:R[-1]C[0])</f>
        <v/>
      </c>
      <c r="W130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>
        <f>SUM(I4:I8)</f>
        <v/>
      </c>
      <c r="G131" t="n">
        <v>17035.92215838269</v>
      </c>
      <c r="H131" t="inlineStr">
        <is>
          <t>{"type": "float", "value": 17035.922158382687}</t>
        </is>
      </c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>
        <f>SUM(R[-5]C[0]:R[-1]C[0])</f>
        <v/>
      </c>
      <c r="W131" t="inlineStr">
        <is>
          <t>{"number_format": "#,##0",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G132" t="inlineStr">
        <is>
          <t>Cash</t>
        </is>
      </c>
      <c r="H132" t="inlineStr">
        <is>
          <t>{"type": "str", "value": "Cash"}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>
        <f>N34</f>
        <v/>
      </c>
      <c r="G133" t="n">
        <v>2559.11</v>
      </c>
      <c r="H133" t="inlineStr">
        <is>
          <t>{"type": "float", "value": 2559.11}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>
        <f>R[25]C[0]</f>
        <v/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>
        <f>O34</f>
        <v/>
      </c>
      <c r="G134" t="n">
        <v>3143.421708963787</v>
      </c>
      <c r="H134" t="inlineStr">
        <is>
          <t>{"type": "float", "value": 3143.421708963787}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>
        <f>R[25]C[0]</f>
        <v/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>
        <f>P34</f>
        <v/>
      </c>
      <c r="G135" t="n">
        <v>3888.890718034904</v>
      </c>
      <c r="H135" t="inlineStr">
        <is>
          <t>{"type": "float", "value": 3888.890718034904}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>
        <f>R[25]C[0]</f>
        <v/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>
        <f>Q34</f>
        <v/>
      </c>
      <c r="G136" t="n">
        <v>4626.195635123337</v>
      </c>
      <c r="H136" t="inlineStr">
        <is>
          <t>{"type": "float", "value": 4626.195635123337}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>
        <f>R[25]C[0]</f>
        <v/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>
        <f>R34</f>
        <v/>
      </c>
      <c r="G137" t="n">
        <v>5354.223003271239</v>
      </c>
      <c r="H137" t="inlineStr">
        <is>
          <t>{"type": "float", "value": 5354.223003271239}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>
        <f>R[25]C[0]</f>
        <v/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>
        <f>S34</f>
        <v/>
      </c>
      <c r="G138" t="n">
        <v>6071.295348656084</v>
      </c>
      <c r="H138" t="inlineStr">
        <is>
          <t>{"type": "float", "value": 6071.295348656084}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>
        <f>R[25]C[0]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G139" t="inlineStr">
        <is>
          <t>EBITDA</t>
        </is>
      </c>
      <c r="H139" t="inlineStr">
        <is>
          <t>{"type": "str", "value": "EBITDA"}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>
        <f>B2-B9</f>
        <v/>
      </c>
      <c r="G140" t="n">
        <v>1647.950000000001</v>
      </c>
      <c r="H140" t="inlineStr">
        <is>
          <t>{"type": "float", "value": 1647.9500000000007}</t>
        </is>
      </c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>
        <f>R[-8]C[0]-R[-1]C[0]</f>
        <v/>
      </c>
      <c r="W14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>
        <f>C2-C9</f>
        <v/>
      </c>
      <c r="G141" t="n">
        <v>1595.01</v>
      </c>
      <c r="H141" t="inlineStr">
        <is>
          <t>{"type": "float", "value": 1595.0100000000002}</t>
        </is>
      </c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>
        <f>R[-8]C[0]-R[-1]C[0]</f>
        <v/>
      </c>
      <c r="W14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>
        <f>D2-D9</f>
        <v/>
      </c>
      <c r="G142" t="n">
        <v>2034.749999999998</v>
      </c>
      <c r="H142" t="inlineStr">
        <is>
          <t>{"type": "float", "value": 2034.7499999999982}</t>
        </is>
      </c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>
        <f>R[-8]C[0]-R[-1]C[0]</f>
        <v/>
      </c>
      <c r="W14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>
        <f>E2-E9</f>
        <v/>
      </c>
      <c r="G143" t="n">
        <v>1973.96345335443</v>
      </c>
      <c r="H143" t="inlineStr">
        <is>
          <t>{"type": "float", "value": 1973.9634533544304}</t>
        </is>
      </c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>
        <f>R[-8]C[0]-R[-1]C[0]</f>
        <v/>
      </c>
      <c r="W14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>
        <f>F2-F9</f>
        <v/>
      </c>
      <c r="G144" t="n">
        <v>2046.152179594937</v>
      </c>
      <c r="H144" t="inlineStr">
        <is>
          <t>{"type": "float", "value": 2046.1521795949375}</t>
        </is>
      </c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>
        <f>R[-8]C[0]-R[-1]C[0]</f>
        <v/>
      </c>
      <c r="W14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>
        <f>G2-G9</f>
        <v/>
      </c>
      <c r="G145" t="n">
        <v>2116.693757029272</v>
      </c>
      <c r="H145" t="inlineStr">
        <is>
          <t>{"type": "float", "value": 2116.693757029272}</t>
        </is>
      </c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>
        <f>R[-8]C[0]-R[-1]C[0]</f>
        <v/>
      </c>
      <c r="W14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>
        <f>H2-H9</f>
        <v/>
      </c>
      <c r="G146" t="n">
        <v>2185.046443321378</v>
      </c>
      <c r="H146" t="inlineStr">
        <is>
          <t>{"type": "float", "value": 2185.0464433213783}</t>
        </is>
      </c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>
        <f>R[-8]C[0]-R[-1]C[0]</f>
        <v/>
      </c>
      <c r="W14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>
        <f>I2-I9</f>
        <v/>
      </c>
      <c r="G147" t="n">
        <v>2250.608611991611</v>
      </c>
      <c r="H147" t="inlineStr">
        <is>
          <t>{"type": "float", "value": 2250.608611991611}</t>
        </is>
      </c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>
        <f>R[-8]C[0]-R[-1]C[0]</f>
        <v/>
      </c>
      <c r="W14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>
        <f>SUM(N8:N9)</f>
        <v/>
      </c>
      <c r="G148" t="n">
        <v>9823.6</v>
      </c>
      <c r="H148" t="inlineStr">
        <is>
          <t>{"type": "float", "value": 9823.6}</t>
        </is>
      </c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>
        <f>SUM(R[-2]C[0]:R[-1]C[0])</f>
        <v/>
      </c>
      <c r="W1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>
        <f>SUM(O8:O9)</f>
        <v/>
      </c>
      <c r="G149" t="n">
        <v>10232.11476098448</v>
      </c>
      <c r="H149" t="inlineStr">
        <is>
          <t>{"type": "float", "value": 10232.114760984483}</t>
        </is>
      </c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>
        <f>SUM(R[-2]C[0]:R[-1]C[0])</f>
        <v/>
      </c>
      <c r="W1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>
        <f>SUM(P8:P9)</f>
        <v/>
      </c>
      <c r="G150" t="n">
        <v>10849.22197396859</v>
      </c>
      <c r="H150" t="inlineStr">
        <is>
          <t>{"type": "float", "value": 10849.221973968592}</t>
        </is>
      </c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>
        <f>SUM(R[-2]C[0]:R[-1]C[0])</f>
        <v/>
      </c>
      <c r="W1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>
        <f>SUM(Q8:Q9)</f>
        <v/>
      </c>
      <c r="G151" t="n">
        <v>11503.12038622141</v>
      </c>
      <c r="H151" t="inlineStr">
        <is>
          <t>{"type": "float", "value": 11503.12038622141}</t>
        </is>
      </c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>
        <f>SUM(R[-2]C[0]:R[-1]C[0])</f>
        <v/>
      </c>
      <c r="W1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>
        <f>SUM(R8:R9)</f>
        <v/>
      </c>
      <c r="G152" t="n">
        <v>12190.68007654257</v>
      </c>
      <c r="H152" t="inlineStr">
        <is>
          <t>{"type": "float", "value": 12190.680076542565}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>
        <f>SUM(R[-2]C[0]:R[-1]C[0])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>
        <f>SUM(S8:S9)</f>
        <v/>
      </c>
      <c r="G153" t="n">
        <v>12908.60346648763</v>
      </c>
      <c r="H153" t="inlineStr">
        <is>
          <t>{"type": "float", "value": 12908.603466487632}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>
        <f>SUM(R[-2]C[0]:R[-1]C[0])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G154" t="inlineStr">
        <is>
          <t>D&amp;A</t>
        </is>
      </c>
      <c r="H154" t="inlineStr">
        <is>
          <t>{"type": "str", "value": "D&amp;A"}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G155" t="n">
        <v>663</v>
      </c>
      <c r="H155" t="inlineStr">
        <is>
          <t>{"type": "int", "value": 663}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G156" t="n">
        <v>609.1799999999999</v>
      </c>
      <c r="H156" t="inlineStr">
        <is>
          <t>{"type": "float", "value": 609.18}</t>
        </is>
      </c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G157" t="n">
        <v>643.6199999999999</v>
      </c>
      <c r="H157" t="inlineStr">
        <is>
          <t>{"type": "float", "value": 643.6199999999999}</t>
        </is>
      </c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G158" t="n">
        <v>582.6373910172789</v>
      </c>
      <c r="H158" t="inlineStr">
        <is>
          <t>{"type": "float", "value": 582.6373910172789}</t>
        </is>
      </c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59" t="n">
        <v>566.0919764667541</v>
      </c>
      <c r="H159" t="inlineStr">
        <is>
          <t>{"type": "float", "value": 566.0919764667541}</t>
        </is>
      </c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G160" t="n">
        <v>554.0982951837184</v>
      </c>
      <c r="H160" t="inlineStr">
        <is>
          <t>{"type": "float", "value": 554.0982951837184}</t>
        </is>
      </c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G161" t="n">
        <v>546.3229136890859</v>
      </c>
      <c r="H161" t="inlineStr">
        <is>
          <t>{"type": "float", "value": 546.3229136890859}</t>
        </is>
      </c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G162" t="n">
        <v>542.5072518919166</v>
      </c>
      <c r="H162" t="inlineStr">
        <is>
          <t>{"type": "float", "value": 542.5072518919166}</t>
        </is>
      </c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>
        <f>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f>
        <v/>
      </c>
      <c r="W1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>
        <f>N6-N10</f>
        <v/>
      </c>
      <c r="G163" t="n">
        <v>-467.7399999999998</v>
      </c>
      <c r="H163" t="inlineStr">
        <is>
          <t>{"type": "float", "value": -467.7399999999998}</t>
        </is>
      </c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>
        <f>R[-5]C[0]-R[-1]C[0]</f>
        <v/>
      </c>
      <c r="W163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>
        <f>O6-O10</f>
        <v/>
      </c>
      <c r="G164" t="n">
        <v>-268.1896804466178</v>
      </c>
      <c r="H164" t="inlineStr">
        <is>
          <t>{"type": "float", "value": -268.1896804466178}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>
        <f>R[-5]C[0]-R[-1]C[0]</f>
        <v/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>
        <f>P6-P10</f>
        <v/>
      </c>
      <c r="G165" t="n">
        <v>-235.4851296062334</v>
      </c>
      <c r="H165" t="inlineStr">
        <is>
          <t>{"type": "float", "value": -235.4851296062334}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>
        <f>R[-5]C[0]-R[-1]C[0]</f>
        <v/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>
        <f>Q6-Q10</f>
        <v/>
      </c>
      <c r="G166" t="n">
        <v>-200.7507794610883</v>
      </c>
      <c r="H166" t="inlineStr">
        <is>
          <t>{"type": "float", "value": -200.7507794610883}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>
        <f>R[-5]C[0]-R[-1]C[0]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>
        <f>R6-R10</f>
        <v/>
      </c>
      <c r="G167" t="n">
        <v>-163.8703729568169</v>
      </c>
      <c r="H167" t="inlineStr">
        <is>
          <t>{"type": "float", "value": -163.87037295681694}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>
        <f>R[-5]C[0]-R[-1]C[0]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>
        <f>S6-S10</f>
        <v/>
      </c>
      <c r="G168" t="n">
        <v>-124.7213499068512</v>
      </c>
      <c r="H168" t="inlineStr">
        <is>
          <t>{"type": "float", "value": -124.72134990685117}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>
        <f>R[-5]C[0]-R[-1]C[0]</f>
        <v/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G169" t="inlineStr">
        <is>
          <t>EBIT</t>
        </is>
      </c>
      <c r="H169" t="inlineStr">
        <is>
          <t>{"type": "str", "value": "EBIT"}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>
        <f>B10-B11</f>
        <v/>
      </c>
      <c r="G170" t="n">
        <v>984.9500000000007</v>
      </c>
      <c r="H170" t="inlineStr">
        <is>
          <t>{"type": "float", "value": 984.9500000000007}</t>
        </is>
      </c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>
        <f>R[-2]C[0]-R[-1]C[0]</f>
        <v/>
      </c>
      <c r="W17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>
        <f>C10-C11</f>
        <v/>
      </c>
      <c r="G171" t="n">
        <v>985.8300000000003</v>
      </c>
      <c r="H171" t="inlineStr">
        <is>
          <t>{"type": "float", "value": 985.8300000000003}</t>
        </is>
      </c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>
        <f>R[-2]C[0]-R[-1]C[0]</f>
        <v/>
      </c>
      <c r="W17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>
        <f>D10-D11</f>
        <v/>
      </c>
      <c r="G172" t="n">
        <v>1391.129999999998</v>
      </c>
      <c r="H172" t="inlineStr">
        <is>
          <t>{"type": "float", "value": 1391.1299999999983}</t>
        </is>
      </c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>
        <f>R[-2]C[0]-R[-1]C[0]</f>
        <v/>
      </c>
      <c r="W17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>
        <f>E10-E11</f>
        <v/>
      </c>
      <c r="G173" t="n">
        <v>1391.326062337152</v>
      </c>
      <c r="H173" t="inlineStr">
        <is>
          <t>{"type": "float", "value": 1391.3260623371516}</t>
        </is>
      </c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>
        <f>R[-2]C[0]-R[-1]C[0]</f>
        <v/>
      </c>
      <c r="W17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>
        <f>F10-F11</f>
        <v/>
      </c>
      <c r="G174" t="n">
        <v>1480.060203128183</v>
      </c>
      <c r="H174" t="inlineStr">
        <is>
          <t>{"type": "float", "value": 1480.0602031281833}</t>
        </is>
      </c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>
        <f>R[-2]C[0]-R[-1]C[0]</f>
        <v/>
      </c>
      <c r="W17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>
        <f>G10-G11</f>
        <v/>
      </c>
      <c r="G175" t="n">
        <v>1562.595461845554</v>
      </c>
      <c r="H175" t="inlineStr">
        <is>
          <t>{"type": "float", "value": 1562.5954618455537}</t>
        </is>
      </c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>
        <f>R[-2]C[0]-R[-1]C[0]</f>
        <v/>
      </c>
      <c r="W175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>
        <f>H10-H11</f>
        <v/>
      </c>
      <c r="G176" t="n">
        <v>1638.723529632292</v>
      </c>
      <c r="H176" t="inlineStr">
        <is>
          <t>{"type": "float", "value": 1638.7235296322924}</t>
        </is>
      </c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>
        <f>R[-2]C[0]-R[-1]C[0]</f>
        <v/>
      </c>
      <c r="W176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>
        <f>I10-I11</f>
        <v/>
      </c>
      <c r="G177" t="n">
        <v>1708.101360099694</v>
      </c>
      <c r="H177" t="inlineStr">
        <is>
          <t>{"type": "float", "value": 1708.1013600996944}</t>
        </is>
      </c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>
        <f>R[-2]C[0]-R[-1]C[0]</f>
        <v/>
      </c>
      <c r="W17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G178" t="inlineStr">
        <is>
          <t>Interest</t>
        </is>
      </c>
      <c r="H178" t="inlineStr">
        <is>
          <t>{"type": "str", "value": "Interest"}</t>
        </is>
      </c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G179" t="n">
        <v>64.64</v>
      </c>
      <c r="H179" t="inlineStr">
        <is>
          <t>{"type": "float", "value": 64.64}</t>
        </is>
      </c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W17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G180" t="n">
        <v>78.67</v>
      </c>
      <c r="H180" t="inlineStr">
        <is>
          <t>{"type": "float", "value": 78.67}</t>
        </is>
      </c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G181" t="n">
        <v>98.53</v>
      </c>
      <c r="H181" t="inlineStr">
        <is>
          <t>{"type": "float", "value": 98.53}</t>
        </is>
      </c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>
        <f>D13</f>
        <v/>
      </c>
      <c r="G182" t="n">
        <v>98.53</v>
      </c>
      <c r="H182" t="inlineStr">
        <is>
          <t>{"type": "float", "value": 98.53}</t>
        </is>
      </c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>
        <f>R[0]C[-1]</f>
        <v/>
      </c>
      <c r="W18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>
        <f>E13</f>
        <v/>
      </c>
      <c r="G183" t="n">
        <v>98.53</v>
      </c>
      <c r="H183" t="inlineStr">
        <is>
          <t>{"type": "float", "value": 98.53}</t>
        </is>
      </c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>
        <f>R[0]C[-1]</f>
        <v/>
      </c>
      <c r="W18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>
        <f>F13</f>
        <v/>
      </c>
      <c r="G184" t="n">
        <v>98.53</v>
      </c>
      <c r="H184" t="inlineStr">
        <is>
          <t>{"type": "float", "value": 98.53}</t>
        </is>
      </c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>
        <f>R[0]C[-1]</f>
        <v/>
      </c>
      <c r="W18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>
        <f>G13</f>
        <v/>
      </c>
      <c r="G185" t="n">
        <v>98.53</v>
      </c>
      <c r="H185" t="inlineStr">
        <is>
          <t>{"type": "float", "value": 98.53}</t>
        </is>
      </c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>
        <f>R[0]C[-1]</f>
        <v/>
      </c>
      <c r="W18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>
        <f>H13</f>
        <v/>
      </c>
      <c r="G186" t="n">
        <v>98.53</v>
      </c>
      <c r="H186" t="inlineStr">
        <is>
          <t>{"type": "float", "value": 98.53}</t>
        </is>
      </c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>
        <f>R[0]C[-1]</f>
        <v/>
      </c>
      <c r="W18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G187" t="n">
        <v>2015</v>
      </c>
      <c r="H187" t="inlineStr">
        <is>
          <t>{"type": "int", "value": 2015}</t>
        </is>
      </c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W18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G188" t="n">
        <v>2016</v>
      </c>
      <c r="H188" t="inlineStr">
        <is>
          <t>{"type": "int", "value": 2016}</t>
        </is>
      </c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W18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G189" t="n">
        <v>2017</v>
      </c>
      <c r="H189" t="inlineStr">
        <is>
          <t>{"type": "int", "value": 2017}</t>
        </is>
      </c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W18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G190" t="inlineStr">
        <is>
          <t>2018 F</t>
        </is>
      </c>
      <c r="H190" t="inlineStr">
        <is>
          <t>{"type": "str", "value": "2018 F"}</t>
        </is>
      </c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W19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G191" t="inlineStr">
        <is>
          <t>2019 F</t>
        </is>
      </c>
      <c r="H191" t="inlineStr">
        <is>
          <t>{"type": "str", "value": "2019 F"}</t>
        </is>
      </c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W19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G192" t="inlineStr">
        <is>
          <t>2020 F</t>
        </is>
      </c>
      <c r="H192" t="inlineStr">
        <is>
          <t>{"type": "str", "value": "2020 F"}</t>
        </is>
      </c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W19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G193" t="inlineStr">
        <is>
          <t>2021 F</t>
        </is>
      </c>
      <c r="H193" t="inlineStr">
        <is>
          <t>{"type": "str", "value": "2021 F"}</t>
        </is>
      </c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W19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G194" t="inlineStr">
        <is>
          <t>2022 F</t>
        </is>
      </c>
      <c r="H194" t="inlineStr">
        <is>
          <t>{"type": "str", "value": "2022 F"}</t>
        </is>
      </c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W19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G195" t="inlineStr">
        <is>
          <t>PBT</t>
        </is>
      </c>
      <c r="H195" t="inlineStr">
        <is>
          <t>{"type": "str", "value": "PBT"}</t>
        </is>
      </c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>
        <f>B12-B13</f>
        <v/>
      </c>
      <c r="G196" t="n">
        <v>920.3100000000007</v>
      </c>
      <c r="H196" t="inlineStr">
        <is>
          <t>{"type": "float", "value": 920.3100000000007}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>
        <f>R[-2]C[0]-R[-1]C[0]</f>
        <v/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>
        <f>C12-C13</f>
        <v/>
      </c>
      <c r="G197" t="n">
        <v>907.1600000000003</v>
      </c>
      <c r="H197" t="inlineStr">
        <is>
          <t>{"type": "float", "value": 907.1600000000003}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>
        <f>R[-2]C[0]-R[-1]C[0]</f>
        <v/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>
        <f>D12-D13</f>
        <v/>
      </c>
      <c r="G198" t="n">
        <v>1292.599999999998</v>
      </c>
      <c r="H198" t="inlineStr">
        <is>
          <t>{"type": "float", "value": 1292.5999999999983}</t>
        </is>
      </c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>
        <f>R[-2]C[0]-R[-1]C[0]</f>
        <v/>
      </c>
      <c r="W1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>
        <f>E12-E13</f>
        <v/>
      </c>
      <c r="G199" t="n">
        <v>1292.796062337152</v>
      </c>
      <c r="H199" t="inlineStr">
        <is>
          <t>{"type": "float", "value": 1292.7960623371516}</t>
        </is>
      </c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>
        <f>R[-2]C[0]-R[-1]C[0]</f>
        <v/>
      </c>
      <c r="W1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>
        <f>F12-F13</f>
        <v/>
      </c>
      <c r="G200" t="n">
        <v>1381.530203128183</v>
      </c>
      <c r="H200" t="inlineStr">
        <is>
          <t>{"type": "float", "value": 1381.5302031281833}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>
        <f>R[-2]C[0]-R[-1]C[0]</f>
        <v/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>
        <f>G12-G13</f>
        <v/>
      </c>
      <c r="G201" t="n">
        <v>1464.065461845554</v>
      </c>
      <c r="H201" t="inlineStr">
        <is>
          <t>{"type": "float", "value": 1464.0654618455537}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>
        <f>R[-2]C[0]-R[-1]C[0]</f>
        <v/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>
        <f>H12-H13</f>
        <v/>
      </c>
      <c r="G202" t="n">
        <v>1540.193529632292</v>
      </c>
      <c r="H202" t="inlineStr">
        <is>
          <t>{"type": "float", "value": 1540.1935296322924}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>
        <f>R[-2]C[0]-R[-1]C[0]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>
        <f>I12-I13</f>
        <v/>
      </c>
      <c r="G203" t="n">
        <v>1609.571360099694</v>
      </c>
      <c r="H203" t="inlineStr">
        <is>
          <t>{"type": "float", "value": 1609.5713600996944}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>
        <f>R[-2]C[0]-R[-1]C[0]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G204" t="inlineStr">
        <is>
          <t>Cash flow from Operation</t>
        </is>
      </c>
      <c r="H204" t="inlineStr">
        <is>
          <t>{"type": "str", "value": "Cash flow from Operation"}</t>
        </is>
      </c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W2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G205" t="inlineStr">
        <is>
          <t>Taxes</t>
        </is>
      </c>
      <c r="H205" t="inlineStr">
        <is>
          <t>{"type": "str", "value": "Taxes"}</t>
        </is>
      </c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W2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G206" t="n">
        <v>189.98</v>
      </c>
      <c r="H206" t="inlineStr">
        <is>
          <t>{"type": "float", "value": 189.98000000000002}</t>
        </is>
      </c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W20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G207" t="n">
        <v>226.89</v>
      </c>
      <c r="H207" t="inlineStr">
        <is>
          <t>{"type": "float", "value": 226.89}</t>
        </is>
      </c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W20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G208" t="n">
        <v>385.55</v>
      </c>
      <c r="H208" t="inlineStr">
        <is>
          <t>{"type": "float", "value": 385.54999999999995}</t>
        </is>
      </c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W20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>
        <f>E14*E16</f>
        <v/>
      </c>
      <c r="G209" t="n">
        <v>354.4750031481766</v>
      </c>
      <c r="H209" t="inlineStr">
        <is>
          <t>{"type": "float", "value": 354.4750031481766}</t>
        </is>
      </c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>
        <f>R[-1]C[0]*R[1]C[0]</f>
        <v/>
      </c>
      <c r="W20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>
        <f>F14*F16</f>
        <v/>
      </c>
      <c r="G210" t="n">
        <v>378.805240339175</v>
      </c>
      <c r="H210" t="inlineStr">
        <is>
          <t>{"type": "float", "value": 378.80524033917504}</t>
        </is>
      </c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>
        <f>R[-1]C[0]*R[1]C[0]</f>
        <v/>
      </c>
      <c r="W21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>
        <f>G14*G16</f>
        <v/>
      </c>
      <c r="G211" t="n">
        <v>401.4357904669225</v>
      </c>
      <c r="H211" t="inlineStr">
        <is>
          <t>{"type": "float", "value": 401.4357904669225}</t>
        </is>
      </c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>
        <f>R[-1]C[0]*R[1]C[0]</f>
        <v/>
      </c>
      <c r="W21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>
        <f>H14*H16</f>
        <v/>
      </c>
      <c r="G212" t="n">
        <v>422.3095368021208</v>
      </c>
      <c r="H212" t="inlineStr">
        <is>
          <t>{"type": "float", "value": 422.30953680212076}</t>
        </is>
      </c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>
        <f>R[-1]C[0]*R[1]C[0]</f>
        <v/>
      </c>
      <c r="W21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>
        <f>I14*I16</f>
        <v/>
      </c>
      <c r="G213" t="n">
        <v>441.3324185928392</v>
      </c>
      <c r="H213" t="inlineStr">
        <is>
          <t>{"type": "float", "value": 441.33241859283925}</t>
        </is>
      </c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>
        <f>R[-1]C[0]*R[1]C[0]</f>
        <v/>
      </c>
      <c r="W21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G214" t="inlineStr">
        <is>
          <t>PAT</t>
        </is>
      </c>
      <c r="H214" t="inlineStr">
        <is>
          <t>{"type": "str", "value": "PAT"}</t>
        </is>
      </c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H215" t="inlineStr">
        <is>
          <t>{"type": "null", "value": null}</t>
        </is>
      </c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0</v>
      </c>
      <c r="W2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H216" t="inlineStr">
        <is>
          <t>{"type": "null", "value": null}</t>
        </is>
      </c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0</v>
      </c>
      <c r="W2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H217" t="inlineStr">
        <is>
          <t>{"type": "null", "value": null}</t>
        </is>
      </c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0</v>
      </c>
      <c r="W2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>
        <f>E17</f>
        <v/>
      </c>
      <c r="G218" t="n">
        <v>938.321059188975</v>
      </c>
      <c r="H218" t="inlineStr">
        <is>
          <t>{"type": "float", "value": 938.321059188975}</t>
        </is>
      </c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>
        <f>R[2]C[-10]</f>
        <v/>
      </c>
      <c r="W2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>
        <f>F17</f>
        <v/>
      </c>
      <c r="G219" t="n">
        <v>1002.724962789008</v>
      </c>
      <c r="H219" t="inlineStr">
        <is>
          <t>{"type": "float", "value": 1002.7249627890083}</t>
        </is>
      </c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>
        <f>R[2]C[-10]</f>
        <v/>
      </c>
      <c r="W2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>
        <f>G17</f>
        <v/>
      </c>
      <c r="G220" t="n">
        <v>1062.629671378631</v>
      </c>
      <c r="H220" t="inlineStr">
        <is>
          <t>{"type": "float", "value": 1062.6296713786312}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>
        <f>R[2]C[-10]</f>
        <v/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>
        <f>H17</f>
        <v/>
      </c>
      <c r="G221" t="n">
        <v>1117.883992830172</v>
      </c>
      <c r="H221" t="inlineStr">
        <is>
          <t>{"type": "float", "value": 1117.8839928301718}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>
        <f>R[2]C[-10]</f>
        <v/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>
        <f>I17</f>
        <v/>
      </c>
      <c r="G222" t="n">
        <v>1168.238941506855</v>
      </c>
      <c r="H222" t="inlineStr">
        <is>
          <t>{"type": "float", "value": 1168.238941506855}</t>
        </is>
      </c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>
        <f>R[2]C[-10]</f>
        <v/>
      </c>
      <c r="W2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G223" t="inlineStr">
        <is>
          <t>Tax rate</t>
        </is>
      </c>
      <c r="H223" t="inlineStr">
        <is>
          <t>{"type": "str", "value": "Tax rate"}</t>
        </is>
      </c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>
        <f>B15/B14</f>
        <v/>
      </c>
      <c r="G224" t="n">
        <v>0.2064304419163107</v>
      </c>
      <c r="H224" t="inlineStr">
        <is>
          <t>{"type": "float", "value": 0.20643044191631066}</t>
        </is>
      </c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>
        <f>R[-1]C[0]/R[-2]C[0]</f>
        <v/>
      </c>
      <c r="W224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>
        <f>C15/C14</f>
        <v/>
      </c>
      <c r="G225" t="n">
        <v>0.2501102341373075</v>
      </c>
      <c r="H225" t="inlineStr">
        <is>
          <t>{"type": "float", "value": 0.25011023413730754}</t>
        </is>
      </c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>
        <f>R[-1]C[0]/R[-2]C[0]</f>
        <v/>
      </c>
      <c r="W225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>
        <f>D15/D14</f>
        <v/>
      </c>
      <c r="G226" t="n">
        <v>0.2982747949868486</v>
      </c>
      <c r="H226" t="inlineStr">
        <is>
          <t>{"type": "float", "value": 0.29827479498684856}</t>
        </is>
      </c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>
        <f>R[-1]C[0]/R[-2]C[0]</f>
        <v/>
      </c>
      <c r="W226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>
        <f>AVERAGE($C$16:$D$16)</f>
        <v/>
      </c>
      <c r="G227" t="n">
        <v>0.274192514562078</v>
      </c>
      <c r="H227" t="inlineStr">
        <is>
          <t>{"type": "float", "value": 0.27419251456207805}</t>
        </is>
      </c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>
        <f>AVERAGE(R16C3:R16C4)</f>
        <v/>
      </c>
      <c r="W227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>
        <f>AVERAGE($C$16:$D$16)</f>
        <v/>
      </c>
      <c r="G228" t="n">
        <v>0.274192514562078</v>
      </c>
      <c r="H228" t="inlineStr">
        <is>
          <t>{"type": "float", "value": 0.27419251456207805}</t>
        </is>
      </c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>
        <f>AVERAGE(R16C3:R16C4)</f>
        <v/>
      </c>
      <c r="W228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>
        <f>AVERAGE($C$16:$D$16)</f>
        <v/>
      </c>
      <c r="G229" t="n">
        <v>0.274192514562078</v>
      </c>
      <c r="H229" t="inlineStr">
        <is>
          <t>{"type": "float", "value": 0.27419251456207805}</t>
        </is>
      </c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>
        <f>AVERAGE(R16C3:R16C4)</f>
        <v/>
      </c>
      <c r="W229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>
        <f>AVERAGE($C$16:$D$16)</f>
        <v/>
      </c>
      <c r="G230" t="n">
        <v>0.274192514562078</v>
      </c>
      <c r="H230" t="inlineStr">
        <is>
          <t>{"type": "float", "value": 0.27419251456207805}</t>
        </is>
      </c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>
        <f>AVERAGE(R16C3:R16C4)</f>
        <v/>
      </c>
      <c r="W230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>
        <f>AVERAGE($C$16:$D$16)</f>
        <v/>
      </c>
      <c r="G231" t="n">
        <v>0.274192514562078</v>
      </c>
      <c r="H231" t="inlineStr">
        <is>
          <t>{"type": "float", "value": 0.27419251456207805}</t>
        </is>
      </c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>
        <f>AVERAGE(R16C3:R16C4)</f>
        <v/>
      </c>
      <c r="W231" t="inlineStr">
        <is>
          <t>{"number_format": "0%", "font": {"name": "Calibri", "size": 8.0, "bold": false, "italic": true,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G232" t="inlineStr">
        <is>
          <t>Depreciation</t>
        </is>
      </c>
      <c r="H232" t="inlineStr">
        <is>
          <t>{"type": "str", "value": "Depreciation"}</t>
        </is>
      </c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W2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H233" t="inlineStr">
        <is>
          <t>{"type": "null", "value": null}</t>
        </is>
      </c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0</v>
      </c>
      <c r="W2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H234" t="inlineStr">
        <is>
          <t>{"type": "null", "value": null}</t>
        </is>
      </c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0</v>
      </c>
      <c r="W2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>
        <f>E11</f>
        <v/>
      </c>
      <c r="G235" t="n">
        <v>582.6373910172789</v>
      </c>
      <c r="H235" t="inlineStr">
        <is>
          <t>{"type": "float", "value": 582.6373910172789}</t>
        </is>
      </c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>
        <f>R[-5]C[-10]</f>
        <v/>
      </c>
      <c r="W2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>
        <f>F11</f>
        <v/>
      </c>
      <c r="G236" t="n">
        <v>566.0919764667541</v>
      </c>
      <c r="H236" t="inlineStr">
        <is>
          <t>{"type": "float", "value": 566.0919764667541}</t>
        </is>
      </c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>
        <f>R[-5]C[-10]</f>
        <v/>
      </c>
      <c r="W23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>
        <f>G11</f>
        <v/>
      </c>
      <c r="G237" t="n">
        <v>554.0982951837184</v>
      </c>
      <c r="H237" t="inlineStr">
        <is>
          <t>{"type": "float", "value": 554.0982951837184}</t>
        </is>
      </c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>
        <f>R[-5]C[-10]</f>
        <v/>
      </c>
      <c r="W2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>
        <f>H11</f>
        <v/>
      </c>
      <c r="G238" t="n">
        <v>546.3229136890859</v>
      </c>
      <c r="H238" t="inlineStr">
        <is>
          <t>{"type": "float", "value": 546.3229136890859}</t>
        </is>
      </c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>
        <f>R[-5]C[-10]</f>
        <v/>
      </c>
      <c r="W2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>
        <f>I11</f>
        <v/>
      </c>
      <c r="G239" t="n">
        <v>542.5072518919166</v>
      </c>
      <c r="H239" t="inlineStr">
        <is>
          <t>{"type": "float", "value": 542.5072518919166}</t>
        </is>
      </c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>
        <f>R[-5]C[-10]</f>
        <v/>
      </c>
      <c r="W2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G240" t="inlineStr">
        <is>
          <t>PAT</t>
        </is>
      </c>
      <c r="H240" t="inlineStr">
        <is>
          <t>{"type": "str", "value": "PAT"}</t>
        </is>
      </c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W2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>
        <f>B14-B15</f>
        <v/>
      </c>
      <c r="G241" t="n">
        <v>730.3300000000007</v>
      </c>
      <c r="H241" t="inlineStr">
        <is>
          <t>{"type": "float", "value": 730.3300000000007}</t>
        </is>
      </c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>
        <f>R[-3]C[0]-R[-2]C[0]</f>
        <v/>
      </c>
      <c r="W2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>
        <f>C14-C15</f>
        <v/>
      </c>
      <c r="G242" t="n">
        <v>680.2700000000003</v>
      </c>
      <c r="H242" t="inlineStr">
        <is>
          <t>{"type": "float", "value": 680.2700000000003}</t>
        </is>
      </c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>
        <f>R[-3]C[0]-R[-2]C[0]</f>
        <v/>
      </c>
      <c r="W2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>
        <f>D14-D15</f>
        <v/>
      </c>
      <c r="G243" t="n">
        <v>907.0499999999984</v>
      </c>
      <c r="H243" t="inlineStr">
        <is>
          <t>{"type": "float", "value": 907.0499999999984}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>
        <f>R[-3]C[0]-R[-2]C[0]</f>
        <v/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>
        <f>E14-E15</f>
        <v/>
      </c>
      <c r="G244" t="n">
        <v>938.321059188975</v>
      </c>
      <c r="H244" t="inlineStr">
        <is>
          <t>{"type": "float", "value": 938.321059188975}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>
        <f>R[-3]C[0]-R[-2]C[0]</f>
        <v/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>
        <f>F14-F15</f>
        <v/>
      </c>
      <c r="G245" t="n">
        <v>1002.724962789008</v>
      </c>
      <c r="H245" t="inlineStr">
        <is>
          <t>{"type": "float", "value": 1002.7249627890083}</t>
        </is>
      </c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>
        <f>R[-3]C[0]-R[-2]C[0]</f>
        <v/>
      </c>
      <c r="W2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>
        <f>G14-G15</f>
        <v/>
      </c>
      <c r="G246" t="n">
        <v>1062.629671378631</v>
      </c>
      <c r="H246" t="inlineStr">
        <is>
          <t>{"type": "float", "value": 1062.6296713786312}</t>
        </is>
      </c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>
        <f>R[-3]C[0]-R[-2]C[0]</f>
        <v/>
      </c>
      <c r="W2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>
        <f>H14-H15</f>
        <v/>
      </c>
      <c r="G247" t="n">
        <v>1117.883992830172</v>
      </c>
      <c r="H247" t="inlineStr">
        <is>
          <t>{"type": "float", "value": 1117.8839928301718}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>
        <f>R[-3]C[0]-R[-2]C[0]</f>
        <v/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>
        <f>I14-I15</f>
        <v/>
      </c>
      <c r="G248" t="n">
        <v>1168.238941506855</v>
      </c>
      <c r="H248" t="inlineStr">
        <is>
          <t>{"type": "float", "value": 1168.238941506855}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>
        <f>R[-3]C[0]-R[-2]C[0]</f>
        <v/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G249" t="inlineStr">
        <is>
          <t xml:space="preserve">Interest </t>
        </is>
      </c>
      <c r="H249" t="inlineStr">
        <is>
          <t>{"type": "str", "value": "Interest "}</t>
        </is>
      </c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W2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H250" t="inlineStr">
        <is>
          <t>{"type": "null", "value": null}</t>
        </is>
      </c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0</v>
      </c>
      <c r="W25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H251" t="inlineStr">
        <is>
          <t>{"type": "null", "value": null}</t>
        </is>
      </c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0</v>
      </c>
      <c r="W2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H252" t="inlineStr">
        <is>
          <t>{"type": "null", "value": null}</t>
        </is>
      </c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0</v>
      </c>
      <c r="W2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>
        <f>E13</f>
        <v/>
      </c>
      <c r="G253" t="n">
        <v>98.53</v>
      </c>
      <c r="H253" t="inlineStr">
        <is>
          <t>{"type": "float", "value": 98.53}</t>
        </is>
      </c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>
        <f>R[-4]C[-10]</f>
        <v/>
      </c>
      <c r="W2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>
        <f>F13</f>
        <v/>
      </c>
      <c r="G254" t="n">
        <v>98.53</v>
      </c>
      <c r="H254" t="inlineStr">
        <is>
          <t>{"type": "float", "value": 98.53}</t>
        </is>
      </c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>
        <f>R[-4]C[-10]</f>
        <v/>
      </c>
      <c r="W2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>
        <f>G13</f>
        <v/>
      </c>
      <c r="G255" t="n">
        <v>98.53</v>
      </c>
      <c r="H255" t="inlineStr">
        <is>
          <t>{"type": "float", "value": 98.53}</t>
        </is>
      </c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>
        <f>R[-4]C[-10]</f>
        <v/>
      </c>
      <c r="W2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>
        <f>H13</f>
        <v/>
      </c>
      <c r="G256" t="n">
        <v>98.53</v>
      </c>
      <c r="H256" t="inlineStr">
        <is>
          <t>{"type": "float", "value": 98.53}</t>
        </is>
      </c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>
        <f>R[-4]C[-10]</f>
        <v/>
      </c>
      <c r="W2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>
        <f>I13</f>
        <v/>
      </c>
      <c r="G257" t="n">
        <v>98.53</v>
      </c>
      <c r="H257" t="inlineStr">
        <is>
          <t>{"type": "float", "value": 98.53}</t>
        </is>
      </c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>
        <f>R[-4]C[-10]</f>
        <v/>
      </c>
      <c r="W2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H258" t="inlineStr">
        <is>
          <t>{"type": "null", "value": null}</t>
        </is>
      </c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0</v>
      </c>
      <c r="W25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H259" t="inlineStr">
        <is>
          <t>{"type": "null", "value": null}</t>
        </is>
      </c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0</v>
      </c>
      <c r="W2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H260" t="inlineStr">
        <is>
          <t>{"type": "null", "value": null}</t>
        </is>
      </c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0</v>
      </c>
      <c r="W26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H261" t="inlineStr">
        <is>
          <t>{"type": "null", "value": null}</t>
        </is>
      </c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R261" t="b">
        <v>0</v>
      </c>
      <c r="W2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H262" t="inlineStr">
        <is>
          <t>{"type": "null", "value": null}</t>
        </is>
      </c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R262" t="b">
        <v>0</v>
      </c>
      <c r="W26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H263" t="inlineStr">
        <is>
          <t>{"type": "null", "value": null}</t>
        </is>
      </c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0</v>
      </c>
      <c r="W2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H264" t="inlineStr">
        <is>
          <t>{"type": "null", "value": null}</t>
        </is>
      </c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R264" t="b">
        <v>0</v>
      </c>
      <c r="W26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H265" t="inlineStr">
        <is>
          <t>{"type": "null", "value": null}</t>
        </is>
      </c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0</v>
      </c>
      <c r="W2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G266" t="inlineStr">
        <is>
          <t>Change in inventory</t>
        </is>
      </c>
      <c r="H266" t="inlineStr">
        <is>
          <t>{"type": "str", "value": "Change in inventory"}</t>
        </is>
      </c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W2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>
        <f>'Balance Sheet'!D18-'Balance Sheet'!E18</f>
        <v/>
      </c>
      <c r="G267" t="n">
        <v>-209.9123032094292</v>
      </c>
      <c r="H267" t="inlineStr">
        <is>
          <t>{"type": "float", "value": -209.91230320942918}</t>
        </is>
      </c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>
        <f>'Balance Sheet'!R[0]C[-11]-'Balance Sheet'!R[0]C[-10]</f>
        <v/>
      </c>
      <c r="W26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>
        <f>'Balance Sheet'!E18-'Balance Sheet'!F18</f>
        <v/>
      </c>
      <c r="G268" t="n">
        <v>-135.3460361485713</v>
      </c>
      <c r="H268" t="inlineStr">
        <is>
          <t>{"type": "float", "value": -135.34603614857133}</t>
        </is>
      </c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>
        <f>'Balance Sheet'!R[0]C[-11]-'Balance Sheet'!R[0]C[-10]</f>
        <v/>
      </c>
      <c r="W26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>
        <f>'Balance Sheet'!F18-'Balance Sheet'!G18</f>
        <v/>
      </c>
      <c r="G269" t="n">
        <v>-145.4890405398157</v>
      </c>
      <c r="H269" t="inlineStr">
        <is>
          <t>{"type": "float", "value": -145.48904053981573}</t>
        </is>
      </c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>
        <f>'Balance Sheet'!R[0]C[-11]-'Balance Sheet'!R[0]C[-10]</f>
        <v/>
      </c>
      <c r="W26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>
        <f>'Balance Sheet'!G18-'Balance Sheet'!H18</f>
        <v/>
      </c>
      <c r="G270" t="n">
        <v>-156.3402368565332</v>
      </c>
      <c r="H270" t="inlineStr">
        <is>
          <t>{"type": "float", "value": -156.34023685653324}</t>
        </is>
      </c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>
        <f>'Balance Sheet'!R[0]C[-11]-'Balance Sheet'!R[0]C[-10]</f>
        <v/>
      </c>
      <c r="W2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>
        <f>'Balance Sheet'!H18-'Balance Sheet'!I18</f>
        <v/>
      </c>
      <c r="G271" t="n">
        <v>-167.946699609131</v>
      </c>
      <c r="H271" t="inlineStr">
        <is>
          <t>{"type": "float", "value": -167.94669960913097}</t>
        </is>
      </c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>
        <f>'Balance Sheet'!R[0]C[-11]-'Balance Sheet'!R[0]C[-10]</f>
        <v/>
      </c>
      <c r="W2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G272" t="inlineStr">
        <is>
          <t>Dividend</t>
        </is>
      </c>
      <c r="H272" t="inlineStr">
        <is>
          <t>{"type": "str", "value": "Dividend"}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G273" t="n">
        <v>561.67</v>
      </c>
      <c r="H273" t="inlineStr">
        <is>
          <t>{"type": "float", "value": 561.67}</t>
        </is>
      </c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W27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G274" t="n">
        <v>319.21</v>
      </c>
      <c r="H274" t="inlineStr">
        <is>
          <t>{"type": "float", "value": 319.21}</t>
        </is>
      </c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W27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G275" t="n">
        <v>319.24</v>
      </c>
      <c r="H275" t="inlineStr">
        <is>
          <t>{"type": "float", "value": 319.24}</t>
        </is>
      </c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W27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>
        <f>E17*E21</f>
        <v/>
      </c>
      <c r="G276" t="n">
        <v>330.2459786511096</v>
      </c>
      <c r="H276" t="inlineStr">
        <is>
          <t>{"type": "float", "value": 330.24597865110957}</t>
        </is>
      </c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>
        <f>R[-2]C[0]*R[2]C[0]</f>
        <v/>
      </c>
      <c r="W2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>
        <f>F17*F21</f>
        <v/>
      </c>
      <c r="G277" t="n">
        <v>352.9131989645153</v>
      </c>
      <c r="H277" t="inlineStr">
        <is>
          <t>{"type": "float", "value": 352.9131989645153}</t>
        </is>
      </c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>
        <f>R[-2]C[0]*R[2]C[0]</f>
        <v/>
      </c>
      <c r="W2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>
        <f>G17*G21</f>
        <v/>
      </c>
      <c r="G278" t="n">
        <v>373.9969089806679</v>
      </c>
      <c r="H278" t="inlineStr">
        <is>
          <t>{"type": "float", "value": 373.9969089806679}</t>
        </is>
      </c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>
        <f>R[-2]C[0]*R[2]C[0]</f>
        <v/>
      </c>
      <c r="W2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>
        <f>H17*H21</f>
        <v/>
      </c>
      <c r="G279" t="n">
        <v>393.4438960047458</v>
      </c>
      <c r="H279" t="inlineStr">
        <is>
          <t>{"type": "float", "value": 393.4438960047458}</t>
        </is>
      </c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>
        <f>R[-2]C[0]*R[2]C[0]</f>
        <v/>
      </c>
      <c r="W2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>
        <f>I17*I21</f>
        <v/>
      </c>
      <c r="G280" t="n">
        <v>411.1665285118231</v>
      </c>
      <c r="H280" t="inlineStr">
        <is>
          <t>{"type": "float", "value": 411.16652851182306}</t>
        </is>
      </c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>
        <f>R[-2]C[0]*R[2]C[0]</f>
        <v/>
      </c>
      <c r="W2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G281" t="inlineStr">
        <is>
          <t>Change in receivables</t>
        </is>
      </c>
      <c r="H281" t="inlineStr">
        <is>
          <t>{"type": "str", "value": "Change in receivables"}</t>
        </is>
      </c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W2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>
        <f>'Balance Sheet'!D21-'Balance Sheet'!E21</f>
        <v/>
      </c>
      <c r="G282" t="n">
        <v>-38.96189705790357</v>
      </c>
      <c r="H282" t="inlineStr">
        <is>
          <t>{"type": "float", "value": -38.96189705790357}</t>
        </is>
      </c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>
        <f>'Balance Sheet'!R[2]C[-11]-'Balance Sheet'!R[2]C[-10]</f>
        <v/>
      </c>
      <c r="W28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>
        <f>'Balance Sheet'!E21-'Balance Sheet'!F21</f>
        <v/>
      </c>
      <c r="G283" t="n">
        <v>-53.52260699884096</v>
      </c>
      <c r="H283" t="inlineStr">
        <is>
          <t>{"type": "float", "value": -53.522606998840956}</t>
        </is>
      </c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>
        <f>'Balance Sheet'!R[2]C[-11]-'Balance Sheet'!R[2]C[-10]</f>
        <v/>
      </c>
      <c r="W28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>
        <f>'Balance Sheet'!F21-'Balance Sheet'!G21</f>
        <v/>
      </c>
      <c r="G284" t="n">
        <v>-57.11253795608002</v>
      </c>
      <c r="H284" t="inlineStr">
        <is>
          <t>{"type": "float", "value": -57.11253795608002}</t>
        </is>
      </c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>
        <f>'Balance Sheet'!R[2]C[-11]-'Balance Sheet'!R[2]C[-10]</f>
        <v/>
      </c>
      <c r="W28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>
        <f>'Balance Sheet'!G21-'Balance Sheet'!H21</f>
        <v/>
      </c>
      <c r="G285" t="n">
        <v>-60.92765549154637</v>
      </c>
      <c r="H285" t="inlineStr">
        <is>
          <t>{"type": "float", "value": -60.927655491546375}</t>
        </is>
      </c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>
        <f>'Balance Sheet'!R[2]C[-11]-'Balance Sheet'!R[2]C[-10]</f>
        <v/>
      </c>
      <c r="W28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>
        <f>'Balance Sheet'!H21-'Balance Sheet'!I21</f>
        <v/>
      </c>
      <c r="G286" t="n">
        <v>-64.9815034356692</v>
      </c>
      <c r="H286" t="inlineStr">
        <is>
          <t>{"type": "float", "value": -64.9815034356692}</t>
        </is>
      </c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>
        <f>'Balance Sheet'!R[2]C[-11]-'Balance Sheet'!R[2]C[-10]</f>
        <v/>
      </c>
      <c r="W28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G287" t="inlineStr">
        <is>
          <t>PAT transferred to BS</t>
        </is>
      </c>
      <c r="H287" t="inlineStr">
        <is>
          <t>{"type": "str", "value": "PAT transferred to BS"}</t>
        </is>
      </c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W2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>
        <f>B17-B19</f>
        <v/>
      </c>
      <c r="G288" t="n">
        <v>168.6600000000008</v>
      </c>
      <c r="H288" t="inlineStr">
        <is>
          <t>{"type": "float", "value": 168.66000000000076}</t>
        </is>
      </c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>
        <f>R[-3]C[0]-R[-1]C[0]</f>
        <v/>
      </c>
      <c r="W2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>
        <f>C17-C19</f>
        <v/>
      </c>
      <c r="G289" t="n">
        <v>361.0600000000003</v>
      </c>
      <c r="H289" t="inlineStr">
        <is>
          <t>{"type": "float", "value": 361.06000000000034}</t>
        </is>
      </c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>
        <f>R[-3]C[0]-R[-1]C[0]</f>
        <v/>
      </c>
      <c r="W2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>
        <f>D17-D19</f>
        <v/>
      </c>
      <c r="G290" t="n">
        <v>587.8099999999984</v>
      </c>
      <c r="H290" t="inlineStr">
        <is>
          <t>{"type": "float", "value": 587.8099999999984}</t>
        </is>
      </c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>
        <f>R[-3]C[0]-R[-1]C[0]</f>
        <v/>
      </c>
      <c r="W2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>
        <f>E17-E19</f>
        <v/>
      </c>
      <c r="G291" t="n">
        <v>608.0750805378655</v>
      </c>
      <c r="H291" t="inlineStr">
        <is>
          <t>{"type": "float", "value": 608.0750805378655}</t>
        </is>
      </c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>
        <f>R[-3]C[0]-R[-1]C[0]</f>
        <v/>
      </c>
      <c r="W2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>
        <f>F17-F19</f>
        <v/>
      </c>
      <c r="G292" t="n">
        <v>649.811763824493</v>
      </c>
      <c r="H292" t="inlineStr">
        <is>
          <t>{"type": "float", "value": 649.811763824493}</t>
        </is>
      </c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>
        <f>R[-3]C[0]-R[-1]C[0]</f>
        <v/>
      </c>
      <c r="W29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>
        <f>G17-G19</f>
        <v/>
      </c>
      <c r="G293" t="n">
        <v>688.6327623979632</v>
      </c>
      <c r="H293" t="inlineStr">
        <is>
          <t>{"type": "float", "value": 688.6327623979632}</t>
        </is>
      </c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>
        <f>R[-3]C[0]-R[-1]C[0]</f>
        <v/>
      </c>
      <c r="W2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>
        <f>H17-H19</f>
        <v/>
      </c>
      <c r="G294" t="n">
        <v>724.4400968254261</v>
      </c>
      <c r="H294" t="inlineStr">
        <is>
          <t>{"type": "float", "value": 724.440096825426}</t>
        </is>
      </c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>
        <f>R[-3]C[0]-R[-1]C[0]</f>
        <v/>
      </c>
      <c r="W2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>
        <f>I17-I19</f>
        <v/>
      </c>
      <c r="G295" t="n">
        <v>757.072412995032</v>
      </c>
      <c r="H295" t="inlineStr">
        <is>
          <t>{"type": "float", "value": 757.072412995032}</t>
        </is>
      </c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>
        <f>R[-3]C[0]-R[-1]C[0]</f>
        <v/>
      </c>
      <c r="W2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G296" t="inlineStr">
        <is>
          <t>Change in payables</t>
        </is>
      </c>
      <c r="H296" t="inlineStr">
        <is>
          <t>{"type": "str", "value": "Change in payables"}</t>
        </is>
      </c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>
        <f>'Balance Sheet'!E44-'Balance Sheet'!D44</f>
        <v/>
      </c>
      <c r="G297" t="n">
        <v>49.31388071395008</v>
      </c>
      <c r="H297" t="inlineStr">
        <is>
          <t>{"type": "float", "value": 49.313880713950084}</t>
        </is>
      </c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>
        <f>'Balance Sheet'!R[24]C[-10]-'Balance Sheet'!R[24]C[-11]</f>
        <v/>
      </c>
      <c r="W29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>
        <f>'Balance Sheet'!F44-'Balance Sheet'!E44</f>
        <v/>
      </c>
      <c r="G298" t="n">
        <v>156.164092307029</v>
      </c>
      <c r="H298" t="inlineStr">
        <is>
          <t>{"type": "float", "value": 156.16409230702902}</t>
        </is>
      </c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>
        <f>'Balance Sheet'!R[24]C[-10]-'Balance Sheet'!R[24]C[-11]</f>
        <v/>
      </c>
      <c r="W2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>
        <f>'Balance Sheet'!G44-'Balance Sheet'!F44</f>
        <v/>
      </c>
      <c r="G299" t="n">
        <v>167.8672283507481</v>
      </c>
      <c r="H299" t="inlineStr">
        <is>
          <t>{"type": "float", "value": 167.86722835074806}</t>
        </is>
      </c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>
        <f>'Balance Sheet'!R[24]C[-10]-'Balance Sheet'!R[24]C[-11]</f>
        <v/>
      </c>
      <c r="W29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>
        <f>'Balance Sheet'!H44-'Balance Sheet'!G44</f>
        <v/>
      </c>
      <c r="G300" t="n">
        <v>180.3874858438116</v>
      </c>
      <c r="H300" t="inlineStr">
        <is>
          <t>{"type": "float", "value": 180.38748584381165}</t>
        </is>
      </c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>
        <f>'Balance Sheet'!R[24]C[-10]-'Balance Sheet'!R[24]C[-11]</f>
        <v/>
      </c>
      <c r="W30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>
        <f>'Balance Sheet'!I44-'Balance Sheet'!H44</f>
        <v/>
      </c>
      <c r="G301" t="n">
        <v>193.7791799948332</v>
      </c>
      <c r="H301" t="inlineStr">
        <is>
          <t>{"type": "float", "value": 193.77917999483316}</t>
        </is>
      </c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>
        <f>'Balance Sheet'!R[24]C[-10]-'Balance Sheet'!R[24]C[-11]</f>
        <v/>
      </c>
      <c r="W30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G302" t="inlineStr">
        <is>
          <t>Dividend payout ratio</t>
        </is>
      </c>
      <c r="H302" t="inlineStr">
        <is>
          <t>{"type": "str", "value": "Dividend payout ratio"}</t>
        </is>
      </c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W3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>
        <f>B19/B17</f>
        <v/>
      </c>
      <c r="G303" t="n">
        <v>0.7690633001519853</v>
      </c>
      <c r="H303" t="inlineStr">
        <is>
          <t>{"type": "float", "value": 0.7690633001519853}</t>
        </is>
      </c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>
        <f>R[-2]C[0]/R[-4]C[0]</f>
        <v/>
      </c>
      <c r="W30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>
        <f>C19/C17</f>
        <v/>
      </c>
      <c r="G304" t="n">
        <v>0.4692401546444792</v>
      </c>
      <c r="H304" t="inlineStr">
        <is>
          <t>{"type": "float", "value": 0.46924015464447916}</t>
        </is>
      </c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>
        <f>R[-2]C[0]/R[-4]C[0]</f>
        <v/>
      </c>
      <c r="W30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>
        <f>D19/D17</f>
        <v/>
      </c>
      <c r="G305" t="n">
        <v>0.3519541370376502</v>
      </c>
      <c r="H305" t="inlineStr">
        <is>
          <t>{"type": "float", "value": 0.35195413703765016}</t>
        </is>
      </c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>
        <f>R[-2]C[0]/R[-4]C[0]</f>
        <v/>
      </c>
      <c r="W30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>
        <f>D21</f>
        <v/>
      </c>
      <c r="G306" t="n">
        <v>0.3519541370376502</v>
      </c>
      <c r="H306" t="inlineStr">
        <is>
          <t>{"type": "float", "value": 0.35195413703765016}</t>
        </is>
      </c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>
        <f>R[0]C[-1]</f>
        <v/>
      </c>
      <c r="W30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>
        <f>E21</f>
        <v/>
      </c>
      <c r="G307" t="n">
        <v>0.3519541370376502</v>
      </c>
      <c r="H307" t="inlineStr">
        <is>
          <t>{"type": "float", "value": 0.35195413703765016}</t>
        </is>
      </c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>
        <f>R[0]C[-1]</f>
        <v/>
      </c>
      <c r="W30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>
        <f>F21</f>
        <v/>
      </c>
      <c r="G308" t="n">
        <v>0.3519541370376502</v>
      </c>
      <c r="H308" t="inlineStr">
        <is>
          <t>{"type": "float", "value": 0.35195413703765016}</t>
        </is>
      </c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>
        <f>R[0]C[-1]</f>
        <v/>
      </c>
      <c r="W3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>
        <f>G21</f>
        <v/>
      </c>
      <c r="G309" t="n">
        <v>0.3519541370376502</v>
      </c>
      <c r="H309" t="inlineStr">
        <is>
          <t>{"type": "float", "value": 0.35195413703765016}</t>
        </is>
      </c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>
        <f>R[0]C[-1]</f>
        <v/>
      </c>
      <c r="W3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>
        <f>H21</f>
        <v/>
      </c>
      <c r="G310" t="n">
        <v>0.3519541370376502</v>
      </c>
      <c r="H310" t="inlineStr">
        <is>
          <t>{"type": "float", "value": 0.35195413703765016}</t>
        </is>
      </c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>
        <f>R[0]C[-1]</f>
        <v/>
      </c>
      <c r="W3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H311" t="inlineStr">
        <is>
          <t>{"type": "null", "value": null}</t>
        </is>
      </c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R311" t="b">
        <v>0</v>
      </c>
      <c r="W3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H312" t="inlineStr">
        <is>
          <t>{"type": "null", "value": null}</t>
        </is>
      </c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0</v>
      </c>
      <c r="W3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H313" t="inlineStr">
        <is>
          <t>{"type": "null", "value": null}</t>
        </is>
      </c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0</v>
      </c>
      <c r="W3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H314" t="inlineStr">
        <is>
          <t>{"type": "null", "value": null}</t>
        </is>
      </c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0</v>
      </c>
      <c r="W3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>
        <f>SUM(O15:O20)</f>
        <v/>
      </c>
      <c r="G315" t="n">
        <v>1419.928130652871</v>
      </c>
      <c r="H315" t="inlineStr">
        <is>
          <t>{"type": "float", "value": 1419.9281306528712}</t>
        </is>
      </c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>
        <f>SUM(R[-6]C[0]:R[-1]C[0])</f>
        <v/>
      </c>
      <c r="W3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>
        <f>SUM(P15:P20)</f>
        <v/>
      </c>
      <c r="G316" t="n">
        <v>1634.642388415379</v>
      </c>
      <c r="H316" t="inlineStr">
        <is>
          <t>{"type": "float", "value": 1634.6423884153792}</t>
        </is>
      </c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>
        <f>SUM(R[-6]C[0]:R[-1]C[0])</f>
        <v/>
      </c>
      <c r="W3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>
        <f>SUM(Q15:Q20)</f>
        <v/>
      </c>
      <c r="G317" t="n">
        <v>1680.523616417202</v>
      </c>
      <c r="H317" t="inlineStr">
        <is>
          <t>{"type": "float", "value": 1680.523616417202}</t>
        </is>
      </c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>
        <f>SUM(R[-6]C[0]:R[-1]C[0])</f>
        <v/>
      </c>
      <c r="W3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>
        <f>SUM(R15:R20)</f>
        <v/>
      </c>
      <c r="G318" t="n">
        <v>1725.85650001499</v>
      </c>
      <c r="H318" t="inlineStr">
        <is>
          <t>{"type": "float", "value": 1725.8565000149897}</t>
        </is>
      </c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>
        <f>SUM(R[-6]C[0]:R[-1]C[0])</f>
        <v/>
      </c>
      <c r="W3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>
        <f>SUM(S15:S20)</f>
        <v/>
      </c>
      <c r="G319" t="n">
        <v>1770.127170348805</v>
      </c>
      <c r="H319" t="inlineStr">
        <is>
          <t>{"type": "float", "value": 1770.1271703488046}</t>
        </is>
      </c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>
        <f>SUM(R[-6]C[0]:R[-1]C[0])</f>
        <v/>
      </c>
      <c r="W3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G320" t="inlineStr">
        <is>
          <t>Cash flow from investing</t>
        </is>
      </c>
      <c r="H320" t="inlineStr">
        <is>
          <t>{"type": "str", "value": "Cash flow from investing"}</t>
        </is>
      </c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W3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G321" t="inlineStr">
        <is>
          <t>Fixed Asset</t>
        </is>
      </c>
      <c r="H321" t="inlineStr">
        <is>
          <t>{"type": "str", "value": "Fixed Asset"}</t>
        </is>
      </c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W3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H322" t="inlineStr">
        <is>
          <t>{"type": "null", "value": null}</t>
        </is>
      </c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0</v>
      </c>
      <c r="W32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>
        <f>-'Asset schedule'!P2</f>
        <v/>
      </c>
      <c r="G323" t="n">
        <v>-406.8404430379748</v>
      </c>
      <c r="H323" t="inlineStr">
        <is>
          <t>{"type": "float", "value": -406.84044303797475}</t>
        </is>
      </c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>
        <f>-'Asset schedule'!R[-21]C[1]</f>
        <v/>
      </c>
      <c r="W32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>
        <f>-'Asset schedule'!Q2</f>
        <v/>
      </c>
      <c r="G324" t="n">
        <v>-437.730180379747</v>
      </c>
      <c r="H324" t="inlineStr">
        <is>
          <t>{"type": "float", "value": -437.73018037974697}</t>
        </is>
      </c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>
        <f>-'Asset schedule'!R[-21]C[1]</f>
        <v/>
      </c>
      <c r="W32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>
        <f>-'Asset schedule'!R2</f>
        <v/>
      </c>
      <c r="G325" t="n">
        <v>-470.6917903481014</v>
      </c>
      <c r="H325" t="inlineStr">
        <is>
          <t>{"type": "float", "value": -470.6917903481014}</t>
        </is>
      </c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>
        <f>-'Asset schedule'!R[-21]C[1]</f>
        <v/>
      </c>
      <c r="W32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>
        <f>-'Asset schedule'!S2</f>
        <v/>
      </c>
      <c r="G326" t="n">
        <v>-505.8552358623419</v>
      </c>
      <c r="H326" t="inlineStr">
        <is>
          <t>{"type": "float", "value": -505.8552358623419}</t>
        </is>
      </c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>
        <f>-'Asset schedule'!R[-21]C[1]</f>
        <v/>
      </c>
      <c r="W3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>
        <f>-'Asset schedule'!T2</f>
        <v/>
      </c>
      <c r="G327" t="n">
        <v>-543.3582964521364</v>
      </c>
      <c r="H327" t="inlineStr">
        <is>
          <t>{"type": "float", "value": -543.3582964521364}</t>
        </is>
      </c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>
        <f>-'Asset schedule'!R[-21]C[1]</f>
        <v/>
      </c>
      <c r="W3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H328" t="inlineStr">
        <is>
          <t>{"type": "null", "value": null}</t>
        </is>
      </c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0</v>
      </c>
      <c r="W3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>
        <f>SUM(O23)</f>
        <v/>
      </c>
      <c r="G329" t="n">
        <v>-406.8404430379748</v>
      </c>
      <c r="H329" t="inlineStr">
        <is>
          <t>{"type": "float", "value": -406.84044303797475}</t>
        </is>
      </c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>
        <f>SUM(R[-1]C[0])</f>
        <v/>
      </c>
      <c r="W32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>
        <f>SUM(P23)</f>
        <v/>
      </c>
      <c r="G330" t="n">
        <v>-437.730180379747</v>
      </c>
      <c r="H330" t="inlineStr">
        <is>
          <t>{"type": "float", "value": -437.73018037974697}</t>
        </is>
      </c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>
        <f>SUM(R[-1]C[0])</f>
        <v/>
      </c>
      <c r="W3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>
        <f>SUM(Q23)</f>
        <v/>
      </c>
      <c r="G331" t="n">
        <v>-470.6917903481014</v>
      </c>
      <c r="H331" t="inlineStr">
        <is>
          <t>{"type": "float", "value": -470.6917903481014}</t>
        </is>
      </c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>
        <f>SUM(R[-1]C[0])</f>
        <v/>
      </c>
      <c r="W33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>
        <f>SUM(R23)</f>
        <v/>
      </c>
      <c r="G332" t="n">
        <v>-505.8552358623419</v>
      </c>
      <c r="H332" t="inlineStr">
        <is>
          <t>{"type": "float", "value": -505.8552358623419}</t>
        </is>
      </c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>
        <f>SUM(R[-1]C[0])</f>
        <v/>
      </c>
      <c r="W3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>
        <f>SUM(S23)</f>
        <v/>
      </c>
      <c r="G333" t="n">
        <v>-543.3582964521364</v>
      </c>
      <c r="H333" t="inlineStr">
        <is>
          <t>{"type": "float", "value": -543.3582964521364}</t>
        </is>
      </c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>
        <f>SUM(R[-1]C[0])</f>
        <v/>
      </c>
      <c r="W3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G334" t="inlineStr">
        <is>
          <t>Cash flow from Financing</t>
        </is>
      </c>
      <c r="H334" t="inlineStr">
        <is>
          <t>{"type": "str", "value": "Cash flow from Financing"}</t>
        </is>
      </c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G335" t="inlineStr">
        <is>
          <t>Equity</t>
        </is>
      </c>
      <c r="H335" t="inlineStr">
        <is>
          <t>{"type": "str", "value": "Equity"}</t>
        </is>
      </c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G336" t="n">
        <v>0</v>
      </c>
      <c r="H336" t="inlineStr">
        <is>
          <t>{"type": "int", "value": 0}</t>
        </is>
      </c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1</v>
      </c>
      <c r="W3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G337" t="n">
        <v>0</v>
      </c>
      <c r="H337" t="inlineStr">
        <is>
          <t>{"type": "int", "value": 0}</t>
        </is>
      </c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W3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G338" t="n">
        <v>0</v>
      </c>
      <c r="H338" t="inlineStr">
        <is>
          <t>{"type": "int", "value": 0}</t>
        </is>
      </c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W3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G339" t="n">
        <v>0</v>
      </c>
      <c r="H339" t="inlineStr">
        <is>
          <t>{"type": "int", "value": 0}</t>
        </is>
      </c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W3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G340" t="n">
        <v>0</v>
      </c>
      <c r="H340" t="inlineStr">
        <is>
          <t>{"type": "int", "value": 0}</t>
        </is>
      </c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W3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G341" t="inlineStr">
        <is>
          <t>Debt</t>
        </is>
      </c>
      <c r="H341" t="inlineStr">
        <is>
          <t>{"type": "str", "value": "Debt"}</t>
        </is>
      </c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W3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G342" t="n">
        <v>0</v>
      </c>
      <c r="H342" t="inlineStr">
        <is>
          <t>{"type": "int", "value": 0}</t>
        </is>
      </c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W3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G343" t="n">
        <v>0</v>
      </c>
      <c r="H343" t="inlineStr">
        <is>
          <t>{"type": "int", "value": 0}</t>
        </is>
      </c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W3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G344" t="n">
        <v>0</v>
      </c>
      <c r="H344" t="inlineStr">
        <is>
          <t>{"type": "int", "value": 0}</t>
        </is>
      </c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G345" t="n">
        <v>0</v>
      </c>
      <c r="H345" t="inlineStr">
        <is>
          <t>{"type": "int", "value": 0}</t>
        </is>
      </c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1</v>
      </c>
      <c r="W3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G346" t="n">
        <v>0</v>
      </c>
      <c r="H346" t="inlineStr">
        <is>
          <t>{"type": "int", "value": 0}</t>
        </is>
      </c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W3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G347" t="inlineStr">
        <is>
          <t>Dividend</t>
        </is>
      </c>
      <c r="H347" t="inlineStr">
        <is>
          <t>{"type": "str", "value": "Dividend"}</t>
        </is>
      </c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W3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H348" t="inlineStr">
        <is>
          <t>{"type": "null", "value": null}</t>
        </is>
      </c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0</v>
      </c>
      <c r="W34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H349" t="inlineStr">
        <is>
          <t>{"type": "null", "value": null}</t>
        </is>
      </c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0</v>
      </c>
      <c r="W3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H350" t="inlineStr">
        <is>
          <t>{"type": "null", "value": null}</t>
        </is>
      </c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0</v>
      </c>
      <c r="W35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>
        <f>-E19</f>
        <v/>
      </c>
      <c r="G351" t="n">
        <v>-330.2459786511096</v>
      </c>
      <c r="H351" t="inlineStr">
        <is>
          <t>{"type": "float", "value": -330.24597865110957}</t>
        </is>
      </c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>
        <f>-R[-9]C[-10]</f>
        <v/>
      </c>
      <c r="W3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>
        <f>-F19</f>
        <v/>
      </c>
      <c r="G352" t="n">
        <v>-352.9131989645153</v>
      </c>
      <c r="H352" t="inlineStr">
        <is>
          <t>{"type": "float", "value": -352.9131989645153}</t>
        </is>
      </c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>
        <f>-R[-9]C[-10]</f>
        <v/>
      </c>
      <c r="W3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>
        <f>-G19</f>
        <v/>
      </c>
      <c r="G353" t="n">
        <v>-373.9969089806679</v>
      </c>
      <c r="H353" t="inlineStr">
        <is>
          <t>{"type": "float", "value": -373.9969089806679}</t>
        </is>
      </c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>
        <f>-R[-9]C[-10]</f>
        <v/>
      </c>
      <c r="W3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>
        <f>-H19</f>
        <v/>
      </c>
      <c r="G354" t="n">
        <v>-393.4438960047458</v>
      </c>
      <c r="H354" t="inlineStr">
        <is>
          <t>{"type": "float", "value": -393.4438960047458}</t>
        </is>
      </c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>
        <f>-R[-9]C[-10]</f>
        <v/>
      </c>
      <c r="W3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>
        <f>-I19</f>
        <v/>
      </c>
      <c r="G355" t="n">
        <v>-411.1665285118231</v>
      </c>
      <c r="H355" t="inlineStr">
        <is>
          <t>{"type": "float", "value": -411.16652851182306}</t>
        </is>
      </c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>
        <f>-R[-9]C[-10]</f>
        <v/>
      </c>
      <c r="W3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G356" t="inlineStr">
        <is>
          <t>Interest</t>
        </is>
      </c>
      <c r="H356" t="inlineStr">
        <is>
          <t>{"type": "str", "value": "Interest"}</t>
        </is>
      </c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R356" t="b">
        <v>1</v>
      </c>
      <c r="W3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H357" t="inlineStr">
        <is>
          <t>{"type": "null", "value": null}</t>
        </is>
      </c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R357" t="b">
        <v>0</v>
      </c>
      <c r="W3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H358" t="inlineStr">
        <is>
          <t>{"type": "null", "value": null}</t>
        </is>
      </c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R358" t="b">
        <v>0</v>
      </c>
      <c r="W3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H359" t="inlineStr">
        <is>
          <t>{"type": "null", "value": null}</t>
        </is>
      </c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R359" t="b">
        <v>0</v>
      </c>
      <c r="W3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>
        <f>-E13</f>
        <v/>
      </c>
      <c r="G360" t="n">
        <v>-98.53</v>
      </c>
      <c r="H360" t="inlineStr">
        <is>
          <t>{"type": "float", "value": -98.53}</t>
        </is>
      </c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>
        <f>-R[-16]C[-10]</f>
        <v/>
      </c>
      <c r="W3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>
        <f>-F13</f>
        <v/>
      </c>
      <c r="G361" t="n">
        <v>-98.53</v>
      </c>
      <c r="H361" t="inlineStr">
        <is>
          <t>{"type": "float", "value": -98.53}</t>
        </is>
      </c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>
        <f>-R[-16]C[-10]</f>
        <v/>
      </c>
      <c r="W3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>
        <f>-G13</f>
        <v/>
      </c>
      <c r="G362" t="n">
        <v>-98.53</v>
      </c>
      <c r="H362" t="inlineStr">
        <is>
          <t>{"type": "float", "value": -98.53}</t>
        </is>
      </c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>
        <f>-R[-16]C[-10]</f>
        <v/>
      </c>
      <c r="W3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>
        <f>-H13</f>
        <v/>
      </c>
      <c r="G363" t="n">
        <v>-98.53</v>
      </c>
      <c r="H363" t="inlineStr">
        <is>
          <t>{"type": "float", "value": -98.53}</t>
        </is>
      </c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>
        <f>-R[-16]C[-10]</f>
        <v/>
      </c>
      <c r="W3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>
        <f>-I13</f>
        <v/>
      </c>
      <c r="G364" t="n">
        <v>-98.53</v>
      </c>
      <c r="H364" t="inlineStr">
        <is>
          <t>{"type": "float", "value": -98.53}</t>
        </is>
      </c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>
        <f>-R[-16]C[-10]</f>
        <v/>
      </c>
      <c r="W36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H365" t="inlineStr">
        <is>
          <t>{"type": "null", "value": null}</t>
        </is>
      </c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R365" t="b">
        <v>0</v>
      </c>
      <c r="W36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H366" t="inlineStr">
        <is>
          <t>{"type": "null", "value": null}</t>
        </is>
      </c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R366" t="b">
        <v>0</v>
      </c>
      <c r="W36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H367" t="inlineStr">
        <is>
          <t>{"type": "null", "value": null}</t>
        </is>
      </c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0</v>
      </c>
      <c r="W36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>
        <f>SUM(O26:O29)</f>
        <v/>
      </c>
      <c r="G368" t="n">
        <v>-428.7759786511095</v>
      </c>
      <c r="H368" t="inlineStr">
        <is>
          <t>{"type": "float", "value": -428.77597865110954}</t>
        </is>
      </c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>
        <f>SUM(R[-4]C[0]:R[-1]C[0])</f>
        <v/>
      </c>
      <c r="W36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>
        <f>SUM(P26:P29)</f>
        <v/>
      </c>
      <c r="G369" t="n">
        <v>-451.4431989645153</v>
      </c>
      <c r="H369" t="inlineStr">
        <is>
          <t>{"type": "float", "value": -451.4431989645153}</t>
        </is>
      </c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>
        <f>SUM(R[-4]C[0]:R[-1]C[0])</f>
        <v/>
      </c>
      <c r="W36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>
        <f>SUM(Q26:Q29)</f>
        <v/>
      </c>
      <c r="G370" t="n">
        <v>-472.5269089806679</v>
      </c>
      <c r="H370" t="inlineStr">
        <is>
          <t>{"type": "float", "value": -472.52690898066794}</t>
        </is>
      </c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>
        <f>SUM(R[-4]C[0]:R[-1]C[0])</f>
        <v/>
      </c>
      <c r="W3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>
        <f>SUM(R26:R29)</f>
        <v/>
      </c>
      <c r="G371" t="n">
        <v>-491.9738960047458</v>
      </c>
      <c r="H371" t="inlineStr">
        <is>
          <t>{"type": "float", "value": -491.9738960047458}</t>
        </is>
      </c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>
        <f>SUM(R[-4]C[0]:R[-1]C[0])</f>
        <v/>
      </c>
      <c r="W3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>
        <f>SUM(S26:S29)</f>
        <v/>
      </c>
      <c r="G372" t="n">
        <v>-509.6965285118231</v>
      </c>
      <c r="H372" t="inlineStr">
        <is>
          <t>{"type": "float", "value": -509.6965285118231}</t>
        </is>
      </c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>
        <f>SUM(R[-4]C[0]:R[-1]C[0])</f>
        <v/>
      </c>
      <c r="W37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G373" t="inlineStr">
        <is>
          <t>Opening bal</t>
        </is>
      </c>
      <c r="H373" t="inlineStr">
        <is>
          <t>{"type": "str", "value": "Opening bal"}</t>
        </is>
      </c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W3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G374" t="n">
        <v>1810</v>
      </c>
      <c r="H374" t="inlineStr">
        <is>
          <t>{"type": "int", "value": 1810}</t>
        </is>
      </c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W3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>
        <f>N34</f>
        <v/>
      </c>
      <c r="G375" t="n">
        <v>2559.11</v>
      </c>
      <c r="H375" t="inlineStr">
        <is>
          <t>{"type": "float", "value": 2559.11}</t>
        </is>
      </c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>
        <f>R[2]C[-1]</f>
        <v/>
      </c>
      <c r="W37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>
        <f>O34</f>
        <v/>
      </c>
      <c r="G376" t="n">
        <v>3143.421708963787</v>
      </c>
      <c r="H376" t="inlineStr">
        <is>
          <t>{"type": "float", "value": 3143.421708963787}</t>
        </is>
      </c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>
        <f>R[2]C[-1]</f>
        <v/>
      </c>
      <c r="W37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>
        <f>P34</f>
        <v/>
      </c>
      <c r="G377" t="n">
        <v>3888.890718034904</v>
      </c>
      <c r="H377" t="inlineStr">
        <is>
          <t>{"type": "float", "value": 3888.890718034904}</t>
        </is>
      </c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>
        <f>R[2]C[-1]</f>
        <v/>
      </c>
      <c r="W37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>
        <f>Q34</f>
        <v/>
      </c>
      <c r="G378" t="n">
        <v>4626.195635123337</v>
      </c>
      <c r="H378" t="inlineStr">
        <is>
          <t>{"type": "float", "value": 4626.195635123337}</t>
        </is>
      </c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>
        <f>R[2]C[-1]</f>
        <v/>
      </c>
      <c r="W37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>
        <f>R34</f>
        <v/>
      </c>
      <c r="G379" t="n">
        <v>5354.223003271239</v>
      </c>
      <c r="H379" t="inlineStr">
        <is>
          <t>{"type": "float", "value": 5354.223003271239}</t>
        </is>
      </c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>
        <f>R[2]C[-1]</f>
        <v/>
      </c>
      <c r="W37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G380" t="inlineStr">
        <is>
          <t>Cash in</t>
        </is>
      </c>
      <c r="H380" t="inlineStr">
        <is>
          <t>{"type": "str", "value": "Cash in"}</t>
        </is>
      </c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W3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G381" t="n">
        <v>749.11</v>
      </c>
      <c r="H381" t="inlineStr">
        <is>
          <t>{"type": "float", "value": 749.11}</t>
        </is>
      </c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W3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>
        <f>O21+O24+O30</f>
        <v/>
      </c>
      <c r="G382" t="n">
        <v>584.3117089637869</v>
      </c>
      <c r="H382" t="inlineStr">
        <is>
          <t>{"type": "float", "value": 584.3117089637869}</t>
        </is>
      </c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>
        <f>R[-12]C[0]+R[-9]C[0]+R[-3]C[0]</f>
        <v/>
      </c>
      <c r="W3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>
        <f>P21+P24+P30</f>
        <v/>
      </c>
      <c r="G383" t="n">
        <v>745.4690090711168</v>
      </c>
      <c r="H383" t="inlineStr">
        <is>
          <t>{"type": "float", "value": 745.4690090711168}</t>
        </is>
      </c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>
        <f>R[-12]C[0]+R[-9]C[0]+R[-3]C[0]</f>
        <v/>
      </c>
      <c r="W3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>
        <f>Q21+Q24+Q30</f>
        <v/>
      </c>
      <c r="G384" t="n">
        <v>737.3049170884326</v>
      </c>
      <c r="H384" t="inlineStr">
        <is>
          <t>{"type": "float", "value": 737.3049170884326}</t>
        </is>
      </c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>
        <f>R[-12]C[0]+R[-9]C[0]+R[-3]C[0]</f>
        <v/>
      </c>
      <c r="W3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>
        <f>R21+R24+R30</f>
        <v/>
      </c>
      <c r="G385" t="n">
        <v>728.0273681479019</v>
      </c>
      <c r="H385" t="inlineStr">
        <is>
          <t>{"type": "float", "value": 728.0273681479019}</t>
        </is>
      </c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>
        <f>R[-12]C[0]+R[-9]C[0]+R[-3]C[0]</f>
        <v/>
      </c>
      <c r="W3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>
        <f>S21+S24+S30</f>
        <v/>
      </c>
      <c r="G386" t="n">
        <v>717.072345384845</v>
      </c>
      <c r="H386" t="inlineStr">
        <is>
          <t>{"type": "float", "value": 717.072345384845}</t>
        </is>
      </c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>
        <f>R[-12]C[0]+R[-9]C[0]+R[-3]C[0]</f>
        <v/>
      </c>
      <c r="W3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G387" t="inlineStr">
        <is>
          <t>Closing bal</t>
        </is>
      </c>
      <c r="H387" t="inlineStr">
        <is>
          <t>{"type": "str", "value": "Closing bal"}</t>
        </is>
      </c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W3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>
        <f>N32+N33</f>
        <v/>
      </c>
      <c r="G388" t="n">
        <v>2559.11</v>
      </c>
      <c r="H388" t="inlineStr">
        <is>
          <t>{"type": "float", "value": 2559.11}</t>
        </is>
      </c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>
        <f>R[-2]C[0]+R[-1]C[0]</f>
        <v/>
      </c>
      <c r="W38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>
        <f>O32+O33</f>
        <v/>
      </c>
      <c r="G389" t="n">
        <v>3143.421708963787</v>
      </c>
      <c r="H389" t="inlineStr">
        <is>
          <t>{"type": "float", "value": 3143.421708963787}</t>
        </is>
      </c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>
        <f>R[-2]C[0]+R[-1]C[0]</f>
        <v/>
      </c>
      <c r="W38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>
        <f>P32+P33</f>
        <v/>
      </c>
      <c r="G390" t="n">
        <v>3888.890718034904</v>
      </c>
      <c r="H390" t="inlineStr">
        <is>
          <t>{"type": "float", "value": 3888.890718034904}</t>
        </is>
      </c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>
        <f>R[-2]C[0]+R[-1]C[0]</f>
        <v/>
      </c>
      <c r="W39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>
        <f>Q32+Q33</f>
        <v/>
      </c>
      <c r="G391" t="n">
        <v>4626.195635123337</v>
      </c>
      <c r="H391" t="inlineStr">
        <is>
          <t>{"type": "float", "value": 4626.195635123337}</t>
        </is>
      </c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>
        <f>R[-2]C[0]+R[-1]C[0]</f>
        <v/>
      </c>
      <c r="W39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>
        <f>R32+R33</f>
        <v/>
      </c>
      <c r="G392" t="n">
        <v>5354.223003271239</v>
      </c>
      <c r="H392" t="inlineStr">
        <is>
          <t>{"type": "float", "value": 5354.223003271239}</t>
        </is>
      </c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>
        <f>R[-2]C[0]+R[-1]C[0]</f>
        <v/>
      </c>
      <c r="W39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>
        <f>S32+S33</f>
        <v/>
      </c>
      <c r="G393" t="n">
        <v>6071.295348656084</v>
      </c>
      <c r="H393" t="inlineStr">
        <is>
          <t>{"type": "float", "value": 6071.295348656084}</t>
        </is>
      </c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>
        <f>R[-2]C[0]+R[-1]C[0]</f>
        <v/>
      </c>
      <c r="W39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Freehold Non Mining Land</t>
        </is>
      </c>
      <c r="H2" t="inlineStr">
        <is>
          <t>{"type": "str", "value": "Freehold Non Mining Land"}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n">
        <v>2015</v>
      </c>
      <c r="H3" t="inlineStr">
        <is>
          <t>{"type": "int", "value": 2015}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G4" t="n">
        <v>2016</v>
      </c>
      <c r="H4" t="inlineStr">
        <is>
          <t>{"type": "int", "value": 2016}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G5" t="n">
        <v>2017</v>
      </c>
      <c r="H5" t="inlineStr">
        <is>
          <t>{"type": "int", "value": 2017}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G6" t="inlineStr">
        <is>
          <t>2018 F</t>
        </is>
      </c>
      <c r="H6" t="inlineStr">
        <is>
          <t>{"type": "str", "value": "2018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G7" t="inlineStr">
        <is>
          <t>2019 F</t>
        </is>
      </c>
      <c r="H7" t="inlineStr">
        <is>
          <t>{"type": "str", "value": "2019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G8" t="inlineStr">
        <is>
          <t>2020 F</t>
        </is>
      </c>
      <c r="H8" t="inlineStr">
        <is>
          <t>{"type": "str", "value": "2020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G9" t="inlineStr">
        <is>
          <t>2021 F</t>
        </is>
      </c>
      <c r="H9" t="inlineStr">
        <is>
          <t>{"type": "str", "value": "2021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G10" t="inlineStr">
        <is>
          <t>2022 F</t>
        </is>
      </c>
      <c r="H10" t="inlineStr">
        <is>
          <t>{"type": "str", "value": "2022 F"}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G11" t="n">
        <v>2017</v>
      </c>
      <c r="H11" t="inlineStr">
        <is>
          <t>{"type": "int", "value": 2017}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G12" t="inlineStr">
        <is>
          <t>2018 F</t>
        </is>
      </c>
      <c r="H12" t="inlineStr">
        <is>
          <t>{"type": "str", "value": "2018 F"}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G13" t="inlineStr">
        <is>
          <t>2019 F</t>
        </is>
      </c>
      <c r="H13" t="inlineStr">
        <is>
          <t>{"type": "str", "value": "2019 F"}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G14" t="inlineStr">
        <is>
          <t>2020 F</t>
        </is>
      </c>
      <c r="H14" t="inlineStr">
        <is>
          <t>{"type": "str", "value": "2020 F"}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G15" t="inlineStr">
        <is>
          <t>2021 F</t>
        </is>
      </c>
      <c r="H15" t="inlineStr">
        <is>
          <t>{"type": "str", "value": "2021 F"}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G16" t="inlineStr">
        <is>
          <t>2022 F</t>
        </is>
      </c>
      <c r="H16" t="inlineStr">
        <is>
          <t>{"type": "str", "value": "2022 F"}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G17" t="inlineStr">
        <is>
          <t>Opening balance</t>
        </is>
      </c>
      <c r="H17" t="inlineStr">
        <is>
          <t>{"type": "str", "value": "Opening balance"}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G18" t="n">
        <v>130.61</v>
      </c>
      <c r="H18" t="inlineStr">
        <is>
          <t>{"type": "float", "value": 130.61}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>
        <f>D6</f>
        <v/>
      </c>
      <c r="G19" t="n">
        <v>130.61</v>
      </c>
      <c r="H19" t="inlineStr">
        <is>
          <t>{"type": "float", "value": 130.61}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>
        <f>R[4]C[-1]</f>
        <v/>
      </c>
      <c r="W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>
        <f>E6</f>
        <v/>
      </c>
      <c r="G20" t="n">
        <v>130.61</v>
      </c>
      <c r="H20" t="inlineStr">
        <is>
          <t>{"type": "float", "value": 130.61}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>
        <f>R[4]C[-1]</f>
        <v/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>
        <f>F6</f>
        <v/>
      </c>
      <c r="G21" t="n">
        <v>130.61</v>
      </c>
      <c r="H21" t="inlineStr">
        <is>
          <t>{"type": "float", "value": 130.61}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>
        <f>R[4]C[-1]</f>
        <v/>
      </c>
      <c r="W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>
        <f>G6</f>
        <v/>
      </c>
      <c r="G22" t="n">
        <v>130.61</v>
      </c>
      <c r="H22" t="inlineStr">
        <is>
          <t>{"type": "float", "value": 130.61}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>
        <f>R[4]C[-1]</f>
        <v/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>
        <f>H6</f>
        <v/>
      </c>
      <c r="G23" t="n">
        <v>130.61</v>
      </c>
      <c r="H23" t="inlineStr">
        <is>
          <t>{"type": "float", "value": 130.61}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>
        <f>R[4]C[-1]</f>
        <v/>
      </c>
      <c r="W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G24" t="inlineStr">
        <is>
          <t>Capex</t>
        </is>
      </c>
      <c r="H24" t="inlineStr">
        <is>
          <t>{"type": "str", "value": "Capex"}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W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>
        <f>SUM(O5:O15)</f>
        <v/>
      </c>
      <c r="G25" t="n">
        <v>377.9</v>
      </c>
      <c r="H25" t="inlineStr">
        <is>
          <t>{"type": "float", "value": 377.90000000000003}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V25">
        <f>SUM(R[3]C[0]:R[13]C[0])</f>
        <v/>
      </c>
      <c r="W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>
        <f>'Financial Statements'!E2*'Asset schedule'!P3</f>
        <v/>
      </c>
      <c r="G26" t="n">
        <v>406.8404430379748</v>
      </c>
      <c r="H26" t="inlineStr">
        <is>
          <t>{"type": "float", "value": 406.84044303797475}</t>
        </is>
      </c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>
        <f>'Financial Statements'!R[0]C[-11]*R[1]C[0]</f>
        <v/>
      </c>
      <c r="W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>
        <f>'Financial Statements'!F2*'Asset schedule'!Q3</f>
        <v/>
      </c>
      <c r="G27" t="n">
        <v>437.730180379747</v>
      </c>
      <c r="H27" t="inlineStr">
        <is>
          <t>{"type": "float", "value": 437.73018037974697}</t>
        </is>
      </c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>
        <f>'Financial Statements'!R[0]C[-11]*R[1]C[0]</f>
        <v/>
      </c>
      <c r="W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>
        <f>'Financial Statements'!G2*'Asset schedule'!R3</f>
        <v/>
      </c>
      <c r="G28" t="n">
        <v>470.6917903481014</v>
      </c>
      <c r="H28" t="inlineStr">
        <is>
          <t>{"type": "float", "value": 470.6917903481014}</t>
        </is>
      </c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>
        <f>'Financial Statements'!R[0]C[-11]*R[1]C[0]</f>
        <v/>
      </c>
      <c r="W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>
        <f>'Financial Statements'!H2*'Asset schedule'!S3</f>
        <v/>
      </c>
      <c r="G29" t="n">
        <v>505.8552358623419</v>
      </c>
      <c r="H29" t="inlineStr">
        <is>
          <t>{"type": "float", "value": 505.8552358623419}</t>
        </is>
      </c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>
        <f>'Financial Statements'!R[0]C[-11]*R[1]C[0]</f>
        <v/>
      </c>
      <c r="W2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>
        <f>'Financial Statements'!I2*'Asset schedule'!T3</f>
        <v/>
      </c>
      <c r="G30" t="n">
        <v>543.3582964521364</v>
      </c>
      <c r="H30" t="inlineStr">
        <is>
          <t>{"type": "float", "value": 543.3582964521364}</t>
        </is>
      </c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>
        <f>'Financial Statements'!R[0]C[-11]*R[1]C[0]</f>
        <v/>
      </c>
      <c r="W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G31" t="inlineStr">
        <is>
          <t>Add: purchase during the year</t>
        </is>
      </c>
      <c r="H31" t="inlineStr">
        <is>
          <t>{"type": "str", "value": "Add: purchase during the year"}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G32" t="n">
        <v>0</v>
      </c>
      <c r="H32" t="inlineStr">
        <is>
          <t>{"type": "int", "value": 0}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>
        <f>INDEX($L$4:$T$15,MATCH($A1,$L$4:$L$15,0),MATCH(E1,$L$4:$T$4,0))</f>
        <v/>
      </c>
      <c r="G33" t="n">
        <v>0</v>
      </c>
      <c r="H33" t="inlineStr">
        <is>
          <t>{"type": "int", "value": 0}</t>
        </is>
      </c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>
        <f>INDEX(R4C12:R15C20,MATCH(R[-2]C1,R4C12:R15C12,0),MATCH(R[-2]C[0],R4C12:R4C20,0))</f>
        <v/>
      </c>
      <c r="W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>
        <f>INDEX($L$4:$T$15,MATCH($A1,$L$4:$L$15,0),MATCH(F1,$L$4:$T$4,0))</f>
        <v/>
      </c>
      <c r="G34" t="n">
        <v>0</v>
      </c>
      <c r="H34" t="inlineStr">
        <is>
          <t>{"type": "int", "value": 0}</t>
        </is>
      </c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>
        <f>INDEX(R4C12:R15C20,MATCH(R[-2]C1,R4C12:R15C12,0),MATCH(R[-2]C[0],R4C12:R4C20,0))</f>
        <v/>
      </c>
      <c r="W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>
        <f>INDEX($L$4:$T$15,MATCH($A1,$L$4:$L$15,0),MATCH(G1,$L$4:$T$4,0))</f>
        <v/>
      </c>
      <c r="G35" t="n">
        <v>0</v>
      </c>
      <c r="H35" t="inlineStr">
        <is>
          <t>{"type": "int", "value": 0}</t>
        </is>
      </c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>
        <f>INDEX(R4C12:R15C20,MATCH(R[-2]C1,R4C12:R15C12,0),MATCH(R[-2]C[0],R4C12:R4C20,0))</f>
        <v/>
      </c>
      <c r="W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>
        <f>INDEX($L$4:$T$15,MATCH($A1,$L$4:$L$15,0),MATCH(H1,$L$4:$T$4,0))</f>
        <v/>
      </c>
      <c r="G36" t="n">
        <v>0</v>
      </c>
      <c r="H36" t="inlineStr">
        <is>
          <t>{"type": "int", "value": 0}</t>
        </is>
      </c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>
        <f>INDEX(R4C12:R15C20,MATCH(R[-2]C1,R4C12:R15C12,0),MATCH(R[-2]C[0],R4C12:R4C20,0))</f>
        <v/>
      </c>
      <c r="W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>
        <f>INDEX($L$4:$T$15,MATCH($A1,$L$4:$L$15,0),MATCH(I1,$L$4:$T$4,0))</f>
        <v/>
      </c>
      <c r="G37" t="n">
        <v>0</v>
      </c>
      <c r="H37" t="inlineStr">
        <is>
          <t>{"type": "int", "value": 0}</t>
        </is>
      </c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>
        <f>INDEX(R4C12:R15C20,MATCH(R[-2]C1,R4C12:R15C12,0),MATCH(R[-2]C[0],R4C12:R4C20,0))</f>
        <v/>
      </c>
      <c r="W3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G38" t="inlineStr">
        <is>
          <t>Capex as % of revenue</t>
        </is>
      </c>
      <c r="H38" t="inlineStr">
        <is>
          <t>{"type": "str", "value": "Capex as % of revenue"}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>
        <f>O2/'Financial Statements'!D2</f>
        <v/>
      </c>
      <c r="G39" t="n">
        <v>0.02817294115366666</v>
      </c>
      <c r="H39" t="inlineStr">
        <is>
          <t>{"type": "float", "value": 0.02817294115366666}</t>
        </is>
      </c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V39">
        <f>R[-1]C[0]/'Financial Statements'!R[-1]C[-11]</f>
        <v/>
      </c>
      <c r="W39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>
        <f>O3</f>
        <v/>
      </c>
      <c r="G40" t="n">
        <v>0.02817294115366666</v>
      </c>
      <c r="H40" t="inlineStr">
        <is>
          <t>{"type": "float", "value": 0.02817294115366666}</t>
        </is>
      </c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>
        <f>R[0]C[-1]</f>
        <v/>
      </c>
      <c r="W40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>
        <f>P3</f>
        <v/>
      </c>
      <c r="G41" t="n">
        <v>0.02817294115366666</v>
      </c>
      <c r="H41" t="inlineStr">
        <is>
          <t>{"type": "float", "value": 0.02817294115366666}</t>
        </is>
      </c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>
        <f>R[0]C[-1]</f>
        <v/>
      </c>
      <c r="W41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>
        <f>Q3</f>
        <v/>
      </c>
      <c r="G42" t="n">
        <v>0.02817294115366666</v>
      </c>
      <c r="H42" t="inlineStr">
        <is>
          <t>{"type": "float", "value": 0.02817294115366666}</t>
        </is>
      </c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>
        <f>R[0]C[-1]</f>
        <v/>
      </c>
      <c r="W42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>
        <f>R3</f>
        <v/>
      </c>
      <c r="G43" t="n">
        <v>0.02817294115366666</v>
      </c>
      <c r="H43" t="inlineStr">
        <is>
          <t>{"type": "float", "value": 0.02817294115366666}</t>
        </is>
      </c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>
        <f>R[0]C[-1]</f>
        <v/>
      </c>
      <c r="W43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>
        <f>S3</f>
        <v/>
      </c>
      <c r="G44" t="n">
        <v>0.02817294115366666</v>
      </c>
      <c r="H44" t="inlineStr">
        <is>
          <t>{"type": "float", "value": 0.02817294115366666}</t>
        </is>
      </c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>
        <f>R[0]C[-1]</f>
        <v/>
      </c>
      <c r="W44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G45" t="inlineStr">
        <is>
          <t>Less: Sale during the year</t>
        </is>
      </c>
      <c r="H45" t="inlineStr">
        <is>
          <t>{"type": "str", "value": "Less: Sale during the year"}</t>
        </is>
      </c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G46" t="n">
        <v>0</v>
      </c>
      <c r="H46" t="inlineStr">
        <is>
          <t>{"type": "int", "value": 0}</t>
        </is>
      </c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G47" t="n">
        <v>0</v>
      </c>
      <c r="H47" t="inlineStr">
        <is>
          <t>{"type": "int", "value": 0}</t>
        </is>
      </c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G48" t="n">
        <v>0</v>
      </c>
      <c r="H48" t="inlineStr">
        <is>
          <t>{"type": "int", "value": 0}</t>
        </is>
      </c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G49" t="n">
        <v>0</v>
      </c>
      <c r="H49" t="inlineStr">
        <is>
          <t>{"type": "int", "value": 0}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G50" t="n">
        <v>0</v>
      </c>
      <c r="H50" t="inlineStr">
        <is>
          <t>{"type": "int", "value": 0}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G51" t="n">
        <v>0</v>
      </c>
      <c r="H51" t="inlineStr">
        <is>
          <t>{"type": "int", "value": 0}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G52" t="n">
        <v>2017</v>
      </c>
      <c r="H52" t="inlineStr">
        <is>
          <t>{"type": "int", "value": 2017}</t>
        </is>
      </c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W5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G53" t="inlineStr">
        <is>
          <t>2018 F</t>
        </is>
      </c>
      <c r="H53" t="inlineStr">
        <is>
          <t>{"type": "str", "value": "2018 F"}</t>
        </is>
      </c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W5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G54" t="inlineStr">
        <is>
          <t>2019 F</t>
        </is>
      </c>
      <c r="H54" t="inlineStr">
        <is>
          <t>{"type": "str", "value": "2019 F"}</t>
        </is>
      </c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W5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G55" t="inlineStr">
        <is>
          <t>2020 F</t>
        </is>
      </c>
      <c r="H55" t="inlineStr">
        <is>
          <t>{"type": "str", "value": "2020 F"}</t>
        </is>
      </c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W5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G56" t="inlineStr">
        <is>
          <t>2021 F</t>
        </is>
      </c>
      <c r="H56" t="inlineStr">
        <is>
          <t>{"type": "str", "value": "2021 F"}</t>
        </is>
      </c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W5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G57" t="inlineStr">
        <is>
          <t>2022 F</t>
        </is>
      </c>
      <c r="H57" t="inlineStr">
        <is>
          <t>{"type": "str", "value": "2022 F"}</t>
        </is>
      </c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W5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G58" t="inlineStr">
        <is>
          <t>Less: Dep</t>
        </is>
      </c>
      <c r="H58" t="inlineStr">
        <is>
          <t>{"type": "str", "value": "Less: Dep"}</t>
        </is>
      </c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G59" t="n">
        <v>0</v>
      </c>
      <c r="H59" t="inlineStr">
        <is>
          <t>{"type": "int", "value": 0}</t>
        </is>
      </c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>
        <f>E2*$B7</f>
        <v/>
      </c>
      <c r="G60" t="n">
        <v>0</v>
      </c>
      <c r="H60" t="inlineStr">
        <is>
          <t>{"type": "int", "value": 0}</t>
        </is>
      </c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V60">
        <f>R[-3]C[0]*R[2]C2</f>
        <v/>
      </c>
      <c r="W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>
        <f>F2*$B$7</f>
        <v/>
      </c>
      <c r="G61" t="n">
        <v>0</v>
      </c>
      <c r="H61" t="inlineStr">
        <is>
          <t>{"type": "int", "value": 0}</t>
        </is>
      </c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>
        <f>R[-3]C[0]*R7C2</f>
        <v/>
      </c>
      <c r="W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>
        <f>G2*$B$7</f>
        <v/>
      </c>
      <c r="G62" t="n">
        <v>0</v>
      </c>
      <c r="H62" t="inlineStr">
        <is>
          <t>{"type": "int", "value": 0}</t>
        </is>
      </c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>
        <f>R[-3]C[0]*R7C2</f>
        <v/>
      </c>
      <c r="W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>
        <f>H2*$B$7</f>
        <v/>
      </c>
      <c r="G63" t="n">
        <v>0</v>
      </c>
      <c r="H63" t="inlineStr">
        <is>
          <t>{"type": "int", "value": 0}</t>
        </is>
      </c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>
        <f>R[-3]C[0]*R7C2</f>
        <v/>
      </c>
      <c r="W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>
        <f>I2*$B$7</f>
        <v/>
      </c>
      <c r="G64" t="n">
        <v>0</v>
      </c>
      <c r="H64" t="inlineStr">
        <is>
          <t>{"type": "int", "value": 0}</t>
        </is>
      </c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>
        <f>R[-3]C[0]*R7C2</f>
        <v/>
      </c>
      <c r="W6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G65" t="inlineStr">
        <is>
          <t>Freehold Non Mining Land</t>
        </is>
      </c>
      <c r="H65" t="inlineStr">
        <is>
          <t>{"type": "str", "value": "Freehold Non Mining Land"}</t>
        </is>
      </c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>
        <f>O5/$O$16</f>
        <v/>
      </c>
      <c r="G66" t="n">
        <v>0</v>
      </c>
      <c r="H66" t="inlineStr">
        <is>
          <t>{"type": "int", "value": 0}</t>
        </is>
      </c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>
        <f>R[0]C[1]/R16C15</f>
        <v/>
      </c>
      <c r="W6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>
        <f>D3</f>
        <v/>
      </c>
      <c r="G67" t="n">
        <v>0</v>
      </c>
      <c r="H67" t="inlineStr">
        <is>
          <t>{"type": "int", "value": 0}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V67">
        <f>R[-2]C[-11]</f>
        <v/>
      </c>
      <c r="W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>
        <f>P$2*$N5</f>
        <v/>
      </c>
      <c r="G68" t="n">
        <v>0</v>
      </c>
      <c r="H68" t="inlineStr">
        <is>
          <t>{"type": "int", "value": 0}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>
        <f>R2C[0]*R[0]C14</f>
        <v/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>
        <f>Q$2*$N5</f>
        <v/>
      </c>
      <c r="G69" t="n">
        <v>0</v>
      </c>
      <c r="H69" t="inlineStr">
        <is>
          <t>{"type": "int", "value": 0}</t>
        </is>
      </c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>
        <f>R2C[0]*R[0]C14</f>
        <v/>
      </c>
      <c r="W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>
        <f>R$2*$N5</f>
        <v/>
      </c>
      <c r="G70" t="n">
        <v>0</v>
      </c>
      <c r="H70" t="inlineStr">
        <is>
          <t>{"type": "int", "value": 0}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>
        <f>R2C[0]*R[0]C14</f>
        <v/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>
        <f>S$2*$N5</f>
        <v/>
      </c>
      <c r="G71" t="n">
        <v>0</v>
      </c>
      <c r="H71" t="inlineStr">
        <is>
          <t>{"type": "int", "value": 0}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>
        <f>R2C[0]*R[0]C14</f>
        <v/>
      </c>
      <c r="W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>
        <f>T$2*$N5</f>
        <v/>
      </c>
      <c r="G72" t="n">
        <v>0</v>
      </c>
      <c r="H72" t="inlineStr">
        <is>
          <t>{"type": "int", "value": 0}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>
        <f>R2C[0]*R[0]C14</f>
        <v/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G73" t="inlineStr">
        <is>
          <t>Closing balance</t>
        </is>
      </c>
      <c r="H73" t="inlineStr">
        <is>
          <t>{"type": "str", "value": "Closing balance"}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G74" t="n">
        <v>130.61</v>
      </c>
      <c r="H74" t="inlineStr">
        <is>
          <t>{"type": "float", "value": 130.61}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>
        <f>E2+E3-E4-E5</f>
        <v/>
      </c>
      <c r="G75" t="n">
        <v>130.61</v>
      </c>
      <c r="H75" t="inlineStr">
        <is>
          <t>{"type": "float", "value": 130.61}</t>
        </is>
      </c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>
        <f>R[-4]C[0]+R[-3]C[0]-R[-2]C[0]-R[-1]C[0]</f>
        <v/>
      </c>
      <c r="W7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>
        <f>F2+F3-F4-F5</f>
        <v/>
      </c>
      <c r="G76" t="n">
        <v>130.61</v>
      </c>
      <c r="H76" t="inlineStr">
        <is>
          <t>{"type": "float", "value": 130.61}</t>
        </is>
      </c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>
        <f>R[-4]C[0]+R[-3]C[0]-R[-2]C[0]-R[-1]C[0]</f>
        <v/>
      </c>
      <c r="W7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>
        <f>G2+G3-G4-G5</f>
        <v/>
      </c>
      <c r="G77" t="n">
        <v>130.61</v>
      </c>
      <c r="H77" t="inlineStr">
        <is>
          <t>{"type": "float", "value": 130.61}</t>
        </is>
      </c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>
        <f>R[-4]C[0]+R[-3]C[0]-R[-2]C[0]-R[-1]C[0]</f>
        <v/>
      </c>
      <c r="W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>
        <f>H2+H3-H4-H5</f>
        <v/>
      </c>
      <c r="G78" t="n">
        <v>130.61</v>
      </c>
      <c r="H78" t="inlineStr">
        <is>
          <t>{"type": "float", "value": 130.61}</t>
        </is>
      </c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>
        <f>R[-4]C[0]+R[-3]C[0]-R[-2]C[0]-R[-1]C[0]</f>
        <v/>
      </c>
      <c r="W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>
        <f>I2+I3-I4-I5</f>
        <v/>
      </c>
      <c r="G79" t="n">
        <v>130.61</v>
      </c>
      <c r="H79" t="inlineStr">
        <is>
          <t>{"type": "float", "value": 130.61}</t>
        </is>
      </c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>
        <f>R[-4]C[0]+R[-3]C[0]-R[-2]C[0]-R[-1]C[0]</f>
        <v/>
      </c>
      <c r="W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G80" t="inlineStr">
        <is>
          <t>Freehold Mining Land</t>
        </is>
      </c>
      <c r="H80" t="inlineStr">
        <is>
          <t>{"type": "str", "value": "Freehold Mining Land"}</t>
        </is>
      </c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>
        <f>O6/$O$16</f>
        <v/>
      </c>
      <c r="G81" t="n">
        <v>0.006456734585869277</v>
      </c>
      <c r="H81" t="inlineStr">
        <is>
          <t>{"type": "float", "value": 0.006456734585869277}</t>
        </is>
      </c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>
        <f>R[0]C[1]/R16C15</f>
        <v/>
      </c>
      <c r="W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>
        <f>D11</f>
        <v/>
      </c>
      <c r="G82" t="n">
        <v>2.44</v>
      </c>
      <c r="H82" t="inlineStr">
        <is>
          <t>{"type": "float", "value": 2.44}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V82">
        <f>R[5]C[-11]</f>
        <v/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>
        <f>P$2*$N6</f>
        <v/>
      </c>
      <c r="G83" t="n">
        <v>2.626860759493671</v>
      </c>
      <c r="H83" t="inlineStr">
        <is>
          <t>{"type": "float", "value": 2.6268607594936713}</t>
        </is>
      </c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>
        <f>R2C[0]*R[0]C14</f>
        <v/>
      </c>
      <c r="W8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>
        <f>Q$2*$N6</f>
        <v/>
      </c>
      <c r="G84" t="n">
        <v>2.82630759493671</v>
      </c>
      <c r="H84" t="inlineStr">
        <is>
          <t>{"type": "float", "value": 2.8263075949367096}</t>
        </is>
      </c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>
        <f>R2C[0]*R[0]C14</f>
        <v/>
      </c>
      <c r="W8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>
        <f>R$2*$N6</f>
        <v/>
      </c>
      <c r="G85" t="n">
        <v>3.039131962025317</v>
      </c>
      <c r="H85" t="inlineStr">
        <is>
          <t>{"type": "float", "value": 3.039131962025317}</t>
        </is>
      </c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>
        <f>R2C[0]*R[0]C14</f>
        <v/>
      </c>
      <c r="W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>
        <f>S$2*$N6</f>
        <v/>
      </c>
      <c r="G86" t="n">
        <v>3.266172996835444</v>
      </c>
      <c r="H86" t="inlineStr">
        <is>
          <t>{"type": "float", "value": 3.2661729968354436}</t>
        </is>
      </c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>
        <f>R2C[0]*R[0]C14</f>
        <v/>
      </c>
      <c r="W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>
        <f>T$2*$N6</f>
        <v/>
      </c>
      <c r="G87" t="n">
        <v>3.508320305221521</v>
      </c>
      <c r="H87" t="inlineStr">
        <is>
          <t>{"type": "float", "value": 3.508320305221521}</t>
        </is>
      </c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>
        <f>R2C[0]*R[0]C14</f>
        <v/>
      </c>
      <c r="W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G88" t="inlineStr">
        <is>
          <t>Depreciation rate</t>
        </is>
      </c>
      <c r="H88" t="inlineStr">
        <is>
          <t>{"type": "str", "value": "Depreciation rate"}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>
        <f>D5/(D2+D3-D4)</f>
        <v/>
      </c>
      <c r="G89" t="n">
        <v>0</v>
      </c>
      <c r="H89" t="inlineStr">
        <is>
          <t>{"type": "int", "value": 0}</t>
        </is>
      </c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>
        <f>R[-2]C[2]/(R[-5]C[2]+R[-4]C[2]-R[-3]C[2])</f>
        <v/>
      </c>
      <c r="W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G90" t="inlineStr">
        <is>
          <t>Leasehold Land</t>
        </is>
      </c>
      <c r="H90" t="inlineStr">
        <is>
          <t>{"type": "str", "value": "Leasehold Land"}</t>
        </is>
      </c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>
        <f>O7/$O$16</f>
        <v/>
      </c>
      <c r="G91" t="n">
        <v>0.007594601746493781</v>
      </c>
      <c r="H91" t="inlineStr">
        <is>
          <t>{"type": "float", "value": 0.007594601746493781}</t>
        </is>
      </c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>
        <f>R[0]C[1]/R16C15</f>
        <v/>
      </c>
      <c r="W9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>
        <f>D19</f>
        <v/>
      </c>
      <c r="G92" t="n">
        <v>2.87</v>
      </c>
      <c r="H92" t="inlineStr">
        <is>
          <t>{"type": "float", "value": 2.87}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V92">
        <f>R[12]C[-11]</f>
        <v/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>
        <f>P$2*$N7</f>
        <v/>
      </c>
      <c r="G93" t="n">
        <v>3.089791139240507</v>
      </c>
      <c r="H93" t="inlineStr">
        <is>
          <t>{"type": "float", "value": 3.0897911392405066}</t>
        </is>
      </c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>
        <f>R2C[0]*R[0]C14</f>
        <v/>
      </c>
      <c r="W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>
        <f>Q$2*$N7</f>
        <v/>
      </c>
      <c r="G94" t="n">
        <v>3.324386392405064</v>
      </c>
      <c r="H94" t="inlineStr">
        <is>
          <t>{"type": "float", "value": 3.324386392405064}</t>
        </is>
      </c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>
        <f>R2C[0]*R[0]C14</f>
        <v/>
      </c>
      <c r="W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>
        <f>R$2*$N7</f>
        <v/>
      </c>
      <c r="G95" t="n">
        <v>3.574716693037975</v>
      </c>
      <c r="H95" t="inlineStr">
        <is>
          <t>{"type": "float", "value": 3.5747166930379755}</t>
        </is>
      </c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>
        <f>R2C[0]*R[0]C14</f>
        <v/>
      </c>
      <c r="W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>
        <f>S$2*$N7</f>
        <v/>
      </c>
      <c r="G96" t="n">
        <v>3.841769057753165</v>
      </c>
      <c r="H96" t="inlineStr">
        <is>
          <t>{"type": "float", "value": 3.841769057753165}</t>
        </is>
      </c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>
        <f>R2C[0]*R[0]C14</f>
        <v/>
      </c>
      <c r="W9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>
        <f>T$2*$N7</f>
        <v/>
      </c>
      <c r="G97" t="n">
        <v>4.126589867207281</v>
      </c>
      <c r="H97" t="inlineStr">
        <is>
          <t>{"type": "float", "value": 4.126589867207281}</t>
        </is>
      </c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>
        <f>R2C[0]*R[0]C14</f>
        <v/>
      </c>
      <c r="W9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G98" t="inlineStr">
        <is>
          <t>Buildings</t>
        </is>
      </c>
      <c r="H98" t="inlineStr">
        <is>
          <t>{"type": "str", "value": "Buildings"}</t>
        </is>
      </c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>
        <f>O8/$O$16</f>
        <v/>
      </c>
      <c r="G99" t="n">
        <v>0.09465467054776396</v>
      </c>
      <c r="H99" t="inlineStr">
        <is>
          <t>{"type": "float", "value": 0.09465467054776396}</t>
        </is>
      </c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>
        <f>R[0]C[1]/R16C15</f>
        <v/>
      </c>
      <c r="W9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>
        <f>D27</f>
        <v/>
      </c>
      <c r="G100" t="n">
        <v>35.77</v>
      </c>
      <c r="H100" t="inlineStr">
        <is>
          <t>{"type": "float", "value": 35.77}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V100">
        <f>R[19]C[-11]</f>
        <v/>
      </c>
      <c r="W1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>
        <f>P$2*$N8</f>
        <v/>
      </c>
      <c r="G101" t="n">
        <v>38.50934810126583</v>
      </c>
      <c r="H101" t="inlineStr">
        <is>
          <t>{"type": "float", "value": 38.50934810126583}</t>
        </is>
      </c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>
        <f>R2C[0]*R[0]C14</f>
        <v/>
      </c>
      <c r="W10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>
        <f>Q$2*$N8</f>
        <v/>
      </c>
      <c r="G102" t="n">
        <v>41.43320601265824</v>
      </c>
      <c r="H102" t="inlineStr">
        <is>
          <t>{"type": "float", "value": 41.43320601265824}</t>
        </is>
      </c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>
        <f>R2C[0]*R[0]C14</f>
        <v/>
      </c>
      <c r="W10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>
        <f>R$2*$N8</f>
        <v/>
      </c>
      <c r="G103" t="n">
        <v>44.55317634493672</v>
      </c>
      <c r="H103" t="inlineStr">
        <is>
          <t>{"type": "float", "value": 44.553176344936716}</t>
        </is>
      </c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>
        <f>R2C[0]*R[0]C14</f>
        <v/>
      </c>
      <c r="W1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>
        <f>S$2*$N8</f>
        <v/>
      </c>
      <c r="G104" t="n">
        <v>47.8815606954114</v>
      </c>
      <c r="H104" t="inlineStr">
        <is>
          <t>{"type": "float", "value": 47.8815606954114}</t>
        </is>
      </c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>
        <f>R2C[0]*R[0]C14</f>
        <v/>
      </c>
      <c r="W10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>
        <f>T$2*$N8</f>
        <v/>
      </c>
      <c r="G105" t="n">
        <v>51.43140054007123</v>
      </c>
      <c r="H105" t="inlineStr">
        <is>
          <t>{"type": "float", "value": 51.43140054007123}</t>
        </is>
      </c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>
        <f>R2C[0]*R[0]C14</f>
        <v/>
      </c>
      <c r="W10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G106" t="inlineStr">
        <is>
          <t>Freehold Mining Land</t>
        </is>
      </c>
      <c r="H106" t="inlineStr">
        <is>
          <t>{"type": "str", "value": "Freehold Mining Land"}</t>
        </is>
      </c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G107" t="n">
        <v>2015</v>
      </c>
      <c r="H107" t="inlineStr">
        <is>
          <t>{"type": "int", "value": 2015}</t>
        </is>
      </c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W1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G108" t="n">
        <v>2016</v>
      </c>
      <c r="H108" t="inlineStr">
        <is>
          <t>{"type": "int", "value": 2016}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W1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G109" t="n">
        <v>2017</v>
      </c>
      <c r="H109" t="inlineStr">
        <is>
          <t>{"type": "int", "value": 2017}</t>
        </is>
      </c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W10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G110" t="inlineStr">
        <is>
          <t>2018 F</t>
        </is>
      </c>
      <c r="H110" t="inlineStr">
        <is>
          <t>{"type": "str", "value": "2018 F"}</t>
        </is>
      </c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W1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G111" t="inlineStr">
        <is>
          <t>2019 F</t>
        </is>
      </c>
      <c r="H111" t="inlineStr">
        <is>
          <t>{"type": "str", "value": "2019 F"}</t>
        </is>
      </c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W1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G112" t="inlineStr">
        <is>
          <t>2020 F</t>
        </is>
      </c>
      <c r="H112" t="inlineStr">
        <is>
          <t>{"type": "str", "value": "2020 F"}</t>
        </is>
      </c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W1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G113" t="inlineStr">
        <is>
          <t>2021 F</t>
        </is>
      </c>
      <c r="H113" t="inlineStr">
        <is>
          <t>{"type": "str", "value": "2021 F"}</t>
        </is>
      </c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W1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G114" t="inlineStr">
        <is>
          <t>2022 F</t>
        </is>
      </c>
      <c r="H114" t="inlineStr">
        <is>
          <t>{"type": "str", "value": "2022 F"}</t>
        </is>
      </c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W1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G115" t="inlineStr">
        <is>
          <t>Plants &amp; Eq</t>
        </is>
      </c>
      <c r="H115" t="inlineStr">
        <is>
          <t>{"type": "str", "value": "Plants &amp; Eq"}</t>
        </is>
      </c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W11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>
        <f>O9/$O$16</f>
        <v/>
      </c>
      <c r="G116" t="n">
        <v>0.66806033342154</v>
      </c>
      <c r="H116" t="inlineStr">
        <is>
          <t>{"type": "float", "value": 0.66806033342154}</t>
        </is>
      </c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>
        <f>R[0]C[1]/R16C15</f>
        <v/>
      </c>
      <c r="W11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>
        <f>D35</f>
        <v/>
      </c>
      <c r="G117" t="n">
        <v>252.46</v>
      </c>
      <c r="H117" t="inlineStr">
        <is>
          <t>{"type": "float", "value": 252.46}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V117">
        <f>R[26]C[-11]</f>
        <v/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>
        <f>P$2*$N9</f>
        <v/>
      </c>
      <c r="G118" t="n">
        <v>271.7939620253165</v>
      </c>
      <c r="H118" t="inlineStr">
        <is>
          <t>{"type": "float", "value": 271.7939620253165}</t>
        </is>
      </c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>
        <f>R2C[0]*R[0]C14</f>
        <v/>
      </c>
      <c r="W11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>
        <f>Q$2*$N9</f>
        <v/>
      </c>
      <c r="G119" t="n">
        <v>292.4301702531646</v>
      </c>
      <c r="H119" t="inlineStr">
        <is>
          <t>{"type": "float", "value": 292.43017025316465}</t>
        </is>
      </c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>
        <f>R2C[0]*R[0]C14</f>
        <v/>
      </c>
      <c r="W11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>
        <f>R$2*$N9</f>
        <v/>
      </c>
      <c r="G120" t="n">
        <v>314.4505143987342</v>
      </c>
      <c r="H120" t="inlineStr">
        <is>
          <t>{"type": "float", "value": 314.45051439873424}</t>
        </is>
      </c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>
        <f>R2C[0]*R[0]C14</f>
        <v/>
      </c>
      <c r="W12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>
        <f>S$2*$N9</f>
        <v/>
      </c>
      <c r="G121" t="n">
        <v>337.9418175332279</v>
      </c>
      <c r="H121" t="inlineStr">
        <is>
          <t>{"type": "float", "value": 337.9418175332279}</t>
        </is>
      </c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>
        <f>R2C[0]*R[0]C14</f>
        <v/>
      </c>
      <c r="W12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>
        <f>T$2*$N9</f>
        <v/>
      </c>
      <c r="G122" t="n">
        <v>362.9961246951742</v>
      </c>
      <c r="H122" t="inlineStr">
        <is>
          <t>{"type": "float", "value": 362.9961246951742}</t>
        </is>
      </c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>
        <f>R2C[0]*R[0]C14</f>
        <v/>
      </c>
      <c r="W12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G123" t="inlineStr">
        <is>
          <t>Opening balance</t>
        </is>
      </c>
      <c r="H123" t="inlineStr">
        <is>
          <t>{"type": "str", "value": "Opening balance"}</t>
        </is>
      </c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W1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G124" t="n">
        <v>303.09</v>
      </c>
      <c r="H124" t="inlineStr">
        <is>
          <t>{"type": "float", "value": 303.09}</t>
        </is>
      </c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W1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>
        <f>D14</f>
        <v/>
      </c>
      <c r="G125" t="n">
        <v>304.3</v>
      </c>
      <c r="H125" t="inlineStr">
        <is>
          <t>{"type": "float", "value": 304.3}</t>
        </is>
      </c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>
        <f>R[4]C[-1]</f>
        <v/>
      </c>
      <c r="W1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>
        <f>E14</f>
        <v/>
      </c>
      <c r="G126" t="n">
        <v>306.6571001133368</v>
      </c>
      <c r="H126" t="inlineStr">
        <is>
          <t>{"type": "float", "value": 306.6571001133368}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>
        <f>R[4]C[-1]</f>
        <v/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>
        <f>F14</f>
        <v/>
      </c>
      <c r="G127" t="n">
        <v>309.2115575029657</v>
      </c>
      <c r="H127" t="inlineStr">
        <is>
          <t>{"type": "float", "value": 309.2115575029657}</t>
        </is>
      </c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>
        <f>R[4]C[-1]</f>
        <v/>
      </c>
      <c r="W1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>
        <f>G14</f>
        <v/>
      </c>
      <c r="G128" t="n">
        <v>311.9765747441525</v>
      </c>
      <c r="H128" t="inlineStr">
        <is>
          <t>{"type": "float", "value": 311.97657474415246}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>
        <f>R[4]C[-1]</f>
        <v/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>
        <f>H14</f>
        <v/>
      </c>
      <c r="G129" t="n">
        <v>314.9661818442124</v>
      </c>
      <c r="H129" t="inlineStr">
        <is>
          <t>{"type": "float", "value": 314.9661818442124}</t>
        </is>
      </c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>
        <f>R[4]C[-1]</f>
        <v/>
      </c>
      <c r="W1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G130" t="inlineStr">
        <is>
          <t>Railway sidings</t>
        </is>
      </c>
      <c r="H130" t="inlineStr">
        <is>
          <t>{"type": "str", "value": "Railway sidings"}</t>
        </is>
      </c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W13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>
        <f>O10/$O$16</f>
        <v/>
      </c>
      <c r="G131" t="n">
        <v>0.1332098438740408</v>
      </c>
      <c r="H131" t="inlineStr">
        <is>
          <t>{"type": "float", "value": 0.13320984387404075}</t>
        </is>
      </c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>
        <f>R[0]C[1]/R16C15</f>
        <v/>
      </c>
      <c r="W1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>
        <f>D43</f>
        <v/>
      </c>
      <c r="G132" t="n">
        <v>50.34</v>
      </c>
      <c r="H132" t="inlineStr">
        <is>
          <t>{"type": "float", "value": 50.34}</t>
        </is>
      </c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V132">
        <f>R[33]C[-11]</f>
        <v/>
      </c>
      <c r="W1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>
        <f>P$2*$N10</f>
        <v/>
      </c>
      <c r="G133" t="n">
        <v>54.19515189873419</v>
      </c>
      <c r="H133" t="inlineStr">
        <is>
          <t>{"type": "float", "value": 54.19515189873419}</t>
        </is>
      </c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>
        <f>R2C[0]*R[0]C14</f>
        <v/>
      </c>
      <c r="W1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>
        <f>Q$2*$N10</f>
        <v/>
      </c>
      <c r="G134" t="n">
        <v>58.30996898734179</v>
      </c>
      <c r="H134" t="inlineStr">
        <is>
          <t>{"type": "float", "value": 58.30996898734179}</t>
        </is>
      </c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>
        <f>R2C[0]*R[0]C14</f>
        <v/>
      </c>
      <c r="W13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>
        <f>R$2*$N10</f>
        <v/>
      </c>
      <c r="G135" t="n">
        <v>62.70077990506331</v>
      </c>
      <c r="H135" t="inlineStr">
        <is>
          <t>{"type": "float", "value": 62.70077990506331}</t>
        </is>
      </c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>
        <f>R2C[0]*R[0]C14</f>
        <v/>
      </c>
      <c r="W13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>
        <f>S$2*$N10</f>
        <v/>
      </c>
      <c r="G136" t="n">
        <v>67.38489699208863</v>
      </c>
      <c r="H136" t="inlineStr">
        <is>
          <t>{"type": "float", "value": 67.38489699208863}</t>
        </is>
      </c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>
        <f>R2C[0]*R[0]C14</f>
        <v/>
      </c>
      <c r="W13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>
        <f>T$2*$N10</f>
        <v/>
      </c>
      <c r="G137" t="n">
        <v>72.38067383805384</v>
      </c>
      <c r="H137" t="inlineStr">
        <is>
          <t>{"type": "float", "value": 72.38067383805384}</t>
        </is>
      </c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>
        <f>R2C[0]*R[0]C14</f>
        <v/>
      </c>
      <c r="W1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G138" t="inlineStr">
        <is>
          <t>Add: purchase during the year</t>
        </is>
      </c>
      <c r="H138" t="inlineStr">
        <is>
          <t>{"type": "str", "value": "Add: purchase during the year"}</t>
        </is>
      </c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G139" t="n">
        <v>2.44</v>
      </c>
      <c r="H139" t="inlineStr">
        <is>
          <t>{"type": "float", "value": 2.44}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>
        <f>INDEX($L$4:$T$15,MATCH($A9,$L$4:$L$15,0),MATCH(E9,$L$4:$T$4,0))</f>
        <v/>
      </c>
      <c r="G140" t="n">
        <v>2.626860759493671</v>
      </c>
      <c r="H140" t="inlineStr">
        <is>
          <t>{"type": "float", "value": 2.6268607594936713}</t>
        </is>
      </c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>
        <f>INDEX(R4C12:R15C20,MATCH(R[-2]C1,R4C12:R15C12,0),MATCH(R[-2]C[0],R4C12:R4C20,0))</f>
        <v/>
      </c>
      <c r="W14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>
        <f>INDEX($L$4:$T$15,MATCH($A9,$L$4:$L$15,0),MATCH(F9,$L$4:$T$4,0))</f>
        <v/>
      </c>
      <c r="G141" t="n">
        <v>2.82630759493671</v>
      </c>
      <c r="H141" t="inlineStr">
        <is>
          <t>{"type": "float", "value": 2.8263075949367096}</t>
        </is>
      </c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>
        <f>INDEX(R4C12:R15C20,MATCH(R[-2]C1,R4C12:R15C12,0),MATCH(R[-2]C[0],R4C12:R4C20,0))</f>
        <v/>
      </c>
      <c r="W14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>
        <f>INDEX($L$4:$T$15,MATCH($A9,$L$4:$L$15,0),MATCH(G9,$L$4:$T$4,0))</f>
        <v/>
      </c>
      <c r="G142" t="n">
        <v>3.039131962025317</v>
      </c>
      <c r="H142" t="inlineStr">
        <is>
          <t>{"type": "float", "value": 3.039131962025317}</t>
        </is>
      </c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>
        <f>INDEX(R4C12:R15C20,MATCH(R[-2]C1,R4C12:R15C12,0),MATCH(R[-2]C[0],R4C12:R4C20,0))</f>
        <v/>
      </c>
      <c r="W1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>
        <f>INDEX($L$4:$T$15,MATCH($A9,$L$4:$L$15,0),MATCH(H9,$L$4:$T$4,0))</f>
        <v/>
      </c>
      <c r="G143" t="n">
        <v>3.266172996835444</v>
      </c>
      <c r="H143" t="inlineStr">
        <is>
          <t>{"type": "float", "value": 3.2661729968354436}</t>
        </is>
      </c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>
        <f>INDEX(R4C12:R15C20,MATCH(R[-2]C1,R4C12:R15C12,0),MATCH(R[-2]C[0],R4C12:R4C20,0))</f>
        <v/>
      </c>
      <c r="W14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>
        <f>INDEX($L$4:$T$15,MATCH($A9,$L$4:$L$15,0),MATCH(I9,$L$4:$T$4,0))</f>
        <v/>
      </c>
      <c r="G144" t="n">
        <v>3.508320305221521</v>
      </c>
      <c r="H144" t="inlineStr">
        <is>
          <t>{"type": "float", "value": 3.508320305221521}</t>
        </is>
      </c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>
        <f>INDEX(R4C12:R15C20,MATCH(R[-2]C1,R4C12:R15C12,0),MATCH(R[-2]C[0],R4C12:R4C20,0))</f>
        <v/>
      </c>
      <c r="W14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G145" t="inlineStr">
        <is>
          <t>Office Eq</t>
        </is>
      </c>
      <c r="H145" t="inlineStr">
        <is>
          <t>{"type": "str", "value": "Office Eq"}</t>
        </is>
      </c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W14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>
        <f>O11/$O$16</f>
        <v/>
      </c>
      <c r="G146" t="n">
        <v>0.0193172797036253</v>
      </c>
      <c r="H146" t="inlineStr">
        <is>
          <t>{"type": "float", "value": 0.019317279703625297}</t>
        </is>
      </c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>
        <f>R[0]C[1]/R16C15</f>
        <v/>
      </c>
      <c r="W14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>
        <f>D51</f>
        <v/>
      </c>
      <c r="G147" t="n">
        <v>7.3</v>
      </c>
      <c r="H147" t="inlineStr">
        <is>
          <t>{"type": "float", "value": 7.3}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V147">
        <f>R[40]C[-11]</f>
        <v/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>
        <f>P$2*$N11</f>
        <v/>
      </c>
      <c r="G148" t="n">
        <v>7.859050632911393</v>
      </c>
      <c r="H148" t="inlineStr">
        <is>
          <t>{"type": "float", "value": 7.859050632911393}</t>
        </is>
      </c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>
        <f>R2C[0]*R[0]C14</f>
        <v/>
      </c>
      <c r="W14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>
        <f>Q$2*$N11</f>
        <v/>
      </c>
      <c r="G149" t="n">
        <v>8.455756329113926</v>
      </c>
      <c r="H149" t="inlineStr">
        <is>
          <t>{"type": "float", "value": 8.455756329113926}</t>
        </is>
      </c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>
        <f>R2C[0]*R[0]C14</f>
        <v/>
      </c>
      <c r="W14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>
        <f>R$2*$N11</f>
        <v/>
      </c>
      <c r="G150" t="n">
        <v>9.092484968354432</v>
      </c>
      <c r="H150" t="inlineStr">
        <is>
          <t>{"type": "float", "value": 9.092484968354432}</t>
        </is>
      </c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>
        <f>R2C[0]*R[0]C14</f>
        <v/>
      </c>
      <c r="W15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>
        <f>S$2*$N11</f>
        <v/>
      </c>
      <c r="G151" t="n">
        <v>9.771747080696205</v>
      </c>
      <c r="H151" t="inlineStr">
        <is>
          <t>{"type": "float", "value": 9.771747080696205}</t>
        </is>
      </c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>
        <f>R2C[0]*R[0]C14</f>
        <v/>
      </c>
      <c r="W15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>
        <f>T$2*$N11</f>
        <v/>
      </c>
      <c r="G152" t="n">
        <v>10.49620419185127</v>
      </c>
      <c r="H152" t="inlineStr">
        <is>
          <t>{"type": "float", "value": 10.496204191851271}</t>
        </is>
      </c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>
        <f>R2C[0]*R[0]C14</f>
        <v/>
      </c>
      <c r="W15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G153" t="inlineStr">
        <is>
          <t>Less: Sale during the year</t>
        </is>
      </c>
      <c r="H153" t="inlineStr">
        <is>
          <t>{"type": "str", "value": "Less: Sale during the year"}</t>
        </is>
      </c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W1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G154" t="n">
        <v>0.96</v>
      </c>
      <c r="H154" t="inlineStr">
        <is>
          <t>{"type": "float", "value": 0.96}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G155" t="n">
        <v>0</v>
      </c>
      <c r="H155" t="inlineStr">
        <is>
          <t>{"type": "int", "value": 0}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G156" t="n">
        <v>0</v>
      </c>
      <c r="H156" t="inlineStr">
        <is>
          <t>{"type": "int", "value": 0}</t>
        </is>
      </c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G157" t="n">
        <v>0</v>
      </c>
      <c r="H157" t="inlineStr">
        <is>
          <t>{"type": "int", "value": 0}</t>
        </is>
      </c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W1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G158" t="n">
        <v>0</v>
      </c>
      <c r="H158" t="inlineStr">
        <is>
          <t>{"type": "int", "value": 0}</t>
        </is>
      </c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G159" t="n">
        <v>0</v>
      </c>
      <c r="H159" t="inlineStr">
        <is>
          <t>{"type": "int", "value": 0}</t>
        </is>
      </c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G160" t="inlineStr">
        <is>
          <t>Software</t>
        </is>
      </c>
      <c r="H160" t="inlineStr">
        <is>
          <t>{"type": "str", "value": "Software"}</t>
        </is>
      </c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>
        <f>O12/$O$16</f>
        <v/>
      </c>
      <c r="G161" t="n">
        <v>0.0009261709446943635</v>
      </c>
      <c r="H161" t="inlineStr">
        <is>
          <t>{"type": "float", "value": 0.0009261709446943635}</t>
        </is>
      </c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>
        <f>R[0]C[1]/R16C15</f>
        <v/>
      </c>
      <c r="W16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>
        <f>D59</f>
        <v/>
      </c>
      <c r="G162" t="n">
        <v>0.35</v>
      </c>
      <c r="H162" t="inlineStr">
        <is>
          <t>{"type": "float", "value": 0.35}</t>
        </is>
      </c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V162">
        <f>R[47]C[-11]</f>
        <v/>
      </c>
      <c r="W1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>
        <f>P$2*$N12</f>
        <v/>
      </c>
      <c r="G163" t="n">
        <v>0.3768037974683545</v>
      </c>
      <c r="H163" t="inlineStr">
        <is>
          <t>{"type": "float", "value": 0.37680379746835446}</t>
        </is>
      </c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>
        <f>R2C[0]*R[0]C14</f>
        <v/>
      </c>
      <c r="W16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>
        <f>Q$2*$N12</f>
        <v/>
      </c>
      <c r="G164" t="n">
        <v>0.4054129746835444</v>
      </c>
      <c r="H164" t="inlineStr">
        <is>
          <t>{"type": "float", "value": 0.40541297468354437}</t>
        </is>
      </c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>
        <f>R2C[0]*R[0]C14</f>
        <v/>
      </c>
      <c r="W16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>
        <f>R$2*$N12</f>
        <v/>
      </c>
      <c r="G165" t="n">
        <v>0.4359410601265823</v>
      </c>
      <c r="H165" t="inlineStr">
        <is>
          <t>{"type": "float", "value": 0.43594106012658235}</t>
        </is>
      </c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>
        <f>R2C[0]*R[0]C14</f>
        <v/>
      </c>
      <c r="W16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>
        <f>S$2*$N12</f>
        <v/>
      </c>
      <c r="G166" t="n">
        <v>0.4685084216772152</v>
      </c>
      <c r="H166" t="inlineStr">
        <is>
          <t>{"type": "float", "value": 0.46850842167721524}</t>
        </is>
      </c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>
        <f>R2C[0]*R[0]C14</f>
        <v/>
      </c>
      <c r="W16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>
        <f>T$2*$N12</f>
        <v/>
      </c>
      <c r="G167" t="n">
        <v>0.5032426667325952</v>
      </c>
      <c r="H167" t="inlineStr">
        <is>
          <t>{"type": "float", "value": 0.5032426667325952}</t>
        </is>
      </c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>
        <f>R2C[0]*R[0]C14</f>
        <v/>
      </c>
      <c r="W16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G168" t="inlineStr">
        <is>
          <t>Less: Dep</t>
        </is>
      </c>
      <c r="H168" t="inlineStr">
        <is>
          <t>{"type": "str", "value": "Less: Dep"}</t>
        </is>
      </c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G169" t="n">
        <v>0.27</v>
      </c>
      <c r="H169" t="inlineStr">
        <is>
          <t>{"type": "float", "value": 0.27}</t>
        </is>
      </c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>
        <f>E10*$B15</f>
        <v/>
      </c>
      <c r="G170" t="n">
        <v>0.2697606461568769</v>
      </c>
      <c r="H170" t="inlineStr">
        <is>
          <t>{"type": "float", "value": 0.26976064615687695}</t>
        </is>
      </c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>
        <f>R[-3]C[0]*R[2]C2</f>
        <v/>
      </c>
      <c r="W17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>
        <f>F10*$B15</f>
        <v/>
      </c>
      <c r="G171" t="n">
        <v>0.2718502053078141</v>
      </c>
      <c r="H171" t="inlineStr">
        <is>
          <t>{"type": "float", "value": 0.2718502053078141}</t>
        </is>
      </c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>
        <f>R[-3]C[0]*R[2]C2</f>
        <v/>
      </c>
      <c r="W17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>
        <f>G10*$B15</f>
        <v/>
      </c>
      <c r="G172" t="n">
        <v>0.2741147208385618</v>
      </c>
      <c r="H172" t="inlineStr">
        <is>
          <t>{"type": "float", "value": 0.27411472083856175}</t>
        </is>
      </c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>
        <f>R[-3]C[0]*R[2]C2</f>
        <v/>
      </c>
      <c r="W17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>
        <f>H10*$B15</f>
        <v/>
      </c>
      <c r="G173" t="n">
        <v>0.2765658967755234</v>
      </c>
      <c r="H173" t="inlineStr">
        <is>
          <t>{"type": "float", "value": 0.2765658967755234}</t>
        </is>
      </c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>
        <f>R[-3]C[0]*R[2]C2</f>
        <v/>
      </c>
      <c r="W17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>
        <f>I10*$B15</f>
        <v/>
      </c>
      <c r="G174" t="n">
        <v>0.2792161706600694</v>
      </c>
      <c r="H174" t="inlineStr">
        <is>
          <t>{"type": "float", "value": 0.27921617066006943}</t>
        </is>
      </c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>
        <f>R[-3]C[0]*R[2]C2</f>
        <v/>
      </c>
      <c r="W17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G175" t="inlineStr">
        <is>
          <t>Mining rights</t>
        </is>
      </c>
      <c r="H175" t="inlineStr">
        <is>
          <t>{"type": "str", "value": "Mining rights"}</t>
        </is>
      </c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>
        <f>O13/$O$16</f>
        <v/>
      </c>
      <c r="G176" t="n">
        <v>0.04440328129134691</v>
      </c>
      <c r="H176" t="inlineStr">
        <is>
          <t>{"type": "float", "value": 0.044403281291346915}</t>
        </is>
      </c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>
        <f>R[0]C[1]/R16C15</f>
        <v/>
      </c>
      <c r="W1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>
        <f>D67</f>
        <v/>
      </c>
      <c r="G177" t="n">
        <v>16.78</v>
      </c>
      <c r="H177" t="inlineStr">
        <is>
          <t>{"type": "float", "value": 16.78}</t>
        </is>
      </c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V177">
        <f>R[54]C[-11]</f>
        <v/>
      </c>
      <c r="W1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>
        <f>P$2*$N13</f>
        <v/>
      </c>
      <c r="G178" t="n">
        <v>18.06505063291139</v>
      </c>
      <c r="H178" t="inlineStr">
        <is>
          <t>{"type": "float", "value": 18.065050632911394}</t>
        </is>
      </c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>
        <f>R2C[0]*R[0]C14</f>
        <v/>
      </c>
      <c r="W1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>
        <f>Q$2*$N13</f>
        <v/>
      </c>
      <c r="G179" t="n">
        <v>19.43665632911393</v>
      </c>
      <c r="H179" t="inlineStr">
        <is>
          <t>{"type": "float", "value": 19.43665632911393}</t>
        </is>
      </c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>
        <f>R2C[0]*R[0]C14</f>
        <v/>
      </c>
      <c r="W1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>
        <f>R$2*$N13</f>
        <v/>
      </c>
      <c r="G180" t="n">
        <v>20.90025996835443</v>
      </c>
      <c r="H180" t="inlineStr">
        <is>
          <t>{"type": "float", "value": 20.900259968354433}</t>
        </is>
      </c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>
        <f>R2C[0]*R[0]C14</f>
        <v/>
      </c>
      <c r="W18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>
        <f>S$2*$N13</f>
        <v/>
      </c>
      <c r="G181" t="n">
        <v>22.46163233069621</v>
      </c>
      <c r="H181" t="inlineStr">
        <is>
          <t>{"type": "float", "value": 22.461632330696208}</t>
        </is>
      </c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>
        <f>R2C[0]*R[0]C14</f>
        <v/>
      </c>
      <c r="W18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>
        <f>T$2*$N13</f>
        <v/>
      </c>
      <c r="G182" t="n">
        <v>24.12689127935128</v>
      </c>
      <c r="H182" t="inlineStr">
        <is>
          <t>{"type": "float", "value": 24.12689127935128}</t>
        </is>
      </c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>
        <f>R2C[0]*R[0]C14</f>
        <v/>
      </c>
      <c r="W18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G183" t="inlineStr">
        <is>
          <t>Closing balance</t>
        </is>
      </c>
      <c r="H183" t="inlineStr">
        <is>
          <t>{"type": "str", "value": "Closing balance"}</t>
        </is>
      </c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G184" t="n">
        <v>304.3</v>
      </c>
      <c r="H184" t="inlineStr">
        <is>
          <t>{"type": "float", "value": 304.3}</t>
        </is>
      </c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>
        <f>E10+E11-E12-E13</f>
        <v/>
      </c>
      <c r="G185" t="n">
        <v>306.6571001133368</v>
      </c>
      <c r="H185" t="inlineStr">
        <is>
          <t>{"type": "float", "value": 306.6571001133368}</t>
        </is>
      </c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>
        <f>R[-4]C[0]+R[-3]C[0]-R[-2]C[0]-R[-1]C[0]</f>
        <v/>
      </c>
      <c r="W1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>
        <f>F10+F11-F12-F13</f>
        <v/>
      </c>
      <c r="G186" t="n">
        <v>309.2115575029657</v>
      </c>
      <c r="H186" t="inlineStr">
        <is>
          <t>{"type": "float", "value": 309.2115575029657}</t>
        </is>
      </c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>
        <f>R[-4]C[0]+R[-3]C[0]-R[-2]C[0]-R[-1]C[0]</f>
        <v/>
      </c>
      <c r="W1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>
        <f>G10+G11-G12-G13</f>
        <v/>
      </c>
      <c r="G187" t="n">
        <v>311.9765747441525</v>
      </c>
      <c r="H187" t="inlineStr">
        <is>
          <t>{"type": "float", "value": 311.97657474415246}</t>
        </is>
      </c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>
        <f>R[-4]C[0]+R[-3]C[0]-R[-2]C[0]-R[-1]C[0]</f>
        <v/>
      </c>
      <c r="W1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>
        <f>H10+H11-H12-H13</f>
        <v/>
      </c>
      <c r="G188" t="n">
        <v>314.9661818442124</v>
      </c>
      <c r="H188" t="inlineStr">
        <is>
          <t>{"type": "float", "value": 314.9661818442124}</t>
        </is>
      </c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>
        <f>R[-4]C[0]+R[-3]C[0]-R[-2]C[0]-R[-1]C[0]</f>
        <v/>
      </c>
      <c r="W18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>
        <f>I10+I11-I12-I13</f>
        <v/>
      </c>
      <c r="G189" t="n">
        <v>318.1952859787738</v>
      </c>
      <c r="H189" t="inlineStr">
        <is>
          <t>{"type": "float", "value": 318.1952859787738}</t>
        </is>
      </c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>
        <f>R[-4]C[0]+R[-3]C[0]-R[-2]C[0]-R[-1]C[0]</f>
        <v/>
      </c>
      <c r="W18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G190" t="inlineStr">
        <is>
          <t>Vehicles</t>
        </is>
      </c>
      <c r="H190" t="inlineStr">
        <is>
          <t>{"type": "str", "value": "Vehicles"}</t>
        </is>
      </c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W1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>
        <f>O14/$O$16</f>
        <v/>
      </c>
      <c r="G191" t="n">
        <v>0.01854988092087854</v>
      </c>
      <c r="H191" t="inlineStr">
        <is>
          <t>{"type": "float", "value": 0.018549880920878538}</t>
        </is>
      </c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>
        <f>R[0]C[1]/R16C15</f>
        <v/>
      </c>
      <c r="W19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>
        <f>D75</f>
        <v/>
      </c>
      <c r="G192" t="n">
        <v>7.01</v>
      </c>
      <c r="H192" t="inlineStr">
        <is>
          <t>{"type": "float", "value": 7.01}</t>
        </is>
      </c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V192">
        <f>R[61]C[-11]</f>
        <v/>
      </c>
      <c r="W1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>
        <f>P$2*$N14</f>
        <v/>
      </c>
      <c r="G193" t="n">
        <v>7.546841772151899</v>
      </c>
      <c r="H193" t="inlineStr">
        <is>
          <t>{"type": "float", "value": 7.546841772151899}</t>
        </is>
      </c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>
        <f>R2C[0]*R[0]C14</f>
        <v/>
      </c>
      <c r="W1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>
        <f>Q$2*$N14</f>
        <v/>
      </c>
      <c r="G194" t="n">
        <v>8.119842721518989</v>
      </c>
      <c r="H194" t="inlineStr">
        <is>
          <t>{"type": "float", "value": 8.119842721518989}</t>
        </is>
      </c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>
        <f>R2C[0]*R[0]C14</f>
        <v/>
      </c>
      <c r="W1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>
        <f>R$2*$N14</f>
        <v/>
      </c>
      <c r="G195" t="n">
        <v>8.731276661392407</v>
      </c>
      <c r="H195" t="inlineStr">
        <is>
          <t>{"type": "float", "value": 8.731276661392407}</t>
        </is>
      </c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>
        <f>R2C[0]*R[0]C14</f>
        <v/>
      </c>
      <c r="W1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>
        <f>S$2*$N14</f>
        <v/>
      </c>
      <c r="G196" t="n">
        <v>9.383554388449369</v>
      </c>
      <c r="H196" t="inlineStr">
        <is>
          <t>{"type": "float", "value": 9.383554388449369}</t>
        </is>
      </c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>
        <f>R2C[0]*R[0]C14</f>
        <v/>
      </c>
      <c r="W19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>
        <f>T$2*$N14</f>
        <v/>
      </c>
      <c r="G197" t="n">
        <v>10.07923169655855</v>
      </c>
      <c r="H197" t="inlineStr">
        <is>
          <t>{"type": "float", "value": 10.07923169655855}</t>
        </is>
      </c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>
        <f>R2C[0]*R[0]C14</f>
        <v/>
      </c>
      <c r="W19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G198" t="inlineStr">
        <is>
          <t>Depreciation rate</t>
        </is>
      </c>
      <c r="H198" t="inlineStr">
        <is>
          <t>{"type": "str", "value": "Depreciation rate"}</t>
        </is>
      </c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>
        <f>D13/(D10+D11-D12)</f>
        <v/>
      </c>
      <c r="G199" t="n">
        <v>0.0008864957152707096</v>
      </c>
      <c r="H199" t="inlineStr">
        <is>
          <t>{"type": "float", "value": 0.0008864957152707096}</t>
        </is>
      </c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>
        <f>R[-2]C[2]/(R[-5]C[2]+R[-4]C[2]-R[-3]C[2])</f>
        <v/>
      </c>
      <c r="W19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G200" t="inlineStr">
        <is>
          <t>Furniture</t>
        </is>
      </c>
      <c r="H200" t="inlineStr">
        <is>
          <t>{"type": "str", "value": "Furniture"}</t>
        </is>
      </c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W20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>
        <f>O15/$O$16</f>
        <v/>
      </c>
      <c r="G201" t="n">
        <v>0.006827202963747022</v>
      </c>
      <c r="H201" t="inlineStr">
        <is>
          <t>{"type": "float", "value": 0.006827202963747022}</t>
        </is>
      </c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>
        <f>R[0]C[1]/R16C15</f>
        <v/>
      </c>
      <c r="W20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>
        <f>D83</f>
        <v/>
      </c>
      <c r="G202" t="n">
        <v>2.58</v>
      </c>
      <c r="H202" t="inlineStr">
        <is>
          <t>{"type": "float", "value": 2.58}</t>
        </is>
      </c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V202">
        <f>R[68]C[-11]</f>
        <v/>
      </c>
      <c r="W2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>
        <f>P$2*$N15</f>
        <v/>
      </c>
      <c r="G203" t="n">
        <v>2.777582278481013</v>
      </c>
      <c r="H203" t="inlineStr">
        <is>
          <t>{"type": "float", "value": 2.7775822784810127}</t>
        </is>
      </c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>
        <f>R2C[0]*R[0]C14</f>
        <v/>
      </c>
      <c r="W2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>
        <f>Q$2*$N15</f>
        <v/>
      </c>
      <c r="G204" t="n">
        <v>2.988472784810127</v>
      </c>
      <c r="H204" t="inlineStr">
        <is>
          <t>{"type": "float", "value": 2.9884727848101273}</t>
        </is>
      </c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>
        <f>R2C[0]*R[0]C14</f>
        <v/>
      </c>
      <c r="W20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>
        <f>R$2*$N15</f>
        <v/>
      </c>
      <c r="G205" t="n">
        <v>3.21350838607595</v>
      </c>
      <c r="H205" t="inlineStr">
        <is>
          <t>{"type": "float", "value": 3.21350838607595}</t>
        </is>
      </c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>
        <f>R2C[0]*R[0]C14</f>
        <v/>
      </c>
      <c r="W20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>
        <f>S$2*$N15</f>
        <v/>
      </c>
      <c r="G206" t="n">
        <v>3.45357636550633</v>
      </c>
      <c r="H206" t="inlineStr">
        <is>
          <t>{"type": "float", "value": 3.4535763655063296}</t>
        </is>
      </c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>
        <f>R2C[0]*R[0]C14</f>
        <v/>
      </c>
      <c r="W20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>
        <f>T$2*$N15</f>
        <v/>
      </c>
      <c r="G207" t="n">
        <v>3.709617371914559</v>
      </c>
      <c r="H207" t="inlineStr">
        <is>
          <t>{"type": "float", "value": 3.709617371914559}</t>
        </is>
      </c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>
        <f>R2C[0]*R[0]C14</f>
        <v/>
      </c>
      <c r="W20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>
        <f>SUM(O5:O15)</f>
        <v/>
      </c>
      <c r="G208" t="n">
        <v>377.9</v>
      </c>
      <c r="H208" t="inlineStr">
        <is>
          <t>{"type": "float", "value": 377.90000000000003}</t>
        </is>
      </c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>
        <f>SUM(R[-11]C[0]:R[-1]C[0])</f>
        <v/>
      </c>
      <c r="W2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>
        <f>SUM(P5:P15)</f>
        <v/>
      </c>
      <c r="G209" t="n">
        <v>406.8404430379748</v>
      </c>
      <c r="H209" t="inlineStr">
        <is>
          <t>{"type": "float", "value": 406.84044303797475}</t>
        </is>
      </c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>
        <f>SUM(R[-11]C[0]:R[-1]C[0])</f>
        <v/>
      </c>
      <c r="W20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>
        <f>SUM(Q5:Q15)</f>
        <v/>
      </c>
      <c r="G210" t="n">
        <v>437.730180379747</v>
      </c>
      <c r="H210" t="inlineStr">
        <is>
          <t>{"type": "float", "value": 437.73018037974697}</t>
        </is>
      </c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>
        <f>SUM(R[-11]C[0]:R[-1]C[0])</f>
        <v/>
      </c>
      <c r="W21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>
        <f>SUM(R5:R15)</f>
        <v/>
      </c>
      <c r="G211" t="n">
        <v>470.6917903481014</v>
      </c>
      <c r="H211" t="inlineStr">
        <is>
          <t>{"type": "float", "value": 470.6917903481014}</t>
        </is>
      </c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>
        <f>SUM(R[-11]C[0]:R[-1]C[0])</f>
        <v/>
      </c>
      <c r="W21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>
        <f>SUM(S5:S15)</f>
        <v/>
      </c>
      <c r="G212" t="n">
        <v>505.8552358623419</v>
      </c>
      <c r="H212" t="inlineStr">
        <is>
          <t>{"type": "float", "value": 505.8552358623419}</t>
        </is>
      </c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>
        <f>SUM(R[-11]C[0]:R[-1]C[0])</f>
        <v/>
      </c>
      <c r="W21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>
        <f>SUM(T5:T15)</f>
        <v/>
      </c>
      <c r="G213" t="n">
        <v>543.3582964521363</v>
      </c>
      <c r="H213" t="inlineStr">
        <is>
          <t>{"type": "float", "value": 543.3582964521363}</t>
        </is>
      </c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>
        <f>SUM(R[-11]C[0]:R[-1]C[0])</f>
        <v/>
      </c>
      <c r="W21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G214" t="inlineStr">
        <is>
          <t>Leasehold Land</t>
        </is>
      </c>
      <c r="H214" t="inlineStr">
        <is>
          <t>{"type": "str", "value": "Leasehold Land"}</t>
        </is>
      </c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G215" t="n">
        <v>2015</v>
      </c>
      <c r="H215" t="inlineStr">
        <is>
          <t>{"type": "int", "value": 2015}</t>
        </is>
      </c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W21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G216" t="n">
        <v>2016</v>
      </c>
      <c r="H216" t="inlineStr">
        <is>
          <t>{"type": "int", "value": 2016}</t>
        </is>
      </c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W21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G217" t="n">
        <v>2017</v>
      </c>
      <c r="H217" t="inlineStr">
        <is>
          <t>{"type": "int", "value": 2017}</t>
        </is>
      </c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W21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G218" t="inlineStr">
        <is>
          <t>2018 F</t>
        </is>
      </c>
      <c r="H218" t="inlineStr">
        <is>
          <t>{"type": "str", "value": "2018 F"}</t>
        </is>
      </c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W21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G219" t="inlineStr">
        <is>
          <t>2019 F</t>
        </is>
      </c>
      <c r="H219" t="inlineStr">
        <is>
          <t>{"type": "str", "value": "2019 F"}</t>
        </is>
      </c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W21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G220" t="inlineStr">
        <is>
          <t>2020 F</t>
        </is>
      </c>
      <c r="H220" t="inlineStr">
        <is>
          <t>{"type": "str", "value": "2020 F"}</t>
        </is>
      </c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W22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G221" t="inlineStr">
        <is>
          <t>2021 F</t>
        </is>
      </c>
      <c r="H221" t="inlineStr">
        <is>
          <t>{"type": "str", "value": "2021 F"}</t>
        </is>
      </c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W22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G222" t="inlineStr">
        <is>
          <t>2022 F</t>
        </is>
      </c>
      <c r="H222" t="inlineStr">
        <is>
          <t>{"type": "str", "value": "2022 F"}</t>
        </is>
      </c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W22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G223" t="inlineStr">
        <is>
          <t>Opening balance</t>
        </is>
      </c>
      <c r="H223" t="inlineStr">
        <is>
          <t>{"type": "str", "value": "Opening balance"}</t>
        </is>
      </c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G224" t="n">
        <v>36.1</v>
      </c>
      <c r="H224" t="inlineStr">
        <is>
          <t>{"type": "float", "value": 36.1}</t>
        </is>
      </c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W2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>
        <f>D22</f>
        <v/>
      </c>
      <c r="G225" t="n">
        <v>38.46</v>
      </c>
      <c r="H225" t="inlineStr">
        <is>
          <t>{"type": "float", "value": 38.46}</t>
        </is>
      </c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>
        <f>R[4]C[-1]</f>
        <v/>
      </c>
      <c r="W2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>
        <f>E22</f>
        <v/>
      </c>
      <c r="G226" t="n">
        <v>41.04646550413658</v>
      </c>
      <c r="H226" t="inlineStr">
        <is>
          <t>{"type": "float", "value": 41.04646550413658}</t>
        </is>
      </c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>
        <f>R[4]C[-1]</f>
        <v/>
      </c>
      <c r="W2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>
        <f>F22</f>
        <v/>
      </c>
      <c r="G227" t="n">
        <v>43.83367721326965</v>
      </c>
      <c r="H227" t="inlineStr">
        <is>
          <t>{"type": "float", "value": 43.83367721326965}</t>
        </is>
      </c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>
        <f>R[4]C[-1]</f>
        <v/>
      </c>
      <c r="W2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>
        <f>G22</f>
        <v/>
      </c>
      <c r="G228" t="n">
        <v>46.83474301129178</v>
      </c>
      <c r="H228" t="inlineStr">
        <is>
          <t>{"type": "float", "value": 46.834743011291785}</t>
        </is>
      </c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>
        <f>R[4]C[-1]</f>
        <v/>
      </c>
      <c r="W2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>
        <f>H22</f>
        <v/>
      </c>
      <c r="G229" t="n">
        <v>50.06358625596415</v>
      </c>
      <c r="H229" t="inlineStr">
        <is>
          <t>{"type": "float", "value": 50.06358625596415}</t>
        </is>
      </c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>
        <f>R[4]C[-1]</f>
        <v/>
      </c>
      <c r="W2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G230" t="inlineStr">
        <is>
          <t>Add: purchase during the year</t>
        </is>
      </c>
      <c r="H230" t="inlineStr">
        <is>
          <t>{"type": "str", "value": "Add: purchase during the year"}</t>
        </is>
      </c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W2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G231" t="n">
        <v>2.87</v>
      </c>
      <c r="H231" t="inlineStr">
        <is>
          <t>{"type": "float", "value": 2.87}</t>
        </is>
      </c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W2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>
        <f>INDEX($L$4:$T$15,MATCH($A17,$L$4:$L$15,0),MATCH(E17,$L$4:$T$4,0))</f>
        <v/>
      </c>
      <c r="G232" t="n">
        <v>3.089791139240507</v>
      </c>
      <c r="H232" t="inlineStr">
        <is>
          <t>{"type": "float", "value": 3.0897911392405066}</t>
        </is>
      </c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>
        <f>INDEX(R4C12:R15C20,MATCH(R[-2]C1,R4C12:R15C12,0),MATCH(R[-2]C[0],R4C12:R4C20,0))</f>
        <v/>
      </c>
      <c r="W23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>
        <f>INDEX($L$4:$T$15,MATCH($A17,$L$4:$L$15,0),MATCH(F17,$L$4:$T$4,0))</f>
        <v/>
      </c>
      <c r="G233" t="n">
        <v>3.324386392405064</v>
      </c>
      <c r="H233" t="inlineStr">
        <is>
          <t>{"type": "float", "value": 3.324386392405064}</t>
        </is>
      </c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>
        <f>INDEX(R4C12:R15C20,MATCH(R[-2]C1,R4C12:R15C12,0),MATCH(R[-2]C[0],R4C12:R4C20,0))</f>
        <v/>
      </c>
      <c r="W2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>
        <f>INDEX($L$4:$T$15,MATCH($A17,$L$4:$L$15,0),MATCH(G17,$L$4:$T$4,0))</f>
        <v/>
      </c>
      <c r="G234" t="n">
        <v>3.574716693037975</v>
      </c>
      <c r="H234" t="inlineStr">
        <is>
          <t>{"type": "float", "value": 3.5747166930379755}</t>
        </is>
      </c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>
        <f>INDEX(R4C12:R15C20,MATCH(R[-2]C1,R4C12:R15C12,0),MATCH(R[-2]C[0],R4C12:R4C20,0))</f>
        <v/>
      </c>
      <c r="W2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>
        <f>INDEX($L$4:$T$15,MATCH($A17,$L$4:$L$15,0),MATCH(H17,$L$4:$T$4,0))</f>
        <v/>
      </c>
      <c r="G235" t="n">
        <v>3.841769057753165</v>
      </c>
      <c r="H235" t="inlineStr">
        <is>
          <t>{"type": "float", "value": 3.841769057753165}</t>
        </is>
      </c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>
        <f>INDEX(R4C12:R15C20,MATCH(R[-2]C1,R4C12:R15C12,0),MATCH(R[-2]C[0],R4C12:R4C20,0))</f>
        <v/>
      </c>
      <c r="W2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>
        <f>INDEX($L$4:$T$15,MATCH($A17,$L$4:$L$15,0),MATCH(I17,$L$4:$T$4,0))</f>
        <v/>
      </c>
      <c r="G236" t="n">
        <v>4.126589867207281</v>
      </c>
      <c r="H236" t="inlineStr">
        <is>
          <t>{"type": "float", "value": 4.126589867207281}</t>
        </is>
      </c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>
        <f>INDEX(R4C12:R15C20,MATCH(R[-2]C1,R4C12:R15C12,0),MATCH(R[-2]C[0],R4C12:R4C20,0))</f>
        <v/>
      </c>
      <c r="W2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G237" t="inlineStr">
        <is>
          <t>Less: Sale during the year</t>
        </is>
      </c>
      <c r="H237" t="inlineStr">
        <is>
          <t>{"type": "str", "value": "Less: Sale during the year"}</t>
        </is>
      </c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W2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G238" t="n">
        <v>0</v>
      </c>
      <c r="H238" t="inlineStr">
        <is>
          <t>{"type": "int", "value": 0}</t>
        </is>
      </c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W2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G239" t="n">
        <v>0</v>
      </c>
      <c r="H239" t="inlineStr">
        <is>
          <t>{"type": "int", "value": 0}</t>
        </is>
      </c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W2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G240" t="n">
        <v>0</v>
      </c>
      <c r="H240" t="inlineStr">
        <is>
          <t>{"type": "int", "value": 0}</t>
        </is>
      </c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W2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G241" t="n">
        <v>0</v>
      </c>
      <c r="H241" t="inlineStr">
        <is>
          <t>{"type": "int", "value": 0}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G242" t="n">
        <v>0</v>
      </c>
      <c r="H242" t="inlineStr">
        <is>
          <t>{"type": "int", "value": 0}</t>
        </is>
      </c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G243" t="n">
        <v>0</v>
      </c>
      <c r="H243" t="inlineStr">
        <is>
          <t>{"type": "int", "value": 0}</t>
        </is>
      </c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W2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G244" t="inlineStr">
        <is>
          <t>Less: Dep</t>
        </is>
      </c>
      <c r="H244" t="inlineStr">
        <is>
          <t>{"type": "str", "value": "Less: Dep"}</t>
        </is>
      </c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W2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G245" t="n">
        <v>0.51</v>
      </c>
      <c r="H245" t="inlineStr">
        <is>
          <t>{"type": "float", "value": 0.51}</t>
        </is>
      </c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W2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>
        <f>E18*$B23</f>
        <v/>
      </c>
      <c r="G246" t="n">
        <v>0.5033256351039261</v>
      </c>
      <c r="H246" t="inlineStr">
        <is>
          <t>{"type": "float", "value": 0.5033256351039261}</t>
        </is>
      </c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>
        <f>R[-3]C[0]*R[2]C2</f>
        <v/>
      </c>
      <c r="W24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>
        <f>F18*$B23</f>
        <v/>
      </c>
      <c r="G247" t="n">
        <v>0.5371746832719952</v>
      </c>
      <c r="H247" t="inlineStr">
        <is>
          <t>{"type": "float", "value": 0.5371746832719952}</t>
        </is>
      </c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>
        <f>R[-3]C[0]*R[2]C2</f>
        <v/>
      </c>
      <c r="W24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>
        <f>G18*$B23</f>
        <v/>
      </c>
      <c r="G248" t="n">
        <v>0.5736508950158461</v>
      </c>
      <c r="H248" t="inlineStr">
        <is>
          <t>{"type": "float", "value": 0.5736508950158461}</t>
        </is>
      </c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>
        <f>R[-3]C[0]*R[2]C2</f>
        <v/>
      </c>
      <c r="W2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>
        <f>H18*$B23</f>
        <v/>
      </c>
      <c r="G249" t="n">
        <v>0.6129258130808009</v>
      </c>
      <c r="H249" t="inlineStr">
        <is>
          <t>{"type": "float", "value": 0.6129258130808009}</t>
        </is>
      </c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>
        <f>R[-3]C[0]*R[2]C2</f>
        <v/>
      </c>
      <c r="W2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>
        <f>I18*$B23</f>
        <v/>
      </c>
      <c r="G250" t="n">
        <v>0.6551816523105393</v>
      </c>
      <c r="H250" t="inlineStr">
        <is>
          <t>{"type": "float", "value": 0.6551816523105393}</t>
        </is>
      </c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>
        <f>R[-3]C[0]*R[2]C2</f>
        <v/>
      </c>
      <c r="W25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G251" t="inlineStr">
        <is>
          <t>Closing balance</t>
        </is>
      </c>
      <c r="H251" t="inlineStr">
        <is>
          <t>{"type": "str", "value": "Closing balance"}</t>
        </is>
      </c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W2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G252" t="n">
        <v>38.46</v>
      </c>
      <c r="H252" t="inlineStr">
        <is>
          <t>{"type": "float", "value": 38.46}</t>
        </is>
      </c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W2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>
        <f>E18+E19-E20-E21</f>
        <v/>
      </c>
      <c r="G253" t="n">
        <v>41.04646550413658</v>
      </c>
      <c r="H253" t="inlineStr">
        <is>
          <t>{"type": "float", "value": 41.04646550413658}</t>
        </is>
      </c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>
        <f>R[-4]C[0]+R[-3]C[0]-R[-2]C[0]-R[-1]C[0]</f>
        <v/>
      </c>
      <c r="W25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>
        <f>F18+F19-F20-F21</f>
        <v/>
      </c>
      <c r="G254" t="n">
        <v>43.83367721326965</v>
      </c>
      <c r="H254" t="inlineStr">
        <is>
          <t>{"type": "float", "value": 43.83367721326965}</t>
        </is>
      </c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>
        <f>R[-4]C[0]+R[-3]C[0]-R[-2]C[0]-R[-1]C[0]</f>
        <v/>
      </c>
      <c r="W25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>
        <f>G18+G19-G20-G21</f>
        <v/>
      </c>
      <c r="G255" t="n">
        <v>46.83474301129178</v>
      </c>
      <c r="H255" t="inlineStr">
        <is>
          <t>{"type": "float", "value": 46.834743011291785}</t>
        </is>
      </c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>
        <f>R[-4]C[0]+R[-3]C[0]-R[-2]C[0]-R[-1]C[0]</f>
        <v/>
      </c>
      <c r="W25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>
        <f>H18+H19-H20-H21</f>
        <v/>
      </c>
      <c r="G256" t="n">
        <v>50.06358625596415</v>
      </c>
      <c r="H256" t="inlineStr">
        <is>
          <t>{"type": "float", "value": 50.06358625596415}</t>
        </is>
      </c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>
        <f>R[-4]C[0]+R[-3]C[0]-R[-2]C[0]-R[-1]C[0]</f>
        <v/>
      </c>
      <c r="W25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>
        <f>I18+I19-I20-I21</f>
        <v/>
      </c>
      <c r="G257" t="n">
        <v>53.53499447086089</v>
      </c>
      <c r="H257" t="inlineStr">
        <is>
          <t>{"type": "float", "value": 53.53499447086089}</t>
        </is>
      </c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>
        <f>R[-4]C[0]+R[-3]C[0]-R[-2]C[0]-R[-1]C[0]</f>
        <v/>
      </c>
      <c r="W25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G258" t="inlineStr">
        <is>
          <t>Depreciation rate</t>
        </is>
      </c>
      <c r="H258" t="inlineStr">
        <is>
          <t>{"type": "str", "value": "Depreciation rate"}</t>
        </is>
      </c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R258" t="b">
        <v>1</v>
      </c>
      <c r="W2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>
        <f>D21/(D18+D19-D20)</f>
        <v/>
      </c>
      <c r="G259" t="n">
        <v>0.01308698999230177</v>
      </c>
      <c r="H259" t="inlineStr">
        <is>
          <t>{"type": "float", "value": 0.01308698999230177}</t>
        </is>
      </c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>
        <f>R[-2]C[2]/(R[-5]C[2]+R[-4]C[2]-R[-3]C[2])</f>
        <v/>
      </c>
      <c r="W25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G260" t="inlineStr">
        <is>
          <t>Buildings</t>
        </is>
      </c>
      <c r="H260" t="inlineStr">
        <is>
          <t>{"type": "str", "value": "Buildings"}</t>
        </is>
      </c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1</v>
      </c>
      <c r="W26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G261" t="n">
        <v>2015</v>
      </c>
      <c r="H261" t="inlineStr">
        <is>
          <t>{"type": "int", "value": 2015}</t>
        </is>
      </c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W26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G262" t="n">
        <v>2016</v>
      </c>
      <c r="H262" t="inlineStr">
        <is>
          <t>{"type": "int", "value": 2016}</t>
        </is>
      </c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W26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G263" t="n">
        <v>2017</v>
      </c>
      <c r="H263" t="inlineStr">
        <is>
          <t>{"type": "int", "value": 2017}</t>
        </is>
      </c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W26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G264" t="inlineStr">
        <is>
          <t>2018 F</t>
        </is>
      </c>
      <c r="H264" t="inlineStr">
        <is>
          <t>{"type": "str", "value": "2018 F"}</t>
        </is>
      </c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W26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G265" t="inlineStr">
        <is>
          <t>2019 F</t>
        </is>
      </c>
      <c r="H265" t="inlineStr">
        <is>
          <t>{"type": "str", "value": "2019 F"}</t>
        </is>
      </c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W26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G266" t="inlineStr">
        <is>
          <t>2020 F</t>
        </is>
      </c>
      <c r="H266" t="inlineStr">
        <is>
          <t>{"type": "str", "value": "2020 F"}</t>
        </is>
      </c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W26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G267" t="inlineStr">
        <is>
          <t>2021 F</t>
        </is>
      </c>
      <c r="H267" t="inlineStr">
        <is>
          <t>{"type": "str", "value": "2021 F"}</t>
        </is>
      </c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W26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G268" t="inlineStr">
        <is>
          <t>2022 F</t>
        </is>
      </c>
      <c r="H268" t="inlineStr">
        <is>
          <t>{"type": "str", "value": "2022 F"}</t>
        </is>
      </c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W26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G269" t="inlineStr">
        <is>
          <t>Opening balance</t>
        </is>
      </c>
      <c r="H269" t="inlineStr">
        <is>
          <t>{"type": "str", "value": "Opening balance"}</t>
        </is>
      </c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W2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G270" t="n">
        <v>1515.39</v>
      </c>
      <c r="H270" t="inlineStr">
        <is>
          <t>{"type": "float", "value": 1515.39}</t>
        </is>
      </c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W2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>
        <f>D30</f>
        <v/>
      </c>
      <c r="G271" t="n">
        <v>1472.4</v>
      </c>
      <c r="H271" t="inlineStr">
        <is>
          <t>{"type": "float", "value": 1472.4}</t>
        </is>
      </c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>
        <f>R[4]C[-1]</f>
        <v/>
      </c>
      <c r="W2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>
        <f>E30</f>
        <v/>
      </c>
      <c r="G272" t="n">
        <v>1436.901306966578</v>
      </c>
      <c r="H272" t="inlineStr">
        <is>
          <t>{"type": "float", "value": 1436.9013069665782}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>
        <f>R[4]C[-1]</f>
        <v/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>
        <f>F30</f>
        <v/>
      </c>
      <c r="G273" t="n">
        <v>1406.11076193844</v>
      </c>
      <c r="H273" t="inlineStr">
        <is>
          <t>{"type": "float", "value": 1406.1107619384397}</t>
        </is>
      </c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>
        <f>R[4]C[-1]</f>
        <v/>
      </c>
      <c r="W2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>
        <f>G30</f>
        <v/>
      </c>
      <c r="G274" t="n">
        <v>1379.987829135409</v>
      </c>
      <c r="H274" t="inlineStr">
        <is>
          <t>{"type": "float", "value": 1379.9878291354091}</t>
        </is>
      </c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>
        <f>R[4]C[-1]</f>
        <v/>
      </c>
      <c r="W2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>
        <f>H30</f>
        <v/>
      </c>
      <c r="G275" t="n">
        <v>1358.506311846563</v>
      </c>
      <c r="H275" t="inlineStr">
        <is>
          <t>{"type": "float", "value": 1358.5063118465625}</t>
        </is>
      </c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>
        <f>R[4]C[-1]</f>
        <v/>
      </c>
      <c r="W2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G276" t="inlineStr">
        <is>
          <t>Add: purchase during the year</t>
        </is>
      </c>
      <c r="H276" t="inlineStr">
        <is>
          <t>{"type": "str", "value": "Add: purchase during the year"}</t>
        </is>
      </c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W2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G277" t="n">
        <v>35.77</v>
      </c>
      <c r="H277" t="inlineStr">
        <is>
          <t>{"type": "float", "value": 35.77}</t>
        </is>
      </c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>
        <f>INDEX($L$4:$T$15,MATCH($A25,$L$4:$L$15,0),MATCH(E25,$L$4:$T$4,0))</f>
        <v/>
      </c>
      <c r="G278" t="n">
        <v>38.50934810126583</v>
      </c>
      <c r="H278" t="inlineStr">
        <is>
          <t>{"type": "float", "value": 38.50934810126583}</t>
        </is>
      </c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>
        <f>INDEX(R4C12:R15C20,MATCH(R[-2]C1,R4C12:R15C12,0),MATCH(R[-2]C[0],R4C12:R4C20,0))</f>
        <v/>
      </c>
      <c r="W2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>
        <f>INDEX($L$4:$T$15,MATCH($A25,$L$4:$L$15,0),MATCH(F25,$L$4:$T$4,0))</f>
        <v/>
      </c>
      <c r="G279" t="n">
        <v>41.43320601265824</v>
      </c>
      <c r="H279" t="inlineStr">
        <is>
          <t>{"type": "float", "value": 41.43320601265824}</t>
        </is>
      </c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>
        <f>INDEX(R4C12:R15C20,MATCH(R[-2]C1,R4C12:R15C12,0),MATCH(R[-2]C[0],R4C12:R4C20,0))</f>
        <v/>
      </c>
      <c r="W2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>
        <f>INDEX($L$4:$T$15,MATCH($A25,$L$4:$L$15,0),MATCH(G25,$L$4:$T$4,0))</f>
        <v/>
      </c>
      <c r="G280" t="n">
        <v>44.55317634493672</v>
      </c>
      <c r="H280" t="inlineStr">
        <is>
          <t>{"type": "float", "value": 44.553176344936716}</t>
        </is>
      </c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>
        <f>INDEX(R4C12:R15C20,MATCH(R[-2]C1,R4C12:R15C12,0),MATCH(R[-2]C[0],R4C12:R4C20,0))</f>
        <v/>
      </c>
      <c r="W28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>
        <f>INDEX($L$4:$T$15,MATCH($A25,$L$4:$L$15,0),MATCH(H25,$L$4:$T$4,0))</f>
        <v/>
      </c>
      <c r="G281" t="n">
        <v>47.8815606954114</v>
      </c>
      <c r="H281" t="inlineStr">
        <is>
          <t>{"type": "float", "value": 47.8815606954114}</t>
        </is>
      </c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>
        <f>INDEX(R4C12:R15C20,MATCH(R[-2]C1,R4C12:R15C12,0),MATCH(R[-2]C[0],R4C12:R4C20,0))</f>
        <v/>
      </c>
      <c r="W28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>
        <f>INDEX($L$4:$T$15,MATCH($A25,$L$4:$L$15,0),MATCH(I25,$L$4:$T$4,0))</f>
        <v/>
      </c>
      <c r="G282" t="n">
        <v>51.43140054007123</v>
      </c>
      <c r="H282" t="inlineStr">
        <is>
          <t>{"type": "float", "value": 51.43140054007123}</t>
        </is>
      </c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>
        <f>INDEX(R4C12:R15C20,MATCH(R[-2]C1,R4C12:R15C12,0),MATCH(R[-2]C[0],R4C12:R4C20,0))</f>
        <v/>
      </c>
      <c r="W28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G283" t="inlineStr">
        <is>
          <t>Less: Sale during the year</t>
        </is>
      </c>
      <c r="H283" t="inlineStr">
        <is>
          <t>{"type": "str", "value": "Less: Sale during the year"}</t>
        </is>
      </c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W2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G284" t="n">
        <v>1.13</v>
      </c>
      <c r="H284" t="inlineStr">
        <is>
          <t>{"type": "float", "value": 1.13}</t>
        </is>
      </c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W2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G285" t="n">
        <v>0</v>
      </c>
      <c r="H285" t="inlineStr">
        <is>
          <t>{"type": "int", "value": 0}</t>
        </is>
      </c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W2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G286" t="n">
        <v>0</v>
      </c>
      <c r="H286" t="inlineStr">
        <is>
          <t>{"type": "int", "value": 0}</t>
        </is>
      </c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W2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G287" t="n">
        <v>0</v>
      </c>
      <c r="H287" t="inlineStr">
        <is>
          <t>{"type": "int", "value": 0}</t>
        </is>
      </c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W2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G288" t="n">
        <v>0</v>
      </c>
      <c r="H288" t="inlineStr">
        <is>
          <t>{"type": "int", "value": 0}</t>
        </is>
      </c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W2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G289" t="n">
        <v>0</v>
      </c>
      <c r="H289" t="inlineStr">
        <is>
          <t>{"type": "int", "value": 0}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G290" t="inlineStr">
        <is>
          <t>Less: Dep</t>
        </is>
      </c>
      <c r="H290" t="inlineStr">
        <is>
          <t>{"type": "str", "value": "Less: Dep"}</t>
        </is>
      </c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1</v>
      </c>
      <c r="W2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G291" t="n">
        <v>77.91</v>
      </c>
      <c r="H291" t="inlineStr">
        <is>
          <t>{"type": "float", "value": 77.91}</t>
        </is>
      </c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1</v>
      </c>
      <c r="W2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>
        <f>E26*$B31</f>
        <v/>
      </c>
      <c r="G292" t="n">
        <v>74.00804113468772</v>
      </c>
      <c r="H292" t="inlineStr">
        <is>
          <t>{"type": "float", "value": 74.00804113468772}</t>
        </is>
      </c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>
        <f>R[-3]C[0]*R[2]C2</f>
        <v/>
      </c>
      <c r="W29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>
        <f>F26*$B31</f>
        <v/>
      </c>
      <c r="G293" t="n">
        <v>72.2237510407967</v>
      </c>
      <c r="H293" t="inlineStr">
        <is>
          <t>{"type": "float", "value": 72.2237510407967}</t>
        </is>
      </c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>
        <f>R[-3]C[0]*R[2]C2</f>
        <v/>
      </c>
      <c r="W29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>
        <f>G26*$B31</f>
        <v/>
      </c>
      <c r="G294" t="n">
        <v>70.67610914796735</v>
      </c>
      <c r="H294" t="inlineStr">
        <is>
          <t>{"type": "float", "value": 70.67610914796735}</t>
        </is>
      </c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>
        <f>R[-3]C[0]*R[2]C2</f>
        <v/>
      </c>
      <c r="W29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>
        <f>H26*$B31</f>
        <v/>
      </c>
      <c r="G295" t="n">
        <v>69.3630779842582</v>
      </c>
      <c r="H295" t="inlineStr">
        <is>
          <t>{"type": "float", "value": 69.3630779842582}</t>
        </is>
      </c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>
        <f>R[-3]C[0]*R[2]C2</f>
        <v/>
      </c>
      <c r="W29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>
        <f>I26*$B31</f>
        <v/>
      </c>
      <c r="G296" t="n">
        <v>68.28334081015574</v>
      </c>
      <c r="H296" t="inlineStr">
        <is>
          <t>{"type": "float", "value": 68.28334081015574}</t>
        </is>
      </c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>
        <f>R[-3]C[0]*R[2]C2</f>
        <v/>
      </c>
      <c r="W29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G297" t="inlineStr">
        <is>
          <t>Closing balance</t>
        </is>
      </c>
      <c r="H297" t="inlineStr">
        <is>
          <t>{"type": "str", "value": "Closing balance"}</t>
        </is>
      </c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G298" t="n">
        <v>1472.4</v>
      </c>
      <c r="H298" t="inlineStr">
        <is>
          <t>{"type": "float", "value": 1472.4}</t>
        </is>
      </c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R298" t="b">
        <v>1</v>
      </c>
      <c r="W2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>
        <f>E26+E27-E28-E29</f>
        <v/>
      </c>
      <c r="G299" t="n">
        <v>1436.901306966578</v>
      </c>
      <c r="H299" t="inlineStr">
        <is>
          <t>{"type": "float", "value": 1436.9013069665782}</t>
        </is>
      </c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>
        <f>R[-4]C[0]+R[-3]C[0]-R[-2]C[0]-R[-1]C[0]</f>
        <v/>
      </c>
      <c r="W29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>
        <f>F26+F27-F28-F29</f>
        <v/>
      </c>
      <c r="G300" t="n">
        <v>1406.11076193844</v>
      </c>
      <c r="H300" t="inlineStr">
        <is>
          <t>{"type": "float", "value": 1406.1107619384397}</t>
        </is>
      </c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>
        <f>R[-4]C[0]+R[-3]C[0]-R[-2]C[0]-R[-1]C[0]</f>
        <v/>
      </c>
      <c r="W30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>
        <f>G26+G27-G28-G29</f>
        <v/>
      </c>
      <c r="G301" t="n">
        <v>1379.987829135409</v>
      </c>
      <c r="H301" t="inlineStr">
        <is>
          <t>{"type": "float", "value": 1379.9878291354091}</t>
        </is>
      </c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>
        <f>R[-4]C[0]+R[-3]C[0]-R[-2]C[0]-R[-1]C[0]</f>
        <v/>
      </c>
      <c r="W30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>
        <f>H26+H27-H28-H29</f>
        <v/>
      </c>
      <c r="G302" t="n">
        <v>1358.506311846563</v>
      </c>
      <c r="H302" t="inlineStr">
        <is>
          <t>{"type": "float", "value": 1358.5063118465625}</t>
        </is>
      </c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>
        <f>R[-4]C[0]+R[-3]C[0]-R[-2]C[0]-R[-1]C[0]</f>
        <v/>
      </c>
      <c r="W30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>
        <f>I26+I27-I28-I29</f>
        <v/>
      </c>
      <c r="G303" t="n">
        <v>1341.654371576478</v>
      </c>
      <c r="H303" t="inlineStr">
        <is>
          <t>{"type": "float", "value": 1341.654371576478}</t>
        </is>
      </c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>
        <f>R[-4]C[0]+R[-3]C[0]-R[-2]C[0]-R[-1]C[0]</f>
        <v/>
      </c>
      <c r="W30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G304" t="inlineStr">
        <is>
          <t>Depreciation rate</t>
        </is>
      </c>
      <c r="H304" t="inlineStr">
        <is>
          <t>{"type": "str", "value": "Depreciation rate"}</t>
        </is>
      </c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>
        <f>D29/(D26+D27-D28)</f>
        <v/>
      </c>
      <c r="G305" t="n">
        <v>0.05026354328625898</v>
      </c>
      <c r="H305" t="inlineStr">
        <is>
          <t>{"type": "float", "value": 0.050263543286258976}</t>
        </is>
      </c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>
        <f>R[-2]C[2]/(R[-5]C[2]+R[-4]C[2]-R[-3]C[2])</f>
        <v/>
      </c>
      <c r="W30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G306" t="inlineStr">
        <is>
          <t>Plants &amp; Eq</t>
        </is>
      </c>
      <c r="H306" t="inlineStr">
        <is>
          <t>{"type": "str", "value": "Plants &amp; Eq"}</t>
        </is>
      </c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G307" t="n">
        <v>2015</v>
      </c>
      <c r="H307" t="inlineStr">
        <is>
          <t>{"type": "int", "value": 2015}</t>
        </is>
      </c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W3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G308" t="n">
        <v>2016</v>
      </c>
      <c r="H308" t="inlineStr">
        <is>
          <t>{"type": "int", "value": 2016}</t>
        </is>
      </c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W3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G309" t="n">
        <v>2017</v>
      </c>
      <c r="H309" t="inlineStr">
        <is>
          <t>{"type": "int", "value": 2017}</t>
        </is>
      </c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W30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G310" t="inlineStr">
        <is>
          <t>2018 F</t>
        </is>
      </c>
      <c r="H310" t="inlineStr">
        <is>
          <t>{"type": "str", "value": "2018 F"}</t>
        </is>
      </c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W31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G311" t="inlineStr">
        <is>
          <t>2019 F</t>
        </is>
      </c>
      <c r="H311" t="inlineStr">
        <is>
          <t>{"type": "str", "value": "2019 F"}</t>
        </is>
      </c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W31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G312" t="inlineStr">
        <is>
          <t>2020 F</t>
        </is>
      </c>
      <c r="H312" t="inlineStr">
        <is>
          <t>{"type": "str", "value": "2020 F"}</t>
        </is>
      </c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W31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G313" t="inlineStr">
        <is>
          <t>2021 F</t>
        </is>
      </c>
      <c r="H313" t="inlineStr">
        <is>
          <t>{"type": "str", "value": "2021 F"}</t>
        </is>
      </c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W31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G314" t="inlineStr">
        <is>
          <t>2022 F</t>
        </is>
      </c>
      <c r="H314" t="inlineStr">
        <is>
          <t>{"type": "str", "value": "2022 F"}</t>
        </is>
      </c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W31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G315" t="inlineStr">
        <is>
          <t>Opening balance</t>
        </is>
      </c>
      <c r="H315" t="inlineStr">
        <is>
          <t>{"type": "str", "value": "Opening balance"}</t>
        </is>
      </c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W3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G316" t="n">
        <v>5264.32</v>
      </c>
      <c r="H316" t="inlineStr">
        <is>
          <t>{"type": "float", "value": 5264.32}</t>
        </is>
      </c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W3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>
        <f>D38</f>
        <v/>
      </c>
      <c r="G317" t="n">
        <v>4984.63</v>
      </c>
      <c r="H317" t="inlineStr">
        <is>
          <t>{"type": "float", "value": 4984.63}</t>
        </is>
      </c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>
        <f>R[4]C[-1]</f>
        <v/>
      </c>
      <c r="W3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>
        <f>E38</f>
        <v/>
      </c>
      <c r="G318" t="n">
        <v>4789.876427870993</v>
      </c>
      <c r="H318" t="inlineStr">
        <is>
          <t>{"type": "float", "value": 4789.876427870993}</t>
        </is>
      </c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>
        <f>R[4]C[-1]</f>
        <v/>
      </c>
      <c r="W3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>
        <f>F38</f>
        <v/>
      </c>
      <c r="G319" t="n">
        <v>4633.987457821441</v>
      </c>
      <c r="H319" t="inlineStr">
        <is>
          <t>{"type": "float", "value": 4633.987457821441}</t>
        </is>
      </c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>
        <f>R[4]C[-1]</f>
        <v/>
      </c>
      <c r="W3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>
        <f>G38</f>
        <v/>
      </c>
      <c r="G320" t="n">
        <v>4514.709606875374</v>
      </c>
      <c r="H320" t="inlineStr">
        <is>
          <t>{"type": "float", "value": 4514.709606875374}</t>
        </is>
      </c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>
        <f>R[4]C[-1]</f>
        <v/>
      </c>
      <c r="W3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>
        <f>H38</f>
        <v/>
      </c>
      <c r="G321" t="n">
        <v>4430.087134880485</v>
      </c>
      <c r="H321" t="inlineStr">
        <is>
          <t>{"type": "float", "value": 4430.087134880485}</t>
        </is>
      </c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>
        <f>R[4]C[-1]</f>
        <v/>
      </c>
      <c r="W3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G322" t="inlineStr">
        <is>
          <t>Add: purchase during the year</t>
        </is>
      </c>
      <c r="H322" t="inlineStr">
        <is>
          <t>{"type": "str", "value": "Add: purchase during the year"}</t>
        </is>
      </c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1</v>
      </c>
      <c r="W3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G323" t="n">
        <v>252.46</v>
      </c>
      <c r="H323" t="inlineStr">
        <is>
          <t>{"type": "float", "value": 252.46}</t>
        </is>
      </c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W3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>
        <f>INDEX($L$4:$T$15,MATCH($A33,$L$4:$L$15,0),MATCH(E33,$L$4:$T$4,0))</f>
        <v/>
      </c>
      <c r="G324" t="n">
        <v>271.7939620253165</v>
      </c>
      <c r="H324" t="inlineStr">
        <is>
          <t>{"type": "float", "value": 271.7939620253165}</t>
        </is>
      </c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>
        <f>INDEX(R4C12:R15C20,MATCH(R[-2]C1,R4C12:R15C12,0),MATCH(R[-2]C[0],R4C12:R4C20,0))</f>
        <v/>
      </c>
      <c r="W3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>
        <f>INDEX($L$4:$T$15,MATCH($A33,$L$4:$L$15,0),MATCH(F33,$L$4:$T$4,0))</f>
        <v/>
      </c>
      <c r="G325" t="n">
        <v>292.4301702531646</v>
      </c>
      <c r="H325" t="inlineStr">
        <is>
          <t>{"type": "float", "value": 292.43017025316465}</t>
        </is>
      </c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>
        <f>INDEX(R4C12:R15C20,MATCH(R[-2]C1,R4C12:R15C12,0),MATCH(R[-2]C[0],R4C12:R4C20,0))</f>
        <v/>
      </c>
      <c r="W3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>
        <f>INDEX($L$4:$T$15,MATCH($A33,$L$4:$L$15,0),MATCH(G33,$L$4:$T$4,0))</f>
        <v/>
      </c>
      <c r="G326" t="n">
        <v>314.4505143987342</v>
      </c>
      <c r="H326" t="inlineStr">
        <is>
          <t>{"type": "float", "value": 314.45051439873424}</t>
        </is>
      </c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>
        <f>INDEX(R4C12:R15C20,MATCH(R[-2]C1,R4C12:R15C12,0),MATCH(R[-2]C[0],R4C12:R4C20,0))</f>
        <v/>
      </c>
      <c r="W3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>
        <f>INDEX($L$4:$T$15,MATCH($A33,$L$4:$L$15,0),MATCH(H33,$L$4:$T$4,0))</f>
        <v/>
      </c>
      <c r="G327" t="n">
        <v>337.9418175332279</v>
      </c>
      <c r="H327" t="inlineStr">
        <is>
          <t>{"type": "float", "value": 337.9418175332279}</t>
        </is>
      </c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>
        <f>INDEX(R4C12:R15C20,MATCH(R[-2]C1,R4C12:R15C12,0),MATCH(R[-2]C[0],R4C12:R4C20,0))</f>
        <v/>
      </c>
      <c r="W3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>
        <f>INDEX($L$4:$T$15,MATCH($A33,$L$4:$L$15,0),MATCH(I33,$L$4:$T$4,0))</f>
        <v/>
      </c>
      <c r="G328" t="n">
        <v>362.9961246951742</v>
      </c>
      <c r="H328" t="inlineStr">
        <is>
          <t>{"type": "float", "value": 362.9961246951742}</t>
        </is>
      </c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>
        <f>INDEX(R4C12:R15C20,MATCH(R[-2]C1,R4C12:R15C12,0),MATCH(R[-2]C[0],R4C12:R4C20,0))</f>
        <v/>
      </c>
      <c r="W3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G329" t="inlineStr">
        <is>
          <t>Less: Sale during the year</t>
        </is>
      </c>
      <c r="H329" t="inlineStr">
        <is>
          <t>{"type": "str", "value": "Less: Sale during the year"}</t>
        </is>
      </c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W3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G330" t="n">
        <v>22.6</v>
      </c>
      <c r="H330" t="inlineStr">
        <is>
          <t>{"type": "float", "value": 22.6}</t>
        </is>
      </c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W3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G331" t="n">
        <v>0</v>
      </c>
      <c r="H331" t="inlineStr">
        <is>
          <t>{"type": "int", "value": 0}</t>
        </is>
      </c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W3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G332" t="n">
        <v>0</v>
      </c>
      <c r="H332" t="inlineStr">
        <is>
          <t>{"type": "int", "value": 0}</t>
        </is>
      </c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W3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G333" t="n">
        <v>0</v>
      </c>
      <c r="H333" t="inlineStr">
        <is>
          <t>{"type": "int", "value": 0}</t>
        </is>
      </c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W3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G334" t="n">
        <v>0</v>
      </c>
      <c r="H334" t="inlineStr">
        <is>
          <t>{"type": "int", "value": 0}</t>
        </is>
      </c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G335" t="n">
        <v>0</v>
      </c>
      <c r="H335" t="inlineStr">
        <is>
          <t>{"type": "int", "value": 0}</t>
        </is>
      </c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G336" t="inlineStr">
        <is>
          <t>Less: Dep</t>
        </is>
      </c>
      <c r="H336" t="inlineStr">
        <is>
          <t>{"type": "str", "value": "Less: Dep"}</t>
        </is>
      </c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1</v>
      </c>
      <c r="W3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G337" t="n">
        <v>514.24</v>
      </c>
      <c r="H337" t="inlineStr">
        <is>
          <t>{"type": "float", "value": 514.24}</t>
        </is>
      </c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W3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>
        <f>E34*$B39</f>
        <v/>
      </c>
      <c r="G338" t="n">
        <v>466.5475341543233</v>
      </c>
      <c r="H338" t="inlineStr">
        <is>
          <t>{"type": "float", "value": 466.54753415432333}</t>
        </is>
      </c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>
        <f>R[-3]C[0]*R[2]C2</f>
        <v/>
      </c>
      <c r="W33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>
        <f>F34*$B39</f>
        <v/>
      </c>
      <c r="G339" t="n">
        <v>448.3191403027166</v>
      </c>
      <c r="H339" t="inlineStr">
        <is>
          <t>{"type": "float", "value": 448.3191403027166}</t>
        </is>
      </c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>
        <f>R[-3]C[0]*R[2]C2</f>
        <v/>
      </c>
      <c r="W33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>
        <f>G34*$B39</f>
        <v/>
      </c>
      <c r="G340" t="n">
        <v>433.7283653448009</v>
      </c>
      <c r="H340" t="inlineStr">
        <is>
          <t>{"type": "float", "value": 433.72836534480086}</t>
        </is>
      </c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>
        <f>R[-3]C[0]*R[2]C2</f>
        <v/>
      </c>
      <c r="W34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>
        <f>H34*$B39</f>
        <v/>
      </c>
      <c r="G341" t="n">
        <v>422.5642895281175</v>
      </c>
      <c r="H341" t="inlineStr">
        <is>
          <t>{"type": "float", "value": 422.5642895281175}</t>
        </is>
      </c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>
        <f>R[-3]C[0]*R[2]C2</f>
        <v/>
      </c>
      <c r="W34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>
        <f>I34*$B39</f>
        <v/>
      </c>
      <c r="G342" t="n">
        <v>414.643861002177</v>
      </c>
      <c r="H342" t="inlineStr">
        <is>
          <t>{"type": "float", "value": 414.643861002177}</t>
        </is>
      </c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>
        <f>R[-3]C[0]*R[2]C2</f>
        <v/>
      </c>
      <c r="W34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G343" t="inlineStr">
        <is>
          <t>Closing balance</t>
        </is>
      </c>
      <c r="H343" t="inlineStr">
        <is>
          <t>{"type": "str", "value": "Closing balance"}</t>
        </is>
      </c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W3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G344" t="n">
        <v>4984.63</v>
      </c>
      <c r="H344" t="inlineStr">
        <is>
          <t>{"type": "float", "value": 4984.63}</t>
        </is>
      </c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>
        <f>E34+E35-E36-E37</f>
        <v/>
      </c>
      <c r="G345" t="n">
        <v>4789.876427870993</v>
      </c>
      <c r="H345" t="inlineStr">
        <is>
          <t>{"type": "float", "value": 4789.876427870993}</t>
        </is>
      </c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>
        <f>R[-4]C[0]+R[-3]C[0]-R[-2]C[0]-R[-1]C[0]</f>
        <v/>
      </c>
      <c r="W34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>
        <f>F34+F35-F36-F37</f>
        <v/>
      </c>
      <c r="G346" t="n">
        <v>4633.987457821441</v>
      </c>
      <c r="H346" t="inlineStr">
        <is>
          <t>{"type": "float", "value": 4633.987457821441}</t>
        </is>
      </c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>
        <f>R[-4]C[0]+R[-3]C[0]-R[-2]C[0]-R[-1]C[0]</f>
        <v/>
      </c>
      <c r="W34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>
        <f>G34+G35-G36-G37</f>
        <v/>
      </c>
      <c r="G347" t="n">
        <v>4514.709606875374</v>
      </c>
      <c r="H347" t="inlineStr">
        <is>
          <t>{"type": "float", "value": 4514.709606875374}</t>
        </is>
      </c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>
        <f>R[-4]C[0]+R[-3]C[0]-R[-2]C[0]-R[-1]C[0]</f>
        <v/>
      </c>
      <c r="W34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>
        <f>H34+H35-H36-H37</f>
        <v/>
      </c>
      <c r="G348" t="n">
        <v>4430.087134880485</v>
      </c>
      <c r="H348" t="inlineStr">
        <is>
          <t>{"type": "float", "value": 4430.087134880485}</t>
        </is>
      </c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>
        <f>R[-4]C[0]+R[-3]C[0]-R[-2]C[0]-R[-1]C[0]</f>
        <v/>
      </c>
      <c r="W34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>
        <f>I34+I35-I36-I37</f>
        <v/>
      </c>
      <c r="G349" t="n">
        <v>4378.439398573482</v>
      </c>
      <c r="H349" t="inlineStr">
        <is>
          <t>{"type": "float", "value": 4378.439398573482}</t>
        </is>
      </c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>
        <f>R[-4]C[0]+R[-3]C[0]-R[-2]C[0]-R[-1]C[0]</f>
        <v/>
      </c>
      <c r="W34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G350" t="inlineStr">
        <is>
          <t>Depreciation rate</t>
        </is>
      </c>
      <c r="H350" t="inlineStr">
        <is>
          <t>{"type": "str", "value": "Depreciation rate"}</t>
        </is>
      </c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1</v>
      </c>
      <c r="W3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>
        <f>D37/(D34+D35-D36)</f>
        <v/>
      </c>
      <c r="G351" t="n">
        <v>0.09359722469959121</v>
      </c>
      <c r="H351" t="inlineStr">
        <is>
          <t>{"type": "float", "value": 0.09359722469959121}</t>
        </is>
      </c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>
        <f>R[-2]C[2]/(R[-5]C[2]+R[-4]C[2]-R[-3]C[2])</f>
        <v/>
      </c>
      <c r="W35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G352" t="inlineStr">
        <is>
          <t>Railway sidings</t>
        </is>
      </c>
      <c r="H352" t="inlineStr">
        <is>
          <t>{"type": "str", "value": "Railway sidings"}</t>
        </is>
      </c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W35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G353" t="n">
        <v>2015</v>
      </c>
      <c r="H353" t="inlineStr">
        <is>
          <t>{"type": "int", "value": 2015}</t>
        </is>
      </c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W35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G354" t="n">
        <v>2016</v>
      </c>
      <c r="H354" t="inlineStr">
        <is>
          <t>{"type": "int", "value": 2016}</t>
        </is>
      </c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W35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G355" t="n">
        <v>2017</v>
      </c>
      <c r="H355" t="inlineStr">
        <is>
          <t>{"type": "int", "value": 2017}</t>
        </is>
      </c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W35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G356" t="inlineStr">
        <is>
          <t>2018 F</t>
        </is>
      </c>
      <c r="H356" t="inlineStr">
        <is>
          <t>{"type": "str", "value": "2018 F"}</t>
        </is>
      </c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W35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G357" t="inlineStr">
        <is>
          <t>2019 F</t>
        </is>
      </c>
      <c r="H357" t="inlineStr">
        <is>
          <t>{"type": "str", "value": "2019 F"}</t>
        </is>
      </c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W35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G358" t="inlineStr">
        <is>
          <t>2020 F</t>
        </is>
      </c>
      <c r="H358" t="inlineStr">
        <is>
          <t>{"type": "str", "value": "2020 F"}</t>
        </is>
      </c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W35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G359" t="inlineStr">
        <is>
          <t>2021 F</t>
        </is>
      </c>
      <c r="H359" t="inlineStr">
        <is>
          <t>{"type": "str", "value": "2021 F"}</t>
        </is>
      </c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W35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G360" t="inlineStr">
        <is>
          <t>2022 F</t>
        </is>
      </c>
      <c r="H360" t="inlineStr">
        <is>
          <t>{"type": "str", "value": "2022 F"}</t>
        </is>
      </c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W36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G361" t="inlineStr">
        <is>
          <t>Opening balance</t>
        </is>
      </c>
      <c r="H361" t="inlineStr">
        <is>
          <t>{"type": "str", "value": "Opening balance"}</t>
        </is>
      </c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W3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G362" t="n">
        <v>181.92</v>
      </c>
      <c r="H362" t="inlineStr">
        <is>
          <t>{"type": "float", "value": 181.92}</t>
        </is>
      </c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R362" t="b">
        <v>1</v>
      </c>
      <c r="W3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>
        <f>D46</f>
        <v/>
      </c>
      <c r="G363" t="n">
        <v>212.14</v>
      </c>
      <c r="H363" t="inlineStr">
        <is>
          <t>{"type": "float", "value": 212.14}</t>
        </is>
      </c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>
        <f>R[4]C[-1]</f>
        <v/>
      </c>
      <c r="W3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>
        <f>E46</f>
        <v/>
      </c>
      <c r="G364" t="n">
        <v>248.0073668950734</v>
      </c>
      <c r="H364" t="inlineStr">
        <is>
          <t>{"type": "float", "value": 248.0073668950734}</t>
        </is>
      </c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>
        <f>R[4]C[-1]</f>
        <v/>
      </c>
      <c r="W3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>
        <f>F46</f>
        <v/>
      </c>
      <c r="G365" t="n">
        <v>284.8907982196598</v>
      </c>
      <c r="H365" t="inlineStr">
        <is>
          <t>{"type": "float", "value": 284.8907982196598}</t>
        </is>
      </c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>
        <f>R[4]C[-1]</f>
        <v/>
      </c>
      <c r="W36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>
        <f>G46</f>
        <v/>
      </c>
      <c r="G366" t="n">
        <v>322.9785051573844</v>
      </c>
      <c r="H366" t="inlineStr">
        <is>
          <t>{"type": "float", "value": 322.9785051573844}</t>
        </is>
      </c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>
        <f>R[4]C[-1]</f>
        <v/>
      </c>
      <c r="W3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>
        <f>H46</f>
        <v/>
      </c>
      <c r="G367" t="n">
        <v>362.459750771476</v>
      </c>
      <c r="H367" t="inlineStr">
        <is>
          <t>{"type": "float", "value": 362.45975077147597}</t>
        </is>
      </c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>
        <f>R[4]C[-1]</f>
        <v/>
      </c>
      <c r="W3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G368" t="inlineStr">
        <is>
          <t>Add: purchase during the year</t>
        </is>
      </c>
      <c r="H368" t="inlineStr">
        <is>
          <t>{"type": "str", "value": "Add: purchase during the year"}</t>
        </is>
      </c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W3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G369" t="n">
        <v>50.34</v>
      </c>
      <c r="H369" t="inlineStr">
        <is>
          <t>{"type": "float", "value": 50.34}</t>
        </is>
      </c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W3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>
        <f>INDEX($L$4:$T$15,MATCH($A41,$L$4:$L$15,0),MATCH(E41,$L$4:$T$4,0))</f>
        <v/>
      </c>
      <c r="G370" t="n">
        <v>54.19515189873419</v>
      </c>
      <c r="H370" t="inlineStr">
        <is>
          <t>{"type": "float", "value": 54.19515189873419}</t>
        </is>
      </c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>
        <f>INDEX(R4C12:R15C20,MATCH(R[-2]C1,R4C12:R15C12,0),MATCH(R[-2]C[0],R4C12:R4C20,0))</f>
        <v/>
      </c>
      <c r="W3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>
        <f>INDEX($L$4:$T$15,MATCH($A41,$L$4:$L$15,0),MATCH(F41,$L$4:$T$4,0))</f>
        <v/>
      </c>
      <c r="G371" t="n">
        <v>58.30996898734179</v>
      </c>
      <c r="H371" t="inlineStr">
        <is>
          <t>{"type": "float", "value": 58.30996898734179}</t>
        </is>
      </c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>
        <f>INDEX(R4C12:R15C20,MATCH(R[-2]C1,R4C12:R15C12,0),MATCH(R[-2]C[0],R4C12:R4C20,0))</f>
        <v/>
      </c>
      <c r="W3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>
        <f>INDEX($L$4:$T$15,MATCH($A41,$L$4:$L$15,0),MATCH(G41,$L$4:$T$4,0))</f>
        <v/>
      </c>
      <c r="G372" t="n">
        <v>62.70077990506331</v>
      </c>
      <c r="H372" t="inlineStr">
        <is>
          <t>{"type": "float", "value": 62.70077990506331}</t>
        </is>
      </c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>
        <f>INDEX(R4C12:R15C20,MATCH(R[-2]C1,R4C12:R15C12,0),MATCH(R[-2]C[0],R4C12:R4C20,0))</f>
        <v/>
      </c>
      <c r="W3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>
        <f>INDEX($L$4:$T$15,MATCH($A41,$L$4:$L$15,0),MATCH(H41,$L$4:$T$4,0))</f>
        <v/>
      </c>
      <c r="G373" t="n">
        <v>67.38489699208863</v>
      </c>
      <c r="H373" t="inlineStr">
        <is>
          <t>{"type": "float", "value": 67.38489699208863}</t>
        </is>
      </c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>
        <f>INDEX(R4C12:R15C20,MATCH(R[-2]C1,R4C12:R15C12,0),MATCH(R[-2]C[0],R4C12:R4C20,0))</f>
        <v/>
      </c>
      <c r="W37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>
        <f>INDEX($L$4:$T$15,MATCH($A41,$L$4:$L$15,0),MATCH(I41,$L$4:$T$4,0))</f>
        <v/>
      </c>
      <c r="G374" t="n">
        <v>72.38067383805384</v>
      </c>
      <c r="H374" t="inlineStr">
        <is>
          <t>{"type": "float", "value": 72.38067383805384}</t>
        </is>
      </c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>
        <f>INDEX(R4C12:R15C20,MATCH(R[-2]C1,R4C12:R15C12,0),MATCH(R[-2]C[0],R4C12:R4C20,0))</f>
        <v/>
      </c>
      <c r="W37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G375" t="inlineStr">
        <is>
          <t>Less: Sale during the year</t>
        </is>
      </c>
      <c r="H375" t="inlineStr">
        <is>
          <t>{"type": "str", "value": "Less: Sale during the year"}</t>
        </is>
      </c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W3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G376" t="n">
        <v>0.07000000000000001</v>
      </c>
      <c r="H376" t="inlineStr">
        <is>
          <t>{"type": "float", "value": 0.07}</t>
        </is>
      </c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W3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G377" t="n">
        <v>0</v>
      </c>
      <c r="H377" t="inlineStr">
        <is>
          <t>{"type": "int", "value": 0}</t>
        </is>
      </c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W3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G378" t="n">
        <v>0</v>
      </c>
      <c r="H378" t="inlineStr">
        <is>
          <t>{"type": "int", "value": 0}</t>
        </is>
      </c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W3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G379" t="n">
        <v>0</v>
      </c>
      <c r="H379" t="inlineStr">
        <is>
          <t>{"type": "int", "value": 0}</t>
        </is>
      </c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W3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G380" t="n">
        <v>0</v>
      </c>
      <c r="H380" t="inlineStr">
        <is>
          <t>{"type": "int", "value": 0}</t>
        </is>
      </c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W3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G381" t="n">
        <v>0</v>
      </c>
      <c r="H381" t="inlineStr">
        <is>
          <t>{"type": "int", "value": 0}</t>
        </is>
      </c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W3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G382" t="inlineStr">
        <is>
          <t>Less: Dep</t>
        </is>
      </c>
      <c r="H382" t="inlineStr">
        <is>
          <t>{"type": "str", "value": "Less: Dep"}</t>
        </is>
      </c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W3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G383" t="n">
        <v>20.06</v>
      </c>
      <c r="H383" t="inlineStr">
        <is>
          <t>{"type": "float", "value": 20.06}</t>
        </is>
      </c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W3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>
        <f>E42*$B47</f>
        <v/>
      </c>
      <c r="G384" t="n">
        <v>18.32778500366079</v>
      </c>
      <c r="H384" t="inlineStr">
        <is>
          <t>{"type": "float", "value": 18.327785003660793}</t>
        </is>
      </c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>
        <f>R[-3]C[0]*R[2]C2</f>
        <v/>
      </c>
      <c r="W38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>
        <f>F42*$B47</f>
        <v/>
      </c>
      <c r="G385" t="n">
        <v>21.42653766275538</v>
      </c>
      <c r="H385" t="inlineStr">
        <is>
          <t>{"type": "float", "value": 21.426537662755383}</t>
        </is>
      </c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>
        <f>R[-3]C[0]*R[2]C2</f>
        <v/>
      </c>
      <c r="W38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>
        <f>G42*$B47</f>
        <v/>
      </c>
      <c r="G386" t="n">
        <v>24.61307296733871</v>
      </c>
      <c r="H386" t="inlineStr">
        <is>
          <t>{"type": "float", "value": 24.613072967338713}</t>
        </is>
      </c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>
        <f>R[-3]C[0]*R[2]C2</f>
        <v/>
      </c>
      <c r="W38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>
        <f>H42*$B47</f>
        <v/>
      </c>
      <c r="G387" t="n">
        <v>27.90365137799703</v>
      </c>
      <c r="H387" t="inlineStr">
        <is>
          <t>{"type": "float", "value": 27.903651377997033}</t>
        </is>
      </c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>
        <f>R[-3]C[0]*R[2]C2</f>
        <v/>
      </c>
      <c r="W38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>
        <f>I42*$B47</f>
        <v/>
      </c>
      <c r="G388" t="n">
        <v>31.31462423220556</v>
      </c>
      <c r="H388" t="inlineStr">
        <is>
          <t>{"type": "float", "value": 31.314624232205556}</t>
        </is>
      </c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>
        <f>R[-3]C[0]*R[2]C2</f>
        <v/>
      </c>
      <c r="W38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G389" t="inlineStr">
        <is>
          <t>Closing balance</t>
        </is>
      </c>
      <c r="H389" t="inlineStr">
        <is>
          <t>{"type": "str", "value": "Closing balance"}</t>
        </is>
      </c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W3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G390" t="n">
        <v>212.14</v>
      </c>
      <c r="H390" t="inlineStr">
        <is>
          <t>{"type": "float", "value": 212.14}</t>
        </is>
      </c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W3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>
        <f>E42+E43-E44-E45</f>
        <v/>
      </c>
      <c r="G391" t="n">
        <v>248.0073668950734</v>
      </c>
      <c r="H391" t="inlineStr">
        <is>
          <t>{"type": "float", "value": 248.0073668950734}</t>
        </is>
      </c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>
        <f>R[-4]C[0]+R[-3]C[0]-R[-2]C[0]-R[-1]C[0]</f>
        <v/>
      </c>
      <c r="W39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>
        <f>F42+F43-F44-F45</f>
        <v/>
      </c>
      <c r="G392" t="n">
        <v>284.8907982196598</v>
      </c>
      <c r="H392" t="inlineStr">
        <is>
          <t>{"type": "float", "value": 284.8907982196598}</t>
        </is>
      </c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>
        <f>R[-4]C[0]+R[-3]C[0]-R[-2]C[0]-R[-1]C[0]</f>
        <v/>
      </c>
      <c r="W39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>
        <f>G42+G43-G44-G45</f>
        <v/>
      </c>
      <c r="G393" t="n">
        <v>322.9785051573844</v>
      </c>
      <c r="H393" t="inlineStr">
        <is>
          <t>{"type": "float", "value": 322.9785051573844}</t>
        </is>
      </c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>
        <f>R[-4]C[0]+R[-3]C[0]-R[-2]C[0]-R[-1]C[0]</f>
        <v/>
      </c>
      <c r="W39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>
        <f>H42+H43-H44-H45</f>
        <v/>
      </c>
      <c r="G394" t="n">
        <v>362.459750771476</v>
      </c>
      <c r="H394" t="inlineStr">
        <is>
          <t>{"type": "float", "value": 362.45975077147597}</t>
        </is>
      </c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>
        <f>R[-4]C[0]+R[-3]C[0]-R[-2]C[0]-R[-1]C[0]</f>
        <v/>
      </c>
      <c r="W39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>
        <f>I42+I43-I44-I45</f>
        <v/>
      </c>
      <c r="G395" t="n">
        <v>403.5258003773242</v>
      </c>
      <c r="H395" t="inlineStr">
        <is>
          <t>{"type": "float", "value": 403.52580037732423}</t>
        </is>
      </c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>
        <f>R[-4]C[0]+R[-3]C[0]-R[-2]C[0]-R[-1]C[0]</f>
        <v/>
      </c>
      <c r="W39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G396" t="inlineStr">
        <is>
          <t>Depreciation rate</t>
        </is>
      </c>
      <c r="H396" t="inlineStr">
        <is>
          <t>{"type": "str", "value": "Depreciation rate"}</t>
        </is>
      </c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R396" t="b">
        <v>1</v>
      </c>
      <c r="W3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>
        <f>D45/(D42+D43-D44)</f>
        <v/>
      </c>
      <c r="G397" t="n">
        <v>0.08639476290968603</v>
      </c>
      <c r="H397" t="inlineStr">
        <is>
          <t>{"type": "float", "value": 0.08639476290968603}</t>
        </is>
      </c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>
        <f>R[-2]C[2]/(R[-5]C[2]+R[-4]C[2]-R[-3]C[2])</f>
        <v/>
      </c>
      <c r="W39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G398" t="inlineStr">
        <is>
          <t>Office Eq</t>
        </is>
      </c>
      <c r="H398" t="inlineStr">
        <is>
          <t>{"type": "str", "value": "Office Eq"}</t>
        </is>
      </c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R398" t="b">
        <v>1</v>
      </c>
      <c r="W39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G399" t="n">
        <v>2015</v>
      </c>
      <c r="H399" t="inlineStr">
        <is>
          <t>{"type": "int", "value": 2015}</t>
        </is>
      </c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W39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G400" t="n">
        <v>2016</v>
      </c>
      <c r="H400" t="inlineStr">
        <is>
          <t>{"type": "int", "value": 2016}</t>
        </is>
      </c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W40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G401" t="n">
        <v>2017</v>
      </c>
      <c r="H401" t="inlineStr">
        <is>
          <t>{"type": "int", "value": 2017}</t>
        </is>
      </c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W40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G402" t="inlineStr">
        <is>
          <t>2018 F</t>
        </is>
      </c>
      <c r="H402" t="inlineStr">
        <is>
          <t>{"type": "str", "value": "2018 F"}</t>
        </is>
      </c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W40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G403" t="inlineStr">
        <is>
          <t>2019 F</t>
        </is>
      </c>
      <c r="H403" t="inlineStr">
        <is>
          <t>{"type": "str", "value": "2019 F"}</t>
        </is>
      </c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W40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G404" t="inlineStr">
        <is>
          <t>2020 F</t>
        </is>
      </c>
      <c r="H404" t="inlineStr">
        <is>
          <t>{"type": "str", "value": "2020 F"}</t>
        </is>
      </c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W40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G405" t="inlineStr">
        <is>
          <t>2021 F</t>
        </is>
      </c>
      <c r="H405" t="inlineStr">
        <is>
          <t>{"type": "str", "value": "2021 F"}</t>
        </is>
      </c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W40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G406" t="inlineStr">
        <is>
          <t>2022 F</t>
        </is>
      </c>
      <c r="H406" t="inlineStr">
        <is>
          <t>{"type": "str", "value": "2022 F"}</t>
        </is>
      </c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W40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G407" t="inlineStr">
        <is>
          <t>Opening balance</t>
        </is>
      </c>
      <c r="H407" t="inlineStr">
        <is>
          <t>{"type": "str", "value": "Opening balance"}</t>
        </is>
      </c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R407" t="b">
        <v>1</v>
      </c>
      <c r="W4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G408" t="n">
        <v>32.42</v>
      </c>
      <c r="H408" t="inlineStr">
        <is>
          <t>{"type": "float", "value": 32.42}</t>
        </is>
      </c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R408" t="b">
        <v>1</v>
      </c>
      <c r="W4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>
        <f>D54</f>
        <v/>
      </c>
      <c r="G409" t="n">
        <v>26.08</v>
      </c>
      <c r="H409" t="inlineStr">
        <is>
          <t>{"type": "float", "value": 26.08}</t>
        </is>
      </c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>
        <f>R[4]C[-1]</f>
        <v/>
      </c>
      <c r="W4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>
        <f>E54</f>
        <v/>
      </c>
      <c r="G410" t="n">
        <v>24.93358080861804</v>
      </c>
      <c r="H410" t="inlineStr">
        <is>
          <t>{"type": "float", "value": 24.933580808618036}</t>
        </is>
      </c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>
        <f>R[4]C[-1]</f>
        <v/>
      </c>
      <c r="W4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>
        <f>F54</f>
        <v/>
      </c>
      <c r="G411" t="n">
        <v>24.77972787455752</v>
      </c>
      <c r="H411" t="inlineStr">
        <is>
          <t>{"type": "float", "value": 24.779727874557516}</t>
        </is>
      </c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>
        <f>R[4]C[-1]</f>
        <v/>
      </c>
      <c r="W4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>
        <f>G54</f>
        <v/>
      </c>
      <c r="G412" t="n">
        <v>25.31572926819843</v>
      </c>
      <c r="H412" t="inlineStr">
        <is>
          <t>{"type": "float", "value": 25.315729268198428}</t>
        </is>
      </c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>
        <f>R[4]C[-1]</f>
        <v/>
      </c>
      <c r="W4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>
        <f>H54</f>
        <v/>
      </c>
      <c r="G413" t="n">
        <v>26.34591055116683</v>
      </c>
      <c r="H413" t="inlineStr">
        <is>
          <t>{"type": "float", "value": 26.34591055116683}</t>
        </is>
      </c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>
        <f>R[4]C[-1]</f>
        <v/>
      </c>
      <c r="W4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G414" t="inlineStr">
        <is>
          <t>Add: purchase during the year</t>
        </is>
      </c>
      <c r="H414" t="inlineStr">
        <is>
          <t>{"type": "str", "value": "Add: purchase during the year"}</t>
        </is>
      </c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R414" t="b">
        <v>1</v>
      </c>
      <c r="W4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G415" t="n">
        <v>7.3</v>
      </c>
      <c r="H415" t="inlineStr">
        <is>
          <t>{"type": "float", "value": 7.3}</t>
        </is>
      </c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R415" t="b">
        <v>1</v>
      </c>
      <c r="W4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>
        <f>INDEX($L$4:$T$15,MATCH($A49,$L$4:$L$15,0),MATCH(E49,$L$4:$T$4,0))</f>
        <v/>
      </c>
      <c r="G416" t="n">
        <v>7.859050632911393</v>
      </c>
      <c r="H416" t="inlineStr">
        <is>
          <t>{"type": "float", "value": 7.859050632911393}</t>
        </is>
      </c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>
        <f>INDEX(R4C12:R15C20,MATCH(R[-2]C1,R4C12:R15C12,0),MATCH(R[-2]C[0],R4C12:R4C20,0))</f>
        <v/>
      </c>
      <c r="W4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>
        <f>INDEX($L$4:$T$15,MATCH($A49,$L$4:$L$15,0),MATCH(F49,$L$4:$T$4,0))</f>
        <v/>
      </c>
      <c r="G417" t="n">
        <v>8.455756329113926</v>
      </c>
      <c r="H417" t="inlineStr">
        <is>
          <t>{"type": "float", "value": 8.455756329113926}</t>
        </is>
      </c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>
        <f>INDEX(R4C12:R15C20,MATCH(R[-2]C1,R4C12:R15C12,0),MATCH(R[-2]C[0],R4C12:R4C20,0))</f>
        <v/>
      </c>
      <c r="W41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>
        <f>INDEX($L$4:$T$15,MATCH($A49,$L$4:$L$15,0),MATCH(G49,$L$4:$T$4,0))</f>
        <v/>
      </c>
      <c r="G418" t="n">
        <v>9.092484968354432</v>
      </c>
      <c r="H418" t="inlineStr">
        <is>
          <t>{"type": "float", "value": 9.092484968354432}</t>
        </is>
      </c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>
        <f>INDEX(R4C12:R15C20,MATCH(R[-2]C1,R4C12:R15C12,0),MATCH(R[-2]C[0],R4C12:R4C20,0))</f>
        <v/>
      </c>
      <c r="W41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>
        <f>INDEX($L$4:$T$15,MATCH($A49,$L$4:$L$15,0),MATCH(H49,$L$4:$T$4,0))</f>
        <v/>
      </c>
      <c r="G419" t="n">
        <v>9.771747080696205</v>
      </c>
      <c r="H419" t="inlineStr">
        <is>
          <t>{"type": "float", "value": 9.771747080696205}</t>
        </is>
      </c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>
        <f>INDEX(R4C12:R15C20,MATCH(R[-2]C1,R4C12:R15C12,0),MATCH(R[-2]C[0],R4C12:R4C20,0))</f>
        <v/>
      </c>
      <c r="W41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>
        <f>INDEX($L$4:$T$15,MATCH($A49,$L$4:$L$15,0),MATCH(I49,$L$4:$T$4,0))</f>
        <v/>
      </c>
      <c r="G420" t="n">
        <v>10.49620419185127</v>
      </c>
      <c r="H420" t="inlineStr">
        <is>
          <t>{"type": "float", "value": 10.496204191851271}</t>
        </is>
      </c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>
        <f>INDEX(R4C12:R15C20,MATCH(R[-2]C1,R4C12:R15C12,0),MATCH(R[-2]C[0],R4C12:R4C20,0))</f>
        <v/>
      </c>
      <c r="W42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G421" t="inlineStr">
        <is>
          <t>Less: Sale during the year</t>
        </is>
      </c>
      <c r="H421" t="inlineStr">
        <is>
          <t>{"type": "str", "value": "Less: Sale during the year"}</t>
        </is>
      </c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R421" t="b">
        <v>1</v>
      </c>
      <c r="W4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G422" t="n">
        <v>0.45</v>
      </c>
      <c r="H422" t="inlineStr">
        <is>
          <t>{"type": "float", "value": 0.45}</t>
        </is>
      </c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R422" t="b">
        <v>1</v>
      </c>
      <c r="W4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G423" t="n">
        <v>0</v>
      </c>
      <c r="H423" t="inlineStr">
        <is>
          <t>{"type": "int", "value": 0}</t>
        </is>
      </c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R423" t="b">
        <v>1</v>
      </c>
      <c r="W4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G424" t="n">
        <v>0</v>
      </c>
      <c r="H424" t="inlineStr">
        <is>
          <t>{"type": "int", "value": 0}</t>
        </is>
      </c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R424" t="b">
        <v>1</v>
      </c>
      <c r="W42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G425" t="n">
        <v>0</v>
      </c>
      <c r="H425" t="inlineStr">
        <is>
          <t>{"type": "int", "value": 0}</t>
        </is>
      </c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R425" t="b">
        <v>1</v>
      </c>
      <c r="W4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G426" t="n">
        <v>0</v>
      </c>
      <c r="H426" t="inlineStr">
        <is>
          <t>{"type": "int", "value": 0}</t>
        </is>
      </c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R426" t="b">
        <v>1</v>
      </c>
      <c r="W4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G427" t="n">
        <v>0</v>
      </c>
      <c r="H427" t="inlineStr">
        <is>
          <t>{"type": "int", "value": 0}</t>
        </is>
      </c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R427" t="b">
        <v>1</v>
      </c>
      <c r="W4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G428" t="inlineStr">
        <is>
          <t>Less: Dep</t>
        </is>
      </c>
      <c r="H428" t="inlineStr">
        <is>
          <t>{"type": "str", "value": "Less: Dep"}</t>
        </is>
      </c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R428" t="b">
        <v>1</v>
      </c>
      <c r="W4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G429" t="n">
        <v>13.56</v>
      </c>
      <c r="H429" t="inlineStr">
        <is>
          <t>{"type": "float", "value": 13.56}</t>
        </is>
      </c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R429" t="b">
        <v>1</v>
      </c>
      <c r="W4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>
        <f>E50*$B55</f>
        <v/>
      </c>
      <c r="G430" t="n">
        <v>9.005469824293353</v>
      </c>
      <c r="H430" t="inlineStr">
        <is>
          <t>{"type": "float", "value": 9.005469824293353}</t>
        </is>
      </c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>
        <f>R[-3]C[0]*R[2]C2</f>
        <v/>
      </c>
      <c r="W4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>
        <f>F50*$B55</f>
        <v/>
      </c>
      <c r="G431" t="n">
        <v>8.609609263174448</v>
      </c>
      <c r="H431" t="inlineStr">
        <is>
          <t>{"type": "float", "value": 8.609609263174448}</t>
        </is>
      </c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>
        <f>R[-3]C[0]*R[2]C2</f>
        <v/>
      </c>
      <c r="W43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>
        <f>G50*$B55</f>
        <v/>
      </c>
      <c r="G432" t="n">
        <v>8.556483574713521</v>
      </c>
      <c r="H432" t="inlineStr">
        <is>
          <t>{"type": "float", "value": 8.556483574713521}</t>
        </is>
      </c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>
        <f>R[-3]C[0]*R[2]C2</f>
        <v/>
      </c>
      <c r="W43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>
        <f>H50*$B55</f>
        <v/>
      </c>
      <c r="G433" t="n">
        <v>8.7415657977278</v>
      </c>
      <c r="H433" t="inlineStr">
        <is>
          <t>{"type": "float", "value": 8.7415657977278}</t>
        </is>
      </c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>
        <f>R[-3]C[0]*R[2]C2</f>
        <v/>
      </c>
      <c r="W43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>
        <f>I50*$B55</f>
        <v/>
      </c>
      <c r="G434" t="n">
        <v>9.097289204833773</v>
      </c>
      <c r="H434" t="inlineStr">
        <is>
          <t>{"type": "float", "value": 9.097289204833773}</t>
        </is>
      </c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>
        <f>R[-3]C[0]*R[2]C2</f>
        <v/>
      </c>
      <c r="W4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G435" t="inlineStr">
        <is>
          <t>Closing balance</t>
        </is>
      </c>
      <c r="H435" t="inlineStr">
        <is>
          <t>{"type": "str", "value": "Closing balance"}</t>
        </is>
      </c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R435" t="b">
        <v>1</v>
      </c>
      <c r="W4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G436" t="n">
        <v>26.08</v>
      </c>
      <c r="H436" t="inlineStr">
        <is>
          <t>{"type": "float", "value": 26.08}</t>
        </is>
      </c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R436" t="b">
        <v>1</v>
      </c>
      <c r="W4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>
        <f>E50+E51-E52-E53</f>
        <v/>
      </c>
      <c r="G437" t="n">
        <v>24.93358080861804</v>
      </c>
      <c r="H437" t="inlineStr">
        <is>
          <t>{"type": "float", "value": 24.933580808618036}</t>
        </is>
      </c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>
        <f>R[-4]C[0]+R[-3]C[0]-R[-2]C[0]-R[-1]C[0]</f>
        <v/>
      </c>
      <c r="W43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>
        <f>F50+F51-F52-F53</f>
        <v/>
      </c>
      <c r="G438" t="n">
        <v>24.77972787455752</v>
      </c>
      <c r="H438" t="inlineStr">
        <is>
          <t>{"type": "float", "value": 24.779727874557516}</t>
        </is>
      </c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>
        <f>R[-4]C[0]+R[-3]C[0]-R[-2]C[0]-R[-1]C[0]</f>
        <v/>
      </c>
      <c r="W43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>
        <f>G50+G51-G52-G53</f>
        <v/>
      </c>
      <c r="G439" t="n">
        <v>25.31572926819843</v>
      </c>
      <c r="H439" t="inlineStr">
        <is>
          <t>{"type": "float", "value": 25.315729268198428}</t>
        </is>
      </c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>
        <f>R[-4]C[0]+R[-3]C[0]-R[-2]C[0]-R[-1]C[0]</f>
        <v/>
      </c>
      <c r="W43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>
        <f>H50+H51-H52-H53</f>
        <v/>
      </c>
      <c r="G440" t="n">
        <v>26.34591055116683</v>
      </c>
      <c r="H440" t="inlineStr">
        <is>
          <t>{"type": "float", "value": 26.34591055116683}</t>
        </is>
      </c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>
        <f>R[-4]C[0]+R[-3]C[0]-R[-2]C[0]-R[-1]C[0]</f>
        <v/>
      </c>
      <c r="W44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>
        <f>I50+I51-I52-I53</f>
        <v/>
      </c>
      <c r="G441" t="n">
        <v>27.74482553818433</v>
      </c>
      <c r="H441" t="inlineStr">
        <is>
          <t>{"type": "float", "value": 27.74482553818433}</t>
        </is>
      </c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>
        <f>R[-4]C[0]+R[-3]C[0]-R[-2]C[0]-R[-1]C[0]</f>
        <v/>
      </c>
      <c r="W44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G442" t="inlineStr">
        <is>
          <t>Depreciation rate</t>
        </is>
      </c>
      <c r="H442" t="inlineStr">
        <is>
          <t>{"type": "str", "value": "Depreciation rate"}</t>
        </is>
      </c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R442" t="b">
        <v>1</v>
      </c>
      <c r="W4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>
        <f>D53/(D50+D51-D52)</f>
        <v/>
      </c>
      <c r="G443" t="n">
        <v>0.345301757066463</v>
      </c>
      <c r="H443" t="inlineStr">
        <is>
          <t>{"type": "float", "value": 0.345301757066463}</t>
        </is>
      </c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>
        <f>R[-2]C[2]/(R[-5]C[2]+R[-4]C[2]-R[-3]C[2])</f>
        <v/>
      </c>
      <c r="W4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G444" t="inlineStr">
        <is>
          <t>Software</t>
        </is>
      </c>
      <c r="H444" t="inlineStr">
        <is>
          <t>{"type": "str", "value": "Software"}</t>
        </is>
      </c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R444" t="b">
        <v>1</v>
      </c>
      <c r="W44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G445" t="n">
        <v>2015</v>
      </c>
      <c r="H445" t="inlineStr">
        <is>
          <t>{"type": "int", "value": 2015}</t>
        </is>
      </c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W44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G446" t="n">
        <v>2016</v>
      </c>
      <c r="H446" t="inlineStr">
        <is>
          <t>{"type": "int", "value": 2016}</t>
        </is>
      </c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W44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G447" t="n">
        <v>2017</v>
      </c>
      <c r="H447" t="inlineStr">
        <is>
          <t>{"type": "int", "value": 2017}</t>
        </is>
      </c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W44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G448" t="inlineStr">
        <is>
          <t>2018 F</t>
        </is>
      </c>
      <c r="H448" t="inlineStr">
        <is>
          <t>{"type": "str", "value": "2018 F"}</t>
        </is>
      </c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W44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G449" t="inlineStr">
        <is>
          <t>2019 F</t>
        </is>
      </c>
      <c r="H449" t="inlineStr">
        <is>
          <t>{"type": "str", "value": "2019 F"}</t>
        </is>
      </c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W44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G450" t="inlineStr">
        <is>
          <t>2020 F</t>
        </is>
      </c>
      <c r="H450" t="inlineStr">
        <is>
          <t>{"type": "str", "value": "2020 F"}</t>
        </is>
      </c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W45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G451" t="inlineStr">
        <is>
          <t>2021 F</t>
        </is>
      </c>
      <c r="H451" t="inlineStr">
        <is>
          <t>{"type": "str", "value": "2021 F"}</t>
        </is>
      </c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W45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G452" t="inlineStr">
        <is>
          <t>2022 F</t>
        </is>
      </c>
      <c r="H452" t="inlineStr">
        <is>
          <t>{"type": "str", "value": "2022 F"}</t>
        </is>
      </c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W45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G453" t="inlineStr">
        <is>
          <t>Opening balance</t>
        </is>
      </c>
      <c r="H453" t="inlineStr">
        <is>
          <t>{"type": "str", "value": "Opening balance"}</t>
        </is>
      </c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R453" t="b">
        <v>1</v>
      </c>
      <c r="W4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G454" t="n">
        <v>3.63</v>
      </c>
      <c r="H454" t="inlineStr">
        <is>
          <t>{"type": "float", "value": 3.63}</t>
        </is>
      </c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R454" t="b">
        <v>1</v>
      </c>
      <c r="W4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>
        <f>D62</f>
        <v/>
      </c>
      <c r="G455" t="n">
        <v>1.63</v>
      </c>
      <c r="H455" t="inlineStr">
        <is>
          <t>{"type": "float", "value": 1.63}</t>
        </is>
      </c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>
        <f>R[4]C[-1]</f>
        <v/>
      </c>
      <c r="W4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>
        <f>E62</f>
        <v/>
      </c>
      <c r="G456" t="n">
        <v>1.474696359451825</v>
      </c>
      <c r="H456" t="inlineStr">
        <is>
          <t>{"type": "float", "value": 1.4746963594518252}</t>
        </is>
      </c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>
        <f>R[4]C[-1]</f>
        <v/>
      </c>
      <c r="W4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>
        <f>F62</f>
        <v/>
      </c>
      <c r="G457" t="n">
        <v>1.39870019200027</v>
      </c>
      <c r="H457" t="inlineStr">
        <is>
          <t>{"type": "float", "value": 1.3987001920002697}</t>
        </is>
      </c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>
        <f>R[4]C[-1]</f>
        <v/>
      </c>
      <c r="W45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>
        <f>G62</f>
        <v/>
      </c>
      <c r="G458" t="n">
        <v>1.378040776225937</v>
      </c>
      <c r="H458" t="inlineStr">
        <is>
          <t>{"type": "float", "value": 1.3780407762259375}</t>
        </is>
      </c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>
        <f>R[4]C[-1]</f>
        <v/>
      </c>
      <c r="W4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>
        <f>H62</f>
        <v/>
      </c>
      <c r="G459" t="n">
        <v>1.396692911449231</v>
      </c>
      <c r="H459" t="inlineStr">
        <is>
          <t>{"type": "float", "value": 1.396692911449231}</t>
        </is>
      </c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>
        <f>R[4]C[-1]</f>
        <v/>
      </c>
      <c r="W4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G460" t="inlineStr">
        <is>
          <t>Add: purchase during the year</t>
        </is>
      </c>
      <c r="H460" t="inlineStr">
        <is>
          <t>{"type": "str", "value": "Add: purchase during the year"}</t>
        </is>
      </c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R460" t="b">
        <v>1</v>
      </c>
      <c r="W4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G461" t="n">
        <v>0.35</v>
      </c>
      <c r="H461" t="inlineStr">
        <is>
          <t>{"type": "float", "value": 0.35}</t>
        </is>
      </c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R461" t="b">
        <v>1</v>
      </c>
      <c r="W4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>
        <f>INDEX($L$4:$T$15,MATCH($A57,$L$4:$L$15,0),MATCH(E57,$L$4:$T$4,0))</f>
        <v/>
      </c>
      <c r="G462" t="n">
        <v>0.3768037974683545</v>
      </c>
      <c r="H462" t="inlineStr">
        <is>
          <t>{"type": "float", "value": 0.37680379746835446}</t>
        </is>
      </c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>
        <f>INDEX(R4C12:R15C20,MATCH(R[-2]C1,R4C12:R15C12,0),MATCH(R[-2]C[0],R4C12:R4C20,0))</f>
        <v/>
      </c>
      <c r="W46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>
        <f>INDEX($L$4:$T$15,MATCH($A57,$L$4:$L$15,0),MATCH(F57,$L$4:$T$4,0))</f>
        <v/>
      </c>
      <c r="G463" t="n">
        <v>0.4054129746835444</v>
      </c>
      <c r="H463" t="inlineStr">
        <is>
          <t>{"type": "float", "value": 0.40541297468354437}</t>
        </is>
      </c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>
        <f>INDEX(R4C12:R15C20,MATCH(R[-2]C1,R4C12:R15C12,0),MATCH(R[-2]C[0],R4C12:R4C20,0))</f>
        <v/>
      </c>
      <c r="W46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>
        <f>INDEX($L$4:$T$15,MATCH($A57,$L$4:$L$15,0),MATCH(G57,$L$4:$T$4,0))</f>
        <v/>
      </c>
      <c r="G464" t="n">
        <v>0.4359410601265823</v>
      </c>
      <c r="H464" t="inlineStr">
        <is>
          <t>{"type": "float", "value": 0.43594106012658235}</t>
        </is>
      </c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>
        <f>INDEX(R4C12:R15C20,MATCH(R[-2]C1,R4C12:R15C12,0),MATCH(R[-2]C[0],R4C12:R4C20,0))</f>
        <v/>
      </c>
      <c r="W46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>
        <f>INDEX($L$4:$T$15,MATCH($A57,$L$4:$L$15,0),MATCH(H57,$L$4:$T$4,0))</f>
        <v/>
      </c>
      <c r="G465" t="n">
        <v>0.4685084216772152</v>
      </c>
      <c r="H465" t="inlineStr">
        <is>
          <t>{"type": "float", "value": 0.46850842167721524}</t>
        </is>
      </c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>
        <f>INDEX(R4C12:R15C20,MATCH(R[-2]C1,R4C12:R15C12,0),MATCH(R[-2]C[0],R4C12:R4C20,0))</f>
        <v/>
      </c>
      <c r="W46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>
        <f>INDEX($L$4:$T$15,MATCH($A57,$L$4:$L$15,0),MATCH(I57,$L$4:$T$4,0))</f>
        <v/>
      </c>
      <c r="G466" t="n">
        <v>0.5032426667325952</v>
      </c>
      <c r="H466" t="inlineStr">
        <is>
          <t>{"type": "float", "value": 0.5032426667325952}</t>
        </is>
      </c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>
        <f>INDEX(R4C12:R15C20,MATCH(R[-2]C1,R4C12:R15C12,0),MATCH(R[-2]C[0],R4C12:R4C20,0))</f>
        <v/>
      </c>
      <c r="W46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G467" t="inlineStr">
        <is>
          <t>Less: Sale during the year</t>
        </is>
      </c>
      <c r="H467" t="inlineStr">
        <is>
          <t>{"type": "str", "value": "Less: Sale during the year"}</t>
        </is>
      </c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R467" t="b">
        <v>1</v>
      </c>
      <c r="W4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G468" t="n">
        <v>1.56</v>
      </c>
      <c r="H468" t="inlineStr">
        <is>
          <t>{"type": "float", "value": 1.56}</t>
        </is>
      </c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R468" t="b">
        <v>1</v>
      </c>
      <c r="W4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G469" t="n">
        <v>0</v>
      </c>
      <c r="H469" t="inlineStr">
        <is>
          <t>{"type": "int", "value": 0}</t>
        </is>
      </c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R469" t="b">
        <v>1</v>
      </c>
      <c r="W46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G470" t="n">
        <v>0</v>
      </c>
      <c r="H470" t="inlineStr">
        <is>
          <t>{"type": "int", "value": 0}</t>
        </is>
      </c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R470" t="b">
        <v>1</v>
      </c>
      <c r="W4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G471" t="n">
        <v>0</v>
      </c>
      <c r="H471" t="inlineStr">
        <is>
          <t>{"type": "int", "value": 0}</t>
        </is>
      </c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R471" t="b">
        <v>1</v>
      </c>
      <c r="W4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G472" t="n">
        <v>0</v>
      </c>
      <c r="H472" t="inlineStr">
        <is>
          <t>{"type": "int", "value": 0}</t>
        </is>
      </c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R472" t="b">
        <v>1</v>
      </c>
      <c r="W4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G473" t="n">
        <v>0</v>
      </c>
      <c r="H473" t="inlineStr">
        <is>
          <t>{"type": "int", "value": 0}</t>
        </is>
      </c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R473" t="b">
        <v>1</v>
      </c>
      <c r="W4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G474" t="inlineStr">
        <is>
          <t>Less: Dep</t>
        </is>
      </c>
      <c r="H474" t="inlineStr">
        <is>
          <t>{"type": "str", "value": "Less: Dep"}</t>
        </is>
      </c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R474" t="b">
        <v>1</v>
      </c>
      <c r="W4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G475" t="n">
        <v>0.79</v>
      </c>
      <c r="H475" t="inlineStr">
        <is>
          <t>{"type": "float", "value": 0.79}</t>
        </is>
      </c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R475" t="b">
        <v>1</v>
      </c>
      <c r="W4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>
        <f>E58*$B63</f>
        <v/>
      </c>
      <c r="G476" t="n">
        <v>0.5321074380165289</v>
      </c>
      <c r="H476" t="inlineStr">
        <is>
          <t>{"type": "float", "value": 0.5321074380165289}</t>
        </is>
      </c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>
        <f>R[-3]C[0]*R[2]C2</f>
        <v/>
      </c>
      <c r="W47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>
        <f>F58*$B63</f>
        <v/>
      </c>
      <c r="G477" t="n">
        <v>0.4814091421351</v>
      </c>
      <c r="H477" t="inlineStr">
        <is>
          <t>{"type": "float", "value": 0.4814091421351}</t>
        </is>
      </c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>
        <f>R[-3]C[0]*R[2]C2</f>
        <v/>
      </c>
      <c r="W47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>
        <f>G58*$B63</f>
        <v/>
      </c>
      <c r="G478" t="n">
        <v>0.4566004759009145</v>
      </c>
      <c r="H478" t="inlineStr">
        <is>
          <t>{"type": "float", "value": 0.4566004759009145}</t>
        </is>
      </c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>
        <f>R[-3]C[0]*R[2]C2</f>
        <v/>
      </c>
      <c r="W4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>
        <f>H58*$B63</f>
        <v/>
      </c>
      <c r="G479" t="n">
        <v>0.4498562864539218</v>
      </c>
      <c r="H479" t="inlineStr">
        <is>
          <t>{"type": "float", "value": 0.4498562864539218}</t>
        </is>
      </c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>
        <f>R[-3]C[0]*R[2]C2</f>
        <v/>
      </c>
      <c r="W4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>
        <f>I58*$B63</f>
        <v/>
      </c>
      <c r="G480" t="n">
        <v>0.4559452066301209</v>
      </c>
      <c r="H480" t="inlineStr">
        <is>
          <t>{"type": "float", "value": 0.4559452066301209}</t>
        </is>
      </c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>
        <f>R[-3]C[0]*R[2]C2</f>
        <v/>
      </c>
      <c r="W48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G481" t="inlineStr">
        <is>
          <t>Closing balance</t>
        </is>
      </c>
      <c r="H481" t="inlineStr">
        <is>
          <t>{"type": "str", "value": "Closing balance"}</t>
        </is>
      </c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R481" t="b">
        <v>1</v>
      </c>
      <c r="W4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G482" t="n">
        <v>1.63</v>
      </c>
      <c r="H482" t="inlineStr">
        <is>
          <t>{"type": "float", "value": 1.63}</t>
        </is>
      </c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R482" t="b">
        <v>1</v>
      </c>
      <c r="W4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>
        <f>E58+E59-E60-E61</f>
        <v/>
      </c>
      <c r="G483" t="n">
        <v>1.474696359451825</v>
      </c>
      <c r="H483" t="inlineStr">
        <is>
          <t>{"type": "float", "value": 1.4746963594518252}</t>
        </is>
      </c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>
        <f>R[-4]C[0]+R[-3]C[0]-R[-2]C[0]-R[-1]C[0]</f>
        <v/>
      </c>
      <c r="W48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>
        <f>F58+F59-F60-F61</f>
        <v/>
      </c>
      <c r="G484" t="n">
        <v>1.39870019200027</v>
      </c>
      <c r="H484" t="inlineStr">
        <is>
          <t>{"type": "float", "value": 1.3987001920002697}</t>
        </is>
      </c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>
        <f>R[-4]C[0]+R[-3]C[0]-R[-2]C[0]-R[-1]C[0]</f>
        <v/>
      </c>
      <c r="W48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>
        <f>G58+G59-G60-G61</f>
        <v/>
      </c>
      <c r="G485" t="n">
        <v>1.378040776225937</v>
      </c>
      <c r="H485" t="inlineStr">
        <is>
          <t>{"type": "float", "value": 1.3780407762259375}</t>
        </is>
      </c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>
        <f>R[-4]C[0]+R[-3]C[0]-R[-2]C[0]-R[-1]C[0]</f>
        <v/>
      </c>
      <c r="W48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>
        <f>H58+H59-H60-H61</f>
        <v/>
      </c>
      <c r="G486" t="n">
        <v>1.396692911449231</v>
      </c>
      <c r="H486" t="inlineStr">
        <is>
          <t>{"type": "float", "value": 1.396692911449231}</t>
        </is>
      </c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>
        <f>R[-4]C[0]+R[-3]C[0]-R[-2]C[0]-R[-1]C[0]</f>
        <v/>
      </c>
      <c r="W48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>
        <f>I58+I59-I60-I61</f>
        <v/>
      </c>
      <c r="G487" t="n">
        <v>1.443990371551705</v>
      </c>
      <c r="H487" t="inlineStr">
        <is>
          <t>{"type": "float", "value": 1.4439903715517053}</t>
        </is>
      </c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>
        <f>R[-4]C[0]+R[-3]C[0]-R[-2]C[0]-R[-1]C[0]</f>
        <v/>
      </c>
      <c r="W48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G488" t="inlineStr">
        <is>
          <t>Depreciation rate</t>
        </is>
      </c>
      <c r="H488" t="inlineStr">
        <is>
          <t>{"type": "str", "value": "Depreciation rate"}</t>
        </is>
      </c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R488" t="b">
        <v>1</v>
      </c>
      <c r="W4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>
        <f>D61/(D58+D59-D60)</f>
        <v/>
      </c>
      <c r="G489" t="n">
        <v>0.3264462809917356</v>
      </c>
      <c r="H489" t="inlineStr">
        <is>
          <t>{"type": "float", "value": 0.32644628099173556}</t>
        </is>
      </c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>
        <f>R[-2]C[2]/(R[-5]C[2]+R[-4]C[2]-R[-3]C[2])</f>
        <v/>
      </c>
      <c r="W4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G490" t="inlineStr">
        <is>
          <t>Mining rights</t>
        </is>
      </c>
      <c r="H490" t="inlineStr">
        <is>
          <t>{"type": "str", "value": "Mining rights"}</t>
        </is>
      </c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R490" t="b">
        <v>1</v>
      </c>
      <c r="W49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G491" t="n">
        <v>2015</v>
      </c>
      <c r="H491" t="inlineStr">
        <is>
          <t>{"type": "int", "value": 2015}</t>
        </is>
      </c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W49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G492" t="n">
        <v>2016</v>
      </c>
      <c r="H492" t="inlineStr">
        <is>
          <t>{"type": "int", "value": 2016}</t>
        </is>
      </c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W49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G493" t="n">
        <v>2017</v>
      </c>
      <c r="H493" t="inlineStr">
        <is>
          <t>{"type": "int", "value": 2017}</t>
        </is>
      </c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W49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G494" t="inlineStr">
        <is>
          <t>2018 F</t>
        </is>
      </c>
      <c r="H494" t="inlineStr">
        <is>
          <t>{"type": "str", "value": "2018 F"}</t>
        </is>
      </c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W49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G495" t="inlineStr">
        <is>
          <t>2019 F</t>
        </is>
      </c>
      <c r="H495" t="inlineStr">
        <is>
          <t>{"type": "str", "value": "2019 F"}</t>
        </is>
      </c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W49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G496" t="inlineStr">
        <is>
          <t>2020 F</t>
        </is>
      </c>
      <c r="H496" t="inlineStr">
        <is>
          <t>{"type": "str", "value": "2020 F"}</t>
        </is>
      </c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W49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G497" t="inlineStr">
        <is>
          <t>2021 F</t>
        </is>
      </c>
      <c r="H497" t="inlineStr">
        <is>
          <t>{"type": "str", "value": "2021 F"}</t>
        </is>
      </c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W49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G498" t="inlineStr">
        <is>
          <t>2022 F</t>
        </is>
      </c>
      <c r="H498" t="inlineStr">
        <is>
          <t>{"type": "str", "value": "2022 F"}</t>
        </is>
      </c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W49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G499" t="inlineStr">
        <is>
          <t>Opening balance</t>
        </is>
      </c>
      <c r="H499" t="inlineStr">
        <is>
          <t>{"type": "str", "value": "Opening balance"}</t>
        </is>
      </c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R499" t="b">
        <v>1</v>
      </c>
      <c r="W4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G500" t="n">
        <v>24.09</v>
      </c>
      <c r="H500" t="inlineStr">
        <is>
          <t>{"type": "float", "value": 24.09}</t>
        </is>
      </c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R500" t="b">
        <v>1</v>
      </c>
      <c r="W5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>
        <f>D70</f>
        <v/>
      </c>
      <c r="G501" t="n">
        <v>38.4</v>
      </c>
      <c r="H501" t="inlineStr">
        <is>
          <t>{"type": "float", "value": 38.4}</t>
        </is>
      </c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>
        <f>R[4]C[-1]</f>
        <v/>
      </c>
      <c r="W5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>
        <f>E70</f>
        <v/>
      </c>
      <c r="G502" t="n">
        <v>54.14432638529701</v>
      </c>
      <c r="H502" t="inlineStr">
        <is>
          <t>{"type": "float", "value": 54.144326385297006}</t>
        </is>
      </c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>
        <f>R[4]C[-1]</f>
        <v/>
      </c>
      <c r="W5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>
        <f>F70</f>
        <v/>
      </c>
      <c r="G503" t="n">
        <v>70.30874180000713</v>
      </c>
      <c r="H503" t="inlineStr">
        <is>
          <t>{"type": "float", "value": 70.30874180000713}</t>
        </is>
      </c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>
        <f>R[4]C[-1]</f>
        <v/>
      </c>
      <c r="W5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>
        <f>G70</f>
        <v/>
      </c>
      <c r="G504" t="n">
        <v>86.95985588517053</v>
      </c>
      <c r="H504" t="inlineStr">
        <is>
          <t>{"type": "float", "value": 86.95985588517053}</t>
        </is>
      </c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>
        <f>R[4]C[-1]</f>
        <v/>
      </c>
      <c r="W50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>
        <f>H70</f>
        <v/>
      </c>
      <c r="G505" t="n">
        <v>104.1660234731124</v>
      </c>
      <c r="H505" t="inlineStr">
        <is>
          <t>{"type": "float", "value": 104.16602347311236}</t>
        </is>
      </c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>
        <f>R[4]C[-1]</f>
        <v/>
      </c>
      <c r="W5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G506" t="inlineStr">
        <is>
          <t>Add: purchase during the year</t>
        </is>
      </c>
      <c r="H506" t="inlineStr">
        <is>
          <t>{"type": "str", "value": "Add: purchase during the year"}</t>
        </is>
      </c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R506" t="b">
        <v>1</v>
      </c>
      <c r="W5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G507" t="n">
        <v>16.78</v>
      </c>
      <c r="H507" t="inlineStr">
        <is>
          <t>{"type": "float", "value": 16.78}</t>
        </is>
      </c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R507" t="b">
        <v>1</v>
      </c>
      <c r="W5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>
        <f>INDEX($L$4:$T$15,MATCH($A65,$L$4:$L$15,0),MATCH(E65,$L$4:$T$4,0))</f>
        <v/>
      </c>
      <c r="G508" t="n">
        <v>18.06505063291139</v>
      </c>
      <c r="H508" t="inlineStr">
        <is>
          <t>{"type": "float", "value": 18.065050632911394}</t>
        </is>
      </c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>
        <f>INDEX(R4C12:R15C20,MATCH(R[-2]C1,R4C12:R15C12,0),MATCH(R[-2]C[0],R4C12:R4C20,0))</f>
        <v/>
      </c>
      <c r="W50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>
        <f>INDEX($L$4:$T$15,MATCH($A65,$L$4:$L$15,0),MATCH(F65,$L$4:$T$4,0))</f>
        <v/>
      </c>
      <c r="G509" t="n">
        <v>19.43665632911393</v>
      </c>
      <c r="H509" t="inlineStr">
        <is>
          <t>{"type": "float", "value": 19.43665632911393}</t>
        </is>
      </c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>
        <f>INDEX(R4C12:R15C20,MATCH(R[-2]C1,R4C12:R15C12,0),MATCH(R[-2]C[0],R4C12:R4C20,0))</f>
        <v/>
      </c>
      <c r="W50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>
        <f>INDEX($L$4:$T$15,MATCH($A65,$L$4:$L$15,0),MATCH(G65,$L$4:$T$4,0))</f>
        <v/>
      </c>
      <c r="G510" t="n">
        <v>20.90025996835443</v>
      </c>
      <c r="H510" t="inlineStr">
        <is>
          <t>{"type": "float", "value": 20.900259968354433}</t>
        </is>
      </c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>
        <f>INDEX(R4C12:R15C20,MATCH(R[-2]C1,R4C12:R15C12,0),MATCH(R[-2]C[0],R4C12:R4C20,0))</f>
        <v/>
      </c>
      <c r="W51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>
        <f>INDEX($L$4:$T$15,MATCH($A65,$L$4:$L$15,0),MATCH(H65,$L$4:$T$4,0))</f>
        <v/>
      </c>
      <c r="G511" t="n">
        <v>22.46163233069621</v>
      </c>
      <c r="H511" t="inlineStr">
        <is>
          <t>{"type": "float", "value": 22.461632330696208}</t>
        </is>
      </c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>
        <f>INDEX(R4C12:R15C20,MATCH(R[-2]C1,R4C12:R15C12,0),MATCH(R[-2]C[0],R4C12:R4C20,0))</f>
        <v/>
      </c>
      <c r="W51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>
        <f>INDEX($L$4:$T$15,MATCH($A65,$L$4:$L$15,0),MATCH(I65,$L$4:$T$4,0))</f>
        <v/>
      </c>
      <c r="G512" t="n">
        <v>24.12689127935128</v>
      </c>
      <c r="H512" t="inlineStr">
        <is>
          <t>{"type": "float", "value": 24.12689127935128}</t>
        </is>
      </c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>
        <f>INDEX(R4C12:R15C20,MATCH(R[-2]C1,R4C12:R15C12,0),MATCH(R[-2]C[0],R4C12:R4C20,0))</f>
        <v/>
      </c>
      <c r="W51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G513" t="inlineStr">
        <is>
          <t>Less: Sale during the year</t>
        </is>
      </c>
      <c r="H513" t="inlineStr">
        <is>
          <t>{"type": "str", "value": "Less: Sale during the year"}</t>
        </is>
      </c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R513" t="b">
        <v>1</v>
      </c>
      <c r="W5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G514" t="n">
        <v>0</v>
      </c>
      <c r="H514" t="inlineStr">
        <is>
          <t>{"type": "int", "value": 0}</t>
        </is>
      </c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R514" t="b">
        <v>1</v>
      </c>
      <c r="W5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G515" t="n">
        <v>0</v>
      </c>
      <c r="H515" t="inlineStr">
        <is>
          <t>{"type": "int", "value": 0}</t>
        </is>
      </c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R515" t="b">
        <v>1</v>
      </c>
      <c r="W5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G516" t="n">
        <v>0</v>
      </c>
      <c r="H516" t="inlineStr">
        <is>
          <t>{"type": "int", "value": 0}</t>
        </is>
      </c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R516" t="b">
        <v>1</v>
      </c>
      <c r="W5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G517" t="n">
        <v>0</v>
      </c>
      <c r="H517" t="inlineStr">
        <is>
          <t>{"type": "int", "value": 0}</t>
        </is>
      </c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R517" t="b">
        <v>1</v>
      </c>
      <c r="W5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G518" t="n">
        <v>0</v>
      </c>
      <c r="H518" t="inlineStr">
        <is>
          <t>{"type": "int", "value": 0}</t>
        </is>
      </c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R518" t="b">
        <v>1</v>
      </c>
      <c r="W51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G519" t="n">
        <v>0</v>
      </c>
      <c r="H519" t="inlineStr">
        <is>
          <t>{"type": "int", "value": 0}</t>
        </is>
      </c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R519" t="b">
        <v>1</v>
      </c>
      <c r="W5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G520" t="inlineStr">
        <is>
          <t>Less: Dep</t>
        </is>
      </c>
      <c r="H520" t="inlineStr">
        <is>
          <t>{"type": "str", "value": "Less: Dep"}</t>
        </is>
      </c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R520" t="b">
        <v>1</v>
      </c>
      <c r="W5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G521" t="n">
        <v>2.47</v>
      </c>
      <c r="H521" t="inlineStr">
        <is>
          <t>{"type": "float", "value": 2.47}</t>
        </is>
      </c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R521" t="b">
        <v>1</v>
      </c>
      <c r="W52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>
        <f>E66*$B71</f>
        <v/>
      </c>
      <c r="G522" t="n">
        <v>2.320724247614387</v>
      </c>
      <c r="H522" t="inlineStr">
        <is>
          <t>{"type": "float", "value": 2.320724247614387}</t>
        </is>
      </c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>
        <f>R[-3]C[0]*R[2]C2</f>
        <v/>
      </c>
      <c r="W52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>
        <f>F66*$B71</f>
        <v/>
      </c>
      <c r="G523" t="n">
        <v>3.272240914403807</v>
      </c>
      <c r="H523" t="inlineStr">
        <is>
          <t>{"type": "float", "value": 3.2722409144038074}</t>
        </is>
      </c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>
        <f>R[-3]C[0]*R[2]C2</f>
        <v/>
      </c>
      <c r="W5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>
        <f>G66*$B71</f>
        <v/>
      </c>
      <c r="G524" t="n">
        <v>4.249145883191035</v>
      </c>
      <c r="H524" t="inlineStr">
        <is>
          <t>{"type": "float", "value": 4.249145883191035}</t>
        </is>
      </c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>
        <f>R[-3]C[0]*R[2]C2</f>
        <v/>
      </c>
      <c r="W5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>
        <f>H66*$B71</f>
        <v/>
      </c>
      <c r="G525" t="n">
        <v>5.255464742754373</v>
      </c>
      <c r="H525" t="inlineStr">
        <is>
          <t>{"type": "float", "value": 5.255464742754373}</t>
        </is>
      </c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>
        <f>R[-3]C[0]*R[2]C2</f>
        <v/>
      </c>
      <c r="W5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>
        <f>I66*$B71</f>
        <v/>
      </c>
      <c r="G526" t="n">
        <v>6.295328553427638</v>
      </c>
      <c r="H526" t="inlineStr">
        <is>
          <t>{"type": "float", "value": 6.2953285534276375}</t>
        </is>
      </c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>
        <f>R[-3]C[0]*R[2]C2</f>
        <v/>
      </c>
      <c r="W5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G527" t="inlineStr">
        <is>
          <t>Closing balance</t>
        </is>
      </c>
      <c r="H527" t="inlineStr">
        <is>
          <t>{"type": "str", "value": "Closing balance"}</t>
        </is>
      </c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R527" t="b">
        <v>1</v>
      </c>
      <c r="W5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G528" t="n">
        <v>38.4</v>
      </c>
      <c r="H528" t="inlineStr">
        <is>
          <t>{"type": "float", "value": 38.4}</t>
        </is>
      </c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R528" t="b">
        <v>1</v>
      </c>
      <c r="W5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>
        <f>E66+E67-E68-E69</f>
        <v/>
      </c>
      <c r="G529" t="n">
        <v>54.14432638529701</v>
      </c>
      <c r="H529" t="inlineStr">
        <is>
          <t>{"type": "float", "value": 54.144326385297006}</t>
        </is>
      </c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>
        <f>R[-4]C[0]+R[-3]C[0]-R[-2]C[0]-R[-1]C[0]</f>
        <v/>
      </c>
      <c r="W52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>
        <f>F66+F67-F68-F69</f>
        <v/>
      </c>
      <c r="G530" t="n">
        <v>70.30874180000713</v>
      </c>
      <c r="H530" t="inlineStr">
        <is>
          <t>{"type": "float", "value": 70.30874180000713}</t>
        </is>
      </c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>
        <f>R[-4]C[0]+R[-3]C[0]-R[-2]C[0]-R[-1]C[0]</f>
        <v/>
      </c>
      <c r="W530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>
        <f>G66+G67-G68-G69</f>
        <v/>
      </c>
      <c r="G531" t="n">
        <v>86.95985588517053</v>
      </c>
      <c r="H531" t="inlineStr">
        <is>
          <t>{"type": "float", "value": 86.95985588517053}</t>
        </is>
      </c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>
        <f>R[-4]C[0]+R[-3]C[0]-R[-2]C[0]-R[-1]C[0]</f>
        <v/>
      </c>
      <c r="W53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>
        <f>H66+H67-H68-H69</f>
        <v/>
      </c>
      <c r="G532" t="n">
        <v>104.1660234731124</v>
      </c>
      <c r="H532" t="inlineStr">
        <is>
          <t>{"type": "float", "value": 104.16602347311236}</t>
        </is>
      </c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>
        <f>R[-4]C[0]+R[-3]C[0]-R[-2]C[0]-R[-1]C[0]</f>
        <v/>
      </c>
      <c r="W53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>
        <f>I66+I67-I68-I69</f>
        <v/>
      </c>
      <c r="G533" t="n">
        <v>121.997586199036</v>
      </c>
      <c r="H533" t="inlineStr">
        <is>
          <t>{"type": "float", "value": 121.99758619903601}</t>
        </is>
      </c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>
        <f>R[-4]C[0]+R[-3]C[0]-R[-2]C[0]-R[-1]C[0]</f>
        <v/>
      </c>
      <c r="W53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G534" t="inlineStr">
        <is>
          <t>Depreciation rate</t>
        </is>
      </c>
      <c r="H534" t="inlineStr">
        <is>
          <t>{"type": "str", "value": "Depreciation rate"}</t>
        </is>
      </c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R534" t="b">
        <v>1</v>
      </c>
      <c r="W5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>
        <f>D69/(D66+D67-D68)</f>
        <v/>
      </c>
      <c r="G535" t="n">
        <v>0.06043552728162466</v>
      </c>
      <c r="H535" t="inlineStr">
        <is>
          <t>{"type": "float", "value": 0.060435527281624664}</t>
        </is>
      </c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>
        <f>R[-2]C[2]/(R[-5]C[2]+R[-4]C[2]-R[-3]C[2])</f>
        <v/>
      </c>
      <c r="W5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G536" t="inlineStr">
        <is>
          <t>Vehicles</t>
        </is>
      </c>
      <c r="H536" t="inlineStr">
        <is>
          <t>{"type": "str", "value": "Vehicles"}</t>
        </is>
      </c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R536" t="b">
        <v>1</v>
      </c>
      <c r="W53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G537" t="n">
        <v>2015</v>
      </c>
      <c r="H537" t="inlineStr">
        <is>
          <t>{"type": "int", "value": 2015}</t>
        </is>
      </c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W53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G538" t="n">
        <v>2016</v>
      </c>
      <c r="H538" t="inlineStr">
        <is>
          <t>{"type": "int", "value": 2016}</t>
        </is>
      </c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W53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G539" t="n">
        <v>2017</v>
      </c>
      <c r="H539" t="inlineStr">
        <is>
          <t>{"type": "int", "value": 2017}</t>
        </is>
      </c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W53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G540" t="inlineStr">
        <is>
          <t>2018 F</t>
        </is>
      </c>
      <c r="H540" t="inlineStr">
        <is>
          <t>{"type": "str", "value": "2018 F"}</t>
        </is>
      </c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W54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G541" t="inlineStr">
        <is>
          <t>2019 F</t>
        </is>
      </c>
      <c r="H541" t="inlineStr">
        <is>
          <t>{"type": "str", "value": "2019 F"}</t>
        </is>
      </c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W541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G542" t="inlineStr">
        <is>
          <t>2020 F</t>
        </is>
      </c>
      <c r="H542" t="inlineStr">
        <is>
          <t>{"type": "str", "value": "2020 F"}</t>
        </is>
      </c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W54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G543" t="inlineStr">
        <is>
          <t>2021 F</t>
        </is>
      </c>
      <c r="H543" t="inlineStr">
        <is>
          <t>{"type": "str", "value": "2021 F"}</t>
        </is>
      </c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W54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G544" t="inlineStr">
        <is>
          <t>2022 F</t>
        </is>
      </c>
      <c r="H544" t="inlineStr">
        <is>
          <t>{"type": "str", "value": "2022 F"}</t>
        </is>
      </c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W54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G545" t="inlineStr">
        <is>
          <t>Opening balance</t>
        </is>
      </c>
      <c r="H545" t="inlineStr">
        <is>
          <t>{"type": "str", "value": "Opening balance"}</t>
        </is>
      </c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R545" t="b">
        <v>1</v>
      </c>
      <c r="W54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G546" t="n">
        <v>41.91</v>
      </c>
      <c r="H546" t="inlineStr">
        <is>
          <t>{"type": "float", "value": 41.91}</t>
        </is>
      </c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R546" t="b">
        <v>1</v>
      </c>
      <c r="W5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>
        <f>D78</f>
        <v/>
      </c>
      <c r="G547" t="n">
        <v>39.33</v>
      </c>
      <c r="H547" t="inlineStr">
        <is>
          <t>{"type": "float", "value": 39.33}</t>
        </is>
      </c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>
        <f>R[4]C[-1]</f>
        <v/>
      </c>
      <c r="W5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>
        <f>E78</f>
        <v/>
      </c>
      <c r="G548" t="n">
        <v>39.32307497455008</v>
      </c>
      <c r="H548" t="inlineStr">
        <is>
          <t>{"type": "float", "value": 39.32307497455008}</t>
        </is>
      </c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>
        <f>R[4]C[-1]</f>
        <v/>
      </c>
      <c r="W54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>
        <f>F78</f>
        <v/>
      </c>
      <c r="G549" t="n">
        <v>39.89048092713026</v>
      </c>
      <c r="H549" t="inlineStr">
        <is>
          <t>{"type": "float", "value": 39.89048092713026}</t>
        </is>
      </c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>
        <f>R[4]C[-1]</f>
        <v/>
      </c>
      <c r="W5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>
        <f>G78</f>
        <v/>
      </c>
      <c r="G550" t="n">
        <v>40.96034415430642</v>
      </c>
      <c r="H550" t="inlineStr">
        <is>
          <t>{"type": "float", "value": 40.96034415430642}</t>
        </is>
      </c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>
        <f>R[4]C[-1]</f>
        <v/>
      </c>
      <c r="W5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>
        <f>H78</f>
        <v/>
      </c>
      <c r="G551" t="n">
        <v>42.47700589868908</v>
      </c>
      <c r="H551" t="inlineStr">
        <is>
          <t>{"type": "float", "value": 42.47700589868908}</t>
        </is>
      </c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>
        <f>R[4]C[-1]</f>
        <v/>
      </c>
      <c r="W5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G552" t="inlineStr">
        <is>
          <t>Add: purchase during the year</t>
        </is>
      </c>
      <c r="H552" t="inlineStr">
        <is>
          <t>{"type": "str", "value": "Add: purchase during the year"}</t>
        </is>
      </c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R552" t="b">
        <v>1</v>
      </c>
      <c r="W5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G553" t="n">
        <v>7.01</v>
      </c>
      <c r="H553" t="inlineStr">
        <is>
          <t>{"type": "float", "value": 7.01}</t>
        </is>
      </c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R553" t="b">
        <v>1</v>
      </c>
      <c r="W5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>
        <f>INDEX($L$4:$T$15,MATCH($A73,$L$4:$L$15,0),MATCH(E73,$L$4:$T$4,0))</f>
        <v/>
      </c>
      <c r="G554" t="n">
        <v>7.546841772151899</v>
      </c>
      <c r="H554" t="inlineStr">
        <is>
          <t>{"type": "float", "value": 7.546841772151899}</t>
        </is>
      </c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>
        <f>INDEX(R4C12:R15C20,MATCH(R[-2]C1,R4C12:R15C12,0),MATCH(R[-2]C[0],R4C12:R4C20,0))</f>
        <v/>
      </c>
      <c r="W55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>
        <f>INDEX($L$4:$T$15,MATCH($A73,$L$4:$L$15,0),MATCH(F73,$L$4:$T$4,0))</f>
        <v/>
      </c>
      <c r="G555" t="n">
        <v>8.119842721518989</v>
      </c>
      <c r="H555" t="inlineStr">
        <is>
          <t>{"type": "float", "value": 8.119842721518989}</t>
        </is>
      </c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>
        <f>INDEX(R4C12:R15C20,MATCH(R[-2]C1,R4C12:R15C12,0),MATCH(R[-2]C[0],R4C12:R4C20,0))</f>
        <v/>
      </c>
      <c r="W55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>
        <f>INDEX($L$4:$T$15,MATCH($A73,$L$4:$L$15,0),MATCH(G73,$L$4:$T$4,0))</f>
        <v/>
      </c>
      <c r="G556" t="n">
        <v>8.731276661392407</v>
      </c>
      <c r="H556" t="inlineStr">
        <is>
          <t>{"type": "float", "value": 8.731276661392407}</t>
        </is>
      </c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>
        <f>INDEX(R4C12:R15C20,MATCH(R[-2]C1,R4C12:R15C12,0),MATCH(R[-2]C[0],R4C12:R4C20,0))</f>
        <v/>
      </c>
      <c r="W55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>
        <f>INDEX($L$4:$T$15,MATCH($A73,$L$4:$L$15,0),MATCH(H73,$L$4:$T$4,0))</f>
        <v/>
      </c>
      <c r="G557" t="n">
        <v>9.383554388449369</v>
      </c>
      <c r="H557" t="inlineStr">
        <is>
          <t>{"type": "float", "value": 9.383554388449369}</t>
        </is>
      </c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>
        <f>INDEX(R4C12:R15C20,MATCH(R[-2]C1,R4C12:R15C12,0),MATCH(R[-2]C[0],R4C12:R4C20,0))</f>
        <v/>
      </c>
      <c r="W55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>
        <f>INDEX($L$4:$T$15,MATCH($A73,$L$4:$L$15,0),MATCH(I73,$L$4:$T$4,0))</f>
        <v/>
      </c>
      <c r="G558" t="n">
        <v>10.07923169655855</v>
      </c>
      <c r="H558" t="inlineStr">
        <is>
          <t>{"type": "float", "value": 10.07923169655855}</t>
        </is>
      </c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>
        <f>INDEX(R4C12:R15C20,MATCH(R[-2]C1,R4C12:R15C12,0),MATCH(R[-2]C[0],R4C12:R4C20,0))</f>
        <v/>
      </c>
      <c r="W55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G559" t="inlineStr">
        <is>
          <t>Less: Sale during the year</t>
        </is>
      </c>
      <c r="H559" t="inlineStr">
        <is>
          <t>{"type": "str", "value": "Less: Sale during the year"}</t>
        </is>
      </c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R559" t="b">
        <v>1</v>
      </c>
      <c r="W55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G560" t="n">
        <v>0.55</v>
      </c>
      <c r="H560" t="inlineStr">
        <is>
          <t>{"type": "float", "value": 0.55}</t>
        </is>
      </c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R560" t="b">
        <v>1</v>
      </c>
      <c r="W5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G561" t="n">
        <v>0</v>
      </c>
      <c r="H561" t="inlineStr">
        <is>
          <t>{"type": "int", "value": 0}</t>
        </is>
      </c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R561" t="b">
        <v>1</v>
      </c>
      <c r="W5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G562" t="n">
        <v>0</v>
      </c>
      <c r="H562" t="inlineStr">
        <is>
          <t>{"type": "int", "value": 0}</t>
        </is>
      </c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R562" t="b">
        <v>1</v>
      </c>
      <c r="W5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G563" t="n">
        <v>0</v>
      </c>
      <c r="H563" t="inlineStr">
        <is>
          <t>{"type": "int", "value": 0}</t>
        </is>
      </c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R563" t="b">
        <v>1</v>
      </c>
      <c r="W5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G564" t="n">
        <v>0</v>
      </c>
      <c r="H564" t="inlineStr">
        <is>
          <t>{"type": "int", "value": 0}</t>
        </is>
      </c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R564" t="b">
        <v>1</v>
      </c>
      <c r="W5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G565" t="n">
        <v>0</v>
      </c>
      <c r="H565" t="inlineStr">
        <is>
          <t>{"type": "int", "value": 0}</t>
        </is>
      </c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R565" t="b">
        <v>1</v>
      </c>
      <c r="W56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G566" t="inlineStr">
        <is>
          <t>Less: Dep</t>
        </is>
      </c>
      <c r="H566" t="inlineStr">
        <is>
          <t>{"type": "str", "value": "Less: Dep"}</t>
        </is>
      </c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R566" t="b">
        <v>1</v>
      </c>
      <c r="W5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G567" t="n">
        <v>9.289999999999999</v>
      </c>
      <c r="H567" t="inlineStr">
        <is>
          <t>{"type": "float", "value": 9.29}</t>
        </is>
      </c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R567" t="b">
        <v>1</v>
      </c>
      <c r="W5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>
        <f>E74*$B79</f>
        <v/>
      </c>
      <c r="G568" t="n">
        <v>7.553766797601819</v>
      </c>
      <c r="H568" t="inlineStr">
        <is>
          <t>{"type": "float", "value": 7.553766797601819}</t>
        </is>
      </c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>
        <f>R[-3]C[0]*R[2]C2</f>
        <v/>
      </c>
      <c r="W56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>
        <f>F74*$B79</f>
        <v/>
      </c>
      <c r="G569" t="n">
        <v>7.552436768938811</v>
      </c>
      <c r="H569" t="inlineStr">
        <is>
          <t>{"type": "float", "value": 7.5524367689388106}</t>
        </is>
      </c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>
        <f>R[-3]C[0]*R[2]C2</f>
        <v/>
      </c>
      <c r="W56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>
        <f>G74*$B79</f>
        <v/>
      </c>
      <c r="G570" t="n">
        <v>7.661413434216253</v>
      </c>
      <c r="H570" t="inlineStr">
        <is>
          <t>{"type": "float", "value": 7.661413434216253}</t>
        </is>
      </c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>
        <f>R[-3]C[0]*R[2]C2</f>
        <v/>
      </c>
      <c r="W5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>
        <f>H74*$B79</f>
        <v/>
      </c>
      <c r="G571" t="n">
        <v>7.866892644066708</v>
      </c>
      <c r="H571" t="inlineStr">
        <is>
          <t>{"type": "float", "value": 7.8668926440667075}</t>
        </is>
      </c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>
        <f>R[-3]C[0]*R[2]C2</f>
        <v/>
      </c>
      <c r="W5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>
        <f>I74*$B79</f>
        <v/>
      </c>
      <c r="G572" t="n">
        <v>8.158184511036211</v>
      </c>
      <c r="H572" t="inlineStr">
        <is>
          <t>{"type": "float", "value": 8.158184511036211}</t>
        </is>
      </c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>
        <f>R[-3]C[0]*R[2]C2</f>
        <v/>
      </c>
      <c r="W5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G573" t="inlineStr">
        <is>
          <t>Closing balance</t>
        </is>
      </c>
      <c r="H573" t="inlineStr">
        <is>
          <t>{"type": "str", "value": "Closing balance"}</t>
        </is>
      </c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R573" t="b">
        <v>1</v>
      </c>
      <c r="W5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G574" t="n">
        <v>39.33</v>
      </c>
      <c r="H574" t="inlineStr">
        <is>
          <t>{"type": "float", "value": 39.33}</t>
        </is>
      </c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R574" t="b">
        <v>1</v>
      </c>
      <c r="W5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>
        <f>E74+E75-E76-E77</f>
        <v/>
      </c>
      <c r="G575" t="n">
        <v>39.32307497455008</v>
      </c>
      <c r="H575" t="inlineStr">
        <is>
          <t>{"type": "float", "value": 39.32307497455008}</t>
        </is>
      </c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>
        <f>R[-4]C[0]+R[-3]C[0]-R[-2]C[0]-R[-1]C[0]</f>
        <v/>
      </c>
      <c r="W57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>
        <f>F74+F75-F76-F77</f>
        <v/>
      </c>
      <c r="G576" t="n">
        <v>39.89048092713026</v>
      </c>
      <c r="H576" t="inlineStr">
        <is>
          <t>{"type": "float", "value": 39.89048092713026}</t>
        </is>
      </c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>
        <f>R[-4]C[0]+R[-3]C[0]-R[-2]C[0]-R[-1]C[0]</f>
        <v/>
      </c>
      <c r="W576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>
        <f>G74+G75-G76-G77</f>
        <v/>
      </c>
      <c r="G577" t="n">
        <v>40.96034415430642</v>
      </c>
      <c r="H577" t="inlineStr">
        <is>
          <t>{"type": "float", "value": 40.96034415430642}</t>
        </is>
      </c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>
        <f>R[-4]C[0]+R[-3]C[0]-R[-2]C[0]-R[-1]C[0]</f>
        <v/>
      </c>
      <c r="W577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>
        <f>H74+H75-H76-H77</f>
        <v/>
      </c>
      <c r="G578" t="n">
        <v>42.47700589868908</v>
      </c>
      <c r="H578" t="inlineStr">
        <is>
          <t>{"type": "float", "value": 42.47700589868908}</t>
        </is>
      </c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>
        <f>R[-4]C[0]+R[-3]C[0]-R[-2]C[0]-R[-1]C[0]</f>
        <v/>
      </c>
      <c r="W578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>
        <f>I74+I75-I76-I77</f>
        <v/>
      </c>
      <c r="G579" t="n">
        <v>44.39805308421142</v>
      </c>
      <c r="H579" t="inlineStr">
        <is>
          <t>{"type": "float", "value": 44.39805308421142}</t>
        </is>
      </c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>
        <f>R[-4]C[0]+R[-3]C[0]-R[-2]C[0]-R[-1]C[0]</f>
        <v/>
      </c>
      <c r="W579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G580" t="inlineStr">
        <is>
          <t>Depreciation rate</t>
        </is>
      </c>
      <c r="H580" t="inlineStr">
        <is>
          <t>{"type": "str", "value": "Depreciation rate"}</t>
        </is>
      </c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R580" t="b">
        <v>1</v>
      </c>
      <c r="W5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>
        <f>D77/(D74+D75-D76)</f>
        <v/>
      </c>
      <c r="G581" t="n">
        <v>0.192061194955551</v>
      </c>
      <c r="H581" t="inlineStr">
        <is>
          <t>{"type": "float", "value": 0.19206119495555096}</t>
        </is>
      </c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>
        <f>R[-2]C[2]/(R[-5]C[2]+R[-4]C[2]-R[-3]C[2])</f>
        <v/>
      </c>
      <c r="W5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G582" t="inlineStr">
        <is>
          <t>Furniture</t>
        </is>
      </c>
      <c r="H582" t="inlineStr">
        <is>
          <t>{"type": "str", "value": "Furniture"}</t>
        </is>
      </c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R582" t="b">
        <v>1</v>
      </c>
      <c r="W58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G583" t="n">
        <v>2015</v>
      </c>
      <c r="H583" t="inlineStr">
        <is>
          <t>{"type": "int", "value": 2015}</t>
        </is>
      </c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W58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G584" t="n">
        <v>2016</v>
      </c>
      <c r="H584" t="inlineStr">
        <is>
          <t>{"type": "int", "value": 2016}</t>
        </is>
      </c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W58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G585" t="n">
        <v>2017</v>
      </c>
      <c r="H585" t="inlineStr">
        <is>
          <t>{"type": "int", "value": 2017}</t>
        </is>
      </c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W58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G586" t="inlineStr">
        <is>
          <t>2018 F</t>
        </is>
      </c>
      <c r="H586" t="inlineStr">
        <is>
          <t>{"type": "str", "value": "2018 F"}</t>
        </is>
      </c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W58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G587" t="inlineStr">
        <is>
          <t>2019 F</t>
        </is>
      </c>
      <c r="H587" t="inlineStr">
        <is>
          <t>{"type": "str", "value": "2019 F"}</t>
        </is>
      </c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W58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G588" t="inlineStr">
        <is>
          <t>2020 F</t>
        </is>
      </c>
      <c r="H588" t="inlineStr">
        <is>
          <t>{"type": "str", "value": "2020 F"}</t>
        </is>
      </c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W58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G589" t="inlineStr">
        <is>
          <t>2021 F</t>
        </is>
      </c>
      <c r="H589" t="inlineStr">
        <is>
          <t>{"type": "str", "value": "2021 F"}</t>
        </is>
      </c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W58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G590" t="inlineStr">
        <is>
          <t>2022 F</t>
        </is>
      </c>
      <c r="H590" t="inlineStr">
        <is>
          <t>{"type": "str", "value": "2022 F"}</t>
        </is>
      </c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W590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G591" t="inlineStr">
        <is>
          <t>Opening balance</t>
        </is>
      </c>
      <c r="H591" t="inlineStr">
        <is>
          <t>{"type": "str", "value": "Opening balance"}</t>
        </is>
      </c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R591" t="b">
        <v>1</v>
      </c>
      <c r="W5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G592" t="n">
        <v>18.72</v>
      </c>
      <c r="H592" t="inlineStr">
        <is>
          <t>{"type": "float", "value": 18.72}</t>
        </is>
      </c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R592" t="b">
        <v>1</v>
      </c>
      <c r="W5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>
        <f>D86</f>
        <v/>
      </c>
      <c r="G593" t="n">
        <v>16.51</v>
      </c>
      <c r="H593" t="inlineStr">
        <is>
          <t>{"type": "float", "value": 16.51}</t>
        </is>
      </c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>
        <f>R[4]C[-1]</f>
        <v/>
      </c>
      <c r="W5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>
        <f>E86</f>
        <v/>
      </c>
      <c r="G594" t="n">
        <v>15.71870614266083</v>
      </c>
      <c r="H594" t="inlineStr">
        <is>
          <t>{"type": "float", "value": 15.718706142660832}</t>
        </is>
      </c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>
        <f>R[4]C[-1]</f>
        <v/>
      </c>
      <c r="W5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>
        <f>F86</f>
        <v/>
      </c>
      <c r="G595" t="n">
        <v>15.30935244421764</v>
      </c>
      <c r="H595" t="inlineStr">
        <is>
          <t>{"type": "float", "value": 15.309352444217637}</t>
        </is>
      </c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>
        <f>R[4]C[-1]</f>
        <v/>
      </c>
      <c r="W5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>
        <f>G86</f>
        <v/>
      </c>
      <c r="G596" t="n">
        <v>15.21352209055835</v>
      </c>
      <c r="H596" t="inlineStr">
        <is>
          <t>{"type": "float", "value": 15.213522090558355}</t>
        </is>
      </c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>
        <f>R[4]C[-1]</f>
        <v/>
      </c>
      <c r="W5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>
        <f>H86</f>
        <v/>
      </c>
      <c r="G597" t="n">
        <v>15.37847483821085</v>
      </c>
      <c r="H597" t="inlineStr">
        <is>
          <t>{"type": "float", "value": 15.378474838210847}</t>
        </is>
      </c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>
        <f>R[4]C[-1]</f>
        <v/>
      </c>
      <c r="W5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G598" t="inlineStr">
        <is>
          <t>Add: purchase during the year</t>
        </is>
      </c>
      <c r="H598" t="inlineStr">
        <is>
          <t>{"type": "str", "value": "Add: purchase during the year"}</t>
        </is>
      </c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R598" t="b">
        <v>1</v>
      </c>
      <c r="W5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G599" t="n">
        <v>2.58</v>
      </c>
      <c r="H599" t="inlineStr">
        <is>
          <t>{"type": "float", "value": 2.58}</t>
        </is>
      </c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R599" t="b">
        <v>1</v>
      </c>
      <c r="W5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>
        <f>INDEX($L$4:$T$15,MATCH($A81,$L$4:$L$15,0),MATCH(E81,$L$4:$T$4,0))</f>
        <v/>
      </c>
      <c r="G600" t="n">
        <v>2.777582278481013</v>
      </c>
      <c r="H600" t="inlineStr">
        <is>
          <t>{"type": "float", "value": 2.7775822784810127}</t>
        </is>
      </c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>
        <f>INDEX(R4C12:R15C20,MATCH(R[-2]C1,R4C12:R15C12,0),MATCH(R[-2]C[0],R4C12:R4C20,0))</f>
        <v/>
      </c>
      <c r="W60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>
        <f>INDEX($L$4:$T$15,MATCH($A81,$L$4:$L$15,0),MATCH(F81,$L$4:$T$4,0))</f>
        <v/>
      </c>
      <c r="G601" t="n">
        <v>2.988472784810127</v>
      </c>
      <c r="H601" t="inlineStr">
        <is>
          <t>{"type": "float", "value": 2.9884727848101273}</t>
        </is>
      </c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>
        <f>INDEX(R4C12:R15C20,MATCH(R[-2]C1,R4C12:R15C12,0),MATCH(R[-2]C[0],R4C12:R4C20,0))</f>
        <v/>
      </c>
      <c r="W60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>
        <f>INDEX($L$4:$T$15,MATCH($A81,$L$4:$L$15,0),MATCH(G81,$L$4:$T$4,0))</f>
        <v/>
      </c>
      <c r="G602" t="n">
        <v>3.21350838607595</v>
      </c>
      <c r="H602" t="inlineStr">
        <is>
          <t>{"type": "float", "value": 3.21350838607595}</t>
        </is>
      </c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>
        <f>INDEX(R4C12:R15C20,MATCH(R[-2]C1,R4C12:R15C12,0),MATCH(R[-2]C[0],R4C12:R4C20,0))</f>
        <v/>
      </c>
      <c r="W60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>
        <f>INDEX($L$4:$T$15,MATCH($A81,$L$4:$L$15,0),MATCH(H81,$L$4:$T$4,0))</f>
        <v/>
      </c>
      <c r="G603" t="n">
        <v>3.45357636550633</v>
      </c>
      <c r="H603" t="inlineStr">
        <is>
          <t>{"type": "float", "value": 3.4535763655063296}</t>
        </is>
      </c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>
        <f>INDEX(R4C12:R15C20,MATCH(R[-2]C1,R4C12:R15C12,0),MATCH(R[-2]C[0],R4C12:R4C20,0))</f>
        <v/>
      </c>
      <c r="W60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>
        <f>INDEX($L$4:$T$15,MATCH($A81,$L$4:$L$15,0),MATCH(I81,$L$4:$T$4,0))</f>
        <v/>
      </c>
      <c r="G604" t="n">
        <v>3.709617371914559</v>
      </c>
      <c r="H604" t="inlineStr">
        <is>
          <t>{"type": "float", "value": 3.709617371914559}</t>
        </is>
      </c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>
        <f>INDEX(R4C12:R15C20,MATCH(R[-2]C1,R4C12:R15C12,0),MATCH(R[-2]C[0],R4C12:R4C20,0))</f>
        <v/>
      </c>
      <c r="W60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G605" t="inlineStr">
        <is>
          <t>Less: Sale during the year</t>
        </is>
      </c>
      <c r="H605" t="inlineStr">
        <is>
          <t>{"type": "str", "value": "Less: Sale during the year"}</t>
        </is>
      </c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R605" t="b">
        <v>1</v>
      </c>
      <c r="W6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G606" t="n">
        <v>0.39</v>
      </c>
      <c r="H606" t="inlineStr">
        <is>
          <t>{"type": "float", "value": 0.39}</t>
        </is>
      </c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R606" t="b">
        <v>1</v>
      </c>
      <c r="W60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G607" t="n">
        <v>0</v>
      </c>
      <c r="H607" t="inlineStr">
        <is>
          <t>{"type": "int", "value": 0}</t>
        </is>
      </c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R607" t="b">
        <v>1</v>
      </c>
      <c r="W6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G608" t="n">
        <v>0</v>
      </c>
      <c r="H608" t="inlineStr">
        <is>
          <t>{"type": "int", "value": 0}</t>
        </is>
      </c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R608" t="b">
        <v>1</v>
      </c>
      <c r="W60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G609" t="n">
        <v>0</v>
      </c>
      <c r="H609" t="inlineStr">
        <is>
          <t>{"type": "int", "value": 0}</t>
        </is>
      </c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R609" t="b">
        <v>1</v>
      </c>
      <c r="W60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G610" t="n">
        <v>0</v>
      </c>
      <c r="H610" t="inlineStr">
        <is>
          <t>{"type": "int", "value": 0}</t>
        </is>
      </c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R610" t="b">
        <v>1</v>
      </c>
      <c r="W6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G611" t="n">
        <v>0</v>
      </c>
      <c r="H611" t="inlineStr">
        <is>
          <t>{"type": "int", "value": 0}</t>
        </is>
      </c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R611" t="b">
        <v>1</v>
      </c>
      <c r="W6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G612" t="inlineStr">
        <is>
          <t>Less: Dep</t>
        </is>
      </c>
      <c r="H612" t="inlineStr">
        <is>
          <t>{"type": "str", "value": "Less: Dep"}</t>
        </is>
      </c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R612" t="b">
        <v>1</v>
      </c>
      <c r="W6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G613" t="n">
        <v>4.52</v>
      </c>
      <c r="H613" t="inlineStr">
        <is>
          <t>{"type": "float", "value": 4.52}</t>
        </is>
      </c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R613" t="b">
        <v>1</v>
      </c>
      <c r="W6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>
        <f>E82*$B87</f>
        <v/>
      </c>
      <c r="G614" t="n">
        <v>3.568876135820183</v>
      </c>
      <c r="H614" t="inlineStr">
        <is>
          <t>{"type": "float", "value": 3.5688761358201826}</t>
        </is>
      </c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>
        <f>R[-3]C[0]*R[2]C2</f>
        <v/>
      </c>
      <c r="W61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>
        <f>F82*$B87</f>
        <v/>
      </c>
      <c r="G615" t="n">
        <v>3.397826483253322</v>
      </c>
      <c r="H615" t="inlineStr">
        <is>
          <t>{"type": "float", "value": 3.397826483253322}</t>
        </is>
      </c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>
        <f>R[-3]C[0]*R[2]C2</f>
        <v/>
      </c>
      <c r="W61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>
        <f>G82*$B87</f>
        <v/>
      </c>
      <c r="G616" t="n">
        <v>3.309338739735233</v>
      </c>
      <c r="H616" t="inlineStr">
        <is>
          <t>{"type": "float", "value": 3.3093387397352334}</t>
        </is>
      </c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>
        <f>R[-3]C[0]*R[2]C2</f>
        <v/>
      </c>
      <c r="W6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>
        <f>H82*$B87</f>
        <v/>
      </c>
      <c r="G617" t="n">
        <v>3.288623617853839</v>
      </c>
      <c r="H617" t="inlineStr">
        <is>
          <t>{"type": "float", "value": 3.288623617853839}</t>
        </is>
      </c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>
        <f>R[-3]C[0]*R[2]C2</f>
        <v/>
      </c>
      <c r="W61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>
        <f>I82*$B87</f>
        <v/>
      </c>
      <c r="G618" t="n">
        <v>3.32428054847982</v>
      </c>
      <c r="H618" t="inlineStr">
        <is>
          <t>{"type": "float", "value": 3.32428054847982}</t>
        </is>
      </c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>
        <f>R[-3]C[0]*R[2]C2</f>
        <v/>
      </c>
      <c r="W61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G619" t="inlineStr">
        <is>
          <t>Closing balance</t>
        </is>
      </c>
      <c r="H619" t="inlineStr">
        <is>
          <t>{"type": "str", "value": "Closing balance"}</t>
        </is>
      </c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R619" t="b">
        <v>1</v>
      </c>
      <c r="W6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G620" t="n">
        <v>16.51</v>
      </c>
      <c r="H620" t="inlineStr">
        <is>
          <t>{"type": "float", "value": 16.51}</t>
        </is>
      </c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R620" t="b">
        <v>1</v>
      </c>
      <c r="W6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>
        <f>E82+E83-E84-E85</f>
        <v/>
      </c>
      <c r="G621" t="n">
        <v>15.71870614266083</v>
      </c>
      <c r="H621" t="inlineStr">
        <is>
          <t>{"type": "float", "value": 15.718706142660832}</t>
        </is>
      </c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>
        <f>R[-4]C[0]+R[-3]C[0]-R[-2]C[0]-R[-1]C[0]</f>
        <v/>
      </c>
      <c r="W62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>
        <f>F82+F83-F84-F85</f>
        <v/>
      </c>
      <c r="G622" t="n">
        <v>15.30935244421764</v>
      </c>
      <c r="H622" t="inlineStr">
        <is>
          <t>{"type": "float", "value": 15.309352444217637}</t>
        </is>
      </c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>
        <f>R[-4]C[0]+R[-3]C[0]-R[-2]C[0]-R[-1]C[0]</f>
        <v/>
      </c>
      <c r="W62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>
        <f>G82+G83-G84-G85</f>
        <v/>
      </c>
      <c r="G623" t="n">
        <v>15.21352209055835</v>
      </c>
      <c r="H623" t="inlineStr">
        <is>
          <t>{"type": "float", "value": 15.213522090558355}</t>
        </is>
      </c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>
        <f>R[-4]C[0]+R[-3]C[0]-R[-2]C[0]-R[-1]C[0]</f>
        <v/>
      </c>
      <c r="W62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>
        <f>H82+H83-H84-H85</f>
        <v/>
      </c>
      <c r="G624" t="n">
        <v>15.37847483821085</v>
      </c>
      <c r="H624" t="inlineStr">
        <is>
          <t>{"type": "float", "value": 15.378474838210847}</t>
        </is>
      </c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>
        <f>R[-4]C[0]+R[-3]C[0]-R[-2]C[0]-R[-1]C[0]</f>
        <v/>
      </c>
      <c r="W62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>
        <f>I82+I83-I84-I85</f>
        <v/>
      </c>
      <c r="G625" t="n">
        <v>15.76381166164559</v>
      </c>
      <c r="H625" t="inlineStr">
        <is>
          <t>{"type": "float", "value": 15.763811661645587}</t>
        </is>
      </c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>
        <f>R[-4]C[0]+R[-3]C[0]-R[-2]C[0]-R[-1]C[0]</f>
        <v/>
      </c>
      <c r="W625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G626" t="inlineStr">
        <is>
          <t>Depreciation rate</t>
        </is>
      </c>
      <c r="H626" t="inlineStr">
        <is>
          <t>{"type": "str", "value": "Depreciation rate"}</t>
        </is>
      </c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R626" t="b">
        <v>1</v>
      </c>
      <c r="W6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>
        <f>D85/(D82+D83-D84)</f>
        <v/>
      </c>
      <c r="G627" t="n">
        <v>0.2161645145863224</v>
      </c>
      <c r="H627" t="inlineStr">
        <is>
          <t>{"type": "float", "value": 0.21616451458632235}</t>
        </is>
      </c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>
        <f>R[-2]C[2]/(R[-5]C[2]+R[-4]C[2]-R[-3]C[2])</f>
        <v/>
      </c>
      <c r="W62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>
        <is>
          <t>{"type": "int", "value": 2015}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>
        <is>
          <t>{"type": "int", "value": 2016}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>
        <is>
          <t>{"type": "int", "value": 2017}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>
        <is>
          <t>{"type": "str", "value": "2018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>
        <is>
          <t>{"type": "str", "value": "2019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>
        <is>
          <t>{"type": "str", "value": "2020 F"}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>
        <is>
          <t>{"type": "str", "value": "2021 F"}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>
        <is>
          <t>{"type": "str", "value": "2022 F"}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A. ASSETS</t>
        </is>
      </c>
      <c r="H10" t="inlineStr">
        <is>
          <t>{"type": "str", "value": "A. ASSETS"}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G11" t="inlineStr">
        <is>
          <t>1) Non-current assets</t>
        </is>
      </c>
      <c r="H11" t="inlineStr">
        <is>
          <t>{"type": "str", "value": "1) Non-current assets"}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R11" t="b">
        <v>1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G12" t="inlineStr">
        <is>
          <t>a) Property, Plant and Equipment</t>
        </is>
      </c>
      <c r="H12" t="inlineStr">
        <is>
          <t>{"type": "str", "value": "a) Property, Plant and Equipment"}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R12" t="b">
        <v>1</v>
      </c>
      <c r="W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G13" t="n">
        <v>7524.48</v>
      </c>
      <c r="H13" t="inlineStr">
        <is>
          <t>{"type": "float", "value": 7524.48}</t>
        </is>
      </c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G14" t="n">
        <v>7224.46</v>
      </c>
      <c r="H14" t="inlineStr">
        <is>
          <t>{"type": "float", "value": 7224.46}</t>
        </is>
      </c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G15" t="n">
        <v>7088.693052020696</v>
      </c>
      <c r="H15" t="inlineStr">
        <is>
          <t>{"type": "float", "value": 7088.693052020696}</t>
        </is>
      </c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16" t="n">
        <v>6960.331255933688</v>
      </c>
      <c r="H16" t="inlineStr">
        <is>
          <t>{"type": "float", "value": 6960.331255933688}</t>
        </is>
      </c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G17" t="n">
        <v>6876.924751098072</v>
      </c>
      <c r="H17" t="inlineStr">
        <is>
          <t>{"type": "float", "value": 6876.924751098072}</t>
        </is>
      </c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G18" t="n">
        <v>6836.457073271327</v>
      </c>
      <c r="H18" t="inlineStr">
        <is>
          <t>{"type": "float", "value": 6836.457073271327}</t>
        </is>
      </c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>
        <f>'Asset schedule'!I6+'Asset schedule'!I14+'Asset schedule'!I22+'Asset schedule'!I30+'Asset schedule'!I38+'Asset schedule'!I46+'Asset schedule'!I54+'Asset schedule'!I62+'Asset schedule'!I70+'Asset schedule'!I78+'Asset schedule'!I86</f>
        <v/>
      </c>
      <c r="G19" t="n">
        <v>6837.308117831549</v>
      </c>
      <c r="H19" t="inlineStr">
        <is>
          <t>{"type": "float", "value": 6837.308117831549}</t>
        </is>
      </c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>
        <f>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f>
        <v/>
      </c>
      <c r="W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G20" t="inlineStr">
        <is>
          <t>b) Capital work-in-progress</t>
        </is>
      </c>
      <c r="H20" t="inlineStr">
        <is>
          <t>{"type": "str", "value": "b) Capital work-in-progress"}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R20" t="b">
        <v>1</v>
      </c>
      <c r="W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G21" t="n">
        <v>260.98</v>
      </c>
      <c r="H21" t="inlineStr">
        <is>
          <t>{"type": "float", "value": 260.98}</t>
        </is>
      </c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G22" t="n">
        <v>269.25</v>
      </c>
      <c r="H22" t="inlineStr">
        <is>
          <t>{"type": "float", "value": 269.25}</t>
        </is>
      </c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>
        <f>D5</f>
        <v/>
      </c>
      <c r="G23" t="n">
        <v>269.25</v>
      </c>
      <c r="H23" t="inlineStr">
        <is>
          <t>{"type": "float", "value": 269.25}</t>
        </is>
      </c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>
        <f>R[0]C[-1]</f>
        <v/>
      </c>
      <c r="W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>
        <f>E5</f>
        <v/>
      </c>
      <c r="G24" t="n">
        <v>269.25</v>
      </c>
      <c r="H24" t="inlineStr">
        <is>
          <t>{"type": "float", "value": 269.25}</t>
        </is>
      </c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>
        <f>R[0]C[-1]</f>
        <v/>
      </c>
      <c r="W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>
        <f>F5</f>
        <v/>
      </c>
      <c r="G25" t="n">
        <v>269.25</v>
      </c>
      <c r="H25" t="inlineStr">
        <is>
          <t>{"type": "float", "value": 269.25}</t>
        </is>
      </c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>
        <f>R[0]C[-1]</f>
        <v/>
      </c>
      <c r="W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>
        <f>G5</f>
        <v/>
      </c>
      <c r="G26" t="n">
        <v>269.25</v>
      </c>
      <c r="H26" t="inlineStr">
        <is>
          <t>{"type": "float", "value": 269.25}</t>
        </is>
      </c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>
        <f>R[0]C[-1]</f>
        <v/>
      </c>
      <c r="W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>
        <f>H5</f>
        <v/>
      </c>
      <c r="G27" t="n">
        <v>269.25</v>
      </c>
      <c r="H27" t="inlineStr">
        <is>
          <t>{"type": "float", "value": 269.25}</t>
        </is>
      </c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>
        <f>R[0]C[-1]</f>
        <v/>
      </c>
      <c r="W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G28" t="inlineStr">
        <is>
          <t>c) Goodwill on consolidation</t>
        </is>
      </c>
      <c r="H28" t="inlineStr">
        <is>
          <t>{"type": "str", "value": "c) Goodwill on consolidation"}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G29" t="n">
        <v>15.57</v>
      </c>
      <c r="H29" t="inlineStr">
        <is>
          <t>{"type": "float", "value": 15.57}</t>
        </is>
      </c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G30" t="n">
        <v>15.57</v>
      </c>
      <c r="H30" t="inlineStr">
        <is>
          <t>{"type": "float", "value": 15.57}</t>
        </is>
      </c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>
        <f>D6</f>
        <v/>
      </c>
      <c r="G31" t="n">
        <v>15.57</v>
      </c>
      <c r="H31" t="inlineStr">
        <is>
          <t>{"type": "float", "value": 15.57}</t>
        </is>
      </c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>
        <f>R[0]C[-1]</f>
        <v/>
      </c>
      <c r="W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>
        <f>E6</f>
        <v/>
      </c>
      <c r="G32" t="n">
        <v>15.57</v>
      </c>
      <c r="H32" t="inlineStr">
        <is>
          <t>{"type": "float", "value": 15.57}</t>
        </is>
      </c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>
        <f>R[0]C[-1]</f>
        <v/>
      </c>
      <c r="W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>
        <f>F6</f>
        <v/>
      </c>
      <c r="G33" t="n">
        <v>15.57</v>
      </c>
      <c r="H33" t="inlineStr">
        <is>
          <t>{"type": "float", "value": 15.57}</t>
        </is>
      </c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>
        <f>R[0]C[-1]</f>
        <v/>
      </c>
      <c r="W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>
        <f>G6</f>
        <v/>
      </c>
      <c r="G34" t="n">
        <v>15.57</v>
      </c>
      <c r="H34" t="inlineStr">
        <is>
          <t>{"type": "float", "value": 15.57}</t>
        </is>
      </c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>
        <f>R[0]C[-1]</f>
        <v/>
      </c>
      <c r="W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>
        <f>H6</f>
        <v/>
      </c>
      <c r="G35" t="n">
        <v>15.57</v>
      </c>
      <c r="H35" t="inlineStr">
        <is>
          <t>{"type": "float", "value": 15.57}</t>
        </is>
      </c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>
        <f>R[0]C[-1]</f>
        <v/>
      </c>
      <c r="W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G36" t="inlineStr">
        <is>
          <t>d) Other Intangible assets</t>
        </is>
      </c>
      <c r="H36" t="inlineStr">
        <is>
          <t>{"type": "str", "value": "d) Other Intangible assets"}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G37" t="n">
        <v>27.72</v>
      </c>
      <c r="H37" t="inlineStr">
        <is>
          <t>{"type": "float", "value": 27.72}</t>
        </is>
      </c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G38" t="n">
        <v>40.03</v>
      </c>
      <c r="H38" t="inlineStr">
        <is>
          <t>{"type": "float", "value": 40.03}</t>
        </is>
      </c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H40" t="inlineStr">
        <is>
          <t>{"type": "null", "value": null}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R40" t="b">
        <v>0</v>
      </c>
      <c r="W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H41" t="inlineStr">
        <is>
          <t>{"type": "null", "value": null}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R41" t="b">
        <v>0</v>
      </c>
      <c r="W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H42" t="inlineStr">
        <is>
          <t>{"type": "null", "value": null}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R42" t="b">
        <v>0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H43" t="inlineStr">
        <is>
          <t>{"type": "null", "value": null}</t>
        </is>
      </c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R43" t="b">
        <v>0</v>
      </c>
      <c r="W4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G44" t="inlineStr">
        <is>
          <t>e) Intangible assets under development</t>
        </is>
      </c>
      <c r="H44" t="inlineStr">
        <is>
          <t>{"type": "str", "value": "e) Intangible assets under development"}</t>
        </is>
      </c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R44" t="b">
        <v>1</v>
      </c>
      <c r="W4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G45" t="inlineStr">
        <is>
          <t>-</t>
        </is>
      </c>
      <c r="H45" t="inlineStr">
        <is>
          <t>{"type": "str", "value": "-"}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G46" t="inlineStr">
        <is>
          <t>-</t>
        </is>
      </c>
      <c r="H46" t="inlineStr">
        <is>
          <t>{"type": "str", "value": "-"}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G47" t="inlineStr">
        <is>
          <t>-</t>
        </is>
      </c>
      <c r="H47" t="inlineStr">
        <is>
          <t>{"type": "str", "value": "-"}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G48" t="inlineStr">
        <is>
          <t>-</t>
        </is>
      </c>
      <c r="H48" t="inlineStr">
        <is>
          <t>{"type": "str", "value": "-"}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G49" t="inlineStr">
        <is>
          <t>-</t>
        </is>
      </c>
      <c r="H49" t="inlineStr">
        <is>
          <t>{"type": "str", "value": "-"}</t>
        </is>
      </c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G50" t="inlineStr">
        <is>
          <t>-</t>
        </is>
      </c>
      <c r="H50" t="inlineStr">
        <is>
          <t>{"type": "str", "value": "-"}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G51" t="inlineStr">
        <is>
          <t>-</t>
        </is>
      </c>
      <c r="H51" t="inlineStr">
        <is>
          <t>{"type": "str", "value": "-"}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G52" t="inlineStr">
        <is>
          <t>f ) Investments in associates and joint ventures</t>
        </is>
      </c>
      <c r="H52" t="inlineStr">
        <is>
          <t>{"type": "str", "value": "f ) Investments in associates and joint ventures"}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R52" t="b">
        <v>1</v>
      </c>
      <c r="W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G53" t="n">
        <v>85.13</v>
      </c>
      <c r="H53" t="inlineStr">
        <is>
          <t>{"type": "float", "value": 85.13}</t>
        </is>
      </c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G54" t="n">
        <v>91.16</v>
      </c>
      <c r="H54" t="inlineStr">
        <is>
          <t>{"type": "float", "value": 91.16}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G55" t="n">
        <v>91.16</v>
      </c>
      <c r="H55" t="inlineStr">
        <is>
          <t>{"type": "float", "value": 91.16}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G56" t="n">
        <v>91.16</v>
      </c>
      <c r="H56" t="inlineStr">
        <is>
          <t>{"type": "float", "value": 91.16}</t>
        </is>
      </c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G57" t="n">
        <v>91.16</v>
      </c>
      <c r="H57" t="inlineStr">
        <is>
          <t>{"type": "float", "value": 91.16}</t>
        </is>
      </c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G58" t="n">
        <v>91.16</v>
      </c>
      <c r="H58" t="inlineStr">
        <is>
          <t>{"type": "float", "value": 91.16}</t>
        </is>
      </c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G59" t="n">
        <v>91.16</v>
      </c>
      <c r="H59" t="inlineStr">
        <is>
          <t>{"type": "float", "value": 91.16}</t>
        </is>
      </c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G60" t="inlineStr">
        <is>
          <t>g) Financial Assets</t>
        </is>
      </c>
      <c r="H60" t="inlineStr">
        <is>
          <t>{"type": "str", "value": "g) Financial Assets"}</t>
        </is>
      </c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R60" t="b">
        <v>1</v>
      </c>
      <c r="W6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H61" t="inlineStr">
        <is>
          <t>{"type": "null", "value": null}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0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H62" t="inlineStr">
        <is>
          <t>{"type": "null", "value": null}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0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H63" t="inlineStr">
        <is>
          <t>{"type": "null", "value": null}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0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H64" t="inlineStr">
        <is>
          <t>{"type": "null", "value": null}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0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H65" t="inlineStr">
        <is>
          <t>{"type": "null", "value": null}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0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H66" t="inlineStr">
        <is>
          <t>{"type": "null", "value": null}</t>
        </is>
      </c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0</v>
      </c>
      <c r="W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H67" t="inlineStr">
        <is>
          <t>{"type": "null", "value": null}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0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G68" t="inlineStr">
        <is>
          <t>(i) Investments</t>
        </is>
      </c>
      <c r="H68" t="inlineStr">
        <is>
          <t>{"type": "str", "value": "(i) Investments"}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G69" t="n">
        <v>32.05</v>
      </c>
      <c r="H69" t="inlineStr">
        <is>
          <t>{"type": "float", "value": 32.05}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G70" t="n">
        <v>3.7</v>
      </c>
      <c r="H70" t="inlineStr">
        <is>
          <t>{"type": "float", "value": 3.7}</t>
        </is>
      </c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G71" t="n">
        <v>3.7</v>
      </c>
      <c r="H71" t="inlineStr">
        <is>
          <t>{"type": "float", "value": 3.7}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G72" t="n">
        <v>3.7</v>
      </c>
      <c r="H72" t="inlineStr">
        <is>
          <t>{"type": "float", "value": 3.7}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G73" t="n">
        <v>3.7</v>
      </c>
      <c r="H73" t="inlineStr">
        <is>
          <t>{"type": "float", "value": 3.7}</t>
        </is>
      </c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G74" t="n">
        <v>3.7</v>
      </c>
      <c r="H74" t="inlineStr">
        <is>
          <t>{"type": "float", "value": 3.7}</t>
        </is>
      </c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G75" t="n">
        <v>3.7</v>
      </c>
      <c r="H75" t="inlineStr">
        <is>
          <t>{"type": "float", "value": 3.7}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G76" t="inlineStr">
        <is>
          <t>(ii) Loans</t>
        </is>
      </c>
      <c r="H76" t="inlineStr">
        <is>
          <t>{"type": "str", "value": "(ii) Loans"}</t>
        </is>
      </c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R76" t="b">
        <v>1</v>
      </c>
      <c r="W7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4.0},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G77" t="n">
        <v>199.58</v>
      </c>
      <c r="H77" t="inlineStr">
        <is>
          <t>{"type": "float", "value": 199.58}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G78" t="n">
        <v>222.59</v>
      </c>
      <c r="H78" t="inlineStr">
        <is>
          <t>{"type": "float", "value": 222.59}</t>
        </is>
      </c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G79" t="n">
        <v>222.59</v>
      </c>
      <c r="H79" t="inlineStr">
        <is>
          <t>{"type": "float", "value": 222.59}</t>
        </is>
      </c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G80" t="n">
        <v>222.59</v>
      </c>
      <c r="H80" t="inlineStr">
        <is>
          <t>{"type": "float", "value": 222.59}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G81" t="n">
        <v>222.59</v>
      </c>
      <c r="H81" t="inlineStr">
        <is>
          <t>{"type": "float", "value": 222.59}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G82" t="n">
        <v>222.59</v>
      </c>
      <c r="H82" t="inlineStr">
        <is>
          <t>{"type": "float", "value": 222.59}</t>
        </is>
      </c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G83" t="n">
        <v>222.59</v>
      </c>
      <c r="H83" t="inlineStr">
        <is>
          <t>{"type": "float", "value": 222.59}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G84" t="inlineStr">
        <is>
          <t>(iii) Other financial assets</t>
        </is>
      </c>
      <c r="H84" t="inlineStr">
        <is>
          <t>{"type": "str", "value": "(iii) Other financial assets"}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4.0},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G85" t="n">
        <v>0.06</v>
      </c>
      <c r="H85" t="inlineStr">
        <is>
          <t>{"type": "float", "value": 0.06}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G86" t="n">
        <v>0.06</v>
      </c>
      <c r="H86" t="inlineStr">
        <is>
          <t>{"type": "float", "value": 0.06}</t>
        </is>
      </c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G87" t="n">
        <v>0.06</v>
      </c>
      <c r="H87" t="inlineStr">
        <is>
          <t>{"type": "float", "value": 0.06}</t>
        </is>
      </c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G88" t="n">
        <v>0.06</v>
      </c>
      <c r="H88" t="inlineStr">
        <is>
          <t>{"type": "float", "value": 0.06}</t>
        </is>
      </c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G89" t="n">
        <v>0.06</v>
      </c>
      <c r="H89" t="inlineStr">
        <is>
          <t>{"type": "float", "value": 0.06}</t>
        </is>
      </c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G90" t="n">
        <v>0.06</v>
      </c>
      <c r="H90" t="inlineStr">
        <is>
          <t>{"type": "float", "value": 0.06}</t>
        </is>
      </c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G91" t="n">
        <v>0.06</v>
      </c>
      <c r="H91" t="inlineStr">
        <is>
          <t>{"type": "float", "value": 0.06}</t>
        </is>
      </c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G92" t="inlineStr">
        <is>
          <t>h) Non-current Tax Assets (Net)</t>
        </is>
      </c>
      <c r="H92" t="inlineStr">
        <is>
          <t>{"type": "str", "value": "h) Non-current Tax Assets (Net)"}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G93" t="n">
        <v>304.72</v>
      </c>
      <c r="H93" t="inlineStr">
        <is>
          <t>{"type": "float", "value": 304.72}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G94" t="n">
        <v>296.95</v>
      </c>
      <c r="H94" t="inlineStr">
        <is>
          <t>{"type": "float", "value": 296.95}</t>
        </is>
      </c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G95" t="n">
        <v>296.95</v>
      </c>
      <c r="H95" t="inlineStr">
        <is>
          <t>{"type": "float", "value": 296.95}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G96" t="n">
        <v>296.95</v>
      </c>
      <c r="H96" t="inlineStr">
        <is>
          <t>{"type": "float", "value": 296.95}</t>
        </is>
      </c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G97" t="n">
        <v>296.95</v>
      </c>
      <c r="H97" t="inlineStr">
        <is>
          <t>{"type": "float", "value": 296.95}</t>
        </is>
      </c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G98" t="n">
        <v>296.95</v>
      </c>
      <c r="H98" t="inlineStr">
        <is>
          <t>{"type": "float", "value": 296.95}</t>
        </is>
      </c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G99" t="n">
        <v>296.95</v>
      </c>
      <c r="H99" t="inlineStr">
        <is>
          <t>{"type": "float", "value": 296.95}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G100" t="inlineStr">
        <is>
          <t>i) Other non-current assets</t>
        </is>
      </c>
      <c r="H100" t="inlineStr">
        <is>
          <t>{"type": "str", "value": "i) Other non-current assets"}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R100" t="b">
        <v>1</v>
      </c>
      <c r="W1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G101" t="n">
        <v>838.9299999999999</v>
      </c>
      <c r="H101" t="inlineStr">
        <is>
          <t>{"type": "float", "value": 838.93}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G102" t="n">
        <v>1027.05</v>
      </c>
      <c r="H102" t="inlineStr">
        <is>
          <t>{"type": "float", "value": 1027.05}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G103" t="n">
        <v>1027.05</v>
      </c>
      <c r="H103" t="inlineStr">
        <is>
          <t>{"type": "float", "value": 1027.05}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G104" t="n">
        <v>1027.05</v>
      </c>
      <c r="H104" t="inlineStr">
        <is>
          <t>{"type": "float", "value": 1027.05}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G105" t="n">
        <v>1027.05</v>
      </c>
      <c r="H105" t="inlineStr">
        <is>
          <t>{"type": "float", "value": 1027.05}</t>
        </is>
      </c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G106" t="n">
        <v>1027.05</v>
      </c>
      <c r="H106" t="inlineStr">
        <is>
          <t>{"type": "float", "value": 1027.05}</t>
        </is>
      </c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W1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G107" t="n">
        <v>1027.05</v>
      </c>
      <c r="H107" t="inlineStr">
        <is>
          <t>{"type": "float", "value": 1027.05}</t>
        </is>
      </c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G108" t="inlineStr">
        <is>
          <t>Total Non-current assets</t>
        </is>
      </c>
      <c r="H108" t="inlineStr">
        <is>
          <t>{"type": "str", "value": "Total Non-current assets"}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W10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H109" t="inlineStr">
        <is>
          <t>{"type": "null", "value": null}</t>
        </is>
      </c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0</v>
      </c>
      <c r="W10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>
        <f>SUM(C4:C15)</f>
        <v/>
      </c>
      <c r="G110" t="n">
        <v>9289.219999999999</v>
      </c>
      <c r="H110" t="inlineStr">
        <is>
          <t>{"type": "float", "value": 9289.22}</t>
        </is>
      </c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>
        <f>SUM(R[-12]C[0]:R[-1]C[0])</f>
        <v/>
      </c>
      <c r="W11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>
        <f>SUM(D4:D15)</f>
        <v/>
      </c>
      <c r="G111" t="n">
        <v>9190.82</v>
      </c>
      <c r="H111" t="inlineStr">
        <is>
          <t>{"type": "float", "value": 9190.82}</t>
        </is>
      </c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>
        <f>SUM(R[-12]C[0]:R[-1]C[0])</f>
        <v/>
      </c>
      <c r="W11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>
        <f>SUM(E4:E15)</f>
        <v/>
      </c>
      <c r="G112" t="n">
        <v>9015.023052020695</v>
      </c>
      <c r="H112" t="inlineStr">
        <is>
          <t>{"type": "float", "value": 9015.023052020695}</t>
        </is>
      </c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>
        <f>SUM(R[-12]C[0]:R[-1]C[0])</f>
        <v/>
      </c>
      <c r="W11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>
        <f>SUM(F4:F15)</f>
        <v/>
      </c>
      <c r="G113" t="n">
        <v>8886.661255933688</v>
      </c>
      <c r="H113" t="inlineStr">
        <is>
          <t>{"type": "float", "value": 8886.661255933688}</t>
        </is>
      </c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>
        <f>SUM(R[-12]C[0]:R[-1]C[0])</f>
        <v/>
      </c>
      <c r="W11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>
        <f>SUM(G4:G15)</f>
        <v/>
      </c>
      <c r="G114" t="n">
        <v>8803.254751098071</v>
      </c>
      <c r="H114" t="inlineStr">
        <is>
          <t>{"type": "float", "value": 8803.254751098071}</t>
        </is>
      </c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>
        <f>SUM(R[-12]C[0]:R[-1]C[0])</f>
        <v/>
      </c>
      <c r="W11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>
        <f>SUM(H4:H15)</f>
        <v/>
      </c>
      <c r="G115" t="n">
        <v>8762.787073271327</v>
      </c>
      <c r="H115" t="inlineStr">
        <is>
          <t>{"type": "float", "value": 8762.787073271327}</t>
        </is>
      </c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>
        <f>SUM(R[-12]C[0]:R[-1]C[0])</f>
        <v/>
      </c>
      <c r="W11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>
        <f>SUM(I4:I15)</f>
        <v/>
      </c>
      <c r="G116" t="n">
        <v>8763.638117831548</v>
      </c>
      <c r="H116" t="inlineStr">
        <is>
          <t>{"type": "float", "value": 8763.638117831548}</t>
        </is>
      </c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>
        <f>SUM(R[-12]C[0]:R[-1]C[0])</f>
        <v/>
      </c>
      <c r="W11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G117" t="inlineStr">
        <is>
          <t>Current assets</t>
        </is>
      </c>
      <c r="H117" t="inlineStr">
        <is>
          <t>{"type": "str", "value": "Current assets"}</t>
        </is>
      </c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R117" t="b">
        <v>1</v>
      </c>
      <c r="W11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G120" t="inlineStr">
        <is>
          <t>a) Inventories</t>
        </is>
      </c>
      <c r="H120" t="inlineStr">
        <is>
          <t>{"type": "str", "value": "a) Inventories"}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R120" t="b">
        <v>1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G121" t="n">
        <v>1224.63</v>
      </c>
      <c r="H121" t="inlineStr">
        <is>
          <t>{"type": "float", "value": 1224.63}</t>
        </is>
      </c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W1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G122" t="n">
        <v>1404.78</v>
      </c>
      <c r="H122" t="inlineStr">
        <is>
          <t>{"type": "float", "value": 1404.78}</t>
        </is>
      </c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W1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>
        <f>SUM('Financial Statements'!E4:E7)*'Balance Sheet'!E57</f>
        <v/>
      </c>
      <c r="G123" t="n">
        <v>1614.692303209429</v>
      </c>
      <c r="H123" t="inlineStr">
        <is>
          <t>{"type": "float", "value": 1614.6923032094292}</t>
        </is>
      </c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>
        <f>SUM('Financial Statements'!R[-14]C[0]:R[-11]C[0])*R[39]C[0]</f>
        <v/>
      </c>
      <c r="W1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>
        <f>SUM('Financial Statements'!F4:F7)*'Balance Sheet'!F57</f>
        <v/>
      </c>
      <c r="G124" t="n">
        <v>1750.038339358</v>
      </c>
      <c r="H124" t="inlineStr">
        <is>
          <t>{"type": "float", "value": 1750.0383393580005}</t>
        </is>
      </c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>
        <f>SUM('Financial Statements'!R[-14]C[0]:R[-11]C[0])*R[39]C[0]</f>
        <v/>
      </c>
      <c r="W1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>
        <f>SUM('Financial Statements'!G4:G7)*'Balance Sheet'!G57</f>
        <v/>
      </c>
      <c r="G125" t="n">
        <v>1895.527379897816</v>
      </c>
      <c r="H125" t="inlineStr">
        <is>
          <t>{"type": "float", "value": 1895.5273798978162}</t>
        </is>
      </c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>
        <f>SUM('Financial Statements'!R[-14]C[0]:R[-11]C[0])*R[39]C[0]</f>
        <v/>
      </c>
      <c r="W1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>
        <f>SUM('Financial Statements'!H4:H7)*'Balance Sheet'!H57</f>
        <v/>
      </c>
      <c r="G126" t="n">
        <v>2051.867616754349</v>
      </c>
      <c r="H126" t="inlineStr">
        <is>
          <t>{"type": "float", "value": 2051.8676167543495}</t>
        </is>
      </c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>
        <f>SUM('Financial Statements'!R[-14]C[0]:R[-11]C[0])*R[39]C[0]</f>
        <v/>
      </c>
      <c r="W1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>
        <f>SUM('Financial Statements'!I4:I7)*'Balance Sheet'!I57</f>
        <v/>
      </c>
      <c r="G127" t="n">
        <v>2219.81431636348</v>
      </c>
      <c r="H127" t="inlineStr">
        <is>
          <t>{"type": "float", "value": 2219.8143163634804}</t>
        </is>
      </c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>
        <f>SUM('Financial Statements'!R[-14]C[0]:R[-11]C[0])*R[39]C[0]</f>
        <v/>
      </c>
      <c r="W1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G128" t="inlineStr">
        <is>
          <t>b) Financial assets</t>
        </is>
      </c>
      <c r="H128" t="inlineStr">
        <is>
          <t>{"type": "str", "value": "b) Financial assets"}</t>
        </is>
      </c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R128" t="b">
        <v>1</v>
      </c>
      <c r="W1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H129" t="inlineStr">
        <is>
          <t>{"type": "null", "value": null}</t>
        </is>
      </c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0</v>
      </c>
      <c r="W1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H130" t="inlineStr">
        <is>
          <t>{"type": "null", "value": null}</t>
        </is>
      </c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0</v>
      </c>
      <c r="W1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G131" t="inlineStr">
        <is>
          <t>(i) Investments</t>
        </is>
      </c>
      <c r="H131" t="inlineStr">
        <is>
          <t>{"type": "str", "value": "(i) Investments"}</t>
        </is>
      </c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R131" t="b">
        <v>1</v>
      </c>
      <c r="W1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G132" t="inlineStr">
        <is>
          <t>-</t>
        </is>
      </c>
      <c r="H132" t="inlineStr">
        <is>
          <t>{"type": "str", "value": "-"}</t>
        </is>
      </c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G133" t="inlineStr">
        <is>
          <t>-</t>
        </is>
      </c>
      <c r="H133" t="inlineStr">
        <is>
          <t>{"type": "str", "value": "-"}</t>
        </is>
      </c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G134" t="inlineStr">
        <is>
          <t>-</t>
        </is>
      </c>
      <c r="H134" t="inlineStr">
        <is>
          <t>{"type": "str", "value": "-"}</t>
        </is>
      </c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W1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G135" t="inlineStr">
        <is>
          <t>-</t>
        </is>
      </c>
      <c r="H135" t="inlineStr">
        <is>
          <t>{"type": "str", "value": "-"}</t>
        </is>
      </c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W1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G136" t="inlineStr">
        <is>
          <t>-</t>
        </is>
      </c>
      <c r="H136" t="inlineStr">
        <is>
          <t>{"type": "str", "value": "-"}</t>
        </is>
      </c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W1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G137" t="inlineStr">
        <is>
          <t>-</t>
        </is>
      </c>
      <c r="H137" t="inlineStr">
        <is>
          <t>{"type": "str", "value": "-"}</t>
        </is>
      </c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W1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G138" t="inlineStr">
        <is>
          <t>-</t>
        </is>
      </c>
      <c r="H138" t="inlineStr">
        <is>
          <t>{"type": "str", "value": "-"}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G139" t="inlineStr">
        <is>
          <t>(ii) Trade receivables</t>
        </is>
      </c>
      <c r="H139" t="inlineStr">
        <is>
          <t>{"type": "str", "value": "(ii) Trade receivables"}</t>
        </is>
      </c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R139" t="b">
        <v>1</v>
      </c>
      <c r="W1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G140" t="n">
        <v>533.1799999999999</v>
      </c>
      <c r="H140" t="inlineStr">
        <is>
          <t>{"type": "float", "value": 533.18}</t>
        </is>
      </c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G141" t="n">
        <v>665.97</v>
      </c>
      <c r="H141" t="inlineStr">
        <is>
          <t>{"type": "float", "value": 665.97}</t>
        </is>
      </c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>
        <f>'Financial Statements'!E2*'Balance Sheet'!E58</f>
        <v/>
      </c>
      <c r="G142" t="n">
        <v>704.9318970579036</v>
      </c>
      <c r="H142" t="inlineStr">
        <is>
          <t>{"type": "float", "value": 704.9318970579036}</t>
        </is>
      </c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>
        <f>'Financial Statements'!R[-19]C[0]*R[37]C[0]</f>
        <v/>
      </c>
      <c r="W1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>
        <f>'Financial Statements'!F2*'Balance Sheet'!F58</f>
        <v/>
      </c>
      <c r="G143" t="n">
        <v>758.4545040567446</v>
      </c>
      <c r="H143" t="inlineStr">
        <is>
          <t>{"type": "float", "value": 758.4545040567446}</t>
        </is>
      </c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>
        <f>'Financial Statements'!R[-19]C[0]*R[37]C[0]</f>
        <v/>
      </c>
      <c r="W1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>
        <f>'Financial Statements'!G2*'Balance Sheet'!G58</f>
        <v/>
      </c>
      <c r="G144" t="n">
        <v>815.5670420128246</v>
      </c>
      <c r="H144" t="inlineStr">
        <is>
          <t>{"type": "float", "value": 815.5670420128246}</t>
        </is>
      </c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>
        <f>'Financial Statements'!R[-19]C[0]*R[37]C[0]</f>
        <v/>
      </c>
      <c r="W1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>
        <f>'Financial Statements'!H2*'Balance Sheet'!H58</f>
        <v/>
      </c>
      <c r="G145" t="n">
        <v>876.4946975043709</v>
      </c>
      <c r="H145" t="inlineStr">
        <is>
          <t>{"type": "float", "value": 876.494697504371}</t>
        </is>
      </c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>
        <f>'Financial Statements'!R[-19]C[0]*R[37]C[0]</f>
        <v/>
      </c>
      <c r="W1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>
        <f>'Financial Statements'!I2*'Balance Sheet'!I58</f>
        <v/>
      </c>
      <c r="G146" t="n">
        <v>941.4762009400401</v>
      </c>
      <c r="H146" t="inlineStr">
        <is>
          <t>{"type": "float", "value": 941.4762009400401}</t>
        </is>
      </c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>
        <f>'Financial Statements'!R[-19]C[0]*R[37]C[0]</f>
        <v/>
      </c>
      <c r="W1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G147" t="inlineStr">
        <is>
          <t>(iii) Cash and Cash Equivalents</t>
        </is>
      </c>
      <c r="H147" t="inlineStr">
        <is>
          <t>{"type": "str", "value": "(iii) Cash and Cash Equivalents"}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R147" t="b">
        <v>1</v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G148" t="n">
        <v>1809.63</v>
      </c>
      <c r="H148" t="inlineStr">
        <is>
          <t>{"type": "float", "value": 1809.63}</t>
        </is>
      </c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W1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G149" t="n">
        <v>2559.66</v>
      </c>
      <c r="H149" t="inlineStr">
        <is>
          <t>{"type": "float", "value": 2559.66}</t>
        </is>
      </c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W1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>
        <f>'Financial Statements'!O34</f>
        <v/>
      </c>
      <c r="G150" t="n">
        <v>3143.421708963787</v>
      </c>
      <c r="H150" t="inlineStr">
        <is>
          <t>{"type": "float", "value": 3143.421708963787}</t>
        </is>
      </c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>
        <f>'Financial Statements'!R[12]C[10]</f>
        <v/>
      </c>
      <c r="W1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>
        <f>'Financial Statements'!P34</f>
        <v/>
      </c>
      <c r="G151" t="n">
        <v>3888.890718034904</v>
      </c>
      <c r="H151" t="inlineStr">
        <is>
          <t>{"type": "float", "value": 3888.890718034904}</t>
        </is>
      </c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>
        <f>'Financial Statements'!R[12]C[10]</f>
        <v/>
      </c>
      <c r="W1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>
        <f>'Financial Statements'!Q34</f>
        <v/>
      </c>
      <c r="G152" t="n">
        <v>4626.195635123337</v>
      </c>
      <c r="H152" t="inlineStr">
        <is>
          <t>{"type": "float", "value": 4626.195635123337}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>
        <f>'Financial Statements'!R[12]C[10]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>
        <f>'Financial Statements'!R34</f>
        <v/>
      </c>
      <c r="G153" t="n">
        <v>5354.223003271239</v>
      </c>
      <c r="H153" t="inlineStr">
        <is>
          <t>{"type": "float", "value": 5354.223003271239}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>
        <f>'Financial Statements'!R[12]C[10]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>
        <f>'Financial Statements'!S34</f>
        <v/>
      </c>
      <c r="G154" t="n">
        <v>6071.295348656084</v>
      </c>
      <c r="H154" t="inlineStr">
        <is>
          <t>{"type": "float", "value": 6071.295348656084}</t>
        </is>
      </c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>
        <f>'Financial Statements'!R[12]C[10]</f>
        <v/>
      </c>
      <c r="W1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G155" t="inlineStr">
        <is>
          <t>(iv) Bank balances other than Cash Equivalents</t>
        </is>
      </c>
      <c r="H155" t="inlineStr">
        <is>
          <t>{"type": "str", "value": "(iv) Bank balances other than Cash Equivalents"}</t>
        </is>
      </c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R155" t="b">
        <v>1</v>
      </c>
      <c r="W1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G156" t="n">
        <v>167.53</v>
      </c>
      <c r="H156" t="inlineStr">
        <is>
          <t>{"type": "float", "value": 167.53}</t>
        </is>
      </c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G157" t="n">
        <v>168.89</v>
      </c>
      <c r="H157" t="inlineStr">
        <is>
          <t>{"type": "float", "value": 168.89}</t>
        </is>
      </c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W15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G158" t="n">
        <v>168.89</v>
      </c>
      <c r="H158" t="inlineStr">
        <is>
          <t>{"type": "float", "value": 168.89}</t>
        </is>
      </c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G159" t="n">
        <v>168.89</v>
      </c>
      <c r="H159" t="inlineStr">
        <is>
          <t>{"type": "float", "value": 168.89}</t>
        </is>
      </c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G160" t="n">
        <v>168.89</v>
      </c>
      <c r="H160" t="inlineStr">
        <is>
          <t>{"type": "float", "value": 168.89}</t>
        </is>
      </c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G161" t="n">
        <v>168.89</v>
      </c>
      <c r="H161" t="inlineStr">
        <is>
          <t>{"type": "float", "value": 168.89}</t>
        </is>
      </c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G162" t="n">
        <v>168.89</v>
      </c>
      <c r="H162" t="inlineStr">
        <is>
          <t>{"type": "float", "value": 168.89}</t>
        </is>
      </c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G163" t="inlineStr">
        <is>
          <t>(v) Loans</t>
        </is>
      </c>
      <c r="H163" t="inlineStr">
        <is>
          <t>{"type": "str", "value": "(v) Loans"}</t>
        </is>
      </c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R163" t="b">
        <v>1</v>
      </c>
      <c r="W16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G164" t="n">
        <v>29.42</v>
      </c>
      <c r="H164" t="inlineStr">
        <is>
          <t>{"type": "float", "value": 29.42}</t>
        </is>
      </c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W1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G165" t="n">
        <v>41.4</v>
      </c>
      <c r="H165" t="inlineStr">
        <is>
          <t>{"type": "float", "value": 41.4}</t>
        </is>
      </c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W1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G166" t="n">
        <v>41.4</v>
      </c>
      <c r="H166" t="inlineStr">
        <is>
          <t>{"type": "float", "value": 41.4}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G167" t="n">
        <v>41.4</v>
      </c>
      <c r="H167" t="inlineStr">
        <is>
          <t>{"type": "float", "value": 41.4}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G168" t="n">
        <v>41.4</v>
      </c>
      <c r="H168" t="inlineStr">
        <is>
          <t>{"type": "float", "value": 41.4}</t>
        </is>
      </c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G169" t="n">
        <v>41.4</v>
      </c>
      <c r="H169" t="inlineStr">
        <is>
          <t>{"type": "float", "value": 41.4}</t>
        </is>
      </c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W1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G170" t="n">
        <v>41.4</v>
      </c>
      <c r="H170" t="inlineStr">
        <is>
          <t>{"type": "float", "value": 41.4}</t>
        </is>
      </c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W1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G171" t="inlineStr">
        <is>
          <t>(vi) Other financial assets</t>
        </is>
      </c>
      <c r="H171" t="inlineStr">
        <is>
          <t>{"type": "str", "value": "(vi) Other financial assets"}</t>
        </is>
      </c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R171" t="b">
        <v>1</v>
      </c>
      <c r="W1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G172" t="n">
        <v>5.05</v>
      </c>
      <c r="H172" t="inlineStr">
        <is>
          <t>{"type": "float", "value": 5.05}</t>
        </is>
      </c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W1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G173" t="n">
        <v>8.880000000000001</v>
      </c>
      <c r="H173" t="inlineStr">
        <is>
          <t>{"type": "float", "value": 8.88}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G174" t="n">
        <v>8.880000000000001</v>
      </c>
      <c r="H174" t="inlineStr">
        <is>
          <t>{"type": "float", "value": 8.88}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G175" t="n">
        <v>8.880000000000001</v>
      </c>
      <c r="H175" t="inlineStr">
        <is>
          <t>{"type": "float", "value": 8.88}</t>
        </is>
      </c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G176" t="n">
        <v>8.880000000000001</v>
      </c>
      <c r="H176" t="inlineStr">
        <is>
          <t>{"type": "float", "value": 8.88}</t>
        </is>
      </c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W1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G177" t="n">
        <v>8.880000000000001</v>
      </c>
      <c r="H177" t="inlineStr">
        <is>
          <t>{"type": "float", "value": 8.88}</t>
        </is>
      </c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W1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G178" t="n">
        <v>8.880000000000001</v>
      </c>
      <c r="H178" t="inlineStr">
        <is>
          <t>{"type": "float", "value": 8.88}</t>
        </is>
      </c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W1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G179" t="inlineStr">
        <is>
          <t>c) Other current assets</t>
        </is>
      </c>
      <c r="H179" t="inlineStr">
        <is>
          <t>{"type": "str", "value": "c) Other current assets"}</t>
        </is>
      </c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R179" t="b">
        <v>1</v>
      </c>
      <c r="W1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G180" t="n">
        <v>323.21</v>
      </c>
      <c r="H180" t="inlineStr">
        <is>
          <t>{"type": "float", "value": 323.21}</t>
        </is>
      </c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W1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G181" t="n">
        <v>792.26</v>
      </c>
      <c r="H181" t="inlineStr">
        <is>
          <t>{"type": "float", "value": 792.26}</t>
        </is>
      </c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W1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G182" t="n">
        <v>792.26</v>
      </c>
      <c r="H182" t="inlineStr">
        <is>
          <t>{"type": "float", "value": 792.26}</t>
        </is>
      </c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W1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G183" t="n">
        <v>792.26</v>
      </c>
      <c r="H183" t="inlineStr">
        <is>
          <t>{"type": "float", "value": 792.26}</t>
        </is>
      </c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G184" t="n">
        <v>792.26</v>
      </c>
      <c r="H184" t="inlineStr">
        <is>
          <t>{"type": "float", "value": 792.26}</t>
        </is>
      </c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G185" t="n">
        <v>792.26</v>
      </c>
      <c r="H185" t="inlineStr">
        <is>
          <t>{"type": "float", "value": 792.26}</t>
        </is>
      </c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W1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G186" t="n">
        <v>792.26</v>
      </c>
      <c r="H186" t="inlineStr">
        <is>
          <t>{"type": "float", "value": 792.26}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>
        <f>SUM(C18:C26)</f>
        <v/>
      </c>
      <c r="G187" t="n">
        <v>4092.650000000001</v>
      </c>
      <c r="H187" t="inlineStr">
        <is>
          <t>{"type": "float", "value": 4092.6500000000005}</t>
        </is>
      </c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>
        <f>SUM(R[-9]C[0]:R[-1]C[0])</f>
        <v/>
      </c>
      <c r="W18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>
        <f>SUM(D18:D26)</f>
        <v/>
      </c>
      <c r="G188" t="n">
        <v>5641.84</v>
      </c>
      <c r="H188" t="inlineStr">
        <is>
          <t>{"type": "float", "value": 5641.84}</t>
        </is>
      </c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>
        <f>SUM(R[-9]C[0]:R[-1]C[0])</f>
        <v/>
      </c>
      <c r="W18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>
        <f>SUM(E18:E26)</f>
        <v/>
      </c>
      <c r="G189" t="n">
        <v>6474.47590923112</v>
      </c>
      <c r="H189" t="inlineStr">
        <is>
          <t>{"type": "float", "value": 6474.47590923112}</t>
        </is>
      </c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>
        <f>SUM(R[-9]C[0]:R[-1]C[0])</f>
        <v/>
      </c>
      <c r="W18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>
        <f>SUM(F18:F26)</f>
        <v/>
      </c>
      <c r="G190" t="n">
        <v>7408.81356144965</v>
      </c>
      <c r="H190" t="inlineStr">
        <is>
          <t>{"type": "float", "value": 7408.81356144965}</t>
        </is>
      </c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>
        <f>SUM(R[-9]C[0]:R[-1]C[0])</f>
        <v/>
      </c>
      <c r="W19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>
        <f>SUM(G18:G26)</f>
        <v/>
      </c>
      <c r="G191" t="n">
        <v>8348.720057033977</v>
      </c>
      <c r="H191" t="inlineStr">
        <is>
          <t>{"type": "float", "value": 8348.720057033977}</t>
        </is>
      </c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>
        <f>SUM(R[-9]C[0]:R[-1]C[0])</f>
        <v/>
      </c>
      <c r="W19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>
        <f>SUM(H18:H26)</f>
        <v/>
      </c>
      <c r="G192" t="n">
        <v>9294.015317529958</v>
      </c>
      <c r="H192" t="inlineStr">
        <is>
          <t>{"type": "float", "value": 9294.015317529958}</t>
        </is>
      </c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>
        <f>SUM(R[-9]C[0]:R[-1]C[0])</f>
        <v/>
      </c>
      <c r="W19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>
        <f>SUM(I18:I26)</f>
        <v/>
      </c>
      <c r="G193" t="n">
        <v>10244.0158659596</v>
      </c>
      <c r="H193" t="inlineStr">
        <is>
          <t>{"type": "float", "value": 10244.015865959604}</t>
        </is>
      </c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>
        <f>SUM(R[-9]C[0]:R[-1]C[0])</f>
        <v/>
      </c>
      <c r="W19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G194" t="inlineStr">
        <is>
          <t>d) Non-current assets classified as held for sale</t>
        </is>
      </c>
      <c r="H194" t="inlineStr">
        <is>
          <t>{"type": "str", "value": "d) Non-current assets classified as held for sale"}</t>
        </is>
      </c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R194" t="b">
        <v>1</v>
      </c>
      <c r="W1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G195" t="n">
        <v>12.07</v>
      </c>
      <c r="H195" t="inlineStr">
        <is>
          <t>{"type": "float", "value": 12.07}</t>
        </is>
      </c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G196" t="n">
        <v>13.08</v>
      </c>
      <c r="H196" t="inlineStr">
        <is>
          <t>{"type": "float", "value": 13.08}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G197" t="n">
        <v>13.08</v>
      </c>
      <c r="H197" t="inlineStr">
        <is>
          <t>{"type": "float", "value": 13.08}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G198" t="n">
        <v>13.08</v>
      </c>
      <c r="H198" t="inlineStr">
        <is>
          <t>{"type": "float", "value": 13.08}</t>
        </is>
      </c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G199" t="n">
        <v>13.08</v>
      </c>
      <c r="H199" t="inlineStr">
        <is>
          <t>{"type": "float", "value": 13.08}</t>
        </is>
      </c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R199" t="b">
        <v>1</v>
      </c>
      <c r="W1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G200" t="n">
        <v>13.08</v>
      </c>
      <c r="H200" t="inlineStr">
        <is>
          <t>{"type": "float", "value": 13.08}</t>
        </is>
      </c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R200" t="b">
        <v>1</v>
      </c>
      <c r="W2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G201" t="n">
        <v>13.08</v>
      </c>
      <c r="H201" t="inlineStr">
        <is>
          <t>{"type": "float", "value": 13.08}</t>
        </is>
      </c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W2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G202" t="inlineStr">
        <is>
          <t>Total Current assets</t>
        </is>
      </c>
      <c r="H202" t="inlineStr">
        <is>
          <t>{"type": "str", "value": "Total Current assets"}</t>
        </is>
      </c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W20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>
        <f>C27+C28</f>
        <v/>
      </c>
      <c r="G203" t="n">
        <v>4104.72</v>
      </c>
      <c r="H203" t="inlineStr">
        <is>
          <t>{"type": "float", "value": 4104.72}</t>
        </is>
      </c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>
        <f>R[-2]C[0]+R[-1]C[0]</f>
        <v/>
      </c>
      <c r="W20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>
        <f>D27+D28</f>
        <v/>
      </c>
      <c r="G204" t="n">
        <v>5654.92</v>
      </c>
      <c r="H204" t="inlineStr">
        <is>
          <t>{"type": "float", "value": 5654.92}</t>
        </is>
      </c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>
        <f>R[-2]C[0]+R[-1]C[0]</f>
        <v/>
      </c>
      <c r="W20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>
        <f>E27+E28</f>
        <v/>
      </c>
      <c r="G205" t="n">
        <v>6487.55590923112</v>
      </c>
      <c r="H205" t="inlineStr">
        <is>
          <t>{"type": "float", "value": 6487.55590923112}</t>
        </is>
      </c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>
        <f>R[-2]C[0]+R[-1]C[0]</f>
        <v/>
      </c>
      <c r="W20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>
        <f>F27+F28</f>
        <v/>
      </c>
      <c r="G206" t="n">
        <v>7421.893561449649</v>
      </c>
      <c r="H206" t="inlineStr">
        <is>
          <t>{"type": "float", "value": 7421.8935614496495}</t>
        </is>
      </c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>
        <f>R[-2]C[0]+R[-1]C[0]</f>
        <v/>
      </c>
      <c r="W20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>
        <f>G27+G28</f>
        <v/>
      </c>
      <c r="G207" t="n">
        <v>8361.800057033977</v>
      </c>
      <c r="H207" t="inlineStr">
        <is>
          <t>{"type": "float", "value": 8361.800057033977}</t>
        </is>
      </c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>
        <f>R[-2]C[0]+R[-1]C[0]</f>
        <v/>
      </c>
      <c r="W20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>
        <f>H27+H28</f>
        <v/>
      </c>
      <c r="G208" t="n">
        <v>9307.095317529958</v>
      </c>
      <c r="H208" t="inlineStr">
        <is>
          <t>{"type": "float", "value": 9307.095317529958}</t>
        </is>
      </c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>
        <f>R[-2]C[0]+R[-1]C[0]</f>
        <v/>
      </c>
      <c r="W20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>
        <f>I27+I28</f>
        <v/>
      </c>
      <c r="G209" t="n">
        <v>10257.0958659596</v>
      </c>
      <c r="H209" t="inlineStr">
        <is>
          <t>{"type": "float", "value": 10257.095865959604}</t>
        </is>
      </c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>
        <f>R[-2]C[0]+R[-1]C[0]</f>
        <v/>
      </c>
      <c r="W20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G210" t="inlineStr">
        <is>
          <t>TOTAL - ASSETS</t>
        </is>
      </c>
      <c r="H210" t="inlineStr">
        <is>
          <t>{"type": "str", "value": "TOTAL - ASSETS"}</t>
        </is>
      </c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W21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H211" t="inlineStr">
        <is>
          <t>{"type": "null", "value": null}</t>
        </is>
      </c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0</v>
      </c>
      <c r="W21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>
        <f>C29+C16</f>
        <v/>
      </c>
      <c r="G212" t="n">
        <v>13393.94</v>
      </c>
      <c r="H212" t="inlineStr">
        <is>
          <t>{"type": "float", "value": 13393.939999999999}</t>
        </is>
      </c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>
        <f>R[-1]C[0]+R[-14]C[0]</f>
        <v/>
      </c>
      <c r="W21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>
        <f>D29+D16</f>
        <v/>
      </c>
      <c r="G213" t="n">
        <v>14845.74</v>
      </c>
      <c r="H213" t="inlineStr">
        <is>
          <t>{"type": "float", "value": 14845.74}</t>
        </is>
      </c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>
        <f>R[-1]C[0]+R[-14]C[0]</f>
        <v/>
      </c>
      <c r="W21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>
        <f>E29+E16</f>
        <v/>
      </c>
      <c r="G214" t="n">
        <v>15502.57896125181</v>
      </c>
      <c r="H214" t="inlineStr">
        <is>
          <t>{"type": "float", "value": 15502.578961251815}</t>
        </is>
      </c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>
        <f>R[-1]C[0]+R[-14]C[0]</f>
        <v/>
      </c>
      <c r="W21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>
        <f>F29+F16</f>
        <v/>
      </c>
      <c r="G215" t="n">
        <v>16308.55481738334</v>
      </c>
      <c r="H215" t="inlineStr">
        <is>
          <t>{"type": "float", "value": 16308.554817383338}</t>
        </is>
      </c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>
        <f>R[-1]C[0]+R[-14]C[0]</f>
        <v/>
      </c>
      <c r="W21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>
        <f>G29+G16</f>
        <v/>
      </c>
      <c r="G216" t="n">
        <v>17165.05480813205</v>
      </c>
      <c r="H216" t="inlineStr">
        <is>
          <t>{"type": "float", "value": 17165.05480813205}</t>
        </is>
      </c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>
        <f>R[-1]C[0]+R[-14]C[0]</f>
        <v/>
      </c>
      <c r="W21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>
        <f>H29+H16</f>
        <v/>
      </c>
      <c r="G217" t="n">
        <v>18069.88239080129</v>
      </c>
      <c r="H217" t="inlineStr">
        <is>
          <t>{"type": "float", "value": 18069.882390801286}</t>
        </is>
      </c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>
        <f>R[-1]C[0]+R[-14]C[0]</f>
        <v/>
      </c>
      <c r="W21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>
        <f>I29+I16</f>
        <v/>
      </c>
      <c r="G218" t="n">
        <v>19020.73398379115</v>
      </c>
      <c r="H218" t="inlineStr">
        <is>
          <t>{"type": "float", "value": 19020.73398379115}</t>
        </is>
      </c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>
        <f>R[-1]C[0]+R[-14]C[0]</f>
        <v/>
      </c>
      <c r="W21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G219" t="inlineStr">
        <is>
          <t>EQUITY AND LIABILITIES</t>
        </is>
      </c>
      <c r="H219" t="inlineStr">
        <is>
          <t>{"type": "str", "value": "EQUITY AND LIABILITIES"}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H220" t="inlineStr">
        <is>
          <t>{"type": "null", "value": null}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0</v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H221" t="inlineStr">
        <is>
          <t>{"type": "null", "value": null}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0</v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G222" t="inlineStr">
        <is>
          <t>Equity</t>
        </is>
      </c>
      <c r="H222" t="inlineStr">
        <is>
          <t>{"type": "str", "value": "Equity"}</t>
        </is>
      </c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R222" t="b">
        <v>1</v>
      </c>
      <c r="W2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H223" t="inlineStr">
        <is>
          <t>{"type": "null", "value": null}</t>
        </is>
      </c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0</v>
      </c>
      <c r="W2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H224" t="inlineStr">
        <is>
          <t>{"type": "null", "value": null}</t>
        </is>
      </c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0</v>
      </c>
      <c r="W2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G225" t="inlineStr">
        <is>
          <t>Equity Share Capital</t>
        </is>
      </c>
      <c r="H225" t="inlineStr">
        <is>
          <t>{"type": "str", "value": "Equity Share Capital"}</t>
        </is>
      </c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R225" t="b">
        <v>1</v>
      </c>
      <c r="W2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G226" t="n">
        <v>187.99</v>
      </c>
      <c r="H226" t="inlineStr">
        <is>
          <t>{"type": "float", "value": 187.99}</t>
        </is>
      </c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W2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G227" t="n">
        <v>187.99</v>
      </c>
      <c r="H227" t="inlineStr">
        <is>
          <t>{"type": "float", "value": 187.99}</t>
        </is>
      </c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W22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>
        <f>D33</f>
        <v/>
      </c>
      <c r="G228" t="n">
        <v>187.99</v>
      </c>
      <c r="H228" t="inlineStr">
        <is>
          <t>{"type": "float", "value": 187.99}</t>
        </is>
      </c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>
        <f>R[0]C[-1]</f>
        <v/>
      </c>
      <c r="W2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>
        <f>E33</f>
        <v/>
      </c>
      <c r="G229" t="n">
        <v>187.99</v>
      </c>
      <c r="H229" t="inlineStr">
        <is>
          <t>{"type": "float", "value": 187.99}</t>
        </is>
      </c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>
        <f>R[0]C[-1]</f>
        <v/>
      </c>
      <c r="W2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>
        <f>F33</f>
        <v/>
      </c>
      <c r="G230" t="n">
        <v>187.99</v>
      </c>
      <c r="H230" t="inlineStr">
        <is>
          <t>{"type": "float", "value": 187.99}</t>
        </is>
      </c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>
        <f>R[0]C[-1]</f>
        <v/>
      </c>
      <c r="W2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>
        <f>G33</f>
        <v/>
      </c>
      <c r="G231" t="n">
        <v>187.99</v>
      </c>
      <c r="H231" t="inlineStr">
        <is>
          <t>{"type": "float", "value": 187.99}</t>
        </is>
      </c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>
        <f>R[0]C[-1]</f>
        <v/>
      </c>
      <c r="W2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>
        <f>H33</f>
        <v/>
      </c>
      <c r="G232" t="n">
        <v>187.99</v>
      </c>
      <c r="H232" t="inlineStr">
        <is>
          <t>{"type": "float", "value": 187.99}</t>
        </is>
      </c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>
        <f>R[0]C[-1]</f>
        <v/>
      </c>
      <c r="W2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G233" t="inlineStr">
        <is>
          <t>Other Equity</t>
        </is>
      </c>
      <c r="H233" t="inlineStr">
        <is>
          <t>{"type": "str", "value": "Other Equity"}</t>
        </is>
      </c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R233" t="b">
        <v>1</v>
      </c>
      <c r="W2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G234" t="n">
        <v>8625.440000000001</v>
      </c>
      <c r="H234" t="inlineStr">
        <is>
          <t>{"type": "float", "value": 8625.44}</t>
        </is>
      </c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W2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G235" t="n">
        <v>9167.860000000001</v>
      </c>
      <c r="H235" t="inlineStr">
        <is>
          <t>{"type": "float", "value": 9167.86}</t>
        </is>
      </c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W23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>
        <f>D34+'Financial Statements'!E20</f>
        <v/>
      </c>
      <c r="G236" t="n">
        <v>9775.935080537865</v>
      </c>
      <c r="H236" t="inlineStr">
        <is>
          <t>{"type": "float", "value": 9775.935080537865}</t>
        </is>
      </c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>
        <f>R[0]C[-1]+'Financial Statements'!R[-14]C[0]</f>
        <v/>
      </c>
      <c r="W23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>
        <f>E34+'Financial Statements'!F20</f>
        <v/>
      </c>
      <c r="G237" t="n">
        <v>10425.74684436236</v>
      </c>
      <c r="H237" t="inlineStr">
        <is>
          <t>{"type": "float", "value": 10425.746844362358}</t>
        </is>
      </c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>
        <f>R[0]C[-1]+'Financial Statements'!R[-14]C[0]</f>
        <v/>
      </c>
      <c r="W23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>
        <f>F34+'Financial Statements'!G20</f>
        <v/>
      </c>
      <c r="G238" t="n">
        <v>11114.37960676032</v>
      </c>
      <c r="H238" t="inlineStr">
        <is>
          <t>{"type": "float", "value": 11114.379606760322}</t>
        </is>
      </c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>
        <f>R[0]C[-1]+'Financial Statements'!R[-14]C[0]</f>
        <v/>
      </c>
      <c r="W2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>
        <f>G34+'Financial Statements'!H20</f>
        <v/>
      </c>
      <c r="G239" t="n">
        <v>11838.81970358575</v>
      </c>
      <c r="H239" t="inlineStr">
        <is>
          <t>{"type": "float", "value": 11838.819703585748}</t>
        </is>
      </c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>
        <f>R[0]C[-1]+'Financial Statements'!R[-14]C[0]</f>
        <v/>
      </c>
      <c r="W2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>
        <f>H34+'Financial Statements'!I20</f>
        <v/>
      </c>
      <c r="G240" t="n">
        <v>12595.89211658078</v>
      </c>
      <c r="H240" t="inlineStr">
        <is>
          <t>{"type": "float", "value": 12595.89211658078}</t>
        </is>
      </c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>
        <f>R[0]C[-1]+'Financial Statements'!R[-14]C[0]</f>
        <v/>
      </c>
      <c r="W2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G241" t="inlineStr">
        <is>
          <t>controlling interest</t>
        </is>
      </c>
      <c r="H241" t="inlineStr">
        <is>
          <t>{"type": "str", "value": "controlling interest"}</t>
        </is>
      </c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R241" t="b">
        <v>1</v>
      </c>
      <c r="W24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2.0},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G242" t="n">
        <v>2.78</v>
      </c>
      <c r="H242" t="inlineStr">
        <is>
          <t>{"type": "float", "value": 2.78}</t>
        </is>
      </c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G243" t="n">
        <v>2.88</v>
      </c>
      <c r="H243" t="inlineStr">
        <is>
          <t>{"type": "float", "value": 2.88}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G244" t="n">
        <v>2.88</v>
      </c>
      <c r="H244" t="inlineStr">
        <is>
          <t>{"type": "float", "value": 2.88}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G245" t="n">
        <v>2.88</v>
      </c>
      <c r="H245" t="inlineStr">
        <is>
          <t>{"type": "float", "value": 2.88}</t>
        </is>
      </c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W2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G246" t="n">
        <v>2.88</v>
      </c>
      <c r="H246" t="inlineStr">
        <is>
          <t>{"type": "float", "value": 2.88}</t>
        </is>
      </c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W2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G247" t="n">
        <v>2.88</v>
      </c>
      <c r="H247" t="inlineStr">
        <is>
          <t>{"type": "float", "value": 2.88}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G248" t="n">
        <v>2.88</v>
      </c>
      <c r="H248" t="inlineStr">
        <is>
          <t>{"type": "float", "value": 2.88}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G249" t="inlineStr">
        <is>
          <t>Total Equity</t>
        </is>
      </c>
      <c r="H249" t="inlineStr">
        <is>
          <t>{"type": "str", "value": "Total Equity"}</t>
        </is>
      </c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W24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H250" t="inlineStr">
        <is>
          <t>{"type": "null", "value": null}</t>
        </is>
      </c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0</v>
      </c>
      <c r="W25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>
        <f>C33+C34+C35</f>
        <v/>
      </c>
      <c r="G251" t="n">
        <v>8816.210000000001</v>
      </c>
      <c r="H251" t="inlineStr">
        <is>
          <t>{"type": "float", "value": 8816.210000000001}</t>
        </is>
      </c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>
        <f>R[-3]C[0]+R[-2]C[0]+R[-1]C[0]</f>
        <v/>
      </c>
      <c r="W25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>
        <f>D33+D34+D35</f>
        <v/>
      </c>
      <c r="G252" t="n">
        <v>9358.73</v>
      </c>
      <c r="H252" t="inlineStr">
        <is>
          <t>{"type": "float", "value": 9358.73}</t>
        </is>
      </c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>
        <f>R[-3]C[0]+R[-2]C[0]+R[-1]C[0]</f>
        <v/>
      </c>
      <c r="W25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>
        <f>E33+E34+E35</f>
        <v/>
      </c>
      <c r="G253" t="n">
        <v>9966.805080537864</v>
      </c>
      <c r="H253" t="inlineStr">
        <is>
          <t>{"type": "float", "value": 9966.805080537864}</t>
        </is>
      </c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>
        <f>R[-3]C[0]+R[-2]C[0]+R[-1]C[0]</f>
        <v/>
      </c>
      <c r="W25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>
        <f>F33+F34+F35</f>
        <v/>
      </c>
      <c r="G254" t="n">
        <v>10616.61684436236</v>
      </c>
      <c r="H254" t="inlineStr">
        <is>
          <t>{"type": "float", "value": 10616.616844362357}</t>
        </is>
      </c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>
        <f>R[-3]C[0]+R[-2]C[0]+R[-1]C[0]</f>
        <v/>
      </c>
      <c r="W25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>
        <f>G33+G34+G35</f>
        <v/>
      </c>
      <c r="G255" t="n">
        <v>11305.24960676032</v>
      </c>
      <c r="H255" t="inlineStr">
        <is>
          <t>{"type": "float", "value": 11305.24960676032}</t>
        </is>
      </c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>
        <f>R[-3]C[0]+R[-2]C[0]+R[-1]C[0]</f>
        <v/>
      </c>
      <c r="W25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>
        <f>H33+H34+H35</f>
        <v/>
      </c>
      <c r="G256" t="n">
        <v>12029.68970358575</v>
      </c>
      <c r="H256" t="inlineStr">
        <is>
          <t>{"type": "float", "value": 12029.689703585747}</t>
        </is>
      </c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>
        <f>R[-3]C[0]+R[-2]C[0]+R[-1]C[0]</f>
        <v/>
      </c>
      <c r="W25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>
        <f>I33+I34+I35</f>
        <v/>
      </c>
      <c r="G257" t="n">
        <v>12786.76211658078</v>
      </c>
      <c r="H257" t="inlineStr">
        <is>
          <t>{"type": "float", "value": 12786.76211658078}</t>
        </is>
      </c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>
        <f>R[-3]C[0]+R[-2]C[0]+R[-1]C[0]</f>
        <v/>
      </c>
      <c r="W25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G258" t="inlineStr">
        <is>
          <t>Liabilities</t>
        </is>
      </c>
      <c r="H258" t="inlineStr">
        <is>
          <t>{"type": "str", "value": "Liabilities"}</t>
        </is>
      </c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R258" t="b">
        <v>1</v>
      </c>
      <c r="W25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H259" t="inlineStr">
        <is>
          <t>{"type": "null", "value": null}</t>
        </is>
      </c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R259" t="b">
        <v>0</v>
      </c>
      <c r="W2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H260" t="inlineStr">
        <is>
          <t>{"type": "null", "value": null}</t>
        </is>
      </c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R260" t="b">
        <v>0</v>
      </c>
      <c r="W2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G261" t="inlineStr">
        <is>
          <t>Non-current liabilities</t>
        </is>
      </c>
      <c r="H261" t="inlineStr">
        <is>
          <t>{"type": "str", "value": "Non-current liabilities"}</t>
        </is>
      </c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R261" t="b">
        <v>1</v>
      </c>
      <c r="W2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H262" t="inlineStr">
        <is>
          <t>{"type": "null", "value": null}</t>
        </is>
      </c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R262" t="b">
        <v>0</v>
      </c>
      <c r="W2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H263" t="inlineStr">
        <is>
          <t>{"type": "null", "value": null}</t>
        </is>
      </c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R263" t="b">
        <v>0</v>
      </c>
      <c r="W2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G264" t="inlineStr">
        <is>
          <t>Provisions</t>
        </is>
      </c>
      <c r="H264" t="inlineStr">
        <is>
          <t>{"type": "str", "value": "Provisions"}</t>
        </is>
      </c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R264" t="b">
        <v>1</v>
      </c>
      <c r="W2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G265" t="n">
        <v>141.36</v>
      </c>
      <c r="H265" t="inlineStr">
        <is>
          <t>{"type": "float", "value": 141.36}</t>
        </is>
      </c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R265" t="b">
        <v>1</v>
      </c>
      <c r="W2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G266" t="n">
        <v>142.79</v>
      </c>
      <c r="H266" t="inlineStr">
        <is>
          <t>{"type": "float", "value": 142.79}</t>
        </is>
      </c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R266" t="b">
        <v>1</v>
      </c>
      <c r="W2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G267" t="n">
        <v>142.79</v>
      </c>
      <c r="H267" t="inlineStr">
        <is>
          <t>{"type": "float", "value": 142.79}</t>
        </is>
      </c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R267" t="b">
        <v>1</v>
      </c>
      <c r="W2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G268" t="n">
        <v>142.79</v>
      </c>
      <c r="H268" t="inlineStr">
        <is>
          <t>{"type": "float", "value": 142.79}</t>
        </is>
      </c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R268" t="b">
        <v>1</v>
      </c>
      <c r="W2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G269" t="n">
        <v>142.79</v>
      </c>
      <c r="H269" t="inlineStr">
        <is>
          <t>{"type": "float", "value": 142.79}</t>
        </is>
      </c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R269" t="b">
        <v>1</v>
      </c>
      <c r="W2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G270" t="n">
        <v>142.79</v>
      </c>
      <c r="H270" t="inlineStr">
        <is>
          <t>{"type": "float", "value": 142.79}</t>
        </is>
      </c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R270" t="b">
        <v>1</v>
      </c>
      <c r="W2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G271" t="n">
        <v>142.79</v>
      </c>
      <c r="H271" t="inlineStr">
        <is>
          <t>{"type": "float", "value": 142.79}</t>
        </is>
      </c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R271" t="b">
        <v>1</v>
      </c>
      <c r="W2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G272" t="inlineStr">
        <is>
          <t>Deferred tax liabilities (Net)</t>
        </is>
      </c>
      <c r="H272" t="inlineStr">
        <is>
          <t>{"type": "str", "value": "Deferred tax liabilities (Net)"}</t>
        </is>
      </c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R272" t="b">
        <v>1</v>
      </c>
      <c r="W2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G273" t="n">
        <v>456.31</v>
      </c>
      <c r="H273" t="inlineStr">
        <is>
          <t>{"type": "float", "value": 456.31}</t>
        </is>
      </c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R273" t="b">
        <v>1</v>
      </c>
      <c r="W2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G274" t="n">
        <v>551.5599999999999</v>
      </c>
      <c r="H274" t="inlineStr">
        <is>
          <t>{"type": "float", "value": 551.56}</t>
        </is>
      </c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R274" t="b">
        <v>1</v>
      </c>
      <c r="W2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G275" t="n">
        <v>551.5599999999999</v>
      </c>
      <c r="H275" t="inlineStr">
        <is>
          <t>{"type": "float", "value": 551.56}</t>
        </is>
      </c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R275" t="b">
        <v>1</v>
      </c>
      <c r="W2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G276" t="n">
        <v>551.5599999999999</v>
      </c>
      <c r="H276" t="inlineStr">
        <is>
          <t>{"type": "float", "value": 551.56}</t>
        </is>
      </c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R276" t="b">
        <v>1</v>
      </c>
      <c r="W2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G277" t="n">
        <v>551.5599999999999</v>
      </c>
      <c r="H277" t="inlineStr">
        <is>
          <t>{"type": "float", "value": 551.56}</t>
        </is>
      </c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R277" t="b">
        <v>1</v>
      </c>
      <c r="W2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G278" t="n">
        <v>551.5599999999999</v>
      </c>
      <c r="H278" t="inlineStr">
        <is>
          <t>{"type": "float", "value": 551.56}</t>
        </is>
      </c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R278" t="b">
        <v>1</v>
      </c>
      <c r="W2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G279" t="n">
        <v>551.5599999999999</v>
      </c>
      <c r="H279" t="inlineStr">
        <is>
          <t>{"type": "float", "value": 551.56}</t>
        </is>
      </c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R279" t="b">
        <v>1</v>
      </c>
      <c r="W27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G280" t="inlineStr">
        <is>
          <t>Total Non-current liabilities</t>
        </is>
      </c>
      <c r="H280" t="inlineStr">
        <is>
          <t>{"type": "str", "value": "Total Non-current liabilities"}</t>
        </is>
      </c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R280" t="b">
        <v>1</v>
      </c>
      <c r="W28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H281" t="inlineStr">
        <is>
          <t>{"type": "null", "value": null}</t>
        </is>
      </c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R281" t="b">
        <v>0</v>
      </c>
      <c r="W28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>
        <f>SUM(C39:C40)</f>
        <v/>
      </c>
      <c r="G282" t="n">
        <v>597.6700000000001</v>
      </c>
      <c r="H282" t="inlineStr">
        <is>
          <t>{"type": "float", "value": 597.6700000000001}</t>
        </is>
      </c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>
        <f>SUM(R[-2]C[0]:R[-1]C[0])</f>
        <v/>
      </c>
      <c r="W28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>
        <f>SUM(D39:D40)</f>
        <v/>
      </c>
      <c r="G283" t="n">
        <v>694.3499999999999</v>
      </c>
      <c r="H283" t="inlineStr">
        <is>
          <t>{"type": "float", "value": 694.3499999999999}</t>
        </is>
      </c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>
        <f>SUM(R[-2]C[0]:R[-1]C[0])</f>
        <v/>
      </c>
      <c r="W28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>
        <f>SUM(E39:E40)</f>
        <v/>
      </c>
      <c r="G284" t="n">
        <v>694.3499999999999</v>
      </c>
      <c r="H284" t="inlineStr">
        <is>
          <t>{"type": "float", "value": 694.3499999999999}</t>
        </is>
      </c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>
        <f>SUM(R[-2]C[0]:R[-1]C[0])</f>
        <v/>
      </c>
      <c r="W284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>
        <f>SUM(F39:F40)</f>
        <v/>
      </c>
      <c r="G285" t="n">
        <v>694.3499999999999</v>
      </c>
      <c r="H285" t="inlineStr">
        <is>
          <t>{"type": "float", "value": 694.3499999999999}</t>
        </is>
      </c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>
        <f>SUM(R[-2]C[0]:R[-1]C[0])</f>
        <v/>
      </c>
      <c r="W28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>
        <f>SUM(G39:G40)</f>
        <v/>
      </c>
      <c r="G286" t="n">
        <v>694.3499999999999</v>
      </c>
      <c r="H286" t="inlineStr">
        <is>
          <t>{"type": "float", "value": 694.3499999999999}</t>
        </is>
      </c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>
        <f>SUM(R[-2]C[0]:R[-1]C[0])</f>
        <v/>
      </c>
      <c r="W28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>
        <f>SUM(H39:H40)</f>
        <v/>
      </c>
      <c r="G287" t="n">
        <v>694.3499999999999</v>
      </c>
      <c r="H287" t="inlineStr">
        <is>
          <t>{"type": "float", "value": 694.3499999999999}</t>
        </is>
      </c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>
        <f>SUM(R[-2]C[0]:R[-1]C[0])</f>
        <v/>
      </c>
      <c r="W28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>
        <f>SUM(I39:I40)</f>
        <v/>
      </c>
      <c r="G288" t="n">
        <v>694.3499999999999</v>
      </c>
      <c r="H288" t="inlineStr">
        <is>
          <t>{"type": "float", "value": 694.3499999999999}</t>
        </is>
      </c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>
        <f>SUM(R[-2]C[0]:R[-1]C[0])</f>
        <v/>
      </c>
      <c r="W28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G289" t="inlineStr">
        <is>
          <t>Current liabilities</t>
        </is>
      </c>
      <c r="H289" t="inlineStr">
        <is>
          <t>{"type": "str", "value": "Current liabilities"}</t>
        </is>
      </c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R289" t="b">
        <v>1</v>
      </c>
      <c r="W2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H290" t="inlineStr">
        <is>
          <t>{"type": "null", "value": null}</t>
        </is>
      </c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R290" t="b">
        <v>0</v>
      </c>
      <c r="W2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H291" t="inlineStr">
        <is>
          <t>{"type": "null", "value": null}</t>
        </is>
      </c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R291" t="b">
        <v>0</v>
      </c>
      <c r="W2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G292" t="inlineStr">
        <is>
          <t>Financial Liabilities</t>
        </is>
      </c>
      <c r="H292" t="inlineStr">
        <is>
          <t>{"type": "str", "value": "Financial Liabilities"}</t>
        </is>
      </c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R292" t="b">
        <v>1</v>
      </c>
      <c r="W2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H293" t="inlineStr">
        <is>
          <t>{"type": "null", "value": null}</t>
        </is>
      </c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R293" t="b">
        <v>0</v>
      </c>
      <c r="W2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H294" t="inlineStr">
        <is>
          <t>{"type": "null", "value": null}</t>
        </is>
      </c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R294" t="b">
        <v>0</v>
      </c>
      <c r="W29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G295" t="inlineStr">
        <is>
          <t>(i) Trade payables</t>
        </is>
      </c>
      <c r="H295" t="inlineStr">
        <is>
          <t>{"type": "str", "value": "(i) Trade payables"}</t>
        </is>
      </c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R295" t="b">
        <v>1</v>
      </c>
      <c r="W2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G296" t="n">
        <v>1258.49</v>
      </c>
      <c r="H296" t="inlineStr">
        <is>
          <t>{"type": "float", "value": 1258.49}</t>
        </is>
      </c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R296" t="b">
        <v>1</v>
      </c>
      <c r="W2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G297" t="n">
        <v>1813.74</v>
      </c>
      <c r="H297" t="inlineStr">
        <is>
          <t>{"type": "float", "value": 1813.74}</t>
        </is>
      </c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R297" t="b">
        <v>1</v>
      </c>
      <c r="W2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>
        <f>SUM('Financial Statements'!E4:E7)*'Balance Sheet'!E59</f>
        <v/>
      </c>
      <c r="G298" t="n">
        <v>1863.05388071395</v>
      </c>
      <c r="H298" t="inlineStr">
        <is>
          <t>{"type": "float", "value": 1863.05388071395}</t>
        </is>
      </c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>
        <f>SUM('Financial Statements'!R[-40]C[0]:R[-37]C[0])*R[15]C[0]</f>
        <v/>
      </c>
      <c r="W29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>
        <f>SUM('Financial Statements'!F4:F7)*'Balance Sheet'!F59</f>
        <v/>
      </c>
      <c r="G299" t="n">
        <v>2019.217973020979</v>
      </c>
      <c r="H299" t="inlineStr">
        <is>
          <t>{"type": "float", "value": 2019.2179730209791}</t>
        </is>
      </c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>
        <f>SUM('Financial Statements'!R[-40]C[0]:R[-37]C[0])*R[15]C[0]</f>
        <v/>
      </c>
      <c r="W2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>
        <f>SUM('Financial Statements'!G4:G7)*'Balance Sheet'!G59</f>
        <v/>
      </c>
      <c r="G300" t="n">
        <v>2187.085201371727</v>
      </c>
      <c r="H300" t="inlineStr">
        <is>
          <t>{"type": "float", "value": 2187.085201371727}</t>
        </is>
      </c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>
        <f>SUM('Financial Statements'!R[-40]C[0]:R[-37]C[0])*R[15]C[0]</f>
        <v/>
      </c>
      <c r="W3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>
        <f>SUM('Financial Statements'!H4:H7)*'Balance Sheet'!H59</f>
        <v/>
      </c>
      <c r="G301" t="n">
        <v>2367.472687215539</v>
      </c>
      <c r="H301" t="inlineStr">
        <is>
          <t>{"type": "float", "value": 2367.472687215539}</t>
        </is>
      </c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>
        <f>SUM('Financial Statements'!R[-40]C[0]:R[-37]C[0])*R[15]C[0]</f>
        <v/>
      </c>
      <c r="W3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>
        <f>SUM('Financial Statements'!I4:I7)*'Balance Sheet'!I59</f>
        <v/>
      </c>
      <c r="G302" t="n">
        <v>2561.251867210372</v>
      </c>
      <c r="H302" t="inlineStr">
        <is>
          <t>{"type": "float", "value": 2561.251867210372}</t>
        </is>
      </c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>
        <f>SUM('Financial Statements'!R[-40]C[0]:R[-37]C[0])*R[15]C[0]</f>
        <v/>
      </c>
      <c r="W3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G303" t="inlineStr">
        <is>
          <t>(ii) Other financial liabilities</t>
        </is>
      </c>
      <c r="H303" t="inlineStr">
        <is>
          <t>{"type": "str", "value": "(ii) Other financial liabilities"}</t>
        </is>
      </c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R303" t="b">
        <v>1</v>
      </c>
      <c r="W30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3.0},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G304" t="n">
        <v>835.39</v>
      </c>
      <c r="H304" t="inlineStr">
        <is>
          <t>{"type": "float", "value": 835.39}</t>
        </is>
      </c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R304" t="b">
        <v>1</v>
      </c>
      <c r="W3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G305" t="n">
        <v>721.34</v>
      </c>
      <c r="H305" t="inlineStr">
        <is>
          <t>{"type": "float", "value": 721.34}</t>
        </is>
      </c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R305" t="b">
        <v>1</v>
      </c>
      <c r="W30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G306" t="n">
        <v>721.34</v>
      </c>
      <c r="H306" t="inlineStr">
        <is>
          <t>{"type": "float", "value": 721.34}</t>
        </is>
      </c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R306" t="b">
        <v>1</v>
      </c>
      <c r="W30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G307" t="n">
        <v>721.34</v>
      </c>
      <c r="H307" t="inlineStr">
        <is>
          <t>{"type": "float", "value": 721.34}</t>
        </is>
      </c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R307" t="b">
        <v>1</v>
      </c>
      <c r="W30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G308" t="n">
        <v>721.34</v>
      </c>
      <c r="H308" t="inlineStr">
        <is>
          <t>{"type": "float", "value": 721.34}</t>
        </is>
      </c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R308" t="b">
        <v>1</v>
      </c>
      <c r="W3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G309" t="n">
        <v>721.34</v>
      </c>
      <c r="H309" t="inlineStr">
        <is>
          <t>{"type": "float", "value": 721.34}</t>
        </is>
      </c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R309" t="b">
        <v>1</v>
      </c>
      <c r="W30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G310" t="n">
        <v>721.34</v>
      </c>
      <c r="H310" t="inlineStr">
        <is>
          <t>{"type": "float", "value": 721.34}</t>
        </is>
      </c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R310" t="b">
        <v>1</v>
      </c>
      <c r="W3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G311" t="inlineStr">
        <is>
          <t>Other current liabilities</t>
        </is>
      </c>
      <c r="H311" t="inlineStr">
        <is>
          <t>{"type": "str", "value": "Other current liabilities"}</t>
        </is>
      </c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R311" t="b">
        <v>1</v>
      </c>
      <c r="W3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G312" t="n">
        <v>1415.57</v>
      </c>
      <c r="H312" t="inlineStr">
        <is>
          <t>{"type": "float", "value": 1415.57}</t>
        </is>
      </c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R312" t="b">
        <v>1</v>
      </c>
      <c r="W3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G313" t="n">
        <v>1737.97</v>
      </c>
      <c r="H313" t="inlineStr">
        <is>
          <t>{"type": "float", "value": 1737.97}</t>
        </is>
      </c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R313" t="b">
        <v>1</v>
      </c>
      <c r="W3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G314" t="n">
        <v>1737.97</v>
      </c>
      <c r="H314" t="inlineStr">
        <is>
          <t>{"type": "float", "value": 1737.97}</t>
        </is>
      </c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R314" t="b">
        <v>1</v>
      </c>
      <c r="W31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G315" t="n">
        <v>1737.97</v>
      </c>
      <c r="H315" t="inlineStr">
        <is>
          <t>{"type": "float", "value": 1737.97}</t>
        </is>
      </c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R315" t="b">
        <v>1</v>
      </c>
      <c r="W31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G316" t="n">
        <v>1737.97</v>
      </c>
      <c r="H316" t="inlineStr">
        <is>
          <t>{"type": "float", "value": 1737.97}</t>
        </is>
      </c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R316" t="b">
        <v>1</v>
      </c>
      <c r="W3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G317" t="n">
        <v>1737.97</v>
      </c>
      <c r="H317" t="inlineStr">
        <is>
          <t>{"type": "float", "value": 1737.97}</t>
        </is>
      </c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R317" t="b">
        <v>1</v>
      </c>
      <c r="W3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G318" t="n">
        <v>1737.97</v>
      </c>
      <c r="H318" t="inlineStr">
        <is>
          <t>{"type": "float", "value": 1737.97}</t>
        </is>
      </c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R318" t="b">
        <v>1</v>
      </c>
      <c r="W3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G319" t="inlineStr">
        <is>
          <t>Provisions</t>
        </is>
      </c>
      <c r="H319" t="inlineStr">
        <is>
          <t>{"type": "str", "value": "Provisions"}</t>
        </is>
      </c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R319" t="b">
        <v>1</v>
      </c>
      <c r="W3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G320" t="n">
        <v>52.02</v>
      </c>
      <c r="H320" t="inlineStr">
        <is>
          <t>{"type": "float", "value": 52.02}</t>
        </is>
      </c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R320" t="b">
        <v>1</v>
      </c>
      <c r="W3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G321" t="n">
        <v>51.19</v>
      </c>
      <c r="H321" t="inlineStr">
        <is>
          <t>{"type": "float", "value": 51.19}</t>
        </is>
      </c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R321" t="b">
        <v>1</v>
      </c>
      <c r="W3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G322" t="n">
        <v>51.19</v>
      </c>
      <c r="H322" t="inlineStr">
        <is>
          <t>{"type": "float", "value": 51.19}</t>
        </is>
      </c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R322" t="b">
        <v>1</v>
      </c>
      <c r="W32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G323" t="n">
        <v>51.19</v>
      </c>
      <c r="H323" t="inlineStr">
        <is>
          <t>{"type": "float", "value": 51.19}</t>
        </is>
      </c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R323" t="b">
        <v>1</v>
      </c>
      <c r="W32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G324" t="n">
        <v>51.19</v>
      </c>
      <c r="H324" t="inlineStr">
        <is>
          <t>{"type": "float", "value": 51.19}</t>
        </is>
      </c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R324" t="b">
        <v>1</v>
      </c>
      <c r="W3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G325" t="n">
        <v>51.19</v>
      </c>
      <c r="H325" t="inlineStr">
        <is>
          <t>{"type": "float", "value": 51.19}</t>
        </is>
      </c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R325" t="b">
        <v>1</v>
      </c>
      <c r="W3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G326" t="n">
        <v>51.19</v>
      </c>
      <c r="H326" t="inlineStr">
        <is>
          <t>{"type": "float", "value": 51.19}</t>
        </is>
      </c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R326" t="b">
        <v>1</v>
      </c>
      <c r="W32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G327" t="inlineStr">
        <is>
          <t>Current tax liabilities (Net)</t>
        </is>
      </c>
      <c r="H327" t="inlineStr">
        <is>
          <t>{"type": "str", "value": "Current tax liabilities (Net)"}</t>
        </is>
      </c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R327" t="b">
        <v>1</v>
      </c>
      <c r="W3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"left", "vertical": null, "text_rotation": 0, "wrap_text": null, "shrink_to_fit": null, "indent": 1.0},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G328" t="n">
        <v>418.59</v>
      </c>
      <c r="H328" t="inlineStr">
        <is>
          <t>{"type": "float", "value": 418.59}</t>
        </is>
      </c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R328" t="b">
        <v>1</v>
      </c>
      <c r="W3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G329" t="n">
        <v>468.42</v>
      </c>
      <c r="H329" t="inlineStr">
        <is>
          <t>{"type": "float", "value": 468.42}</t>
        </is>
      </c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R329" t="b">
        <v>1</v>
      </c>
      <c r="W3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G330" t="n">
        <v>468.42</v>
      </c>
      <c r="H330" t="inlineStr">
        <is>
          <t>{"type": "float", "value": 468.42}</t>
        </is>
      </c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R330" t="b">
        <v>1</v>
      </c>
      <c r="W33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G331" t="n">
        <v>468.42</v>
      </c>
      <c r="H331" t="inlineStr">
        <is>
          <t>{"type": "float", "value": 468.42}</t>
        </is>
      </c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R331" t="b">
        <v>1</v>
      </c>
      <c r="W3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G332" t="n">
        <v>468.42</v>
      </c>
      <c r="H332" t="inlineStr">
        <is>
          <t>{"type": "float", "value": 468.42}</t>
        </is>
      </c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R332" t="b">
        <v>1</v>
      </c>
      <c r="W3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G333" t="n">
        <v>468.42</v>
      </c>
      <c r="H333" t="inlineStr">
        <is>
          <t>{"type": "float", "value": 468.42}</t>
        </is>
      </c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R333" t="b">
        <v>1</v>
      </c>
      <c r="W3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G334" t="n">
        <v>468.42</v>
      </c>
      <c r="H334" t="inlineStr">
        <is>
          <t>{"type": "float", "value": 468.42}</t>
        </is>
      </c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R334" t="b">
        <v>1</v>
      </c>
      <c r="W33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G335" t="inlineStr">
        <is>
          <t>Total Current liabilities</t>
        </is>
      </c>
      <c r="H335" t="inlineStr">
        <is>
          <t>{"type": "str", "value": "Total Current liabilities"}</t>
        </is>
      </c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R335" t="b">
        <v>1</v>
      </c>
      <c r="W33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H336" t="inlineStr">
        <is>
          <t>{"type": "null", "value": null}</t>
        </is>
      </c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R336" t="b">
        <v>0</v>
      </c>
      <c r="W33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>
        <f>SUM(C44:C48)</f>
        <v/>
      </c>
      <c r="G337" t="n">
        <v>3980.06</v>
      </c>
      <c r="H337" t="inlineStr">
        <is>
          <t>{"type": "float", "value": 3980.06}</t>
        </is>
      </c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>
        <f>SUM(R[-5]C[0]:R[-1]C[0])</f>
        <v/>
      </c>
      <c r="W33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>
        <f>SUM(D44:D48)</f>
        <v/>
      </c>
      <c r="G338" t="n">
        <v>4792.66</v>
      </c>
      <c r="H338" t="inlineStr">
        <is>
          <t>{"type": "float", "value": 4792.66}</t>
        </is>
      </c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>
        <f>SUM(R[-5]C[0]:R[-1]C[0])</f>
        <v/>
      </c>
      <c r="W33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>
        <f>SUM(E44:E48)</f>
        <v/>
      </c>
      <c r="G339" t="n">
        <v>4841.97388071395</v>
      </c>
      <c r="H339" t="inlineStr">
        <is>
          <t>{"type": "float", "value": 4841.97388071395}</t>
        </is>
      </c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>
        <f>SUM(R[-5]C[0]:R[-1]C[0])</f>
        <v/>
      </c>
      <c r="W33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>
        <f>SUM(F44:F48)</f>
        <v/>
      </c>
      <c r="G340" t="n">
        <v>4998.137973020979</v>
      </c>
      <c r="H340" t="inlineStr">
        <is>
          <t>{"type": "float", "value": 4998.137973020979}</t>
        </is>
      </c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>
        <f>SUM(R[-5]C[0]:R[-1]C[0])</f>
        <v/>
      </c>
      <c r="W34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>
        <f>SUM(G44:G48)</f>
        <v/>
      </c>
      <c r="G341" t="n">
        <v>5166.005201371727</v>
      </c>
      <c r="H341" t="inlineStr">
        <is>
          <t>{"type": "float", "value": 5166.005201371727}</t>
        </is>
      </c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>
        <f>SUM(R[-5]C[0]:R[-1]C[0])</f>
        <v/>
      </c>
      <c r="W34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>
        <f>SUM(H44:H48)</f>
        <v/>
      </c>
      <c r="G342" t="n">
        <v>5346.392687215539</v>
      </c>
      <c r="H342" t="inlineStr">
        <is>
          <t>{"type": "float", "value": 5346.392687215539}</t>
        </is>
      </c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>
        <f>SUM(R[-5]C[0]:R[-1]C[0])</f>
        <v/>
      </c>
      <c r="W34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>
        <f>SUM(I44:I48)</f>
        <v/>
      </c>
      <c r="G343" t="n">
        <v>5540.171867210372</v>
      </c>
      <c r="H343" t="inlineStr">
        <is>
          <t>{"type": "float", "value": 5540.171867210372}</t>
        </is>
      </c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>
        <f>SUM(R[-5]C[0]:R[-1]C[0])</f>
        <v/>
      </c>
      <c r="W343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G344" t="inlineStr">
        <is>
          <t>Total liabilities</t>
        </is>
      </c>
      <c r="H344" t="inlineStr">
        <is>
          <t>{"type": "str", "value": "Total liabilities"}</t>
        </is>
      </c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R344" t="b">
        <v>1</v>
      </c>
      <c r="W34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H345" t="inlineStr">
        <is>
          <t>{"type": "null", "value": null}</t>
        </is>
      </c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R345" t="b">
        <v>0</v>
      </c>
      <c r="W34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>
        <f>C49+C41</f>
        <v/>
      </c>
      <c r="G346" t="n">
        <v>4577.73</v>
      </c>
      <c r="H346" t="inlineStr">
        <is>
          <t>{"type": "float", "value": 4577.73}</t>
        </is>
      </c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>
        <f>R[-1]C[0]+R[-9]C[0]</f>
        <v/>
      </c>
      <c r="W34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>
        <f>D49+D41</f>
        <v/>
      </c>
      <c r="G347" t="n">
        <v>5487.01</v>
      </c>
      <c r="H347" t="inlineStr">
        <is>
          <t>{"type": "float", "value": 5487.01}</t>
        </is>
      </c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>
        <f>R[-1]C[0]+R[-9]C[0]</f>
        <v/>
      </c>
      <c r="W34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>
        <f>E49+E41</f>
        <v/>
      </c>
      <c r="G348" t="n">
        <v>5536.32388071395</v>
      </c>
      <c r="H348" t="inlineStr">
        <is>
          <t>{"type": "float", "value": 5536.32388071395}</t>
        </is>
      </c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>
        <f>R[-1]C[0]+R[-9]C[0]</f>
        <v/>
      </c>
      <c r="W34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>
        <f>F49+F41</f>
        <v/>
      </c>
      <c r="G349" t="n">
        <v>5692.48797302098</v>
      </c>
      <c r="H349" t="inlineStr">
        <is>
          <t>{"type": "float", "value": 5692.48797302098}</t>
        </is>
      </c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>
        <f>R[-1]C[0]+R[-9]C[0]</f>
        <v/>
      </c>
      <c r="W34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>
        <f>G49+G41</f>
        <v/>
      </c>
      <c r="G350" t="n">
        <v>5860.355201371727</v>
      </c>
      <c r="H350" t="inlineStr">
        <is>
          <t>{"type": "float", "value": 5860.355201371727}</t>
        </is>
      </c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>
        <f>R[-1]C[0]+R[-9]C[0]</f>
        <v/>
      </c>
      <c r="W35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>
        <f>H49+H41</f>
        <v/>
      </c>
      <c r="G351" t="n">
        <v>6040.742687215539</v>
      </c>
      <c r="H351" t="inlineStr">
        <is>
          <t>{"type": "float", "value": 6040.742687215539}</t>
        </is>
      </c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>
        <f>R[-1]C[0]+R[-9]C[0]</f>
        <v/>
      </c>
      <c r="W35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>
        <f>I49+I41</f>
        <v/>
      </c>
      <c r="G352" t="n">
        <v>6234.521867210371</v>
      </c>
      <c r="H352" t="inlineStr">
        <is>
          <t>{"type": "float", "value": 6234.521867210371}</t>
        </is>
      </c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>
        <f>R[-1]C[0]+R[-9]C[0]</f>
        <v/>
      </c>
      <c r="W352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G353" t="inlineStr">
        <is>
          <t>TOTAL-EQUITY AND LIABILITIES</t>
        </is>
      </c>
      <c r="H353" t="inlineStr">
        <is>
          <t>{"type": "str", "value": "TOTAL-EQUITY AND LIABILITIES"}</t>
        </is>
      </c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R353" t="b">
        <v>1</v>
      </c>
      <c r="W35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H354" t="inlineStr">
        <is>
          <t>{"type": "null", "value": null}</t>
        </is>
      </c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R354" t="b">
        <v>0</v>
      </c>
      <c r="W35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>
        <f>C50+C36</f>
        <v/>
      </c>
      <c r="G355" t="n">
        <v>13393.94</v>
      </c>
      <c r="H355" t="inlineStr">
        <is>
          <t>{"type": "float", "value": 13393.94}</t>
        </is>
      </c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>
        <f>R[-1]C[0]+R[-15]C[0]</f>
        <v/>
      </c>
      <c r="W355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>
        <f>D50+D36</f>
        <v/>
      </c>
      <c r="G356" t="n">
        <v>14845.74</v>
      </c>
      <c r="H356" t="inlineStr">
        <is>
          <t>{"type": "float", "value": 14845.74}</t>
        </is>
      </c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>
        <f>R[-1]C[0]+R[-15]C[0]</f>
        <v/>
      </c>
      <c r="W356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>
        <f>E50+E36</f>
        <v/>
      </c>
      <c r="G357" t="n">
        <v>15503.12896125181</v>
      </c>
      <c r="H357" t="inlineStr">
        <is>
          <t>{"type": "float", "value": 15503.128961251814}</t>
        </is>
      </c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>
        <f>R[-1]C[0]+R[-15]C[0]</f>
        <v/>
      </c>
      <c r="W357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>
        <f>F50+F36</f>
        <v/>
      </c>
      <c r="G358" t="n">
        <v>16309.10481738334</v>
      </c>
      <c r="H358" t="inlineStr">
        <is>
          <t>{"type": "float", "value": 16309.104817383337}</t>
        </is>
      </c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>
        <f>R[-1]C[0]+R[-15]C[0]</f>
        <v/>
      </c>
      <c r="W358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>
        <f>G50+G36</f>
        <v/>
      </c>
      <c r="G359" t="n">
        <v>17165.60480813205</v>
      </c>
      <c r="H359" t="inlineStr">
        <is>
          <t>{"type": "float", "value": 17165.604808132048}</t>
        </is>
      </c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>
        <f>R[-1]C[0]+R[-15]C[0]</f>
        <v/>
      </c>
      <c r="W359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>
        <f>H50+H36</f>
        <v/>
      </c>
      <c r="G360" t="n">
        <v>18070.43239080129</v>
      </c>
      <c r="H360" t="inlineStr">
        <is>
          <t>{"type": "float", "value": 18070.43239080129}</t>
        </is>
      </c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>
        <f>R[-1]C[0]+R[-15]C[0]</f>
        <v/>
      </c>
      <c r="W360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>
        <f>I50+I36</f>
        <v/>
      </c>
      <c r="G361" t="n">
        <v>19021.28398379115</v>
      </c>
      <c r="H361" t="inlineStr">
        <is>
          <t>{"type": "float", "value": 19021.283983791152}</t>
        </is>
      </c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>
        <f>R[-1]C[0]+R[-15]C[0]</f>
        <v/>
      </c>
      <c r="W361" t="inlineStr">
        <is>
          <t>{"number_format": "_-* #,##0_-;\\-* #,##0_-;_-* \"-\"??_-;_-@_-",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"medium",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>
        <f>E51-E30</f>
        <v/>
      </c>
      <c r="G362" t="n">
        <v>0.5499999999992724</v>
      </c>
      <c r="H362" t="inlineStr">
        <is>
          <t>{"type": "float", "value": 0.5499999999992724}</t>
        </is>
      </c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>
        <f>R[-2]C[0]-R[-23]C[0]</f>
        <v/>
      </c>
      <c r="W362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>
        <f>F51-F30</f>
        <v/>
      </c>
      <c r="G363" t="n">
        <v>0.5499999999992724</v>
      </c>
      <c r="H363" t="inlineStr">
        <is>
          <t>{"type": "float", "value": 0.5499999999992724}</t>
        </is>
      </c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>
        <f>R[-2]C[0]-R[-23]C[0]</f>
        <v/>
      </c>
      <c r="W363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>
        <f>G51-G30</f>
        <v/>
      </c>
      <c r="G364" t="n">
        <v>0.5499999999992724</v>
      </c>
      <c r="H364" t="inlineStr">
        <is>
          <t>{"type": "float", "value": 0.5499999999992724}</t>
        </is>
      </c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>
        <f>R[-2]C[0]-R[-23]C[0]</f>
        <v/>
      </c>
      <c r="W364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>
        <f>H51-H30</f>
        <v/>
      </c>
      <c r="G365" t="n">
        <v>0.5500000000029104</v>
      </c>
      <c r="H365" t="inlineStr">
        <is>
          <t>{"type": "float", "value": 0.5500000000029104}</t>
        </is>
      </c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>
        <f>R[-2]C[0]-R[-23]C[0]</f>
        <v/>
      </c>
      <c r="W365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>
        <f>I51-I30</f>
        <v/>
      </c>
      <c r="G366" t="n">
        <v>0.5500000000029104</v>
      </c>
      <c r="H366" t="inlineStr">
        <is>
          <t>{"type": "float", "value": 0.5500000000029104}</t>
        </is>
      </c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>
        <f>R[-2]C[0]-R[-23]C[0]</f>
        <v/>
      </c>
      <c r="W366" t="inlineStr">
        <is>
          <t>{"number_format": "_-* #,##0_-;\\-* #,##0_-;_-* \"-\"??_-;_-@_-", "font": {"name": "Calibri", "size": 11.0, "bold": false, "italic": false, "underline": null, "strike": null, "color": {"type": "rgb", "rgb": "FFFF0000",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G367" t="inlineStr">
        <is>
          <t>Inventory as % of raw material</t>
        </is>
      </c>
      <c r="H367" t="inlineStr">
        <is>
          <t>{"type": "str", "value": "Inventory as % of raw material"}</t>
        </is>
      </c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R367" t="b">
        <v>1</v>
      </c>
      <c r="W3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>
        <f>C18/SUM('Financial Statements'!C4:C7)</f>
        <v/>
      </c>
      <c r="G368" t="n">
        <v>0.1710494153929529</v>
      </c>
      <c r="H368" t="inlineStr">
        <is>
          <t>{"type": "float", "value": 0.17104941539295287}</t>
        </is>
      </c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>
        <f>R[-39]C[0]/SUM('Financial Statements'!R[-53]C[0]:R[-50]C[0])</f>
        <v/>
      </c>
      <c r="W36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>
        <f>D18/SUM('Financial Statements'!D4:D7)</f>
        <v/>
      </c>
      <c r="G369" t="n">
        <v>0.1571688615947809</v>
      </c>
      <c r="H369" t="inlineStr">
        <is>
          <t>{"type": "float", "value": 0.15716886159478094}</t>
        </is>
      </c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>
        <f>R[-39]C[0]/SUM('Financial Statements'!R[-53]C[0]:R[-50]C[0])</f>
        <v/>
      </c>
      <c r="W36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>
        <f>AVERAGE(C57:D57)</f>
        <v/>
      </c>
      <c r="G370" t="n">
        <v>0.1641091384938669</v>
      </c>
      <c r="H370" t="inlineStr">
        <is>
          <t>{"type": "float", "value": 0.1641091384938669}</t>
        </is>
      </c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>
        <f>AVERAGE(R[0]C[-2]:R[0]C[-1])</f>
        <v/>
      </c>
      <c r="W37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>
        <f>E57</f>
        <v/>
      </c>
      <c r="G371" t="n">
        <v>0.1641091384938669</v>
      </c>
      <c r="H371" t="inlineStr">
        <is>
          <t>{"type": "float", "value": 0.1641091384938669}</t>
        </is>
      </c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>
        <f>R[0]C[-1]</f>
        <v/>
      </c>
      <c r="W37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>
        <f>F57</f>
        <v/>
      </c>
      <c r="G372" t="n">
        <v>0.1641091384938669</v>
      </c>
      <c r="H372" t="inlineStr">
        <is>
          <t>{"type": "float", "value": 0.1641091384938669}</t>
        </is>
      </c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>
        <f>R[0]C[-1]</f>
        <v/>
      </c>
      <c r="W37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>
        <f>G57</f>
        <v/>
      </c>
      <c r="G373" t="n">
        <v>0.1641091384938669</v>
      </c>
      <c r="H373" t="inlineStr">
        <is>
          <t>{"type": "float", "value": 0.1641091384938669}</t>
        </is>
      </c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>
        <f>R[0]C[-1]</f>
        <v/>
      </c>
      <c r="W37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>
        <f>H57</f>
        <v/>
      </c>
      <c r="G374" t="n">
        <v>0.1641091384938669</v>
      </c>
      <c r="H374" t="inlineStr">
        <is>
          <t>{"type": "float", "value": 0.1641091384938669}</t>
        </is>
      </c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>
        <f>R[0]C[-1]</f>
        <v/>
      </c>
      <c r="W37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G375" t="inlineStr">
        <is>
          <t>Trade receivables as % of Sales</t>
        </is>
      </c>
      <c r="H375" t="inlineStr">
        <is>
          <t>{"type": "str", "value": "Trade receivables as % of Sales"}</t>
        </is>
      </c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R375" t="b">
        <v>1</v>
      </c>
      <c r="W3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>
        <f>C21/'Financial Statements'!C2</f>
        <v/>
      </c>
      <c r="G376" t="n">
        <v>0.0479814978132143</v>
      </c>
      <c r="H376" t="inlineStr">
        <is>
          <t>{"type": "float", "value": 0.0479814978132143}</t>
        </is>
      </c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>
        <f>R[-37]C[0]/'Financial Statements'!R[-56]C[0]</f>
        <v/>
      </c>
      <c r="W3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>
        <f>D21/'Financial Statements'!D2</f>
        <v/>
      </c>
      <c r="G377" t="n">
        <v>0.04964893786744479</v>
      </c>
      <c r="H377" t="inlineStr">
        <is>
          <t>{"type": "float", "value": 0.04964893786744479}</t>
        </is>
      </c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>
        <f>R[-37]C[0]/'Financial Statements'!R[-56]C[0]</f>
        <v/>
      </c>
      <c r="W37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>
        <f>AVERAGE(C58:D58)</f>
        <v/>
      </c>
      <c r="G378" t="n">
        <v>0.04881521784032954</v>
      </c>
      <c r="H378" t="inlineStr">
        <is>
          <t>{"type": "float", "value": 0.04881521784032954}</t>
        </is>
      </c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>
        <f>AVERAGE(R[0]C[-2]:R[0]C[-1])</f>
        <v/>
      </c>
      <c r="W37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>
        <f>E58</f>
        <v/>
      </c>
      <c r="G379" t="n">
        <v>0.04881521784032954</v>
      </c>
      <c r="H379" t="inlineStr">
        <is>
          <t>{"type": "float", "value": 0.04881521784032954}</t>
        </is>
      </c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>
        <f>R[0]C[-1]</f>
        <v/>
      </c>
      <c r="W37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>
        <f>F58</f>
        <v/>
      </c>
      <c r="G380" t="n">
        <v>0.04881521784032954</v>
      </c>
      <c r="H380" t="inlineStr">
        <is>
          <t>{"type": "float", "value": 0.04881521784032954}</t>
        </is>
      </c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>
        <f>R[0]C[-1]</f>
        <v/>
      </c>
      <c r="W38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>
        <f>G58</f>
        <v/>
      </c>
      <c r="G381" t="n">
        <v>0.04881521784032954</v>
      </c>
      <c r="H381" t="inlineStr">
        <is>
          <t>{"type": "float", "value": 0.04881521784032954}</t>
        </is>
      </c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>
        <f>R[0]C[-1]</f>
        <v/>
      </c>
      <c r="W38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>
        <f>H58</f>
        <v/>
      </c>
      <c r="G382" t="n">
        <v>0.04881521784032954</v>
      </c>
      <c r="H382" t="inlineStr">
        <is>
          <t>{"type": "float", "value": 0.04881521784032954}</t>
        </is>
      </c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>
        <f>R[0]C[-1]</f>
        <v/>
      </c>
      <c r="W38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G383" t="inlineStr">
        <is>
          <t>Trade payables as % of raw material</t>
        </is>
      </c>
      <c r="H383" t="inlineStr">
        <is>
          <t>{"type": "str", "value": "Trade payables as % of raw material"}</t>
        </is>
      </c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R383" t="b">
        <v>1</v>
      </c>
      <c r="W3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>
        <f>C44/SUM('Financial Statements'!C4:C7)</f>
        <v/>
      </c>
      <c r="G384" t="n">
        <v>0.1757787893305547</v>
      </c>
      <c r="H384" t="inlineStr">
        <is>
          <t>{"type": "float", "value": 0.17577878933055474}</t>
        </is>
      </c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>
        <f>R[-15]C[0]/SUM('Financial Statements'!R[-55]C[0]:R[-52]C[0])</f>
        <v/>
      </c>
      <c r="W38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>
        <f>D44/SUM('Financial Statements'!D4:D7)</f>
        <v/>
      </c>
      <c r="G385" t="n">
        <v>0.202923910526145</v>
      </c>
      <c r="H385" t="inlineStr">
        <is>
          <t>{"type": "float", "value": 0.202923910526145}</t>
        </is>
      </c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>
        <f>R[-15]C[0]/SUM('Financial Statements'!R[-55]C[0]:R[-52]C[0])</f>
        <v/>
      </c>
      <c r="W38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>
        <f>AVERAGE(C59:D59)</f>
        <v/>
      </c>
      <c r="G386" t="n">
        <v>0.1893513499283499</v>
      </c>
      <c r="H386" t="inlineStr">
        <is>
          <t>{"type": "float", "value": 0.18935134992834987}</t>
        </is>
      </c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>
        <f>AVERAGE(R[0]C[-2]:R[0]C[-1])</f>
        <v/>
      </c>
      <c r="W38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>
        <f>E59</f>
        <v/>
      </c>
      <c r="G387" t="n">
        <v>0.1893513499283499</v>
      </c>
      <c r="H387" t="inlineStr">
        <is>
          <t>{"type": "float", "value": 0.18935134992834987}</t>
        </is>
      </c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>
        <f>R[0]C[-1]</f>
        <v/>
      </c>
      <c r="W3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>
        <f>F59</f>
        <v/>
      </c>
      <c r="G388" t="n">
        <v>0.1893513499283499</v>
      </c>
      <c r="H388" t="inlineStr">
        <is>
          <t>{"type": "float", "value": 0.18935134992834987}</t>
        </is>
      </c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>
        <f>R[0]C[-1]</f>
        <v/>
      </c>
      <c r="W3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>
        <f>G59</f>
        <v/>
      </c>
      <c r="G389" t="n">
        <v>0.1893513499283499</v>
      </c>
      <c r="H389" t="inlineStr">
        <is>
          <t>{"type": "float", "value": 0.18935134992834987}</t>
        </is>
      </c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>
        <f>R[0]C[-1]</f>
        <v/>
      </c>
      <c r="W38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>
        <f>H59</f>
        <v/>
      </c>
      <c r="G390" t="n">
        <v>0.1893513499283499</v>
      </c>
      <c r="H390" t="inlineStr">
        <is>
          <t>{"type": "float", "value": 0.18935134992834987}</t>
        </is>
      </c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>
        <f>R[0]C[-1]</f>
        <v/>
      </c>
      <c r="W39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2018 F</t>
        </is>
      </c>
      <c r="H2" t="inlineStr">
        <is>
          <t>{"type": "str", "value": "2018 F"}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inlineStr">
        <is>
          <t>2019 F</t>
        </is>
      </c>
      <c r="H3" t="inlineStr">
        <is>
          <t>{"type": "str", "value": "2019 F"}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inlineStr">
        <is>
          <t>2020 F</t>
        </is>
      </c>
      <c r="H4" t="inlineStr">
        <is>
          <t>{"type": "str", "value": "2020 F"}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2021 F</t>
        </is>
      </c>
      <c r="H5" t="inlineStr">
        <is>
          <t>{"type": "str", "value": "2021 F"}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2022 F</t>
        </is>
      </c>
      <c r="H6" t="inlineStr">
        <is>
          <t>{"type": "str", "value": "2022 F"}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G7" t="inlineStr">
        <is>
          <t>EBIT</t>
        </is>
      </c>
      <c r="H7" t="inlineStr">
        <is>
          <t>{"type": "str", "value": "EBIT"}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R7" t="b">
        <v>1</v>
      </c>
      <c r="W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>
        <f>'Financial Statements'!E12</f>
        <v/>
      </c>
      <c r="G8" t="n">
        <v>1391.326062337152</v>
      </c>
      <c r="H8" t="inlineStr">
        <is>
          <t>{"type": "float", "value": 1391.3260623371516}</t>
        </is>
      </c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>
        <f>'Financial Statements'!R[10]C[3]</f>
        <v/>
      </c>
      <c r="W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>
        <f>'Financial Statements'!F12</f>
        <v/>
      </c>
      <c r="G9" t="n">
        <v>1480.060203128183</v>
      </c>
      <c r="H9" t="inlineStr">
        <is>
          <t>{"type": "float", "value": 1480.0602031281833}</t>
        </is>
      </c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>
        <f>'Financial Statements'!R[10]C[3]</f>
        <v/>
      </c>
      <c r="W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>
        <f>'Financial Statements'!G12</f>
        <v/>
      </c>
      <c r="G10" t="n">
        <v>1562.595461845554</v>
      </c>
      <c r="H10" t="inlineStr">
        <is>
          <t>{"type": "float", "value": 1562.5954618455537}</t>
        </is>
      </c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>
        <f>'Financial Statements'!R[10]C[3]</f>
        <v/>
      </c>
      <c r="W1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>
        <f>'Financial Statements'!H12</f>
        <v/>
      </c>
      <c r="G11" t="n">
        <v>1638.723529632292</v>
      </c>
      <c r="H11" t="inlineStr">
        <is>
          <t>{"type": "float", "value": 1638.7235296322924}</t>
        </is>
      </c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>
        <f>'Financial Statements'!R[10]C[3]</f>
        <v/>
      </c>
      <c r="W1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>
        <f>'Financial Statements'!I12</f>
        <v/>
      </c>
      <c r="G12" t="n">
        <v>1708.101360099694</v>
      </c>
      <c r="H12" t="inlineStr">
        <is>
          <t>{"type": "float", "value": 1708.1013600996944}</t>
        </is>
      </c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>
        <f>'Financial Statements'!R[10]C[3]</f>
        <v/>
      </c>
      <c r="W1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G13" t="inlineStr">
        <is>
          <t>Less: Tax on EBIT</t>
        </is>
      </c>
      <c r="H13" t="inlineStr">
        <is>
          <t>{"type": "str", "value": "Less: Tax on EBIT"}</t>
        </is>
      </c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>
        <f>B2*'Financial Statements'!E16</f>
        <v/>
      </c>
      <c r="G14" t="n">
        <v>381.4911916079781</v>
      </c>
      <c r="H14" t="inlineStr">
        <is>
          <t>{"type": "float", "value": 381.4911916079781}</t>
        </is>
      </c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>
        <f>R[-1]C[0]*'Financial Statements'!R[13]C[3]</f>
        <v/>
      </c>
      <c r="W1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>
        <f>C2*'Financial Statements'!F16</f>
        <v/>
      </c>
      <c r="G15" t="n">
        <v>405.8214287989766</v>
      </c>
      <c r="H15" t="inlineStr">
        <is>
          <t>{"type": "float", "value": 405.82142879897657}</t>
        </is>
      </c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>
        <f>R[-1]C[0]*'Financial Statements'!R[13]C[3]</f>
        <v/>
      </c>
      <c r="W1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>
        <f>D2*'Financial Statements'!G16</f>
        <v/>
      </c>
      <c r="G16" t="n">
        <v>428.4519789267241</v>
      </c>
      <c r="H16" t="inlineStr">
        <is>
          <t>{"type": "float", "value": 428.45197892672405}</t>
        </is>
      </c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>
        <f>R[-1]C[0]*'Financial Statements'!R[13]C[3]</f>
        <v/>
      </c>
      <c r="W1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>
        <f>E2*'Financial Statements'!H16</f>
        <v/>
      </c>
      <c r="G17" t="n">
        <v>449.3257252619223</v>
      </c>
      <c r="H17" t="inlineStr">
        <is>
          <t>{"type": "float", "value": 449.3257252619223}</t>
        </is>
      </c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>
        <f>R[-1]C[0]*'Financial Statements'!R[13]C[3]</f>
        <v/>
      </c>
      <c r="W1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>
        <f>F2*'Financial Statements'!I16</f>
        <v/>
      </c>
      <c r="G18" t="n">
        <v>468.3486070526408</v>
      </c>
      <c r="H18" t="inlineStr">
        <is>
          <t>{"type": "float", "value": 468.3486070526408}</t>
        </is>
      </c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>
        <f>R[-1]C[0]*'Financial Statements'!R[13]C[3]</f>
        <v/>
      </c>
      <c r="W1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G19" t="inlineStr">
        <is>
          <t>Debt free earning</t>
        </is>
      </c>
      <c r="H19" t="inlineStr">
        <is>
          <t>{"type": "str", "value": "Debt free earning"}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>
        <f>B2-B3</f>
        <v/>
      </c>
      <c r="G20" t="n">
        <v>1009.834870729173</v>
      </c>
      <c r="H20" t="inlineStr">
        <is>
          <t>{"type": "float", "value": 1009.8348707291734}</t>
        </is>
      </c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>
        <f>R[-2]C[0]-R[-1]C[0]</f>
        <v/>
      </c>
      <c r="W2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>
        <f>C2-C3</f>
        <v/>
      </c>
      <c r="G21" t="n">
        <v>1074.238774329207</v>
      </c>
      <c r="H21" t="inlineStr">
        <is>
          <t>{"type": "float", "value": 1074.2387743292068}</t>
        </is>
      </c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>
        <f>R[-2]C[0]-R[-1]C[0]</f>
        <v/>
      </c>
      <c r="W21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>
        <f>D2-D3</f>
        <v/>
      </c>
      <c r="G22" t="n">
        <v>1134.14348291883</v>
      </c>
      <c r="H22" t="inlineStr">
        <is>
          <t>{"type": "float", "value": 1134.1434829188297}</t>
        </is>
      </c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>
        <f>R[-2]C[0]-R[-1]C[0]</f>
        <v/>
      </c>
      <c r="W22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>
        <f>E2-E3</f>
        <v/>
      </c>
      <c r="G23" t="n">
        <v>1189.39780437037</v>
      </c>
      <c r="H23" t="inlineStr">
        <is>
          <t>{"type": "float", "value": 1189.39780437037}</t>
        </is>
      </c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>
        <f>R[-2]C[0]-R[-1]C[0]</f>
        <v/>
      </c>
      <c r="W23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>
        <f>F2-F3</f>
        <v/>
      </c>
      <c r="G24" t="n">
        <v>1239.752753047054</v>
      </c>
      <c r="H24" t="inlineStr">
        <is>
          <t>{"type": "float", "value": 1239.7527530470536}</t>
        </is>
      </c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>
        <f>R[-2]C[0]-R[-1]C[0]</f>
        <v/>
      </c>
      <c r="W24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G25" t="inlineStr">
        <is>
          <t>Add: Dep &amp; Ammo</t>
        </is>
      </c>
      <c r="H25" t="inlineStr">
        <is>
          <t>{"type": "str", "value": "Add: Dep &amp; Ammo"}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W2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>
        <f>'Financial Statements'!E11</f>
        <v/>
      </c>
      <c r="G26" t="n">
        <v>582.6373910172789</v>
      </c>
      <c r="H26" t="inlineStr">
        <is>
          <t>{"type": "float", "value": 582.6373910172789}</t>
        </is>
      </c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>
        <f>'Financial Statements'!R[5]C[3]</f>
        <v/>
      </c>
      <c r="W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>
        <f>'Financial Statements'!F11</f>
        <v/>
      </c>
      <c r="G27" t="n">
        <v>566.0919764667541</v>
      </c>
      <c r="H27" t="inlineStr">
        <is>
          <t>{"type": "float", "value": 566.0919764667541}</t>
        </is>
      </c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>
        <f>'Financial Statements'!R[5]C[3]</f>
        <v/>
      </c>
      <c r="W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>
        <f>'Financial Statements'!G11</f>
        <v/>
      </c>
      <c r="G28" t="n">
        <v>554.0982951837184</v>
      </c>
      <c r="H28" t="inlineStr">
        <is>
          <t>{"type": "float", "value": 554.0982951837184}</t>
        </is>
      </c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>
        <f>'Financial Statements'!R[5]C[3]</f>
        <v/>
      </c>
      <c r="W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>
        <f>'Financial Statements'!H11</f>
        <v/>
      </c>
      <c r="G29" t="n">
        <v>546.3229136890859</v>
      </c>
      <c r="H29" t="inlineStr">
        <is>
          <t>{"type": "float", "value": 546.3229136890859}</t>
        </is>
      </c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>
        <f>'Financial Statements'!R[5]C[3]</f>
        <v/>
      </c>
      <c r="W2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>
        <f>'Financial Statements'!I11</f>
        <v/>
      </c>
      <c r="G30" t="n">
        <v>542.5072518919166</v>
      </c>
      <c r="H30" t="inlineStr">
        <is>
          <t>{"type": "float", "value": 542.5072518919166}</t>
        </is>
      </c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>
        <f>'Financial Statements'!R[5]C[3]</f>
        <v/>
      </c>
      <c r="W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G31" t="inlineStr">
        <is>
          <t>Less: Capex</t>
        </is>
      </c>
      <c r="H31" t="inlineStr">
        <is>
          <t>{"type": "str", "value": "Less: Capex"}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>
        <f>-'Asset schedule'!P2</f>
        <v/>
      </c>
      <c r="G32" t="n">
        <v>-406.8404430379748</v>
      </c>
      <c r="H32" t="inlineStr">
        <is>
          <t>{"type": "float", "value": -406.84044303797475}</t>
        </is>
      </c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>
        <f>-'Asset schedule'!R[-5]C[14]</f>
        <v/>
      </c>
      <c r="W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>
        <f>-'Asset schedule'!Q2</f>
        <v/>
      </c>
      <c r="G33" t="n">
        <v>-437.730180379747</v>
      </c>
      <c r="H33" t="inlineStr">
        <is>
          <t>{"type": "float", "value": -437.73018037974697}</t>
        </is>
      </c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>
        <f>-'Asset schedule'!R[-5]C[14]</f>
        <v/>
      </c>
      <c r="W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>
        <f>-'Asset schedule'!R2</f>
        <v/>
      </c>
      <c r="G34" t="n">
        <v>-470.6917903481014</v>
      </c>
      <c r="H34" t="inlineStr">
        <is>
          <t>{"type": "float", "value": -470.6917903481014}</t>
        </is>
      </c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>
        <f>-'Asset schedule'!R[-5]C[14]</f>
        <v/>
      </c>
      <c r="W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>
        <f>-'Asset schedule'!S2</f>
        <v/>
      </c>
      <c r="G35" t="n">
        <v>-505.8552358623419</v>
      </c>
      <c r="H35" t="inlineStr">
        <is>
          <t>{"type": "float", "value": -505.8552358623419}</t>
        </is>
      </c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>
        <f>-'Asset schedule'!R[-5]C[14]</f>
        <v/>
      </c>
      <c r="W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>
        <f>-'Asset schedule'!T2</f>
        <v/>
      </c>
      <c r="G36" t="n">
        <v>-543.3582964521364</v>
      </c>
      <c r="H36" t="inlineStr">
        <is>
          <t>{"type": "float", "value": -543.3582964521364}</t>
        </is>
      </c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>
        <f>-'Asset schedule'!R[-5]C[14]</f>
        <v/>
      </c>
      <c r="W3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G37" t="inlineStr">
        <is>
          <t>Add/Less: Change in WC</t>
        </is>
      </c>
      <c r="H37" t="inlineStr">
        <is>
          <t>{"type": "str", "value": "Add/Less: Change in WC"}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>
        <f>'Financial Statements'!O18+'Financial Statements'!O19+'Financial Statements'!O20</f>
        <v/>
      </c>
      <c r="G38" t="n">
        <v>-199.5603195533827</v>
      </c>
      <c r="H38" t="inlineStr">
        <is>
          <t>{"type": "float", "value": -199.56031955338267}</t>
        </is>
      </c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>
        <f>'Financial Statements'!R[10]C[13]+'Financial Statements'!R[11]C[13]+'Financial Statements'!R[12]C[13]</f>
        <v/>
      </c>
      <c r="W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>
        <f>'Financial Statements'!P18+'Financial Statements'!P19+'Financial Statements'!P20</f>
        <v/>
      </c>
      <c r="G39" t="n">
        <v>-32.70455084038326</v>
      </c>
      <c r="H39" t="inlineStr">
        <is>
          <t>{"type": "float", "value": -32.70455084038326}</t>
        </is>
      </c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>
        <f>'Financial Statements'!R[10]C[13]+'Financial Statements'!R[11]C[13]+'Financial Statements'!R[12]C[13]</f>
        <v/>
      </c>
      <c r="W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>
        <f>'Financial Statements'!Q18+'Financial Statements'!Q19+'Financial Statements'!Q20</f>
        <v/>
      </c>
      <c r="G40" t="n">
        <v>-34.73435014514769</v>
      </c>
      <c r="H40" t="inlineStr">
        <is>
          <t>{"type": "float", "value": -34.73435014514769}</t>
        </is>
      </c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>
        <f>'Financial Statements'!R[10]C[13]+'Financial Statements'!R[11]C[13]+'Financial Statements'!R[12]C[13]</f>
        <v/>
      </c>
      <c r="W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>
        <f>'Financial Statements'!R18+'Financial Statements'!R19+'Financial Statements'!R20</f>
        <v/>
      </c>
      <c r="G41" t="n">
        <v>-36.88040650426797</v>
      </c>
      <c r="H41" t="inlineStr">
        <is>
          <t>{"type": "float", "value": -36.88040650426797}</t>
        </is>
      </c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>
        <f>'Financial Statements'!R[10]C[13]+'Financial Statements'!R[11]C[13]+'Financial Statements'!R[12]C[13]</f>
        <v/>
      </c>
      <c r="W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>
        <f>'Financial Statements'!S18+'Financial Statements'!S19+'Financial Statements'!S20</f>
        <v/>
      </c>
      <c r="G42" t="n">
        <v>-39.14902304996701</v>
      </c>
      <c r="H42" t="inlineStr">
        <is>
          <t>{"type": "float", "value": -39.14902304996701}</t>
        </is>
      </c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>
        <f>'Financial Statements'!R[10]C[13]+'Financial Statements'!R[11]C[13]+'Financial Statements'!R[12]C[13]</f>
        <v/>
      </c>
      <c r="W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G43" t="inlineStr">
        <is>
          <t>FCFF</t>
        </is>
      </c>
      <c r="H43" t="inlineStr">
        <is>
          <t>{"type": "str", "value": "FCFF"}</t>
        </is>
      </c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>
        <f>SUM(B4:B8)</f>
        <v/>
      </c>
      <c r="G44" t="n">
        <v>986.0714991550949</v>
      </c>
      <c r="H44" t="inlineStr">
        <is>
          <t>{"type": "float", "value": 986.0714991550949}</t>
        </is>
      </c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>
        <f>SUM(R[-5]C[0]:R[-1]C[0])</f>
        <v/>
      </c>
      <c r="W44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>
        <f>SUM(C4:C8)</f>
        <v/>
      </c>
      <c r="G45" t="n">
        <v>1169.89601957583</v>
      </c>
      <c r="H45" t="inlineStr">
        <is>
          <t>{"type": "float", "value": 1169.8960195758305}</t>
        </is>
      </c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>
        <f>SUM(R[-5]C[0]:R[-1]C[0])</f>
        <v/>
      </c>
      <c r="W45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>
        <f>SUM(D4:D8)</f>
        <v/>
      </c>
      <c r="G46" t="n">
        <v>1182.815637609299</v>
      </c>
      <c r="H46" t="inlineStr">
        <is>
          <t>{"type": "float", "value": 1182.8156376092988}</t>
        </is>
      </c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>
        <f>SUM(R[-5]C[0]:R[-1]C[0])</f>
        <v/>
      </c>
      <c r="W46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>
        <f>SUM(E4:E8)</f>
        <v/>
      </c>
      <c r="G47" t="n">
        <v>1192.985075692846</v>
      </c>
      <c r="H47" t="inlineStr">
        <is>
          <t>{"type": "float", "value": 1192.985075692846}</t>
        </is>
      </c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>
        <f>SUM(R[-5]C[0]:R[-1]C[0])</f>
        <v/>
      </c>
      <c r="W47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>
        <f>SUM(F4:F8)</f>
        <v/>
      </c>
      <c r="G48" t="n">
        <v>1199.752685436867</v>
      </c>
      <c r="H48" t="inlineStr">
        <is>
          <t>{"type": "float", "value": 1199.7526854368666}</t>
        </is>
      </c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>
        <f>SUM(R[-5]C[0]:R[-1]C[0])</f>
        <v/>
      </c>
      <c r="W48" t="inlineStr">
        <is>
          <t>{"number_format": "0",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G49" t="inlineStr">
        <is>
          <t>Terminal value</t>
        </is>
      </c>
      <c r="H49" t="inlineStr">
        <is>
          <t>{"type": "str", "value": "Terminal value"}</t>
        </is>
      </c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H50" t="inlineStr">
        <is>
          <t>{"type": "null", "value": null}</t>
        </is>
      </c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0</v>
      </c>
      <c r="W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H51" t="inlineStr">
        <is>
          <t>{"type": "null", "value": null}</t>
        </is>
      </c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0</v>
      </c>
      <c r="W5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H52" t="inlineStr">
        <is>
          <t>{"type": "null", "value": null}</t>
        </is>
      </c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0</v>
      </c>
      <c r="W5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H53" t="inlineStr">
        <is>
          <t>{"type": "null", "value": null}</t>
        </is>
      </c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0</v>
      </c>
      <c r="W5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>
        <f>F9*(1+B27)/(H21-B27)</f>
        <v/>
      </c>
      <c r="G54" t="n">
        <v>11152.95574540723</v>
      </c>
      <c r="H54" t="inlineStr">
        <is>
          <t>{"type": "float", "value": 11152.955745407235}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V54">
        <f>R[-1]C[0]*(1+R[17]C[-4])/(R[11]C[2]-R[17]C[-4])</f>
        <v/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G55" t="inlineStr">
        <is>
          <t>FCC*(1+g)/(WACC-g)</t>
        </is>
      </c>
      <c r="H55" t="inlineStr">
        <is>
          <t>{"type": "str", "value": "FCC*(1+g)/(WACC-g)"}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G56" t="inlineStr">
        <is>
          <t>FCFF after TV</t>
        </is>
      </c>
      <c r="H56" t="inlineStr">
        <is>
          <t>{"type": "str", "value": "FCFF after TV"}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>
        <f>SUM(B9:B10)</f>
        <v/>
      </c>
      <c r="G57" t="n">
        <v>986.0714991550949</v>
      </c>
      <c r="H57" t="inlineStr">
        <is>
          <t>{"type": "float", "value": 986.0714991550949}</t>
        </is>
      </c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>
        <f>SUM(R[-2]C[0]:R[-1]C[0])</f>
        <v/>
      </c>
      <c r="W5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>
        <f>SUM(C9:C10)</f>
        <v/>
      </c>
      <c r="G58" t="n">
        <v>1169.89601957583</v>
      </c>
      <c r="H58" t="inlineStr">
        <is>
          <t>{"type": "float", "value": 1169.8960195758305}</t>
        </is>
      </c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>
        <f>SUM(R[-2]C[0]:R[-1]C[0])</f>
        <v/>
      </c>
      <c r="W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>
        <f>SUM(D9:D10)</f>
        <v/>
      </c>
      <c r="G59" t="n">
        <v>1182.815637609299</v>
      </c>
      <c r="H59" t="inlineStr">
        <is>
          <t>{"type": "float", "value": 1182.8156376092988}</t>
        </is>
      </c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>
        <f>SUM(R[-2]C[0]:R[-1]C[0])</f>
        <v/>
      </c>
      <c r="W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>
        <f>SUM(E9:E10)</f>
        <v/>
      </c>
      <c r="G60" t="n">
        <v>1192.985075692846</v>
      </c>
      <c r="H60" t="inlineStr">
        <is>
          <t>{"type": "float", "value": 1192.985075692846}</t>
        </is>
      </c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>
        <f>SUM(R[-2]C[0]:R[-1]C[0])</f>
        <v/>
      </c>
      <c r="W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>
        <f>SUM(F9:F10)</f>
        <v/>
      </c>
      <c r="G61" t="n">
        <v>12352.7084308441</v>
      </c>
      <c r="H61" t="inlineStr">
        <is>
          <t>{"type": "float", "value": 12352.7084308441}</t>
        </is>
      </c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>
        <f>SUM(R[-2]C[0]:R[-1]C[0])</f>
        <v/>
      </c>
      <c r="W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G62" t="inlineStr">
        <is>
          <t>Cost of Debt</t>
        </is>
      </c>
      <c r="H62" t="inlineStr">
        <is>
          <t>{"type": "str", "value": "Cost of Debt"}</t>
        </is>
      </c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G63" t="n">
        <v>0</v>
      </c>
      <c r="H63" t="inlineStr">
        <is>
          <t>{"type": "int", "value": 0}</t>
        </is>
      </c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G64" t="inlineStr">
        <is>
          <t>Cost of Equity</t>
        </is>
      </c>
      <c r="H64" t="inlineStr">
        <is>
          <t>{"type": "str", "value": "Cost of Equity"}</t>
        </is>
      </c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>
        <f>B17+B18*(B19-B17)</f>
        <v/>
      </c>
      <c r="G65" t="n">
        <v>0.1407998</v>
      </c>
      <c r="H65" t="inlineStr">
        <is>
          <t>{"type": "float", "value": 0.1407998}</t>
        </is>
      </c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V65">
        <f>R[2]C[0]+R[3]C[0]*(R[4]C[0]-R[2]C[0])</f>
        <v/>
      </c>
      <c r="W6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G66" t="inlineStr">
        <is>
          <t>CAPM=</t>
        </is>
      </c>
      <c r="H66" t="inlineStr">
        <is>
          <t>{"type": "str", "value": "CAPM="}</t>
        </is>
      </c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G67" t="inlineStr">
        <is>
          <t>Rf+B(Rm-Rf)</t>
        </is>
      </c>
      <c r="H67" t="inlineStr">
        <is>
          <t>{"type": "str", "value": "Rf+B(Rm-Rf)"}</t>
        </is>
      </c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G68" t="inlineStr">
        <is>
          <t>Rf</t>
        </is>
      </c>
      <c r="H68" t="inlineStr">
        <is>
          <t>{"type": "str", "value": "Rf"}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G69" t="n">
        <v>0.078</v>
      </c>
      <c r="H69" t="inlineStr">
        <is>
          <t>{"type": "float", "value": 0.078}</t>
        </is>
      </c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"0.00%",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G70" t="inlineStr">
        <is>
          <t>10 year govt bond</t>
        </is>
      </c>
      <c r="H70" t="inlineStr">
        <is>
          <t>{"type": "str", "value": "10 year govt bond"}</t>
        </is>
      </c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G71" t="inlineStr">
        <is>
          <t>B</t>
        </is>
      </c>
      <c r="H71" t="inlineStr">
        <is>
          <t>{"type": "str", "value": "B"}</t>
        </is>
      </c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G72" t="n">
        <v>1.0129</v>
      </c>
      <c r="H72" t="inlineStr">
        <is>
          <t>{"type": "float", "value": 1.0129}</t>
        </is>
      </c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G73" t="inlineStr">
        <is>
          <t>B=</t>
        </is>
      </c>
      <c r="H73" t="inlineStr">
        <is>
          <t>{"type": "str", "value": "B="}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G74" t="inlineStr">
        <is>
          <t>Covar(Rm,Re)/Var Rm</t>
        </is>
      </c>
      <c r="H74" t="inlineStr">
        <is>
          <t>{"type": "str", "value": "Covar(Rm,Re)/Var Rm"}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G75" t="inlineStr">
        <is>
          <t>Rm</t>
        </is>
      </c>
      <c r="H75" t="inlineStr">
        <is>
          <t>{"type": "str", "value": "Rm"}</t>
        </is>
      </c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G76" t="n">
        <v>0.14</v>
      </c>
      <c r="H76" t="inlineStr">
        <is>
          <t>{"type": "float", "value": 0.14}</t>
        </is>
      </c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G77" t="inlineStr">
        <is>
          <t>CAGR of market return of 8 years</t>
        </is>
      </c>
      <c r="H77" t="inlineStr">
        <is>
          <t>{"type": "str", "value": "CAGR of market return of 8 years"}</t>
        </is>
      </c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G78" t="inlineStr">
        <is>
          <t>Debt</t>
        </is>
      </c>
      <c r="H78" t="inlineStr">
        <is>
          <t>{"type": "str", "value": "Debt"}</t>
        </is>
      </c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G79" t="n">
        <v>0</v>
      </c>
      <c r="H79" t="inlineStr">
        <is>
          <t>{"type": "int", "value": 0}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G80" t="inlineStr">
        <is>
          <t>Wd</t>
        </is>
      </c>
      <c r="H80" t="inlineStr">
        <is>
          <t>{"type": "str", "value": "Wd"}</t>
        </is>
      </c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>
        <f>B21/(B21+B22)</f>
        <v/>
      </c>
      <c r="G81" t="n">
        <v>0</v>
      </c>
      <c r="H81" t="inlineStr">
        <is>
          <t>{"type": "int", "value": 0}</t>
        </is>
      </c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V81">
        <f>R[0]C[-3]/(R[0]C[-3]+R[1]C[-3])</f>
        <v/>
      </c>
      <c r="W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G82" t="inlineStr">
        <is>
          <t>WACC</t>
        </is>
      </c>
      <c r="H82" t="inlineStr">
        <is>
          <t>{"type": "str", "value": "WACC"}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>
        <f>B15*E22+B14*E21*(1-'Financial Statements'!D16)</f>
        <v/>
      </c>
      <c r="G83" t="n">
        <v>0.1407998</v>
      </c>
      <c r="H83" t="inlineStr">
        <is>
          <t>{"type": "float", "value": 0.1407998}</t>
        </is>
      </c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V83">
        <f>R[-6]C[-6]*R[1]C[-3]+R[-7]C[-6]*R[0]C[-3]*(1-'Financial Statements'!R[-5]C[-4])</f>
        <v/>
      </c>
      <c r="W8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G84" t="inlineStr">
        <is>
          <t>Equity</t>
        </is>
      </c>
      <c r="H84" t="inlineStr">
        <is>
          <t>{"type": "str", "value": "Equity"}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>
        <f>B24*B25</f>
        <v/>
      </c>
      <c r="G85" t="n">
        <v>27310.415</v>
      </c>
      <c r="H85" t="inlineStr">
        <is>
          <t>{"type": "float", "value": 27310.415}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V85">
        <f>R[2]C[0]*R[3]C[0]</f>
        <v/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G86" t="inlineStr">
        <is>
          <t>We</t>
        </is>
      </c>
      <c r="H86" t="inlineStr">
        <is>
          <t>{"type": "str", "value": "We"}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>
        <f>B22/(B21+B22)</f>
        <v/>
      </c>
      <c r="G87" t="n">
        <v>1</v>
      </c>
      <c r="H87" t="inlineStr">
        <is>
          <t>{"type": "int", "value": 1}</t>
        </is>
      </c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V87">
        <f>R[0]C[-3]/(R[-1]C[-3]+R[0]C[-3])</f>
        <v/>
      </c>
      <c r="W8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G88" t="inlineStr">
        <is>
          <t>EV</t>
        </is>
      </c>
      <c r="H88" t="inlineStr">
        <is>
          <t>{"type": "str", "value": "EV"}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>
        <f>NPV(H21,B11:F11)</f>
        <v/>
      </c>
      <c r="G89" t="n">
        <v>9657.508522725955</v>
      </c>
      <c r="H89" t="inlineStr">
        <is>
          <t>{"type": "float", "value": 9657.508522725955}</t>
        </is>
      </c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V89">
        <f>NPV(R[-2]C[0],R[-12]C[-6]:R[-12]C[-2])</f>
        <v/>
      </c>
      <c r="W89" t="inlineStr">
        <is>
          <t>{"number_format": "\"\u00a3\"#,##0;[Red]\\-\"\u00a3\"#,##0",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G90" t="inlineStr">
        <is>
          <t>Eq+debt-cash</t>
        </is>
      </c>
      <c r="H90" t="inlineStr">
        <is>
          <t>{"type": "str", "value": "Eq+debt-cash"}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G91" t="inlineStr">
        <is>
          <t>CMP</t>
        </is>
      </c>
      <c r="H91" t="inlineStr">
        <is>
          <t>{"type": "str", "value": "CMP"}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G92" t="n">
        <v>1460.45</v>
      </c>
      <c r="H92" t="inlineStr">
        <is>
          <t>{"type": "float", "value": 1460.45}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G93" t="inlineStr">
        <is>
          <t>Cash</t>
        </is>
      </c>
      <c r="H93" t="inlineStr">
        <is>
          <t>{"type": "str", "value": "Cash"}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>
        <f>'Balance Sheet'!D22</f>
        <v/>
      </c>
      <c r="G94" t="n">
        <v>2559.66</v>
      </c>
      <c r="H94" t="inlineStr">
        <is>
          <t>{"type": "float", "value": 2559.66}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V94">
        <f>'Balance Sheet'!R[-2]C[-4]</f>
        <v/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G95" t="inlineStr">
        <is>
          <t>Shares outstanding</t>
        </is>
      </c>
      <c r="H95" t="inlineStr">
        <is>
          <t>{"type": "str", "value": "Shares outstanding"}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G96" t="n">
        <v>18.7</v>
      </c>
      <c r="H96" t="inlineStr">
        <is>
          <t>{"type": "float", "value": 18.7}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G97" t="inlineStr">
        <is>
          <t>Eq</t>
        </is>
      </c>
      <c r="H97" t="inlineStr">
        <is>
          <t>{"type": "str", "value": "Eq"}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>
        <f>H23+H24</f>
        <v/>
      </c>
      <c r="G98" t="n">
        <v>12217.16852272595</v>
      </c>
      <c r="H98" t="inlineStr">
        <is>
          <t>{"type": "float", "value": 12217.168522725955}</t>
        </is>
      </c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V98">
        <f>R[-2]C[0]+R[-1]C[0]</f>
        <v/>
      </c>
      <c r="W9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G99" t="inlineStr">
        <is>
          <t>G (India's long term GDP growth)</t>
        </is>
      </c>
      <c r="H99" t="inlineStr">
        <is>
          <t>{"type": "str", "value": "G (India's long term GDP growth)"}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W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G100" t="n">
        <v>0.03</v>
      </c>
      <c r="H100" t="inlineStr">
        <is>
          <t>{"type": "float", "value": 0.03}</t>
        </is>
      </c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W10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G101" t="inlineStr">
        <is>
          <t>Intrinsic value</t>
        </is>
      </c>
      <c r="H101" t="inlineStr">
        <is>
          <t>{"type": "str", "value": "Intrinsic value"}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W1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>
        <f>H25/B25</f>
        <v/>
      </c>
      <c r="G102" t="n">
        <v>653.3245199318693</v>
      </c>
      <c r="H102" t="inlineStr">
        <is>
          <t>{"type": "float", "value": 653.3245199318693}</t>
        </is>
      </c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V102">
        <f>R[-2]C[0]/R[-2]C[-6]</f>
        <v/>
      </c>
      <c r="W10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H103" t="inlineStr">
        <is>
          <t>{"type": "null", "value": null}</t>
        </is>
      </c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0</v>
      </c>
      <c r="W103" t="inlineStr">
        <is>
          <t>{"number_format": "_-* #,##0.00_-;\\-* #,##0.00_-;_-*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G104" t="inlineStr">
        <is>
          <t>2018 F</t>
        </is>
      </c>
      <c r="H104" t="inlineStr">
        <is>
          <t>{"type": "str", "value": "2018 F"}</t>
        </is>
      </c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W104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H105" t="inlineStr">
        <is>
          <t>{"type": "null", "value": null}</t>
        </is>
      </c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W105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H106" t="inlineStr">
        <is>
          <t>{"type": "null", "value": null}</t>
        </is>
      </c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W106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H107" t="inlineStr">
        <is>
          <t>{"type": "null", "value": null}</t>
        </is>
      </c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W107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H108" t="inlineStr">
        <is>
          <t>{"type": "null", "value": null}</t>
        </is>
      </c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W108" t="inlineStr">
        <is>
          <t>{"number_format": "General", "font": {"name": "Calibri", "size": 11.0, "bold": true, "italic": false, "underline": null, "strike": null, "color": {"type": "theme", "rgb": "Values must be of type &lt;class 'str'&gt;", "indexed": null, "theme": 0, "tint": 0.0, "auto": null}, "vert_align": null}, "fill": {"fill_type": "solid", "fg_color": {"type": "theme", "rgb": "Values must be of type &lt;class 'str'&gt;", "indexed": null, "theme": 4, "tint": 0.0, "auto": null}, "bg_color": {"type": "indexed", "rgb": "Values must be of type &lt;class 'str'&gt;", "indexed": 64,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>
        <f>H27</f>
        <v/>
      </c>
      <c r="G109" t="n">
        <v>653.3245199318693</v>
      </c>
      <c r="H109" t="inlineStr">
        <is>
          <t>{"type": "float", "value": 653.3245199318693}</t>
        </is>
      </c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V109">
        <f>R[-5]C[-1]</f>
        <v/>
      </c>
      <c r="W10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G110" t="n">
        <v>0.12</v>
      </c>
      <c r="H110" t="inlineStr">
        <is>
          <t>{"type": "float", "value": 0.12}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W1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G111" t="n">
        <v>0.13</v>
      </c>
      <c r="H111" t="inlineStr">
        <is>
          <t>{"type": "float", "value": 0.13}</t>
        </is>
      </c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W11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G112" t="n">
        <v>0.14</v>
      </c>
      <c r="H112" t="inlineStr">
        <is>
          <t>{"type": "float", "value": 0.14}</t>
        </is>
      </c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G113" t="n">
        <v>0.15</v>
      </c>
      <c r="H113" t="inlineStr">
        <is>
          <t>{"type": "float", "value": 0.15}</t>
        </is>
      </c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W11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G114" t="n">
        <v>0.16</v>
      </c>
      <c r="H114" t="inlineStr">
        <is>
          <t>{"type": "float", "value": 0.16}</t>
        </is>
      </c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W1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G115" t="n">
        <v>0.17</v>
      </c>
      <c r="H115" t="inlineStr">
        <is>
          <t>{"type": "float", "value": 0.17}</t>
        </is>
      </c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W11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G116" t="inlineStr">
        <is>
          <t>Revenue growth</t>
        </is>
      </c>
      <c r="H116" t="inlineStr">
        <is>
          <t>{"type": "str", "value": "Revenue growth"}</t>
        </is>
      </c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W11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G117" t="n">
        <v>0.05</v>
      </c>
      <c r="H117" t="inlineStr">
        <is>
          <t>{"type": "float", "value": 0.05}</t>
        </is>
      </c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W1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H118" t="inlineStr">
        <is>
          <t>{"type": "null", "value": null}</t>
        </is>
      </c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0</v>
      </c>
      <c r="W1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H119" t="inlineStr">
        <is>
          <t>{"type": "null", "value": null}</t>
        </is>
      </c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0</v>
      </c>
      <c r="W1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H120" t="inlineStr">
        <is>
          <t>{"type": "null", "value": null}</t>
        </is>
      </c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0</v>
      </c>
      <c r="W12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H121" t="inlineStr">
        <is>
          <t>{"type": "null", "value": null}</t>
        </is>
      </c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0</v>
      </c>
      <c r="W1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G122" t="n">
        <v>0.05</v>
      </c>
      <c r="H122" t="inlineStr">
        <is>
          <t>{"type": "float", "value": 0.05}</t>
        </is>
      </c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W1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>
        <is>
          <t>{"type": "float", "value": 772.4391085312169}</t>
        </is>
      </c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W12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G124" t="n">
        <v>708.9961709554921</v>
      </c>
      <c r="H124" t="inlineStr">
        <is>
          <t>{"type": "float", "value": 708.9961709554921}</t>
        </is>
      </c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W12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G125" t="n">
        <v>657.0731650073975</v>
      </c>
      <c r="H125" t="inlineStr">
        <is>
          <t>{"type": "float", "value": 657.0731650073975}</t>
        </is>
      </c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W12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G126" t="n">
        <v>613.7909418820219</v>
      </c>
      <c r="H126" t="inlineStr">
        <is>
          <t>{"type": "float", "value": 613.7909418820219}</t>
        </is>
      </c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W12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G127" t="n">
        <v>577.156197456516</v>
      </c>
      <c r="H127" t="inlineStr">
        <is>
          <t>{"type": "float", "value": 577.156197456516}</t>
        </is>
      </c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W12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G128" t="n">
        <v>545.7451021432338</v>
      </c>
      <c r="H128" t="inlineStr">
        <is>
          <t>{"type": "float", "value": 545.7451021432338}</t>
        </is>
      </c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W12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>
        <f>I33+1%</f>
        <v/>
      </c>
      <c r="G129" t="n">
        <v>0.06</v>
      </c>
      <c r="H129" t="inlineStr">
        <is>
          <t>{"type": "float", "value": 0.060000000000000005}</t>
        </is>
      </c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>
        <f>R[-1]C[0]+1%</f>
        <v/>
      </c>
      <c r="W12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G130" t="n">
        <v>793.0856659073795</v>
      </c>
      <c r="H130" t="inlineStr">
        <is>
          <t>{"type": "float", "value": 793.0856659073795}</t>
        </is>
      </c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W13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G131" t="n">
        <v>727.2527196966414</v>
      </c>
      <c r="H131" t="inlineStr">
        <is>
          <t>{"type": "float", "value": 727.2527196966414}</t>
        </is>
      </c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W13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G132" t="n">
        <v>673.3842238010727</v>
      </c>
      <c r="H132" t="inlineStr">
        <is>
          <t>{"type": "float", "value": 673.3842238010727}</t>
        </is>
      </c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W13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G133" t="n">
        <v>628.4894946234264</v>
      </c>
      <c r="H133" t="inlineStr">
        <is>
          <t>{"type": "float", "value": 628.4894946234264}</t>
        </is>
      </c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G134" t="n">
        <v>590.4980317847704</v>
      </c>
      <c r="H134" t="inlineStr">
        <is>
          <t>{"type": "float", "value": 590.4980317847704}</t>
        </is>
      </c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W13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G135" t="n">
        <v>557.9308830408931</v>
      </c>
      <c r="H135" t="inlineStr">
        <is>
          <t>{"type": "float", "value": 557.9308830408931}</t>
        </is>
      </c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W13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>
        <f>I34+1%</f>
        <v/>
      </c>
      <c r="G136" t="n">
        <v>0.07000000000000001</v>
      </c>
      <c r="H136" t="inlineStr">
        <is>
          <t>{"type": "float", "value": 0.07}</t>
        </is>
      </c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>
        <f>R[-1]C[0]+1%</f>
        <v/>
      </c>
      <c r="W1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G137" t="n">
        <v>814.3696041808344</v>
      </c>
      <c r="H137" t="inlineStr">
        <is>
          <t>{"type": "float", "value": 814.3696041808344}</t>
        </is>
      </c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W13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G138" t="n">
        <v>746.0677792396816</v>
      </c>
      <c r="H138" t="inlineStr">
        <is>
          <t>{"type": "float", "value": 746.0677792396816}</t>
        </is>
      </c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W13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G139" t="n">
        <v>690.1897790392633</v>
      </c>
      <c r="H139" t="inlineStr">
        <is>
          <t>{"type": "float", "value": 690.1897790392633}</t>
        </is>
      </c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W13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G140" t="n">
        <v>643.6296490069446</v>
      </c>
      <c r="H140" t="inlineStr">
        <is>
          <t>{"type": "float", "value": 643.6296490069446}</t>
        </is>
      </c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G141" t="n">
        <v>604.2371070689726</v>
      </c>
      <c r="H141" t="inlineStr">
        <is>
          <t>{"type": "float", "value": 604.2371070689726}</t>
        </is>
      </c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W1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G142" t="n">
        <v>570.4762325812</v>
      </c>
      <c r="H142" t="inlineStr">
        <is>
          <t>{"type": "float", "value": 570.4762325812}</t>
        </is>
      </c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W14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>
        <f>I35+1%</f>
        <v/>
      </c>
      <c r="G143" t="n">
        <v>0.08</v>
      </c>
      <c r="H143" t="inlineStr">
        <is>
          <t>{"type": "float", "value": 0.08}</t>
        </is>
      </c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>
        <f>R[-1]C[0]+1%</f>
        <v/>
      </c>
      <c r="W1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G144" t="n">
        <v>836.3059419573533</v>
      </c>
      <c r="H144" t="inlineStr">
        <is>
          <t>{"type": "float", "value": 836.3059419573533}</t>
        </is>
      </c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W14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G145" t="n">
        <v>765.4544503271941</v>
      </c>
      <c r="H145" t="inlineStr">
        <is>
          <t>{"type": "float", "value": 765.4544503271941}</t>
        </is>
      </c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W14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G146" t="n">
        <v>707.5013775092626</v>
      </c>
      <c r="H146" t="inlineStr">
        <is>
          <t>{"type": "float", "value": 707.5013775092626}</t>
        </is>
      </c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W14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G147" t="n">
        <v>659.221670111845</v>
      </c>
      <c r="H147" t="inlineStr">
        <is>
          <t>{"type": "float", "value": 659.221670111845}</t>
        </is>
      </c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W147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G148" t="n">
        <v>618.3826155065717</v>
      </c>
      <c r="H148" t="inlineStr">
        <is>
          <t>{"type": "float", "value": 618.3826155065717}</t>
        </is>
      </c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W14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G149" t="n">
        <v>583.3894336367375</v>
      </c>
      <c r="H149" t="inlineStr">
        <is>
          <t>{"type": "float", "value": 583.3894336367375}</t>
        </is>
      </c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W1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>
        <f>I36+1%</f>
        <v/>
      </c>
      <c r="G150" t="n">
        <v>0.09</v>
      </c>
      <c r="H150" t="inlineStr">
        <is>
          <t>{"type": "float", "value": 0.09}</t>
        </is>
      </c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>
        <f>R[-1]C[0]+1%</f>
        <v/>
      </c>
      <c r="W15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G151" t="n">
        <v>858.9099303040131</v>
      </c>
      <c r="H151" t="inlineStr">
        <is>
          <t>{"type": "float", "value": 858.9099303040131}</t>
        </is>
      </c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W15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G152" t="n">
        <v>785.4260359450296</v>
      </c>
      <c r="H152" t="inlineStr">
        <is>
          <t>{"type": "float", "value": 785.4260359450296}</t>
        </is>
      </c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W15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G153" t="n">
        <v>725.3307437841933</v>
      </c>
      <c r="H153" t="inlineStr">
        <is>
          <t>{"type": "float", "value": 725.3307437841933}</t>
        </is>
      </c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W1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G154" t="n">
        <v>675.2759806539045</v>
      </c>
      <c r="H154" t="inlineStr">
        <is>
          <t>{"type": "float", "value": 675.2759806539045}</t>
        </is>
      </c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G155" t="n">
        <v>632.9438900854358</v>
      </c>
      <c r="H155" t="inlineStr">
        <is>
          <t>{"type": "float", "value": 632.9438900854358}</t>
        </is>
      </c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W15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G156" t="n">
        <v>596.6788956104459</v>
      </c>
      <c r="H156" t="inlineStr">
        <is>
          <t>{"type": "float", "value": 596.6788956104459}</t>
        </is>
      </c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W156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>
        <f>I37+1%</f>
        <v/>
      </c>
      <c r="G157" t="n">
        <v>0.09999999999999999</v>
      </c>
      <c r="H157" t="inlineStr">
        <is>
          <t>{"type": "float", "value": 0.09999999999999999}</t>
        </is>
      </c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>
        <f>R[-1]C[0]+1%</f>
        <v/>
      </c>
      <c r="W15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G158" t="n">
        <v>882.1970544892916</v>
      </c>
      <c r="H158" t="inlineStr">
        <is>
          <t>{"type": "float", "value": 882.1970544892916}</t>
        </is>
      </c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W158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G159" t="n">
        <v>805.9960428336915</v>
      </c>
      <c r="H159" t="inlineStr">
        <is>
          <t>{"type": "float", "value": 805.9960428336915}</t>
        </is>
      </c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W15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G160" t="n">
        <v>743.6897815494125</v>
      </c>
      <c r="H160" t="inlineStr">
        <is>
          <t>{"type": "float", "value": 743.6897815494125}</t>
        </is>
      </c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W160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G161" t="n">
        <v>691.8031621595386</v>
      </c>
      <c r="H161" t="inlineStr">
        <is>
          <t>{"type": "float", "value": 691.8031621595386}</t>
        </is>
      </c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G162" t="n">
        <v>647.93040563077</v>
      </c>
      <c r="H162" t="inlineStr">
        <is>
          <t>{"type": "float", "value": 647.93040563077}</t>
        </is>
      </c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W162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G163" t="n">
        <v>610.3531553749483</v>
      </c>
      <c r="H163" t="inlineStr">
        <is>
          <t>{"type": "float", "value": 610.3531553749483}</t>
        </is>
      </c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W16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ACC</t>
        </is>
      </c>
      <c r="H2" t="inlineStr">
        <is>
          <t>{"type": "str", "value": "ACC"}</t>
        </is>
      </c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W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G3" t="inlineStr">
        <is>
          <t>Ultratech</t>
        </is>
      </c>
      <c r="H3" t="inlineStr">
        <is>
          <t>{"type": "str", "value": "Ultratech"}</t>
        </is>
      </c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W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G4" t="inlineStr">
        <is>
          <t>Ambuja</t>
        </is>
      </c>
      <c r="H4" t="inlineStr">
        <is>
          <t>{"type": "str", "value": "Ambuja"}</t>
        </is>
      </c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W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G5" t="inlineStr">
        <is>
          <t>Dalmia Bharat</t>
        </is>
      </c>
      <c r="H5" t="inlineStr">
        <is>
          <t>{"type": "str", "value": "Dalmia Bharat"}</t>
        </is>
      </c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W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"center",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G6" t="n">
        <v>2017</v>
      </c>
      <c r="H6" t="inlineStr">
        <is>
          <t>{"type": "int", "value": 2017}</t>
        </is>
      </c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R6" t="b">
        <v>1</v>
      </c>
      <c r="W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G7" t="n">
        <v>2018</v>
      </c>
      <c r="H7" t="inlineStr">
        <is>
          <t>{"type": "int", "value": 2018}</t>
        </is>
      </c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R7" t="b">
        <v>1</v>
      </c>
      <c r="W7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G8" t="n">
        <v>2019</v>
      </c>
      <c r="H8" t="inlineStr">
        <is>
          <t>{"type": "int", "value": 2019}</t>
        </is>
      </c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1</v>
      </c>
      <c r="W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G9" t="n">
        <v>2020</v>
      </c>
      <c r="H9" t="inlineStr">
        <is>
          <t>{"type": "int", "value": 2020}</t>
        </is>
      </c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1</v>
      </c>
      <c r="W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G10" t="n">
        <v>2017</v>
      </c>
      <c r="H10" t="inlineStr">
        <is>
          <t>{"type": "int", "value": 2017}</t>
        </is>
      </c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R10" t="b">
        <v>1</v>
      </c>
      <c r="W1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G11" t="n">
        <v>2018</v>
      </c>
      <c r="H11" t="inlineStr">
        <is>
          <t>{"type": "int", "value": 2018}</t>
        </is>
      </c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1</v>
      </c>
      <c r="W1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G12" t="n">
        <v>2019</v>
      </c>
      <c r="H12" t="inlineStr">
        <is>
          <t>{"type": "int", "value": 2019}</t>
        </is>
      </c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1</v>
      </c>
      <c r="W12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G13" t="n">
        <v>2020</v>
      </c>
      <c r="H13" t="inlineStr">
        <is>
          <t>{"type": "int", "value": 2020}</t>
        </is>
      </c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R13" t="b">
        <v>1</v>
      </c>
      <c r="W13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G14" t="n">
        <v>2017</v>
      </c>
      <c r="H14" t="inlineStr">
        <is>
          <t>{"type": "int", "value": 2017}</t>
        </is>
      </c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1</v>
      </c>
      <c r="W14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G15" t="n">
        <v>2018</v>
      </c>
      <c r="H15" t="inlineStr">
        <is>
          <t>{"type": "int", "value": 2018}</t>
        </is>
      </c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1</v>
      </c>
      <c r="W15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G16" t="n">
        <v>2019</v>
      </c>
      <c r="H16" t="inlineStr">
        <is>
          <t>{"type": "int", "value": 2019}</t>
        </is>
      </c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R16" t="b">
        <v>1</v>
      </c>
      <c r="W16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G17" t="n">
        <v>2020</v>
      </c>
      <c r="H17" t="inlineStr">
        <is>
          <t>{"type": "int", "value": 2020}</t>
        </is>
      </c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R17" t="b">
        <v>1</v>
      </c>
      <c r="W17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G18" t="n">
        <v>2017</v>
      </c>
      <c r="H18" t="inlineStr">
        <is>
          <t>{"type": "int", "value": 2017}</t>
        </is>
      </c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R18" t="b">
        <v>1</v>
      </c>
      <c r="W18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G19" t="n">
        <v>2018</v>
      </c>
      <c r="H19" t="inlineStr">
        <is>
          <t>{"type": "int", "value": 2018}</t>
        </is>
      </c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R19" t="b">
        <v>1</v>
      </c>
      <c r="W19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G20" t="n">
        <v>2019</v>
      </c>
      <c r="H20" t="inlineStr">
        <is>
          <t>{"type": "int", "value": 2019}</t>
        </is>
      </c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R20" t="b">
        <v>1</v>
      </c>
      <c r="W20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G21" t="n">
        <v>2020</v>
      </c>
      <c r="H21" t="inlineStr">
        <is>
          <t>{"type": "int", "value": 2020}</t>
        </is>
      </c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R21" t="b">
        <v>1</v>
      </c>
      <c r="W21" t="inlineStr">
        <is>
          <t>{"number_format": "General", "font": {"name": "Calibri", "size": 11.0, "bold": true,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G22" t="inlineStr">
        <is>
          <t>EPS</t>
        </is>
      </c>
      <c r="H22" t="inlineStr">
        <is>
          <t>{"type": "str", "value": "EPS"}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R22" t="b">
        <v>1</v>
      </c>
      <c r="W2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>
        <f>'Financial Statements'!D17/Relative!$B$8</f>
        <v/>
      </c>
      <c r="G23" t="n">
        <v>48.5053475935828</v>
      </c>
      <c r="H23" t="inlineStr">
        <is>
          <t>{"type": "float", "value": 48.505347593582805}</t>
        </is>
      </c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>
        <f>'Financial Statements'!R[14]C[2]/R8C2</f>
        <v/>
      </c>
      <c r="W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>
        <f>'Financial Statements'!E17/Relative!$B$8</f>
        <v/>
      </c>
      <c r="G24" t="n">
        <v>50.17759674807353</v>
      </c>
      <c r="H24" t="inlineStr">
        <is>
          <t>{"type": "float", "value": 50.17759674807353}</t>
        </is>
      </c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>
        <f>'Financial Statements'!R[14]C[2]/R8C2</f>
        <v/>
      </c>
      <c r="W2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>
        <f>'Financial Statements'!F17/Relative!$B$8</f>
        <v/>
      </c>
      <c r="G25" t="n">
        <v>53.62165576411809</v>
      </c>
      <c r="H25" t="inlineStr">
        <is>
          <t>{"type": "float", "value": 53.62165576411809}</t>
        </is>
      </c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>
        <f>'Financial Statements'!R[14]C[2]/R8C2</f>
        <v/>
      </c>
      <c r="W2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>
        <f>'Financial Statements'!G17/Relative!$B$8</f>
        <v/>
      </c>
      <c r="G26" t="n">
        <v>56.82511611650435</v>
      </c>
      <c r="H26" t="inlineStr">
        <is>
          <t>{"type": "float", "value": 56.82511611650435}</t>
        </is>
      </c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>
        <f>'Financial Statements'!R[14]C[2]/R8C2</f>
        <v/>
      </c>
      <c r="W2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G27" t="n">
        <v>80.90000000000001</v>
      </c>
      <c r="H27" t="inlineStr">
        <is>
          <t>{"type": "float", "value": 80.9}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G28" t="n">
        <v>104</v>
      </c>
      <c r="H28" t="inlineStr">
        <is>
          <t>{"type": "int", "value": 104}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G29" t="n">
        <v>137</v>
      </c>
      <c r="H29" t="inlineStr">
        <is>
          <t>{"type": "int", "value": 137}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G30" t="n">
        <v>171</v>
      </c>
      <c r="H30" t="inlineStr">
        <is>
          <t>{"type": "int", "value": 171}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G31" t="n">
        <v>6.29</v>
      </c>
      <c r="H31" t="inlineStr">
        <is>
          <t>{"type": "float", "value": 6.29}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G32" t="n">
        <v>6.84</v>
      </c>
      <c r="H32" t="inlineStr">
        <is>
          <t>{"type": "float", "value": 6.84}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G33" t="n">
        <v>8.15</v>
      </c>
      <c r="H33" t="inlineStr">
        <is>
          <t>{"type": "float", "value": 8.15}</t>
        </is>
      </c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R33" t="b">
        <v>1</v>
      </c>
      <c r="W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G34" t="n">
        <v>9.1</v>
      </c>
      <c r="H34" t="inlineStr">
        <is>
          <t>{"type": "float", "value": 9.1}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G35" t="n">
        <v>59.9</v>
      </c>
      <c r="H35" t="inlineStr">
        <is>
          <t>{"type": "float", "value": 59.9}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R35" t="b">
        <v>1</v>
      </c>
      <c r="W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G36" t="n">
        <v>32.1</v>
      </c>
      <c r="H36" t="inlineStr">
        <is>
          <t>{"type": "float", "value": 32.1}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G37" t="n">
        <v>57.3</v>
      </c>
      <c r="H37" t="inlineStr">
        <is>
          <t>{"type": "float", "value": 57.3}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R37" t="b">
        <v>1</v>
      </c>
      <c r="W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G38" t="n">
        <v>58.9</v>
      </c>
      <c r="H38" t="inlineStr">
        <is>
          <t>{"type": "float", "value": 58.9}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R38" t="b">
        <v>1</v>
      </c>
      <c r="W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G39" t="inlineStr">
        <is>
          <t>Sales</t>
        </is>
      </c>
      <c r="H39" t="inlineStr">
        <is>
          <t>{"type": "str", "value": "Sales"}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R39" t="b">
        <v>1</v>
      </c>
      <c r="W3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>
        <f>'Financial Statements'!D2</f>
        <v/>
      </c>
      <c r="G40" t="n">
        <v>13413.58</v>
      </c>
      <c r="H40" t="inlineStr">
        <is>
          <t>{"type": "float", "value": 13413.58}</t>
        </is>
      </c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>
        <f>'Financial Statements'!R[-2]C[2]</f>
        <v/>
      </c>
      <c r="W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>
        <f>'Financial Statements'!E2</f>
        <v/>
      </c>
      <c r="G41" t="n">
        <v>14440.82251898734</v>
      </c>
      <c r="H41" t="inlineStr">
        <is>
          <t>{"type": "float", "value": 14440.822518987343}</t>
        </is>
      </c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>
        <f>'Financial Statements'!R[-2]C[2]</f>
        <v/>
      </c>
      <c r="W4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>
        <f>'Financial Statements'!F2</f>
        <v/>
      </c>
      <c r="G42" t="n">
        <v>15537.25533987342</v>
      </c>
      <c r="H42" t="inlineStr">
        <is>
          <t>{"type": "float", "value": 15537.255339873422}</t>
        </is>
      </c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>
        <f>'Financial Statements'!R[-2]C[2]</f>
        <v/>
      </c>
      <c r="W4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>
        <f>'Financial Statements'!G2</f>
        <v/>
      </c>
      <c r="G43" t="n">
        <v>16707.22938655064</v>
      </c>
      <c r="H43" t="inlineStr">
        <is>
          <t>{"type": "float", "value": 16707.229386550636}</t>
        </is>
      </c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>
        <f>'Financial Statements'!R[-2]C[2]</f>
        <v/>
      </c>
      <c r="W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G44" t="n">
        <v>32304.6</v>
      </c>
      <c r="H44" t="inlineStr">
        <is>
          <t>{"type": "float", "value": 32304.6}</t>
        </is>
      </c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G45" t="n">
        <v>36502.9</v>
      </c>
      <c r="H45" t="inlineStr">
        <is>
          <t>{"type": "float", "value": 36502.9}</t>
        </is>
      </c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G46" t="n">
        <v>42844.3</v>
      </c>
      <c r="H46" t="inlineStr">
        <is>
          <t>{"type": "float", "value": 42844.3}</t>
        </is>
      </c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G47" t="n">
        <v>47414.1</v>
      </c>
      <c r="H47" t="inlineStr">
        <is>
          <t>{"type": "float", "value": 47414.1}</t>
        </is>
      </c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G48" t="n">
        <v>10446.9</v>
      </c>
      <c r="H48" t="inlineStr">
        <is>
          <t>{"type": "float", "value": 10446.9}</t>
        </is>
      </c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G49" t="n">
        <v>11454.7</v>
      </c>
      <c r="H49" t="inlineStr">
        <is>
          <t>{"type": "float", "value": 11454.7}</t>
        </is>
      </c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G50" t="n">
        <v>12499.4</v>
      </c>
      <c r="H50" t="inlineStr">
        <is>
          <t>{"type": "float", "value": 12499.4}</t>
        </is>
      </c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G51" t="n">
        <v>13725.6</v>
      </c>
      <c r="H51" t="inlineStr">
        <is>
          <t>{"type": "float", "value": 13725.6}</t>
        </is>
      </c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G52" t="n">
        <v>8608.799999999999</v>
      </c>
      <c r="H52" t="inlineStr">
        <is>
          <t>{"type": "float", "value": 8608.8}</t>
        </is>
      </c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G53" t="n">
        <v>9801</v>
      </c>
      <c r="H53" t="inlineStr">
        <is>
          <t>{"type": "int", "value": 9801}</t>
        </is>
      </c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G54" t="n">
        <v>11238</v>
      </c>
      <c r="H54" t="inlineStr">
        <is>
          <t>{"type": "int", "value": 11238}</t>
        </is>
      </c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G55" t="n">
        <v>12870.2</v>
      </c>
      <c r="H55" t="inlineStr">
        <is>
          <t>{"type": "float", "value": 12870.2}</t>
        </is>
      </c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G56" t="inlineStr">
        <is>
          <t>EBITDA</t>
        </is>
      </c>
      <c r="H56" t="inlineStr">
        <is>
          <t>{"type": "str", "value": "EBITDA"}</t>
        </is>
      </c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>
        <f>'Financial Statements'!D10</f>
        <v/>
      </c>
      <c r="G57" t="n">
        <v>2034.749999999998</v>
      </c>
      <c r="H57" t="inlineStr">
        <is>
          <t>{"type": "float", "value": 2034.7499999999982}</t>
        </is>
      </c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>
        <f>'Financial Statements'!R[5]C[2]</f>
        <v/>
      </c>
      <c r="W57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>
        <f>'Financial Statements'!E10</f>
        <v/>
      </c>
      <c r="G58" t="n">
        <v>1973.96345335443</v>
      </c>
      <c r="H58" t="inlineStr">
        <is>
          <t>{"type": "float", "value": 1973.9634533544304}</t>
        </is>
      </c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>
        <f>'Financial Statements'!R[5]C[2]</f>
        <v/>
      </c>
      <c r="W58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>
        <f>'Financial Statements'!F10</f>
        <v/>
      </c>
      <c r="G59" t="n">
        <v>2046.152179594937</v>
      </c>
      <c r="H59" t="inlineStr">
        <is>
          <t>{"type": "float", "value": 2046.1521795949375}</t>
        </is>
      </c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>
        <f>'Financial Statements'!R[5]C[2]</f>
        <v/>
      </c>
      <c r="W59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>
        <f>'Financial Statements'!G10</f>
        <v/>
      </c>
      <c r="G60" t="n">
        <v>2116.693757029272</v>
      </c>
      <c r="H60" t="inlineStr">
        <is>
          <t>{"type": "float", "value": 2116.693757029272}</t>
        </is>
      </c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>
        <f>'Financial Statements'!R[5]C[2]</f>
        <v/>
      </c>
      <c r="W60" t="inlineStr">
        <is>
          <t>{"number_format": "#,##0",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G61" t="n">
        <v>6145.2</v>
      </c>
      <c r="H61" t="inlineStr">
        <is>
          <t>{"type": "float", "value": 6145.2}</t>
        </is>
      </c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W6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G62" t="n">
        <v>6794.3</v>
      </c>
      <c r="H62" t="inlineStr">
        <is>
          <t>{"type": "float", "value": 6794.3}</t>
        </is>
      </c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G63" t="n">
        <v>8412.200000000001</v>
      </c>
      <c r="H63" t="inlineStr">
        <is>
          <t>{"type": "float", "value": 8412.2}</t>
        </is>
      </c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G64" t="n">
        <v>9651.1</v>
      </c>
      <c r="H64" t="inlineStr">
        <is>
          <t>{"type": "float", "value": 9651.1}</t>
        </is>
      </c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G65" t="n">
        <v>1940.1</v>
      </c>
      <c r="H65" t="inlineStr">
        <is>
          <t>{"type": "float", "value": 1940.1}</t>
        </is>
      </c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G66" t="n">
        <v>2104.5</v>
      </c>
      <c r="H66" t="inlineStr">
        <is>
          <t>{"type": "float", "value": 2104.5}</t>
        </is>
      </c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G67" t="n">
        <v>2439.1</v>
      </c>
      <c r="H67" t="inlineStr">
        <is>
          <t>{"type": "float", "value": 2439.1}</t>
        </is>
      </c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G68" t="n">
        <v>2746.9</v>
      </c>
      <c r="H68" t="inlineStr">
        <is>
          <t>{"type": "float", "value": 2746.9}</t>
        </is>
      </c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G69" t="n">
        <v>2026.4</v>
      </c>
      <c r="H69" t="inlineStr">
        <is>
          <t>{"type": "float", "value": 2026.4}</t>
        </is>
      </c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G70" t="n">
        <v>2122.8</v>
      </c>
      <c r="H70" t="inlineStr">
        <is>
          <t>{"type": "float", "value": 2122.8}</t>
        </is>
      </c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G71" t="n">
        <v>2520.7</v>
      </c>
      <c r="H71" t="inlineStr">
        <is>
          <t>{"type": "float", "value": 2520.7}</t>
        </is>
      </c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G72" t="n">
        <v>2851.9</v>
      </c>
      <c r="H72" t="inlineStr">
        <is>
          <t>{"type": "float", "value": 2851.9}</t>
        </is>
      </c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G73" t="inlineStr">
        <is>
          <t>Debt</t>
        </is>
      </c>
      <c r="H73" t="inlineStr">
        <is>
          <t>{"type": "str", "value": "Debt"}</t>
        </is>
      </c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G74" t="n">
        <v>0</v>
      </c>
      <c r="H74" t="inlineStr">
        <is>
          <t>{"type": "int", "value": 0}</t>
        </is>
      </c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>
        <f>15863+2763</f>
        <v/>
      </c>
      <c r="G75" t="n">
        <v>18626</v>
      </c>
      <c r="H75" t="inlineStr">
        <is>
          <t>{"type": "int", "value": 18626}</t>
        </is>
      </c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V75">
        <f>15863+2763</f>
        <v/>
      </c>
      <c r="W7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H76" t="inlineStr">
        <is>
          <t>{"type": "null", "value": null}</t>
        </is>
      </c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0</v>
      </c>
      <c r="W7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H77" t="inlineStr">
        <is>
          <t>{"type": "null", "value": null}</t>
        </is>
      </c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0</v>
      </c>
      <c r="W7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H78" t="inlineStr">
        <is>
          <t>{"type": "null", "value": null}</t>
        </is>
      </c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0</v>
      </c>
      <c r="W7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G79" t="n">
        <v>24</v>
      </c>
      <c r="H79" t="inlineStr">
        <is>
          <t>{"type": "int", "value": 24}</t>
        </is>
      </c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G80" t="n">
        <v>5967.8</v>
      </c>
      <c r="H80" t="inlineStr">
        <is>
          <t>{"type": "float", "value": 5967.8}</t>
        </is>
      </c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G81" t="inlineStr">
        <is>
          <t>Cash</t>
        </is>
      </c>
      <c r="H81" t="inlineStr">
        <is>
          <t>{"type": "str", "value": "Cash"}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R81" t="b">
        <v>1</v>
      </c>
      <c r="W8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>
        <f>'Balance Sheet'!D22</f>
        <v/>
      </c>
      <c r="G82" t="n">
        <v>2559.66</v>
      </c>
      <c r="H82" t="inlineStr">
        <is>
          <t>{"type": "float", "value": 2559.66}</t>
        </is>
      </c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R82" t="b">
        <v>1</v>
      </c>
      <c r="V82">
        <f>'Balance Sheet'!R[15]C[2]</f>
        <v/>
      </c>
      <c r="W8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G83" t="n">
        <v>218</v>
      </c>
      <c r="H83" t="inlineStr">
        <is>
          <t>{"type": "int", "value": 218}</t>
        </is>
      </c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1</v>
      </c>
      <c r="W8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G84" t="n">
        <v>6231</v>
      </c>
      <c r="H84" t="inlineStr">
        <is>
          <t>{"type": "int", "value": 6231}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1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G85" t="n">
        <v>353</v>
      </c>
      <c r="H85" t="inlineStr">
        <is>
          <t>{"type": "int", "value": 353}</t>
        </is>
      </c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R85" t="b">
        <v>1</v>
      </c>
      <c r="W8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G86" t="inlineStr">
        <is>
          <t>No of shares</t>
        </is>
      </c>
      <c r="H86" t="inlineStr">
        <is>
          <t>{"type": "str", "value": "No of shares"}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1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G87" t="n">
        <v>18.7</v>
      </c>
      <c r="H87" t="inlineStr">
        <is>
          <t>{"type": "float", "value": 18.7}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1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G88" t="n">
        <v>27.4</v>
      </c>
      <c r="H88" t="inlineStr">
        <is>
          <t>{"type": "float", "value": 27.4}</t>
        </is>
      </c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R88" t="b">
        <v>1</v>
      </c>
      <c r="W88" t="inlineStr">
        <is>
          <t>{"number_format": "_-* #,##0.0_-;\\-* #,##0.0_-;_-*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G89" t="n">
        <v>198.5</v>
      </c>
      <c r="H89" t="inlineStr">
        <is>
          <t>{"type": "float", "value": 198.5}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1</v>
      </c>
      <c r="W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G90" t="n">
        <v>8.800000000000001</v>
      </c>
      <c r="H90" t="inlineStr">
        <is>
          <t>{"type": "float", "value": 8.8}</t>
        </is>
      </c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1</v>
      </c>
      <c r="W90" t="inlineStr">
        <is>
          <t>{"number_format": "_-* #,##0.0_-;\\-* #,##0.0_-;_-*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G91" t="inlineStr">
        <is>
          <t>CMP</t>
        </is>
      </c>
      <c r="H91" t="inlineStr">
        <is>
          <t>{"type": "str", "value": "CMP"}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G92" t="n">
        <v>1758</v>
      </c>
      <c r="H92" t="inlineStr">
        <is>
          <t>{"type": "int", "value": 1758}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1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G93" t="n">
        <v>3950</v>
      </c>
      <c r="H93" t="inlineStr">
        <is>
          <t>{"type": "int", "value": 3950}</t>
        </is>
      </c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1</v>
      </c>
      <c r="W9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G94" t="n">
        <v>233</v>
      </c>
      <c r="H94" t="inlineStr">
        <is>
          <t>{"type": "int", "value": 233}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R94" t="b">
        <v>1</v>
      </c>
      <c r="W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G95" t="n">
        <v>2874</v>
      </c>
      <c r="H95" t="inlineStr">
        <is>
          <t>{"type": "int", "value": 2874}</t>
        </is>
      </c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R95" t="b">
        <v>1</v>
      </c>
      <c r="W9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G96" t="inlineStr">
        <is>
          <t>Mean</t>
        </is>
      </c>
      <c r="H96" t="inlineStr">
        <is>
          <t>{"type": "str", "value": "Mean"}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G97" t="inlineStr">
        <is>
          <t>Median</t>
        </is>
      </c>
      <c r="H97" t="inlineStr">
        <is>
          <t>{"type": "str", "value": "Median"}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G98" t="inlineStr">
        <is>
          <t>EV</t>
        </is>
      </c>
      <c r="H98" t="inlineStr">
        <is>
          <t>{"type": "str", "value": "EV"}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>
        <f>(B9*B8)+B6-B7</f>
        <v/>
      </c>
      <c r="G99" t="n">
        <v>30314.94</v>
      </c>
      <c r="H99" t="inlineStr">
        <is>
          <t>{"type": "float", "value": 30314.94}</t>
        </is>
      </c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>
        <f>(R[-3]C[0]*R[-4]C[0])+R[-6]C[0]-R[-5]C[0]</f>
        <v/>
      </c>
      <c r="W9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>
        <f>(F9*F8)+F6-F7</f>
        <v/>
      </c>
      <c r="G100" t="n">
        <v>126638</v>
      </c>
      <c r="H100" t="inlineStr">
        <is>
          <t>{"type": "int", "value": 126638}</t>
        </is>
      </c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>
        <f>(R[-3]C[0]*R[-4]C[0])+R[-6]C[0]-R[-5]C[0]</f>
        <v/>
      </c>
      <c r="W10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>
        <f>(J9*J8)+J6-J7</f>
        <v/>
      </c>
      <c r="G101" t="n">
        <v>40043.5</v>
      </c>
      <c r="H101" t="inlineStr">
        <is>
          <t>{"type": "float", "value": 40043.5}</t>
        </is>
      </c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>
        <f>(R[-3]C[0]*R[-4]C[0])+R[-6]C[0]-R[-5]C[0]</f>
        <v/>
      </c>
      <c r="W10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>
        <f>(N9*N8)+N6-N7</f>
        <v/>
      </c>
      <c r="G102" t="n">
        <v>30906</v>
      </c>
      <c r="H102" t="inlineStr">
        <is>
          <t>{"type": "int", "value": 30906}</t>
        </is>
      </c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>
        <f>(R[-3]C[0]*R[-4]C[0])+R[-6]C[0]-R[-5]C[0]</f>
        <v/>
      </c>
      <c r="W1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>
        <f>AVERAGE(B12,F12,J12,N12)</f>
        <v/>
      </c>
      <c r="G103" t="n">
        <v>56975.61</v>
      </c>
      <c r="H103" t="inlineStr">
        <is>
          <t>{"type": "float", "value": 56975.61}</t>
        </is>
      </c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>
        <f>AVERAGE(R[0]C[-14],R[0]C[-10],R[0]C[-6],R[0]C[-2])</f>
        <v/>
      </c>
      <c r="W1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>
        <f>MEDIAN(B12,F12,J12,N12)</f>
        <v/>
      </c>
      <c r="G104" t="n">
        <v>35474.75</v>
      </c>
      <c r="H104" t="inlineStr">
        <is>
          <t>{"type": "float", "value": 35474.75}</t>
        </is>
      </c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>
        <f>MEDIAN(R[0]C[-15],R[0]C[-11],R[0]C[-7],R[0]C[-3])</f>
        <v/>
      </c>
      <c r="W10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G105" t="inlineStr">
        <is>
          <t>Growth</t>
        </is>
      </c>
      <c r="H105" t="inlineStr">
        <is>
          <t>{"type": "str", "value": "Growth"}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>
        <f>(E4/B4)^(1/3)-1</f>
        <v/>
      </c>
      <c r="G106" t="n">
        <v>0.0759363426072921</v>
      </c>
      <c r="H106" t="inlineStr">
        <is>
          <t>{"type": "float", "value": 0.0759363426072921}</t>
        </is>
      </c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>
        <f>(R[-9]C[3]/R[-9]C[0])^(1/3)-1</f>
        <v/>
      </c>
      <c r="W106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>
        <f>(I4/F4)^(1/3)-1</f>
        <v/>
      </c>
      <c r="G107" t="n">
        <v>0.1364431479867485</v>
      </c>
      <c r="H107" t="inlineStr">
        <is>
          <t>{"type": "float", "value": 0.1364431479867485}</t>
        </is>
      </c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>
        <f>(R[-9]C[3]/R[-9]C[0])^(1/3)-1</f>
        <v/>
      </c>
      <c r="W107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>
        <f>(M4/J4)^(1/3)-1</f>
        <v/>
      </c>
      <c r="G108" t="n">
        <v>0.09525345934086094</v>
      </c>
      <c r="H108" t="inlineStr">
        <is>
          <t>{"type": "float", "value": 0.09525345934086094}</t>
        </is>
      </c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>
        <f>(R[-9]C[3]/R[-9]C[0])^(1/3)-1</f>
        <v/>
      </c>
      <c r="W108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>
        <f>(Q4/N4)^(1/3)-1</f>
        <v/>
      </c>
      <c r="G109" t="n">
        <v>0.1434422250383043</v>
      </c>
      <c r="H109" t="inlineStr">
        <is>
          <t>{"type": "float", "value": 0.14344222503830428}</t>
        </is>
      </c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>
        <f>(R[-9]C[3]/R[-9]C[0])^(1/3)-1</f>
        <v/>
      </c>
      <c r="W109" t="inlineStr">
        <is>
          <t>{"number_format": "0.0%",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>
        <f>AVERAGE(B13,F13,J13,N13)</f>
        <v/>
      </c>
      <c r="G110" t="n">
        <v>0.1127687937433015</v>
      </c>
      <c r="H110" t="inlineStr">
        <is>
          <t>{"type": "float", "value": 0.11276879374330145}</t>
        </is>
      </c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>
        <f>AVERAGE(R[0]C[-14],R[0]C[-10],R[0]C[-6],R[0]C[-2])</f>
        <v/>
      </c>
      <c r="W11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>
        <f>MEDIAN(B13,F13,J13,N13)</f>
        <v/>
      </c>
      <c r="G111" t="n">
        <v>0.1158483036638047</v>
      </c>
      <c r="H111" t="inlineStr">
        <is>
          <t>{"type": "float", "value": 0.11584830366380472}</t>
        </is>
      </c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>
        <f>MEDIAN(R[0]C[-15],R[0]C[-11],R[0]C[-7],R[0]C[-3])</f>
        <v/>
      </c>
      <c r="W11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G112" t="inlineStr">
        <is>
          <t>Trailing PE</t>
        </is>
      </c>
      <c r="H112" t="inlineStr">
        <is>
          <t>{"type": "str", "value": "Trailing PE"}</t>
        </is>
      </c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W1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>
        <f>B9/B3</f>
        <v/>
      </c>
      <c r="G113" t="n">
        <v>36.24342649247567</v>
      </c>
      <c r="H113" t="inlineStr">
        <is>
          <t>{"type": "float", "value": 36.24342649247567}</t>
        </is>
      </c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>
        <f>R[-5]C[0]/R[-11]C[0]</f>
        <v/>
      </c>
      <c r="W11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>
        <f>F9/F3</f>
        <v/>
      </c>
      <c r="G114" t="n">
        <v>48.8257107540173</v>
      </c>
      <c r="H114" t="inlineStr">
        <is>
          <t>{"type": "float", "value": 48.8257107540173}</t>
        </is>
      </c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>
        <f>R[-5]C[0]/R[-11]C[0]</f>
        <v/>
      </c>
      <c r="W11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>
        <f>J9/J3</f>
        <v/>
      </c>
      <c r="G115" t="n">
        <v>37.04292527821939</v>
      </c>
      <c r="H115" t="inlineStr">
        <is>
          <t>{"type": "float", "value": 37.04292527821939}</t>
        </is>
      </c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>
        <f>R[-5]C[0]/R[-11]C[0]</f>
        <v/>
      </c>
      <c r="W11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>
        <f>N9/N3</f>
        <v/>
      </c>
      <c r="G116" t="n">
        <v>47.97996661101836</v>
      </c>
      <c r="H116" t="inlineStr">
        <is>
          <t>{"type": "float", "value": 47.97996661101836}</t>
        </is>
      </c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>
        <f>R[-5]C[0]/R[-11]C[0]</f>
        <v/>
      </c>
      <c r="W11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>
        <f>AVERAGE(B14,F14,J14,N14)</f>
        <v/>
      </c>
      <c r="G117" t="n">
        <v>42.52300728393269</v>
      </c>
      <c r="H117" t="inlineStr">
        <is>
          <t>{"type": "float", "value": 42.523007283932685}</t>
        </is>
      </c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>
        <f>AVERAGE(R[0]C[-14],R[0]C[-10],R[0]C[-6],R[0]C[-2])</f>
        <v/>
      </c>
      <c r="W1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>
        <f>MEDIAN(B14,F14,J14,N14)</f>
        <v/>
      </c>
      <c r="G118" t="n">
        <v>42.51144594461888</v>
      </c>
      <c r="H118" t="inlineStr">
        <is>
          <t>{"type": "float", "value": 42.51144594461888}</t>
        </is>
      </c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>
        <f>MEDIAN(R[0]C[-15],R[0]C[-11],R[0]C[-7],R[0]C[-3])</f>
        <v/>
      </c>
      <c r="W11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G119" t="inlineStr">
        <is>
          <t>Trailing PS</t>
        </is>
      </c>
      <c r="H119" t="inlineStr">
        <is>
          <t>{"type": "str", "value": "Trailing PS"}</t>
        </is>
      </c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W1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>
        <f>B9/(B4/B8)</f>
        <v/>
      </c>
      <c r="G120" t="n">
        <v>2.450844591824106</v>
      </c>
      <c r="H120" t="inlineStr">
        <is>
          <t>{"type": "float", "value": 2.450844591824106}</t>
        </is>
      </c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>
        <f>R[-6]C[0]/(R[-11]C[0]/R[-7]C[0])</f>
        <v/>
      </c>
      <c r="W12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>
        <f>F9/(F4/F8)</f>
        <v/>
      </c>
      <c r="G121" t="n">
        <v>3.350296861747244</v>
      </c>
      <c r="H121" t="inlineStr">
        <is>
          <t>{"type": "float", "value": 3.3502968617472435}</t>
        </is>
      </c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>
        <f>R[-6]C[0]/(R[-11]C[0]/R[-7]C[0])</f>
        <v/>
      </c>
      <c r="W12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>
        <f>J9/(J4/J8)</f>
        <v/>
      </c>
      <c r="G122" t="n">
        <v>4.427198499076281</v>
      </c>
      <c r="H122" t="inlineStr">
        <is>
          <t>{"type": "float", "value": 4.427198499076281}</t>
        </is>
      </c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>
        <f>R[-6]C[0]/(R[-11]C[0]/R[-7]C[0])</f>
        <v/>
      </c>
      <c r="W12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>
        <f>N9/(N4/N8)</f>
        <v/>
      </c>
      <c r="G123" t="n">
        <v>2.937831056593254</v>
      </c>
      <c r="H123" t="inlineStr">
        <is>
          <t>{"type": "float", "value": 2.9378310565932537}</t>
        </is>
      </c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>
        <f>R[-6]C[0]/(R[-11]C[0]/R[-7]C[0])</f>
        <v/>
      </c>
      <c r="W12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>
        <f>AVERAGE(B15,F15,J15,N15)</f>
        <v/>
      </c>
      <c r="G124" t="n">
        <v>3.291542752310221</v>
      </c>
      <c r="H124" t="inlineStr">
        <is>
          <t>{"type": "float", "value": 3.291542752310221}</t>
        </is>
      </c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>
        <f>AVERAGE(R[0]C[-14],R[0]C[-10],R[0]C[-6],R[0]C[-2])</f>
        <v/>
      </c>
      <c r="W1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>
        <f>MEDIAN(B15,F15,J15,N15)</f>
        <v/>
      </c>
      <c r="G125" t="n">
        <v>3.144063959170249</v>
      </c>
      <c r="H125" t="inlineStr">
        <is>
          <t>{"type": "float", "value": 3.1440639591702486}</t>
        </is>
      </c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>
        <f>MEDIAN(R[0]C[-15],R[0]C[-11],R[0]C[-7],R[0]C[-3])</f>
        <v/>
      </c>
      <c r="W1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G126" t="inlineStr">
        <is>
          <t>Trailing PEG</t>
        </is>
      </c>
      <c r="H126" t="inlineStr">
        <is>
          <t>{"type": "str", "value": "Trailing PEG"}</t>
        </is>
      </c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W12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>
        <f>B14/B13</f>
        <v/>
      </c>
      <c r="G127" t="n">
        <v>477.2869649504985</v>
      </c>
      <c r="H127" t="inlineStr">
        <is>
          <t>{"type": "float", "value": 477.28696495049854}</t>
        </is>
      </c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>
        <f>R[-2]C[0]/R[-3]C[0]</f>
        <v/>
      </c>
      <c r="W12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>
        <f>F14/F13</f>
        <v/>
      </c>
      <c r="G128" t="n">
        <v>357.8465571518425</v>
      </c>
      <c r="H128" t="inlineStr">
        <is>
          <t>{"type": "float", "value": 357.8465571518425}</t>
        </is>
      </c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>
        <f>R[-2]C[0]/R[-3]C[0]</f>
        <v/>
      </c>
      <c r="W12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>
        <f>J14/J13</f>
        <v/>
      </c>
      <c r="G129" t="n">
        <v>388.8879788151596</v>
      </c>
      <c r="H129" t="inlineStr">
        <is>
          <t>{"type": "float", "value": 388.8879788151596}</t>
        </is>
      </c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>
        <f>R[-2]C[0]/R[-3]C[0]</f>
        <v/>
      </c>
      <c r="W12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>
        <f>N14/N13</f>
        <v/>
      </c>
      <c r="G130" t="n">
        <v>334.4898379693007</v>
      </c>
      <c r="H130" t="inlineStr">
        <is>
          <t>{"type": "float", "value": 334.48983796930065}</t>
        </is>
      </c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>
        <f>R[-2]C[0]/R[-3]C[0]</f>
        <v/>
      </c>
      <c r="W13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>
        <f>AVERAGE(B16,F16,J16,N16)</f>
        <v/>
      </c>
      <c r="G131" t="n">
        <v>389.6278347217003</v>
      </c>
      <c r="H131" t="inlineStr">
        <is>
          <t>{"type": "float", "value": 389.6278347217003}</t>
        </is>
      </c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>
        <f>AVERAGE(R[0]C[-14],R[0]C[-10],R[0]C[-6],R[0]C[-2])</f>
        <v/>
      </c>
      <c r="W13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>
        <f>MEDIAN(B16,F16,J16,N16)</f>
        <v/>
      </c>
      <c r="G132" t="n">
        <v>373.3672679835011</v>
      </c>
      <c r="H132" t="inlineStr">
        <is>
          <t>{"type": "float", "value": 373.36726798350105}</t>
        </is>
      </c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>
        <f>MEDIAN(R[0]C[-15],R[0]C[-11],R[0]C[-7],R[0]C[-3])</f>
        <v/>
      </c>
      <c r="W1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G133" t="inlineStr">
        <is>
          <t>Leading PE</t>
        </is>
      </c>
      <c r="H133" t="inlineStr">
        <is>
          <t>{"type": "str", "value": "Leading PE"}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>
        <f>B9/C3</f>
        <v/>
      </c>
      <c r="G134" t="n">
        <v>35.03555598380655</v>
      </c>
      <c r="H134" t="inlineStr">
        <is>
          <t>{"type": "float", "value": 35.03555598380655}</t>
        </is>
      </c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>
        <f>R[-9]C[0]/R[-15]C[1]</f>
        <v/>
      </c>
      <c r="W13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>
        <f>F9/G3</f>
        <v/>
      </c>
      <c r="G135" t="n">
        <v>37.98076923076923</v>
      </c>
      <c r="H135" t="inlineStr">
        <is>
          <t>{"type": "float", "value": 37.98076923076923}</t>
        </is>
      </c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>
        <f>R[-9]C[0]/R[-15]C[1]</f>
        <v/>
      </c>
      <c r="W13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>
        <f>J9/K3</f>
        <v/>
      </c>
      <c r="G136" t="n">
        <v>34.06432748538012</v>
      </c>
      <c r="H136" t="inlineStr">
        <is>
          <t>{"type": "float", "value": 34.06432748538012}</t>
        </is>
      </c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>
        <f>R[-9]C[0]/R[-15]C[1]</f>
        <v/>
      </c>
      <c r="W13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>
        <f>N9/O3</f>
        <v/>
      </c>
      <c r="G137" t="n">
        <v>89.53271028037383</v>
      </c>
      <c r="H137" t="inlineStr">
        <is>
          <t>{"type": "float", "value": 89.53271028037383}</t>
        </is>
      </c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>
        <f>R[-9]C[0]/R[-15]C[1]</f>
        <v/>
      </c>
      <c r="W13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>
        <f>AVERAGE(B18,F18,J18,N18)</f>
        <v/>
      </c>
      <c r="G138" t="n">
        <v>49.15334074508243</v>
      </c>
      <c r="H138" t="inlineStr">
        <is>
          <t>{"type": "float", "value": 49.15334074508243}</t>
        </is>
      </c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>
        <f>AVERAGE(R[0]C[-14],R[0]C[-10],R[0]C[-6],R[0]C[-2])</f>
        <v/>
      </c>
      <c r="W13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>
        <f>MEDIAN(B18,F18,J18,N18)</f>
        <v/>
      </c>
      <c r="G139" t="n">
        <v>36.50816260728789</v>
      </c>
      <c r="H139" t="inlineStr">
        <is>
          <t>{"type": "float", "value": 36.50816260728789}</t>
        </is>
      </c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>
        <f>MEDIAN(R[0]C[-15],R[0]C[-11],R[0]C[-7],R[0]C[-3])</f>
        <v/>
      </c>
      <c r="W1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G140" t="inlineStr">
        <is>
          <t>Leading PS</t>
        </is>
      </c>
      <c r="H140" t="inlineStr">
        <is>
          <t>{"type": "str", "value": "Leading PS"}</t>
        </is>
      </c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W14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>
        <f>B9/(C4/B8)</f>
        <v/>
      </c>
      <c r="G141" t="n">
        <v>2.276504676709047</v>
      </c>
      <c r="H141" t="inlineStr">
        <is>
          <t>{"type": "float", "value": 2.2765046767090467}</t>
        </is>
      </c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>
        <f>R[-10]C[0]/(R[-15]C[1]/R[-11]C[0])</f>
        <v/>
      </c>
      <c r="W141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>
        <f>F9/(G4/F8)</f>
        <v/>
      </c>
      <c r="G142" t="n">
        <v>2.964969906500579</v>
      </c>
      <c r="H142" t="inlineStr">
        <is>
          <t>{"type": "float", "value": 2.964969906500579}</t>
        </is>
      </c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>
        <f>R[-10]C[0]/(R[-15]C[1]/R[-11]C[0])</f>
        <v/>
      </c>
      <c r="W142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>
        <f>J9/(K4/J8)</f>
        <v/>
      </c>
      <c r="G143" t="n">
        <v>4.037687586754782</v>
      </c>
      <c r="H143" t="inlineStr">
        <is>
          <t>{"type": "float", "value": 4.037687586754782}</t>
        </is>
      </c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>
        <f>R[-10]C[0]/(R[-15]C[1]/R[-11]C[0])</f>
        <v/>
      </c>
      <c r="W143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>
        <f>N9/(O4/N8)</f>
        <v/>
      </c>
      <c r="G144" t="n">
        <v>2.58047138047138</v>
      </c>
      <c r="H144" t="inlineStr">
        <is>
          <t>{"type": "float", "value": 2.5804713804713804}</t>
        </is>
      </c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>
        <f>R[-10]C[0]/(R[-15]C[1]/R[-11]C[0])</f>
        <v/>
      </c>
      <c r="W144" t="inlineStr">
        <is>
          <t>{"number_format": "0.00",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>
        <f>AVERAGE(B19,F19,J19,N19)</f>
        <v/>
      </c>
      <c r="G145" t="n">
        <v>2.964908387608947</v>
      </c>
      <c r="H145" t="inlineStr">
        <is>
          <t>{"type": "float", "value": 2.964908387608947}</t>
        </is>
      </c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>
        <f>AVERAGE(R[0]C[-14],R[0]C[-10],R[0]C[-6],R[0]C[-2])</f>
        <v/>
      </c>
      <c r="W14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>
        <f>MEDIAN(B19,F19,J19,N19)</f>
        <v/>
      </c>
      <c r="G146" t="n">
        <v>2.77272064348598</v>
      </c>
      <c r="H146" t="inlineStr">
        <is>
          <t>{"type": "float", "value": 2.7727206434859797}</t>
        </is>
      </c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>
        <f>MEDIAN(R[0]C[-15],R[0]C[-11],R[0]C[-7],R[0]C[-3])</f>
        <v/>
      </c>
      <c r="W14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G147" t="inlineStr">
        <is>
          <t>Leading PEG</t>
        </is>
      </c>
      <c r="H147" t="inlineStr">
        <is>
          <t>{"type": "str", "value": "Leading PEG"}</t>
        </is>
      </c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R147" t="b">
        <v>1</v>
      </c>
      <c r="W14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>
        <f>B18/B13</f>
        <v/>
      </c>
      <c r="G148" t="n">
        <v>461.3806088211855</v>
      </c>
      <c r="H148" t="inlineStr">
        <is>
          <t>{"type": "float", "value": 461.3806088211855}</t>
        </is>
      </c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>
        <f>R[-2]C[0]/R[-7]C[0]</f>
        <v/>
      </c>
      <c r="W14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>
        <f>F18/F13</f>
        <v/>
      </c>
      <c r="G149" t="n">
        <v>278.3633314767698</v>
      </c>
      <c r="H149" t="inlineStr">
        <is>
          <t>{"type": "float", "value": 278.3633314767698}</t>
        </is>
      </c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>
        <f>R[-2]C[0]/R[-7]C[0]</f>
        <v/>
      </c>
      <c r="W14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>
        <f>J18/J13</f>
        <v/>
      </c>
      <c r="G150" t="n">
        <v>357.6177466004904</v>
      </c>
      <c r="H150" t="inlineStr">
        <is>
          <t>{"type": "float", "value": 357.61774660049036}</t>
        </is>
      </c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>
        <f>R[-2]C[0]/R[-7]C[0]</f>
        <v/>
      </c>
      <c r="W15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>
        <f>N18/N13</f>
        <v/>
      </c>
      <c r="G151" t="n">
        <v>624.172625992558</v>
      </c>
      <c r="H151" t="inlineStr">
        <is>
          <t>{"type": "float", "value": 624.172625992558}</t>
        </is>
      </c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>
        <f>R[-2]C[0]/R[-7]C[0]</f>
        <v/>
      </c>
      <c r="W15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>
        <f>AVERAGE(B20,F20,J20,N20)</f>
        <v/>
      </c>
      <c r="G152" t="n">
        <v>430.3835782227509</v>
      </c>
      <c r="H152" t="inlineStr">
        <is>
          <t>{"type": "float", "value": 430.3835782227509}</t>
        </is>
      </c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>
        <f>AVERAGE(R[0]C[-14],R[0]C[-10],R[0]C[-6],R[0]C[-2])</f>
        <v/>
      </c>
      <c r="W1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>
        <f>MEDIAN(B20,F20,J20,N20)</f>
        <v/>
      </c>
      <c r="G153" t="n">
        <v>409.4991777108379</v>
      </c>
      <c r="H153" t="inlineStr">
        <is>
          <t>{"type": "float", "value": 409.4991777108379}</t>
        </is>
      </c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>
        <f>MEDIAN(R[0]C[-15],R[0]C[-11],R[0]C[-7],R[0]C[-3])</f>
        <v/>
      </c>
      <c r="W15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G154" t="inlineStr">
        <is>
          <t>Trailing EV/EBITDA</t>
        </is>
      </c>
      <c r="H154" t="inlineStr">
        <is>
          <t>{"type": "str", "value": "Trailing EV/EBITDA"}</t>
        </is>
      </c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R154" t="b">
        <v>1</v>
      </c>
      <c r="W15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>
        <f>B12/B5</f>
        <v/>
      </c>
      <c r="G155" t="n">
        <v>14.89860670844085</v>
      </c>
      <c r="H155" t="inlineStr">
        <is>
          <t>{"type": "float", "value": 14.898606708440854}</t>
        </is>
      </c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>
        <f>R[-10]C[0]/R[-17]C[0]</f>
        <v/>
      </c>
      <c r="W15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>
        <f>F12/F5</f>
        <v/>
      </c>
      <c r="G156" t="n">
        <v>20.60762871834928</v>
      </c>
      <c r="H156" t="inlineStr">
        <is>
          <t>{"type": "float", "value": 20.607628718349282}</t>
        </is>
      </c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>
        <f>R[-10]C[0]/R[-17]C[0]</f>
        <v/>
      </c>
      <c r="W15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>
        <f>J12/J5</f>
        <v/>
      </c>
      <c r="G157" t="n">
        <v>20.63991546827483</v>
      </c>
      <c r="H157" t="inlineStr">
        <is>
          <t>{"type": "float", "value": 20.639915468274832}</t>
        </is>
      </c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>
        <f>R[-10]C[0]/R[-17]C[0]</f>
        <v/>
      </c>
      <c r="W15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>
        <f>N12/N5</f>
        <v/>
      </c>
      <c r="G158" t="n">
        <v>15.25167785234899</v>
      </c>
      <c r="H158" t="inlineStr">
        <is>
          <t>{"type": "float", "value": 15.251677852348992}</t>
        </is>
      </c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>
        <f>R[-10]C[0]/R[-17]C[0]</f>
        <v/>
      </c>
      <c r="W15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>
        <f>AVERAGE(B22,F22,J22,N22)</f>
        <v/>
      </c>
      <c r="G159" t="n">
        <v>17.84945718685349</v>
      </c>
      <c r="H159" t="inlineStr">
        <is>
          <t>{"type": "float", "value": 17.84945718685349}</t>
        </is>
      </c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>
        <f>AVERAGE(R[0]C[-14],R[0]C[-10],R[0]C[-6],R[0]C[-2])</f>
        <v/>
      </c>
      <c r="W15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>
        <f>MEDIAN(B22,F22,J22,N22)</f>
        <v/>
      </c>
      <c r="G160" t="n">
        <v>17.92965328534914</v>
      </c>
      <c r="H160" t="inlineStr">
        <is>
          <t>{"type": "float", "value": 17.929653285349136}</t>
        </is>
      </c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>
        <f>MEDIAN(R[0]C[-15],R[0]C[-11],R[0]C[-7],R[0]C[-3])</f>
        <v/>
      </c>
      <c r="W16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G161" t="inlineStr">
        <is>
          <t>Trailing EV/Sales</t>
        </is>
      </c>
      <c r="H161" t="inlineStr">
        <is>
          <t>{"type": "str", "value": "Trailing EV/Sales"}</t>
        </is>
      </c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R161" t="b">
        <v>1</v>
      </c>
      <c r="W16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>
        <f>B12/B4</f>
        <v/>
      </c>
      <c r="G162" t="n">
        <v>2.26001857818718</v>
      </c>
      <c r="H162" t="inlineStr">
        <is>
          <t>{"type": "float", "value": 2.2600185781871804}</t>
        </is>
      </c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>
        <f>R[-11]C[0]/R[-19]C[0]</f>
        <v/>
      </c>
      <c r="W16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>
        <f>F12/F4</f>
        <v/>
      </c>
      <c r="G163" t="n">
        <v>3.920122830804282</v>
      </c>
      <c r="H163" t="inlineStr">
        <is>
          <t>{"type": "float", "value": 3.920122830804282}</t>
        </is>
      </c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>
        <f>R[-11]C[0]/R[-19]C[0]</f>
        <v/>
      </c>
      <c r="W163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>
        <f>J12/J4</f>
        <v/>
      </c>
      <c r="G164" t="n">
        <v>3.833050952914262</v>
      </c>
      <c r="H164" t="inlineStr">
        <is>
          <t>{"type": "float", "value": 3.833050952914262}</t>
        </is>
      </c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>
        <f>R[-11]C[0]/R[-19]C[0]</f>
        <v/>
      </c>
      <c r="W164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>
        <f>N12/N4</f>
        <v/>
      </c>
      <c r="G165" t="n">
        <v>3.590047393364929</v>
      </c>
      <c r="H165" t="inlineStr">
        <is>
          <t>{"type": "float", "value": 3.5900473933649293}</t>
        </is>
      </c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>
        <f>R[-11]C[0]/R[-19]C[0]</f>
        <v/>
      </c>
      <c r="W16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>
        <f>AVERAGE(B23,F23,J23,N23)</f>
        <v/>
      </c>
      <c r="G166" t="n">
        <v>3.400809938817663</v>
      </c>
      <c r="H166" t="inlineStr">
        <is>
          <t>{"type": "float", "value": 3.4008099388176634}</t>
        </is>
      </c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>
        <f>AVERAGE(R[0]C[-14],R[0]C[-10],R[0]C[-6],R[0]C[-2])</f>
        <v/>
      </c>
      <c r="W16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>
        <f>MEDIAN(B23,F23,J23,N23)</f>
        <v/>
      </c>
      <c r="G167" t="n">
        <v>3.711549173139596</v>
      </c>
      <c r="H167" t="inlineStr">
        <is>
          <t>{"type": "float", "value": 3.7115491731395958}</t>
        </is>
      </c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>
        <f>MEDIAN(R[0]C[-15],R[0]C[-11],R[0]C[-7],R[0]C[-3])</f>
        <v/>
      </c>
      <c r="W16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G168" t="inlineStr">
        <is>
          <t>Leading EV/EBITDA</t>
        </is>
      </c>
      <c r="H168" t="inlineStr">
        <is>
          <t>{"type": "str", "value": "Leading EV/EBITDA"}</t>
        </is>
      </c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R168" t="b">
        <v>1</v>
      </c>
      <c r="W1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>
        <f>B12/C5</f>
        <v/>
      </c>
      <c r="G169" t="n">
        <v>15.35739678892468</v>
      </c>
      <c r="H169" t="inlineStr">
        <is>
          <t>{"type": "float", "value": 15.357396788924678}</t>
        </is>
      </c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>
        <f>R[-12]C[0]/R[-19]C[1]</f>
        <v/>
      </c>
      <c r="W16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>
        <f>F12/G5</f>
        <v/>
      </c>
      <c r="G170" t="n">
        <v>18.63885904361008</v>
      </c>
      <c r="H170" t="inlineStr">
        <is>
          <t>{"type": "float", "value": 18.638859043610083}</t>
        </is>
      </c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>
        <f>R[-12]C[0]/R[-19]C[1]</f>
        <v/>
      </c>
      <c r="W170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>
        <f>J12/K5</f>
        <v/>
      </c>
      <c r="G171" t="n">
        <v>19.02755999049656</v>
      </c>
      <c r="H171" t="inlineStr">
        <is>
          <t>{"type": "float", "value": 19.027559990496556}</t>
        </is>
      </c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>
        <f>R[-12]C[0]/R[-19]C[1]</f>
        <v/>
      </c>
      <c r="W171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>
        <f>N12/O5</f>
        <v/>
      </c>
      <c r="G172" t="n">
        <v>14.55907292255512</v>
      </c>
      <c r="H172" t="inlineStr">
        <is>
          <t>{"type": "float", "value": 14.559072922555115}</t>
        </is>
      </c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>
        <f>R[-12]C[0]/R[-19]C[1]</f>
        <v/>
      </c>
      <c r="W172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>
        <f>AVERAGE(B24,F24,J24,N24)</f>
        <v/>
      </c>
      <c r="G173" t="n">
        <v>16.89572218639661</v>
      </c>
      <c r="H173" t="inlineStr">
        <is>
          <t>{"type": "float", "value": 16.895722186396608}</t>
        </is>
      </c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>
        <f>AVERAGE(R[0]C[-14],R[0]C[-10],R[0]C[-6],R[0]C[-2])</f>
        <v/>
      </c>
      <c r="W17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>
        <f>MEDIAN(B24,F24,J24,N24)</f>
        <v/>
      </c>
      <c r="G174" t="n">
        <v>16.99812791626738</v>
      </c>
      <c r="H174" t="inlineStr">
        <is>
          <t>{"type": "float", "value": 16.99812791626738}</t>
        </is>
      </c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>
        <f>MEDIAN(R[0]C[-15],R[0]C[-11],R[0]C[-7],R[0]C[-3])</f>
        <v/>
      </c>
      <c r="W17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G175" t="inlineStr">
        <is>
          <t xml:space="preserve">Leading EV/Sales </t>
        </is>
      </c>
      <c r="H175" t="inlineStr">
        <is>
          <t>{"type": "str", "value": "Leading EV/Sales "}</t>
        </is>
      </c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R175" t="b">
        <v>1</v>
      </c>
      <c r="W17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>
        <f>B12/C4</f>
        <v/>
      </c>
      <c r="G176" t="n">
        <v>2.099253000314959</v>
      </c>
      <c r="H176" t="inlineStr">
        <is>
          <t>{"type": "float", "value": 2.0992530003149588}</t>
        </is>
      </c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>
        <f>R[-13]C[0]/R[-21]C[1]</f>
        <v/>
      </c>
      <c r="W17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>
        <f>F12/G4</f>
        <v/>
      </c>
      <c r="G177" t="n">
        <v>3.469258606850414</v>
      </c>
      <c r="H177" t="inlineStr">
        <is>
          <t>{"type": "float", "value": 3.4692586068504143}</t>
        </is>
      </c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>
        <f>R[-13]C[0]/R[-21]C[1]</f>
        <v/>
      </c>
      <c r="W177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>
        <f>J12/K4</f>
        <v/>
      </c>
      <c r="G178" t="n">
        <v>3.495813945367404</v>
      </c>
      <c r="H178" t="inlineStr">
        <is>
          <t>{"type": "float", "value": 3.4958139453674035}</t>
        </is>
      </c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>
        <f>R[-13]C[0]/R[-21]C[1]</f>
        <v/>
      </c>
      <c r="W178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>
        <f>N12/O4</f>
        <v/>
      </c>
      <c r="G179" t="n">
        <v>3.153351698806244</v>
      </c>
      <c r="H179" t="inlineStr">
        <is>
          <t>{"type": "float", "value": 3.153351698806244}</t>
        </is>
      </c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>
        <f>R[-13]C[0]/R[-21]C[1]</f>
        <v/>
      </c>
      <c r="W179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>
        <f>AVERAGE(B25,F25,J25,N25)</f>
        <v/>
      </c>
      <c r="G180" t="n">
        <v>3.054419312834755</v>
      </c>
      <c r="H180" t="inlineStr">
        <is>
          <t>{"type": "float", "value": 3.054419312834755}</t>
        </is>
      </c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>
        <f>AVERAGE(R[0]C[-14],R[0]C[-10],R[0]C[-6],R[0]C[-2])</f>
        <v/>
      </c>
      <c r="W18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>
        <f>MEDIAN(B25,F25,J25,N25)</f>
        <v/>
      </c>
      <c r="G181" t="n">
        <v>3.311305152828329</v>
      </c>
      <c r="H181" t="inlineStr">
        <is>
          <t>{"type": "float", "value": 3.3113051528283295}</t>
        </is>
      </c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>
        <f>MEDIAN(R[0]C[-15],R[0]C[-11],R[0]C[-7],R[0]C[-3])</f>
        <v/>
      </c>
      <c r="W18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G182" t="inlineStr">
        <is>
          <t>min</t>
        </is>
      </c>
      <c r="H182" t="inlineStr">
        <is>
          <t>{"type": "str", "value": "min"}</t>
        </is>
      </c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R182" t="b">
        <v>1</v>
      </c>
      <c r="W18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G183" t="inlineStr">
        <is>
          <t>max</t>
        </is>
      </c>
      <c r="H183" t="inlineStr">
        <is>
          <t>{"type": "str", "value": "max"}</t>
        </is>
      </c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R183" t="b">
        <v>1</v>
      </c>
      <c r="W1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G184" t="inlineStr">
        <is>
          <t>Weights</t>
        </is>
      </c>
      <c r="H184" t="inlineStr">
        <is>
          <t>{"type": "str", "value": "Weights"}</t>
        </is>
      </c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R184" t="b">
        <v>1</v>
      </c>
      <c r="W1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G185" t="inlineStr">
        <is>
          <t>Trailing PE</t>
        </is>
      </c>
      <c r="H185" t="inlineStr">
        <is>
          <t>{"type": "str", "value": "Trailing PE"}</t>
        </is>
      </c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R185" t="b">
        <v>1</v>
      </c>
      <c r="W18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>
        <f>$Q$14*$B$3*0.8</f>
        <v/>
      </c>
      <c r="G186" t="n">
        <v>1649.625969799636</v>
      </c>
      <c r="H186" t="inlineStr">
        <is>
          <t>{"type": "float", "value": 1649.6259697996356}</t>
        </is>
      </c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R186" t="b">
        <v>1</v>
      </c>
      <c r="V186">
        <f>R14C17*R3C2*0.8</f>
        <v/>
      </c>
      <c r="W18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>
        <f>$Q$14*$B$3*1.2</f>
        <v/>
      </c>
      <c r="G187" t="n">
        <v>2474.438954699453</v>
      </c>
      <c r="H187" t="inlineStr">
        <is>
          <t>{"type": "float", "value": 2474.4389546994535}</t>
        </is>
      </c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R187" t="b">
        <v>1</v>
      </c>
      <c r="V187">
        <f>R14C17*R3C2*1.2</f>
        <v/>
      </c>
      <c r="W18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G188" t="n">
        <v>0.05</v>
      </c>
      <c r="H188" t="inlineStr">
        <is>
          <t>{"type": "float", "value": 0.05}</t>
        </is>
      </c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R188" t="b">
        <v>1</v>
      </c>
      <c r="W18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G189" t="inlineStr">
        <is>
          <t>Trailing PS</t>
        </is>
      </c>
      <c r="H189" t="inlineStr">
        <is>
          <t>{"type": "str", "value": "Trailing PS"}</t>
        </is>
      </c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R189" t="b">
        <v>1</v>
      </c>
      <c r="W1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>
        <f>$Q$15*($B$4/$B$8)*0.8</f>
        <v/>
      </c>
      <c r="G190" t="n">
        <v>1804.199077708957</v>
      </c>
      <c r="H190" t="inlineStr">
        <is>
          <t>{"type": "float", "value": 1804.199077708957}</t>
        </is>
      </c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R190" t="b">
        <v>1</v>
      </c>
      <c r="V190">
        <f>R15C17*(R4C2/R8C2)*0.8</f>
        <v/>
      </c>
      <c r="W19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>
        <f>$Q$15*($B$4/$B$8)*1.2</f>
        <v/>
      </c>
      <c r="G191" t="n">
        <v>2706.298616563435</v>
      </c>
      <c r="H191" t="inlineStr">
        <is>
          <t>{"type": "float", "value": 2706.298616563435}</t>
        </is>
      </c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R191" t="b">
        <v>1</v>
      </c>
      <c r="V191">
        <f>R15C17*(R4C2/R8C2)*1.2</f>
        <v/>
      </c>
      <c r="W19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G192" t="n">
        <v>0.05</v>
      </c>
      <c r="H192" t="inlineStr">
        <is>
          <t>{"type": "float", "value": 0.05}</t>
        </is>
      </c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R192" t="b">
        <v>1</v>
      </c>
      <c r="W19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G193" t="inlineStr">
        <is>
          <t>Final Valuation</t>
        </is>
      </c>
      <c r="H193" t="inlineStr">
        <is>
          <t>{"type": "str", "value": "Final Valuation"}</t>
        </is>
      </c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W1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H194" t="inlineStr">
        <is>
          <t>{"type": "null", "value": null}</t>
        </is>
      </c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R194" t="b">
        <v>0</v>
      </c>
      <c r="W19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G195" t="inlineStr">
        <is>
          <t>Trailing PEG</t>
        </is>
      </c>
      <c r="H195" t="inlineStr">
        <is>
          <t>{"type": "str", "value": "Trailing PEG"}</t>
        </is>
      </c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R195" t="b">
        <v>1</v>
      </c>
      <c r="W19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>
        <f>$Q$16*$B$3*$B$13*0.8</f>
        <v/>
      </c>
      <c r="G196" t="n">
        <v>1100.184510059806</v>
      </c>
      <c r="H196" t="inlineStr">
        <is>
          <t>{"type": "float", "value": 1100.1845100598057}</t>
        </is>
      </c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R196" t="b">
        <v>1</v>
      </c>
      <c r="V196">
        <f>R16C17*R3C2*R13C2*0.8</f>
        <v/>
      </c>
      <c r="W19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>
        <f>$Q$16*$B$3*$B$13*1.2</f>
        <v/>
      </c>
      <c r="G197" t="n">
        <v>1650.276765089709</v>
      </c>
      <c r="H197" t="inlineStr">
        <is>
          <t>{"type": "float", "value": 1650.2767650897085}</t>
        </is>
      </c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R197" t="b">
        <v>1</v>
      </c>
      <c r="V197">
        <f>R16C17*R3C2*R13C2*1.2</f>
        <v/>
      </c>
      <c r="W19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G198" t="n">
        <v>0.05</v>
      </c>
      <c r="H198" t="inlineStr">
        <is>
          <t>{"type": "float", "value": 0.05}</t>
        </is>
      </c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R198" t="b">
        <v>1</v>
      </c>
      <c r="W19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G199" t="inlineStr">
        <is>
          <t>Min</t>
        </is>
      </c>
      <c r="H199" t="inlineStr">
        <is>
          <t>{"type": "str", "value": "Min"}</t>
        </is>
      </c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R199" t="b">
        <v>1</v>
      </c>
      <c r="W19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G200" t="inlineStr">
        <is>
          <t>Max</t>
        </is>
      </c>
      <c r="H200" t="inlineStr">
        <is>
          <t>{"type": "str", "value": "Max"}</t>
        </is>
      </c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R200" t="b">
        <v>1</v>
      </c>
      <c r="W20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G201" t="inlineStr">
        <is>
          <t>Leading PE</t>
        </is>
      </c>
      <c r="H201" t="inlineStr">
        <is>
          <t>{"type": "str", "value": "Leading PE"}</t>
        </is>
      </c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R201" t="b">
        <v>1</v>
      </c>
      <c r="W20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>
        <f>$Q$18*$C$3*0.8</f>
        <v/>
      </c>
      <c r="G202" t="n">
        <v>1465.513489057271</v>
      </c>
      <c r="H202" t="inlineStr">
        <is>
          <t>{"type": "float", "value": 1465.513489057271}</t>
        </is>
      </c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R202" t="b">
        <v>1</v>
      </c>
      <c r="V202">
        <f>R18C17*R3C3*0.8</f>
        <v/>
      </c>
      <c r="W20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>
        <f>$Q$18*$C$3*1.2</f>
        <v/>
      </c>
      <c r="G203" t="n">
        <v>2198.270233585906</v>
      </c>
      <c r="H203" t="inlineStr">
        <is>
          <t>{"type": "float", "value": 2198.270233585906}</t>
        </is>
      </c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R203" t="b">
        <v>1</v>
      </c>
      <c r="V203">
        <f>R18C17*R3C3*1.2</f>
        <v/>
      </c>
      <c r="W20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G204" t="n">
        <v>0.05</v>
      </c>
      <c r="H204" t="inlineStr">
        <is>
          <t>{"type": "float", "value": 0.05}</t>
        </is>
      </c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R204" t="b">
        <v>1</v>
      </c>
      <c r="W20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>
        <f>SUMPRODUCT(B29:B40,D29:D40)</f>
        <v/>
      </c>
      <c r="G205" t="n">
        <v>1090.853753518176</v>
      </c>
      <c r="H205" t="inlineStr">
        <is>
          <t>{"type": "float", "value": 1090.853753518176}</t>
        </is>
      </c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R205" t="b">
        <v>1</v>
      </c>
      <c r="V205">
        <f>SUMPRODUCT(R[-3]C[-7]:R[8]C[-7],R[-3]C[-5]:R[8]C[-5])</f>
        <v/>
      </c>
      <c r="W205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>
        <f>SUMPRODUCT(C29:C40,D29:D40)</f>
        <v/>
      </c>
      <c r="G206" t="n">
        <v>1636.280630277264</v>
      </c>
      <c r="H206" t="inlineStr">
        <is>
          <t>{"type": "float", "value": 1636.2806302772642}</t>
        </is>
      </c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R206" t="b">
        <v>1</v>
      </c>
      <c r="V206">
        <f>SUMPRODUCT(R[-3]C[-7]:R[8]C[-7],R[-3]C[-6]:R[8]C[-6])</f>
        <v/>
      </c>
      <c r="W206" t="inlineStr">
        <is>
          <t>{"number_format": "0.0", "font": {"name": "Calibri", "size": 11.0, "bold": false, "italic": false, "underline": null, "strike": null, "color": {"type": "rgb", "rgb": "FF000000", "indexed": null, "theme": null, "tint": 0.0, "auto": null}, "vert_align": null}, "fill": {"fill_type": "solid", "fg_color": {"type": "rgb", "rgb": "FFFFFF00", "indexed": null, "theme": null, "tint": 0.0, "auto": null}, "bg_color": {"type": "indexed", "rgb": "Values must be of type &lt;class 'str'&gt;", "indexed": 64,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G207" t="inlineStr">
        <is>
          <t>Leading PS</t>
        </is>
      </c>
      <c r="H207" t="inlineStr">
        <is>
          <t>{"type": "str", "value": "Leading PS"}</t>
        </is>
      </c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R207" t="b">
        <v>1</v>
      </c>
      <c r="W2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>
        <f>$Q$19*($C$4/$B$8)*0.8</f>
        <v/>
      </c>
      <c r="G208" t="n">
        <v>1712.956864483996</v>
      </c>
      <c r="H208" t="inlineStr">
        <is>
          <t>{"type": "float", "value": 1712.9568644839962}</t>
        </is>
      </c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R208" t="b">
        <v>1</v>
      </c>
      <c r="V208">
        <f>R19C17*(R4C3/R8C2)*0.8</f>
        <v/>
      </c>
      <c r="W20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>
        <f>$Q$19*($C$4/$B$8)*1.2</f>
        <v/>
      </c>
      <c r="G209" t="n">
        <v>2569.435296725994</v>
      </c>
      <c r="H209" t="inlineStr">
        <is>
          <t>{"type": "float", "value": 2569.4352967259942}</t>
        </is>
      </c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R209" t="b">
        <v>1</v>
      </c>
      <c r="V209">
        <f>R19C17*(R4C3/R8C2)*1.2</f>
        <v/>
      </c>
      <c r="W20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G210" t="n">
        <v>0.05</v>
      </c>
      <c r="H210" t="inlineStr">
        <is>
          <t>{"type": "float", "value": 0.05}</t>
        </is>
      </c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R210" t="b">
        <v>1</v>
      </c>
      <c r="W2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G211" t="inlineStr">
        <is>
          <t>Leading PEG</t>
        </is>
      </c>
      <c r="H211" t="inlineStr">
        <is>
          <t>{"type": "str", "value": "Leading PEG"}</t>
        </is>
      </c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R211" t="b">
        <v>1</v>
      </c>
      <c r="W2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>
        <f>$Q$20*$C$3*$B$13*0.8</f>
        <v/>
      </c>
      <c r="G212" t="n">
        <v>1248.252814534146</v>
      </c>
      <c r="H212" t="inlineStr">
        <is>
          <t>{"type": "float", "value": 1248.2528145341457}</t>
        </is>
      </c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R212" t="b">
        <v>1</v>
      </c>
      <c r="V212">
        <f>R20C17*R3C3*R13C2*0.8</f>
        <v/>
      </c>
      <c r="W21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>
        <f>$Q$20*$C$3*$B$13*1.2</f>
        <v/>
      </c>
      <c r="G213" t="n">
        <v>1872.379221801218</v>
      </c>
      <c r="H213" t="inlineStr">
        <is>
          <t>{"type": "float", "value": 1872.3792218012181}</t>
        </is>
      </c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R213" t="b">
        <v>1</v>
      </c>
      <c r="V213">
        <f>R20C17*R3C3*R13C2*1.2</f>
        <v/>
      </c>
      <c r="W21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G214" t="n">
        <v>0.05</v>
      </c>
      <c r="H214" t="inlineStr">
        <is>
          <t>{"type": "float", "value": 0.05}</t>
        </is>
      </c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R214" t="b">
        <v>1</v>
      </c>
      <c r="W21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G215" t="inlineStr">
        <is>
          <t>Trailing EV/EBITDA</t>
        </is>
      </c>
      <c r="H215" t="inlineStr">
        <is>
          <t>{"type": "str", "value": "Trailing EV/EBITDA"}</t>
        </is>
      </c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R215" t="b">
        <v>1</v>
      </c>
      <c r="W2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>
        <f>D45*0.8</f>
        <v/>
      </c>
      <c r="G216" t="n">
        <v>1670.246931438038</v>
      </c>
      <c r="H216" t="inlineStr">
        <is>
          <t>{"type": "float", "value": 1670.2469314380376}</t>
        </is>
      </c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>
        <f>R[10]C[2]*0.8</f>
        <v/>
      </c>
      <c r="W216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>
        <f>D45*1.2</f>
        <v/>
      </c>
      <c r="G217" t="n">
        <v>2505.370397157056</v>
      </c>
      <c r="H217" t="inlineStr">
        <is>
          <t>{"type": "float", "value": 2505.3703971570562}</t>
        </is>
      </c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>
        <f>R[10]C[1]*1.2</f>
        <v/>
      </c>
      <c r="W21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G218" t="n">
        <v>0.05</v>
      </c>
      <c r="H218" t="inlineStr">
        <is>
          <t>{"type": "float", "value": 0.05}</t>
        </is>
      </c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R218" t="b">
        <v>1</v>
      </c>
      <c r="W2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G219" t="inlineStr">
        <is>
          <t>Trailing EV/Sales</t>
        </is>
      </c>
      <c r="H219" t="inlineStr">
        <is>
          <t>{"type": "str", "value": "Trailing EV/Sales"}</t>
        </is>
      </c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R219" t="b">
        <v>1</v>
      </c>
      <c r="W21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>
        <f>D46*0.8</f>
        <v/>
      </c>
      <c r="G220" t="n">
        <v>2239.350663437083</v>
      </c>
      <c r="H220" t="inlineStr">
        <is>
          <t>{"type": "float", "value": 2239.350663437083}</t>
        </is>
      </c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>
        <f>R[10]C[2]*0.8</f>
        <v/>
      </c>
      <c r="W22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>
        <f>D46*1.2</f>
        <v/>
      </c>
      <c r="G221" t="n">
        <v>3359.025995155624</v>
      </c>
      <c r="H221" t="inlineStr">
        <is>
          <t>{"type": "float", "value": 3359.025995155624}</t>
        </is>
      </c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>
        <f>R[10]C[1]*1.2</f>
        <v/>
      </c>
      <c r="W22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G222" t="n">
        <v>0.05</v>
      </c>
      <c r="H222" t="inlineStr">
        <is>
          <t>{"type": "float", "value": 0.05}</t>
        </is>
      </c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R222" t="b">
        <v>1</v>
      </c>
      <c r="W2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G223" t="inlineStr">
        <is>
          <t>Leading EV/EBITDA</t>
        </is>
      </c>
      <c r="H223" t="inlineStr">
        <is>
          <t>{"type": "str", "value": "Leading EV/EBITDA"}</t>
        </is>
      </c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R223" t="b">
        <v>1</v>
      </c>
      <c r="W22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>
        <f>D47*0.8</f>
        <v/>
      </c>
      <c r="G224" t="n">
        <v>1544.955862338204</v>
      </c>
      <c r="H224" t="inlineStr">
        <is>
          <t>{"type": "float", "value": 1544.9558623382036}</t>
        </is>
      </c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>
        <f>R[10]C[2]*0.8</f>
        <v/>
      </c>
      <c r="W22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>
        <f>D47*1.2</f>
        <v/>
      </c>
      <c r="G225" t="n">
        <v>2317.433793507305</v>
      </c>
      <c r="H225" t="inlineStr">
        <is>
          <t>{"type": "float", "value": 2317.433793507305}</t>
        </is>
      </c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>
        <f>R[10]C[1]*1.2</f>
        <v/>
      </c>
      <c r="W225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G226" t="n">
        <v>0.05</v>
      </c>
      <c r="H226" t="inlineStr">
        <is>
          <t>{"type": "float", "value": 0.05}</t>
        </is>
      </c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R226" t="b">
        <v>1</v>
      </c>
      <c r="W22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G227" t="inlineStr">
        <is>
          <t xml:space="preserve">Leading EV/Sales </t>
        </is>
      </c>
      <c r="H227" t="inlineStr">
        <is>
          <t>{"type": "str", "value": "Leading EV/Sales "}</t>
        </is>
      </c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R227" t="b">
        <v>1</v>
      </c>
      <c r="W22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>
        <f>D48*0.8</f>
        <v/>
      </c>
      <c r="G228" t="n">
        <v>2155.19272805143</v>
      </c>
      <c r="H228" t="inlineStr">
        <is>
          <t>{"type": "float", "value": 2155.1927280514296}</t>
        </is>
      </c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>
        <f>R[10]C[2]*0.8</f>
        <v/>
      </c>
      <c r="W22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>
        <f>D48*1.2</f>
        <v/>
      </c>
      <c r="G229" t="n">
        <v>3232.789092077145</v>
      </c>
      <c r="H229" t="inlineStr">
        <is>
          <t>{"type": "float", "value": 3232.7890920771447}</t>
        </is>
      </c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>
        <f>R[10]C[1]*1.2</f>
        <v/>
      </c>
      <c r="W22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G230" t="n">
        <v>0.05</v>
      </c>
      <c r="H230" t="inlineStr">
        <is>
          <t>{"type": "float", "value": 0.05}</t>
        </is>
      </c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R230" t="b">
        <v>1</v>
      </c>
      <c r="W2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G231" t="inlineStr">
        <is>
          <t>DCF</t>
        </is>
      </c>
      <c r="H231" t="inlineStr">
        <is>
          <t>{"type": "str", "value": "DCF"}</t>
        </is>
      </c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R231" t="b">
        <v>1</v>
      </c>
      <c r="W23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>
        <f>DCF!H27*0.8</f>
        <v/>
      </c>
      <c r="G232" t="n">
        <v>522.6596159454955</v>
      </c>
      <c r="H232" t="inlineStr">
        <is>
          <t>{"type": "float", "value": 522.6596159454955}</t>
        </is>
      </c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R232" t="b">
        <v>1</v>
      </c>
      <c r="V232">
        <f>'DCF'!R[-13]C[6]*0.8</f>
        <v/>
      </c>
      <c r="W23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>
        <f>DCF!H27*1.2</f>
        <v/>
      </c>
      <c r="G233" t="n">
        <v>783.9894239182431</v>
      </c>
      <c r="H233" t="inlineStr">
        <is>
          <t>{"type": "float", "value": 783.9894239182431}</t>
        </is>
      </c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R233" t="b">
        <v>1</v>
      </c>
      <c r="V233">
        <f>'DCF'!R[-13]C[5]*1.2</f>
        <v/>
      </c>
      <c r="W23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G234" t="n">
        <v>0.5</v>
      </c>
      <c r="H234" t="inlineStr">
        <is>
          <t>{"type": "float", "value": 0.5}</t>
        </is>
      </c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R234" t="b">
        <v>1</v>
      </c>
      <c r="W2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G235" t="inlineStr">
        <is>
          <t>EV</t>
        </is>
      </c>
      <c r="H235" t="inlineStr">
        <is>
          <t>{"type": "str", "value": "EV"}</t>
        </is>
      </c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R235" t="b">
        <v>1</v>
      </c>
      <c r="W23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G236" t="inlineStr">
        <is>
          <t>Equity value</t>
        </is>
      </c>
      <c r="H236" t="inlineStr">
        <is>
          <t>{"type": "str", "value": "Equity value"}</t>
        </is>
      </c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R236" t="b">
        <v>1</v>
      </c>
      <c r="W23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G237" t="inlineStr">
        <is>
          <t>Stock price</t>
        </is>
      </c>
      <c r="H237" t="inlineStr">
        <is>
          <t>{"type": "str", "value": "Stock price"}</t>
        </is>
      </c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R237" t="b">
        <v>1</v>
      </c>
      <c r="W23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G238" t="inlineStr">
        <is>
          <t>Trailing EV/EBITDA</t>
        </is>
      </c>
      <c r="H238" t="inlineStr">
        <is>
          <t>{"type": "str", "value": "Trailing EV/EBITDA"}</t>
        </is>
      </c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R238" t="b">
        <v>1</v>
      </c>
      <c r="W23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>
        <f>Q22*B5</f>
        <v/>
      </c>
      <c r="G239" t="n">
        <v>36482.36202236412</v>
      </c>
      <c r="H239" t="inlineStr">
        <is>
          <t>{"type": "float", "value": 36482.36202236412}</t>
        </is>
      </c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R239" t="b">
        <v>1</v>
      </c>
      <c r="V239">
        <f>R[-23]C[15]*R[-40]C[0]</f>
        <v/>
      </c>
      <c r="W239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>
        <f>B45-$B$6+$B$7</f>
        <v/>
      </c>
      <c r="G240" t="n">
        <v>39042.02202236412</v>
      </c>
      <c r="H240" t="inlineStr">
        <is>
          <t>{"type": "float", "value": 39042.02202236412}</t>
        </is>
      </c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>
        <f>R[0]C[-1]-R6C2+R7C2</f>
        <v/>
      </c>
      <c r="W240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>
        <f>C45/$B$8</f>
        <v/>
      </c>
      <c r="G241" t="n">
        <v>2087.808664297547</v>
      </c>
      <c r="H241" t="inlineStr">
        <is>
          <t>{"type": "float", "value": 2087.808664297547}</t>
        </is>
      </c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>
        <f>R[0]C[-1]/R8C2</f>
        <v/>
      </c>
      <c r="W241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G242" t="inlineStr">
        <is>
          <t>Trailing EV/Sales</t>
        </is>
      </c>
      <c r="H242" t="inlineStr">
        <is>
          <t>{"type": "str", "value": "Trailing EV/Sales"}</t>
        </is>
      </c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R242" t="b">
        <v>1</v>
      </c>
      <c r="W2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>
        <f>Q23*B4</f>
        <v/>
      </c>
      <c r="G243" t="n">
        <v>49785.16175784182</v>
      </c>
      <c r="H243" t="inlineStr">
        <is>
          <t>{"type": "float", "value": 49785.161757841815}</t>
        </is>
      </c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R243" t="b">
        <v>1</v>
      </c>
      <c r="V243">
        <f>R[-23]C[15]*R[-42]C[0]</f>
        <v/>
      </c>
      <c r="W243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>
        <f>B46-$B$6+$B$7</f>
        <v/>
      </c>
      <c r="G244" t="n">
        <v>52344.82175784181</v>
      </c>
      <c r="H244" t="inlineStr">
        <is>
          <t>{"type": "float", "value": 52344.82175784181}</t>
        </is>
      </c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>
        <f>R[0]C[-1]-R6C2+R7C2</f>
        <v/>
      </c>
      <c r="W244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>
        <f>C46/$B$8</f>
        <v/>
      </c>
      <c r="G245" t="n">
        <v>2799.188329296353</v>
      </c>
      <c r="H245" t="inlineStr">
        <is>
          <t>{"type": "float", "value": 2799.1883292963535}</t>
        </is>
      </c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>
        <f>R[0]C[-1]/R8C2</f>
        <v/>
      </c>
      <c r="W245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G246" t="inlineStr">
        <is>
          <t>Leading EV/EBITDA</t>
        </is>
      </c>
      <c r="H246" t="inlineStr">
        <is>
          <t>{"type": "str", "value": "Leading EV/EBITDA"}</t>
        </is>
      </c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R246" t="b">
        <v>1</v>
      </c>
      <c r="W24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>
        <f>Q24*C5</f>
        <v/>
      </c>
      <c r="G247" t="n">
        <v>33553.6832821555</v>
      </c>
      <c r="H247" t="inlineStr">
        <is>
          <t>{"type": "float", "value": 33553.6832821555}</t>
        </is>
      </c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R247" t="b">
        <v>1</v>
      </c>
      <c r="V247">
        <f>R[-23]C[15]*R[-42]C[1]</f>
        <v/>
      </c>
      <c r="W247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>
        <f>B47-$B$6+$B$7</f>
        <v/>
      </c>
      <c r="G248" t="n">
        <v>36113.3432821555</v>
      </c>
      <c r="H248" t="inlineStr">
        <is>
          <t>{"type": "float", "value": 36113.3432821555}</t>
        </is>
      </c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>
        <f>R[0]C[-1]-R6C2+R7C2</f>
        <v/>
      </c>
      <c r="W248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>
        <f>C47/$B$8</f>
        <v/>
      </c>
      <c r="G249" t="n">
        <v>1931.194827922754</v>
      </c>
      <c r="H249" t="inlineStr">
        <is>
          <t>{"type": "float", "value": 1931.1948279227543}</t>
        </is>
      </c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>
        <f>R[0]C[-1]/R8C2</f>
        <v/>
      </c>
      <c r="W249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G250" t="inlineStr">
        <is>
          <t xml:space="preserve">Leading EV/Sales </t>
        </is>
      </c>
      <c r="H250" t="inlineStr">
        <is>
          <t>{"type": "str", "value": "Leading EV/Sales "}</t>
        </is>
      </c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R250" t="b">
        <v>1</v>
      </c>
      <c r="W25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>
        <f>Q25*C4</f>
        <v/>
      </c>
      <c r="G251" t="n">
        <v>47817.97001820216</v>
      </c>
      <c r="H251" t="inlineStr">
        <is>
          <t>{"type": "float", "value": 47817.97001820216}</t>
        </is>
      </c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R251" t="b">
        <v>1</v>
      </c>
      <c r="V251">
        <f>R[-23]C[15]*R[-44]C[1]</f>
        <v/>
      </c>
      <c r="W251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>
        <f>B48-$B$6+$B$7</f>
        <v/>
      </c>
      <c r="G252" t="n">
        <v>50377.63001820217</v>
      </c>
      <c r="H252" t="inlineStr">
        <is>
          <t>{"type": "float", "value": 50377.630018202166}</t>
        </is>
      </c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>
        <f>R[0]C[-1]-R6C2+R7C2</f>
        <v/>
      </c>
      <c r="W252" t="inlineStr">
        <is>
          <t>{"number_format": "_-* #,##0_-;\\-* #,##0_-;_-* \"-\"??_-;_-@_-",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>
        <f>C48/$B$8</f>
        <v/>
      </c>
      <c r="G253" t="n">
        <v>2693.990910064287</v>
      </c>
      <c r="H253" t="inlineStr">
        <is>
          <t>{"type": "float", "value": 2693.990910064287}</t>
        </is>
      </c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>
        <f>R[0]C[-1]/R8C2</f>
        <v/>
      </c>
      <c r="W253" t="inlineStr">
        <is>
          <t>{"number_format": "0",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PatternFormula</t>
        </is>
      </c>
      <c r="W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ROE=NPM*ATR*FL</t>
        </is>
      </c>
      <c r="H2" t="inlineStr">
        <is>
          <t>{"type": "str", "value": "ROE=NPM*ATR*FL"}</t>
        </is>
      </c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R2" t="b">
        <v>1</v>
      </c>
      <c r="W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G3" t="inlineStr">
        <is>
          <t>NPM-Net Profit Margin</t>
        </is>
      </c>
      <c r="H3" t="inlineStr">
        <is>
          <t>{"type": "str", "value": "NPM-Net Profit Margin"}</t>
        </is>
      </c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R3" t="b">
        <v>1</v>
      </c>
      <c r="W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G4" t="inlineStr">
        <is>
          <t>ATR-Asset Turnover Ratio</t>
        </is>
      </c>
      <c r="H4" t="inlineStr">
        <is>
          <t>{"type": "str", "value": "ATR-Asset Turnover Ratio"}</t>
        </is>
      </c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R4" t="b">
        <v>1</v>
      </c>
      <c r="W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G5" t="inlineStr">
        <is>
          <t>FL-Financial Leverage</t>
        </is>
      </c>
      <c r="H5" t="inlineStr">
        <is>
          <t>{"type": "str", "value": "FL-Financial Leverage"}</t>
        </is>
      </c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R5" t="b">
        <v>1</v>
      </c>
      <c r="W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G6" t="inlineStr">
        <is>
          <t>Cement Industry</t>
        </is>
      </c>
      <c r="H6" t="inlineStr">
        <is>
          <t>{"type": "str", "value": "Cement Industry"}</t>
        </is>
      </c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W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G7" t="inlineStr">
        <is>
          <t>Net Profit</t>
        </is>
      </c>
      <c r="H7" t="inlineStr">
        <is>
          <t>{"type": "str", "value": "Net Profit"}</t>
        </is>
      </c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R7" t="b">
        <v>1</v>
      </c>
      <c r="W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H8" t="inlineStr">
        <is>
          <t>{"type": "null", "value": null}</t>
        </is>
      </c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R8" t="b">
        <v>0</v>
      </c>
      <c r="W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H9" t="inlineStr">
        <is>
          <t>{"type": "null", "value": null}</t>
        </is>
      </c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R9" t="b">
        <v>0</v>
      </c>
      <c r="W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G10" t="inlineStr">
        <is>
          <t>Sales</t>
        </is>
      </c>
      <c r="H10" t="inlineStr">
        <is>
          <t>{"type": "str", "value": "Sales"}</t>
        </is>
      </c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R10" t="b">
        <v>1</v>
      </c>
      <c r="W1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H11" t="inlineStr">
        <is>
          <t>{"type": "null", "value": null}</t>
        </is>
      </c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R11" t="b">
        <v>0</v>
      </c>
      <c r="W11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H12" t="inlineStr">
        <is>
          <t>{"type": "null", "value": null}</t>
        </is>
      </c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R12" t="b">
        <v>0</v>
      </c>
      <c r="W1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G13" t="inlineStr">
        <is>
          <t>Assets (non current)</t>
        </is>
      </c>
      <c r="H13" t="inlineStr">
        <is>
          <t>{"type": "str", "value": "Assets (non current)"}</t>
        </is>
      </c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R13" t="b">
        <v>1</v>
      </c>
      <c r="W1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H14" t="inlineStr">
        <is>
          <t>{"type": "null", "value": null}</t>
        </is>
      </c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R14" t="b">
        <v>0</v>
      </c>
      <c r="W1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H15" t="inlineStr">
        <is>
          <t>{"type": "null", "value": null}</t>
        </is>
      </c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R15" t="b">
        <v>0</v>
      </c>
      <c r="W1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H16" t="inlineStr">
        <is>
          <t>{"type": "null", "value": null}</t>
        </is>
      </c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R16" t="b">
        <v>0</v>
      </c>
      <c r="W1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G17" t="inlineStr">
        <is>
          <t>Equity</t>
        </is>
      </c>
      <c r="H17" t="inlineStr">
        <is>
          <t>{"type": "str", "value": "Equity"}</t>
        </is>
      </c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R17" t="b">
        <v>1</v>
      </c>
      <c r="W1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H18" t="inlineStr">
        <is>
          <t>{"type": "null", "value": null}</t>
        </is>
      </c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R18" t="b">
        <v>0</v>
      </c>
      <c r="W1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H19" t="inlineStr">
        <is>
          <t>{"type": "null", "value": null}</t>
        </is>
      </c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R19" t="b">
        <v>0</v>
      </c>
      <c r="W1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H20" t="inlineStr">
        <is>
          <t>{"type": "null", "value": null}</t>
        </is>
      </c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R20" t="b">
        <v>0</v>
      </c>
      <c r="W2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H21" t="inlineStr">
        <is>
          <t>{"type": "null", "value": null}</t>
        </is>
      </c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R21" t="b">
        <v>0</v>
      </c>
      <c r="W2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H22" t="inlineStr">
        <is>
          <t>{"type": "null", "value": null}</t>
        </is>
      </c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R22" t="b">
        <v>0</v>
      </c>
      <c r="W2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H23" t="inlineStr">
        <is>
          <t>{"type": "null", "value": null}</t>
        </is>
      </c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R23" t="b">
        <v>0</v>
      </c>
      <c r="W2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H24" t="inlineStr">
        <is>
          <t>{"type": "null", "value": null}</t>
        </is>
      </c>
      <c r="I24" t="inlineStr">
        <is>
          <t>General</t>
        </is>
      </c>
      <c r="J24" t="b">
        <v>0</v>
      </c>
      <c r="K24" t="b">
        <v>0</v>
      </c>
      <c r="L24" t="n">
        <v>11</v>
      </c>
      <c r="N24" t="inlineStr">
        <is>
          <t>00000000</t>
        </is>
      </c>
      <c r="R24" t="b">
        <v>0</v>
      </c>
      <c r="W24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G25" t="n">
        <v>2015</v>
      </c>
      <c r="H25" t="inlineStr">
        <is>
          <t>{"type": "int", "value": 2015}</t>
        </is>
      </c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R25" t="b">
        <v>1</v>
      </c>
      <c r="W2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G26" t="n">
        <v>2016</v>
      </c>
      <c r="H26" t="inlineStr">
        <is>
          <t>{"type": "int", "value": 2016}</t>
        </is>
      </c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R26" t="b">
        <v>1</v>
      </c>
      <c r="W2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G27" t="n">
        <v>2017</v>
      </c>
      <c r="H27" t="inlineStr">
        <is>
          <t>{"type": "int", "value": 2017}</t>
        </is>
      </c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R27" t="b">
        <v>1</v>
      </c>
      <c r="W2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G28" t="n">
        <v>2015</v>
      </c>
      <c r="H28" t="inlineStr">
        <is>
          <t>{"type": "int", "value": 2015}</t>
        </is>
      </c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R28" t="b">
        <v>1</v>
      </c>
      <c r="W2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G29" t="n">
        <v>2016</v>
      </c>
      <c r="H29" t="inlineStr">
        <is>
          <t>{"type": "int", "value": 2016}</t>
        </is>
      </c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R29" t="b">
        <v>1</v>
      </c>
      <c r="W2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G30" t="n">
        <v>2017</v>
      </c>
      <c r="H30" t="inlineStr">
        <is>
          <t>{"type": "int", "value": 2017}</t>
        </is>
      </c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R30" t="b">
        <v>1</v>
      </c>
      <c r="W3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G31" t="n">
        <v>2015</v>
      </c>
      <c r="H31" t="inlineStr">
        <is>
          <t>{"type": "int", "value": 2015}</t>
        </is>
      </c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R31" t="b">
        <v>1</v>
      </c>
      <c r="W3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G32" t="n">
        <v>2016</v>
      </c>
      <c r="H32" t="inlineStr">
        <is>
          <t>{"type": "int", "value": 2016}</t>
        </is>
      </c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R32" t="b">
        <v>1</v>
      </c>
      <c r="W3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G33" t="n">
        <v>2017</v>
      </c>
      <c r="H33" t="inlineStr">
        <is>
          <t>{"type": "int", "value": 2017}</t>
        </is>
      </c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R33" t="b">
        <v>1</v>
      </c>
      <c r="W3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G34" t="n">
        <v>2015</v>
      </c>
      <c r="H34" t="inlineStr">
        <is>
          <t>{"type": "int", "value": 2015}</t>
        </is>
      </c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R34" t="b">
        <v>1</v>
      </c>
      <c r="W34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G35" t="n">
        <v>2016</v>
      </c>
      <c r="H35" t="inlineStr">
        <is>
          <t>{"type": "int", "value": 2016}</t>
        </is>
      </c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R35" t="b">
        <v>1</v>
      </c>
      <c r="W3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G36" t="n">
        <v>2017</v>
      </c>
      <c r="H36" t="inlineStr">
        <is>
          <t>{"type": "int", "value": 2017}</t>
        </is>
      </c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R36" t="b">
        <v>1</v>
      </c>
      <c r="W3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H37" t="inlineStr">
        <is>
          <t>{"type": "null", "value": null}</t>
        </is>
      </c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R37" t="b">
        <v>0</v>
      </c>
      <c r="W3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H38" t="inlineStr">
        <is>
          <t>{"type": "null", "value": null}</t>
        </is>
      </c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R38" t="b">
        <v>0</v>
      </c>
      <c r="W3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H39" t="inlineStr">
        <is>
          <t>{"type": "null", "value": null}</t>
        </is>
      </c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R39" t="b">
        <v>0</v>
      </c>
      <c r="W3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H40" t="inlineStr">
        <is>
          <t>{"type": "null", "value": null}</t>
        </is>
      </c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R40" t="b">
        <v>0</v>
      </c>
      <c r="W4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H41" t="inlineStr">
        <is>
          <t>{"type": "null", "value": null}</t>
        </is>
      </c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R41" t="b">
        <v>0</v>
      </c>
      <c r="W4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null, "color": null}, "bottom": {"style": null, "color": null}, "diagonal": {"style": null, "color": null}, "diagonal_down": false, "diagonal_up": false, "outline": true, "vertical": null, "horizontal": null}, "protection": {"locked": true, "hidden": false}}</t>
        </is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G42" t="inlineStr">
        <is>
          <t>Ultratech</t>
        </is>
      </c>
      <c r="H42" t="inlineStr">
        <is>
          <t>{"type": "str", "value": "Ultratech"}</t>
        </is>
      </c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R42" t="b">
        <v>1</v>
      </c>
      <c r="W4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G43" t="n">
        <v>2370</v>
      </c>
      <c r="H43" t="inlineStr">
        <is>
          <t>{"type": "int", "value": 2370}</t>
        </is>
      </c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R43" t="b">
        <v>1</v>
      </c>
      <c r="W4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G44" t="n">
        <v>2628</v>
      </c>
      <c r="H44" t="inlineStr">
        <is>
          <t>{"type": "int", "value": 2628}</t>
        </is>
      </c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R44" t="b">
        <v>1</v>
      </c>
      <c r="W4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G45" t="n">
        <v>2231</v>
      </c>
      <c r="H45" t="inlineStr">
        <is>
          <t>{"type": "int", "value": 2231}</t>
        </is>
      </c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R45" t="b">
        <v>1</v>
      </c>
      <c r="W4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G46" t="n">
        <v>29535.1</v>
      </c>
      <c r="H46" t="inlineStr">
        <is>
          <t>{"type": "float", "value": 29535.1}</t>
        </is>
      </c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R46" t="b">
        <v>1</v>
      </c>
      <c r="W4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G47" t="n">
        <v>30669.45</v>
      </c>
      <c r="H47" t="inlineStr">
        <is>
          <t>{"type": "float", "value": 30669.45}</t>
        </is>
      </c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R47" t="b">
        <v>1</v>
      </c>
      <c r="W4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G48" t="n">
        <v>28894.04</v>
      </c>
      <c r="H48" t="inlineStr">
        <is>
          <t>{"type": "float", "value": 28894.04}</t>
        </is>
      </c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R48" t="b">
        <v>1</v>
      </c>
      <c r="W4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G49" t="n">
        <v>22532.71</v>
      </c>
      <c r="H49" t="inlineStr">
        <is>
          <t>{"type": "float", "value": 22532.71}</t>
        </is>
      </c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R49" t="b">
        <v>1</v>
      </c>
      <c r="W4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G50" t="n">
        <v>24110.15</v>
      </c>
      <c r="H50" t="inlineStr">
        <is>
          <t>{"type": "float", "value": 24110.15}</t>
        </is>
      </c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R50" t="b">
        <v>1</v>
      </c>
      <c r="W5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G51" t="n">
        <v>28894.04</v>
      </c>
      <c r="H51" t="inlineStr">
        <is>
          <t>{"type": "float", "value": 28894.04}</t>
        </is>
      </c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R51" t="b">
        <v>1</v>
      </c>
      <c r="W5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G52" t="n">
        <v>18858</v>
      </c>
      <c r="H52" t="inlineStr">
        <is>
          <t>{"type": "int", "value": 18858}</t>
        </is>
      </c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R52" t="b">
        <v>1</v>
      </c>
      <c r="W5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G53" t="n">
        <v>21632</v>
      </c>
      <c r="H53" t="inlineStr">
        <is>
          <t>{"type": "int", "value": 21632}</t>
        </is>
      </c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R53" t="b">
        <v>1</v>
      </c>
      <c r="W5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G54" t="n">
        <v>23941</v>
      </c>
      <c r="H54" t="inlineStr">
        <is>
          <t>{"type": "int", "value": 23941}</t>
        </is>
      </c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R54" t="b">
        <v>1</v>
      </c>
      <c r="W5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G55" t="inlineStr">
        <is>
          <t xml:space="preserve">Ambuja </t>
        </is>
      </c>
      <c r="H55" t="inlineStr">
        <is>
          <t>{"type": "str", "value": "Ambuja "}</t>
        </is>
      </c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R55" t="b">
        <v>1</v>
      </c>
      <c r="W55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G56" t="n">
        <v>808</v>
      </c>
      <c r="H56" t="inlineStr">
        <is>
          <t>{"type": "int", "value": 808}</t>
        </is>
      </c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R56" t="b">
        <v>1</v>
      </c>
      <c r="W5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G57" t="n">
        <v>932</v>
      </c>
      <c r="H57" t="inlineStr">
        <is>
          <t>{"type": "int", "value": 932}</t>
        </is>
      </c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R57" t="b">
        <v>1</v>
      </c>
      <c r="W5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G58" t="n">
        <v>1250</v>
      </c>
      <c r="H58" t="inlineStr">
        <is>
          <t>{"type": "int", "value": 1250}</t>
        </is>
      </c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R58" t="b">
        <v>1</v>
      </c>
      <c r="W5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G59" t="n">
        <v>9368</v>
      </c>
      <c r="H59" t="inlineStr">
        <is>
          <t>{"type": "int", "value": 9368}</t>
        </is>
      </c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R59" t="b">
        <v>1</v>
      </c>
      <c r="W5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G60" t="n">
        <v>9117</v>
      </c>
      <c r="H60" t="inlineStr">
        <is>
          <t>{"type": "int", "value": 9117}</t>
        </is>
      </c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R60" t="b">
        <v>1</v>
      </c>
      <c r="W6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G61" t="n">
        <v>10240</v>
      </c>
      <c r="H61" t="inlineStr">
        <is>
          <t>{"type": "int", "value": 10240}</t>
        </is>
      </c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R61" t="b">
        <v>1</v>
      </c>
      <c r="W6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G62" t="n">
        <v>19567</v>
      </c>
      <c r="H62" t="inlineStr">
        <is>
          <t>{"type": "int", "value": 19567}</t>
        </is>
      </c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R62" t="b">
        <v>1</v>
      </c>
      <c r="W6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G63" t="n">
        <v>19139</v>
      </c>
      <c r="H63" t="inlineStr">
        <is>
          <t>{"type": "int", "value": 19139}</t>
        </is>
      </c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R63" t="b">
        <v>1</v>
      </c>
      <c r="W6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G64" t="n">
        <v>19124</v>
      </c>
      <c r="H64" t="inlineStr">
        <is>
          <t>{"type": "int", "value": 19124}</t>
        </is>
      </c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R64" t="b">
        <v>1</v>
      </c>
      <c r="W6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G65" t="n">
        <v>26249.33</v>
      </c>
      <c r="H65" t="inlineStr">
        <is>
          <t>{"type": "float", "value": 26249.33}</t>
        </is>
      </c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R65" t="b">
        <v>1</v>
      </c>
      <c r="W6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G66" t="n">
        <v>19356.87</v>
      </c>
      <c r="H66" t="inlineStr">
        <is>
          <t>{"type": "float", "value": 19356.87}</t>
        </is>
      </c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R66" t="b">
        <v>1</v>
      </c>
      <c r="W6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G67" t="n">
        <v>19973.21</v>
      </c>
      <c r="H67" t="inlineStr">
        <is>
          <t>{"type": "float", "value": 19973.21}</t>
        </is>
      </c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R67" t="b">
        <v>1</v>
      </c>
      <c r="W6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G68" t="inlineStr">
        <is>
          <t>ACC</t>
        </is>
      </c>
      <c r="H68" t="inlineStr">
        <is>
          <t>{"type": "str", "value": "ACC"}</t>
        </is>
      </c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R68" t="b">
        <v>1</v>
      </c>
      <c r="W68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G69" t="n">
        <v>587.3200000000001</v>
      </c>
      <c r="H69" t="inlineStr">
        <is>
          <t>{"type": "float", "value": 587.32}</t>
        </is>
      </c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R69" t="b">
        <v>1</v>
      </c>
      <c r="W6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G70" t="n">
        <v>658.42</v>
      </c>
      <c r="H70" t="inlineStr">
        <is>
          <t>{"type": "float", "value": 658.42}</t>
        </is>
      </c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R70" t="b">
        <v>1</v>
      </c>
      <c r="W7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G71" t="n">
        <v>924.51</v>
      </c>
      <c r="H71" t="inlineStr">
        <is>
          <t>{"type": "float", "value": 924.51}</t>
        </is>
      </c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R71" t="b">
        <v>1</v>
      </c>
      <c r="W71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G72" t="n">
        <v>13360</v>
      </c>
      <c r="H72" t="inlineStr">
        <is>
          <t>{"type": "int", "value": 13360}</t>
        </is>
      </c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R72" t="b">
        <v>1</v>
      </c>
      <c r="W72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G73" t="n">
        <v>12646.2</v>
      </c>
      <c r="H73" t="inlineStr">
        <is>
          <t>{"type": "float", "value": 12646.2}</t>
        </is>
      </c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R73" t="b">
        <v>1</v>
      </c>
      <c r="W73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G74" t="n">
        <v>14329.58</v>
      </c>
      <c r="H74" t="inlineStr">
        <is>
          <t>{"type": "float", "value": 14329.58}</t>
        </is>
      </c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R74" t="b">
        <v>1</v>
      </c>
      <c r="W74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G75" t="n">
        <v>9396.32</v>
      </c>
      <c r="H75" t="inlineStr">
        <is>
          <t>{"type": "float", "value": 9396.32}</t>
        </is>
      </c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R75" t="b">
        <v>1</v>
      </c>
      <c r="W75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G76" t="n">
        <v>9289.219999999999</v>
      </c>
      <c r="H76" t="inlineStr">
        <is>
          <t>{"type": "float", "value": 9289.22}</t>
        </is>
      </c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R76" t="b">
        <v>1</v>
      </c>
      <c r="W76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G77" t="n">
        <v>9190.82</v>
      </c>
      <c r="H77" t="inlineStr">
        <is>
          <t>{"type": "float", "value": 9190.82}</t>
        </is>
      </c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R77" t="b">
        <v>1</v>
      </c>
      <c r="W77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G78" t="n">
        <v>8421.139999999999</v>
      </c>
      <c r="H78" t="inlineStr">
        <is>
          <t>{"type": "float", "value": 8421.14}</t>
        </is>
      </c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R78" t="b">
        <v>1</v>
      </c>
      <c r="W78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G79" t="n">
        <v>8816.209999999999</v>
      </c>
      <c r="H79" t="inlineStr">
        <is>
          <t>{"type": "float", "value": 8816.21}</t>
        </is>
      </c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R79" t="b">
        <v>1</v>
      </c>
      <c r="W79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G80" t="n">
        <v>9358.73</v>
      </c>
      <c r="H80" t="inlineStr">
        <is>
          <t>{"type": "float", "value": 9358.73}</t>
        </is>
      </c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R80" t="b">
        <v>1</v>
      </c>
      <c r="W80" t="inlineStr">
        <is>
          <t>{"number_format": "_(* #,##0_);_(* \\(#,##0\\);_(* \"-\"??_);_(@_)",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G81" t="inlineStr">
        <is>
          <t>Cement Industry</t>
        </is>
      </c>
      <c r="H81" t="inlineStr">
        <is>
          <t>{"type": "str", "value": "Cement Industry"}</t>
        </is>
      </c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W8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G82" t="inlineStr">
        <is>
          <t>Net profit Margin</t>
        </is>
      </c>
      <c r="H82" t="inlineStr">
        <is>
          <t>{"type": "str", "value": "Net profit Margin"}</t>
        </is>
      </c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R82" t="b">
        <v>1</v>
      </c>
      <c r="W8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H83" t="inlineStr">
        <is>
          <t>{"type": "null", "value": null}</t>
        </is>
      </c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R83" t="b">
        <v>0</v>
      </c>
      <c r="W8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H84" t="inlineStr">
        <is>
          <t>{"type": "null", "value": null}</t>
        </is>
      </c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R84" t="b">
        <v>0</v>
      </c>
      <c r="W84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G85" t="inlineStr">
        <is>
          <t>Sales/Assets</t>
        </is>
      </c>
      <c r="H85" t="inlineStr">
        <is>
          <t>{"type": "str", "value": "Sales/Assets"}</t>
        </is>
      </c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R85" t="b">
        <v>1</v>
      </c>
      <c r="W8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H86" t="inlineStr">
        <is>
          <t>{"type": "null", "value": null}</t>
        </is>
      </c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R86" t="b">
        <v>0</v>
      </c>
      <c r="W86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H87" t="inlineStr">
        <is>
          <t>{"type": "null", "value": null}</t>
        </is>
      </c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R87" t="b">
        <v>0</v>
      </c>
      <c r="W8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G88" t="inlineStr">
        <is>
          <t>Assets/Equity</t>
        </is>
      </c>
      <c r="H88" t="inlineStr">
        <is>
          <t>{"type": "str", "value": "Assets/Equity"}</t>
        </is>
      </c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R88" t="b">
        <v>1</v>
      </c>
      <c r="W8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H89" t="inlineStr">
        <is>
          <t>{"type": "null", "value": null}</t>
        </is>
      </c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R89" t="b">
        <v>0</v>
      </c>
      <c r="W89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H90" t="inlineStr">
        <is>
          <t>{"type": "null", "value": null}</t>
        </is>
      </c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R90" t="b">
        <v>0</v>
      </c>
      <c r="W9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G91" t="inlineStr">
        <is>
          <t>ROE</t>
        </is>
      </c>
      <c r="H91" t="inlineStr">
        <is>
          <t>{"type": "str", "value": "ROE"}</t>
        </is>
      </c>
      <c r="I91" t="inlineStr">
        <is>
          <t>General</t>
        </is>
      </c>
      <c r="J91" t="b">
        <v>0</v>
      </c>
      <c r="K91" t="b">
        <v>0</v>
      </c>
      <c r="L91" t="n">
        <v>11</v>
      </c>
      <c r="N91" t="inlineStr">
        <is>
          <t>FFFFFF00</t>
        </is>
      </c>
      <c r="O91" t="inlineStr">
        <is>
          <t>center</t>
        </is>
      </c>
      <c r="R91" t="b">
        <v>1</v>
      </c>
      <c r="W91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H92" t="inlineStr">
        <is>
          <t>{"type": "null", "value": null}</t>
        </is>
      </c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R92" t="b">
        <v>0</v>
      </c>
      <c r="W92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null, "color": null},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H93" t="inlineStr">
        <is>
          <t>{"type": "null", "value": null}</t>
        </is>
      </c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R93" t="b">
        <v>0</v>
      </c>
      <c r="W9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null, "color": null},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H94" t="inlineStr">
        <is>
          <t>{"type": "null", "value": null}</t>
        </is>
      </c>
      <c r="I94" t="inlineStr">
        <is>
          <t>General</t>
        </is>
      </c>
      <c r="J94" t="b">
        <v>0</v>
      </c>
      <c r="K94" t="b">
        <v>0</v>
      </c>
      <c r="L94" t="n">
        <v>11</v>
      </c>
      <c r="N94" t="inlineStr">
        <is>
          <t>00000000</t>
        </is>
      </c>
      <c r="R94" t="b">
        <v>0</v>
      </c>
      <c r="W94" t="inlineStr">
        <is>
          <t>{"number_format": "General", "font": {"name": "Calibri", "size": 11.0, "bold": false, "italic": false, "underline": null, "strike": null, "color": null,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G95" t="n">
        <v>2015</v>
      </c>
      <c r="H95" t="inlineStr">
        <is>
          <t>{"type": "int", "value": 2015}</t>
        </is>
      </c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R95" t="b">
        <v>1</v>
      </c>
      <c r="W95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G96" t="n">
        <v>2016</v>
      </c>
      <c r="H96" t="inlineStr">
        <is>
          <t>{"type": "int", "value": 2016}</t>
        </is>
      </c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R96" t="b">
        <v>1</v>
      </c>
      <c r="W96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G97" t="n">
        <v>2017</v>
      </c>
      <c r="H97" t="inlineStr">
        <is>
          <t>{"type": "int", "value": 2017}</t>
        </is>
      </c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R97" t="b">
        <v>1</v>
      </c>
      <c r="W97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G98" t="n">
        <v>2015</v>
      </c>
      <c r="H98" t="inlineStr">
        <is>
          <t>{"type": "int", "value": 2015}</t>
        </is>
      </c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R98" t="b">
        <v>1</v>
      </c>
      <c r="W98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G99" t="n">
        <v>2016</v>
      </c>
      <c r="H99" t="inlineStr">
        <is>
          <t>{"type": "int", "value": 2016}</t>
        </is>
      </c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R99" t="b">
        <v>1</v>
      </c>
      <c r="W99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G100" t="n">
        <v>2017</v>
      </c>
      <c r="H100" t="inlineStr">
        <is>
          <t>{"type": "int", "value": 2017}</t>
        </is>
      </c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R100" t="b">
        <v>1</v>
      </c>
      <c r="W100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G101" t="n">
        <v>2015</v>
      </c>
      <c r="H101" t="inlineStr">
        <is>
          <t>{"type": "int", "value": 2015}</t>
        </is>
      </c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R101" t="b">
        <v>1</v>
      </c>
      <c r="W101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G102" t="n">
        <v>2016</v>
      </c>
      <c r="H102" t="inlineStr">
        <is>
          <t>{"type": "int", "value": 2016}</t>
        </is>
      </c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R102" t="b">
        <v>1</v>
      </c>
      <c r="W102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G103" t="n">
        <v>2017</v>
      </c>
      <c r="H103" t="inlineStr">
        <is>
          <t>{"type": "int", "value": 2017}</t>
        </is>
      </c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R103" t="b">
        <v>1</v>
      </c>
      <c r="W103" t="inlineStr">
        <is>
          <t>{"number_format": "General", "font": {"name": "Calibri", "size": 11.0, "bold": false, "italic": false, "underline": null, "strike": null, "color": {"type": "rgb", "rgb": "FFFFFFFF", "indexed": null, "theme": null, "tint": 0.0, "auto": null}, "vert_align": null}, "fill": {"fill_type": "solid", "fg_color": {"type": "rgb", "rgb": "FF002060", "indexed": null, "theme": null, "tint": 0.0, "auto": null}, "bg_color": {"type": "rgb", "rgb": "FF002060", "indexed": null, "theme": null, "tint": 0.0, "auto": null}}, "alignment": {"horizontal": "center",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G104" t="n">
        <v>2015</v>
      </c>
      <c r="H104" t="inlineStr">
        <is>
          <t>{"type": "int", "value": 2015}</t>
        </is>
      </c>
      <c r="I104" t="inlineStr">
        <is>
          <t>General</t>
        </is>
      </c>
      <c r="J104" t="b">
        <v>0</v>
      </c>
      <c r="K104" t="b">
        <v>0</v>
      </c>
      <c r="L104" t="n">
        <v>11</v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W104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G105" t="n">
        <v>2016</v>
      </c>
      <c r="H105" t="inlineStr">
        <is>
          <t>{"type": "int", "value": 2016}</t>
        </is>
      </c>
      <c r="I105" t="inlineStr">
        <is>
          <t>General</t>
        </is>
      </c>
      <c r="J105" t="b">
        <v>0</v>
      </c>
      <c r="K105" t="b">
        <v>0</v>
      </c>
      <c r="L105" t="n">
        <v>11</v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W105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G106" t="n">
        <v>2017</v>
      </c>
      <c r="H106" t="inlineStr">
        <is>
          <t>{"type": "int", "value": 2017}</t>
        </is>
      </c>
      <c r="I106" t="inlineStr">
        <is>
          <t>General</t>
        </is>
      </c>
      <c r="J106" t="b">
        <v>0</v>
      </c>
      <c r="K106" t="b">
        <v>0</v>
      </c>
      <c r="L106" t="n">
        <v>11</v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W106" t="inlineStr">
        <is>
          <t>{"number_format": "General", "font": {"name": "Calibri", "size": 11.0, "bold": false, "italic": false, "underline": null, "strike": null, "color": null, "vert_align": null}, "fill": {"fill_type": "solid", "fg_color": {"type": "rgb", "rgb": "FFFFFF00", "indexed": null, "theme": null, "tint": 0.0, "auto": null}, "bg_color": {"type": "rgb", "rgb": "FF002060", "indexed": null, "theme": null, "tint": 0.0, "auto": null}}, "alignment": {"horizontal": "center", "vertical": "center",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G107" t="inlineStr">
        <is>
          <t>Ultratech</t>
        </is>
      </c>
      <c r="H107" t="inlineStr">
        <is>
          <t>{"type": "str", "value": "Ultratech"}</t>
        </is>
      </c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R107" t="b">
        <v>1</v>
      </c>
      <c r="W107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>
        <f>B7/E7</f>
        <v/>
      </c>
      <c r="G108" t="n">
        <v>0.08024350687825672</v>
      </c>
      <c r="H108" t="inlineStr">
        <is>
          <t>{"type": "float", "value": 0.08024350687825672}</t>
        </is>
      </c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>
        <f>R[-7]C[0]/R[-7]C[3]</f>
        <v/>
      </c>
      <c r="W10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>
        <f>C7/F7</f>
        <v/>
      </c>
      <c r="G109" t="n">
        <v>0.08568787506786069</v>
      </c>
      <c r="H109" t="inlineStr">
        <is>
          <t>{"type": "float", "value": 0.08568787506786069}</t>
        </is>
      </c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>
        <f>R[-7]C[0]/R[-7]C[3]</f>
        <v/>
      </c>
      <c r="W10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>
        <f>D7/G7</f>
        <v/>
      </c>
      <c r="G110" t="n">
        <v>0.07721315537737194</v>
      </c>
      <c r="H110" t="inlineStr">
        <is>
          <t>{"type": "float", "value": 0.07721315537737194}</t>
        </is>
      </c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>
        <f>R[-7]C[0]/R[-7]C[3]</f>
        <v/>
      </c>
      <c r="W11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>
        <f>E7/H7</f>
        <v/>
      </c>
      <c r="G111" t="n">
        <v>1.310765549283686</v>
      </c>
      <c r="H111" t="inlineStr">
        <is>
          <t>{"type": "float", "value": 1.3107655492836858}</t>
        </is>
      </c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>
        <f>R[-7]C[0]/R[-7]C[3]</f>
        <v/>
      </c>
      <c r="W111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>
        <f>F7/I7</f>
        <v/>
      </c>
      <c r="G112" t="n">
        <v>1.272055545071267</v>
      </c>
      <c r="H112" t="inlineStr">
        <is>
          <t>{"type": "float", "value": 1.2720555450712667}</t>
        </is>
      </c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>
        <f>R[-7]C[0]/R[-7]C[3]</f>
        <v/>
      </c>
      <c r="W112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>
        <f>G7/J7</f>
        <v/>
      </c>
      <c r="G113" t="n">
        <v>1</v>
      </c>
      <c r="H113" t="inlineStr">
        <is>
          <t>{"type": "int", "value": 1}</t>
        </is>
      </c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>
        <f>R[-7]C[0]/R[-7]C[3]</f>
        <v/>
      </c>
      <c r="W113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>
        <f>H7/K7</f>
        <v/>
      </c>
      <c r="G114" t="n">
        <v>1.194862127479054</v>
      </c>
      <c r="H114" t="inlineStr">
        <is>
          <t>{"type": "float", "value": 1.1948621274790538}</t>
        </is>
      </c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>
        <f>R[-7]C[0]/R[-7]C[3]</f>
        <v/>
      </c>
      <c r="W114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>
        <f>I7/L7</f>
        <v/>
      </c>
      <c r="G115" t="n">
        <v>1.114559448964497</v>
      </c>
      <c r="H115" t="inlineStr">
        <is>
          <t>{"type": "float", "value": 1.1145594489644972}</t>
        </is>
      </c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>
        <f>R[-7]C[0]/R[-7]C[3]</f>
        <v/>
      </c>
      <c r="W115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>
        <f>J7/M7</f>
        <v/>
      </c>
      <c r="G116" t="n">
        <v>1.206885259596508</v>
      </c>
      <c r="H116" t="inlineStr">
        <is>
          <t>{"type": "float", "value": 1.206885259596508}</t>
        </is>
      </c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>
        <f>R[-7]C[0]/R[-7]C[3]</f>
        <v/>
      </c>
      <c r="W116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>
        <f>B14*E14*H14</f>
        <v/>
      </c>
      <c r="G117" t="n">
        <v>0.1256761056315622</v>
      </c>
      <c r="H117" t="inlineStr">
        <is>
          <t>{"type": "float", "value": 0.1256761056315622}</t>
        </is>
      </c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>
        <f>R[0]C[-9]*R[0]C[-6]*R[0]C[-3]</f>
        <v/>
      </c>
      <c r="W117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>
        <f>C14*F14*I14</f>
        <v/>
      </c>
      <c r="G118" t="n">
        <v>0.1214866863905326</v>
      </c>
      <c r="H118" t="inlineStr">
        <is>
          <t>{"type": "float", "value": 0.12148668639053256}</t>
        </is>
      </c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>
        <f>R[0]C[-9]*R[0]C[-6]*R[0]C[-3]</f>
        <v/>
      </c>
      <c r="W118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>
        <f>D14*G14*J14</f>
        <v/>
      </c>
      <c r="G119" t="n">
        <v>0.09318741907188505</v>
      </c>
      <c r="H119" t="inlineStr">
        <is>
          <t>{"type": "float", "value": 0.09318741907188505}</t>
        </is>
      </c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>
        <f>R[0]C[-9]*R[0]C[-6]*R[0]C[-3]</f>
        <v/>
      </c>
      <c r="W119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G120" t="inlineStr">
        <is>
          <t xml:space="preserve">Ambuja </t>
        </is>
      </c>
      <c r="H120" t="inlineStr">
        <is>
          <t>{"type": "str", "value": "Ambuja "}</t>
        </is>
      </c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R120" t="b">
        <v>1</v>
      </c>
      <c r="W120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>
        <f>B8/E8</f>
        <v/>
      </c>
      <c r="G121" t="n">
        <v>0.08625106746370624</v>
      </c>
      <c r="H121" t="inlineStr">
        <is>
          <t>{"type": "float", "value": 0.08625106746370624}</t>
        </is>
      </c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>
        <f>R[-7]C[0]/R[-7]C[3]</f>
        <v/>
      </c>
      <c r="W12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>
        <f>C8/F8</f>
        <v/>
      </c>
      <c r="G122" t="n">
        <v>0.1022266096303609</v>
      </c>
      <c r="H122" t="inlineStr">
        <is>
          <t>{"type": "float", "value": 0.10222660963036087}</t>
        </is>
      </c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>
        <f>R[-7]C[0]/R[-7]C[3]</f>
        <v/>
      </c>
      <c r="W12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>
        <f>D8/G8</f>
        <v/>
      </c>
      <c r="G123" t="n">
        <v>0.1220703125</v>
      </c>
      <c r="H123" t="inlineStr">
        <is>
          <t>{"type": "float", "value": 0.1220703125}</t>
        </is>
      </c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>
        <f>R[-7]C[0]/R[-7]C[3]</f>
        <v/>
      </c>
      <c r="W12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>
        <f>E8/H8</f>
        <v/>
      </c>
      <c r="G124" t="n">
        <v>0.4787652680533551</v>
      </c>
      <c r="H124" t="inlineStr">
        <is>
          <t>{"type": "float", "value": 0.4787652680533551}</t>
        </is>
      </c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>
        <f>R[-7]C[0]/R[-7]C[3]</f>
        <v/>
      </c>
      <c r="W124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>
        <f>F8/I8</f>
        <v/>
      </c>
      <c r="G125" t="n">
        <v>0.4763571764460003</v>
      </c>
      <c r="H125" t="inlineStr">
        <is>
          <t>{"type": "float", "value": 0.47635717644600034}</t>
        </is>
      </c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>
        <f>R[-7]C[0]/R[-7]C[3]</f>
        <v/>
      </c>
      <c r="W125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>
        <f>G8/J8</f>
        <v/>
      </c>
      <c r="G126" t="n">
        <v>0.5354528341351181</v>
      </c>
      <c r="H126" t="inlineStr">
        <is>
          <t>{"type": "float", "value": 0.5354528341351181}</t>
        </is>
      </c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>
        <f>R[-7]C[0]/R[-7]C[3]</f>
        <v/>
      </c>
      <c r="W126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>
        <f>H8/K8</f>
        <v/>
      </c>
      <c r="G127" t="n">
        <v>0.7454285499858472</v>
      </c>
      <c r="H127" t="inlineStr">
        <is>
          <t>{"type": "float", "value": 0.7454285499858472}</t>
        </is>
      </c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>
        <f>R[-7]C[0]/R[-7]C[3]</f>
        <v/>
      </c>
      <c r="W127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>
        <f>I8/L8</f>
        <v/>
      </c>
      <c r="G128" t="n">
        <v>0.9887445645912796</v>
      </c>
      <c r="H128" t="inlineStr">
        <is>
          <t>{"type": "float", "value": 0.9887445645912796}</t>
        </is>
      </c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>
        <f>R[-7]C[0]/R[-7]C[3]</f>
        <v/>
      </c>
      <c r="W128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>
        <f>J8/M8</f>
        <v/>
      </c>
      <c r="G129" t="n">
        <v>0.9574825478728758</v>
      </c>
      <c r="H129" t="inlineStr">
        <is>
          <t>{"type": "float", "value": 0.9574825478728758}</t>
        </is>
      </c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>
        <f>R[-7]C[0]/R[-7]C[3]</f>
        <v/>
      </c>
      <c r="W129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>
        <f>B15*E15*H15</f>
        <v/>
      </c>
      <c r="G130" t="n">
        <v>0.03078173804817113</v>
      </c>
      <c r="H130" t="inlineStr">
        <is>
          <t>{"type": "float", "value": 0.030781738048171133}</t>
        </is>
      </c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>
        <f>R[0]C[-9]*R[0]C[-6]*R[0]C[-3]</f>
        <v/>
      </c>
      <c r="W130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>
        <f>C15*F15*I15</f>
        <v/>
      </c>
      <c r="G131" t="n">
        <v>0.04814828017132937</v>
      </c>
      <c r="H131" t="inlineStr">
        <is>
          <t>{"type": "float", "value": 0.04814828017132937}</t>
        </is>
      </c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>
        <f>R[0]C[-9]*R[0]C[-6]*R[0]C[-3]</f>
        <v/>
      </c>
      <c r="W131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>
        <f>D15*G15*J15</f>
        <v/>
      </c>
      <c r="G132" t="n">
        <v>0.06258383104168033</v>
      </c>
      <c r="H132" t="inlineStr">
        <is>
          <t>{"type": "float", "value": 0.06258383104168033}</t>
        </is>
      </c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>
        <f>R[0]C[-9]*R[0]C[-6]*R[0]C[-3]</f>
        <v/>
      </c>
      <c r="W132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G133" t="inlineStr">
        <is>
          <t>ACC</t>
        </is>
      </c>
      <c r="H133" t="inlineStr">
        <is>
          <t>{"type": "str", "value": "ACC"}</t>
        </is>
      </c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R133" t="b">
        <v>1</v>
      </c>
      <c r="W133" t="inlineStr">
        <is>
          <t>{"number_format": "General",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>
        <f>B9/E9</f>
        <v/>
      </c>
      <c r="G134" t="n">
        <v>0.04396107784431138</v>
      </c>
      <c r="H134" t="inlineStr">
        <is>
          <t>{"type": "float", "value": 0.04396107784431138}</t>
        </is>
      </c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>
        <f>R[-7]C[0]/R[-7]C[3]</f>
        <v/>
      </c>
      <c r="W13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>
        <f>C9/F9</f>
        <v/>
      </c>
      <c r="G135" t="n">
        <v>0.05206465183217093</v>
      </c>
      <c r="H135" t="inlineStr">
        <is>
          <t>{"type": "float", "value": 0.052064651832170926}</t>
        </is>
      </c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>
        <f>R[-7]C[0]/R[-7]C[3]</f>
        <v/>
      </c>
      <c r="W13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>
        <f>D9/G9</f>
        <v/>
      </c>
      <c r="G136" t="n">
        <v>0.06451759228114153</v>
      </c>
      <c r="H136" t="inlineStr">
        <is>
          <t>{"type": "float", "value": 0.06451759228114153}</t>
        </is>
      </c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>
        <f>R[-7]C[0]/R[-7]C[3]</f>
        <v/>
      </c>
      <c r="W136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>
        <f>E9/H9</f>
        <v/>
      </c>
      <c r="G137" t="n">
        <v>1.421833228327686</v>
      </c>
      <c r="H137" t="inlineStr">
        <is>
          <t>{"type": "float", "value": 1.4218332283276858}</t>
        </is>
      </c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>
        <f>R[-7]C[0]/R[-7]C[3]</f>
        <v/>
      </c>
      <c r="W137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>
        <f>F9/I9</f>
        <v/>
      </c>
      <c r="G138" t="n">
        <v>1.361384486533853</v>
      </c>
      <c r="H138" t="inlineStr">
        <is>
          <t>{"type": "float", "value": 1.3613844865338534}</t>
        </is>
      </c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>
        <f>R[-7]C[0]/R[-7]C[3]</f>
        <v/>
      </c>
      <c r="W138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>
        <f>G9/J9</f>
        <v/>
      </c>
      <c r="G139" t="n">
        <v>1.559118772862487</v>
      </c>
      <c r="H139" t="inlineStr">
        <is>
          <t>{"type": "float", "value": 1.5591187728624867}</t>
        </is>
      </c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>
        <f>R[-7]C[0]/R[-7]C[3]</f>
        <v/>
      </c>
      <c r="W139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>
        <f>H9/K9</f>
        <v/>
      </c>
      <c r="G140" t="n">
        <v>1.115801423560231</v>
      </c>
      <c r="H140" t="inlineStr">
        <is>
          <t>{"type": "float", "value": 1.1158014235602307}</t>
        </is>
      </c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>
        <f>R[-7]C[0]/R[-7]C[3]</f>
        <v/>
      </c>
      <c r="W140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>
        <f>I9/L9</f>
        <v/>
      </c>
      <c r="G141" t="n">
        <v>1.053652306376549</v>
      </c>
      <c r="H141" t="inlineStr">
        <is>
          <t>{"type": "float", "value": 1.0536523063765495}</t>
        </is>
      </c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>
        <f>R[-7]C[0]/R[-7]C[3]</f>
        <v/>
      </c>
      <c r="W141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>
        <f>J9/M9</f>
        <v/>
      </c>
      <c r="G142" t="n">
        <v>0.9820584630606931</v>
      </c>
      <c r="H142" t="inlineStr">
        <is>
          <t>{"type": "float", "value": 0.9820584630606931}</t>
        </is>
      </c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>
        <f>R[-7]C[0]/R[-7]C[3]</f>
        <v/>
      </c>
      <c r="W142" t="inlineStr">
        <is>
          <t>{"number_format": "0.00;[Red]0.00",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>
        <f>B16*E16*H16</f>
        <v/>
      </c>
      <c r="G143" t="n">
        <v>0.0697435264109135</v>
      </c>
      <c r="H143" t="inlineStr">
        <is>
          <t>{"type": "float", "value": 0.0697435264109135}</t>
        </is>
      </c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>
        <f>R[0]C[-9]*R[0]C[-6]*R[0]C[-3]</f>
        <v/>
      </c>
      <c r="W143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>
        <f>C16*F16*I16</f>
        <v/>
      </c>
      <c r="G144" t="n">
        <v>0.07468288527609936</v>
      </c>
      <c r="H144" t="inlineStr">
        <is>
          <t>{"type": "float", "value": 0.07468288527609936}</t>
        </is>
      </c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>
        <f>R[0]C[-9]*R[0]C[-6]*R[0]C[-3]</f>
        <v/>
      </c>
      <c r="W144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>
        <f>D16*G16*J16</f>
        <v/>
      </c>
      <c r="G145" t="n">
        <v>0.09878583953164585</v>
      </c>
      <c r="H145" t="inlineStr">
        <is>
          <t>{"type": "float", "value": 0.09878583953164585}</t>
        </is>
      </c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>
        <f>R[0]C[-9]*R[0]C[-6]*R[0]C[-3]</f>
        <v/>
      </c>
      <c r="W145" t="inlineStr">
        <is>
          <t>{"number_format": "0%", "font": {"name": "Calibri", "size": 11.0, "bold": false, "italic": false, "underline": null, "strike": null, "color": {"type": "rgb", "rgb": "FF000000", "indexed": null, "theme": null, "tint": 0.0, "auto": null}, "vert_align": null}, "fill": {"fill_type": null, "fg_color": {"type": "rgb", "rgb": "00000000", "indexed": null, "theme": null, "tint": 0.0, "auto": null}, "bg_color": {"type": "rgb", "rgb": "00000000", "indexed": null, "theme": null, "tint": 0.0, "auto": null}}, "alignment": {"horizontal": null, "vertical": null, "text_rotation": 0, "wrap_text": null, "shrink_to_fit": null, "indent": 0.0}, "border": {"left": {"style": "thin", "color": {"type": "auto", "rgb": "Values must be of type &lt;class 'str'&gt;", "indexed": null, "theme": null, "tint": 0.0, "auto": true}}, "right": {"style": "thin", "color": {"type": "auto", "rgb": "Values must be of type &lt;class 'str'&gt;", "indexed": null, "theme": null, "tint": 0.0, "auto": true}}, "top": {"style": "thin", "color": {"type": "auto", "rgb": "Values must be of type &lt;class 'str'&gt;", "indexed": null, "theme": null, "tint": 0.0, "auto": true}}, "bottom": {"style": "thin", "color": {"type": "auto", "rgb": "Values must be of type &lt;class 'str'&gt;", "indexed": null, "theme": null, "tint": 0.0, "auto": true}}, "diagonal": {"style": null, "color": null}, "diagonal_down": false, "diagonal_up": false, "outline": true, "vertical": null, "horizontal": null}, "protection": {"locked": true, "hidden": false}}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"2026-03-04T20:33:36.074493+00:00"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[{"row": 2, "height": 28.0, "hidden": false, "outline_level": 0}, {"row": 4, "height": 40.0, "hidden": false, "outline_level": 0}]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[{"column": "A", "width": 39.1640625, "hidden": false, "outline_level": 0}]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[{"column": "A", "width": 24.6640625, "hidden": false, "outline_level": 0}, {"column": "B", "width": 9.5, "hidden": false, "outline_level": 0}]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[{"column": "A", "width": 14.5, "hidden": false, "outline_level": 0}, {"column": "B", "width": 10.6640625, "hidden": false, "outline_level": 0}, {"column": "C", "width": 9.33203125, "hidden": false, "outline_level": 0}, {"column": "D", "width": 9.5, "hidden": false, "outline_level": 0}, {"column": "K", "width": 17.83203125, "hidden": false, "outline_level": 0}, {"column": "L", "width": 10.0, "hidden": false, "outline_level": 0}, {"column": "N", "width": 10.1640625, "hidden": false, "outline_level": 0}, {"column": "O", "width": 11.33203125, "hidden": false, "outline_level": 0}, {"column": "P", "width": 10.0, "hidden": false, "outline_level": 0}]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[{"column": "A", "width": 28.0, "hidden": false, "outline_level": 0}, {"column": "E", "width": 9.6640625, "hidden": false, "outline_level": 0}, {"column": "F", "width": 9.5, "hidden": false, "outline_level": 0}, {"column": "L", "width": 25.0, "hidden": false, "outline_level": 0}]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[{"row": 30, "height": 15.0, "hidden": false, "outline_level": 0}, {"row": 51, "height": 15.0, "hidden": false, "outline_level": 0}]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[{"column": "A", "width": 43.5, "hidden": false, "outline_level": 0}, {"column": "C", "width": 10.5, "hidden": false, "outline_level": 0}, {"column": "E", "width": 9.5, "hidden": false, "outline_level": 0}]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[{"column": "A", "width": 22.6640625, "hidden": false, "outline_level": 0}, {"column": "B", "width": 10.5, "hidden": false, "outline_level": 0}, {"column": "F", "width": 10.5, "hidden": false, "outline_level": 0}, {"column": "K", "width": 8.83203125, "hidden": false, "outline_level": 0}]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[{"column": "B", "width": 10.5, "hidden": false, "outline_level": 0}, {"column": "C", "width": 9.5, "hidden": false, "outline_level": 0}, {"column": "F", "width": 10.5, "hidden": false, "outline_level": 0}, {"column": "J", "width": 11.0, "hidden": false, "outline_level": 0}, {"column": "K", "width": 10.5, "hidden": false, "outline_level": 0}, {"column": "N", "width": 9.5, "hidden": false, "outline_level": 0}, {"column": "P", "width": 10.5, "hidden": false, "outline_level": 0}]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[{"column": "A", "width": 17.5, "hidden": false, "outline_level": 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2026-03-04T20:33:36Z</dcterms:created>
  <dcterms:modified xsi:type="dcterms:W3CDTF">2026-03-04T20:33:36Z</dcterms:modified>
</cp:coreProperties>
</file>