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<sst xmlns="http://schemas.openxmlformats.org/spreadsheetml/2006/main" count="35" uniqueCount="32">
  <si>
    <t xml:space="preserve">This spreadsheet analyzes the lease/purchase decision.  In the case of a purchase, it is assumed </t>
  </si>
  <si>
    <t xml:space="preserve">sales tax is paid on the negotiated price at the time of purchase, and property taxes are paid annually.</t>
  </si>
  <si>
    <t xml:space="preserve">In the case of a lease, it is assumed sales tax is paid on the difference between the list price and the </t>
  </si>
  <si>
    <t xml:space="preserve">payoff at the time of purchase, sales tax is paid on the payoff when the lease expires, and property taxes</t>
  </si>
  <si>
    <t xml:space="preserve">are paid by the lessor.  This spreadsheet assumes the item is purchased at the payoff price at the time</t>
  </si>
  <si>
    <t xml:space="preserve">the lease expires.  The lease has additional value to the lessee because of the option not to purchase.</t>
  </si>
  <si>
    <t xml:space="preserve">The features of your lease may be different than assumed here. </t>
  </si>
  <si>
    <t xml:space="preserve">Assumptions</t>
  </si>
  <si>
    <t xml:space="preserve">List price</t>
  </si>
  <si>
    <t xml:space="preserve">Negotiated price</t>
  </si>
  <si>
    <t xml:space="preserve">Lease period (months)</t>
  </si>
  <si>
    <t xml:space="preserve">Payoff</t>
  </si>
  <si>
    <t xml:space="preserve">Interest rate (APR)</t>
  </si>
  <si>
    <t xml:space="preserve">Effective annual rate</t>
  </si>
  <si>
    <t xml:space="preserve">Sales tax rate</t>
  </si>
  <si>
    <t xml:space="preserve">Property tax (annual)</t>
  </si>
  <si>
    <t xml:space="preserve">Lease payment</t>
  </si>
  <si>
    <t xml:space="preserve">Results</t>
  </si>
  <si>
    <t xml:space="preserve">Purchase</t>
  </si>
  <si>
    <t xml:space="preserve">Lease</t>
  </si>
  <si>
    <t xml:space="preserve">Present value of payments</t>
  </si>
  <si>
    <t xml:space="preserve">Present value of sales tax</t>
  </si>
  <si>
    <t xml:space="preserve">Present value of property tax</t>
  </si>
  <si>
    <t xml:space="preserve">Total</t>
  </si>
  <si>
    <t xml:space="preserve">The following table provides a check on the lease calculations above.</t>
  </si>
  <si>
    <t xml:space="preserve">Sales</t>
  </si>
  <si>
    <t xml:space="preserve">PV</t>
  </si>
  <si>
    <t xml:space="preserve">Cumul</t>
  </si>
  <si>
    <t xml:space="preserve">Month</t>
  </si>
  <si>
    <t xml:space="preserve">Payment</t>
  </si>
  <si>
    <t xml:space="preserve">Tax</t>
  </si>
  <si>
    <t xml:space="preserve">Factor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</si>
</sst>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.00_);_(\$* \(#,##0.00\);_(\$* \-??_);_(@_)"/>
    <numFmt numFmtId="166" formatCode="_(\$* #,##0_);_(\$* \(#,##0\);_(\$* \-??_);_(@_)"/>
    <numFmt numFmtId="167" formatCode="_(* #,##0.00_);_(* \(#,##0.00\);_(* \-??_);_(@_)"/>
    <numFmt numFmtId="168" formatCode="_(* #,##0_);_(* \(#,##0\);_(* \-??_);_(@_)"/>
    <numFmt numFmtId="169" formatCode="0%"/>
    <numFmt numFmtId="170" formatCode="0.00%"/>
    <numFmt numFmtId="171" formatCode="0.0%"/>
    <numFmt numFmtId="172" formatCode="0.0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4.65" zeroHeight="false" outlineLevelRow="0" outlineLevelCol="0"/>
  <sheetData>
    <row r="1" customFormat="false" ht="14.65" hidden="false" customHeight="false" outlineLevel="0" collapsed="false">
      <c r="A1" s="1" t="s">
        <v>0</v>
      </c>
    </row>
    <row r="2" customFormat="false" ht="14.65" hidden="false" customHeight="false" outlineLevel="0" collapsed="false">
      <c r="A2" s="1" t="s">
        <v>1</v>
      </c>
    </row>
    <row r="3" customFormat="false" ht="14.65" hidden="false" customHeight="false" outlineLevel="0" collapsed="false">
      <c r="A3" s="1" t="s">
        <v>2</v>
      </c>
    </row>
    <row r="4" customFormat="false" ht="14.65" hidden="false" customHeight="false" outlineLevel="0" collapsed="false">
      <c r="A4" s="2" t="s">
        <v>3</v>
      </c>
    </row>
    <row r="5" customFormat="false" ht="14.65" hidden="false" customHeight="false" outlineLevel="0" collapsed="false">
      <c r="A5" s="1" t="s">
        <v>4</v>
      </c>
    </row>
    <row r="6" customFormat="false" ht="14.65" hidden="false" customHeight="false" outlineLevel="0" collapsed="false">
      <c r="A6" s="1" t="s">
        <v>5</v>
      </c>
    </row>
    <row r="7" customFormat="false" ht="14.65" hidden="false" customHeight="false" outlineLevel="0" collapsed="false">
      <c r="A7" s="1" t="s">
        <v>6</v>
      </c>
    </row>
    <row r="10" customFormat="false" ht="14.65" hidden="false" customHeight="false" outlineLevel="0" collapsed="false">
      <c r="A10" s="3" t="s">
        <v>7</v>
      </c>
    </row>
    <row r="11" customFormat="false" ht="14.65" hidden="false" customHeight="false" outlineLevel="0" collapsed="false">
      <c r="A11" s="1" t="s">
        <v>8</v>
      </c>
      <c r="D11" s="4" t="n">
        <v>26000</v>
      </c>
    </row>
    <row r="12" customFormat="false" ht="14.65" hidden="false" customHeight="false" outlineLevel="0" collapsed="false">
      <c r="A12" s="1" t="s">
        <v>9</v>
      </c>
      <c r="D12" s="4" t="n">
        <v>24000</v>
      </c>
    </row>
    <row r="13" customFormat="false" ht="14.65" hidden="false" customHeight="false" outlineLevel="0" collapsed="false">
      <c r="A13" s="1" t="s">
        <v>10</v>
      </c>
      <c r="D13" s="5" t="n">
        <v>36</v>
      </c>
    </row>
    <row r="14" customFormat="false" ht="14.65" hidden="false" customHeight="false" outlineLevel="0" collapsed="false">
      <c r="A14" s="1" t="s">
        <v>11</v>
      </c>
      <c r="D14" s="4" t="n">
        <v>20000</v>
      </c>
    </row>
    <row r="15" customFormat="false" ht="14.65" hidden="false" customHeight="false" outlineLevel="0" collapsed="false">
      <c r="A15" s="1" t="s">
        <v>12</v>
      </c>
      <c r="D15" s="6" t="n">
        <v>0.09</v>
      </c>
    </row>
    <row r="16" customFormat="false" ht="14.65" hidden="false" customHeight="false" outlineLevel="0" collapsed="false">
      <c r="A16" s="1" t="s">
        <v>13</v>
      </c>
      <c r="D16" s="7" t="n">
        <f aca="false">+(1+D15/12)^12-1</f>
        <v>0.0938068976709838</v>
      </c>
    </row>
    <row r="17" customFormat="false" ht="14.65" hidden="false" customHeight="false" outlineLevel="0" collapsed="false">
      <c r="A17" s="2" t="s">
        <v>14</v>
      </c>
      <c r="D17" s="8" t="n">
        <v>0.06</v>
      </c>
    </row>
    <row r="18" customFormat="false" ht="14.65" hidden="false" customHeight="false" outlineLevel="0" collapsed="false">
      <c r="A18" s="2" t="s">
        <v>15</v>
      </c>
      <c r="D18" s="4" t="n">
        <v>300</v>
      </c>
    </row>
    <row r="19" customFormat="false" ht="14.65" hidden="false" customHeight="false" outlineLevel="0" collapsed="false">
      <c r="A19" s="1" t="s">
        <v>16</v>
      </c>
      <c r="D19" s="4" t="n">
        <v>280</v>
      </c>
    </row>
    <row r="20" customFormat="false" ht="14.65" hidden="false" customHeight="false" outlineLevel="0" collapsed="false">
      <c r="D20" s="4"/>
    </row>
    <row r="21" customFormat="false" ht="14.65" hidden="false" customHeight="false" outlineLevel="0" collapsed="false">
      <c r="A21" s="9" t="s">
        <v>17</v>
      </c>
    </row>
    <row r="22" customFormat="false" ht="14.65" hidden="false" customHeight="false" outlineLevel="0" collapsed="false">
      <c r="A22" s="10"/>
      <c r="B22" s="10"/>
      <c r="C22" s="10"/>
      <c r="D22" s="11" t="s">
        <v>18</v>
      </c>
      <c r="E22" s="10"/>
      <c r="F22" s="11" t="s">
        <v>19</v>
      </c>
      <c r="G22" s="12"/>
      <c r="H22" s="12"/>
    </row>
    <row r="24" customFormat="false" ht="14.65" hidden="false" customHeight="false" outlineLevel="0" collapsed="false">
      <c r="A24" s="1" t="s">
        <v>20</v>
      </c>
      <c r="D24" s="13" t="n">
        <f aca="false">+D12</f>
        <v>24000</v>
      </c>
      <c r="F24" s="4" t="n">
        <f aca="false">+D19-PV(D15/12,D13-1,D19)+D14/(1+D15/12)^D13</f>
        <v>24154.1229736944</v>
      </c>
    </row>
    <row r="25" customFormat="false" ht="14.65" hidden="false" customHeight="false" outlineLevel="0" collapsed="false">
      <c r="A25" s="1" t="s">
        <v>21</v>
      </c>
      <c r="D25" s="4" t="n">
        <f aca="false">+D17*D12</f>
        <v>1440</v>
      </c>
      <c r="F25" s="4" t="n">
        <f aca="false">0.06*(D11-D14)+D17*D14/(1+D15/12)^D13</f>
        <v>1276.97875273846</v>
      </c>
    </row>
    <row r="26" customFormat="false" ht="14.65" hidden="false" customHeight="false" outlineLevel="0" collapsed="false">
      <c r="A26" s="1" t="s">
        <v>22</v>
      </c>
      <c r="D26" s="4" t="n">
        <f aca="false">-PV(D16,D13/12,D18)</f>
        <v>754.265555860844</v>
      </c>
    </row>
    <row r="27" customFormat="false" ht="14.65" hidden="false" customHeight="false" outlineLevel="0" collapsed="false">
      <c r="A27" s="1" t="s">
        <v>23</v>
      </c>
      <c r="D27" s="13" t="n">
        <f aca="false">+SUM(D24:D26)</f>
        <v>26194.2655558608</v>
      </c>
      <c r="F27" s="13" t="n">
        <f aca="false">+F24+F25</f>
        <v>25431.1017264329</v>
      </c>
    </row>
    <row r="28" customFormat="false" ht="14.65" hidden="false" customHeight="false" outlineLevel="0" collapsed="false">
      <c r="D28" s="13"/>
      <c r="E28" s="13"/>
    </row>
    <row r="29" customFormat="false" ht="14.65" hidden="false" customHeight="false" outlineLevel="0" collapsed="false">
      <c r="D29" s="13"/>
      <c r="E29" s="13"/>
    </row>
    <row r="30" customFormat="false" ht="14.65" hidden="false" customHeight="false" outlineLevel="0" collapsed="false">
      <c r="A30" s="1" t="s">
        <v>24</v>
      </c>
      <c r="D30" s="13"/>
      <c r="E30" s="13"/>
    </row>
    <row r="31" customFormat="false" ht="14.65" hidden="false" customHeight="false" outlineLevel="0" collapsed="false">
      <c r="D31" s="13"/>
      <c r="E31" s="13"/>
    </row>
    <row r="32" customFormat="false" ht="14.65" hidden="false" customHeight="false" outlineLevel="0" collapsed="false">
      <c r="A32" s="14"/>
      <c r="B32" s="14"/>
      <c r="C32" s="14"/>
      <c r="D32" s="14" t="s">
        <v>25</v>
      </c>
      <c r="E32" s="14"/>
      <c r="F32" s="14" t="s">
        <v>26</v>
      </c>
      <c r="G32" s="14"/>
      <c r="H32" s="14" t="s">
        <v>27</v>
      </c>
    </row>
    <row r="33" customFormat="false" ht="14.65" hidden="false" customHeight="false" outlineLevel="0" collapsed="false">
      <c r="A33" s="15" t="s">
        <v>28</v>
      </c>
      <c r="B33" s="15"/>
      <c r="C33" s="15" t="s">
        <v>29</v>
      </c>
      <c r="D33" s="15" t="s">
        <v>30</v>
      </c>
      <c r="E33" s="15" t="s">
        <v>23</v>
      </c>
      <c r="F33" s="15" t="s">
        <v>31</v>
      </c>
      <c r="G33" s="15" t="s">
        <v>26</v>
      </c>
      <c r="H33" s="15" t="s">
        <v>26</v>
      </c>
    </row>
    <row r="34" customFormat="false" ht="14.65" hidden="false" customHeight="false" outlineLevel="0" collapsed="false">
      <c r="A34" s="16"/>
    </row>
    <row r="35" customFormat="false" ht="14.65" hidden="false" customHeight="false" outlineLevel="0" collapsed="false">
      <c r="A35" s="1" t="n">
        <v>0</v>
      </c>
      <c r="C35" s="13" t="n">
        <f aca="false">+D19</f>
        <v>280</v>
      </c>
      <c r="D35" s="1" t="n">
        <f aca="false">+D17*(D11-D14)</f>
        <v>360</v>
      </c>
      <c r="E35" s="13" t="n">
        <f aca="false">+SUM(C35:D35)</f>
        <v>640</v>
      </c>
      <c r="F35" s="17" t="n">
        <v>1</v>
      </c>
      <c r="G35" s="18" t="n">
        <f aca="false">+E35*F35</f>
        <v>640</v>
      </c>
      <c r="H35" s="18" t="n">
        <f aca="false">+G35</f>
        <v>640</v>
      </c>
    </row>
    <row r="36" customFormat="false" ht="14.65" hidden="false" customHeight="false" outlineLevel="0" collapsed="false">
      <c r="A36" s="1" t="n">
        <v>1</v>
      </c>
      <c r="C36" s="13" t="n">
        <f aca="false">+C35</f>
        <v>280</v>
      </c>
      <c r="E36" s="13" t="n">
        <f aca="false">+SUM(C36:D36)</f>
        <v>280</v>
      </c>
      <c r="F36" s="17" t="n">
        <f aca="false">+F35/(1+$D$15/12)</f>
        <v>0.992555831265509</v>
      </c>
      <c r="G36" s="18" t="n">
        <f aca="false">+E36*F36</f>
        <v>277.915632754342</v>
      </c>
      <c r="H36" s="18" t="n">
        <f aca="false">+H35+G36</f>
        <v>917.915632754342</v>
      </c>
    </row>
    <row r="37" customFormat="false" ht="14.65" hidden="false" customHeight="false" outlineLevel="0" collapsed="false">
      <c r="A37" s="1" t="n">
        <v>2</v>
      </c>
      <c r="C37" s="13" t="n">
        <f aca="false">+C36</f>
        <v>280</v>
      </c>
      <c r="E37" s="13" t="n">
        <f aca="false">+SUM(C37:D37)</f>
        <v>280</v>
      </c>
      <c r="F37" s="17" t="n">
        <f aca="false">+F36/(1+$D$15/12)</f>
        <v>0.985167078179165</v>
      </c>
      <c r="G37" s="18" t="n">
        <f aca="false">+E37*F37</f>
        <v>275.846781890166</v>
      </c>
      <c r="H37" s="18" t="n">
        <f aca="false">+H36+G37</f>
        <v>1193.76241464451</v>
      </c>
    </row>
    <row r="38" customFormat="false" ht="14.65" hidden="false" customHeight="false" outlineLevel="0" collapsed="false">
      <c r="A38" s="1" t="n">
        <v>3</v>
      </c>
      <c r="C38" s="13" t="n">
        <f aca="false">+C37</f>
        <v>280</v>
      </c>
      <c r="E38" s="13" t="n">
        <f aca="false">+SUM(C38:D38)</f>
        <v>280</v>
      </c>
      <c r="F38" s="17" t="n">
        <f aca="false">+F37/(1+$D$15/12)</f>
        <v>0.977833328217533</v>
      </c>
      <c r="G38" s="18" t="n">
        <f aca="false">+E38*F38</f>
        <v>273.793331900909</v>
      </c>
      <c r="H38" s="18" t="n">
        <f aca="false">+H37+G38</f>
        <v>1467.55574654542</v>
      </c>
    </row>
    <row r="39" customFormat="false" ht="14.65" hidden="false" customHeight="false" outlineLevel="0" collapsed="false">
      <c r="A39" s="1" t="n">
        <v>4</v>
      </c>
      <c r="C39" s="13" t="n">
        <f aca="false">+C38</f>
        <v>280</v>
      </c>
      <c r="E39" s="13" t="n">
        <f aca="false">+SUM(C39:D39)</f>
        <v>280</v>
      </c>
      <c r="F39" s="17" t="n">
        <f aca="false">+F38/(1+$D$15/12)</f>
        <v>0.970554171928073</v>
      </c>
      <c r="G39" s="18" t="n">
        <f aca="false">+E39*F39</f>
        <v>271.75516813986</v>
      </c>
      <c r="H39" s="18" t="n">
        <f aca="false">+H38+G39</f>
        <v>1739.31091468528</v>
      </c>
    </row>
    <row r="40" customFormat="false" ht="14.65" hidden="false" customHeight="false" outlineLevel="0" collapsed="false">
      <c r="A40" s="1" t="n">
        <v>5</v>
      </c>
      <c r="C40" s="13" t="n">
        <f aca="false">+C39</f>
        <v>280</v>
      </c>
      <c r="E40" s="13" t="n">
        <f aca="false">+SUM(C40:D40)</f>
        <v>280</v>
      </c>
      <c r="F40" s="17" t="n">
        <f aca="false">+F39/(1+$D$15/12)</f>
        <v>0.963329202906275</v>
      </c>
      <c r="G40" s="18" t="n">
        <f aca="false">+E40*F40</f>
        <v>269.732176813757</v>
      </c>
      <c r="H40" s="18" t="n">
        <f aca="false">+H39+G40</f>
        <v>2009.04309149904</v>
      </c>
    </row>
    <row r="41" customFormat="false" ht="14.65" hidden="false" customHeight="false" outlineLevel="0" collapsed="false">
      <c r="A41" s="1" t="n">
        <v>6</v>
      </c>
      <c r="C41" s="13" t="n">
        <f aca="false">+C40</f>
        <v>280</v>
      </c>
      <c r="E41" s="13" t="n">
        <f aca="false">+SUM(C41:D41)</f>
        <v>280</v>
      </c>
      <c r="F41" s="17" t="n">
        <f aca="false">+F40/(1+$D$15/12)</f>
        <v>0.956158017772978</v>
      </c>
      <c r="G41" s="18" t="n">
        <f aca="false">+E41*F41</f>
        <v>267.724244976434</v>
      </c>
      <c r="H41" s="18" t="n">
        <f aca="false">+H40+G41</f>
        <v>2276.76733647547</v>
      </c>
    </row>
    <row r="42" customFormat="false" ht="14.65" hidden="false" customHeight="false" outlineLevel="0" collapsed="false">
      <c r="A42" s="1" t="n">
        <v>7</v>
      </c>
      <c r="C42" s="13" t="n">
        <f aca="false">+C41</f>
        <v>280</v>
      </c>
      <c r="E42" s="13" t="n">
        <f aca="false">+SUM(C42:D42)</f>
        <v>280</v>
      </c>
      <c r="F42" s="17" t="n">
        <f aca="false">+F41/(1+$D$15/12)</f>
        <v>0.949040216151839</v>
      </c>
      <c r="G42" s="18" t="n">
        <f aca="false">+E42*F42</f>
        <v>265.731260522515</v>
      </c>
      <c r="H42" s="18" t="n">
        <f aca="false">+H41+G42</f>
        <v>2542.49859699798</v>
      </c>
    </row>
    <row r="43" customFormat="false" ht="14.65" hidden="false" customHeight="false" outlineLevel="0" collapsed="false">
      <c r="A43" s="1" t="n">
        <v>8</v>
      </c>
      <c r="C43" s="13" t="n">
        <f aca="false">+C42</f>
        <v>280</v>
      </c>
      <c r="E43" s="13" t="n">
        <f aca="false">+SUM(C43:D43)</f>
        <v>280</v>
      </c>
      <c r="F43" s="17" t="n">
        <f aca="false">+F42/(1+$D$15/12)</f>
        <v>0.941975400646987</v>
      </c>
      <c r="G43" s="18" t="n">
        <f aca="false">+E43*F43</f>
        <v>263.753112181156</v>
      </c>
      <c r="H43" s="18" t="n">
        <f aca="false">+H42+G43</f>
        <v>2806.25170917914</v>
      </c>
    </row>
    <row r="44" customFormat="false" ht="14.65" hidden="false" customHeight="false" outlineLevel="0" collapsed="false">
      <c r="A44" s="1" t="n">
        <v>9</v>
      </c>
      <c r="C44" s="13" t="n">
        <f aca="false">+C43</f>
        <v>280</v>
      </c>
      <c r="E44" s="13" t="n">
        <f aca="false">+SUM(C44:D44)</f>
        <v>280</v>
      </c>
      <c r="F44" s="17" t="n">
        <f aca="false">+F43/(1+$D$15/12)</f>
        <v>0.93496317682083</v>
      </c>
      <c r="G44" s="18" t="n">
        <f aca="false">+E44*F44</f>
        <v>261.789689509833</v>
      </c>
      <c r="H44" s="18" t="n">
        <f aca="false">+H43+G44</f>
        <v>3068.04139868897</v>
      </c>
    </row>
    <row r="45" customFormat="false" ht="14.65" hidden="false" customHeight="false" outlineLevel="0" collapsed="false">
      <c r="A45" s="1" t="n">
        <v>10</v>
      </c>
      <c r="C45" s="13" t="n">
        <f aca="false">+C44</f>
        <v>280</v>
      </c>
      <c r="E45" s="13" t="n">
        <f aca="false">+SUM(C45:D45)</f>
        <v>280</v>
      </c>
      <c r="F45" s="17" t="n">
        <f aca="false">+F44/(1+$D$15/12)</f>
        <v>0.92800315317204</v>
      </c>
      <c r="G45" s="18" t="n">
        <f aca="false">+E45*F45</f>
        <v>259.840882888171</v>
      </c>
      <c r="H45" s="18" t="n">
        <f aca="false">+H44+G45</f>
        <v>3327.88228157714</v>
      </c>
    </row>
    <row r="46" customFormat="false" ht="14.65" hidden="false" customHeight="false" outlineLevel="0" collapsed="false">
      <c r="A46" s="1" t="n">
        <v>11</v>
      </c>
      <c r="C46" s="13" t="n">
        <f aca="false">+C45</f>
        <v>280</v>
      </c>
      <c r="E46" s="13" t="n">
        <f aca="false">+SUM(C46:D46)</f>
        <v>280</v>
      </c>
      <c r="F46" s="17" t="n">
        <f aca="false">+F45/(1+$D$15/12)</f>
        <v>0.921094941113687</v>
      </c>
      <c r="G46" s="18" t="n">
        <f aca="false">+E46*F46</f>
        <v>257.906583511833</v>
      </c>
      <c r="H46" s="18" t="n">
        <f aca="false">+H45+G46</f>
        <v>3585.78886508898</v>
      </c>
    </row>
    <row r="47" customFormat="false" ht="14.65" hidden="false" customHeight="false" outlineLevel="0" collapsed="false">
      <c r="A47" s="1" t="n">
        <v>12</v>
      </c>
      <c r="C47" s="13" t="n">
        <f aca="false">+C46</f>
        <v>280</v>
      </c>
      <c r="E47" s="13" t="n">
        <f aca="false">+SUM(C47:D47)</f>
        <v>280</v>
      </c>
      <c r="F47" s="17" t="n">
        <f aca="false">+F46/(1+$D$15/12)</f>
        <v>0.914238154951551</v>
      </c>
      <c r="G47" s="18" t="n">
        <f aca="false">+E47*F47</f>
        <v>255.986683386434</v>
      </c>
      <c r="H47" s="18" t="n">
        <f aca="false">+H46+G47</f>
        <v>3841.77554847541</v>
      </c>
    </row>
    <row r="48" customFormat="false" ht="14.65" hidden="false" customHeight="false" outlineLevel="0" collapsed="false">
      <c r="A48" s="1" t="n">
        <v>13</v>
      </c>
      <c r="C48" s="13" t="n">
        <f aca="false">+C47</f>
        <v>280</v>
      </c>
      <c r="E48" s="13" t="n">
        <f aca="false">+SUM(C48:D48)</f>
        <v>280</v>
      </c>
      <c r="F48" s="17" t="n">
        <f aca="false">+F47/(1+$D$15/12)</f>
        <v>0.907432411862581</v>
      </c>
      <c r="G48" s="18" t="n">
        <f aca="false">+E48*F48</f>
        <v>254.081075321523</v>
      </c>
      <c r="H48" s="18" t="n">
        <f aca="false">+H47+G48</f>
        <v>4095.85662379693</v>
      </c>
    </row>
    <row r="49" customFormat="false" ht="14.65" hidden="false" customHeight="false" outlineLevel="0" collapsed="false">
      <c r="A49" s="1" t="n">
        <v>14</v>
      </c>
      <c r="C49" s="13" t="n">
        <f aca="false">+C48</f>
        <v>280</v>
      </c>
      <c r="E49" s="13" t="n">
        <f aca="false">+SUM(C49:D49)</f>
        <v>280</v>
      </c>
      <c r="F49" s="17" t="n">
        <f aca="false">+F48/(1+$D$15/12)</f>
        <v>0.90067733187353</v>
      </c>
      <c r="G49" s="18" t="n">
        <f aca="false">+E49*F49</f>
        <v>252.189652924588</v>
      </c>
      <c r="H49" s="18" t="n">
        <f aca="false">+H48+G49</f>
        <v>4348.04627672152</v>
      </c>
    </row>
    <row r="50" customFormat="false" ht="14.65" hidden="false" customHeight="false" outlineLevel="0" collapsed="false">
      <c r="A50" s="1" t="n">
        <v>15</v>
      </c>
      <c r="C50" s="13" t="n">
        <f aca="false">+C49</f>
        <v>280</v>
      </c>
      <c r="E50" s="13" t="n">
        <f aca="false">+SUM(C50:D50)</f>
        <v>280</v>
      </c>
      <c r="F50" s="17" t="n">
        <f aca="false">+F49/(1+$D$15/12)</f>
        <v>0.893972537839732</v>
      </c>
      <c r="G50" s="18" t="n">
        <f aca="false">+E50*F50</f>
        <v>250.312310595125</v>
      </c>
      <c r="H50" s="18" t="n">
        <f aca="false">+H49+G50</f>
        <v>4598.35858731665</v>
      </c>
    </row>
    <row r="51" customFormat="false" ht="14.65" hidden="false" customHeight="false" outlineLevel="0" collapsed="false">
      <c r="A51" s="1" t="n">
        <v>16</v>
      </c>
      <c r="C51" s="13" t="n">
        <f aca="false">+C50</f>
        <v>280</v>
      </c>
      <c r="E51" s="13" t="n">
        <f aca="false">+SUM(C51:D51)</f>
        <v>280</v>
      </c>
      <c r="F51" s="17" t="n">
        <f aca="false">+F50/(1+$D$15/12)</f>
        <v>0.887317655424051</v>
      </c>
      <c r="G51" s="18" t="n">
        <f aca="false">+E51*F51</f>
        <v>248.448943518734</v>
      </c>
      <c r="H51" s="18" t="n">
        <f aca="false">+H50+G51</f>
        <v>4846.80753083538</v>
      </c>
    </row>
    <row r="52" customFormat="false" ht="14.65" hidden="false" customHeight="false" outlineLevel="0" collapsed="false">
      <c r="A52" s="1" t="n">
        <v>17</v>
      </c>
      <c r="C52" s="13" t="n">
        <f aca="false">+C51</f>
        <v>280</v>
      </c>
      <c r="E52" s="13" t="n">
        <f aca="false">+SUM(C52:D52)</f>
        <v>280</v>
      </c>
      <c r="F52" s="17" t="n">
        <f aca="false">+F51/(1+$D$15/12)</f>
        <v>0.880712313075981</v>
      </c>
      <c r="G52" s="18" t="n">
        <f aca="false">+E52*F52</f>
        <v>246.599447661275</v>
      </c>
      <c r="H52" s="18" t="n">
        <f aca="false">+H51+G52</f>
        <v>5093.40697849666</v>
      </c>
    </row>
    <row r="53" customFormat="false" ht="14.65" hidden="false" customHeight="false" outlineLevel="0" collapsed="false">
      <c r="A53" s="1" t="n">
        <v>18</v>
      </c>
      <c r="C53" s="13" t="n">
        <f aca="false">+C52</f>
        <v>280</v>
      </c>
      <c r="E53" s="13" t="n">
        <f aca="false">+SUM(C53:D53)</f>
        <v>280</v>
      </c>
      <c r="F53" s="17" t="n">
        <f aca="false">+F52/(1+$D$15/12)</f>
        <v>0.8741561420109</v>
      </c>
      <c r="G53" s="18" t="n">
        <f aca="false">+E53*F53</f>
        <v>244.763719763052</v>
      </c>
      <c r="H53" s="18" t="n">
        <f aca="false">+H52+G53</f>
        <v>5338.17069825971</v>
      </c>
    </row>
    <row r="54" customFormat="false" ht="14.65" hidden="false" customHeight="false" outlineLevel="0" collapsed="false">
      <c r="A54" s="1" t="n">
        <v>19</v>
      </c>
      <c r="C54" s="13" t="n">
        <f aca="false">+C53</f>
        <v>280</v>
      </c>
      <c r="E54" s="13" t="n">
        <f aca="false">+SUM(C54:D54)</f>
        <v>280</v>
      </c>
      <c r="F54" s="17" t="n">
        <f aca="false">+F53/(1+$D$15/12)</f>
        <v>0.867648776189478</v>
      </c>
      <c r="G54" s="18" t="n">
        <f aca="false">+E54*F54</f>
        <v>242.941657333054</v>
      </c>
      <c r="H54" s="18" t="n">
        <f aca="false">+H53+G54</f>
        <v>5581.11235559276</v>
      </c>
    </row>
    <row r="55" customFormat="false" ht="14.65" hidden="false" customHeight="false" outlineLevel="0" collapsed="false">
      <c r="A55" s="1" t="n">
        <v>20</v>
      </c>
      <c r="C55" s="13" t="n">
        <f aca="false">+C54</f>
        <v>280</v>
      </c>
      <c r="E55" s="13" t="n">
        <f aca="false">+SUM(C55:D55)</f>
        <v>280</v>
      </c>
      <c r="F55" s="17" t="n">
        <f aca="false">+F54/(1+$D$15/12)</f>
        <v>0.861189852297249</v>
      </c>
      <c r="G55" s="18" t="n">
        <f aca="false">+E55*F55</f>
        <v>241.13315864323</v>
      </c>
      <c r="H55" s="18" t="n">
        <f aca="false">+H54+G55</f>
        <v>5822.24551423599</v>
      </c>
    </row>
    <row r="56" customFormat="false" ht="14.65" hidden="false" customHeight="false" outlineLevel="0" collapsed="false">
      <c r="A56" s="1" t="n">
        <v>21</v>
      </c>
      <c r="C56" s="13" t="n">
        <f aca="false">+C55</f>
        <v>280</v>
      </c>
      <c r="E56" s="13" t="n">
        <f aca="false">+SUM(C56:D56)</f>
        <v>280</v>
      </c>
      <c r="F56" s="17" t="n">
        <f aca="false">+F55/(1+$D$15/12)</f>
        <v>0.854779009724316</v>
      </c>
      <c r="G56" s="18" t="n">
        <f aca="false">+E56*F56</f>
        <v>239.338122722809</v>
      </c>
      <c r="H56" s="18" t="n">
        <f aca="false">+H55+G56</f>
        <v>6061.5836369588</v>
      </c>
    </row>
    <row r="57" customFormat="false" ht="14.65" hidden="false" customHeight="false" outlineLevel="0" collapsed="false">
      <c r="A57" s="1" t="n">
        <v>22</v>
      </c>
      <c r="C57" s="13" t="n">
        <f aca="false">+C56</f>
        <v>280</v>
      </c>
      <c r="E57" s="13" t="n">
        <f aca="false">+SUM(C57:D57)</f>
        <v>280</v>
      </c>
      <c r="F57" s="17" t="n">
        <f aca="false">+F56/(1+$D$15/12)</f>
        <v>0.848415890545227</v>
      </c>
      <c r="G57" s="18" t="n">
        <f aca="false">+E57*F57</f>
        <v>237.556449352664</v>
      </c>
      <c r="H57" s="18" t="n">
        <f aca="false">+H56+G57</f>
        <v>6299.14008631146</v>
      </c>
    </row>
    <row r="58" customFormat="false" ht="14.65" hidden="false" customHeight="false" outlineLevel="0" collapsed="false">
      <c r="A58" s="1" t="n">
        <v>23</v>
      </c>
      <c r="C58" s="13" t="n">
        <f aca="false">+C57</f>
        <v>280</v>
      </c>
      <c r="E58" s="13" t="n">
        <f aca="false">+SUM(C58:D58)</f>
        <v>280</v>
      </c>
      <c r="F58" s="17" t="n">
        <f aca="false">+F57/(1+$D$15/12)</f>
        <v>0.842100139498985</v>
      </c>
      <c r="G58" s="18" t="n">
        <f aca="false">+E58*F58</f>
        <v>235.788039059716</v>
      </c>
      <c r="H58" s="18" t="n">
        <f aca="false">+H57+G58</f>
        <v>6534.92812537118</v>
      </c>
    </row>
    <row r="59" customFormat="false" ht="14.65" hidden="false" customHeight="false" outlineLevel="0" collapsed="false">
      <c r="A59" s="1" t="n">
        <v>24</v>
      </c>
      <c r="C59" s="13" t="n">
        <f aca="false">+C58</f>
        <v>280</v>
      </c>
      <c r="E59" s="13" t="n">
        <f aca="false">+SUM(C59:D59)</f>
        <v>280</v>
      </c>
      <c r="F59" s="17" t="n">
        <f aca="false">+F58/(1+$D$15/12)</f>
        <v>0.835831403969216</v>
      </c>
      <c r="G59" s="18" t="n">
        <f aca="false">+E59*F59</f>
        <v>234.03279311138</v>
      </c>
      <c r="H59" s="18" t="n">
        <f aca="false">+H58+G59</f>
        <v>6768.96091848256</v>
      </c>
    </row>
    <row r="60" customFormat="false" ht="14.65" hidden="false" customHeight="false" outlineLevel="0" collapsed="false">
      <c r="A60" s="1" t="n">
        <v>25</v>
      </c>
      <c r="C60" s="13" t="n">
        <f aca="false">+C59</f>
        <v>280</v>
      </c>
      <c r="E60" s="13" t="n">
        <f aca="false">+SUM(C60:D60)</f>
        <v>280</v>
      </c>
      <c r="F60" s="17" t="n">
        <f aca="false">+F59/(1+$D$15/12)</f>
        <v>0.829609333964482</v>
      </c>
      <c r="G60" s="18" t="n">
        <f aca="false">+E60*F60</f>
        <v>232.290613510055</v>
      </c>
      <c r="H60" s="18" t="n">
        <f aca="false">+H59+G60</f>
        <v>7001.25153199261</v>
      </c>
    </row>
    <row r="61" customFormat="false" ht="14.65" hidden="false" customHeight="false" outlineLevel="0" collapsed="false">
      <c r="A61" s="1" t="n">
        <v>26</v>
      </c>
      <c r="C61" s="13" t="n">
        <f aca="false">+C60</f>
        <v>280</v>
      </c>
      <c r="E61" s="13" t="n">
        <f aca="false">+SUM(C61:D61)</f>
        <v>280</v>
      </c>
      <c r="F61" s="17" t="n">
        <f aca="false">+F60/(1+$D$15/12)</f>
        <v>0.823433582098741</v>
      </c>
      <c r="G61" s="18" t="n">
        <f aca="false">+E61*F61</f>
        <v>230.561402987648</v>
      </c>
      <c r="H61" s="18" t="n">
        <f aca="false">+H60+G61</f>
        <v>7231.81293498026</v>
      </c>
    </row>
    <row r="62" customFormat="false" ht="14.65" hidden="false" customHeight="false" outlineLevel="0" collapsed="false">
      <c r="A62" s="1" t="n">
        <v>27</v>
      </c>
      <c r="C62" s="13" t="n">
        <f aca="false">+C61</f>
        <v>280</v>
      </c>
      <c r="E62" s="13" t="n">
        <f aca="false">+SUM(C62:D62)</f>
        <v>280</v>
      </c>
      <c r="F62" s="17" t="n">
        <f aca="false">+F61/(1+$D$15/12)</f>
        <v>0.817303803571952</v>
      </c>
      <c r="G62" s="18" t="n">
        <f aca="false">+E62*F62</f>
        <v>228.845065000146</v>
      </c>
      <c r="H62" s="18" t="n">
        <f aca="false">+H61+G62</f>
        <v>7460.65799998041</v>
      </c>
    </row>
    <row r="63" customFormat="false" ht="14.65" hidden="false" customHeight="false" outlineLevel="0" collapsed="false">
      <c r="A63" s="1" t="n">
        <v>28</v>
      </c>
      <c r="C63" s="13" t="n">
        <f aca="false">+C62</f>
        <v>280</v>
      </c>
      <c r="E63" s="13" t="n">
        <f aca="false">+SUM(C63:D63)</f>
        <v>280</v>
      </c>
      <c r="F63" s="17" t="n">
        <f aca="false">+F62/(1+$D$15/12)</f>
        <v>0.811219656150821</v>
      </c>
      <c r="G63" s="18" t="n">
        <f aca="false">+E63*F63</f>
        <v>227.14150372223</v>
      </c>
      <c r="H63" s="18" t="n">
        <f aca="false">+H62+G63</f>
        <v>7687.79950370264</v>
      </c>
    </row>
    <row r="64" customFormat="false" ht="14.65" hidden="false" customHeight="false" outlineLevel="0" collapsed="false">
      <c r="A64" s="1" t="n">
        <v>29</v>
      </c>
      <c r="C64" s="13" t="n">
        <f aca="false">+C63</f>
        <v>280</v>
      </c>
      <c r="E64" s="13" t="n">
        <f aca="false">+SUM(C64:D64)</f>
        <v>280</v>
      </c>
      <c r="F64" s="17" t="n">
        <f aca="false">+F63/(1+$D$15/12)</f>
        <v>0.805180800149698</v>
      </c>
      <c r="G64" s="18" t="n">
        <f aca="false">+E64*F64</f>
        <v>225.450624041915</v>
      </c>
      <c r="H64" s="18" t="n">
        <f aca="false">+H63+G64</f>
        <v>7913.25012774455</v>
      </c>
    </row>
    <row r="65" customFormat="false" ht="14.65" hidden="false" customHeight="false" outlineLevel="0" collapsed="false">
      <c r="A65" s="1" t="n">
        <v>30</v>
      </c>
      <c r="C65" s="13" t="n">
        <f aca="false">+C64</f>
        <v>280</v>
      </c>
      <c r="E65" s="13" t="n">
        <f aca="false">+SUM(C65:D65)</f>
        <v>280</v>
      </c>
      <c r="F65" s="17" t="n">
        <f aca="false">+F64/(1+$D$15/12)</f>
        <v>0.799186898411611</v>
      </c>
      <c r="G65" s="18" t="n">
        <f aca="false">+E65*F65</f>
        <v>223.772331555251</v>
      </c>
      <c r="H65" s="18" t="n">
        <f aca="false">+H64+G65</f>
        <v>8137.02245929981</v>
      </c>
    </row>
    <row r="66" customFormat="false" ht="14.65" hidden="false" customHeight="false" outlineLevel="0" collapsed="false">
      <c r="A66" s="1" t="n">
        <v>31</v>
      </c>
      <c r="C66" s="13" t="n">
        <f aca="false">+C65</f>
        <v>280</v>
      </c>
      <c r="E66" s="13" t="n">
        <f aca="false">+SUM(C66:D66)</f>
        <v>280</v>
      </c>
      <c r="F66" s="17" t="n">
        <f aca="false">+F65/(1+$D$15/12)</f>
        <v>0.79323761628944</v>
      </c>
      <c r="G66" s="18" t="n">
        <f aca="false">+E66*F66</f>
        <v>222.106532561043</v>
      </c>
      <c r="H66" s="18" t="n">
        <f aca="false">+H65+G66</f>
        <v>8359.12899186085</v>
      </c>
    </row>
    <row r="67" customFormat="false" ht="14.65" hidden="false" customHeight="false" outlineLevel="0" collapsed="false">
      <c r="A67" s="1" t="n">
        <v>32</v>
      </c>
      <c r="C67" s="13" t="n">
        <f aca="false">+C66</f>
        <v>280</v>
      </c>
      <c r="E67" s="13" t="n">
        <f aca="false">+SUM(C67:D67)</f>
        <v>280</v>
      </c>
      <c r="F67" s="17" t="n">
        <f aca="false">+F66/(1+$D$15/12)</f>
        <v>0.787332621627236</v>
      </c>
      <c r="G67" s="18" t="n">
        <f aca="false">+E67*F67</f>
        <v>220.453134055626</v>
      </c>
      <c r="H67" s="18" t="n">
        <f aca="false">+H66+G67</f>
        <v>8579.58212591647</v>
      </c>
    </row>
    <row r="68" customFormat="false" ht="14.65" hidden="false" customHeight="false" outlineLevel="0" collapsed="false">
      <c r="A68" s="1" t="n">
        <v>33</v>
      </c>
      <c r="C68" s="13" t="n">
        <f aca="false">+C67</f>
        <v>280</v>
      </c>
      <c r="E68" s="13" t="n">
        <f aca="false">+SUM(C68:D68)</f>
        <v>280</v>
      </c>
      <c r="F68" s="17" t="n">
        <f aca="false">+F67/(1+$D$15/12)</f>
        <v>0.781471584741673</v>
      </c>
      <c r="G68" s="18" t="n">
        <f aca="false">+E68*F68</f>
        <v>218.812043727668</v>
      </c>
      <c r="H68" s="18" t="n">
        <f aca="false">+H67+G68</f>
        <v>8798.39416964414</v>
      </c>
    </row>
    <row r="69" customFormat="false" ht="14.65" hidden="false" customHeight="false" outlineLevel="0" collapsed="false">
      <c r="A69" s="1" t="n">
        <v>34</v>
      </c>
      <c r="C69" s="13" t="n">
        <f aca="false">+C68</f>
        <v>280</v>
      </c>
      <c r="E69" s="13" t="n">
        <f aca="false">+SUM(C69:D69)</f>
        <v>280</v>
      </c>
      <c r="F69" s="17" t="n">
        <f aca="false">+F68/(1+$D$15/12)</f>
        <v>0.775654178403646</v>
      </c>
      <c r="G69" s="18" t="n">
        <f aca="false">+E69*F69</f>
        <v>217.183169953021</v>
      </c>
      <c r="H69" s="18" t="n">
        <f aca="false">+H68+G69</f>
        <v>9015.57733959716</v>
      </c>
    </row>
    <row r="70" customFormat="false" ht="14.65" hidden="false" customHeight="false" outlineLevel="0" collapsed="false">
      <c r="A70" s="1" t="n">
        <v>35</v>
      </c>
      <c r="C70" s="13" t="n">
        <f aca="false">+C69</f>
        <v>280</v>
      </c>
      <c r="E70" s="13" t="n">
        <f aca="false">+SUM(C70:D70)</f>
        <v>280</v>
      </c>
      <c r="F70" s="17" t="n">
        <f aca="false">+F69/(1+$D$15/12)</f>
        <v>0.769880077819996</v>
      </c>
      <c r="G70" s="18" t="n">
        <f aca="false">+E70*F70</f>
        <v>215.566421789599</v>
      </c>
      <c r="H70" s="18" t="n">
        <f aca="false">+H69+G70</f>
        <v>9231.14376138676</v>
      </c>
    </row>
    <row r="71" customFormat="false" ht="14.65" hidden="false" customHeight="false" outlineLevel="0" collapsed="false">
      <c r="A71" s="1" t="n">
        <v>36</v>
      </c>
      <c r="C71" s="13" t="n">
        <f aca="false">+D14</f>
        <v>20000</v>
      </c>
      <c r="D71" s="4" t="n">
        <f aca="false">+D17*D14</f>
        <v>1200</v>
      </c>
      <c r="E71" s="13" t="n">
        <f aca="false">+SUM(C71:D71)</f>
        <v>21200</v>
      </c>
      <c r="F71" s="17" t="n">
        <f aca="false">+F70/(1+$D$15/12)</f>
        <v>0.76414896061538</v>
      </c>
      <c r="G71" s="18" t="n">
        <f aca="false">+E71*F71</f>
        <v>16199.9579650461</v>
      </c>
      <c r="H71" s="18" t="n">
        <f aca="false">+H70+G71</f>
        <v>25431.1017264328</v>
      </c>
    </row>
    <row r="74" customFormat="false" ht="14.65" hidden="false" customHeight="false" outlineLevel="0" collapsed="false">
      <c r="D74" s="13"/>
      <c r="E74" s="13"/>
    </row>
    <row r="75" customFormat="false" ht="14.65" hidden="false" customHeight="false" outlineLevel="0" collapsed="false">
      <c r="D75" s="13"/>
      <c r="E75" s="13"/>
    </row>
    <row r="76" customFormat="false" ht="14.65" hidden="false" customHeight="false" outlineLevel="0" collapsed="false">
      <c r="A76" s="14"/>
      <c r="B76" s="14"/>
      <c r="C76" s="14"/>
      <c r="D76" s="14"/>
      <c r="E76" s="14"/>
      <c r="F76" s="14"/>
      <c r="G76" s="14"/>
      <c r="H76" s="14"/>
    </row>
    <row r="77" customFormat="false" ht="14.65" hidden="false" customHeight="false" outlineLevel="0" collapsed="false">
      <c r="A77" s="15"/>
      <c r="B77" s="15"/>
      <c r="C77" s="15"/>
      <c r="D77" s="15"/>
      <c r="E77" s="15"/>
      <c r="F77" s="15"/>
      <c r="G77" s="15"/>
      <c r="H77" s="15"/>
    </row>
    <row r="78" customFormat="false" ht="14.65" hidden="false" customHeight="false" outlineLevel="0" collapsed="false">
      <c r="A78" s="16"/>
    </row>
    <row r="79" customFormat="false" ht="14.65" hidden="false" customHeight="false" outlineLevel="0" collapsed="false">
      <c r="C79" s="13"/>
      <c r="E79" s="13"/>
      <c r="F79" s="17"/>
      <c r="G79" s="18"/>
      <c r="H79" s="18"/>
    </row>
    <row r="80" customFormat="false" ht="14.65" hidden="false" customHeight="false" outlineLevel="0" collapsed="false">
      <c r="C80" s="13"/>
      <c r="E80" s="13"/>
      <c r="F80" s="17"/>
      <c r="G80" s="18"/>
      <c r="H80" s="18"/>
    </row>
    <row r="81" customFormat="false" ht="14.65" hidden="false" customHeight="false" outlineLevel="0" collapsed="false">
      <c r="C81" s="13"/>
      <c r="E81" s="13"/>
      <c r="F81" s="17"/>
      <c r="G81" s="18"/>
      <c r="H81" s="18"/>
    </row>
    <row r="82" customFormat="false" ht="14.65" hidden="false" customHeight="false" outlineLevel="0" collapsed="false">
      <c r="C82" s="13"/>
      <c r="E82" s="13"/>
      <c r="F82" s="17"/>
      <c r="G82" s="18"/>
      <c r="H82" s="18"/>
    </row>
    <row r="83" customFormat="false" ht="14.65" hidden="false" customHeight="false" outlineLevel="0" collapsed="false">
      <c r="C83" s="13"/>
      <c r="E83" s="13"/>
      <c r="F83" s="17"/>
      <c r="G83" s="18"/>
      <c r="H83" s="18"/>
    </row>
    <row r="84" customFormat="false" ht="14.65" hidden="false" customHeight="false" outlineLevel="0" collapsed="false">
      <c r="C84" s="13"/>
      <c r="E84" s="13"/>
      <c r="F84" s="17"/>
      <c r="G84" s="18"/>
      <c r="H84" s="18"/>
    </row>
    <row r="85" customFormat="false" ht="14.65" hidden="false" customHeight="false" outlineLevel="0" collapsed="false">
      <c r="C85" s="13"/>
      <c r="E85" s="13"/>
      <c r="F85" s="17"/>
      <c r="G85" s="18"/>
      <c r="H85" s="18"/>
    </row>
    <row r="86" customFormat="false" ht="14.65" hidden="false" customHeight="false" outlineLevel="0" collapsed="false">
      <c r="C86" s="13"/>
      <c r="E86" s="13"/>
      <c r="F86" s="17"/>
      <c r="G86" s="18"/>
      <c r="H86" s="18"/>
    </row>
    <row r="87" customFormat="false" ht="14.65" hidden="false" customHeight="false" outlineLevel="0" collapsed="false">
      <c r="C87" s="13"/>
      <c r="E87" s="13"/>
      <c r="F87" s="17"/>
      <c r="G87" s="18"/>
      <c r="H87" s="18"/>
    </row>
    <row r="88" customFormat="false" ht="14.65" hidden="false" customHeight="false" outlineLevel="0" collapsed="false">
      <c r="C88" s="13"/>
      <c r="E88" s="13"/>
      <c r="F88" s="17"/>
      <c r="G88" s="18"/>
      <c r="H88" s="18"/>
    </row>
    <row r="89" customFormat="false" ht="14.65" hidden="false" customHeight="false" outlineLevel="0" collapsed="false">
      <c r="C89" s="13"/>
      <c r="E89" s="13"/>
      <c r="F89" s="17"/>
      <c r="G89" s="18"/>
      <c r="H89" s="18"/>
    </row>
    <row r="90" customFormat="false" ht="14.65" hidden="false" customHeight="false" outlineLevel="0" collapsed="false">
      <c r="C90" s="13"/>
      <c r="E90" s="13"/>
      <c r="F90" s="17"/>
      <c r="G90" s="18"/>
      <c r="H90" s="18"/>
    </row>
    <row r="91" customFormat="false" ht="14.65" hidden="false" customHeight="false" outlineLevel="0" collapsed="false">
      <c r="C91" s="13"/>
      <c r="E91" s="13"/>
      <c r="F91" s="17"/>
      <c r="G91" s="18"/>
      <c r="H91" s="18"/>
    </row>
    <row r="92" customFormat="false" ht="14.65" hidden="false" customHeight="false" outlineLevel="0" collapsed="false">
      <c r="C92" s="13"/>
      <c r="E92" s="13"/>
      <c r="F92" s="17"/>
      <c r="G92" s="18"/>
      <c r="H92" s="18"/>
    </row>
    <row r="93" customFormat="false" ht="14.65" hidden="false" customHeight="false" outlineLevel="0" collapsed="false">
      <c r="C93" s="13"/>
      <c r="E93" s="13"/>
      <c r="F93" s="17"/>
      <c r="G93" s="18"/>
      <c r="H93" s="18"/>
    </row>
    <row r="94" customFormat="false" ht="14.65" hidden="false" customHeight="false" outlineLevel="0" collapsed="false">
      <c r="C94" s="13"/>
      <c r="E94" s="13"/>
      <c r="F94" s="17"/>
      <c r="G94" s="18"/>
      <c r="H94" s="18"/>
    </row>
    <row r="95" customFormat="false" ht="14.65" hidden="false" customHeight="false" outlineLevel="0" collapsed="false">
      <c r="C95" s="13"/>
      <c r="E95" s="13"/>
      <c r="F95" s="17"/>
      <c r="G95" s="18"/>
      <c r="H95" s="18"/>
    </row>
    <row r="96" customFormat="false" ht="14.65" hidden="false" customHeight="false" outlineLevel="0" collapsed="false">
      <c r="C96" s="13"/>
      <c r="E96" s="13"/>
      <c r="F96" s="17"/>
      <c r="G96" s="18"/>
      <c r="H96" s="18"/>
    </row>
    <row r="97" customFormat="false" ht="14.65" hidden="false" customHeight="false" outlineLevel="0" collapsed="false">
      <c r="C97" s="13"/>
      <c r="E97" s="13"/>
      <c r="F97" s="17"/>
      <c r="G97" s="18"/>
      <c r="H97" s="18"/>
    </row>
    <row r="98" customFormat="false" ht="14.65" hidden="false" customHeight="false" outlineLevel="0" collapsed="false">
      <c r="C98" s="13"/>
      <c r="E98" s="13"/>
      <c r="F98" s="17"/>
      <c r="G98" s="18"/>
      <c r="H98" s="18"/>
    </row>
    <row r="99" customFormat="false" ht="14.65" hidden="false" customHeight="false" outlineLevel="0" collapsed="false">
      <c r="C99" s="13"/>
      <c r="E99" s="13"/>
      <c r="F99" s="17"/>
      <c r="G99" s="18"/>
      <c r="H99" s="18"/>
    </row>
    <row r="100" customFormat="false" ht="14.65" hidden="false" customHeight="false" outlineLevel="0" collapsed="false">
      <c r="C100" s="13"/>
      <c r="E100" s="13"/>
      <c r="F100" s="17"/>
      <c r="G100" s="18"/>
      <c r="H100" s="18"/>
    </row>
    <row r="101" customFormat="false" ht="14.65" hidden="false" customHeight="false" outlineLevel="0" collapsed="false">
      <c r="C101" s="13"/>
      <c r="E101" s="13"/>
      <c r="F101" s="17"/>
      <c r="G101" s="18"/>
      <c r="H101" s="18"/>
    </row>
    <row r="102" customFormat="false" ht="14.65" hidden="false" customHeight="false" outlineLevel="0" collapsed="false">
      <c r="C102" s="13"/>
      <c r="E102" s="13"/>
      <c r="F102" s="17"/>
      <c r="G102" s="18"/>
      <c r="H102" s="18"/>
    </row>
    <row r="103" customFormat="false" ht="14.65" hidden="false" customHeight="false" outlineLevel="0" collapsed="false">
      <c r="C103" s="13"/>
      <c r="E103" s="13"/>
      <c r="F103" s="17"/>
      <c r="G103" s="18"/>
      <c r="H103" s="18"/>
    </row>
    <row r="104" customFormat="false" ht="14.65" hidden="false" customHeight="false" outlineLevel="0" collapsed="false">
      <c r="C104" s="13"/>
      <c r="E104" s="13"/>
      <c r="F104" s="17"/>
      <c r="G104" s="18"/>
      <c r="H104" s="18"/>
    </row>
    <row r="105" customFormat="false" ht="14.65" hidden="false" customHeight="false" outlineLevel="0" collapsed="false">
      <c r="C105" s="13"/>
      <c r="E105" s="13"/>
      <c r="F105" s="17"/>
      <c r="G105" s="18"/>
      <c r="H105" s="18"/>
    </row>
    <row r="106" customFormat="false" ht="14.65" hidden="false" customHeight="false" outlineLevel="0" collapsed="false">
      <c r="C106" s="13"/>
      <c r="E106" s="13"/>
      <c r="F106" s="17"/>
      <c r="G106" s="18"/>
      <c r="H106" s="18"/>
    </row>
    <row r="107" customFormat="false" ht="14.65" hidden="false" customHeight="false" outlineLevel="0" collapsed="false">
      <c r="C107" s="13"/>
      <c r="E107" s="13"/>
      <c r="F107" s="17"/>
      <c r="G107" s="18"/>
      <c r="H107" s="18"/>
    </row>
    <row r="108" customFormat="false" ht="14.65" hidden="false" customHeight="false" outlineLevel="0" collapsed="false">
      <c r="C108" s="13"/>
      <c r="E108" s="13"/>
      <c r="F108" s="17"/>
      <c r="G108" s="18"/>
      <c r="H108" s="18"/>
    </row>
    <row r="109" customFormat="false" ht="14.65" hidden="false" customHeight="false" outlineLevel="0" collapsed="false">
      <c r="C109" s="13"/>
      <c r="E109" s="13"/>
      <c r="F109" s="17"/>
      <c r="G109" s="18"/>
      <c r="H109" s="18"/>
    </row>
    <row r="110" customFormat="false" ht="14.65" hidden="false" customHeight="false" outlineLevel="0" collapsed="false">
      <c r="C110" s="13"/>
      <c r="E110" s="13"/>
      <c r="F110" s="17"/>
      <c r="G110" s="18"/>
      <c r="H110" s="18"/>
    </row>
    <row r="111" customFormat="false" ht="14.65" hidden="false" customHeight="false" outlineLevel="0" collapsed="false">
      <c r="C111" s="13"/>
      <c r="E111" s="13"/>
      <c r="F111" s="17"/>
      <c r="G111" s="18"/>
      <c r="H111" s="18"/>
    </row>
    <row r="112" customFormat="false" ht="14.65" hidden="false" customHeight="false" outlineLevel="0" collapsed="false">
      <c r="C112" s="13"/>
      <c r="E112" s="13"/>
      <c r="F112" s="17"/>
      <c r="G112" s="18"/>
      <c r="H112" s="18"/>
    </row>
    <row r="113" customFormat="false" ht="14.65" hidden="false" customHeight="false" outlineLevel="0" collapsed="false">
      <c r="C113" s="13"/>
      <c r="E113" s="13"/>
      <c r="F113" s="17"/>
      <c r="G113" s="18"/>
      <c r="H113" s="18"/>
    </row>
    <row r="114" customFormat="false" ht="14.65" hidden="false" customHeight="false" outlineLevel="0" collapsed="false">
      <c r="C114" s="13"/>
      <c r="E114" s="13"/>
      <c r="F114" s="17"/>
      <c r="G114" s="18"/>
      <c r="H114" s="18"/>
    </row>
    <row r="115" customFormat="false" ht="14.65" hidden="false" customHeight="false" outlineLevel="0" collapsed="false">
      <c r="C115" s="13"/>
      <c r="D115" s="4"/>
      <c r="E115" s="13"/>
      <c r="F115" s="17"/>
      <c r="G115" s="18"/>
      <c r="H115" s="18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