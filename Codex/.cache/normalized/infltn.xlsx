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l rate" sheetId="1" state="visible" r:id="rId3"/>
    <sheet name="Infl factor" sheetId="2" state="visible" r:id="rId4"/>
    <sheet name="NPV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<sst xmlns="http://schemas.openxmlformats.org/spreadsheetml/2006/main" count="43" uniqueCount="35">
  <si>
    <t xml:space="preserve">INFLATION AND THE REAL RATE OF INTEREST</t>
  </si>
  <si>
    <t xml:space="preserve">Interest rate</t>
  </si>
  <si>
    <t xml:space="preserve">Inflation rate</t>
  </si>
  <si>
    <t xml:space="preserve">Real interest rate</t>
  </si>
  <si>
    <t xml:space="preserve">( 1 + Interest Rate ) / ( 1 + Inflation Rate )  -  1</t>
  </si>
  <si>
    <t xml:space="preserve">EXAMPLE</t>
  </si>
  <si>
    <t xml:space="preserve">Cash today</t>
  </si>
  <si>
    <t xml:space="preserve">Plus interest</t>
  </si>
  <si>
    <t xml:space="preserve">Cash next year</t>
  </si>
  <si>
    <t xml:space="preserve">Price today</t>
  </si>
  <si>
    <t xml:space="preserve">Plus inflation</t>
  </si>
  <si>
    <t xml:space="preserve">Price next year</t>
  </si>
  <si>
    <t xml:space="preserve">INFLATION AND CONSTANT DOLLAR FACTORS</t>
  </si>
  <si>
    <t xml:space="preserve">Current price</t>
  </si>
  <si>
    <t xml:space="preserve">Year</t>
  </si>
  <si>
    <t xml:space="preserve">Price</t>
  </si>
  <si>
    <t xml:space="preserve">Inflation factor</t>
  </si>
  <si>
    <t xml:space="preserve">Inflation Factor  =  Previous Inflation Factor  x  ( 1 + Inflation Rate )</t>
  </si>
  <si>
    <t xml:space="preserve">Constant dollar factor</t>
  </si>
  <si>
    <t xml:space="preserve">Price in constant dollars</t>
  </si>
  <si>
    <t xml:space="preserve">Constant dollar factor  =  1 / Inflation Factor</t>
  </si>
  <si>
    <t xml:space="preserve">Constant dollar factor  =  Previous Constant Dollar Factor / ( 1 + Inflation Rate )</t>
  </si>
  <si>
    <t xml:space="preserve">NPV CAN BE CALCULATED IN NOMINAL OR REAL TERMS</t>
  </si>
  <si>
    <t xml:space="preserve">Cash flow </t>
  </si>
  <si>
    <t xml:space="preserve">PV factor</t>
  </si>
  <si>
    <t xml:space="preserve">PV of cash flow</t>
  </si>
  <si>
    <t xml:space="preserve">Cumulative PV</t>
  </si>
  <si>
    <t xml:space="preserve">NPV</t>
  </si>
  <si>
    <t xml:space="preserve">Cash flow</t>
  </si>
  <si>
    <t xml:space="preserve">Real cash flow</t>
  </si>
  <si>
    <t xml:space="preserve">     Cash Flow x Const $ Factor</t>
  </si>
  <si>
    <t xml:space="preserve">Real PV factor</t>
  </si>
  <si>
    <t xml:space="preserve">Real PV</t>
  </si>
  <si>
    <t xml:space="preserve">     Real CF x Real PV Factor</t>
  </si>
  <si>
    <t xml:space="preserve">Cumulative real PV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</si>
</sst>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%"/>
    <numFmt numFmtId="166" formatCode="0.00%"/>
    <numFmt numFmtId="167" formatCode="_(* #,##0.00_);_(* \(#,##0.00\);_(* \-??_);_(@_)"/>
    <numFmt numFmtId="168" formatCode="_(* #,##0_);_(* \(#,##0\);_(* \-??_);_(@_)"/>
  </numFmts>
  <fonts count="13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</font>
    <font>
      <b val="true"/>
      <sz val="10"/>
      <color rgb="FFFF0000"/>
      <name val="Arial"/>
      <family val="2"/>
    </font>
    <font>
      <b val="true"/>
      <sz val="10"/>
      <color rgb="FF008000"/>
      <name val="Arial"/>
      <family val="2"/>
    </font>
    <font>
      <b val="true"/>
      <sz val="10"/>
      <color rgb="FF0000FF"/>
      <name val="Arial"/>
      <family val="2"/>
    </font>
    <font>
      <sz val="10"/>
      <color rgb="FF0000FF"/>
      <name val="Arial"/>
      <family val="2"/>
    </font>
    <font>
      <b val="true"/>
      <sz val="10"/>
      <color rgb="FF000000"/>
      <name val="Arial"/>
      <family val="0"/>
    </font>
    <font>
      <b val="true"/>
      <u val="single"/>
      <sz val="10"/>
      <color rgb="FFFF0000"/>
      <name val="Arial"/>
      <family val="2"/>
    </font>
    <font>
      <b val="true"/>
      <sz val="10"/>
      <color rgb="FF000000"/>
      <name val="Arial"/>
      <family val="2"/>
    </font>
    <font>
      <b val="true"/>
      <u val="single"/>
      <sz val="10"/>
      <color rgb="FF008000"/>
      <name val="Arial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7" fontId="0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5" fontId="0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6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4.65" zeroHeight="false" outlineLevelRow="0" outlineLevelCol="0"/>
  <cols>
    <col collapsed="false" customWidth="true" hidden="false" outlineLevel="0" max="1" min="1" style="0" width="16.56"/>
  </cols>
  <sheetData>
    <row r="1" customFormat="false" ht="14.65" hidden="false" customHeight="false" outlineLevel="0" collapsed="false">
      <c r="A1" s="1" t="s">
        <v>0</v>
      </c>
    </row>
    <row r="4" customFormat="false" ht="14.65" hidden="false" customHeight="false" outlineLevel="0" collapsed="false">
      <c r="A4" s="2" t="s">
        <v>1</v>
      </c>
      <c r="B4" s="3" t="n">
        <v>0.12</v>
      </c>
      <c r="C4" s="1"/>
      <c r="D4" s="1"/>
      <c r="E4" s="1"/>
    </row>
    <row r="5" customFormat="false" ht="14.65" hidden="false" customHeight="false" outlineLevel="0" collapsed="false">
      <c r="A5" s="4" t="s">
        <v>2</v>
      </c>
      <c r="B5" s="5" t="n">
        <v>0.05</v>
      </c>
      <c r="C5" s="1"/>
      <c r="D5" s="1"/>
      <c r="E5" s="1"/>
    </row>
    <row r="6" customFormat="false" ht="14.65" hidden="false" customHeight="false" outlineLevel="0" collapsed="false">
      <c r="C6" s="1"/>
      <c r="D6" s="1"/>
      <c r="E6" s="1"/>
    </row>
    <row r="7" customFormat="false" ht="14.65" hidden="false" customHeight="false" outlineLevel="0" collapsed="false">
      <c r="A7" s="6" t="s">
        <v>3</v>
      </c>
      <c r="B7" s="7" t="n">
        <f aca="false">(1+B4)/(1+B5)-1</f>
        <v>0.0666666666666667</v>
      </c>
      <c r="C7" s="6"/>
      <c r="D7" s="6" t="s">
        <v>4</v>
      </c>
      <c r="E7" s="6"/>
      <c r="F7" s="8"/>
      <c r="G7" s="8"/>
      <c r="H7" s="8"/>
    </row>
    <row r="8" customFormat="false" ht="14.65" hidden="false" customHeight="false" outlineLevel="0" collapsed="false">
      <c r="A8" s="6"/>
      <c r="B8" s="7"/>
      <c r="C8" s="6"/>
      <c r="D8" s="6"/>
      <c r="E8" s="6"/>
      <c r="F8" s="8"/>
      <c r="G8" s="8"/>
      <c r="H8" s="8"/>
    </row>
    <row r="9" customFormat="false" ht="14.65" hidden="false" customHeight="false" outlineLevel="0" collapsed="false">
      <c r="A9" s="6"/>
      <c r="B9" s="7"/>
      <c r="C9" s="6"/>
      <c r="D9" s="6"/>
      <c r="E9" s="6"/>
      <c r="F9" s="8"/>
      <c r="G9" s="8"/>
      <c r="H9" s="8"/>
    </row>
    <row r="10" customFormat="false" ht="14.65" hidden="false" customHeight="false" outlineLevel="0" collapsed="false">
      <c r="A10" s="9" t="s">
        <v>5</v>
      </c>
      <c r="B10" s="7"/>
      <c r="C10" s="6"/>
      <c r="D10" s="6"/>
      <c r="E10" s="6"/>
      <c r="F10" s="8"/>
      <c r="G10" s="8"/>
      <c r="H10" s="8"/>
    </row>
    <row r="11" customFormat="false" ht="14.65" hidden="false" customHeight="false" outlineLevel="0" collapsed="false">
      <c r="A11" s="6"/>
      <c r="B11" s="7"/>
      <c r="C11" s="6"/>
      <c r="D11" s="6"/>
      <c r="E11" s="6"/>
      <c r="F11" s="8"/>
      <c r="G11" s="8"/>
      <c r="H11" s="8"/>
    </row>
    <row r="12" customFormat="false" ht="14.65" hidden="false" customHeight="false" outlineLevel="0" collapsed="false">
      <c r="A12" s="6" t="s">
        <v>6</v>
      </c>
      <c r="B12" s="10" t="n">
        <v>100</v>
      </c>
      <c r="C12" s="10"/>
      <c r="D12" s="10"/>
      <c r="E12" s="10"/>
      <c r="F12" s="10"/>
      <c r="G12" s="10"/>
      <c r="H12" s="6"/>
      <c r="I12" s="1"/>
      <c r="J12" s="1"/>
      <c r="K12" s="1"/>
    </row>
    <row r="13" customFormat="false" ht="14.65" hidden="false" customHeight="false" outlineLevel="0" collapsed="false">
      <c r="A13" s="2" t="s">
        <v>7</v>
      </c>
      <c r="B13" s="11" t="n">
        <f aca="false">B4*B12</f>
        <v>12</v>
      </c>
      <c r="C13" s="12"/>
      <c r="D13" s="12"/>
      <c r="E13" s="12"/>
      <c r="F13" s="12"/>
      <c r="G13" s="12"/>
      <c r="H13" s="1"/>
      <c r="I13" s="1"/>
      <c r="J13" s="1"/>
      <c r="K13" s="1"/>
    </row>
    <row r="14" customFormat="false" ht="14.65" hidden="false" customHeight="false" outlineLevel="0" collapsed="false">
      <c r="A14" s="13" t="s">
        <v>8</v>
      </c>
      <c r="B14" s="14" t="n">
        <f aca="false">B12+B13</f>
        <v>112</v>
      </c>
      <c r="C14" s="12"/>
      <c r="D14" s="12"/>
      <c r="E14" s="12"/>
      <c r="F14" s="12"/>
      <c r="G14" s="12"/>
      <c r="H14" s="1"/>
      <c r="I14" s="1"/>
      <c r="J14" s="1"/>
      <c r="K14" s="1"/>
    </row>
    <row r="15" customFormat="false" ht="14.65" hidden="false" customHeight="false" outlineLevel="0" collapsed="false">
      <c r="A15" s="1"/>
      <c r="B15" s="12"/>
      <c r="C15" s="12"/>
      <c r="D15" s="12"/>
      <c r="E15" s="12"/>
      <c r="F15" s="12"/>
      <c r="G15" s="12"/>
      <c r="H15" s="1"/>
      <c r="I15" s="1"/>
      <c r="J15" s="1"/>
      <c r="K15" s="1"/>
    </row>
    <row r="16" customFormat="false" ht="14.65" hidden="false" customHeight="false" outlineLevel="0" collapsed="false">
      <c r="A16" s="6" t="s">
        <v>9</v>
      </c>
      <c r="B16" s="10" t="n">
        <f aca="false">B12*(1+B7)</f>
        <v>106.666666666667</v>
      </c>
      <c r="C16" s="12"/>
      <c r="D16" s="12"/>
      <c r="E16" s="12"/>
      <c r="F16" s="12"/>
      <c r="G16" s="12"/>
      <c r="H16" s="1"/>
      <c r="I16" s="1"/>
      <c r="J16" s="1"/>
      <c r="K16" s="1"/>
    </row>
    <row r="17" customFormat="false" ht="14.65" hidden="false" customHeight="false" outlineLevel="0" collapsed="false">
      <c r="A17" s="4" t="s">
        <v>10</v>
      </c>
      <c r="B17" s="15" t="n">
        <f aca="false">B5*B16</f>
        <v>5.33333333333333</v>
      </c>
      <c r="C17" s="12"/>
      <c r="D17" s="12"/>
      <c r="E17" s="12"/>
      <c r="F17" s="12"/>
      <c r="G17" s="12"/>
      <c r="H17" s="1"/>
      <c r="I17" s="1"/>
      <c r="J17" s="1"/>
      <c r="K17" s="1"/>
    </row>
    <row r="18" customFormat="false" ht="14.65" hidden="false" customHeight="false" outlineLevel="0" collapsed="false">
      <c r="A18" s="13" t="s">
        <v>11</v>
      </c>
      <c r="B18" s="14" t="n">
        <f aca="false">B16+B17</f>
        <v>112</v>
      </c>
      <c r="C18" s="12"/>
      <c r="D18" s="12"/>
      <c r="E18" s="12"/>
      <c r="F18" s="12"/>
      <c r="G18" s="12"/>
      <c r="H18" s="1"/>
      <c r="I18" s="1"/>
      <c r="J18" s="1"/>
      <c r="K18" s="1"/>
    </row>
    <row r="19" customFormat="false" ht="14.65" hidden="false" customHeight="false" outlineLevel="0" collapsed="false">
      <c r="A19" s="1"/>
      <c r="B19" s="12"/>
      <c r="C19" s="12"/>
      <c r="D19" s="12"/>
      <c r="E19" s="12"/>
      <c r="F19" s="12"/>
      <c r="G19" s="12"/>
      <c r="H19" s="1"/>
      <c r="I19" s="1"/>
      <c r="J19" s="1"/>
      <c r="K19" s="1"/>
    </row>
    <row r="20" customFormat="false" ht="14.65" hidden="false" customHeight="false" outlineLevel="0" collapsed="false">
      <c r="A20" s="1"/>
      <c r="B20" s="12"/>
      <c r="C20" s="12"/>
      <c r="D20" s="12"/>
      <c r="E20" s="12"/>
      <c r="F20" s="12"/>
      <c r="G20" s="12"/>
      <c r="H20" s="1"/>
      <c r="I20" s="1"/>
      <c r="J20" s="1"/>
      <c r="K20" s="1"/>
    </row>
    <row r="21" customFormat="false" ht="14.65" hidden="false" customHeight="false" outlineLevel="0" collapsed="false">
      <c r="A21" s="1"/>
      <c r="B21" s="12"/>
      <c r="C21" s="12"/>
      <c r="D21" s="12"/>
      <c r="E21" s="12"/>
      <c r="F21" s="12"/>
      <c r="G21" s="12"/>
      <c r="H21" s="1"/>
      <c r="I21" s="1"/>
      <c r="J21" s="1"/>
      <c r="K21" s="1"/>
    </row>
    <row r="22" customFormat="false" ht="14.65" hidden="false" customHeight="false" outlineLevel="0" collapsed="false">
      <c r="A22" s="1"/>
      <c r="B22" s="12"/>
      <c r="C22" s="12"/>
      <c r="D22" s="12"/>
      <c r="E22" s="12"/>
      <c r="F22" s="12"/>
      <c r="G22" s="12"/>
      <c r="H22" s="1"/>
      <c r="I22" s="1"/>
      <c r="J22" s="1"/>
      <c r="K22" s="1"/>
    </row>
    <row r="23" customFormat="false" ht="14.65" hidden="false" customHeight="false" outlineLevel="0" collapsed="false">
      <c r="A23" s="1"/>
      <c r="B23" s="12"/>
      <c r="C23" s="12"/>
      <c r="D23" s="12"/>
      <c r="E23" s="12"/>
      <c r="F23" s="12"/>
      <c r="G23" s="12"/>
      <c r="H23" s="1"/>
      <c r="I23" s="1"/>
      <c r="J23" s="1"/>
      <c r="K23" s="1"/>
    </row>
    <row r="24" customFormat="false" ht="14.65" hidden="false" customHeight="false" outlineLevel="0" collapsed="false">
      <c r="A24" s="1"/>
      <c r="B24" s="12"/>
      <c r="C24" s="12"/>
      <c r="D24" s="12"/>
      <c r="E24" s="12"/>
      <c r="F24" s="12"/>
      <c r="G24" s="12"/>
      <c r="H24" s="1"/>
      <c r="I24" s="1"/>
      <c r="J24" s="1"/>
      <c r="K24" s="1"/>
    </row>
    <row r="25" customFormat="false" ht="14.65" hidden="false" customHeight="false" outlineLevel="0" collapsed="false">
      <c r="B25" s="16"/>
      <c r="C25" s="16"/>
      <c r="D25" s="16"/>
      <c r="E25" s="16"/>
      <c r="F25" s="16"/>
      <c r="G25" s="16"/>
    </row>
    <row r="26" customFormat="false" ht="14.65" hidden="false" customHeight="false" outlineLevel="0" collapsed="false">
      <c r="B26" s="16"/>
      <c r="C26" s="16"/>
      <c r="D26" s="16"/>
      <c r="E26" s="16"/>
      <c r="F26" s="16"/>
      <c r="G26" s="16"/>
    </row>
    <row r="27" customFormat="false" ht="14.65" hidden="false" customHeight="false" outlineLevel="0" collapsed="false">
      <c r="B27" s="16"/>
      <c r="C27" s="16"/>
      <c r="D27" s="16"/>
      <c r="E27" s="16"/>
      <c r="F27" s="16"/>
      <c r="G27" s="16"/>
    </row>
    <row r="28" customFormat="false" ht="14.65" hidden="false" customHeight="false" outlineLevel="0" collapsed="false">
      <c r="B28" s="16"/>
      <c r="C28" s="16"/>
      <c r="D28" s="16"/>
      <c r="E28" s="16"/>
      <c r="F28" s="16"/>
      <c r="G28" s="16"/>
    </row>
    <row r="29" customFormat="false" ht="14.65" hidden="false" customHeight="false" outlineLevel="0" collapsed="false">
      <c r="B29" s="16"/>
      <c r="C29" s="16"/>
      <c r="D29" s="16"/>
      <c r="E29" s="16"/>
      <c r="F29" s="16"/>
      <c r="G29" s="16"/>
    </row>
    <row r="30" customFormat="false" ht="14.65" hidden="false" customHeight="false" outlineLevel="0" collapsed="false">
      <c r="B30" s="16"/>
      <c r="C30" s="16"/>
      <c r="D30" s="16"/>
      <c r="E30" s="16"/>
      <c r="F30" s="16"/>
      <c r="G30" s="16"/>
    </row>
    <row r="31" customFormat="false" ht="14.65" hidden="false" customHeight="false" outlineLevel="0" collapsed="false">
      <c r="B31" s="16"/>
      <c r="C31" s="16"/>
      <c r="D31" s="16"/>
      <c r="E31" s="16"/>
      <c r="F31" s="16"/>
      <c r="G31" s="16"/>
    </row>
    <row r="32" customFormat="false" ht="14.65" hidden="false" customHeight="false" outlineLevel="0" collapsed="false">
      <c r="B32" s="16"/>
      <c r="C32" s="16"/>
      <c r="D32" s="16"/>
      <c r="E32" s="16"/>
      <c r="F32" s="16"/>
      <c r="G32" s="16"/>
    </row>
    <row r="33" customFormat="false" ht="14.65" hidden="false" customHeight="false" outlineLevel="0" collapsed="false">
      <c r="B33" s="16"/>
      <c r="C33" s="16"/>
      <c r="D33" s="16"/>
      <c r="E33" s="16"/>
      <c r="F33" s="16"/>
      <c r="G33" s="16"/>
    </row>
    <row r="34" customFormat="false" ht="14.65" hidden="false" customHeight="false" outlineLevel="0" collapsed="false">
      <c r="B34" s="16"/>
      <c r="C34" s="16"/>
      <c r="D34" s="16"/>
      <c r="E34" s="16"/>
      <c r="F34" s="16"/>
      <c r="G34" s="16"/>
    </row>
    <row r="35" customFormat="false" ht="14.65" hidden="false" customHeight="false" outlineLevel="0" collapsed="false">
      <c r="B35" s="16"/>
      <c r="C35" s="16"/>
      <c r="D35" s="16"/>
      <c r="E35" s="16"/>
      <c r="F35" s="16"/>
      <c r="G35" s="16"/>
    </row>
    <row r="36" customFormat="false" ht="14.65" hidden="false" customHeight="false" outlineLevel="0" collapsed="false">
      <c r="B36" s="16"/>
      <c r="C36" s="16"/>
      <c r="D36" s="16"/>
      <c r="E36" s="16"/>
      <c r="F36" s="16"/>
      <c r="G36" s="16"/>
    </row>
    <row r="37" customFormat="false" ht="14.65" hidden="false" customHeight="false" outlineLevel="0" collapsed="false">
      <c r="B37" s="16"/>
      <c r="C37" s="16"/>
      <c r="D37" s="16"/>
      <c r="E37" s="16"/>
      <c r="F37" s="16"/>
      <c r="G37" s="16"/>
    </row>
    <row r="38" customFormat="false" ht="14.65" hidden="false" customHeight="false" outlineLevel="0" collapsed="false">
      <c r="B38" s="16"/>
      <c r="C38" s="16"/>
      <c r="D38" s="16"/>
      <c r="E38" s="16"/>
      <c r="F38" s="16"/>
      <c r="G38" s="16"/>
    </row>
    <row r="39" customFormat="false" ht="14.65" hidden="false" customHeight="false" outlineLevel="0" collapsed="false">
      <c r="B39" s="16"/>
      <c r="C39" s="16"/>
      <c r="D39" s="16"/>
      <c r="E39" s="16"/>
      <c r="F39" s="16"/>
      <c r="G39" s="16"/>
    </row>
    <row r="40" customFormat="false" ht="14.65" hidden="false" customHeight="false" outlineLevel="0" collapsed="false">
      <c r="B40" s="16"/>
      <c r="C40" s="16"/>
      <c r="D40" s="16"/>
      <c r="E40" s="16"/>
      <c r="F40" s="16"/>
      <c r="G40" s="16"/>
    </row>
    <row r="41" customFormat="false" ht="14.65" hidden="false" customHeight="false" outlineLevel="0" collapsed="false">
      <c r="B41" s="16"/>
      <c r="C41" s="16"/>
      <c r="D41" s="16"/>
      <c r="E41" s="16"/>
      <c r="F41" s="16"/>
      <c r="G41" s="16"/>
    </row>
    <row r="42" customFormat="false" ht="14.65" hidden="false" customHeight="false" outlineLevel="0" collapsed="false">
      <c r="B42" s="16"/>
      <c r="C42" s="16"/>
      <c r="D42" s="16"/>
      <c r="E42" s="16"/>
      <c r="F42" s="16"/>
      <c r="G42" s="16"/>
    </row>
    <row r="43" customFormat="false" ht="14.65" hidden="false" customHeight="false" outlineLevel="0" collapsed="false">
      <c r="B43" s="16"/>
      <c r="C43" s="16"/>
      <c r="D43" s="16"/>
      <c r="E43" s="16"/>
      <c r="F43" s="16"/>
      <c r="G43" s="16"/>
    </row>
    <row r="44" customFormat="false" ht="14.65" hidden="false" customHeight="false" outlineLevel="0" collapsed="false">
      <c r="B44" s="16"/>
      <c r="C44" s="16"/>
      <c r="D44" s="16"/>
      <c r="E44" s="16"/>
      <c r="F44" s="16"/>
      <c r="G44" s="16"/>
    </row>
    <row r="45" customFormat="false" ht="14.65" hidden="false" customHeight="false" outlineLevel="0" collapsed="false">
      <c r="B45" s="16"/>
      <c r="C45" s="16"/>
      <c r="D45" s="16"/>
      <c r="E45" s="16"/>
      <c r="F45" s="16"/>
      <c r="G45" s="16"/>
    </row>
    <row r="46" customFormat="false" ht="14.65" hidden="false" customHeight="false" outlineLevel="0" collapsed="false">
      <c r="B46" s="16"/>
      <c r="C46" s="16"/>
      <c r="D46" s="16"/>
      <c r="E46" s="16"/>
      <c r="F46" s="16"/>
      <c r="G46" s="16"/>
    </row>
    <row r="47" customFormat="false" ht="14.65" hidden="false" customHeight="false" outlineLevel="0" collapsed="false">
      <c r="B47" s="16"/>
      <c r="C47" s="16"/>
      <c r="D47" s="16"/>
      <c r="E47" s="16"/>
      <c r="F47" s="16"/>
      <c r="G47" s="16"/>
    </row>
    <row r="48" customFormat="false" ht="14.65" hidden="false" customHeight="false" outlineLevel="0" collapsed="false">
      <c r="B48" s="16"/>
      <c r="C48" s="16"/>
      <c r="D48" s="16"/>
      <c r="E48" s="16"/>
      <c r="F48" s="16"/>
      <c r="G48" s="16"/>
    </row>
    <row r="49" customFormat="false" ht="14.65" hidden="false" customHeight="false" outlineLevel="0" collapsed="false">
      <c r="B49" s="16"/>
      <c r="C49" s="16"/>
      <c r="D49" s="16"/>
      <c r="E49" s="16"/>
      <c r="F49" s="16"/>
      <c r="G49" s="16"/>
    </row>
    <row r="50" customFormat="false" ht="14.65" hidden="false" customHeight="false" outlineLevel="0" collapsed="false">
      <c r="B50" s="16"/>
      <c r="C50" s="16"/>
      <c r="D50" s="16"/>
      <c r="E50" s="16"/>
      <c r="F50" s="16"/>
      <c r="G50" s="16"/>
    </row>
    <row r="51" customFormat="false" ht="14.65" hidden="false" customHeight="false" outlineLevel="0" collapsed="false">
      <c r="B51" s="16"/>
      <c r="C51" s="16"/>
      <c r="D51" s="16"/>
      <c r="E51" s="16"/>
      <c r="F51" s="16"/>
      <c r="G51" s="16"/>
    </row>
    <row r="52" customFormat="false" ht="14.65" hidden="false" customHeight="false" outlineLevel="0" collapsed="false">
      <c r="B52" s="16"/>
      <c r="C52" s="16"/>
      <c r="D52" s="16"/>
      <c r="E52" s="16"/>
      <c r="F52" s="16"/>
      <c r="G52" s="16"/>
    </row>
    <row r="53" customFormat="false" ht="14.65" hidden="false" customHeight="false" outlineLevel="0" collapsed="false">
      <c r="B53" s="16"/>
      <c r="C53" s="16"/>
      <c r="D53" s="16"/>
      <c r="E53" s="16"/>
      <c r="F53" s="16"/>
      <c r="G53" s="16"/>
    </row>
    <row r="54" customFormat="false" ht="14.65" hidden="false" customHeight="false" outlineLevel="0" collapsed="false">
      <c r="B54" s="16"/>
      <c r="C54" s="16"/>
      <c r="D54" s="16"/>
      <c r="E54" s="16"/>
      <c r="F54" s="16"/>
      <c r="G54" s="16"/>
    </row>
    <row r="55" customFormat="false" ht="14.65" hidden="false" customHeight="false" outlineLevel="0" collapsed="false">
      <c r="B55" s="16"/>
      <c r="C55" s="16"/>
      <c r="D55" s="16"/>
      <c r="E55" s="16"/>
      <c r="F55" s="16"/>
      <c r="G55" s="16"/>
    </row>
    <row r="56" customFormat="false" ht="14.65" hidden="false" customHeight="false" outlineLevel="0" collapsed="false">
      <c r="B56" s="16"/>
      <c r="C56" s="16"/>
      <c r="D56" s="16"/>
      <c r="E56" s="16"/>
      <c r="F56" s="16"/>
      <c r="G56" s="16"/>
    </row>
    <row r="57" customFormat="false" ht="14.65" hidden="false" customHeight="false" outlineLevel="0" collapsed="false">
      <c r="B57" s="16"/>
      <c r="C57" s="16"/>
      <c r="D57" s="16"/>
      <c r="E57" s="16"/>
      <c r="F57" s="16"/>
      <c r="G57" s="16"/>
    </row>
    <row r="58" customFormat="false" ht="14.65" hidden="false" customHeight="false" outlineLevel="0" collapsed="false">
      <c r="B58" s="16"/>
      <c r="C58" s="16"/>
      <c r="D58" s="16"/>
      <c r="E58" s="16"/>
      <c r="F58" s="16"/>
      <c r="G58" s="16"/>
    </row>
    <row r="59" customFormat="false" ht="14.65" hidden="false" customHeight="false" outlineLevel="0" collapsed="false">
      <c r="B59" s="16"/>
      <c r="C59" s="16"/>
      <c r="D59" s="16"/>
      <c r="E59" s="16"/>
      <c r="F59" s="16"/>
      <c r="G59" s="16"/>
    </row>
    <row r="60" customFormat="false" ht="14.65" hidden="false" customHeight="false" outlineLevel="0" collapsed="false">
      <c r="B60" s="16"/>
      <c r="C60" s="16"/>
      <c r="D60" s="16"/>
      <c r="E60" s="16"/>
      <c r="F60" s="16"/>
      <c r="G60" s="16"/>
    </row>
    <row r="61" customFormat="false" ht="14.65" hidden="false" customHeight="false" outlineLevel="0" collapsed="false">
      <c r="B61" s="16"/>
      <c r="C61" s="16"/>
      <c r="D61" s="16"/>
      <c r="E61" s="16"/>
      <c r="F61" s="16"/>
      <c r="G61" s="16"/>
    </row>
    <row r="62" customFormat="false" ht="14.65" hidden="false" customHeight="false" outlineLevel="0" collapsed="false">
      <c r="B62" s="16"/>
      <c r="C62" s="16"/>
      <c r="D62" s="16"/>
      <c r="E62" s="16"/>
      <c r="F62" s="16"/>
      <c r="G62" s="16"/>
    </row>
    <row r="63" customFormat="false" ht="14.65" hidden="false" customHeight="false" outlineLevel="0" collapsed="false">
      <c r="B63" s="16"/>
      <c r="C63" s="16"/>
      <c r="D63" s="16"/>
      <c r="E63" s="16"/>
      <c r="F63" s="16"/>
      <c r="G63" s="16"/>
    </row>
    <row r="64" customFormat="false" ht="14.65" hidden="false" customHeight="false" outlineLevel="0" collapsed="false">
      <c r="B64" s="16"/>
      <c r="C64" s="16"/>
      <c r="D64" s="16"/>
      <c r="E64" s="16"/>
      <c r="F64" s="16"/>
      <c r="G64" s="16"/>
    </row>
    <row r="65" customFormat="false" ht="14.65" hidden="false" customHeight="false" outlineLevel="0" collapsed="false">
      <c r="B65" s="16"/>
      <c r="C65" s="16"/>
      <c r="D65" s="16"/>
      <c r="E65" s="16"/>
      <c r="F65" s="16"/>
      <c r="G65" s="16"/>
    </row>
    <row r="66" customFormat="false" ht="14.65" hidden="false" customHeight="false" outlineLevel="0" collapsed="false">
      <c r="B66" s="16"/>
      <c r="C66" s="16"/>
      <c r="D66" s="16"/>
      <c r="E66" s="16"/>
      <c r="F66" s="16"/>
      <c r="G66" s="16"/>
    </row>
    <row r="67" customFormat="false" ht="14.65" hidden="false" customHeight="false" outlineLevel="0" collapsed="false">
      <c r="B67" s="16"/>
      <c r="C67" s="16"/>
      <c r="D67" s="16"/>
      <c r="E67" s="16"/>
      <c r="F67" s="16"/>
      <c r="G67" s="16"/>
    </row>
    <row r="68" customFormat="false" ht="14.65" hidden="false" customHeight="false" outlineLevel="0" collapsed="false">
      <c r="B68" s="16"/>
      <c r="C68" s="16"/>
      <c r="D68" s="16"/>
      <c r="E68" s="16"/>
      <c r="F68" s="16"/>
      <c r="G68" s="16"/>
    </row>
  </sheetData>
  <printOptions headings="true" gridLines="false" gridLinesSet="true" horizontalCentered="true" verticalCentered="true"/>
  <pageMargins left="0.747916666666667" right="0.747916666666667" top="0.984027777777778" bottom="0.984027777777778" header="0.511811023622047" footer="0.5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" activeCellId="0" sqref="G2 G2"/>
    </sheetView>
  </sheetViews>
  <sheetFormatPr defaultColWidth="9.0546875" defaultRowHeight="14.65" zeroHeight="false" outlineLevelRow="0" outlineLevelCol="0"/>
  <cols>
    <col collapsed="false" customWidth="true" hidden="false" outlineLevel="0" max="1" min="1" style="0" width="22.85"/>
  </cols>
  <sheetData>
    <row r="1" customFormat="false" ht="14.65" hidden="false" customHeight="false" outlineLevel="0" collapsed="false">
      <c r="A1" s="1" t="s">
        <v>12</v>
      </c>
    </row>
    <row r="3" customFormat="false" ht="14.65" hidden="false" customHeight="false" outlineLevel="0" collapsed="false">
      <c r="A3" s="13" t="s">
        <v>13</v>
      </c>
      <c r="B3" s="14" t="n">
        <v>200</v>
      </c>
      <c r="C3" s="1"/>
      <c r="D3" s="1"/>
      <c r="E3" s="1"/>
    </row>
    <row r="4" customFormat="false" ht="14.65" hidden="false" customHeight="false" outlineLevel="0" collapsed="false">
      <c r="A4" s="4" t="s">
        <v>2</v>
      </c>
      <c r="B4" s="5" t="n">
        <v>0.05</v>
      </c>
      <c r="C4" s="1"/>
      <c r="D4" s="1"/>
      <c r="E4" s="1"/>
    </row>
    <row r="5" customFormat="false" ht="14.65" hidden="false" customHeight="false" outlineLevel="0" collapsed="false">
      <c r="C5" s="1"/>
      <c r="D5" s="1"/>
      <c r="E5" s="1"/>
    </row>
    <row r="6" customFormat="false" ht="14.65" hidden="false" customHeight="false" outlineLevel="0" collapsed="false">
      <c r="A6" s="17" t="s">
        <v>14</v>
      </c>
      <c r="B6" s="17" t="n">
        <v>0</v>
      </c>
      <c r="C6" s="17" t="n">
        <v>1</v>
      </c>
      <c r="D6" s="17" t="n">
        <v>2</v>
      </c>
      <c r="E6" s="17" t="n">
        <v>3</v>
      </c>
    </row>
    <row r="7" customFormat="false" ht="14.65" hidden="false" customHeight="false" outlineLevel="0" collapsed="false">
      <c r="A7" s="1"/>
      <c r="B7" s="1"/>
      <c r="C7" s="1"/>
      <c r="D7" s="1"/>
      <c r="E7" s="1"/>
    </row>
    <row r="8" customFormat="false" ht="14.65" hidden="false" customHeight="false" outlineLevel="0" collapsed="false">
      <c r="A8" s="13" t="s">
        <v>15</v>
      </c>
      <c r="B8" s="14" t="n">
        <f aca="false">B3</f>
        <v>200</v>
      </c>
      <c r="C8" s="14" t="n">
        <f aca="false">B8*(1+$B$4)</f>
        <v>210</v>
      </c>
      <c r="D8" s="14" t="n">
        <f aca="false">C8*(1+$B$4)</f>
        <v>220.5</v>
      </c>
      <c r="E8" s="14" t="n">
        <f aca="false">D8*(1+$B$4)</f>
        <v>231.525</v>
      </c>
    </row>
    <row r="9" customFormat="false" ht="14.65" hidden="false" customHeight="false" outlineLevel="0" collapsed="false">
      <c r="A9" s="4" t="s">
        <v>16</v>
      </c>
      <c r="B9" s="5" t="n">
        <v>1</v>
      </c>
      <c r="C9" s="5" t="n">
        <f aca="false">B9*(1+$B$4)</f>
        <v>1.05</v>
      </c>
      <c r="D9" s="5" t="n">
        <f aca="false">C9*(1+$B$4)</f>
        <v>1.1025</v>
      </c>
      <c r="E9" s="5" t="n">
        <f aca="false">D9*(1+$B$4)</f>
        <v>1.157625</v>
      </c>
    </row>
    <row r="11" customFormat="false" ht="14.65" hidden="false" customHeight="false" outlineLevel="0" collapsed="false">
      <c r="A11" s="6" t="s">
        <v>17</v>
      </c>
    </row>
    <row r="13" customFormat="false" ht="14.65" hidden="false" customHeight="false" outlineLevel="0" collapsed="false">
      <c r="A13" s="13" t="s">
        <v>15</v>
      </c>
      <c r="B13" s="18" t="n">
        <f aca="false">B8</f>
        <v>200</v>
      </c>
      <c r="C13" s="18" t="n">
        <f aca="false">C8</f>
        <v>210</v>
      </c>
      <c r="D13" s="18" t="n">
        <f aca="false">D8</f>
        <v>220.5</v>
      </c>
      <c r="E13" s="18" t="n">
        <f aca="false">E8</f>
        <v>231.525</v>
      </c>
      <c r="F13" s="1"/>
      <c r="G13" s="1"/>
    </row>
    <row r="14" customFormat="false" ht="14.65" hidden="false" customHeight="false" outlineLevel="0" collapsed="false">
      <c r="A14" s="4" t="s">
        <v>18</v>
      </c>
      <c r="B14" s="5" t="n">
        <f aca="false">1</f>
        <v>1</v>
      </c>
      <c r="C14" s="5" t="n">
        <f aca="false">B14/(1+$B$4)</f>
        <v>0.952380952380952</v>
      </c>
      <c r="D14" s="5" t="n">
        <f aca="false">C14/(1+$B$4)</f>
        <v>0.90702947845805</v>
      </c>
      <c r="E14" s="5" t="n">
        <f aca="false">D14/(1+$B$4)</f>
        <v>0.863837598531476</v>
      </c>
      <c r="F14" s="1"/>
      <c r="G14" s="1"/>
    </row>
    <row r="15" customFormat="false" ht="14.65" hidden="false" customHeight="false" outlineLevel="0" collapsed="false">
      <c r="A15" s="1" t="s">
        <v>19</v>
      </c>
      <c r="B15" s="12" t="n">
        <f aca="false">B13*B14</f>
        <v>200</v>
      </c>
      <c r="C15" s="12" t="n">
        <f aca="false">C13*C14</f>
        <v>200</v>
      </c>
      <c r="D15" s="12" t="n">
        <f aca="false">D13*D14</f>
        <v>200</v>
      </c>
      <c r="E15" s="12" t="n">
        <f aca="false">E13*E14</f>
        <v>200</v>
      </c>
      <c r="F15" s="1"/>
      <c r="G15" s="1"/>
    </row>
    <row r="16" customFormat="false" ht="14.65" hidden="false" customHeight="false" outlineLevel="0" collapsed="false">
      <c r="A16" s="1"/>
      <c r="B16" s="1"/>
      <c r="C16" s="1"/>
      <c r="D16" s="1"/>
      <c r="E16" s="1"/>
      <c r="F16" s="1"/>
      <c r="G16" s="1"/>
    </row>
    <row r="17" customFormat="false" ht="14.65" hidden="false" customHeight="false" outlineLevel="0" collapsed="false">
      <c r="A17" s="6" t="s">
        <v>20</v>
      </c>
      <c r="B17" s="1"/>
      <c r="C17" s="1"/>
      <c r="D17" s="1"/>
      <c r="E17" s="1"/>
      <c r="F17" s="1"/>
      <c r="G17" s="1"/>
    </row>
    <row r="18" customFormat="false" ht="14.65" hidden="false" customHeight="false" outlineLevel="0" collapsed="false">
      <c r="A18" s="6"/>
      <c r="B18" s="1"/>
      <c r="C18" s="1"/>
      <c r="D18" s="1"/>
      <c r="E18" s="1"/>
      <c r="F18" s="1"/>
      <c r="G18" s="1"/>
    </row>
    <row r="19" customFormat="false" ht="14.65" hidden="false" customHeight="false" outlineLevel="0" collapsed="false">
      <c r="A19" s="6" t="s">
        <v>21</v>
      </c>
      <c r="B19" s="1"/>
      <c r="C19" s="1"/>
      <c r="D19" s="1"/>
      <c r="E19" s="1"/>
      <c r="F19" s="1"/>
      <c r="G19" s="1"/>
    </row>
    <row r="20" customFormat="false" ht="14.65" hidden="false" customHeight="false" outlineLevel="0" collapsed="false">
      <c r="A20" s="1"/>
      <c r="B20" s="1"/>
      <c r="C20" s="1"/>
      <c r="D20" s="1"/>
      <c r="E20" s="1"/>
      <c r="F20" s="1"/>
      <c r="G20" s="1"/>
    </row>
    <row r="21" customFormat="false" ht="14.65" hidden="false" customHeight="false" outlineLevel="0" collapsed="false">
      <c r="A21" s="1"/>
      <c r="B21" s="1"/>
      <c r="C21" s="1"/>
      <c r="D21" s="1"/>
      <c r="E21" s="1"/>
      <c r="F21" s="1"/>
      <c r="G21" s="1"/>
    </row>
  </sheetData>
  <printOptions headings="true" gridLines="false" gridLinesSet="true" horizontalCentered="true" verticalCentered="true"/>
  <pageMargins left="0.747916666666667" right="0.747916666666667" top="0.984027777777778" bottom="0.984027777777778" header="0.511811023622047" footer="0.5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1" activeCellId="0" sqref="G11 G11"/>
    </sheetView>
  </sheetViews>
  <sheetFormatPr defaultColWidth="9.0546875" defaultRowHeight="14.65" zeroHeight="false" outlineLevelRow="0" outlineLevelCol="0"/>
  <cols>
    <col collapsed="false" customWidth="true" hidden="false" outlineLevel="0" max="1" min="1" style="0" width="20.41"/>
  </cols>
  <sheetData>
    <row r="1" customFormat="false" ht="14.65" hidden="false" customHeight="false" outlineLevel="0" collapsed="false">
      <c r="A1" s="1" t="s">
        <v>22</v>
      </c>
    </row>
    <row r="2" customFormat="false" ht="14.65" hidden="false" customHeight="false" outlineLevel="0" collapsed="false">
      <c r="C2" s="1"/>
      <c r="G2" s="1"/>
      <c r="H2" s="1"/>
      <c r="I2" s="1"/>
      <c r="J2" s="1"/>
    </row>
    <row r="3" customFormat="false" ht="14.65" hidden="false" customHeight="false" outlineLevel="0" collapsed="false">
      <c r="A3" s="2" t="s">
        <v>1</v>
      </c>
      <c r="B3" s="3" t="n">
        <v>0.12</v>
      </c>
      <c r="C3" s="1"/>
      <c r="D3" s="1"/>
      <c r="E3" s="1"/>
      <c r="F3" s="1"/>
      <c r="G3" s="1"/>
      <c r="H3" s="1"/>
      <c r="I3" s="1"/>
      <c r="J3" s="1"/>
    </row>
    <row r="4" customFormat="false" ht="14.65" hidden="false" customHeight="false" outlineLevel="0" collapsed="false">
      <c r="A4" s="4" t="s">
        <v>2</v>
      </c>
      <c r="B4" s="5" t="n">
        <v>0.05</v>
      </c>
      <c r="D4" s="1"/>
      <c r="E4" s="1"/>
      <c r="F4" s="1"/>
      <c r="G4" s="1"/>
      <c r="H4" s="1"/>
      <c r="I4" s="1"/>
      <c r="J4" s="1"/>
    </row>
    <row r="5" customFormat="false" ht="14.65" hidden="false" customHeight="false" outlineLevel="0" collapsed="false">
      <c r="A5" s="6" t="s">
        <v>3</v>
      </c>
      <c r="B5" s="7" t="n">
        <f aca="false">(1+B3)/(1+B4)-1</f>
        <v>0.0666666666666667</v>
      </c>
      <c r="D5" s="1"/>
      <c r="E5" s="1"/>
      <c r="F5" s="1"/>
      <c r="G5" s="1"/>
      <c r="H5" s="1"/>
      <c r="I5" s="1"/>
      <c r="J5" s="1"/>
    </row>
    <row r="6" customFormat="false" ht="14.65" hidden="false" customHeight="false" outlineLevel="0" collapsed="false">
      <c r="A6" s="6"/>
      <c r="B6" s="7"/>
      <c r="D6" s="1"/>
      <c r="E6" s="1"/>
      <c r="F6" s="1"/>
      <c r="G6" s="1"/>
      <c r="H6" s="1"/>
      <c r="I6" s="1"/>
      <c r="J6" s="1"/>
    </row>
    <row r="7" customFormat="false" ht="14.65" hidden="false" customHeight="false" outlineLevel="0" collapsed="false">
      <c r="A7" s="17" t="s">
        <v>14</v>
      </c>
      <c r="B7" s="17" t="n">
        <v>0</v>
      </c>
      <c r="C7" s="17" t="n">
        <v>1</v>
      </c>
      <c r="D7" s="17" t="n">
        <v>2</v>
      </c>
      <c r="E7" s="17" t="n">
        <v>3</v>
      </c>
      <c r="F7" s="19"/>
      <c r="G7" s="19"/>
      <c r="H7" s="19"/>
      <c r="I7" s="1"/>
      <c r="J7" s="1"/>
    </row>
    <row r="8" customFormat="false" ht="14.65" hidden="false" customHeight="false" outlineLevel="0" collapsed="false">
      <c r="A8" s="1"/>
      <c r="B8" s="1"/>
      <c r="C8" s="1"/>
      <c r="D8" s="1"/>
      <c r="E8" s="1"/>
      <c r="F8" s="1"/>
      <c r="G8" s="1"/>
      <c r="H8" s="1"/>
      <c r="I8" s="1"/>
      <c r="J8" s="1"/>
    </row>
    <row r="9" customFormat="false" ht="14.65" hidden="false" customHeight="false" outlineLevel="0" collapsed="false">
      <c r="A9" s="1" t="s">
        <v>23</v>
      </c>
      <c r="B9" s="20" t="n">
        <v>-400000</v>
      </c>
      <c r="C9" s="20" t="n">
        <v>100000</v>
      </c>
      <c r="D9" s="20" t="n">
        <v>200000</v>
      </c>
      <c r="E9" s="20" t="n">
        <v>300000</v>
      </c>
      <c r="F9" s="12"/>
      <c r="G9" s="12"/>
      <c r="H9" s="12"/>
      <c r="I9" s="1"/>
      <c r="J9" s="1"/>
    </row>
    <row r="10" customFormat="false" ht="14.65" hidden="false" customHeight="false" outlineLevel="0" collapsed="false">
      <c r="A10" s="2" t="s">
        <v>24</v>
      </c>
      <c r="B10" s="21" t="n">
        <v>1</v>
      </c>
      <c r="C10" s="21" t="n">
        <f aca="false">B10/(1+$B$3)</f>
        <v>0.892857142857143</v>
      </c>
      <c r="D10" s="21" t="n">
        <f aca="false">C10/(1+$B$3)</f>
        <v>0.79719387755102</v>
      </c>
      <c r="E10" s="21" t="n">
        <f aca="false">D10/(1+$B$3)</f>
        <v>0.711780247813411</v>
      </c>
      <c r="F10" s="22"/>
      <c r="G10" s="22"/>
      <c r="H10" s="22"/>
      <c r="I10" s="1"/>
      <c r="J10" s="1"/>
    </row>
    <row r="11" customFormat="false" ht="14.65" hidden="false" customHeight="false" outlineLevel="0" collapsed="false">
      <c r="A11" s="1" t="s">
        <v>25</v>
      </c>
      <c r="B11" s="20" t="n">
        <f aca="false">B9*B10</f>
        <v>-400000</v>
      </c>
      <c r="C11" s="20" t="n">
        <f aca="false">C9*C10</f>
        <v>89285.7142857143</v>
      </c>
      <c r="D11" s="20" t="n">
        <f aca="false">D9*D10</f>
        <v>159438.775510204</v>
      </c>
      <c r="E11" s="20" t="n">
        <f aca="false">E9*E10</f>
        <v>213534.074344023</v>
      </c>
      <c r="F11" s="1"/>
      <c r="G11" s="1"/>
      <c r="H11" s="1"/>
      <c r="I11" s="1"/>
      <c r="J11" s="1"/>
    </row>
    <row r="12" customFormat="false" ht="14.65" hidden="false" customHeight="false" outlineLevel="0" collapsed="false">
      <c r="A12" s="1" t="s">
        <v>26</v>
      </c>
      <c r="B12" s="20" t="n">
        <f aca="false">B11</f>
        <v>-400000</v>
      </c>
      <c r="C12" s="20" t="n">
        <f aca="false">B12+C11</f>
        <v>-310714.285714286</v>
      </c>
      <c r="D12" s="20" t="n">
        <f aca="false">C12+D11</f>
        <v>-151275.510204082</v>
      </c>
      <c r="E12" s="20" t="n">
        <f aca="false">D12+E11</f>
        <v>62258.5641399416</v>
      </c>
      <c r="F12" s="1"/>
      <c r="G12" s="1"/>
      <c r="H12" s="1"/>
      <c r="I12" s="1"/>
      <c r="J12" s="1"/>
    </row>
    <row r="13" customFormat="false" ht="14.65" hidden="false" customHeight="false" outlineLevel="0" collapsed="false">
      <c r="A13" s="1" t="s">
        <v>27</v>
      </c>
      <c r="B13" s="20" t="n">
        <f aca="false">E12</f>
        <v>62258.5641399416</v>
      </c>
      <c r="C13" s="20"/>
      <c r="D13" s="20"/>
      <c r="E13" s="20"/>
      <c r="F13" s="1"/>
      <c r="G13" s="1"/>
      <c r="H13" s="1"/>
      <c r="I13" s="1"/>
      <c r="J13" s="1"/>
    </row>
    <row r="14" customFormat="false" ht="14.65" hidden="false" customHeight="false" outlineLevel="0" collapsed="false">
      <c r="F14" s="1"/>
      <c r="G14" s="1"/>
      <c r="H14" s="1"/>
      <c r="I14" s="1"/>
      <c r="J14" s="1"/>
    </row>
    <row r="15" customFormat="false" ht="14.65" hidden="false" customHeight="false" outlineLevel="0" collapsed="false">
      <c r="A15" s="13" t="s">
        <v>28</v>
      </c>
      <c r="B15" s="20" t="n">
        <v>-400000</v>
      </c>
      <c r="C15" s="20" t="n">
        <v>100000</v>
      </c>
      <c r="D15" s="20" t="n">
        <v>200000</v>
      </c>
      <c r="E15" s="20" t="n">
        <v>300000</v>
      </c>
      <c r="F15" s="1"/>
      <c r="G15" s="1"/>
      <c r="H15" s="1"/>
      <c r="I15" s="1"/>
      <c r="J15" s="1"/>
    </row>
    <row r="16" customFormat="false" ht="14.65" hidden="false" customHeight="false" outlineLevel="0" collapsed="false">
      <c r="A16" s="4" t="s">
        <v>18</v>
      </c>
      <c r="B16" s="23" t="n">
        <v>1</v>
      </c>
      <c r="C16" s="23" t="n">
        <f aca="false">B16/(1+$B$4)</f>
        <v>0.952380952380952</v>
      </c>
      <c r="D16" s="23" t="n">
        <f aca="false">C16/(1+$B$4)</f>
        <v>0.90702947845805</v>
      </c>
      <c r="E16" s="23" t="n">
        <f aca="false">D16/(1+$B$4)</f>
        <v>0.863837598531476</v>
      </c>
      <c r="F16" s="1"/>
      <c r="G16" s="1"/>
      <c r="H16" s="1"/>
      <c r="I16" s="1"/>
      <c r="J16" s="1"/>
    </row>
    <row r="17" customFormat="false" ht="14.65" hidden="false" customHeight="false" outlineLevel="0" collapsed="false">
      <c r="A17" s="1" t="s">
        <v>29</v>
      </c>
      <c r="B17" s="20" t="n">
        <f aca="false">B9*B16</f>
        <v>-400000</v>
      </c>
      <c r="C17" s="20" t="n">
        <f aca="false">C9*C16</f>
        <v>95238.0952380952</v>
      </c>
      <c r="D17" s="20" t="n">
        <f aca="false">D9*D16</f>
        <v>181405.89569161</v>
      </c>
      <c r="E17" s="20" t="n">
        <f aca="false">E9*E16</f>
        <v>259151.279559443</v>
      </c>
      <c r="F17" s="1" t="s">
        <v>30</v>
      </c>
      <c r="G17" s="1"/>
      <c r="H17" s="1"/>
      <c r="I17" s="1"/>
      <c r="J17" s="1"/>
    </row>
    <row r="18" customFormat="false" ht="14.65" hidden="false" customHeight="false" outlineLevel="0" collapsed="false">
      <c r="A18" s="6" t="s">
        <v>31</v>
      </c>
      <c r="B18" s="24" t="n">
        <v>1</v>
      </c>
      <c r="C18" s="24" t="n">
        <f aca="false">B18/(1+$B$5)</f>
        <v>0.9375</v>
      </c>
      <c r="D18" s="24" t="n">
        <f aca="false">C18/(1+$B$5)</f>
        <v>0.87890625</v>
      </c>
      <c r="E18" s="24" t="n">
        <f aca="false">D18/(1+$B$5)</f>
        <v>0.823974609375</v>
      </c>
      <c r="F18" s="1"/>
      <c r="G18" s="1"/>
      <c r="H18" s="1"/>
      <c r="I18" s="1"/>
      <c r="J18" s="1"/>
    </row>
    <row r="19" customFormat="false" ht="14.65" hidden="false" customHeight="false" outlineLevel="0" collapsed="false">
      <c r="A19" s="1" t="s">
        <v>32</v>
      </c>
      <c r="B19" s="20" t="n">
        <f aca="false">B17*B18</f>
        <v>-400000</v>
      </c>
      <c r="C19" s="20" t="n">
        <f aca="false">C17*C18</f>
        <v>89285.7142857143</v>
      </c>
      <c r="D19" s="20" t="n">
        <f aca="false">D17*D18</f>
        <v>159438.775510204</v>
      </c>
      <c r="E19" s="20" t="n">
        <f aca="false">E17*E18</f>
        <v>213534.074344023</v>
      </c>
      <c r="F19" s="1" t="s">
        <v>33</v>
      </c>
      <c r="G19" s="1"/>
      <c r="H19" s="1"/>
      <c r="I19" s="1"/>
      <c r="J19" s="1"/>
    </row>
    <row r="20" customFormat="false" ht="14.65" hidden="false" customHeight="false" outlineLevel="0" collapsed="false">
      <c r="A20" s="1" t="s">
        <v>34</v>
      </c>
      <c r="B20" s="20" t="n">
        <f aca="false">B19</f>
        <v>-400000</v>
      </c>
      <c r="C20" s="20" t="n">
        <f aca="false">B20+C19</f>
        <v>-310714.285714286</v>
      </c>
      <c r="D20" s="20" t="n">
        <f aca="false">C20+D19</f>
        <v>-151275.510204082</v>
      </c>
      <c r="E20" s="20" t="n">
        <f aca="false">D20+E19</f>
        <v>62258.5641399417</v>
      </c>
      <c r="F20" s="1"/>
      <c r="G20" s="1"/>
      <c r="H20" s="1"/>
      <c r="I20" s="1"/>
      <c r="J20" s="1"/>
    </row>
    <row r="21" customFormat="false" ht="14.65" hidden="false" customHeight="false" outlineLevel="0" collapsed="false">
      <c r="A21" s="1" t="s">
        <v>27</v>
      </c>
      <c r="B21" s="20" t="n">
        <f aca="false">E20</f>
        <v>62258.5641399417</v>
      </c>
      <c r="C21" s="1"/>
      <c r="D21" s="1"/>
      <c r="E21" s="1"/>
      <c r="F21" s="1"/>
      <c r="G21" s="1"/>
      <c r="H21" s="1"/>
      <c r="I21" s="1"/>
      <c r="J21" s="1"/>
    </row>
    <row r="22" customFormat="false" ht="14.65" hidden="false" customHeight="false" outlineLevel="0" collapsed="false">
      <c r="I22" s="1"/>
      <c r="J22" s="1"/>
    </row>
    <row r="23" customFormat="false" ht="14.65" hidden="false" customHeight="false" outlineLevel="0" collapsed="false">
      <c r="I23" s="1"/>
      <c r="J23" s="1"/>
    </row>
    <row r="24" customFormat="false" ht="14.65" hidden="false" customHeight="false" outlineLevel="0" collapsed="false">
      <c r="I24" s="1"/>
      <c r="J24" s="1"/>
    </row>
    <row r="25" customFormat="false" ht="14.65" hidden="false" customHeight="false" outlineLevel="0" collapsed="false">
      <c r="F25" s="1"/>
      <c r="G25" s="1"/>
      <c r="H25" s="1"/>
      <c r="I25" s="1"/>
      <c r="J25" s="1"/>
    </row>
    <row r="26" customFormat="false" ht="14.65" hidden="false" customHeight="false" outlineLevel="0" collapsed="false">
      <c r="F26" s="1"/>
      <c r="G26" s="1"/>
      <c r="H26" s="1"/>
      <c r="I26" s="1"/>
      <c r="J26" s="1"/>
    </row>
    <row r="27" customFormat="false" ht="14.65" hidden="false" customHeight="false" outlineLevel="0" collapsed="false">
      <c r="F27" s="1"/>
      <c r="G27" s="1"/>
      <c r="H27" s="1"/>
      <c r="I27" s="1"/>
      <c r="J27" s="1"/>
    </row>
    <row r="28" customFormat="false" ht="14.6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customFormat="false" ht="14.6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customFormat="false" ht="14.6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customFormat="false" ht="14.6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customFormat="false" ht="14.6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customFormat="false" ht="14.6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customFormat="false" ht="14.6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customFormat="false" ht="14.6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</row>
  </sheetData>
  <printOptions headings="true" gridLines="false" gridLinesSet="true" horizontalCentered="true" verticalCentered="true"/>
  <pageMargins left="0.747916666666667" right="0.747916666666667" top="0.984027777777778" bottom="0.984027777777778" header="0.511811023622047" footer="0.5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