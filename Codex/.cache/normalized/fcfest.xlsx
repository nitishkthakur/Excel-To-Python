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true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FCFEStableGrowth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G27" authorId="0">
      <text>
        <r>
          <rPr>
            <b val="true"/>
            <sz val="9"/>
            <color rgb="FF000000"/>
            <rFont val="Times New Roman"/>
            <family val="0"/>
          </rPr>
          <t xml:space="preserve">Aswath Damodaran:
</t>
        </r>
        <r>
          <rPr>
            <sz val="9"/>
            <color rgb="FF000000"/>
            <rFont val="Times New Roman"/>
            <family val="0"/>
          </rPr>
          <t xml:space="preserve">If you set your perpetual growth rate at any number greater than zero, this should be no.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55</xdr:colOff>
                <xdr:row>23</xdr:row>
                <xdr:rowOff>5</xdr:rowOff>
              </xdr:from>
              <xdr:to>
                <xdr:col>9</xdr:col>
                <xdr:colOff>20</xdr:colOff>
                <xdr:row>26</xdr:row>
                <xdr:rowOff>11</xdr:rowOff>
              </xdr:to>
            </anchor>
          </commentPr>
        </mc:Choice>
        <mc:Fallback/>
      </mc:AlternateContent>
    </comment>
    <comment ref="G29" authorId="0">
      <text>
        <r>
          <rPr>
            <b val="true"/>
            <sz val="9"/>
            <color rgb="FF000000"/>
            <rFont val="Times New Roman"/>
            <family val="0"/>
          </rPr>
          <t xml:space="preserve">Aswath Damodaran:
</t>
        </r>
        <r>
          <rPr>
            <sz val="9"/>
            <color rgb="FF000000"/>
            <rFont val="Times New Roman"/>
            <family val="0"/>
          </rPr>
          <t xml:space="preserve">Your reinvestment rate should be consistent with your growth rate assumptions. If you answer yes to this question, you should enter the return on equity below.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20</xdr:colOff>
                <xdr:row>27</xdr:row>
                <xdr:rowOff>11</xdr:rowOff>
              </xdr:from>
              <xdr:to>
                <xdr:col>8</xdr:col>
                <xdr:colOff>73</xdr:colOff>
                <xdr:row>33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<sst xmlns="http://schemas.openxmlformats.org/spreadsheetml/2006/main" count="66" uniqueCount="57">
  <si>
    <t xml:space="preserve">FCFE STABLE GROWTH MODEL</t>
  </si>
  <si>
    <t xml:space="preserve">This model is designed to value the equity in a stable firm on the basis of</t>
  </si>
  <si>
    <t xml:space="preserve">free cashflows to equity, especially when they are</t>
  </si>
  <si>
    <t xml:space="preserve">different from dividends paid.</t>
  </si>
  <si>
    <t xml:space="preserve">Assumptions in the model:</t>
  </si>
  <si>
    <t xml:space="preserve">1. The firm is in steady state and will grow at a stable rate forever.</t>
  </si>
  <si>
    <t xml:space="preserve">2. The firm does not pay out what it can afford to in dividends, i.e., Dividends ≠ FCFE.</t>
  </si>
  <si>
    <t xml:space="preserve">User defined inputs</t>
  </si>
  <si>
    <t xml:space="preserve">The user has to define the following inputs to the model:</t>
  </si>
  <si>
    <t xml:space="preserve">1. Current Earnings per share </t>
  </si>
  <si>
    <t xml:space="preserve">2. Capital Spending and Depreciation per share</t>
  </si>
  <si>
    <t xml:space="preserve">3. Change in working capital per share</t>
  </si>
  <si>
    <t xml:space="preserve">4. Desired debt level for financing working capital and capital spending needs.</t>
  </si>
  <si>
    <t xml:space="preserve">5. Cost of Equity or Inputs to the CAPM (Beta, Riskfree rate, Risk Premium)</t>
  </si>
  <si>
    <t xml:space="preserve">6. Expected Growth Rate in free cashflows to equity forever.</t>
  </si>
  <si>
    <t xml:space="preserve">Please enter inputs to the model:</t>
  </si>
  <si>
    <t xml:space="preserve">Current Earnings per share =</t>
  </si>
  <si>
    <t xml:space="preserve">(in currency)</t>
  </si>
  <si>
    <t xml:space="preserve">{You can input all the numbers for the aggregate company, if you so desire}</t>
  </si>
  <si>
    <t xml:space="preserve">Capital Spending/share =</t>
  </si>
  <si>
    <t xml:space="preserve">Depreciation / share =</t>
  </si>
  <si>
    <t xml:space="preserve">Chg. Working Capital/share =</t>
  </si>
  <si>
    <t xml:space="preserve">Desired debt financing ratio =</t>
  </si>
  <si>
    <t xml:space="preserve">( in percent)</t>
  </si>
  <si>
    <t xml:space="preserve">Do you want to offset capital expenditures by depreciation in the future?</t>
  </si>
  <si>
    <t xml:space="preserve">No</t>
  </si>
  <si>
    <t xml:space="preserve">(Yes or No)</t>
  </si>
  <si>
    <t xml:space="preserve">The reinvestment rate based upon your inputs is computed to be</t>
  </si>
  <si>
    <t xml:space="preserve">Do you want to recompute this reinvestment rate based upon fundamentals?</t>
  </si>
  <si>
    <t xml:space="preserve">Yes</t>
  </si>
  <si>
    <t xml:space="preserve">If yes, enter the return on equity that you expect this firm to have in perpetuity</t>
  </si>
  <si>
    <t xml:space="preserve">Are you directly entering the cost of equity? (Yes or No)</t>
  </si>
  <si>
    <t xml:space="preserve">If yes, enter cost of equity =</t>
  </si>
  <si>
    <t xml:space="preserve">(in percent)</t>
  </si>
  <si>
    <t xml:space="preserve">If no, enter the inputs for the CAPM</t>
  </si>
  <si>
    <t xml:space="preserve">Beta of the stock =</t>
  </si>
  <si>
    <t xml:space="preserve">Riskfree rate =</t>
  </si>
  <si>
    <t xml:space="preserve">Risk Premium=</t>
  </si>
  <si>
    <t xml:space="preserve">Expected Growth Rate =</t>
  </si>
  <si>
    <t xml:space="preserve"> (in percent)</t>
  </si>
  <si>
    <t xml:space="preserve">The expected growth rate for a stable firm</t>
  </si>
  <si>
    <t xml:space="preserve">cannot be significantly higher than the nominal</t>
  </si>
  <si>
    <t xml:space="preserve">growth rate in the economy in which the firm</t>
  </si>
  <si>
    <t xml:space="preserve">operates. It can be lower.</t>
  </si>
  <si>
    <t xml:space="preserve">Warnings:</t>
  </si>
  <si>
    <t xml:space="preserve">This is the output from the Gordon Growth Model</t>
  </si>
  <si>
    <t xml:space="preserve">Firm Details: from inputs on prior page</t>
  </si>
  <si>
    <t xml:space="preserve">  -(1- Desired debt fraction) *</t>
  </si>
  <si>
    <t xml:space="preserve"> (Capital Spending - Depreciation)</t>
  </si>
  <si>
    <t xml:space="preserve"> -(1- Desired debt fraction) *</t>
  </si>
  <si>
    <t xml:space="preserve">∂ Working Capital</t>
  </si>
  <si>
    <t xml:space="preserve">Free Cashflow to Equity =</t>
  </si>
  <si>
    <t xml:space="preserve">Cost of Equity =</t>
  </si>
  <si>
    <t xml:space="preserve">Expected Growth rate =</t>
  </si>
  <si>
    <t xml:space="preserve">Gordon Growth Model Value =</t>
  </si>
  <si>
    <t xml:space="preserve">Growth rate</t>
  </si>
  <si>
    <t xml:space="preserve">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</si>
</sst>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_);[RED]&quot;($&quot;#,##0.00\)"/>
    <numFmt numFmtId="166" formatCode="0.00%"/>
    <numFmt numFmtId="167" formatCode="0%"/>
    <numFmt numFmtId="168" formatCode="General"/>
    <numFmt numFmtId="169" formatCode="\$#,##0.00_);&quot;($&quot;#,##0.00\)"/>
  </numFmts>
  <fonts count="15">
    <font>
      <sz val="12"/>
      <name val="Times New Roman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Times New Roman"/>
      <family val="0"/>
    </font>
    <font>
      <b val="true"/>
      <i val="true"/>
      <sz val="18"/>
      <name val="Times New Roman"/>
      <family val="0"/>
    </font>
    <font>
      <sz val="14"/>
      <name val="Times New Roman"/>
      <family val="0"/>
    </font>
    <font>
      <sz val="10"/>
      <name val="Times New Roman"/>
      <family val="0"/>
    </font>
    <font>
      <b val="true"/>
      <sz val="10"/>
      <name val="Times New Roman"/>
      <family val="0"/>
    </font>
    <font>
      <b val="true"/>
      <i val="true"/>
      <sz val="10"/>
      <name val="Times New Roman"/>
      <family val="0"/>
    </font>
    <font>
      <i val="true"/>
      <sz val="10"/>
      <name val="Times New Roman"/>
      <family val="0"/>
    </font>
    <font>
      <i val="true"/>
      <sz val="10"/>
      <name val="Geneva"/>
      <family val="0"/>
    </font>
    <font>
      <b val="true"/>
      <sz val="9"/>
      <color rgb="FF000000"/>
      <name val="Times New Roman"/>
      <family val="0"/>
    </font>
    <font>
      <sz val="9"/>
      <color rgb="FF000000"/>
      <name val="Times New Roman"/>
      <family val="0"/>
    </font>
    <font>
      <sz val="12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CF305"/>
        <bgColor rgb="FFFFFF00"/>
      </patternFill>
    </fill>
    <fill>
      <patternFill patternType="solid">
        <fgColor rgb="FF69FFFF"/>
        <bgColor rgb="FF33CC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2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7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CF3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9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  <a:r>
              <a:rPr b="0" sz="1200" spc="-1" strike="noStrike">
                <a:solidFill>
                  <a:srgbClr val="000000"/>
                </a:solidFill>
                <a:latin typeface="Times New Roman"/>
              </a:rPr>
              <a:t>Value vs. Expected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11982611982612"/>
          <c:y val="0.174678162277076"/>
          <c:w val="0.861840861840862"/>
          <c:h val="0.716428487067438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marker>
            <c:symbol val="diamond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NewFCFEStableGrowth!$B$65:$B$73</c:f>
              <c:strCache>
                <c:ptCount val="9"/>
                <c:pt idx="0">
                  <c:v>10.00%</c:v>
                </c:pt>
                <c:pt idx="1">
                  <c:v>9.00%</c:v>
                </c:pt>
                <c:pt idx="2">
                  <c:v>8.00%</c:v>
                </c:pt>
                <c:pt idx="3">
                  <c:v>7.00%</c:v>
                </c:pt>
                <c:pt idx="4">
                  <c:v>6.00%</c:v>
                </c:pt>
                <c:pt idx="5">
                  <c:v>5.00%</c:v>
                </c:pt>
                <c:pt idx="6">
                  <c:v>4.00%</c:v>
                </c:pt>
                <c:pt idx="7">
                  <c:v>3.00%</c:v>
                </c:pt>
                <c:pt idx="8">
                  <c:v>2.00%</c:v>
                </c:pt>
              </c:strCache>
            </c:strRef>
          </c:cat>
          <c:val>
            <c:numRef>
              <c:f>NewFCFEStableGrowth!$C$65:$C$73</c:f>
              <c:numCache>
                <c:formatCode>\$#,##0.00_);[RED]"($"#,##0.00\)</c:formatCode>
                <c:ptCount val="9"/>
                <c:pt idx="0">
                  <c:v>98.2786885245902</c:v>
                </c:pt>
                <c:pt idx="1">
                  <c:v>73.3395061728395</c:v>
                </c:pt>
                <c:pt idx="2">
                  <c:v>58.2772277227723</c:v>
                </c:pt>
                <c:pt idx="3">
                  <c:v>48.1942148760331</c:v>
                </c:pt>
                <c:pt idx="4">
                  <c:v>40.9716312056738</c:v>
                </c:pt>
                <c:pt idx="5">
                  <c:v>35.5434782608696</c:v>
                </c:pt>
                <c:pt idx="6">
                  <c:v>31.3149171270718</c:v>
                </c:pt>
                <c:pt idx="7">
                  <c:v>27.9278606965174</c:v>
                </c:pt>
                <c:pt idx="8">
                  <c:v>25.1538461538462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318895"/>
        <c:axId val="18584225"/>
      </c:lineChart>
      <c:catAx>
        <c:axId val="583188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Expected Growth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18584225"/>
        <c:crossesAt val="0"/>
        <c:auto val="1"/>
        <c:lblAlgn val="ctr"/>
        <c:lblOffset val="100"/>
        <c:noMultiLvlLbl val="0"/>
      </c:catAx>
      <c:valAx>
        <c:axId val="185842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1200" spc="-1" strike="noStrike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sz="1200" spc="-1" strike="noStrike">
                    <a:solidFill>
                      <a:srgbClr val="000000"/>
                    </a:solidFill>
                    <a:latin typeface="Times New Roman"/>
                  </a:rPr>
                  <a:t>Value of Stock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_);[RED]&quot;($&quot;#,##0.00\)" sourceLinked="1"/>
        <c:majorTickMark val="cross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200" spc="-1" strike="noStrike">
                <a:solidFill>
                  <a:srgbClr val="000000"/>
                </a:solidFill>
                <a:latin typeface="Times New Roman"/>
              </a:defRPr>
            </a:pPr>
          </a:p>
        </c:txPr>
        <c:crossAx val="58318895"/>
        <c:crossesAt val="1"/>
        <c:crossBetween val="midCat"/>
      </c:valAx>
      <c:spPr>
        <a:noFill/>
        <a:ln w="12600">
          <a:noFill/>
        </a:ln>
      </c:spPr>
    </c:plotArea>
    <c:plotVisOnly val="0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600120</xdr:colOff>
      <xdr:row>62</xdr:row>
      <xdr:rowOff>0</xdr:rowOff>
    </xdr:from>
    <xdr:to>
      <xdr:col>8</xdr:col>
      <xdr:colOff>256320</xdr:colOff>
      <xdr:row>80</xdr:row>
      <xdr:rowOff>75960</xdr:rowOff>
    </xdr:to>
    <xdr:graphicFrame>
      <xdr:nvGraphicFramePr>
        <xdr:cNvPr id="0" name="Chart 1"/>
        <xdr:cNvGraphicFramePr/>
      </xdr:nvGraphicFramePr>
      <xdr:xfrm>
        <a:off x="2769840" y="14630400"/>
        <a:ext cx="380916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0234375" defaultRowHeight="13" zeroHeight="false" outlineLevelRow="0" outlineLevelCol="0"/>
  <cols>
    <col collapsed="false" customWidth="true" hidden="false" outlineLevel="0" max="1" min="1" style="0" width="2.83"/>
    <col collapsed="false" customWidth="true" hidden="false" outlineLevel="0" max="3" min="2" style="0" width="12.83"/>
  </cols>
  <sheetData>
    <row r="1" s="1" customFormat="true" ht="19" hidden="false" customHeight="false" outlineLevel="0" collapsed="false">
      <c r="B1" s="2" t="s">
        <v>0</v>
      </c>
      <c r="C1" s="2"/>
      <c r="D1" s="2"/>
      <c r="E1" s="2"/>
      <c r="F1" s="2"/>
      <c r="G1" s="2"/>
      <c r="H1" s="2"/>
    </row>
    <row r="2" s="1" customFormat="true" ht="20" hidden="false" customHeight="false" outlineLevel="0" collapsed="false">
      <c r="B2" s="3"/>
    </row>
    <row r="3" s="1" customFormat="true" ht="19" hidden="false" customHeight="false" outlineLevel="0" collapsed="false">
      <c r="B3" s="4" t="s">
        <v>1</v>
      </c>
      <c r="C3" s="4"/>
      <c r="D3" s="4"/>
      <c r="E3" s="4"/>
      <c r="F3" s="4"/>
      <c r="G3" s="4"/>
      <c r="H3" s="4"/>
    </row>
    <row r="4" s="1" customFormat="true" ht="19" hidden="false" customHeight="false" outlineLevel="0" collapsed="false">
      <c r="B4" s="5" t="s">
        <v>2</v>
      </c>
      <c r="C4" s="5"/>
      <c r="D4" s="5"/>
      <c r="E4" s="5"/>
      <c r="F4" s="5"/>
      <c r="G4" s="5"/>
      <c r="H4" s="5"/>
    </row>
    <row r="5" s="1" customFormat="true" ht="20" hidden="false" customHeight="false" outlineLevel="0" collapsed="false">
      <c r="B5" s="6" t="s">
        <v>3</v>
      </c>
      <c r="C5" s="6"/>
      <c r="D5" s="6"/>
      <c r="E5" s="6"/>
      <c r="F5" s="6"/>
      <c r="G5" s="6"/>
      <c r="H5" s="6"/>
    </row>
    <row r="6" s="1" customFormat="true" ht="19" hidden="false" customHeight="false" outlineLevel="0" collapsed="false">
      <c r="D6" s="3"/>
    </row>
    <row r="7" s="1" customFormat="true" ht="19" hidden="false" customHeight="false" outlineLevel="0" collapsed="false">
      <c r="A7" s="7"/>
      <c r="B7" s="8" t="s">
        <v>4</v>
      </c>
      <c r="C7" s="7"/>
      <c r="D7" s="9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="1" customFormat="true" ht="19" hidden="false" customHeight="false" outlineLevel="0" collapsed="false">
      <c r="A8" s="7"/>
      <c r="B8" s="7" t="s">
        <v>5</v>
      </c>
      <c r="C8" s="7"/>
      <c r="D8" s="9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="1" customFormat="true" ht="19" hidden="false" customHeight="false" outlineLevel="0" collapsed="false">
      <c r="A9" s="7"/>
      <c r="B9" s="7" t="s">
        <v>6</v>
      </c>
      <c r="C9" s="7"/>
      <c r="D9" s="9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="1" customFormat="true" ht="19" hidden="false" customHeight="false" outlineLevel="0" collapsed="false">
      <c r="A10" s="7"/>
      <c r="B10" s="7"/>
      <c r="C10" s="7"/>
      <c r="D10" s="9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="1" customFormat="true" ht="19" hidden="false" customHeight="false" outlineLevel="0" collapsed="false">
      <c r="A11" s="7"/>
      <c r="B11" s="8" t="s">
        <v>7</v>
      </c>
      <c r="C11" s="7"/>
      <c r="D11" s="9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="11" customFormat="true" ht="18" hidden="false" customHeight="true" outlineLevel="0" collapsed="false">
      <c r="A12" s="10"/>
      <c r="B12" s="10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="11" customFormat="true" ht="18" hidden="false" customHeight="true" outlineLevel="0" collapsed="false">
      <c r="A13" s="10"/>
      <c r="B13" s="10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="11" customFormat="true" ht="18" hidden="false" customHeight="true" outlineLevel="0" collapsed="false">
      <c r="A14" s="10"/>
      <c r="B14" s="10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="11" customFormat="true" ht="18" hidden="false" customHeight="true" outlineLevel="0" collapsed="false">
      <c r="A15" s="10"/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="11" customFormat="true" ht="18" hidden="false" customHeight="true" outlineLevel="0" collapsed="false">
      <c r="A16" s="10"/>
      <c r="B16" s="10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="11" customFormat="true" ht="18" hidden="false" customHeight="true" outlineLevel="0" collapsed="false">
      <c r="A17" s="10"/>
      <c r="B17" s="10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="11" customFormat="true" ht="18" hidden="false" customHeight="true" outlineLevel="0" collapsed="false">
      <c r="A18" s="10"/>
      <c r="B18" s="10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="11" customFormat="true" ht="18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="11" customFormat="true" ht="18" hidden="false" customHeight="true" outlineLevel="0" collapsed="false">
      <c r="A20" s="10"/>
      <c r="B20" s="12" t="s">
        <v>15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="11" customFormat="true" ht="18" hidden="false" customHeight="true" outlineLevel="0" collapsed="false">
      <c r="A21" s="10"/>
      <c r="B21" s="10" t="s">
        <v>16</v>
      </c>
      <c r="C21" s="10"/>
      <c r="D21" s="13" t="n">
        <v>5.45</v>
      </c>
      <c r="E21" s="14" t="s">
        <v>17</v>
      </c>
      <c r="F21" s="15" t="s">
        <v>18</v>
      </c>
      <c r="G21" s="10"/>
      <c r="H21" s="10"/>
      <c r="I21" s="10"/>
      <c r="J21" s="10"/>
      <c r="K21" s="10"/>
      <c r="L21" s="10"/>
      <c r="M21" s="10"/>
      <c r="N21" s="10"/>
      <c r="O21" s="10"/>
    </row>
    <row r="22" s="11" customFormat="true" ht="18" hidden="false" customHeight="true" outlineLevel="0" collapsed="false">
      <c r="A22" s="10"/>
      <c r="B22" s="10"/>
      <c r="C22" s="10"/>
      <c r="D22" s="16"/>
      <c r="E22" s="14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="11" customFormat="true" ht="18" hidden="false" customHeight="true" outlineLevel="0" collapsed="false">
      <c r="A23" s="10"/>
      <c r="B23" s="10" t="s">
        <v>19</v>
      </c>
      <c r="C23" s="10"/>
      <c r="D23" s="13" t="n">
        <v>2</v>
      </c>
      <c r="E23" s="14" t="s">
        <v>17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="11" customFormat="true" ht="18" hidden="false" customHeight="true" outlineLevel="0" collapsed="false">
      <c r="A24" s="10"/>
      <c r="B24" s="10" t="s">
        <v>20</v>
      </c>
      <c r="C24" s="10"/>
      <c r="D24" s="17" t="n">
        <f aca="false">1560/893</f>
        <v>1.74692049272116</v>
      </c>
      <c r="E24" s="14" t="s">
        <v>17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="11" customFormat="true" ht="18" hidden="false" customHeight="true" outlineLevel="0" collapsed="false">
      <c r="A25" s="10"/>
      <c r="B25" s="10" t="s">
        <v>21</v>
      </c>
      <c r="C25" s="10"/>
      <c r="D25" s="17" t="n">
        <v>0.6</v>
      </c>
      <c r="E25" s="14" t="s">
        <v>17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="11" customFormat="true" ht="18" hidden="false" customHeight="true" outlineLevel="0" collapsed="false">
      <c r="A26" s="7"/>
      <c r="B26" s="18" t="s">
        <v>22</v>
      </c>
      <c r="C26" s="18"/>
      <c r="D26" s="19" t="n">
        <v>0.2997</v>
      </c>
      <c r="E26" s="14" t="s">
        <v>23</v>
      </c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="11" customFormat="true" ht="18" hidden="false" customHeight="true" outlineLevel="0" collapsed="false">
      <c r="A27" s="10"/>
      <c r="B27" s="10" t="s">
        <v>24</v>
      </c>
      <c r="C27" s="10"/>
      <c r="D27" s="16"/>
      <c r="E27" s="14"/>
      <c r="F27" s="10"/>
      <c r="G27" s="20" t="s">
        <v>25</v>
      </c>
      <c r="H27" s="10" t="s">
        <v>26</v>
      </c>
      <c r="I27" s="10"/>
      <c r="J27" s="10"/>
      <c r="K27" s="10"/>
      <c r="L27" s="10"/>
      <c r="M27" s="10"/>
      <c r="N27" s="10"/>
      <c r="O27" s="10"/>
    </row>
    <row r="28" s="11" customFormat="true" ht="18" hidden="false" customHeight="true" outlineLevel="0" collapsed="false">
      <c r="A28" s="10"/>
      <c r="B28" s="10" t="s">
        <v>27</v>
      </c>
      <c r="C28" s="10"/>
      <c r="D28" s="16"/>
      <c r="E28" s="14"/>
      <c r="F28" s="10"/>
      <c r="G28" s="21" t="n">
        <f aca="false">(D23-D24+D25)*(1-D26)/D21</f>
        <v>0.109616803476581</v>
      </c>
      <c r="H28" s="10"/>
      <c r="I28" s="10"/>
      <c r="J28" s="10"/>
      <c r="K28" s="10"/>
      <c r="L28" s="10"/>
      <c r="M28" s="10"/>
      <c r="N28" s="10"/>
      <c r="O28" s="10"/>
    </row>
    <row r="29" s="11" customFormat="true" ht="18" hidden="false" customHeight="true" outlineLevel="0" collapsed="false">
      <c r="A29" s="10"/>
      <c r="B29" s="10" t="s">
        <v>28</v>
      </c>
      <c r="C29" s="10"/>
      <c r="D29" s="16"/>
      <c r="E29" s="14"/>
      <c r="F29" s="10"/>
      <c r="G29" s="20" t="s">
        <v>29</v>
      </c>
      <c r="H29" s="10"/>
      <c r="I29" s="10"/>
      <c r="J29" s="10"/>
      <c r="K29" s="10"/>
      <c r="L29" s="10"/>
      <c r="M29" s="10"/>
      <c r="N29" s="10"/>
      <c r="O29" s="10"/>
    </row>
    <row r="30" s="11" customFormat="true" ht="18" hidden="false" customHeight="true" outlineLevel="0" collapsed="false">
      <c r="A30" s="10"/>
      <c r="B30" s="10" t="s">
        <v>30</v>
      </c>
      <c r="C30" s="10"/>
      <c r="D30" s="16"/>
      <c r="E30" s="14"/>
      <c r="F30" s="10"/>
      <c r="G30" s="22" t="n">
        <v>0.12</v>
      </c>
      <c r="H30" s="10"/>
      <c r="I30" s="10"/>
      <c r="J30" s="10"/>
      <c r="K30" s="10"/>
      <c r="L30" s="10"/>
      <c r="M30" s="10"/>
      <c r="N30" s="10"/>
      <c r="O30" s="10"/>
    </row>
    <row r="31" s="11" customFormat="true" ht="18" hidden="false" customHeight="true" outlineLevel="0" collapsed="false">
      <c r="A31" s="10"/>
      <c r="B31" s="10" t="s">
        <v>22</v>
      </c>
      <c r="C31" s="10"/>
      <c r="D31" s="23" t="n">
        <v>0.2997</v>
      </c>
      <c r="E31" s="14" t="s">
        <v>23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="11" customFormat="true" ht="18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="11" customFormat="true" ht="18" hidden="false" customHeight="true" outlineLevel="0" collapsed="false">
      <c r="A33" s="10"/>
      <c r="B33" s="10" t="s">
        <v>31</v>
      </c>
      <c r="C33" s="10"/>
      <c r="D33" s="10"/>
      <c r="E33" s="10"/>
      <c r="F33" s="20" t="s">
        <v>25</v>
      </c>
      <c r="G33" s="10"/>
      <c r="H33" s="10"/>
      <c r="I33" s="10"/>
      <c r="J33" s="10"/>
      <c r="K33" s="10"/>
      <c r="L33" s="10"/>
      <c r="M33" s="10"/>
      <c r="N33" s="10"/>
      <c r="O33" s="10"/>
    </row>
    <row r="34" s="11" customFormat="true" ht="18" hidden="false" customHeight="true" outlineLevel="0" collapsed="false">
      <c r="A34" s="10"/>
      <c r="B34" s="10" t="s">
        <v>32</v>
      </c>
      <c r="C34" s="10"/>
      <c r="D34" s="19"/>
      <c r="E34" s="14" t="s">
        <v>33</v>
      </c>
      <c r="F34" s="14"/>
      <c r="G34" s="10"/>
      <c r="H34" s="10"/>
      <c r="I34" s="10"/>
      <c r="J34" s="10"/>
      <c r="K34" s="10"/>
      <c r="L34" s="10"/>
      <c r="M34" s="10"/>
      <c r="N34" s="10"/>
      <c r="O34" s="10"/>
    </row>
    <row r="35" s="11" customFormat="true" ht="18" hidden="false" customHeight="true" outlineLevel="0" collapsed="false">
      <c r="A35" s="10"/>
      <c r="B35" s="15" t="s">
        <v>34</v>
      </c>
      <c r="C35" s="10"/>
      <c r="D35" s="24"/>
      <c r="E35" s="10"/>
      <c r="F35" s="14"/>
      <c r="G35" s="10"/>
      <c r="H35" s="10"/>
      <c r="I35" s="10"/>
      <c r="J35" s="10"/>
      <c r="K35" s="10"/>
      <c r="L35" s="10"/>
      <c r="M35" s="10"/>
      <c r="N35" s="10"/>
      <c r="O35" s="10"/>
    </row>
    <row r="36" s="11" customFormat="true" ht="18" hidden="false" customHeight="true" outlineLevel="0" collapsed="false">
      <c r="A36" s="10"/>
      <c r="B36" s="10" t="s">
        <v>35</v>
      </c>
      <c r="C36" s="10"/>
      <c r="D36" s="20" t="n">
        <v>1.1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="11" customFormat="true" ht="18" hidden="false" customHeight="true" outlineLevel="0" collapsed="false">
      <c r="A37" s="10"/>
      <c r="B37" s="10" t="s">
        <v>36</v>
      </c>
      <c r="C37" s="10"/>
      <c r="D37" s="22" t="n">
        <v>0.07</v>
      </c>
      <c r="E37" s="14" t="s">
        <v>33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="11" customFormat="true" ht="18" hidden="false" customHeight="true" outlineLevel="0" collapsed="false">
      <c r="A38" s="10"/>
      <c r="B38" s="10" t="s">
        <v>37</v>
      </c>
      <c r="C38" s="10"/>
      <c r="D38" s="19" t="n">
        <v>0.055</v>
      </c>
      <c r="E38" s="14" t="s">
        <v>33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="11" customFormat="true" ht="18" hidden="false" customHeight="true" outlineLevel="0" collapsed="false">
      <c r="A39" s="10"/>
      <c r="B39" s="10"/>
      <c r="C39" s="10"/>
      <c r="D39" s="25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="11" customFormat="true" ht="18" hidden="false" customHeight="true" outlineLevel="0" collapsed="false">
      <c r="A40" s="10"/>
      <c r="B40" s="10" t="s">
        <v>38</v>
      </c>
      <c r="C40" s="10"/>
      <c r="D40" s="22" t="n">
        <v>0.06</v>
      </c>
      <c r="E40" s="14" t="s">
        <v>39</v>
      </c>
      <c r="F40" s="15" t="s">
        <v>40</v>
      </c>
      <c r="G40" s="10"/>
      <c r="H40" s="10"/>
      <c r="I40" s="10"/>
      <c r="J40" s="10"/>
      <c r="K40" s="10"/>
      <c r="L40" s="10"/>
      <c r="M40" s="10"/>
      <c r="N40" s="10"/>
      <c r="O40" s="10"/>
    </row>
    <row r="41" s="11" customFormat="true" ht="18" hidden="false" customHeight="true" outlineLevel="0" collapsed="false">
      <c r="A41" s="10"/>
      <c r="B41" s="10"/>
      <c r="C41" s="10"/>
      <c r="D41" s="10"/>
      <c r="E41" s="10"/>
      <c r="F41" s="15" t="s">
        <v>41</v>
      </c>
      <c r="G41" s="10"/>
      <c r="H41" s="10"/>
      <c r="I41" s="10"/>
      <c r="J41" s="10"/>
      <c r="K41" s="10"/>
      <c r="L41" s="10"/>
      <c r="M41" s="10"/>
      <c r="N41" s="10"/>
      <c r="O41" s="10"/>
    </row>
    <row r="42" s="11" customFormat="true" ht="18" hidden="false" customHeight="true" outlineLevel="0" collapsed="false">
      <c r="A42" s="10"/>
      <c r="B42" s="10"/>
      <c r="C42" s="10"/>
      <c r="D42" s="10"/>
      <c r="E42" s="10"/>
      <c r="F42" s="15" t="s">
        <v>42</v>
      </c>
      <c r="G42" s="10"/>
      <c r="H42" s="10"/>
      <c r="I42" s="10"/>
      <c r="J42" s="10"/>
      <c r="K42" s="10"/>
      <c r="L42" s="10"/>
      <c r="M42" s="10"/>
      <c r="N42" s="10"/>
      <c r="O42" s="10"/>
    </row>
    <row r="43" s="11" customFormat="true" ht="18" hidden="false" customHeight="true" outlineLevel="0" collapsed="false">
      <c r="A43" s="10"/>
      <c r="B43" s="10"/>
      <c r="C43" s="10"/>
      <c r="D43" s="10"/>
      <c r="E43" s="10"/>
      <c r="F43" s="15" t="s">
        <v>43</v>
      </c>
      <c r="G43" s="10"/>
      <c r="H43" s="10"/>
      <c r="I43" s="10"/>
      <c r="J43" s="10"/>
      <c r="K43" s="10"/>
      <c r="L43" s="10"/>
      <c r="M43" s="10"/>
      <c r="N43" s="10"/>
      <c r="O43" s="10"/>
    </row>
    <row r="44" s="11" customFormat="true" ht="18" hidden="false" customHeight="true" outlineLevel="0" collapsed="false">
      <c r="A44" s="10"/>
      <c r="B44" s="10"/>
      <c r="C44" s="10"/>
      <c r="D44" s="10"/>
      <c r="E44" s="10"/>
      <c r="F44" s="15"/>
      <c r="G44" s="10"/>
      <c r="H44" s="10"/>
      <c r="I44" s="10"/>
      <c r="J44" s="10"/>
      <c r="K44" s="10"/>
      <c r="L44" s="10"/>
      <c r="M44" s="10"/>
      <c r="N44" s="10"/>
      <c r="O44" s="10"/>
    </row>
    <row r="45" s="11" customFormat="true" ht="18" hidden="false" customHeight="true" outlineLevel="0" collapsed="false">
      <c r="A45" s="10"/>
      <c r="B45" s="26" t="s">
        <v>44</v>
      </c>
      <c r="C45" s="27" t="str">
        <f aca="false">IF(D40&gt;10%,"This is high for a stable growth rate","")</f>
        <v/>
      </c>
      <c r="D45" s="28"/>
      <c r="E45" s="28"/>
      <c r="F45" s="28"/>
      <c r="G45" s="29"/>
      <c r="H45" s="10"/>
      <c r="I45" s="10"/>
      <c r="J45" s="10"/>
      <c r="K45" s="10"/>
      <c r="L45" s="10"/>
      <c r="M45" s="10"/>
      <c r="N45" s="10"/>
      <c r="O45" s="10"/>
    </row>
    <row r="46" s="11" customFormat="true" ht="18" hidden="false" customHeight="true" outlineLevel="0" collapsed="false">
      <c r="A46" s="10"/>
      <c r="B46" s="30"/>
      <c r="C46" s="31" t="str">
        <f aca="false">IF(D36&gt;1.5,"This Beta is high for a stable firm"," ")</f>
        <v> </v>
      </c>
      <c r="D46" s="24"/>
      <c r="E46" s="24"/>
      <c r="F46" s="24"/>
      <c r="G46" s="32"/>
      <c r="H46" s="10"/>
      <c r="I46" s="10"/>
      <c r="J46" s="10"/>
      <c r="K46" s="10"/>
      <c r="L46" s="10"/>
      <c r="M46" s="10"/>
      <c r="N46" s="10"/>
      <c r="O46" s="10"/>
    </row>
    <row r="47" s="1" customFormat="true" ht="19" hidden="false" customHeight="false" outlineLevel="0" collapsed="false">
      <c r="A47" s="7"/>
      <c r="B47" s="33"/>
      <c r="C47" s="34" t="str">
        <f aca="false">IF(D23&gt;1.5*D24,"Capital Spending seems high relative to depreciation"," ")</f>
        <v> </v>
      </c>
      <c r="D47" s="35"/>
      <c r="E47" s="36"/>
      <c r="F47" s="36"/>
      <c r="G47" s="37"/>
      <c r="H47" s="7"/>
      <c r="I47" s="7"/>
      <c r="J47" s="7"/>
      <c r="K47" s="7"/>
      <c r="L47" s="7"/>
      <c r="M47" s="7"/>
      <c r="N47" s="7"/>
      <c r="O47" s="7"/>
    </row>
    <row r="48" s="1" customFormat="true" ht="19" hidden="false" customHeight="false" outlineLevel="0" collapsed="false">
      <c r="A48" s="7"/>
      <c r="B48" s="10"/>
      <c r="C48" s="10"/>
      <c r="D48" s="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="38" customFormat="true" ht="20" hidden="false" customHeight="true" outlineLevel="0" collapsed="false">
      <c r="A49" s="7"/>
      <c r="B49" s="8" t="s">
        <v>45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="38" customFormat="true" ht="20" hidden="false" customHeight="true" outlineLevel="0" collapsed="false">
      <c r="A50" s="7"/>
      <c r="B50" s="39" t="s">
        <v>46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="38" customFormat="true" ht="20" hidden="false" customHeight="true" outlineLevel="0" collapsed="false">
      <c r="A51" s="7"/>
      <c r="B51" s="7" t="s">
        <v>16</v>
      </c>
      <c r="C51" s="7"/>
      <c r="D51" s="40"/>
      <c r="E51" s="41"/>
      <c r="F51" s="42" t="n">
        <f aca="false">D21</f>
        <v>5.45</v>
      </c>
      <c r="G51" s="7"/>
      <c r="H51" s="43"/>
      <c r="I51" s="7"/>
      <c r="J51" s="7"/>
      <c r="K51" s="7"/>
      <c r="L51" s="7"/>
      <c r="M51" s="7"/>
      <c r="N51" s="7"/>
      <c r="O51" s="7"/>
    </row>
    <row r="52" s="38" customFormat="true" ht="20" hidden="false" customHeight="true" outlineLevel="0" collapsed="false">
      <c r="A52" s="7"/>
      <c r="B52" s="7" t="s">
        <v>47</v>
      </c>
      <c r="C52" s="7"/>
      <c r="D52" s="44"/>
      <c r="E52" s="45" t="n">
        <f aca="false">(1-D31)</f>
        <v>0.7003</v>
      </c>
      <c r="F52" s="7"/>
      <c r="G52" s="7"/>
      <c r="H52" s="43"/>
      <c r="I52" s="7"/>
      <c r="J52" s="7"/>
      <c r="K52" s="7"/>
      <c r="L52" s="7"/>
      <c r="M52" s="7"/>
      <c r="N52" s="7"/>
      <c r="O52" s="7"/>
    </row>
    <row r="53" s="38" customFormat="true" ht="20" hidden="false" customHeight="true" outlineLevel="0" collapsed="false">
      <c r="A53" s="7"/>
      <c r="B53" s="7" t="s">
        <v>48</v>
      </c>
      <c r="C53" s="7"/>
      <c r="D53" s="40"/>
      <c r="E53" s="46" t="n">
        <f aca="false">IF(G27="Yes",0,IF(G29="Yes",((D40/G30)*D21-F55)/E52,D23-D24))</f>
        <v>3.29118949021848</v>
      </c>
      <c r="F53" s="46" t="n">
        <f aca="false">E52*E53</f>
        <v>2.30482</v>
      </c>
      <c r="G53" s="7"/>
      <c r="H53" s="43"/>
      <c r="I53" s="7"/>
      <c r="J53" s="7"/>
      <c r="K53" s="7"/>
      <c r="L53" s="7"/>
      <c r="M53" s="7"/>
      <c r="N53" s="7"/>
      <c r="O53" s="7"/>
    </row>
    <row r="54" s="38" customFormat="true" ht="20" hidden="false" customHeight="true" outlineLevel="0" collapsed="false">
      <c r="A54" s="7"/>
      <c r="B54" s="7" t="s">
        <v>49</v>
      </c>
      <c r="C54" s="7"/>
      <c r="D54" s="40"/>
      <c r="E54" s="47" t="n">
        <f aca="false">(1-D31)</f>
        <v>0.7003</v>
      </c>
      <c r="F54" s="14"/>
      <c r="G54" s="7"/>
      <c r="H54" s="43"/>
      <c r="I54" s="7"/>
      <c r="J54" s="7"/>
      <c r="K54" s="7"/>
      <c r="L54" s="7"/>
      <c r="M54" s="7"/>
      <c r="N54" s="7"/>
      <c r="O54" s="7"/>
    </row>
    <row r="55" s="38" customFormat="true" ht="20" hidden="false" customHeight="true" outlineLevel="0" collapsed="false">
      <c r="A55" s="7"/>
      <c r="B55" s="7" t="s">
        <v>50</v>
      </c>
      <c r="C55" s="7"/>
      <c r="D55" s="40"/>
      <c r="E55" s="48" t="n">
        <f aca="false">D25</f>
        <v>0.6</v>
      </c>
      <c r="F55" s="46" t="n">
        <f aca="false">E54*E55</f>
        <v>0.42018</v>
      </c>
      <c r="G55" s="7"/>
      <c r="H55" s="43"/>
      <c r="I55" s="7"/>
      <c r="J55" s="7"/>
      <c r="K55" s="7"/>
      <c r="L55" s="7"/>
      <c r="M55" s="7"/>
      <c r="N55" s="7"/>
      <c r="O55" s="7"/>
    </row>
    <row r="56" s="38" customFormat="true" ht="20" hidden="false" customHeight="true" outlineLevel="0" collapsed="false">
      <c r="A56" s="7"/>
      <c r="B56" s="7" t="s">
        <v>51</v>
      </c>
      <c r="C56" s="7"/>
      <c r="D56" s="43"/>
      <c r="E56" s="7"/>
      <c r="F56" s="48" t="n">
        <f aca="false">F51-F53-F55</f>
        <v>2.725</v>
      </c>
      <c r="G56" s="7"/>
      <c r="H56" s="43"/>
      <c r="I56" s="7"/>
      <c r="J56" s="7"/>
      <c r="K56" s="7"/>
      <c r="L56" s="7"/>
      <c r="M56" s="7"/>
      <c r="N56" s="7"/>
      <c r="O56" s="7"/>
    </row>
    <row r="57" s="38" customFormat="true" ht="20" hidden="false" customHeight="true" outlineLevel="0" collapsed="false">
      <c r="A57" s="7"/>
      <c r="B57" s="7"/>
      <c r="C57" s="7"/>
      <c r="D57" s="43"/>
      <c r="E57" s="7"/>
      <c r="F57" s="41"/>
      <c r="G57" s="7"/>
      <c r="H57" s="43"/>
      <c r="I57" s="7"/>
      <c r="J57" s="7"/>
      <c r="K57" s="7"/>
      <c r="L57" s="7"/>
      <c r="M57" s="7"/>
      <c r="N57" s="7"/>
      <c r="O57" s="7"/>
    </row>
    <row r="58" s="38" customFormat="true" ht="20" hidden="false" customHeight="true" outlineLevel="0" collapsed="false">
      <c r="A58" s="7"/>
      <c r="B58" s="7" t="s">
        <v>52</v>
      </c>
      <c r="C58" s="7"/>
      <c r="D58" s="43" t="n">
        <f aca="false">IF(F33="Yes",D34,D37+D36*D38)</f>
        <v>0.1305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="38" customFormat="true" ht="20" hidden="false" customHeight="true" outlineLevel="0" collapsed="false">
      <c r="A59" s="7"/>
      <c r="B59" s="7" t="s">
        <v>53</v>
      </c>
      <c r="C59" s="7"/>
      <c r="D59" s="43" t="n">
        <f aca="false">D40</f>
        <v>0.06</v>
      </c>
      <c r="E59" s="7" t="str">
        <f aca="false">IF(D59&gt;0.1,"This is high for an infinite growth rate. Check it"," ")</f>
        <v> </v>
      </c>
      <c r="F59" s="7"/>
      <c r="G59" s="7"/>
      <c r="H59" s="7"/>
      <c r="I59" s="7"/>
      <c r="J59" s="7"/>
      <c r="K59" s="7"/>
      <c r="L59" s="7"/>
      <c r="M59" s="7"/>
      <c r="N59" s="7"/>
      <c r="O59" s="7"/>
    </row>
    <row r="60" customFormat="false" ht="20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customFormat="false" ht="20" hidden="false" customHeight="true" outlineLevel="0" collapsed="false">
      <c r="A61" s="7"/>
      <c r="B61" s="7"/>
      <c r="C61" s="49" t="s">
        <v>54</v>
      </c>
      <c r="D61" s="50"/>
      <c r="E61" s="50"/>
      <c r="F61" s="51" t="n">
        <f aca="false">F56*(1+D59)/(D58-D59)</f>
        <v>40.9716312056738</v>
      </c>
      <c r="G61" s="7"/>
      <c r="H61" s="7"/>
      <c r="I61" s="7"/>
      <c r="J61" s="7"/>
      <c r="K61" s="7"/>
      <c r="L61" s="7"/>
      <c r="M61" s="7"/>
      <c r="N61" s="7"/>
      <c r="O61" s="7"/>
    </row>
    <row r="62" customFormat="false" ht="13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="52" customFormat="true" ht="13" hidden="false" customHeight="false" outlineLevel="0" collapsed="false"/>
    <row r="64" s="52" customFormat="true" ht="13" hidden="false" customHeight="false" outlineLevel="0" collapsed="false">
      <c r="B64" s="53" t="s">
        <v>55</v>
      </c>
      <c r="C64" s="54" t="s">
        <v>56</v>
      </c>
    </row>
    <row r="65" customFormat="false" ht="13" hidden="false" customHeight="false" outlineLevel="0" collapsed="false">
      <c r="A65" s="7"/>
      <c r="B65" s="55" t="n">
        <f aca="false">D59+4%</f>
        <v>0.1</v>
      </c>
      <c r="C65" s="56" t="n">
        <f aca="false">$F$56*(1+B65)/($D$58-B65)</f>
        <v>98.2786885245902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customFormat="false" ht="13" hidden="false" customHeight="false" outlineLevel="0" collapsed="false">
      <c r="A66" s="7"/>
      <c r="B66" s="55" t="n">
        <f aca="false">D59+3%</f>
        <v>0.09</v>
      </c>
      <c r="C66" s="56" t="n">
        <f aca="false">$F$56*(1+B66)/($D$58-B66)</f>
        <v>73.3395061728395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customFormat="false" ht="13" hidden="false" customHeight="false" outlineLevel="0" collapsed="false">
      <c r="A67" s="7"/>
      <c r="B67" s="55" t="n">
        <f aca="false">D59+2%</f>
        <v>0.08</v>
      </c>
      <c r="C67" s="56" t="n">
        <f aca="false">$F$56*(1+B67)/($D$58-B67)</f>
        <v>58.2772277227723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customFormat="false" ht="13" hidden="false" customHeight="false" outlineLevel="0" collapsed="false">
      <c r="A68" s="7"/>
      <c r="B68" s="55" t="n">
        <f aca="false">D59+1%</f>
        <v>0.07</v>
      </c>
      <c r="C68" s="56" t="n">
        <f aca="false">$F$56*(1+B68)/($D$58-B68)</f>
        <v>48.1942148760331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customFormat="false" ht="13" hidden="false" customHeight="false" outlineLevel="0" collapsed="false">
      <c r="A69" s="7"/>
      <c r="B69" s="55" t="n">
        <f aca="false">D59</f>
        <v>0.06</v>
      </c>
      <c r="C69" s="56" t="n">
        <f aca="false">$F$56*(1+B69)/($D$58-B69)</f>
        <v>40.9716312056738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customFormat="false" ht="13" hidden="false" customHeight="false" outlineLevel="0" collapsed="false">
      <c r="A70" s="7"/>
      <c r="B70" s="55" t="n">
        <f aca="false">D59-1%</f>
        <v>0.05</v>
      </c>
      <c r="C70" s="56" t="n">
        <f aca="false">$F$56*(1+B70)/($D$58-B70)</f>
        <v>35.5434782608696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customFormat="false" ht="13" hidden="false" customHeight="false" outlineLevel="0" collapsed="false">
      <c r="A71" s="7"/>
      <c r="B71" s="55" t="n">
        <f aca="false">D59-2%</f>
        <v>0.04</v>
      </c>
      <c r="C71" s="56" t="n">
        <f aca="false">$F$56*(1+B71)/($D$58-B71)</f>
        <v>31.3149171270718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customFormat="false" ht="13" hidden="false" customHeight="false" outlineLevel="0" collapsed="false">
      <c r="A72" s="7"/>
      <c r="B72" s="55" t="n">
        <f aca="false">D59-3%</f>
        <v>0.03</v>
      </c>
      <c r="C72" s="56" t="n">
        <f aca="false">$F$56*(1+B72)/($D$58-B72)</f>
        <v>27.9278606965174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customFormat="false" ht="13" hidden="false" customHeight="false" outlineLevel="0" collapsed="false">
      <c r="A73" s="7"/>
      <c r="B73" s="57" t="n">
        <f aca="false">D59-4%</f>
        <v>0.02</v>
      </c>
      <c r="C73" s="48" t="n">
        <f aca="false">$F$56*(1+B73)/($D$58-B73)</f>
        <v>25.1538461538462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customFormat="false" ht="13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customFormat="false" ht="13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customFormat="false" ht="13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customFormat="false" ht="13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customFormat="false" ht="13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customFormat="false" ht="13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customFormat="false" ht="13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customFormat="false" ht="13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customFormat="false" ht="13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customFormat="false" ht="13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customFormat="false" ht="13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customFormat="false" ht="13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</sheetData>
  <mergeCells count="5">
    <mergeCell ref="B1:H1"/>
    <mergeCell ref="B3:H3"/>
    <mergeCell ref="B4:H4"/>
    <mergeCell ref="B5:H5"/>
    <mergeCell ref="B26:C26"/>
  </mergeCells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&amp;CFCFE Stable Model</oddHeader>
    <oddFooter>&amp;CPage </oddFooter>
  </headerFooter>
  <rowBreaks count="3" manualBreakCount="3">
    <brk id="18" man="true" max="16383" min="0"/>
    <brk id="40" man="true" max="16383" min="0"/>
    <brk id="45" man="true" max="16383" min="0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dc:description/>
  <dc:language>en-US</dc:language>
  <cp:lastModifiedBy>Aswath Damodaran</cp:lastModifiedBy>
  <cp:revision>0</cp:revision>
  <dc:subject/>
  <dc:title/>
</cp:coreProperties>
</file>