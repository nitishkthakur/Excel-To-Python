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media/image1.png" ContentType="image/png"/>
  <Override PartName="/xl/media/image2.wmf" ContentType="image/x-wmf"/>
  <Override PartName="/xl/drawings/vmlDrawing3.vml" ContentType="application/vnd.openxmlformats-officedocument.vmlDrawing"/>
  <Override PartName="/xl/drawings/drawing4.xml" ContentType="application/vnd.openxmlformats-officedocument.drawingml.chartshapes+xml"/>
  <Override PartName="/xl/drawings/vmlDrawing4.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_rels/drawing5.xml.rels" ContentType="application/vnd.openxmlformats-package.relationships+xml"/>
  <Override PartName="/xl/drawings/_rels/drawing10.xml.rels" ContentType="application/vnd.openxmlformats-package.relationships+xml"/>
  <Override PartName="/xl/drawings/_rels/drawing6.xml.rels" ContentType="application/vnd.openxmlformats-package.relationships+xml"/>
  <Override PartName="/xl/drawings/_rels/drawing1.xml.rels" ContentType="application/vnd.openxmlformats-package.relationships+xml"/>
  <Override PartName="/xl/drawings/_rels/drawing2.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drawings/_rels/drawing9.xml.rels" ContentType="application/vnd.openxmlformats-package.relationships+xml"/>
  <Override PartName="/xl/drawings/_rels/drawing3.xml.rels" ContentType="application/vnd.openxmlformats-package.relationships+xml"/>
  <Override PartName="/xl/drawings/vmlDrawing2.vml" ContentType="application/vnd.openxmlformats-officedocument.vmlDrawing"/>
  <Override PartName="/xl/drawings/drawing3.xml" ContentType="application/vnd.openxmlformats-officedocument.drawing+xml"/>
  <Override PartName="/xl/sharedStrings.xml" ContentType="application/vnd.openxmlformats-officedocument.spreadsheetml.sharedStrings+xml"/>
  <Override PartName="/xl/charts/_rels/chart1.xml.rels" ContentType="application/vnd.openxmlformats-package.relationships+xml"/>
  <Override PartName="/xl/charts/chart1.xml" ContentType="application/vnd.openxmlformats-officedocument.drawingml.chart+xml"/>
  <Override PartName="/xl/externalLinks/externalLink22.xml" ContentType="application/vnd.openxmlformats-officedocument.spreadsheetml.externalLink+xml"/>
  <Override PartName="/xl/externalLinks/externalLink21.xml" ContentType="application/vnd.openxmlformats-officedocument.spreadsheetml.externalLink+xml"/>
  <Override PartName="/xl/externalLinks/externalLink19.xml" ContentType="application/vnd.openxmlformats-officedocument.spreadsheetml.externalLink+xml"/>
  <Override PartName="/xl/externalLinks/externalLink1.xml" ContentType="application/vnd.openxmlformats-officedocument.spreadsheetml.externalLink+xml"/>
  <Override PartName="/xl/externalLinks/externalLink20.xml" ContentType="application/vnd.openxmlformats-officedocument.spreadsheetml.externalLink+xml"/>
  <Override PartName="/xl/externalLinks/externalLink18.xml" ContentType="application/vnd.openxmlformats-officedocument.spreadsheetml.externalLink+xml"/>
  <Override PartName="/xl/externalLinks/externalLink17.xml" ContentType="application/vnd.openxmlformats-officedocument.spreadsheetml.externalLink+xml"/>
  <Override PartName="/xl/externalLinks/externalLink16.xml" ContentType="application/vnd.openxmlformats-officedocument.spreadsheetml.externalLink+xml"/>
  <Override PartName="/xl/externalLinks/externalLink15.xml" ContentType="application/vnd.openxmlformats-officedocument.spreadsheetml.externalLink+xml"/>
  <Override PartName="/xl/externalLinks/externalLink14.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xml" ContentType="application/vnd.openxmlformats-officedocument.spreadsheetml.externalLink+xml"/>
  <Override PartName="/xl/externalLinks/externalLink25.xml" ContentType="application/vnd.openxmlformats-officedocument.spreadsheetml.externalLink+xml"/>
  <Override PartName="/xl/externalLinks/externalLink3.xml" ContentType="application/vnd.openxmlformats-officedocument.spreadsheetml.externalLink+xml"/>
  <Override PartName="/xl/externalLinks/externalLink26.xml" ContentType="application/vnd.openxmlformats-officedocument.spreadsheetml.externalLink+xml"/>
  <Override PartName="/xl/externalLinks/externalLink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_rels/externalLink27.xml.rels" ContentType="application/vnd.openxmlformats-package.relationships+xml"/>
  <Override PartName="/xl/externalLinks/_rels/externalLink47.xml.rels" ContentType="application/vnd.openxmlformats-package.relationships+xml"/>
  <Override PartName="/xl/externalLinks/_rels/externalLink10.xml.rels" ContentType="application/vnd.openxmlformats-package.relationships+xml"/>
  <Override PartName="/xl/externalLinks/_rels/externalLink12.xml.rels" ContentType="application/vnd.openxmlformats-package.relationships+xml"/>
  <Override PartName="/xl/externalLinks/_rels/externalLink28.xml.rels" ContentType="application/vnd.openxmlformats-package.relationships+xml"/>
  <Override PartName="/xl/externalLinks/_rels/externalLink30.xml.rels" ContentType="application/vnd.openxmlformats-package.relationships+xml"/>
  <Override PartName="/xl/externalLinks/_rels/externalLink6.xml.rels" ContentType="application/vnd.openxmlformats-package.relationships+xml"/>
  <Override PartName="/xl/externalLinks/_rels/externalLink13.xml.rels" ContentType="application/vnd.openxmlformats-package.relationships+xml"/>
  <Override PartName="/xl/externalLinks/_rels/externalLink29.xml.rels" ContentType="application/vnd.openxmlformats-package.relationships+xml"/>
  <Override PartName="/xl/externalLinks/_rels/externalLink31.xml.rels" ContentType="application/vnd.openxmlformats-package.relationships+xml"/>
  <Override PartName="/xl/externalLinks/_rels/externalLink7.xml.rels" ContentType="application/vnd.openxmlformats-package.relationships+xml"/>
  <Override PartName="/xl/externalLinks/_rels/externalLink5.xml.rels" ContentType="application/vnd.openxmlformats-package.relationships+xml"/>
  <Override PartName="/xl/externalLinks/_rels/externalLink32.xml.rels" ContentType="application/vnd.openxmlformats-package.relationships+xml"/>
  <Override PartName="/xl/externalLinks/_rels/externalLink8.xml.rels" ContentType="application/vnd.openxmlformats-package.relationships+xml"/>
  <Override PartName="/xl/externalLinks/_rels/externalLink33.xml.rels" ContentType="application/vnd.openxmlformats-package.relationships+xml"/>
  <Override PartName="/xl/externalLinks/_rels/externalLink9.xml.rels" ContentType="application/vnd.openxmlformats-package.relationships+xml"/>
  <Override PartName="/xl/externalLinks/_rels/externalLink11.xml.rels" ContentType="application/vnd.openxmlformats-package.relationships+xml"/>
  <Override PartName="/xl/externalLinks/_rels/externalLink46.xml.rels" ContentType="application/vnd.openxmlformats-package.relationships+xml"/>
  <Override PartName="/xl/externalLinks/_rels/externalLink24.xml.rels" ContentType="application/vnd.openxmlformats-package.relationships+xml"/>
  <Override PartName="/xl/externalLinks/_rels/externalLink23.xml.rels" ContentType="application/vnd.openxmlformats-package.relationships+xml"/>
  <Override PartName="/xl/externalLinks/_rels/externalLink14.xml.rels" ContentType="application/vnd.openxmlformats-package.relationships+xml"/>
  <Override PartName="/xl/externalLinks/_rels/externalLink15.xml.rels" ContentType="application/vnd.openxmlformats-package.relationships+xml"/>
  <Override PartName="/xl/externalLinks/_rels/externalLink16.xml.rels" ContentType="application/vnd.openxmlformats-package.relationships+xml"/>
  <Override PartName="/xl/externalLinks/_rels/externalLink17.xml.rels" ContentType="application/vnd.openxmlformats-package.relationships+xml"/>
  <Override PartName="/xl/externalLinks/_rels/externalLink20.xml.rels" ContentType="application/vnd.openxmlformats-package.relationships+xml"/>
  <Override PartName="/xl/externalLinks/_rels/externalLink18.xml.rels" ContentType="application/vnd.openxmlformats-package.relationships+xml"/>
  <Override PartName="/xl/externalLinks/_rels/externalLink1.xml.rels" ContentType="application/vnd.openxmlformats-package.relationships+xml"/>
  <Override PartName="/xl/externalLinks/_rels/externalLink26.xml.rels" ContentType="application/vnd.openxmlformats-package.relationships+xml"/>
  <Override PartName="/xl/externalLinks/_rels/externalLink2.xml.rels" ContentType="application/vnd.openxmlformats-package.relationships+xml"/>
  <Override PartName="/xl/externalLinks/_rels/externalLink19.xml.rels" ContentType="application/vnd.openxmlformats-package.relationships+xml"/>
  <Override PartName="/xl/externalLinks/_rels/externalLink21.xml.rels" ContentType="application/vnd.openxmlformats-package.relationships+xml"/>
  <Override PartName="/xl/externalLinks/_rels/externalLink22.xml.rels" ContentType="application/vnd.openxmlformats-package.relationships+xml"/>
  <Override PartName="/xl/externalLinks/_rels/externalLink25.xml.rels" ContentType="application/vnd.openxmlformats-package.relationships+xml"/>
  <Override PartName="/xl/externalLinks/_rels/externalLink3.xml.rels" ContentType="application/vnd.openxmlformats-package.relationships+xml"/>
  <Override PartName="/xl/externalLinks/_rels/externalLink4.xml.rels" ContentType="application/vnd.openxmlformats-package.relationships+xml"/>
  <Override PartName="/xl/externalLinks/_rels/externalLink35.xml.rels" ContentType="application/vnd.openxmlformats-package.relationships+xml"/>
  <Override PartName="/xl/externalLinks/_rels/externalLink36.xml.rels" ContentType="application/vnd.openxmlformats-package.relationships+xml"/>
  <Override PartName="/xl/externalLinks/_rels/externalLink37.xml.rels" ContentType="application/vnd.openxmlformats-package.relationships+xml"/>
  <Override PartName="/xl/externalLinks/_rels/externalLink38.xml.rels" ContentType="application/vnd.openxmlformats-package.relationships+xml"/>
  <Override PartName="/xl/externalLinks/_rels/externalLink40.xml.rels" ContentType="application/vnd.openxmlformats-package.relationships+xml"/>
  <Override PartName="/xl/externalLinks/_rels/externalLink39.xml.rels" ContentType="application/vnd.openxmlformats-package.relationships+xml"/>
  <Override PartName="/xl/externalLinks/_rels/externalLink41.xml.rels" ContentType="application/vnd.openxmlformats-package.relationships+xml"/>
  <Override PartName="/xl/externalLinks/_rels/externalLink42.xml.rels" ContentType="application/vnd.openxmlformats-package.relationships+xml"/>
  <Override PartName="/xl/externalLinks/_rels/externalLink43.xml.rels" ContentType="application/vnd.openxmlformats-package.relationships+xml"/>
  <Override PartName="/xl/externalLinks/_rels/externalLink44.xml.rels" ContentType="application/vnd.openxmlformats-package.relationships+xml"/>
  <Override PartName="/xl/externalLinks/_rels/externalLink45.xml.rels" ContentType="application/vnd.openxmlformats-package.relationships+xml"/>
  <Override PartName="/xl/externalLinks/_rels/externalLink34.xml.rels" ContentType="application/vnd.openxmlformats-package.relationships+xml"/>
  <Override PartName="/xl/externalLinks/externalLink38.xml" ContentType="application/vnd.openxmlformats-officedocument.spreadsheetml.externalLink+xml"/>
  <Override PartName="/xl/externalLinks/externalLink40.xml" ContentType="application/vnd.openxmlformats-officedocument.spreadsheetml.externalLink+xml"/>
  <Override PartName="/xl/externalLinks/externalLink39.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34.xml" ContentType="application/vnd.openxmlformats-officedocument.spreadsheetml.externalLink+xml"/>
  <Override PartName="/xl/externalLinks/externalLink46.xml" ContentType="application/vnd.openxmlformats-officedocument.spreadsheetml.externalLink+xml"/>
  <Override PartName="/xl/externalLinks/externalLink11.xml" ContentType="application/vnd.openxmlformats-officedocument.spreadsheetml.externalLink+xml"/>
  <Override PartName="/xl/externalLinks/externalLink33.xml" ContentType="application/vnd.openxmlformats-officedocument.spreadsheetml.externalLink+xml"/>
  <Override PartName="/xl/externalLinks/externalLink9.xml" ContentType="application/vnd.openxmlformats-officedocument.spreadsheetml.externalLink+xml"/>
  <Override PartName="/xl/externalLinks/externalLink32.xml" ContentType="application/vnd.openxmlformats-officedocument.spreadsheetml.externalLink+xml"/>
  <Override PartName="/xl/externalLinks/externalLink8.xml" ContentType="application/vnd.openxmlformats-officedocument.spreadsheetml.externalLink+xml"/>
  <Override PartName="/xl/externalLinks/externalLink31.xml" ContentType="application/vnd.openxmlformats-officedocument.spreadsheetml.externalLink+xml"/>
  <Override PartName="/xl/externalLinks/externalLink29.xml" ContentType="application/vnd.openxmlformats-officedocument.spreadsheetml.externalLink+xml"/>
  <Override PartName="/xl/externalLinks/externalLink13.xml" ContentType="application/vnd.openxmlformats-officedocument.spreadsheetml.externalLink+xml"/>
  <Override PartName="/xl/externalLinks/externalLink7.xml" ContentType="application/vnd.openxmlformats-officedocument.spreadsheetml.externalLink+xml"/>
  <Override PartName="/xl/externalLinks/externalLink30.xml" ContentType="application/vnd.openxmlformats-officedocument.spreadsheetml.externalLink+xml"/>
  <Override PartName="/xl/externalLinks/externalLink6.xml" ContentType="application/vnd.openxmlformats-officedocument.spreadsheetml.externalLink+xml"/>
  <Override PartName="/xl/externalLinks/externalLink28.xml" ContentType="application/vnd.openxmlformats-officedocument.spreadsheetml.externalLink+xml"/>
  <Override PartName="/xl/externalLinks/externalLink12.xml" ContentType="application/vnd.openxmlformats-officedocument.spreadsheetml.externalLink+xml"/>
  <Override PartName="/xl/externalLinks/externalLink10.xml" ContentType="application/vnd.openxmlformats-officedocument.spreadsheetml.externalLink+xml"/>
  <Override PartName="/xl/externalLinks/externalLink47.xml" ContentType="application/vnd.openxmlformats-officedocument.spreadsheetml.externalLink+xml"/>
  <Override PartName="/xl/externalLinks/externalLink5.xml" ContentType="application/vnd.openxmlformats-officedocument.spreadsheetml.externalLink+xml"/>
  <Override PartName="/xl/externalLinks/externalLink27.xml" ContentType="application/vnd.openxmlformats-officedocument.spreadsheetml.externalLink+xml"/>
  <Override PartName="/xl/comments9.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comments8.xml" ContentType="application/vnd.openxmlformats-officedocument.spreadsheetml.comments+xml"/>
  <Override PartName="/xl/theme/theme1.xml" ContentType="application/vnd.openxmlformats-officedocument.theme+xml"/>
  <Override PartName="/xl/comments10.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over" sheetId="1" state="visible" r:id="rId3"/>
    <sheet name="Directions" sheetId="2" state="visible" r:id="rId4"/>
    <sheet name="COMPANY OVERVIEW" sheetId="3" state="visible" r:id="rId5"/>
    <sheet name="PRESENTATION" sheetId="4" state="visible" r:id="rId6"/>
    <sheet name="Segment Revenue Model" sheetId="5" state="visible" r:id="rId7"/>
    <sheet name="INCOME STATEMENT" sheetId="6" state="visible" r:id="rId8"/>
    <sheet name="CASH FOW STATEMENT" sheetId="7" state="visible" r:id="rId9"/>
    <sheet name="BALANCESHEET" sheetId="8" state="visible" r:id="rId10"/>
    <sheet name="Debt Schedule" sheetId="9" state="visible" r:id="rId11"/>
    <sheet name="Valuation" sheetId="10" state="visible" r:id="rId12"/>
    <sheet name="Ratio Analysis" sheetId="11" state="visible"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function="false" hidden="false" localSheetId="5" name="_xlnm.Print_Area" vbProcedure="false">'INCOME STATEMENT'!$A$1:$A$49</definedName>
    <definedName function="false" hidden="false" name="a" vbProcedure="false">[10]Earning_Assum!$A$513</definedName>
    <definedName function="false" hidden="false" name="AA" vbProcedure="false">[10]Earning_Assum!$A$1</definedName>
    <definedName function="false" hidden="false" name="aaa" vbProcedure="false">#REF!</definedName>
    <definedName function="false" hidden="false" name="ABC" vbProcedure="false">[2]Pulses!$A$1:$S$311</definedName>
    <definedName function="false" hidden="false" name="ABC___0" vbProcedure="false">[6]Pulses!$A$1:$S$311</definedName>
    <definedName function="false" hidden="false" name="Acquition" vbProcedure="false">#REF!</definedName>
    <definedName function="false" hidden="false" name="act" vbProcedure="false">[11]rm!$V$3</definedName>
    <definedName function="false" hidden="false" name="ActDepr" vbProcedure="false">[12]Input!$K$129:$AE$129</definedName>
    <definedName function="false" hidden="false" name="AdmExp" vbProcedure="false">[12]Input!$K$547:$AE$547</definedName>
    <definedName function="false" hidden="false" name="AdmExpSer" vbProcedure="false">[12]Profile!$AX$5:$AX$12</definedName>
    <definedName function="false" hidden="false" name="advertising" vbProcedure="false">#REF!</definedName>
    <definedName function="false" hidden="false" name="AFHrs" vbProcedure="false">#REF!</definedName>
    <definedName function="false" hidden="false" name="AFKW" vbProcedure="false">#REF!</definedName>
    <definedName function="false" hidden="false" name="agro1" vbProcedure="false">[1]Summary!$A$2305</definedName>
    <definedName function="false" hidden="false" name="agro2" vbProcedure="false">[1]Summary!$A$1</definedName>
    <definedName function="false" hidden="false" name="agro4" vbProcedure="false">[1]Summary!$A$1</definedName>
    <definedName function="false" hidden="false" name="Analyst" vbProcedure="false">#REF!</definedName>
    <definedName function="false" hidden="false" name="ARBL" vbProcedure="false">#REF!</definedName>
    <definedName function="false" hidden="false" name="asd" vbProcedure="false">#REF!</definedName>
    <definedName function="false" hidden="false" name="august" vbProcedure="false">[7]Pulses!$A$1:$S$311</definedName>
    <definedName function="false" hidden="false" name="AvgDebt" vbProcedure="false">[12]Debt!$K$153:$AE$153</definedName>
    <definedName function="false" hidden="false" name="AvgIntRate" vbProcedure="false">[12]Debt!$K$250:$AE$250</definedName>
    <definedName function="false" hidden="false" name="AvgNW" vbProcedure="false">[12]Formats!$K$64:$AE$64</definedName>
    <definedName function="false" hidden="false" name="AvgSellPr" vbProcedure="false">[12]Input!$K$161:$AE$161,[12]Input!$K$179:$AE$179,[12]Input!$K$197:$AE$197,[12]Input!$K$215:$AE$215,[12]Input!$K$233:$AE$233,[12]Input!$K$251:$AE$251,[12]Input!$K$269:$AE$269,[12]Input!$K$287:$AE$287</definedName>
    <definedName function="false" hidden="false" name="avg_vol_3m" vbProcedure="false">#REF!</definedName>
    <definedName function="false" hidden="false" name="B" vbProcedure="false">[10]Earning_Assum!$A$161</definedName>
    <definedName function="false" hidden="false" name="back_page" vbProcedure="false">[13]bp!$A$1:$X$56</definedName>
    <definedName function="false" hidden="false" name="bad" vbProcedure="false">#REF!</definedName>
    <definedName function="false" hidden="false" name="bae" vbProcedure="false">#REF!</definedName>
    <definedName function="false" hidden="false" name="bal" vbProcedure="false">#REF!</definedName>
    <definedName function="false" hidden="false" name="Balloon" vbProcedure="false">#REF!</definedName>
    <definedName function="false" hidden="false" name="Balloon_Amount" vbProcedure="false">#REF!</definedName>
    <definedName function="false" hidden="false" name="balsh" vbProcedure="false">#REF!</definedName>
    <definedName function="false" hidden="false" name="bao" vbProcedure="false">#REF!</definedName>
    <definedName function="false" hidden="false" name="bap" vbProcedure="false">#REF!</definedName>
    <definedName function="false" hidden="false" name="Basicshares" vbProcedure="false">#REF!</definedName>
    <definedName function="false" hidden="false" name="Basicsharesoutstanding" vbProcedure="false">#REF!</definedName>
    <definedName function="false" hidden="false" name="BasicSharesOutstandingR" vbProcedure="false">[4]Introduction!$E$40:$K$40</definedName>
    <definedName function="false" hidden="false" name="BasicYearEndEPS" vbProcedure="false">#REF!</definedName>
    <definedName function="false" hidden="false" name="BasicYearEndShares" vbProcedure="false">#REF!</definedName>
    <definedName function="false" hidden="false" name="bat" vbProcedure="false">#REF!</definedName>
    <definedName function="false" hidden="false" name="bay" vbProcedure="false">#REF!</definedName>
    <definedName function="false" hidden="false" name="BB" vbProcedure="false">[10]Earning_Assum!$A$2305</definedName>
    <definedName function="false" hidden="false" name="bca" vbProcedure="false">#REF!</definedName>
    <definedName function="false" hidden="false" name="bcb" vbProcedure="false">#REF!</definedName>
    <definedName function="false" hidden="false" name="bce" vbProcedure="false">#REF!</definedName>
    <definedName function="false" hidden="false" name="bcl" vbProcedure="false">#REF!</definedName>
    <definedName function="false" hidden="false" name="bcm" vbProcedure="false">#REF!</definedName>
    <definedName function="false" hidden="false" name="bcp" vbProcedure="false">#REF!</definedName>
    <definedName function="false" hidden="false" name="bdp" vbProcedure="false">#REF!</definedName>
    <definedName function="false" hidden="false" name="BE1_0" vbProcedure="false">#REF!</definedName>
    <definedName function="false" hidden="false" name="BE2_0" vbProcedure="false">#REF!,#REF!,#REF!</definedName>
    <definedName function="false" hidden="false" name="BE3_0" vbProcedure="false">#REF!,#REF!,#REF!</definedName>
    <definedName function="false" hidden="false" name="BE4_0" vbProcedure="false">#REF!,#REF!,#REF!</definedName>
    <definedName function="false" hidden="false" name="BE5_0" vbProcedure="false">#REF!,#REF!,#REF!</definedName>
    <definedName function="false" hidden="false" name="BESale" vbProcedure="false">[12]Formats!$K$143:$AE$143</definedName>
    <definedName function="false" hidden="false" name="BESaleVal" vbProcedure="false">[12]Formats!$K$144:$AE$144</definedName>
    <definedName function="false" hidden="false" name="bet" vbProcedure="false">#REF!</definedName>
    <definedName function="false" hidden="false" name="beta" vbProcedure="false">[11]main!$J$5</definedName>
    <definedName function="false" hidden="false" name="bfc" vbProcedure="false">#REF!</definedName>
    <definedName function="false" hidden="false" name="bia" vbProcedure="false">#REF!</definedName>
    <definedName function="false" hidden="false" name="bin" vbProcedure="false">#REF!</definedName>
    <definedName function="false" hidden="false" name="bio" vbProcedure="false">#REF!</definedName>
    <definedName function="false" hidden="false" name="bir" vbProcedure="false">#REF!</definedName>
    <definedName function="false" hidden="false" name="bit" vbProcedure="false">#REF!</definedName>
    <definedName function="false" hidden="false" name="BL1_0" vbProcedure="false">#REF!</definedName>
    <definedName function="false" hidden="false" name="BL2_0" vbProcedure="false">#REF!,#REF!,#REF!</definedName>
    <definedName function="false" hidden="false" name="BL3_0" vbProcedure="false">#REF!,#REF!,#REF!</definedName>
    <definedName function="false" hidden="false" name="BL4_0" vbProcedure="false">#REF!,#REF!,#REF!</definedName>
    <definedName function="false" hidden="false" name="BL5_0" vbProcedure="false">#REF!,#REF!,#REF!</definedName>
    <definedName function="false" hidden="false" name="bll" vbProcedure="false">#REF!</definedName>
    <definedName function="false" hidden="false" name="block_balancesheet_blue" vbProcedure="false">#REF!</definedName>
    <definedName function="false" hidden="false" name="block_businessbackground_blue" vbProcedure="false">#REF!</definedName>
    <definedName function="false" hidden="false" name="block_capitalhistory_blue" vbProcedure="false">#REF!</definedName>
    <definedName function="false" hidden="false" name="block_cashflow_blue" vbProcedure="false">#REF!</definedName>
    <definedName function="false" hidden="false" name="block_expansionplans_blue" vbProcedure="false">#REF!</definedName>
    <definedName function="false" hidden="false" name="block_forecasts_blue" vbProcedure="false">#REF!</definedName>
    <definedName function="false" hidden="false" name="block_identityblock_blue" vbProcedure="false">#REF!</definedName>
    <definedName function="false" hidden="false" name="block_incomestatement_blue" vbProcedure="false">#REF!</definedName>
    <definedName function="false" hidden="false" name="block_investmentargument_blue" vbProcedure="false">#REF!</definedName>
    <definedName function="false" hidden="false" name="block_keyassumptions2_blue" vbProcedure="false">#REF!</definedName>
    <definedName function="false" hidden="false" name="block_keyassumptions_blue" vbProcedure="false">#REF!</definedName>
    <definedName function="false" hidden="false" name="block_mainpoints_red" vbProcedure="false">#REF!</definedName>
    <definedName function="false" hidden="false" name="block_PEBANDS_none" vbProcedure="false">#REF!</definedName>
    <definedName function="false" hidden="false" name="block_perrel_none" vbProcedure="false">#REF!</definedName>
    <definedName function="false" hidden="false" name="block_pricetrends_none" vbProcedure="false">#REF!</definedName>
    <definedName function="false" hidden="false" name="block_ratioanalysis_blue" vbProcedure="false">#REF!</definedName>
    <definedName function="false" hidden="false" name="block_salesbreakdown_none" vbProcedure="false">#REF!</definedName>
    <definedName function="false" hidden="false" name="block_shareholdingpattern_blue" vbProcedure="false">#REF!</definedName>
    <definedName function="false" hidden="false" name="block_title_blue" vbProcedure="false">#REF!</definedName>
    <definedName function="false" hidden="false" name="Bloomberg" vbProcedure="false">#REF!</definedName>
    <definedName function="false" hidden="false" name="blt" vbProcedure="false">#REF!</definedName>
    <definedName function="false" hidden="false" name="bmi" vbProcedure="false">#REF!</definedName>
    <definedName function="false" hidden="false" name="bn" vbProcedure="false">1000000000</definedName>
    <definedName function="false" hidden="false" name="bnd" vbProcedure="false">#REF!</definedName>
    <definedName function="false" hidden="false" name="bnf" vbProcedure="false">#REF!</definedName>
    <definedName function="false" hidden="false" name="board" vbProcedure="false">[14]board!$A$1</definedName>
    <definedName function="false" hidden="false" name="boc" vbProcedure="false">#REF!</definedName>
    <definedName function="false" hidden="false" name="bol" vbProcedure="false">#REF!</definedName>
    <definedName function="false" hidden="false" name="BookDepr" vbProcedure="false">[12]CapEx!$K$77:$AE$77</definedName>
    <definedName function="false" hidden="false" name="Bookvalue" vbProcedure="false">#REF!</definedName>
    <definedName function="false" hidden="false" name="bor" vbProcedure="false">#REF!</definedName>
    <definedName function="false" hidden="false" name="bot" vbProcedure="false">#REF!</definedName>
    <definedName function="false" hidden="false" name="bpp" vbProcedure="false">#REF!</definedName>
    <definedName function="false" hidden="false" name="bpu" vbProcedure="false">#REF!</definedName>
    <definedName function="false" hidden="false" name="bre" vbProcedure="false">#REF!</definedName>
    <definedName function="false" hidden="false" name="Breakdown" vbProcedure="false">#REF!</definedName>
    <definedName function="false" hidden="false" name="BriefCoName" vbProcedure="false">#REF!</definedName>
    <definedName function="false" hidden="false" name="BriefDate" vbProcedure="false">#REF!</definedName>
    <definedName function="false" hidden="false" name="BriefInvPlay" vbProcedure="false">#REF!</definedName>
    <definedName function="false" hidden="false" name="BriefPrevDate" vbProcedure="false">#REF!</definedName>
    <definedName function="false" hidden="false" name="BriefPrevRecom" vbProcedure="false">#REF!</definedName>
    <definedName function="false" hidden="false" name="BriefRationale" vbProcedure="false">#REF!</definedName>
    <definedName function="false" hidden="false" name="BriefRecom" vbProcedure="false">#REF!</definedName>
    <definedName function="false" hidden="false" name="BriefSummary" vbProcedure="false">#REF!</definedName>
    <definedName function="false" hidden="false" name="BriefTime" vbProcedure="false">#REF!</definedName>
    <definedName function="false" hidden="false" name="bs" vbProcedure="false">#REF!</definedName>
    <definedName function="false" hidden="false" name="BSDiff" vbProcedure="false">[12]Input!$K$564:$AE$564</definedName>
    <definedName function="false" hidden="false" name="BSE" vbProcedure="false">[15]prices!$F$1:$F$404</definedName>
    <definedName function="false" hidden="false" name="BSE200Member" vbProcedure="false">#REF!</definedName>
    <definedName function="false" hidden="false" name="BSECode" vbProcedure="false">#REF!</definedName>
    <definedName function="false" hidden="false" name="bsf" vbProcedure="false">#REF!</definedName>
    <definedName function="false" hidden="false" name="bst" vbProcedure="false">#REF!</definedName>
    <definedName function="false" hidden="false" name="bs_jb" vbProcedure="false">[13]acctmod!$A$42:$Y$91</definedName>
    <definedName function="false" hidden="false" name="bs_ratio_jb" vbProcedure="false">[15]acctmod!$A$159:$Y$171</definedName>
    <definedName function="false" hidden="false" name="bs_sski" vbProcedure="false">#REF!</definedName>
    <definedName function="false" hidden="false" name="bt" vbProcedure="false">[16]EVA1!$T$11</definedName>
    <definedName function="false" hidden="false" name="bta" vbProcedure="false">#REF!</definedName>
    <definedName function="false" hidden="false" name="btd" vbProcedure="false">#REF!</definedName>
    <definedName function="false" hidden="false" name="bte" vbProcedure="false">#REF!</definedName>
    <definedName function="false" hidden="false" name="btl" vbProcedure="false">#REF!</definedName>
    <definedName function="false" hidden="false" name="btp" vbProcedure="false">#REF!</definedName>
    <definedName function="false" hidden="false" name="BuiltIn_Consolidate_Area___0" vbProcedure="false">NA()</definedName>
    <definedName function="false" hidden="false" name="BuiltIn_Database___0" vbProcedure="false">[17]Allocate!$A$1:$S$311</definedName>
    <definedName function="false" hidden="false" name="BuiltIn_Print_Area" vbProcedure="false">#REF!</definedName>
    <definedName function="false" hidden="false" name="BuiltIn_Print_Titles" vbProcedure="false">#REF!</definedName>
    <definedName function="false" hidden="false" name="BuiltIn_Print_Titles___0" vbProcedure="false">#REF!</definedName>
    <definedName function="false" hidden="false" name="BuiltIn_Print_Titles___0___0" vbProcedure="false">#REF!</definedName>
    <definedName function="false" hidden="false" name="BuiltIn_Print_Titles___0___0___0" vbProcedure="false">#REF!</definedName>
    <definedName function="false" hidden="false" name="BuiltIn_Print_Titles___0___0___0___0" vbProcedure="false">#REF!</definedName>
    <definedName function="false" hidden="false" name="BuiltIn_Recorder___0" vbProcedure="false">NA()</definedName>
    <definedName function="false" hidden="false" name="buyback" vbProcedure="false">#REF!</definedName>
    <definedName function="false" hidden="false" name="CA" vbProcedure="false">[12]Input!$K$85:$AE$85</definedName>
    <definedName function="false" hidden="false" name="CABLE" vbProcedure="false">#REF!</definedName>
    <definedName function="false" hidden="false" name="cac" vbProcedure="false">#REF!</definedName>
    <definedName function="false" hidden="false" name="calc" vbProcedure="false">[11]rm!$V$4</definedName>
    <definedName function="false" hidden="false" name="cam" vbProcedure="false">#REF!</definedName>
    <definedName function="false" hidden="false" name="capacity" vbProcedure="false">[14]sales!$A$1</definedName>
    <definedName function="false" hidden="false" name="Capacity_Utilisation" vbProcedure="false">#REF!</definedName>
    <definedName function="false" hidden="false" name="CapitalEmployed" vbProcedure="false">#REF!</definedName>
    <definedName function="false" hidden="false" name="CapitalExpenditure" vbProcedure="false">#REF!</definedName>
    <definedName function="false" hidden="false" name="Capitalisation" vbProcedure="false">#REF!</definedName>
    <definedName function="false" hidden="false" name="CardCoName" vbProcedure="false">#REF!</definedName>
    <definedName function="false" hidden="false" name="CardDate" vbProcedure="false">#REF!</definedName>
    <definedName function="false" hidden="false" name="CardInvPlay" vbProcedure="false">#REF!</definedName>
    <definedName function="false" hidden="false" name="CardPrevDate" vbProcedure="false">#REF!</definedName>
    <definedName function="false" hidden="false" name="CardPrevRecom" vbProcedure="false">#REF!</definedName>
    <definedName function="false" hidden="false" name="CardRationale" vbProcedure="false">#REF!</definedName>
    <definedName function="false" hidden="false" name="CardRecom" vbProcedure="false">#REF!</definedName>
    <definedName function="false" hidden="false" name="CardSummary" vbProcedure="false">#REF!</definedName>
    <definedName function="false" hidden="false" name="CardTime" vbProcedure="false">#REF!</definedName>
    <definedName function="false" hidden="false" name="Cash" vbProcedure="false">[12]Input!$K$83:$AE$83</definedName>
    <definedName function="false" hidden="false" name="CashChg" vbProcedure="false">[12]Input!$K$97:$AE$97</definedName>
    <definedName function="false" hidden="false" name="CashCr" vbProcedure="false">[12]Debt!$K$144:$AE$144</definedName>
    <definedName function="false" hidden="false" name="Cashflow" vbProcedure="false">#REF!</definedName>
    <definedName function="false" hidden="false" name="CashflowfromOperations" vbProcedure="false">#REF!</definedName>
    <definedName function="false" hidden="false" name="CashPr" vbProcedure="false">[12]Formats!$K$36:$AE$36</definedName>
    <definedName function="false" hidden="false" name="caz_bs" vbProcedure="false">#REF!</definedName>
    <definedName function="false" hidden="false" name="caz_cf" vbProcedure="false">#REF!</definedName>
    <definedName function="false" hidden="false" name="caz_pl" vbProcedure="false">#REF!</definedName>
    <definedName function="false" hidden="false" name="caz_ratio" vbProcedure="false">#REF!</definedName>
    <definedName function="false" hidden="false" name="CCC" vbProcedure="false">[10]Earning_Assum!$A$2305</definedName>
    <definedName function="false" hidden="false" name="cce" vbProcedure="false">#REF!</definedName>
    <definedName function="false" hidden="false" name="ccn" vbProcedure="false">#REF!</definedName>
    <definedName function="false" hidden="false" name="cde" vbProcedure="false">#REF!</definedName>
    <definedName function="false" hidden="false" name="cdi" vbProcedure="false">#REF!</definedName>
    <definedName function="false" hidden="false" name="cdp" vbProcedure="false">#REF!</definedName>
    <definedName function="false" hidden="false" name="ce" vbProcedure="false">#REF!</definedName>
    <definedName function="false" hidden="false" name="cell" vbProcedure="false">#REF!</definedName>
    <definedName function="false" hidden="false" name="centre_1" vbProcedure="false">#REF!</definedName>
    <definedName function="false" hidden="false" name="centre_2" vbProcedure="false">#REF!</definedName>
    <definedName function="false" hidden="false" name="cf" vbProcedure="false">#REF!</definedName>
    <definedName function="false" hidden="false" name="cfc" vbProcedure="false">#REF!</definedName>
    <definedName function="false" hidden="false" name="CFDiff" vbProcedure="false">[12]Input!$K$565:$AE$565</definedName>
    <definedName function="false" hidden="false" name="CFPS_Curr_Yr" vbProcedure="false">#REF!</definedName>
    <definedName function="false" hidden="false" name="CFPS_Lst_Yr" vbProcedure="false">#REF!</definedName>
    <definedName function="false" hidden="false" name="CFPS_Next_Yr" vbProcedure="false">#REF!</definedName>
    <definedName function="false" hidden="false" name="cfx" vbProcedure="false">#REF!</definedName>
    <definedName function="false" hidden="false" name="cf_ganesh" vbProcedure="false">[11]main!$A$86:$J$121</definedName>
    <definedName function="false" hidden="false" name="cf_jb" vbProcedure="false">[13]acctmod!$A$93:$Y$133</definedName>
    <definedName function="false" hidden="false" name="ChangesInWorkingCapital" vbProcedure="false">#REF!</definedName>
    <definedName function="false" hidden="false" name="cii" vbProcedure="false">#REF!</definedName>
    <definedName function="false" hidden="false" name="civ" vbProcedure="false">#REF!</definedName>
    <definedName function="false" hidden="false" name="CL" vbProcedure="false">[12]Input!$K$93:$AE$93</definedName>
    <definedName function="false" hidden="false" name="ClEqSh" vbProcedure="false">[12]Capital!$K$17:$AE$17</definedName>
    <definedName function="false" hidden="false" name="CMP" vbProcedure="false">[12]Profile!$H$14</definedName>
    <definedName function="false" hidden="false" name="cni" vbProcedure="false">#REF!</definedName>
    <definedName function="false" hidden="false" name="coc" vbProcedure="false">#REF!</definedName>
    <definedName function="false" hidden="false" name="Cochin" vbProcedure="false">#REF!</definedName>
    <definedName function="false" hidden="false" name="COGS" vbProcedure="false">[4]Old!$D$43:$O$43</definedName>
    <definedName function="false" hidden="false" name="coi" vbProcedure="false">#REF!</definedName>
    <definedName function="false" hidden="false" name="commerce" vbProcedure="false">#REF!</definedName>
    <definedName function="false" hidden="false" name="CommonDividendPaidOut" vbProcedure="false">#REF!</definedName>
    <definedName function="false" hidden="false" name="CommonStock" vbProcedure="false">#REF!</definedName>
    <definedName function="false" hidden="false" name="Comm_fee" vbProcedure="false">[19]RBS!$B$22</definedName>
    <definedName function="false" hidden="false" name="company" vbProcedure="false">#REF!</definedName>
    <definedName function="false" hidden="false" name="COMPANYA" vbProcedure="false">#REF!</definedName>
    <definedName function="false" hidden="false" name="company_nameh" vbProcedure="false">#REF!</definedName>
    <definedName function="false" hidden="false" name="CoName" vbProcedure="false">[12]Profile!$D$4</definedName>
    <definedName function="false" hidden="false" name="cons" vbProcedure="false">#REF!</definedName>
    <definedName function="false" hidden="false" name="consumption" vbProcedure="false">[20]consumption!$A$1:$E$14</definedName>
    <definedName function="false" hidden="false" name="ContrbUnit" vbProcedure="false">[12]Formats!$K$134:$AE$134</definedName>
    <definedName function="false" hidden="false" name="ContrbVal" vbProcedure="false">[12]Formats!$K$133:$AE$133</definedName>
    <definedName function="false" hidden="false" name="cop" vbProcedure="false">#REF!</definedName>
    <definedName function="false" hidden="false" name="COSTING_FOR_EACH__SET_OF_5__CONSISTS____POCUREMENT_BY_ADANI_LOGISTICS" vbProcedure="false">#REF!</definedName>
    <definedName function="false" hidden="false" name="cost_of_cap_growth" vbProcedure="false">#REF!</definedName>
    <definedName function="false" hidden="false" name="cot" vbProcedure="false">#REF!</definedName>
    <definedName function="false" hidden="false" name="COUNTRY" vbProcedure="false">#REF!</definedName>
    <definedName function="false" hidden="false" name="COUNTRY1" vbProcedure="false">#REF!</definedName>
    <definedName function="false" hidden="false" name="COUNTRY1a" vbProcedure="false">#REF!</definedName>
    <definedName function="false" hidden="false" name="COUNTRYa" vbProcedure="false">#REF!</definedName>
    <definedName function="false" hidden="false" name="CP" vbProcedure="false">[12]Debt!$K$145:$AE$145</definedName>
    <definedName function="false" hidden="false" name="CS" vbProcedure="false">'[21]Main Sheet'!$A$36865</definedName>
    <definedName function="false" hidden="false" name="csbs" vbProcedure="false">#REF!</definedName>
    <definedName function="false" hidden="false" name="cscf" vbProcedure="false">#REF!</definedName>
    <definedName function="false" hidden="false" name="csi" vbProcedure="false">#REF!</definedName>
    <definedName function="false" hidden="false" name="cspl" vbProcedure="false">#REF!</definedName>
    <definedName function="false" hidden="false" name="cta" vbProcedure="false">#REF!</definedName>
    <definedName function="false" hidden="false" name="CURRENCY" vbProcedure="false">#REF!</definedName>
    <definedName function="false" hidden="false" name="CurrentLiab" vbProcedure="false">#REF!</definedName>
    <definedName function="false" hidden="false" name="CurrentPortion" vbProcedure="false">[4]Sheet3!$J$146:$R$146</definedName>
    <definedName function="false" hidden="false" name="CurrentRatio" vbProcedure="false">[4]Introduction!$A$37121</definedName>
    <definedName function="false" hidden="false" name="curr_year_sales" vbProcedure="false">#REF!</definedName>
    <definedName function="false" hidden="false" name="CWIP" vbProcedure="false">[12]CapEx!$K$106:$AE$106</definedName>
    <definedName function="false" hidden="false" name="CWIPChg" vbProcedure="false">[12]CapEx!$K$112:$AE$112</definedName>
    <definedName function="false" hidden="false" name="cwo" vbProcedure="false">#REF!</definedName>
    <definedName function="false" hidden="false" name="cwt" vbProcedure="false">#REF!</definedName>
    <definedName function="false" hidden="false" name="D" vbProcedure="false">#REF!</definedName>
    <definedName function="false" hidden="false" name="daf" vbProcedure="false">#REF!</definedName>
    <definedName function="false" hidden="false" name="dai" vbProcedure="false">#REF!</definedName>
    <definedName function="false" hidden="false" name="das" vbProcedure="false">#REF!</definedName>
    <definedName function="false" hidden="false" name="DataPhone" vbProcedure="false">[22]MenuData!$A$1</definedName>
    <definedName function="false" hidden="false" name="Date" vbProcedure="false">'[23]BSE 200'!$A$1:$A$2906</definedName>
    <definedName function="false" hidden="false" name="days" vbProcedure="false">#REF!</definedName>
    <definedName function="false" hidden="false" name="daysss" vbProcedure="false">[25]Key_Base!$D$12</definedName>
    <definedName function="false" hidden="false" name="db" vbProcedure="false">"WIREHKPROD"</definedName>
    <definedName function="false" hidden="false" name="dcf_sensit" vbProcedure="false">#REF!</definedName>
    <definedName function="false" hidden="false" name="dd1___0" vbProcedure="false">[6]Pulses!$A$1:$S$311</definedName>
    <definedName function="false" hidden="false" name="dd1___6" vbProcedure="false">[7]Pulses!$A$1:$S$311</definedName>
    <definedName function="false" hidden="false" name="Debt" vbProcedure="false">[11]bs_related!$A$41</definedName>
    <definedName function="false" hidden="false" name="decfbp" vbProcedure="false">[26]Pulses!$A$1:$S$311</definedName>
    <definedName function="false" hidden="false" name="Delivery_Date" vbProcedure="false">#REF!</definedName>
    <definedName function="false" hidden="false" name="Deprecn" vbProcedure="false">#REF!</definedName>
    <definedName function="false" hidden="false" name="desktop" vbProcedure="false">#REF!</definedName>
    <definedName function="false" hidden="false" name="dfd" vbProcedure="false">#REF!</definedName>
    <definedName function="false" hidden="false" name="did" vbProcedure="false">#REF!</definedName>
    <definedName function="false" hidden="false" name="DilEqSh" vbProcedure="false">[12]Capital!$K$72:$AE$72</definedName>
    <definedName function="false" hidden="false" name="directors" vbProcedure="false">#REF!</definedName>
    <definedName function="false" hidden="false" name="dis" vbProcedure="false">#REF!</definedName>
    <definedName function="false" hidden="false" name="DispFmt" vbProcedure="false">[12]Input!$A$2305</definedName>
    <definedName function="false" hidden="false" name="Divdates" vbProcedure="false">#REF!</definedName>
    <definedName function="false" hidden="false" name="diversity" vbProcedure="false">#REF!</definedName>
    <definedName function="false" hidden="false" name="diversityss" vbProcedure="false">[25]Key_Base!$D$18</definedName>
    <definedName function="false" hidden="false" name="Dividend" vbProcedure="false">[11]bs_related!$A$2</definedName>
    <definedName function="false" hidden="false" name="division" vbProcedure="false">#REF!</definedName>
    <definedName function="false" hidden="false" name="DivOut" vbProcedure="false">[12]Input!$K$141:$AE$141</definedName>
    <definedName function="false" hidden="false" name="DivTax" vbProcedure="false">[12]Profile!$K$18:$AE$18</definedName>
    <definedName function="false" hidden="false" name="docs" vbProcedure="false">#REF!</definedName>
    <definedName function="false" hidden="false" name="dp" vbProcedure="false">#REF!</definedName>
    <definedName function="false" hidden="false" name="DPS_Curr_Yr" vbProcedure="false">#REF!</definedName>
    <definedName function="false" hidden="false" name="DPS_Lst_Yr" vbProcedure="false">#REF!</definedName>
    <definedName function="false" hidden="false" name="DPS_Next_Yr" vbProcedure="false">#REF!</definedName>
    <definedName function="false" hidden="false" name="Draft" vbProcedure="false">[27]Introduction!$E$7</definedName>
    <definedName function="false" hidden="false" name="Drawdowns" vbProcedure="false">#REF!</definedName>
    <definedName function="false" hidden="false" name="DS" vbProcedure="false">#REF!</definedName>
    <definedName function="false" hidden="false" name="dsd" vbProcedure="false">#REF!</definedName>
    <definedName function="false" hidden="false" name="dtd" vbProcedure="false">#REF!</definedName>
    <definedName function="false" hidden="false" name="E" vbProcedure="false">[12]Formats!$Y$9</definedName>
    <definedName function="false" hidden="false" name="E1E" vbProcedure="false">#REF!</definedName>
    <definedName function="false" hidden="false" name="E2E" vbProcedure="false">#REF!,#REF!,#REF!</definedName>
    <definedName function="false" hidden="false" name="E3E" vbProcedure="false">#REF!,#REF!,#REF!</definedName>
    <definedName function="false" hidden="false" name="E4E" vbProcedure="false">#REF!,#REF!,#REF!</definedName>
    <definedName function="false" hidden="false" name="E5E" vbProcedure="false">#REF!,#REF!,#REF!</definedName>
    <definedName function="false" hidden="false" name="eaa" vbProcedure="false">#REF!</definedName>
    <definedName function="false" hidden="false" name="Each_Installment" vbProcedure="false">#REF!</definedName>
    <definedName function="false" hidden="false" name="eap" vbProcedure="false">#REF!</definedName>
    <definedName function="false" hidden="false" name="EarnChk" vbProcedure="false">[12]Profile!$L$19:$AE$19</definedName>
    <definedName function="false" hidden="false" name="Earnings" vbProcedure="false">[10]Earning_Assum!$A$4609</definedName>
    <definedName function="false" hidden="false" name="eat" vbProcedure="false">#REF!</definedName>
    <definedName function="false" hidden="false" name="EBDT" vbProcedure="false">[12]Formats!$K$27:$AE$27</definedName>
    <definedName function="false" hidden="false" name="EBIT" vbProcedure="false">#REF!</definedName>
    <definedName function="false" hidden="false" name="EBITDA" vbProcedure="false">[12]Formats!$K$24:$AE$24</definedName>
    <definedName function="false" hidden="false" name="EDvTax" vbProcedure="false">[12]Input!$K$139:$AE$139</definedName>
    <definedName function="false" hidden="false" name="EEE" vbProcedure="false">[10]Earning_Assum!$A$35329</definedName>
    <definedName function="false" hidden="false" name="Effective_cost" vbProcedure="false">#REF!</definedName>
    <definedName function="false" hidden="false" name="Effective_Cost_with_witholding" vbProcedure="false">#REF!</definedName>
    <definedName function="false" hidden="false" name="Effective_Spread" vbProcedure="false">#REF!</definedName>
    <definedName function="false" hidden="false" name="Effective_Spread_without_witholding" vbProcedure="false">#REF!</definedName>
    <definedName function="false" hidden="false" name="EffEqShAd" vbProcedure="false">[12]Capital!$K$52:$AE$52</definedName>
    <definedName function="false" hidden="false" name="Employees" vbProcedure="false">#REF!</definedName>
    <definedName function="false" hidden="false" name="EnEsMode" vbProcedure="false">[12]Profile!$K$9</definedName>
    <definedName function="false" hidden="false" name="enp" vbProcedure="false">#REF!</definedName>
    <definedName function="false" hidden="false" name="EnYrRng" vbProcedure="false">[12]Profile!$L$11:$AE$11</definedName>
    <definedName function="false" hidden="false" name="epa" vbProcedure="false">#REF!</definedName>
    <definedName function="false" hidden="false" name="epc" vbProcedure="false">#REF!</definedName>
    <definedName function="false" hidden="false" name="EPS_Curr_Qtr" vbProcedure="false">#REF!</definedName>
    <definedName function="false" hidden="false" name="EPS_Curr_Yr" vbProcedure="false">#REF!</definedName>
    <definedName function="false" hidden="false" name="EPS_Growth_Rate" vbProcedure="false">#REF!</definedName>
    <definedName function="false" hidden="false" name="EPS_Lst_Yr" vbProcedure="false">#REF!</definedName>
    <definedName function="false" hidden="false" name="EPS_Next_Yr" vbProcedure="false">#REF!</definedName>
    <definedName function="false" hidden="false" name="EPS_Qtr_Date" vbProcedure="false">#REF!</definedName>
    <definedName function="false" hidden="false" name="epw" vbProcedure="false">#REF!</definedName>
    <definedName function="false" hidden="false" name="epx" vbProcedure="false">#REF!</definedName>
    <definedName function="false" hidden="false" name="EqDiv" vbProcedure="false">[12]Input!$K$136:$AE$136</definedName>
    <definedName function="false" hidden="false" name="EqMult" vbProcedure="false">[12]Capital!$K$18:$AE$18</definedName>
    <definedName function="false" hidden="false" name="Equity" vbProcedure="false">[11]bs_related!$A$11</definedName>
    <definedName function="false" hidden="false" name="Equity_Del_Item" vbProcedure="false">[29]!Equity_Del_Item</definedName>
    <definedName function="false" hidden="false" name="Equity_Ins_Item" vbProcedure="false">[29]!Equity_Ins_Item</definedName>
    <definedName function="false" hidden="false" name="Equity_Ticker" vbProcedure="false">#REF!</definedName>
    <definedName function="false" hidden="false" name="er" vbProcedure="false">#REF!</definedName>
    <definedName function="false" hidden="false" name="EstInt" vbProcedure="false">[12]Debt!$K$245:$AE$245</definedName>
    <definedName function="false" hidden="false" name="EstRef" vbProcedure="false">[12]Profile!$K$13:$AE$13</definedName>
    <definedName function="false" hidden="false" name="EsYrRng" vbProcedure="false">[12]Profile!$L$12:$AE$12</definedName>
    <definedName function="false" hidden="false" name="EVA" vbProcedure="false">[12]Formats!$K$175:$AE$175</definedName>
    <definedName function="false" hidden="false" name="Exc" vbProcedure="false">[12]Input!$K$303:$AE$303</definedName>
    <definedName function="false" hidden="false" name="Excel_BuiltIn_Database" vbProcedure="false">[2]Pulses!$A$1:$S$311</definedName>
    <definedName function="false" hidden="false" name="Excel_BuiltIn_Database_0" vbProcedure="false">#REF!</definedName>
    <definedName function="false" hidden="false" name="Excel_BuiltIn_Database_1" vbProcedure="false">#REF!</definedName>
    <definedName function="false" hidden="false" name="Excel_BuiltIn_Database_4" vbProcedure="false">[6]Pulses!$A$1:$S$311</definedName>
    <definedName function="false" hidden="false" name="Excel_BuiltIn_Database_5" vbProcedure="false">[6]Pulses!$A$1:$S$311</definedName>
    <definedName function="false" hidden="false" name="Excel_BuiltIn_Database_6" vbProcedure="false">#REF!</definedName>
    <definedName function="false" hidden="false" name="Excel_BuiltIn_Recorder" vbProcedure="false">[16]Macro1!$A$1:$A$1048576</definedName>
    <definedName function="false" hidden="false" name="ExchangeRates" vbProcedure="false">#REF!</definedName>
    <definedName function="false" hidden="false" name="excise" vbProcedure="false">[20]excise!$A$1:$G$7</definedName>
    <definedName function="false" hidden="false" name="exc_assn" vbProcedure="false">'[30]Inc Mod cigs'!$A$1:$P$16</definedName>
    <definedName function="false" hidden="false" name="exc_rate" vbProcedure="false">#REF!</definedName>
    <definedName function="false" hidden="false" name="exc_Rsmn" vbProcedure="false">#REF!</definedName>
    <definedName function="false" hidden="false" name="exec_board" vbProcedure="false">#REF!</definedName>
    <definedName function="false" hidden="false" name="ExItem" vbProcedure="false">[12]Input!$K$131:$AE$131</definedName>
    <definedName function="false" hidden="false" name="ExpAdmDmy" vbProcedure="false">[12]Input!$A$546:$XFD$546</definedName>
    <definedName function="false" hidden="false" name="ExpensesCap" vbProcedure="false">[12]Input!$K$558:$AE$558</definedName>
    <definedName function="false" hidden="false" name="ExpMfgDmy" vbProcedure="false">[12]Input!$A$496:$XFD$499</definedName>
    <definedName function="false" hidden="false" name="Export" vbProcedure="false">#REF!</definedName>
    <definedName function="false" hidden="false" name="ExpPerDmy" vbProcedure="false">[12]Input!$A$530:$XFD$530</definedName>
    <definedName function="false" hidden="false" name="ExpPr" vbProcedure="false">[12]Input!$K$310:$AE$310</definedName>
    <definedName function="false" hidden="false" name="ExpSaleDmy" vbProcedure="false">[12]Input!$A$514:$XFD$514</definedName>
    <definedName function="false" hidden="false" name="ext" vbProcedure="false">#REF!</definedName>
    <definedName function="false" hidden="false" name="FaceVal" vbProcedure="false">[12]Profile!$K$15:$AE$15</definedName>
    <definedName function="false" hidden="false" name="Factor" vbProcedure="false">#REF!</definedName>
    <definedName function="false" hidden="false" name="FAIncr" vbProcedure="false">[12]CapEx!$K$32:$AE$32</definedName>
    <definedName function="false" hidden="false" name="FAMERangeDJ_BALAL28" vbProcedure="false">[16]EVA1!$A$1</definedName>
    <definedName function="false" hidden="false" name="FAMERangeDJ_BALAM28" vbProcedure="false">[16]EVA1!$AF$1</definedName>
    <definedName function="false" hidden="false" name="FAMERangeDJ_BALAN28" vbProcedure="false">[16]EVA1!$A$7937</definedName>
    <definedName function="false" hidden="false" name="FAMERangeGCI_BALD62" vbProcedure="false">[16]EVA1!$A$32</definedName>
    <definedName function="false" hidden="false" name="FAMERangeGCI_BALD63" vbProcedure="false">[16]EVA1!$A$1</definedName>
    <definedName function="false" hidden="false" name="FAMERangeKRI_BALAL99" vbProcedure="false">[16]EVA1!$U$93</definedName>
    <definedName function="false" hidden="false" name="FAMERangeKRI_BALAM99" vbProcedure="false">[16]EVA1!$V$93</definedName>
    <definedName function="false" hidden="false" name="FAMERangeKRI_BALAN99" vbProcedure="false">[16]EVA1!$W$93</definedName>
    <definedName function="false" hidden="false" name="FARedc" vbProcedure="false">[12]CapEx!$K$43:$AE$43</definedName>
    <definedName function="false" hidden="false" name="FASer" vbProcedure="false">[12]Profile!$BX$5:$BX$12</definedName>
    <definedName function="false" hidden="false" name="fcf" vbProcedure="false">#REF!</definedName>
    <definedName function="false" hidden="false" name="FD" vbProcedure="false">[12]Debt!$K$143:$AE$143</definedName>
    <definedName function="false" hidden="false" name="FDafan" vbProcedure="false">#REF!</definedName>
    <definedName function="false" hidden="false" name="FDEPS" vbProcedure="false">[12]Capital!$K$11:$AE$11</definedName>
    <definedName function="false" hidden="false" name="FDEqSh" vbProcedure="false">[12]Capital!$K$10:$AE$10</definedName>
    <definedName function="false" hidden="false" name="FDFumigation" vbProcedure="false">#REF!</definedName>
    <definedName function="false" hidden="false" name="FDtemp" vbProcedure="false">#REF!</definedName>
    <definedName function="false" hidden="false" name="fdvfan" vbProcedure="false">#REF!</definedName>
    <definedName function="false" hidden="false" name="ffg" vbProcedure="false">#REF!</definedName>
    <definedName function="false" hidden="false" name="fg" vbProcedure="false">[11]fg!$A$1:$AL$47</definedName>
    <definedName function="false" hidden="false" name="FinancialActivities" vbProcedure="false">#REF!</definedName>
    <definedName function="false" hidden="false" name="Financials" vbProcedure="false">#REF!</definedName>
    <definedName function="false" hidden="false" name="FinInc" vbProcedure="false">[12]Input!$K$125:$AE$125</definedName>
    <definedName function="false" hidden="false" name="FinInd" vbProcedure="false">[12]Input!$AC$127</definedName>
    <definedName function="false" hidden="false" name="FirstYear" vbProcedure="false">[27]Introduction!$E$14</definedName>
    <definedName function="false" hidden="false" name="FixExp" vbProcedure="false">[12]Formats!$K$141:$AE$141</definedName>
    <definedName function="false" hidden="false" name="Flag1" vbProcedure="false">[10]Earning_Assum!$A$35841</definedName>
    <definedName function="false" hidden="false" name="fninc" vbProcedure="false">[12]Input!$AA$449</definedName>
    <definedName function="false" hidden="false" name="FORMIII_COM" vbProcedure="false">'[32]EXIS-COMBINED'!$A$1</definedName>
    <definedName function="false" hidden="false" name="formii_com" vbProcedure="false">'[32]EXIS-COMBINED'!$A$6657</definedName>
    <definedName function="false" hidden="false" name="FORMIV_COM" vbProcedure="false">'[32]EXIS-COMBINED'!$A$1</definedName>
    <definedName function="false" hidden="false" name="FORMVI_COM" vbProcedure="false">'[32]EXIS-COMBINED'!$A$1</definedName>
    <definedName function="false" hidden="false" name="FORMV_COM" vbProcedure="false">'[32]EXIS-COMBINED'!$A$1</definedName>
    <definedName function="false" hidden="false" name="FreeFloat" vbProcedure="false">#REF!</definedName>
    <definedName function="false" hidden="false" name="front_page" vbProcedure="false">[13]fp!$B$11:$R$33</definedName>
    <definedName function="false" hidden="false" name="FSAKW" vbProcedure="false">#REF!</definedName>
    <definedName function="false" hidden="false" name="FSOne" vbProcedure="false">#REF!</definedName>
    <definedName function="false" hidden="false" name="FSTwo" vbProcedure="false">#REF!</definedName>
    <definedName function="false" hidden="false" name="FullyDilutedYearEndEPS" vbProcedure="false">#REF!</definedName>
    <definedName function="false" hidden="false" name="FullyDilutedYearEndShares" vbProcedure="false">#REF!</definedName>
    <definedName function="false" hidden="false" name="FumigationKW" vbProcedure="false">#REF!</definedName>
    <definedName function="false" hidden="false" name="fv" vbProcedure="false">#REF!</definedName>
    <definedName function="false" hidden="false" name="fxa" vbProcedure="false">#REF!</definedName>
    <definedName function="false" hidden="false" name="fxe" vbProcedure="false">#REF!</definedName>
    <definedName function="false" hidden="false" name="FY" vbProcedure="false">[33]PBDIT_Char!$W$4</definedName>
    <definedName function="false" hidden="false" name="FY1991_" vbProcedure="false">#REF!</definedName>
    <definedName function="false" hidden="false" name="FY1992_" vbProcedure="false">#REF!</definedName>
    <definedName function="false" hidden="false" name="FY1993_" vbProcedure="false">#REF!</definedName>
    <definedName function="false" hidden="false" name="FY1994_" vbProcedure="false">#REF!</definedName>
    <definedName function="false" hidden="false" name="FY1995_" vbProcedure="false">#REF!</definedName>
    <definedName function="false" hidden="false" name="FY1996_" vbProcedure="false">#REF!</definedName>
    <definedName function="false" hidden="false" name="FY1997_" vbProcedure="false">#REF!</definedName>
    <definedName function="false" hidden="false" name="FY1998_" vbProcedure="false">#REF!</definedName>
    <definedName function="false" hidden="false" name="FY1999_" vbProcedure="false">#REF!</definedName>
    <definedName function="false" hidden="false" name="FY2000_" vbProcedure="false">#REF!</definedName>
    <definedName function="false" hidden="false" name="FY2001_" vbProcedure="false">#REF!</definedName>
    <definedName function="false" hidden="false" name="FY2002_" vbProcedure="false">#REF!</definedName>
    <definedName function="false" hidden="false" name="FY2003_" vbProcedure="false">#REF!</definedName>
    <definedName function="false" hidden="false" name="FY2004_" vbProcedure="false">#REF!</definedName>
    <definedName function="false" hidden="false" name="FY2005_" vbProcedure="false">#REF!</definedName>
    <definedName function="false" hidden="false" name="FYEND" vbProcedure="false">#REF!</definedName>
    <definedName function="false" hidden="false" name="FYENDA" vbProcedure="false">#REF!</definedName>
    <definedName function="false" hidden="false" name="F_AFLCFM1" vbProcedure="false">#REF!</definedName>
    <definedName function="false" hidden="false" name="F_AFLCFM2" vbProcedure="false">#REF!</definedName>
    <definedName function="false" hidden="false" name="F_AFLPEM3" vbProcedure="false">#REF!</definedName>
    <definedName function="false" hidden="false" name="F_AFLPEM4" vbProcedure="false">#REF!</definedName>
    <definedName function="false" hidden="false" name="F_AFLPEMb" vbProcedure="false">#REF!</definedName>
    <definedName function="false" hidden="false" name="F_AFLSD1" vbProcedure="false">#REF!</definedName>
    <definedName function="false" hidden="false" name="F_AFLSD2" vbProcedure="false">#REF!</definedName>
    <definedName function="false" hidden="false" name="F_Book_value_per_share" vbProcedure="false">'[31]Calculation (2)'!$A$2305</definedName>
    <definedName function="false" hidden="false" name="g" vbProcedure="false">#REF!</definedName>
    <definedName function="false" hidden="false" name="GDRParity" vbProcedure="false">#REF!</definedName>
    <definedName function="false" hidden="false" name="GDRPriceRs" vbProcedure="false">#REF!</definedName>
    <definedName function="false" hidden="false" name="GDRPriceUSD" vbProcedure="false">#REF!</definedName>
    <definedName function="false" hidden="false" name="GDRRsPrice" vbProcedure="false">#REF!</definedName>
    <definedName function="false" hidden="false" name="geog" vbProcedure="false">#REF!</definedName>
    <definedName function="false" hidden="false" name="geogsp" vbProcedure="false">"Chart 2"</definedName>
    <definedName function="false" hidden="false" name="GI" vbProcedure="false">[12]Formats!$K$7:$AE$7</definedName>
    <definedName function="false" hidden="false" name="GrossProfit" vbProcedure="false">#REF!</definedName>
    <definedName function="false" hidden="false" name="Grossrevenue" vbProcedure="false">[4]Old!$D$15:$O$15</definedName>
    <definedName function="false" hidden="false" name="growth_period" vbProcedure="false">#REF!</definedName>
    <definedName function="false" hidden="false" name="GrPbtIt" vbProcedure="false">[12]Tax!$K$33:$AE$33</definedName>
    <definedName function="false" hidden="false" name="GS" vbProcedure="false">[12]Input!$K$299:$AE$299</definedName>
    <definedName function="false" hidden="false" name="H199RESULT" vbProcedure="false">#REF!</definedName>
    <definedName function="false" hidden="false" name="H1Rec" vbProcedure="false">#REF!</definedName>
    <definedName function="false" hidden="false" name="H1_1" vbProcedure="false">#REF!</definedName>
    <definedName function="false" hidden="false" name="H1_2" vbProcedure="false">#REF!,#REF!,#REF!</definedName>
    <definedName function="false" hidden="false" name="H2Tra" vbProcedure="false">#REF!</definedName>
    <definedName function="false" hidden="false" name="H2_1" vbProcedure="false">#REF!,#REF!,#REF!</definedName>
    <definedName function="false" hidden="false" name="H2_2" vbProcedure="false">#REF!,#REF!,#REF!</definedName>
    <definedName function="false" hidden="false" name="H4recl" vbProcedure="false">#REF!</definedName>
    <definedName function="false" hidden="false" name="h4swe" vbProcedure="false">#REF!</definedName>
    <definedName function="false" hidden="false" name="H5Bag" vbProcedure="false">#REF!</definedName>
    <definedName function="false" hidden="false" name="H6Shi" vbProcedure="false">#REF!</definedName>
    <definedName function="false" hidden="false" name="H7cir" vbProcedure="false">#REF!</definedName>
    <definedName function="false" hidden="false" name="half" vbProcedure="false">#REF!</definedName>
    <definedName function="false" hidden="false" name="half_yearly" vbProcedure="false">'[11]res 2002'!$A$4:$M$56</definedName>
    <definedName function="false" hidden="false" name="HE1_0" vbProcedure="false">#REF!</definedName>
    <definedName function="false" hidden="false" name="HE2_0" vbProcedure="false">#REF!,#REF!,#REF!</definedName>
    <definedName function="false" hidden="false" name="HE3_0" vbProcedure="false">#REF!,#REF!,#REF!</definedName>
    <definedName function="false" hidden="false" name="HE4_0" vbProcedure="false">#REF!,#REF!,#REF!</definedName>
    <definedName function="false" hidden="false" name="HE5_0" vbProcedure="false">#REF!,#REF!,#REF!</definedName>
    <definedName function="false" hidden="false" name="Headers" vbProcedure="false">#REF!</definedName>
    <definedName function="false" hidden="false" name="hfhfh" vbProcedure="false">[19]RBS!$B$19</definedName>
    <definedName function="false" hidden="false" name="hh" vbProcedure="false">#REF!</definedName>
    <definedName function="false" hidden="false" name="hhh" vbProcedure="false">[10]Earning_Assum!$A$7937</definedName>
    <definedName function="false" hidden="false" name="hhhhh" vbProcedure="false">[10]Earning_Assum!$A$1</definedName>
    <definedName function="false" hidden="false" name="hhhhhhhhhh" vbProcedure="false">[10]Earning_Assum!$A$1</definedName>
    <definedName function="false" hidden="false" name="hhhhhhhhhhhhhhh" vbProcedure="false">[10]Earning_Assum!$A$1</definedName>
    <definedName function="false" hidden="false" name="hhhhhhhhhhhhhhhhhhhh" vbProcedure="false">[19]RBS!$B$22</definedName>
    <definedName function="false" hidden="false" name="hhhhhhhhhhhhhhhhhhhhhhh" vbProcedure="false">[10]Earning_Assum!$A$257</definedName>
    <definedName function="false" hidden="false" name="HighLow" vbProcedure="false">#REF!</definedName>
    <definedName function="false" hidden="false" name="hj" vbProcedure="false">#REF!,#REF!,#REF!</definedName>
    <definedName function="false" hidden="false" name="hjggj" vbProcedure="false">#REF!,#REF!,#REF!</definedName>
    <definedName function="false" hidden="false" name="HL1_0" vbProcedure="false">#REF!</definedName>
    <definedName function="false" hidden="false" name="HL1_1" vbProcedure="false">#REF!</definedName>
    <definedName function="false" hidden="false" name="HL1_2" vbProcedure="false">#REF!,#REF!</definedName>
    <definedName function="false" hidden="false" name="HL2_0" vbProcedure="false">#REF!,#REF!,#REF!</definedName>
    <definedName function="false" hidden="false" name="HL2_1" vbProcedure="false">#REF!,#REF!</definedName>
    <definedName function="false" hidden="false" name="HL2_2" vbProcedure="false">#REF!,#REF!</definedName>
    <definedName function="false" hidden="false" name="HL3_0" vbProcedure="false">#REF!,#REF!,#REF!</definedName>
    <definedName function="false" hidden="false" name="HL4_0" vbProcedure="false">#REF!,#REF!,#REF!</definedName>
    <definedName function="false" hidden="false" name="HL5_0" vbProcedure="false">#REF!,#REF!,#REF!</definedName>
    <definedName function="false" hidden="false" name="HLCL" vbProcedure="false">#REF!</definedName>
    <definedName function="false" hidden="false" name="hll_pond" vbProcedure="false">#REF!</definedName>
    <definedName function="false" hidden="false" name="hour1" vbProcedure="false">#REF!</definedName>
    <definedName function="false" hidden="false" name="hour10" vbProcedure="false">#REF!</definedName>
    <definedName function="false" hidden="false" name="hour11" vbProcedure="false">#REF!</definedName>
    <definedName function="false" hidden="false" name="Hour12" vbProcedure="false">#REF!</definedName>
    <definedName function="false" hidden="false" name="Hour13" vbProcedure="false">#REF!</definedName>
    <definedName function="false" hidden="false" name="hour14" vbProcedure="false">#REF!</definedName>
    <definedName function="false" hidden="false" name="Hour15" vbProcedure="false">#REF!</definedName>
    <definedName function="false" hidden="false" name="hour2" vbProcedure="false">#REF!</definedName>
    <definedName function="false" hidden="false" name="hour3" vbProcedure="false">#REF!</definedName>
    <definedName function="false" hidden="false" name="hour4" vbProcedure="false">#REF!</definedName>
    <definedName function="false" hidden="false" name="hour5" vbProcedure="false">#REF!</definedName>
    <definedName function="false" hidden="false" name="Hour6" vbProcedure="false">#REF!</definedName>
    <definedName function="false" hidden="false" name="hour7" vbProcedure="false">#REF!</definedName>
    <definedName function="false" hidden="false" name="Hour8" vbProcedure="false">#REF!</definedName>
    <definedName function="false" hidden="false" name="hour9" vbProcedure="false">#REF!</definedName>
    <definedName function="false" hidden="false" name="hours14" vbProcedure="false">#REF!</definedName>
    <definedName function="false" hidden="false" name="house_groups" vbProcedure="false">[20]demo!$A$1:$K$11</definedName>
    <definedName function="false" hidden="false" name="ian" vbProcedure="false">#REF!</definedName>
    <definedName function="false" hidden="false" name="ibc" vbProcedure="false">#REF!</definedName>
    <definedName function="false" hidden="false" name="ibf" vbProcedure="false">#REF!</definedName>
    <definedName function="false" hidden="false" name="ICD" vbProcedure="false">[12]Debt!$K$146:$AE$146</definedName>
    <definedName function="false" hidden="false" name="ICDInv" vbProcedure="false">[12]Input!$K$54:$AE$54</definedName>
    <definedName function="false" hidden="false" name="ict" vbProcedure="false">#REF!</definedName>
    <definedName function="false" hidden="false" name="icu" vbProcedure="false">#REF!</definedName>
    <definedName function="false" hidden="false" name="ida" vbProcedure="false">#REF!</definedName>
    <definedName function="false" hidden="false" name="iex" vbProcedure="false">#REF!</definedName>
    <definedName function="false" hidden="false" name="ifd" vbProcedure="false">#REF!</definedName>
    <definedName function="false" hidden="false" name="iff" vbProcedure="false">#REF!</definedName>
    <definedName function="false" hidden="false" name="ifl" vbProcedure="false">#REF!</definedName>
    <definedName function="false" hidden="false" name="ifn" vbProcedure="false">#REF!</definedName>
    <definedName function="false" hidden="false" name="ifo" vbProcedure="false">#REF!</definedName>
    <definedName function="false" hidden="false" name="ihd" vbProcedure="false">#REF!</definedName>
    <definedName function="false" hidden="false" name="ime" vbProcedure="false">#REF!</definedName>
    <definedName function="false" hidden="false" name="IncomeTax" vbProcedure="false">#REF!</definedName>
    <definedName function="false" hidden="false" name="IncomeTaxPaidOut" vbProcedure="false">#REF!</definedName>
    <definedName function="false" hidden="false" name="inc_model" vbProcedure="false">#REF!</definedName>
    <definedName function="false" hidden="false" name="IndexC" vbProcedure="false">#REF!</definedName>
    <definedName function="false" hidden="false" name="IndexCs" vbProcedure="false">#REF!</definedName>
    <definedName function="false" hidden="false" name="industry" vbProcedure="false">#REF!</definedName>
    <definedName function="false" hidden="false" name="inm" vbProcedure="false">#REF!</definedName>
    <definedName function="false" hidden="false" name="INR_per_USD" vbProcedure="false">#REF!</definedName>
    <definedName function="false" hidden="false" name="Installments_peryear" vbProcedure="false">#REF!</definedName>
    <definedName function="false" hidden="false" name="InstCap" vbProcedure="false">[12]Input!$K$148:$AE$148,[12]Input!$K$166:$AE$166,[12]Input!$K$184:$AE$184,[12]Input!$K$202:$AE$202,[12]Input!$K$220:$AE$220,[12]Input!$K$238:$AE$238,[12]Input!$K$256:$AE$256,[12]Input!$K$274:$AE$274</definedName>
    <definedName function="false" hidden="false" name="IntCap" vbProcedure="false">[12]Debt!$K$246:$AE$246</definedName>
    <definedName function="false" hidden="false" name="IntCost" vbProcedure="false">[12]Input!$K$130:$AE$130</definedName>
    <definedName function="false" hidden="false" name="IntDivTrf" vbProcedure="false">[12]Input!$K$559:$AE$559</definedName>
    <definedName function="false" hidden="false" name="Interest" vbProcedure="false">#REF!</definedName>
    <definedName function="false" hidden="false" name="InterestExpense" vbProcedure="false">#REF!</definedName>
    <definedName function="false" hidden="false" name="InterestIncome" vbProcedure="false">'[4]Operating Statistics'!$J$18:$R$18</definedName>
    <definedName function="false" hidden="false" name="Interests" vbProcedure="false">#REF!</definedName>
    <definedName function="false" hidden="false" name="Interestss" vbProcedure="false">[34]Key_Assume_Common!$D$8</definedName>
    <definedName function="false" hidden="false" name="Inv" vbProcedure="false">[12]Input!$K$58:$AE$58</definedName>
    <definedName function="false" hidden="false" name="InvChg" vbProcedure="false">[12]Input!$K$99:$AE$99</definedName>
    <definedName function="false" hidden="false" name="inventory" vbProcedure="false">[30]bs_related!$A$89</definedName>
    <definedName function="false" hidden="false" name="investment" vbProcedure="false">[11]bs_related!$A$78</definedName>
    <definedName function="false" hidden="false" name="Investments" vbProcedure="false">#REF!</definedName>
    <definedName function="false" hidden="false" name="Invt" vbProcedure="false">[12]Formats!$W$76</definedName>
    <definedName function="false" hidden="false" name="ip1_" vbProcedure="false">#REF!</definedName>
    <definedName function="false" hidden="false" name="ip2_" vbProcedure="false">#REF!</definedName>
    <definedName function="false" hidden="false" name="ip3_" vbProcedure="false">#REF!</definedName>
    <definedName function="false" hidden="false" name="ip4_" vbProcedure="false">#REF!</definedName>
    <definedName function="false" hidden="false" name="ip5_" vbProcedure="false">#REF!</definedName>
    <definedName function="false" hidden="false" name="ipr" vbProcedure="false">#REF!</definedName>
    <definedName function="false" hidden="false" name="ipu" vbProcedure="false">#REF!</definedName>
    <definedName function="false" hidden="false" name="ipv" vbProcedure="false">#REF!</definedName>
    <definedName function="false" hidden="false" name="irc" vbProcedure="false">#REF!</definedName>
    <definedName function="false" hidden="false" name="ire" vbProcedure="false">#REF!</definedName>
    <definedName function="false" hidden="false" name="irf" vbProcedure="false">#REF!</definedName>
    <definedName function="false" hidden="false" name="irg" vbProcedure="false">#REF!</definedName>
    <definedName function="false" hidden="false" name="irp" vbProcedure="false">#REF!</definedName>
    <definedName function="false" hidden="false" name="is1_" vbProcedure="false">#REF!</definedName>
    <definedName function="false" hidden="false" name="is2_" vbProcedure="false">#REF!</definedName>
    <definedName function="false" hidden="false" name="is3_" vbProcedure="false">#REF!</definedName>
    <definedName function="false" hidden="false" name="is4_" vbProcedure="false">#REF!</definedName>
    <definedName function="false" hidden="false" name="is5_" vbProcedure="false">#REF!</definedName>
    <definedName function="false" hidden="false" name="isb" vbProcedure="false">#REF!</definedName>
    <definedName function="false" hidden="false" name="isc" vbProcedure="false">#REF!</definedName>
    <definedName function="false" hidden="false" name="ise" vbProcedure="false">#REF!</definedName>
    <definedName function="false" hidden="false" name="isf" vbProcedure="false">#REF!</definedName>
    <definedName function="false" hidden="false" name="isi" vbProcedure="false">#REF!</definedName>
    <definedName function="false" hidden="false" name="isl" vbProcedure="false">#REF!</definedName>
    <definedName function="false" hidden="false" name="ist" vbProcedure="false">#REF!</definedName>
    <definedName function="false" hidden="false" name="ITAX" vbProcedure="false">#REF!</definedName>
    <definedName function="false" hidden="false" name="ITAXs" vbProcedure="false">#REF!</definedName>
    <definedName function="false" hidden="false" name="ITAXss" vbProcedure="false">[34]Key_Assume_Common!$D$11</definedName>
    <definedName function="false" hidden="false" name="ITDepr" vbProcedure="false">[12]Tax!$K$22:$AE$22</definedName>
    <definedName function="false" hidden="false" name="ITDepRt" vbProcedure="false">[12]Profile!$K$16:$AE$16</definedName>
    <definedName function="false" hidden="false" name="iva" vbProcedure="false">#REF!</definedName>
    <definedName function="false" hidden="false" name="Ivnt" vbProcedure="false">[12]Input!$K$63:$AE$63</definedName>
    <definedName function="false" hidden="false" name="IvntDays" vbProcedure="false">[12]Input!$K$64:$AE$64</definedName>
    <definedName function="false" hidden="false" name="janimpo" vbProcedure="false">#REF!</definedName>
    <definedName function="false" hidden="false" name="jkk" vbProcedure="false">[19]RBS!$F$15</definedName>
    <definedName function="false" hidden="false" name="kew" vbProcedure="false">#REF!</definedName>
    <definedName function="false" hidden="false" name="klll" vbProcedure="false">#REF!,#REF!,#REF!</definedName>
    <definedName function="false" hidden="false" name="L" vbProcedure="false">#REF!</definedName>
    <definedName function="false" hidden="false" name="L1L" vbProcedure="false">#REF!,#REF!</definedName>
    <definedName function="false" hidden="false" name="L2L" vbProcedure="false">#REF!,#REF!</definedName>
    <definedName function="false" hidden="false" name="L3L" vbProcedure="false">#REF!,#REF!</definedName>
    <definedName function="false" hidden="false" name="L4L" vbProcedure="false">#REF!,#REF!</definedName>
    <definedName function="false" hidden="false" name="L5L" vbProcedure="false">#REF!,#REF!</definedName>
    <definedName function="false" hidden="false" name="labor_annual_increase" vbProcedure="false">#REF!</definedName>
    <definedName function="false" hidden="false" name="Labour_cost_per__TEU" vbProcedure="false">#REF!</definedName>
    <definedName function="false" hidden="false" name="Last_Installment_Date" vbProcedure="false">#REF!</definedName>
    <definedName function="false" hidden="false" name="Lawyer_Fee" vbProcedure="false">#REF!</definedName>
    <definedName function="false" hidden="false" name="Layup_02\03" vbProcedure="false">[10]Earning_Assum!$A$2305</definedName>
    <definedName function="false" hidden="false" name="Layup_03\04" vbProcedure="false">[10]Earning_Assum!$J$2314</definedName>
    <definedName function="false" hidden="false" name="Layup_04\05" vbProcedure="false">[10]Earning_Assum!$J$2314</definedName>
    <definedName function="false" hidden="false" name="LeaseAdj" vbProcedure="false">[12]Input!$J$2314</definedName>
    <definedName function="false" hidden="false" name="ll" vbProcedure="false">[19]RBS!$B$21</definedName>
    <definedName function="false" hidden="false" name="LLLL" vbProcedure="false">#REF!</definedName>
    <definedName function="false" hidden="false" name="Loan" vbProcedure="false">[12]Debt!$K$149:$AE$149</definedName>
    <definedName function="false" hidden="false" name="LongTermDebt" vbProcedure="false">[35]Financials!$J$146:$R$146</definedName>
    <definedName function="false" hidden="false" name="LTDebt" vbProcedure="false">[12]Debt!$K$139:$AE$139</definedName>
    <definedName function="false" hidden="false" name="LtDebtChg" vbProcedure="false">[12]Debt!$K$257:$AE$257</definedName>
    <definedName function="false" hidden="false" name="LtDebtDmy" vbProcedure="false">[12]Debt!$A$46:$XFD$46,[12]Debt!$A$92:$XFD$92,[12]Debt!$A$138:$XFD$138,[12]Debt!$A$187:$XFD$187,[12]Debt!$A$231:$XFD$231</definedName>
    <definedName function="false" hidden="false" name="LtDebtInt" vbProcedure="false">[12]Profile!$BJ$5:$BJ$35</definedName>
    <definedName function="false" hidden="false" name="LTDebtSer" vbProcedure="false">[12]Profile!$BI$5:$BI$35</definedName>
    <definedName function="false" hidden="false" name="LtInt" vbProcedure="false">[12]Debt!$K$232:$AE$232</definedName>
    <definedName function="false" hidden="false" name="L_and_A" vbProcedure="false">[11]bs_related!$A$99</definedName>
    <definedName function="false" hidden="false" name="macre1" vbProcedure="false">NA()</definedName>
    <definedName function="false" hidden="false" name="mastertemplatelookup" vbProcedure="false">[36]Master!$A$2:$BA$607</definedName>
    <definedName function="false" hidden="false" name="MAT" vbProcedure="false">#REF!</definedName>
    <definedName function="false" hidden="false" name="MATs" vbProcedure="false">#REF!</definedName>
    <definedName function="false" hidden="false" name="MATss" vbProcedure="false">[34]Key_Assume_Common!$D$12</definedName>
    <definedName function="false" hidden="false" name="Maximum_loan_available" vbProcedure="false">#REF!</definedName>
    <definedName function="false" hidden="false" name="mc_ms" vbProcedure="false">#REF!</definedName>
    <definedName function="false" hidden="false" name="mergers" vbProcedure="false">[37]mna!$A$3:$B$22</definedName>
    <definedName function="false" hidden="false" name="MfgExp" vbProcedure="false">[12]Input!$K$500:$AE$500</definedName>
    <definedName function="false" hidden="false" name="MfgExpSer" vbProcedure="false">[12]Profile!$AU$5:$AU$12</definedName>
    <definedName function="false" hidden="false" name="Mico" vbProcedure="false">[38]Mico!$A$2817</definedName>
    <definedName function="false" hidden="false" name="MIMPORT" vbProcedure="false">#REF!</definedName>
    <definedName function="false" hidden="false" name="MinGraph" vbProcedure="false">#REF!</definedName>
    <definedName function="false" hidden="false" name="mkt_strength" vbProcedure="false">#REF!</definedName>
    <definedName function="false" hidden="false" name="mmnote" vbProcedure="false">#REF!</definedName>
    <definedName function="false" hidden="false" name="mn" vbProcedure="false">1000000</definedName>
    <definedName function="false" hidden="false" name="ModeName" vbProcedure="false">[12]Profile!$K$8</definedName>
    <definedName function="false" hidden="false" name="Months" vbProcedure="false">#REF!</definedName>
    <definedName function="false" hidden="false" name="MrgnTax" vbProcedure="false">[12]Profile!$A$3585</definedName>
    <definedName function="false" hidden="false" name="nas" vbProcedure="false">#REF!</definedName>
    <definedName function="false" hidden="false" name="NationalMember" vbProcedure="false">#REF!</definedName>
    <definedName function="false" hidden="false" name="nbd" vbProcedure="false">#REF!</definedName>
    <definedName function="false" hidden="false" name="nbn" vbProcedure="false">#REF!</definedName>
    <definedName function="false" hidden="false" name="NetCA" vbProcedure="false">[12]Input!$K$95:$AE$95</definedName>
    <definedName function="false" hidden="false" name="NetCAChg" vbProcedure="false">[12]Input!$K$100:$AE$100</definedName>
    <definedName function="false" hidden="false" name="NetCashGenerated" vbProcedure="false">#REF!</definedName>
    <definedName function="false" hidden="false" name="NetDebt" vbProcedure="false">[12]Formats!$K$115:$AE$115</definedName>
    <definedName function="false" hidden="false" name="NetDebtChg" vbProcedure="false">[12]Formats!$K$109:$AE$109</definedName>
    <definedName function="false" hidden="false" name="NetDebtToEquity" vbProcedure="false">#REF!</definedName>
    <definedName function="false" hidden="false" name="NetEq" vbProcedure="false">[12]Input!$K$29:$AE$29</definedName>
    <definedName function="false" hidden="false" name="NetEqChg" vbProcedure="false">[12]Input!$K$45:$AE$45</definedName>
    <definedName function="false" hidden="false" name="NetEstInt" vbProcedure="false">[12]Debt!$K$247:$AE$247</definedName>
    <definedName function="false" hidden="false" name="NetFixedAssets" vbProcedure="false">#REF!</definedName>
    <definedName function="false" hidden="false" name="NetInterest" vbProcedure="false">InterestIncome-InterestExpense</definedName>
    <definedName function="false" hidden="false" name="NetProfitMargin" vbProcedure="false">#REF!</definedName>
    <definedName function="false" hidden="false" name="NetRsrv" vbProcedure="false">[12]Input!$K$41:$AE$41</definedName>
    <definedName function="false" hidden="false" name="NFA" vbProcedure="false">[12]CapEx!$K$100:$AE$100</definedName>
    <definedName function="false" hidden="false" name="NFAChg" vbProcedure="false">[12]CapEx!$K$111:$AE$111</definedName>
    <definedName function="false" hidden="false" name="NI" vbProcedure="false">[12]Formats!$K$11:$AE$11</definedName>
    <definedName function="false" hidden="false" name="NRItem" vbProcedure="false">[12]Input!$K$132:$AE$132</definedName>
    <definedName function="false" hidden="false" name="NS" vbProcedure="false">[12]Input!$K$307:$AE$307</definedName>
    <definedName function="false" hidden="false" name="NtnlPr" vbProcedure="false">[12]Capital!$K$77:$AE$77</definedName>
    <definedName function="false" hidden="false" name="Num_of_plots" vbProcedure="false">#REF!</definedName>
    <definedName function="false" hidden="false" name="NW" vbProcedure="false">[12]Formats!$K$63:$AE$63</definedName>
    <definedName function="false" hidden="false" name="OCA" vbProcedure="false">[30]bs_related!$A$109</definedName>
    <definedName function="false" hidden="false" name="OI" vbProcedure="false">#REF!</definedName>
    <definedName function="false" hidden="false" name="OnePager" vbProcedure="false">#REF!</definedName>
    <definedName function="false" hidden="false" name="OpEqSh" vbProcedure="false">[12]Capital!$K$15:$AE$15</definedName>
    <definedName function="false" hidden="false" name="OperatingCashflow" vbProcedure="false">[4]Introduction!$A$3585</definedName>
    <definedName function="false" hidden="false" name="OperatingProfit" vbProcedure="false">#REF!</definedName>
    <definedName function="false" hidden="false" name="OperatingProfitMargin" vbProcedure="false">#REF!</definedName>
    <definedName function="false" hidden="false" name="OperatingStatistics" vbProcedure="false">[4]Old!$A$1:$P$66</definedName>
    <definedName function="false" hidden="false" name="OpIncDmy" vbProcedure="false">[12]Input!$A$114:$XFD$114</definedName>
    <definedName function="false" hidden="false" name="OpIncSer" vbProcedure="false">[12]Profile!$BT$5:$BT$12</definedName>
    <definedName function="false" hidden="false" name="ops" vbProcedure="false">#REF!+#REF!</definedName>
    <definedName function="false" hidden="false" name="opss" vbProcedure="false">[40]Key_Base!$D$20+[40]Key_Base!$E$20</definedName>
    <definedName function="false" hidden="false" name="opsss" vbProcedure="false">[25]Key_Base!$D$20+[25]Key_Base!$E$20</definedName>
    <definedName function="false" hidden="false" name="OthCFItem" vbProcedure="false">[12]Input!$K$566:$AE$566</definedName>
    <definedName function="false" hidden="false" name="OTHER" vbProcedure="false">#REF!</definedName>
    <definedName function="false" hidden="false" name="OtherIncome" vbProcedure="false">#REF!</definedName>
    <definedName function="false" hidden="false" name="OtherLTAssets" vbProcedure="false">#REF!</definedName>
    <definedName function="false" hidden="false" name="OtherLTLiabilities" vbProcedure="false">#REF!</definedName>
    <definedName function="false" hidden="false" name="others" vbProcedure="false">#REF!</definedName>
    <definedName function="false" hidden="false" name="other_inc" vbProcedure="false">#REF!</definedName>
    <definedName function="false" hidden="false" name="other_income" vbProcedure="false">[41]pl_related!$A$74</definedName>
    <definedName function="false" hidden="false" name="OthOpInc" vbProcedure="false">[12]Input!$K$115:$AE$115</definedName>
    <definedName function="false" hidden="false" name="OutputGrowthEstimates" vbProcedure="false">[4]Old!$A$29185</definedName>
    <definedName function="false" hidden="false" name="ownership" vbProcedure="false">#REF!</definedName>
    <definedName function="false" hidden="false" name="page1" vbProcedure="false">#REF!</definedName>
    <definedName function="false" hidden="false" name="page2" vbProcedure="false">#REF!</definedName>
    <definedName function="false" hidden="false" name="pai" vbProcedure="false">#REF!</definedName>
    <definedName function="false" hidden="false" name="pandl" vbProcedure="false">#REF!</definedName>
    <definedName function="false" hidden="false" name="ParValue" vbProcedure="false">#REF!</definedName>
    <definedName function="false" hidden="false" name="PAT" vbProcedure="false">[12]Formats!$K$34:$AE$34</definedName>
    <definedName function="false" hidden="false" name="PBT" vbProcedure="false">[12]Formats!$K$32:$AE$32</definedName>
    <definedName function="false" hidden="false" name="pco" vbProcedure="false">#REF!</definedName>
    <definedName function="false" hidden="false" name="pde" vbProcedure="false">#REF!</definedName>
    <definedName function="false" hidden="false" name="pdp" vbProcedure="false">#REF!</definedName>
    <definedName function="false" hidden="false" name="PDvTax" vbProcedure="false">[12]Input!$K$140:$AE$140</definedName>
    <definedName function="false" hidden="false" name="pe" vbProcedure="false">#REF!</definedName>
    <definedName function="false" hidden="false" name="peb" vbProcedure="false">#REF!</definedName>
    <definedName function="false" hidden="false" name="pebanddata" vbProcedure="false">#REF!</definedName>
    <definedName function="false" hidden="false" name="pei" vbProcedure="false">#REF!</definedName>
    <definedName function="false" hidden="false" name="PEMultiplesFirstyear" vbProcedure="false">#REF!</definedName>
    <definedName function="false" hidden="false" name="PEMultiplesLastyear" vbProcedure="false">#REF!</definedName>
    <definedName function="false" hidden="false" name="pereldata" vbProcedure="false">#REF!</definedName>
    <definedName function="false" hidden="false" name="per_capita" vbProcedure="false">[20]global!$A$1:$K$9</definedName>
    <definedName function="false" hidden="false" name="pet" vbProcedure="false">#REF!</definedName>
    <definedName function="false" hidden="false" name="pe_to_pop" vbProcedure="false">#REF!</definedName>
    <definedName function="false" hidden="false" name="pfx" vbProcedure="false">#REF!</definedName>
    <definedName function="false" hidden="false" name="pga" vbProcedure="false">#REF!</definedName>
    <definedName function="false" hidden="false" name="pgp" vbProcedure="false">#REF!</definedName>
    <definedName function="false" hidden="false" name="pie" vbProcedure="false">#REF!</definedName>
    <definedName function="false" hidden="false" name="pii" vbProcedure="false">#REF!</definedName>
    <definedName function="false" hidden="false" name="pin" vbProcedure="false">#REF!</definedName>
    <definedName function="false" hidden="false" name="PivotData" vbProcedure="false">OFFSET(#REF!,0,0,COUNTA(#REF!),COUNTA(#REF!))</definedName>
    <definedName function="false" hidden="false" name="PJCapex" vbProcedure="false">#REF!</definedName>
    <definedName function="false" hidden="false" name="PJInterestIncome" vbProcedure="false">#REF!</definedName>
    <definedName function="false" hidden="false" name="pjlongtermdebtchanges" vbProcedure="false">#REF!</definedName>
    <definedName function="false" hidden="false" name="pjlongterminterestexpense" vbProcedure="false">#REF!</definedName>
    <definedName function="false" hidden="false" name="pjnetcashflow" vbProcedure="false">#REF!</definedName>
    <definedName function="false" hidden="false" name="pjshorttermdebtchanges" vbProcedure="false">#REF!</definedName>
    <definedName function="false" hidden="false" name="pjshortterminterestexpense" vbProcedure="false">#REF!</definedName>
    <definedName function="false" hidden="false" name="PJYears" vbProcedure="false">#REF!</definedName>
    <definedName function="false" hidden="false" name="pl" vbProcedure="false">#REF!</definedName>
    <definedName function="false" hidden="false" name="pl_ganesh" vbProcedure="false">[11]main!$A$10:$J$42</definedName>
    <definedName function="false" hidden="false" name="pl_jb" vbProcedure="false">[13]acctmod!$A$1:$Y$40</definedName>
    <definedName function="false" hidden="false" name="pl_ratio_jb" vbProcedure="false">[15]acctmod!$A$138:$Y$157</definedName>
    <definedName function="false" hidden="false" name="pl_sski" vbProcedure="false">#REF!</definedName>
    <definedName function="false" hidden="false" name="pmi" vbProcedure="false">#REF!</definedName>
    <definedName function="false" hidden="false" name="pnp" vbProcedure="false">#REF!</definedName>
    <definedName function="false" hidden="false" name="poi" vbProcedure="false">#REF!</definedName>
    <definedName function="false" hidden="false" name="pop" vbProcedure="false">#REF!</definedName>
    <definedName function="false" hidden="false" name="pop_growth" vbProcedure="false">#REF!</definedName>
    <definedName function="false" hidden="false" name="ppr" vbProcedure="false">#REF!</definedName>
    <definedName function="false" hidden="false" name="ppt" vbProcedure="false">#REF!</definedName>
    <definedName function="false" hidden="false" name="PrDiv" vbProcedure="false">[12]Input!$K$137:$AE$137</definedName>
    <definedName function="false" hidden="false" name="pre" vbProcedure="false">#REF!</definedName>
    <definedName function="false" hidden="false" name="pres" vbProcedure="false">[40]Key_Base!$D$19+[40]Key_Base!$E$19</definedName>
    <definedName function="false" hidden="false" name="press" vbProcedure="false">[25]Key_Base!$D$19+[25]Key_Base!$E$19</definedName>
    <definedName function="false" hidden="false" name="PretaxProfit" vbProcedure="false">#REF!</definedName>
    <definedName function="false" hidden="false" name="PrfDmy" vbProcedure="false">[12]Input!$A$26:$XFD$26</definedName>
    <definedName function="false" hidden="false" name="PrfShSer" vbProcedure="false">[12]Profile!$BB$5:$BB$12</definedName>
    <definedName function="false" hidden="false" name="prg" vbProcedure="false">#REF!</definedName>
    <definedName function="false" hidden="false" name="pri" vbProcedure="false">#REF!</definedName>
    <definedName function="false" hidden="false" name="price" vbProcedure="false">#REF!</definedName>
    <definedName function="false" hidden="false" name="PriceChg1" vbProcedure="false">#REF!</definedName>
    <definedName function="false" hidden="false" name="PriceChg12" vbProcedure="false">#REF!</definedName>
    <definedName function="false" hidden="false" name="PriceChg3" vbProcedure="false">#REF!</definedName>
    <definedName function="false" hidden="false" name="priceh" vbProcedure="false">#REF!</definedName>
    <definedName function="false" hidden="false" name="PricesFYEnd" vbProcedure="false">#REF!</definedName>
    <definedName function="false" hidden="false" name="PricesIndexed" vbProcedure="false">#REF!</definedName>
    <definedName function="false" hidden="false" name="Print_Area_MI" vbProcedure="false">#REF!</definedName>
    <definedName function="false" hidden="false" name="PRINT_TITLES_MI" vbProcedure="false">#REF!</definedName>
    <definedName function="false" hidden="false" name="ProdDmy" vbProcedure="false">[12]Input!$A$273:$AI$290</definedName>
    <definedName function="false" hidden="false" name="Product" vbProcedure="false">[12]Profile!$AI$5:$AI$12</definedName>
    <definedName function="false" hidden="false" name="production" vbProcedure="false">#REF!</definedName>
    <definedName function="false" hidden="false" name="ProdUnit" vbProcedure="false">[12]Profile!$AJ$5:$AJ$12</definedName>
    <definedName function="false" hidden="false" name="profits" vbProcedure="false">[13]quant!$W$5:$Z$13</definedName>
    <definedName function="false" hidden="false" name="Project" vbProcedure="false">[27]Introduction!$E$5</definedName>
    <definedName function="false" hidden="false" name="PrsExp" vbProcedure="false">[12]Input!$K$531:$AE$531</definedName>
    <definedName function="false" hidden="false" name="PrsExpSer" vbProcedure="false">[12]Profile!$AW$5:$AW$12</definedName>
    <definedName function="false" hidden="false" name="PrsVar" vbProcedure="false">[12]Input!$K$537:$AE$537</definedName>
    <definedName function="false" hidden="false" name="PrTax" vbProcedure="false">[12]Profile!$K$17:$AE$17</definedName>
    <definedName function="false" hidden="false" name="pryear" vbProcedure="false">[12]Profile!$K$16:$AE$16</definedName>
    <definedName function="false" hidden="false" name="PrYears" vbProcedure="false">[12]Profile!$K$5:$AE$5</definedName>
    <definedName function="false" hidden="false" name="pse" vbProcedure="false">#REF!</definedName>
    <definedName function="false" hidden="false" name="PSV" vbProcedure="false">#REF!</definedName>
    <definedName function="false" hidden="false" name="pta" vbProcedure="false">#REF!</definedName>
    <definedName function="false" hidden="false" name="pto" vbProcedure="false">#REF!</definedName>
    <definedName function="false" hidden="false" name="pxd" vbProcedure="false">#REF!</definedName>
    <definedName function="false" hidden="false" name="Q1_1" vbProcedure="false">#REF!</definedName>
    <definedName function="false" hidden="false" name="Q1_2" vbProcedure="false">#REF!,#REF!,#REF!</definedName>
    <definedName function="false" hidden="false" name="Q1_3" vbProcedure="false">#REF!,#REF!,#REF!</definedName>
    <definedName function="false" hidden="false" name="Q1_4" vbProcedure="false">#REF!,#REF!,#REF!</definedName>
    <definedName function="false" hidden="false" name="Q2_1" vbProcedure="false">#REF!,#REF!,#REF!</definedName>
    <definedName function="false" hidden="false" name="Q2_2" vbProcedure="false">#REF!,#REF!,#REF!</definedName>
    <definedName function="false" hidden="false" name="Q2_3" vbProcedure="false">#REF!,#REF!,#REF!</definedName>
    <definedName function="false" hidden="false" name="Q2_4" vbProcedure="false">#REF!,#REF!,#REF!</definedName>
    <definedName function="false" hidden="false" name="Q3_1" vbProcedure="false">#REF!,#REF!,#REF!</definedName>
    <definedName function="false" hidden="false" name="QL1_1" vbProcedure="false">#REF!,#REF!</definedName>
    <definedName function="false" hidden="false" name="QL1_2" vbProcedure="false">#REF!,#REF!</definedName>
    <definedName function="false" hidden="false" name="QL1_3" vbProcedure="false">#REF!,#REF!</definedName>
    <definedName function="false" hidden="false" name="QL1_4" vbProcedure="false">#REF!,#REF!</definedName>
    <definedName function="false" hidden="false" name="QL2_1" vbProcedure="false">#REF!,#REF!</definedName>
    <definedName function="false" hidden="false" name="QL2_2" vbProcedure="false">#REF!,#REF!</definedName>
    <definedName function="false" hidden="false" name="QL2_3" vbProcedure="false">#REF!,#REF!</definedName>
    <definedName function="false" hidden="false" name="QL2_4" vbProcedure="false">#REF!,#REF!</definedName>
    <definedName function="false" hidden="false" name="QL3_1" vbProcedure="false">#REF!,#REF!</definedName>
    <definedName function="false" hidden="false" name="QuanOpDmy" vbProcedure="false">[12]QuanOP!$A$15:$XFD$15,[12]QuanOP!$A$25:$XFD$25,[12]QuanOP!$A$35:$XFD$35,[12]QuanOP!$A$45:$XFD$45,[12]QuanOP!$A$55:$XFD$55,[12]QuanOP!$A$65:$XFD$65</definedName>
    <definedName function="false" hidden="false" name="Quarters" vbProcedure="false">'[42]General Assumptions'!$C$16:$AT$17</definedName>
    <definedName function="false" hidden="false" name="ra" vbProcedure="false">#REF!</definedName>
    <definedName function="false" hidden="false" name="rad" vbProcedure="false">#REF!</definedName>
    <definedName function="false" hidden="false" name="RATIO" vbProcedure="false">'[21]Main Sheet'!$A$2305</definedName>
    <definedName function="false" hidden="false" name="ratios" vbProcedure="false">[11]main!$A$164:$O$212</definedName>
    <definedName function="false" hidden="false" name="ratio_jb" vbProcedure="false">[13]acctmod!$A$135:$Y$180</definedName>
    <definedName function="false" hidden="false" name="RawMat" vbProcedure="false">[12]Profile!$AO$5:$AO$12</definedName>
    <definedName function="false" hidden="false" name="Raw_Materials" vbProcedure="false">#REF!</definedName>
    <definedName function="false" hidden="false" name="rce" vbProcedure="false">#REF!</definedName>
    <definedName function="false" hidden="false" name="rcr" vbProcedure="false">#REF!</definedName>
    <definedName function="false" hidden="false" name="rde" vbProcedure="false">#REF!</definedName>
    <definedName function="false" hidden="false" name="read_area" vbProcedure="false">#REF!</definedName>
    <definedName function="false" hidden="false" name="reco" vbProcedure="false">#REF!</definedName>
    <definedName function="false" hidden="false" name="recommendation" vbProcedure="false">#REF!</definedName>
    <definedName function="false" hidden="false" name="recommendationH" vbProcedure="false">#REF!</definedName>
    <definedName function="false" hidden="false" name="ReductInInvestments" vbProcedure="false">#REF!</definedName>
    <definedName function="false" hidden="false" name="relperfdata" vbProcedure="false">#REF!</definedName>
    <definedName function="false" hidden="false" name="Repayment_period" vbProcedure="false">#REF!</definedName>
    <definedName function="false" hidden="false" name="Repayment_Starts_on" vbProcedure="false">#REF!</definedName>
    <definedName function="false" hidden="false" name="RES" vbProcedure="false">#REF!</definedName>
    <definedName function="false" hidden="false" name="reserves" vbProcedure="false">[11]bs_related!$A$24</definedName>
    <definedName function="false" hidden="false" name="ReservesAndPremium" vbProcedure="false">#REF!</definedName>
    <definedName function="false" hidden="false" name="Residential" vbProcedure="false">#REF!</definedName>
    <definedName function="false" hidden="false" name="RetainedEarnings" vbProcedure="false">#REF!</definedName>
    <definedName function="false" hidden="false" name="RetEarn" vbProcedure="false">[12]Formats!$K$39:$AE$39</definedName>
    <definedName function="false" hidden="false" name="ReturnOnAssets" vbProcedure="false">[4]Introduction!$A$9729</definedName>
    <definedName function="false" hidden="false" name="ReturnOnEquity" vbProcedure="false">[4]Introduction!$A$1</definedName>
    <definedName function="false" hidden="false" name="ret_ratios_jb" vbProcedure="false">[15]acctmod!$A$175:$Y$185</definedName>
    <definedName function="false" hidden="false" name="reuters" vbProcedure="false">#REF!</definedName>
    <definedName function="false" hidden="false" name="ReutersCode" vbProcedure="false">#REF!</definedName>
    <definedName function="false" hidden="false" name="reuters_codeh" vbProcedure="false">#REF!</definedName>
    <definedName function="false" hidden="false" name="rev" vbProcedure="false">#REF!</definedName>
    <definedName function="false" hidden="false" name="RevalRsrv" vbProcedure="false">[12]Input!$K$43:$AE$43</definedName>
    <definedName function="false" hidden="false" name="Revenue" vbProcedure="false">[4]Old!$A$10753</definedName>
    <definedName function="false" hidden="false" name="RevenueGrowth" vbProcedure="false">#REF!</definedName>
    <definedName function="false" hidden="false" name="rfa" vbProcedure="false">#REF!</definedName>
    <definedName function="false" hidden="false" name="rfs" vbProcedure="false">#REF!</definedName>
    <definedName function="false" hidden="false" name="RM" vbProcedure="false">[12]Input!$K$456:$AE$456</definedName>
    <definedName function="false" hidden="false" name="RMconsumed" vbProcedure="false">[4]Old!$A$3329</definedName>
    <definedName function="false" hidden="false" name="RMDmy" vbProcedure="false">[12]Input!$A$423:$AJ$437</definedName>
    <definedName function="false" hidden="false" name="RMUnit" vbProcedure="false">[12]Profile!$AP$5:$AP$12</definedName>
    <definedName function="false" hidden="false" name="rm_price" vbProcedure="false">#REF!</definedName>
    <definedName function="false" hidden="false" name="rnf" vbProcedure="false">#REF!</definedName>
    <definedName function="false" hidden="false" name="rns" vbProcedure="false">#REF!</definedName>
    <definedName function="false" hidden="false" name="roce" vbProcedure="false">#REF!</definedName>
    <definedName function="false" hidden="false" name="roce1" vbProcedure="false">'[8]agrops&amp;ce'!$M$6:$M$44</definedName>
    <definedName function="false" hidden="false" name="roe" vbProcedure="false">#REF!</definedName>
    <definedName function="false" hidden="false" name="ROIC" vbProcedure="false">[12]Formats!$K$165:$AE$165</definedName>
    <definedName function="false" hidden="false" name="rot" vbProcedure="false">#REF!</definedName>
    <definedName function="false" hidden="false" name="rre" vbProcedure="false">#REF!</definedName>
    <definedName function="false" hidden="false" name="RSBasicShares" vbProcedure="false">[4]Sheet2!$A$41985</definedName>
    <definedName function="false" hidden="false" name="RSDepreciation" vbProcedure="false">[4]Sheet3!$A$1</definedName>
    <definedName function="false" hidden="false" name="RSNPAT" vbProcedure="false">[4]Sheet3!$A$1</definedName>
    <definedName function="false" hidden="false" name="RSOperatingProfit" vbProcedure="false">[4]Sheet3!$A$1</definedName>
    <definedName function="false" hidden="false" name="RSOtherEquity" vbProcedure="false">[4]Sheet3!$A$1</definedName>
    <definedName function="false" hidden="false" name="RSOtherLTAssets" vbProcedure="false">[4]Sheet3!$A$1</definedName>
    <definedName function="false" hidden="false" name="RSOtherLTLiabilities" vbProcedure="false">[4]Sheet3!$A$1</definedName>
    <definedName function="false" hidden="false" name="RSRetainedEarnings" vbProcedure="false">[4]Sheet3!$A$1</definedName>
    <definedName function="false" hidden="false" name="RSWeightedaverageeps" vbProcedure="false">[4]Sheet3!$A$1</definedName>
    <definedName function="false" hidden="false" name="RSweightedaverageshares" vbProcedure="false">[4]Sheet3!$A$1</definedName>
    <definedName function="false" hidden="false" name="rty" vbProcedure="false">[19]RBS!$B$23</definedName>
    <definedName function="false" hidden="false" name="rural" vbProcedure="false">[20]rural!$A$16:$C$26</definedName>
    <definedName function="false" hidden="false" name="rural_urban" vbProcedure="false">[20]rural!$A$1:$C$13</definedName>
    <definedName function="false" hidden="false" name="rus" vbProcedure="false">#REF!</definedName>
    <definedName function="false" hidden="false" name="rwc" vbProcedure="false">#REF!</definedName>
    <definedName function="false" hidden="false" name="rwt" vbProcedure="false">#REF!</definedName>
    <definedName function="false" hidden="false" name="R_" vbProcedure="false">'[21]Main Sheet'!$A$4097</definedName>
    <definedName function="false" hidden="false" name="R_M_Breakdown" vbProcedure="false">#REF!</definedName>
    <definedName function="false" hidden="false" name="sad" vbProcedure="false">#REF!</definedName>
    <definedName function="false" hidden="false" name="saf" vbProcedure="false">#REF!</definedName>
    <definedName function="false" hidden="false" name="sal" vbProcedure="false">#REF!</definedName>
    <definedName function="false" hidden="false" name="sales" vbProcedure="false">#REF!</definedName>
    <definedName function="false" hidden="false" name="SalesTax" vbProcedure="false">[4]Old!$D$17:$O$17</definedName>
    <definedName function="false" hidden="false" name="Sales_Breakdown" vbProcedure="false">#REF!</definedName>
    <definedName function="false" hidden="false" name="Sales_Data" vbProcedure="false">#REF!</definedName>
    <definedName function="false" hidden="false" name="sales_realisation" vbProcedure="false">#REF!</definedName>
    <definedName function="false" hidden="false" name="sales_real_growth" vbProcedure="false">#REF!</definedName>
    <definedName function="false" hidden="false" name="sales_value" vbProcedure="false">#REF!</definedName>
    <definedName function="false" hidden="false" name="sales_val_growth" vbProcedure="false">#REF!</definedName>
    <definedName function="false" hidden="false" name="sales_vol" vbProcedure="false">#REF!</definedName>
    <definedName function="false" hidden="false" name="sales_vol_growth" vbProcedure="false">#REF!</definedName>
    <definedName function="false" hidden="false" name="SaleUnit" vbProcedure="false">[12]Input!$K$155:$AE$155,[12]Input!$K$173:$AE$173,[12]Input!$K$191:$AE$191,[12]Input!$K$209:$AE$209,[12]Input!$K$227:$AE$227,[12]Input!$K$245:$AE$245,[12]Input!$K$263:$AE$263,[12]Input!$K$281:$AE$281</definedName>
    <definedName function="false" hidden="false" name="SaleVal" vbProcedure="false">[12]Input!$K$293:$AE$293</definedName>
    <definedName function="false" hidden="false" name="SaleValue" vbProcedure="false">[12]Input!$K$158:$AE$158,[12]Input!$K$176:$AE$176,[12]Input!$K$194:$AE$194,[12]Input!$K$212:$AE$212,[12]Input!$K$230:$AE$230,[12]Input!$K$248:$AE$248,[12]Input!$K$266:$AE$266,[12]Input!$K$284:$AE$284</definedName>
    <definedName function="false" hidden="false" name="SaleVol" vbProcedure="false">[12]Input!$K$292:$AE$292</definedName>
    <definedName function="false" hidden="false" name="sas" vbProcedure="false">#REF!</definedName>
    <definedName function="false" hidden="false" name="scale" vbProcedure="false">'[42]General Assumptions'!$C$5</definedName>
    <definedName function="false" hidden="false" name="SCI_Afra" vbProcedure="false">#REF!</definedName>
    <definedName function="false" hidden="false" name="SCi_Loan" vbProcedure="false">#REF!</definedName>
    <definedName function="false" hidden="false" name="SCI_Suez" vbProcedure="false">#REF!</definedName>
    <definedName function="false" hidden="false" name="SCrt" vbProcedure="false">[12]Input!$K$87:$AE$87</definedName>
    <definedName function="false" hidden="false" name="ScrtDays" vbProcedure="false">[12]Input!$K$88:$AE$88</definedName>
    <definedName function="false" hidden="false" name="sd" vbProcedure="false">[10]Earning_Assum!$A$22273</definedName>
    <definedName function="false" hidden="false" name="SDbt" vbProcedure="false">[12]Input!$K$80:$AE$80</definedName>
    <definedName function="false" hidden="false" name="SdbtDays" vbProcedure="false">[12]Input!$K$81:$AE$81</definedName>
    <definedName function="false" hidden="false" name="secsplit" vbProcedure="false">"Chart 3"</definedName>
    <definedName function="false" hidden="false" name="sector" vbProcedure="false">#REF!</definedName>
    <definedName function="false" hidden="false" name="SECTORa" vbProcedure="false">#REF!</definedName>
    <definedName function="false" hidden="false" name="seg" vbProcedure="false">[41]sales!B$2305</definedName>
    <definedName function="false" hidden="false" name="SelExp" vbProcedure="false">[12]Input!$K$516:$AE$516</definedName>
    <definedName function="false" hidden="false" name="SelExpSer" vbProcedure="false">[12]Profile!$AV$5:$AV$12</definedName>
    <definedName function="false" hidden="false" name="SENSE" vbProcedure="false">#REF!</definedName>
    <definedName function="false" hidden="false" name="sensex" vbProcedure="false">#REF!</definedName>
    <definedName function="false" hidden="false" name="SENSEXIndexed" vbProcedure="false">#REF!</definedName>
    <definedName function="false" hidden="false" name="SENSEXMember" vbProcedure="false">#REF!</definedName>
    <definedName function="false" hidden="false" name="SENSEXPrices" vbProcedure="false">#REF!</definedName>
    <definedName function="false" hidden="false" name="sensit_analysis" vbProcedure="false">[30]sensity!$B$2:$D$15</definedName>
    <definedName function="false" hidden="false" name="SGA" vbProcedure="false">[4]Old!$D$59:$O$59</definedName>
    <definedName function="false" hidden="false" name="SGandA" vbProcedure="false">#REF!</definedName>
    <definedName function="false" hidden="false" name="SGCInv" vbProcedure="false">[12]Input!$K$57:$AE$57</definedName>
    <definedName function="false" hidden="false" name="SGCInvChg" vbProcedure="false">[12]Input!$K$98:$AE$98</definedName>
    <definedName function="false" hidden="false" name="ShareholdersEquity" vbProcedure="false">#REF!</definedName>
    <definedName function="false" hidden="false" name="shares" vbProcedure="false">#REF!</definedName>
    <definedName function="false" hidden="false" name="SharesPerGDR" vbProcedure="false">#REF!</definedName>
    <definedName function="false" hidden="false" name="Share_Data" vbProcedure="false">#REF!</definedName>
    <definedName function="false" hidden="false" name="share_premium" vbProcedure="false">[30]bs_related!$A$18</definedName>
    <definedName function="false" hidden="false" name="Share_price" vbProcedure="false">#REF!</definedName>
    <definedName function="false" hidden="false" name="share_vol" vbProcedure="false">[11]sales!$N86:$N64928</definedName>
    <definedName function="false" hidden="false" name="ShortTermDebt" vbProcedure="false">[35]Financials!$J$148:$R$148</definedName>
    <definedName function="false" hidden="false" name="ShOutst" vbProcedure="false">[12]Capital!$K$7:$AE$7</definedName>
    <definedName function="false" hidden="false" name="ShPrm" vbProcedure="false">[12]Input!$K$35:$AE$35</definedName>
    <definedName function="false" hidden="false" name="ShPrmChg" vbProcedure="false">[12]Input!$K$46:$AE$46</definedName>
    <definedName function="false" hidden="false" name="sh_pri" vbProcedure="false">#REF!</definedName>
    <definedName function="false" hidden="false" name="sh_pti" vbProcedure="false">#REF!</definedName>
    <definedName function="false" hidden="false" name="Simplex" vbProcedure="false">#REF!</definedName>
    <definedName function="false" hidden="false" name="sk" vbProcedure="false">[43]TR!$A$1:$AR$125</definedName>
    <definedName function="false" hidden="false" name="small_cap" vbProcedure="false">#REF!</definedName>
    <definedName function="false" hidden="false" name="SNAP" vbProcedure="false">#REF!</definedName>
    <definedName function="false" hidden="false" name="software" vbProcedure="false">#REF!</definedName>
    <definedName function="false" hidden="false" name="speciality_chem" vbProcedure="false">#REF!</definedName>
    <definedName function="false" hidden="false" name="Spread" vbProcedure="false">#REF!</definedName>
    <definedName function="false" hidden="false" name="sps" vbProcedure="false">#REF!</definedName>
    <definedName function="false" hidden="false" name="stable_growth_rate" vbProcedure="false">#REF!</definedName>
    <definedName function="false" hidden="false" name="Start_Detail" vbProcedure="false">#REF!</definedName>
    <definedName function="false" hidden="false" name="Start_Header" vbProcedure="false">#REF!</definedName>
    <definedName function="false" hidden="false" name="state_luxury_tax" vbProcedure="false">[44]Sheet1!$A$271</definedName>
    <definedName function="false" hidden="false" name="state_mktsh" vbProcedure="false">#REF!</definedName>
    <definedName function="false" hidden="false" name="StDebt" vbProcedure="false">[12]Debt!$K$150:$AE$150</definedName>
    <definedName function="false" hidden="false" name="StDebtChg" vbProcedure="false">[12]Debt!$K$258:$AE$258</definedName>
    <definedName function="false" hidden="false" name="StDebtDmy" vbProcedure="false">[12]Debt!$A$57:$XFD$57,[12]Debt!$A$103:$XFD$103,[12]Debt!$A$149:$XFD$149,[12]Debt!$A$197:$XFD$197,[12]Debt!$A$242:$XFD$242</definedName>
    <definedName function="false" hidden="false" name="STDebtSer" vbProcedure="false">[12]Profile!$BO$5:$BO$12</definedName>
    <definedName function="false" hidden="false" name="StInt" vbProcedure="false">[12]Debt!$K$243:$AE$243</definedName>
    <definedName function="false" hidden="false" name="summary" vbProcedure="false">[11]main!$B$164:$J$215</definedName>
    <definedName function="false" hidden="false" name="Summary_Date" vbProcedure="false">#REF!</definedName>
    <definedName function="false" hidden="false" name="swa" vbProcedure="false">#REF!</definedName>
    <definedName function="false" hidden="false" name="swap" vbProcedure="false">#REF!</definedName>
    <definedName function="false" hidden="false" name="Sweep_Hours" vbProcedure="false">#REF!</definedName>
    <definedName function="false" hidden="false" name="Sweep_KW" vbProcedure="false">#REF!</definedName>
    <definedName function="false" hidden="false" name="swl" vbProcedure="false">#REF!</definedName>
    <definedName function="false" hidden="false" name="sws" vbProcedure="false">#REF!</definedName>
    <definedName function="false" hidden="false" name="t" vbProcedure="false">[19]RBS!$F$24</definedName>
    <definedName function="false" hidden="false" name="Table" vbProcedure="false">#REF!</definedName>
    <definedName function="false" hidden="false" name="target_pri" vbProcedure="false">#REF!</definedName>
    <definedName function="false" hidden="false" name="tariff_incr" vbProcedure="false">'[45]P&amp;L Depots C1'!$A$2305</definedName>
    <definedName function="false" hidden="false" name="tariff_incr1" vbProcedure="false">'[46]P&amp;L Depots C1'!$A$1</definedName>
    <definedName function="false" hidden="false" name="Tax" vbProcedure="false">[12]Tax!$K$40:$AE$40</definedName>
    <definedName function="false" hidden="false" name="tci" vbProcedure="false">#REF!</definedName>
    <definedName function="false" hidden="false" name="tcs" vbProcedure="false">#REF!</definedName>
    <definedName function="false" hidden="false" name="tea_estates" vbProcedure="false">[41]shareholding!$A$9985</definedName>
    <definedName function="false" hidden="false" name="Technical" vbProcedure="false">#REF!</definedName>
    <definedName function="false" hidden="false" name="tetley" vbProcedure="false">#REF!</definedName>
    <definedName function="false" hidden="false" name="tev" vbProcedure="false">#REF!</definedName>
    <definedName function="false" hidden="false" name="tfc" vbProcedure="false">#REF!</definedName>
    <definedName function="false" hidden="false" name="tfd" vbProcedure="false">#REF!</definedName>
    <definedName function="false" hidden="false" name="tfo" vbProcedure="false">#REF!</definedName>
    <definedName function="false" hidden="false" name="tfr" vbProcedure="false">#REF!</definedName>
    <definedName function="false" hidden="false" name="THC_incr" vbProcedure="false">'[45]P&amp;L Depots C1'!$A$2305</definedName>
    <definedName function="false" hidden="false" name="tin" vbProcedure="false">#REF!</definedName>
    <definedName function="false" hidden="false" name="TMKW" vbProcedure="false">#REF!</definedName>
    <definedName function="false" hidden="false" name="tnd" vbProcedure="false">#REF!</definedName>
    <definedName function="false" hidden="false" name="tobacco_prices_at_auctions" vbProcedure="false">[44]Sheet1!$A$88:$E$102</definedName>
    <definedName function="false" hidden="false" name="today" vbProcedure="false">#REF!</definedName>
    <definedName function="false" hidden="false" name="total" vbProcedure="false">#REF!</definedName>
    <definedName function="false" hidden="false" name="TotalAssets" vbProcedure="false">CapitalEmployed+CurrentLiab</definedName>
    <definedName function="false" hidden="false" name="TotalAssetsNet" vbProcedure="false">#REF!</definedName>
    <definedName function="false" hidden="false" name="TotalChangesInWorkingCapital" vbProcedure="false">#REF!</definedName>
    <definedName function="false" hidden="false" name="TotalCurrentAssets" vbProcedure="false">#REF!</definedName>
    <definedName function="false" hidden="false" name="TotalCurrentLiabilities" vbProcedure="false">#REF!</definedName>
    <definedName function="false" hidden="false" name="TotalDebt" vbProcedure="false">LongTermDebt+ShortTermDebt+CurrentPortion</definedName>
    <definedName function="false" hidden="false" name="totalss" vbProcedure="false">[25]Key_Base!$D$7</definedName>
    <definedName function="false" hidden="false" name="Total_Installments" vbProcedure="false">#REF!</definedName>
    <definedName function="false" hidden="false" name="TotAst" vbProcedure="false">[12]Formats!$K$82:$AE$82</definedName>
    <definedName function="false" hidden="false" name="TotDebt" vbProcedure="false">[12]Debt!$K$152:$AE$152</definedName>
    <definedName function="false" hidden="false" name="TotEqShAd" vbProcedure="false">[12]Capital!$K$51:$AE$51</definedName>
    <definedName function="false" hidden="false" name="TotLia" vbProcedure="false">[12]Formats!$K$69:$AE$69</definedName>
    <definedName function="false" hidden="false" name="tr" vbProcedure="false">[4]Sheet2!$A$17409</definedName>
    <definedName function="false" hidden="false" name="trade" vbProcedure="false">'[11]Inc Mod cigs'!$B$181</definedName>
    <definedName function="false" hidden="false" name="tre" vbProcedure="false">#REF!</definedName>
    <definedName function="false" hidden="false" name="TS" vbProcedure="false">#REF!</definedName>
    <definedName function="false" hidden="false" name="tt_subsidiaries" vbProcedure="false">[41]shareholding!$A$46081</definedName>
    <definedName function="false" hidden="false" name="unilever" vbProcedure="false">#REF!</definedName>
    <definedName function="false" hidden="false" name="UniqueRange_0" vbProcedure="false">[16]EVA1!B$2305</definedName>
    <definedName function="false" hidden="false" name="UniqueRange_1" vbProcedure="false">[16]EVA1!$CE$10</definedName>
    <definedName function="false" hidden="false" name="Units" vbProcedure="false">[27]Introduction!$E$13</definedName>
    <definedName function="false" hidden="false" name="Update" vbProcedure="false">[27]Introduction!$E$8</definedName>
    <definedName function="false" hidden="false" name="Upfront_Fee" vbProcedure="false">#REF!</definedName>
    <definedName function="false" hidden="false" name="USD_Libor_Swap_rate" vbProcedure="false">#REF!</definedName>
    <definedName function="false" hidden="false" name="UtilCap" vbProcedure="false">[12]Input!$K$152:$AE$152,[12]Input!$K$170:$AE$170,[12]Input!$K$188:$AE$188,[12]Input!$K$206:$AE$206,[12]Input!$K$224:$AE$224,[12]Input!$K$242:$AE$242,[12]Input!$K$260:$AE$260,[12]Input!$K$278:$AE$278</definedName>
    <definedName function="false" hidden="false" name="UtilProd" vbProcedure="false">[12]Input!$K$151:$AE$151,[12]Input!$K$169:$AE$169,[12]Input!$K$187:$AE$187,[12]Input!$K$205:$AE$205,[12]Input!$K$223:$AE$223,[12]Input!$K$241:$AE$241,[12]Input!$K$259:$AE$259,[12]Input!$K$277:$AE$277</definedName>
    <definedName function="false" hidden="false" name="vae" vbProcedure="false">#REF!</definedName>
    <definedName function="false" hidden="false" name="validate_Equity_Data" vbProcedure="false">[29]!validate_Equity_Data</definedName>
    <definedName function="false" hidden="false" name="valn_jb" vbProcedure="false">[13]acctmod!$A$182:$Y$198</definedName>
    <definedName function="false" hidden="false" name="VarExp" vbProcedure="false">[12]Formats!$K$131:$AE$131</definedName>
    <definedName function="false" hidden="false" name="VarNames" vbProcedure="false">[12]VarName!$C$3:$D$104</definedName>
    <definedName function="false" hidden="false" name="vay" vbProcedure="false">#REF!</definedName>
    <definedName function="false" hidden="false" name="vbv" vbProcedure="false">#REF!</definedName>
    <definedName function="false" hidden="false" name="vcf" vbProcedure="false">#REF!</definedName>
    <definedName function="false" hidden="false" name="vdp" vbProcedure="false">#REF!</definedName>
    <definedName function="false" hidden="false" name="veb" vbProcedure="false">#REF!</definedName>
    <definedName function="false" hidden="false" name="veg" vbProcedure="false">#REF!</definedName>
    <definedName function="false" hidden="false" name="vep" vbProcedure="false">#REF!</definedName>
    <definedName function="false" hidden="false" name="Version" vbProcedure="false">[12]Profile!$H$12</definedName>
    <definedName function="false" hidden="false" name="Vessel_Cost" vbProcedure="false">#REF!</definedName>
    <definedName function="false" hidden="false" name="vev" vbProcedure="false">#REF!</definedName>
    <definedName function="false" hidden="false" name="vey" vbProcedure="false">#REF!</definedName>
    <definedName function="false" hidden="false" name="vfa" vbProcedure="false">#REF!</definedName>
    <definedName function="false" hidden="false" name="VFHrs" vbProcedure="false">#REF!</definedName>
    <definedName function="false" hidden="false" name="VFKW" vbProcedure="false">#REF!</definedName>
    <definedName function="false" hidden="false" name="via" vbProcedure="false">#REF!</definedName>
    <definedName function="false" hidden="false" name="vio" vbProcedure="false">#REF!</definedName>
    <definedName function="false" hidden="false" name="vmv" vbProcedure="false">#REF!</definedName>
    <definedName function="false" hidden="false" name="vnd" vbProcedure="false">#REF!</definedName>
    <definedName function="false" hidden="false" name="vol" vbProcedure="false">[41]sales!$A$2305</definedName>
    <definedName function="false" hidden="false" name="Volume_Growth" vbProcedure="false">#REF!</definedName>
    <definedName function="false" hidden="false" name="vpx" vbProcedure="false">#REF!</definedName>
    <definedName function="false" hidden="false" name="vrn" vbProcedure="false">#REF!</definedName>
    <definedName function="false" hidden="false" name="vsp" vbProcedure="false">#REF!</definedName>
    <definedName function="false" hidden="false" name="vva" vbProcedure="false">#REF!</definedName>
    <definedName function="false" hidden="false" name="WACC" vbProcedure="false">[12]Formats!$K$173:$AE$173</definedName>
    <definedName function="false" hidden="false" name="WAEqSh" vbProcedure="false">[12]Capital!$K$19:$AE$19</definedName>
    <definedName function="false" hidden="false" name="WCDays" vbProcedure="false">[12]Debt!$K$255:$AE$255</definedName>
    <definedName function="false" hidden="false" name="WDV" vbProcedure="false">#REF!</definedName>
    <definedName function="false" hidden="false" name="WeightedAverageEPS" vbProcedure="false">#REF!</definedName>
    <definedName function="false" hidden="false" name="wrn_All_" vbProcedure="false">{#N/A,#N/A,TRUE,"Introduction";#N/A,#N/A,TRUE,"Operating Statistics";#N/A,#N/A,TRUE,"Capex &amp; Depreciation";#N/A,#N/A,TRUE,"Equity";#N/A,#N/A,TRUE,"Debt";#N/A,#N/A,TRUE,"Debt (2)";#N/A,#N/A,TRUE,"Financials";#N/A,#N/A,TRUE,"Market Info";#N/A,#N/A,TRUE,"Company Card";#N/A,#N/A,TRUE,"One Pager";#N/A,#N/A,TRUE,"First Page";#N/A,#N/A,TRUE,"Technical";#N/A,#N/A,TRUE,"Range Names"}</definedName>
    <definedName function="false" hidden="false" name="wrn_Full___Financials_" vbProcedure="false">{#N/A,#N/A,TRUE,"Financials";#N/A,#N/A,TRUE,"Operating Statistics";#N/A,#N/A,TRUE,"Capex &amp; Depreciation";#N/A,#N/A,TRUE,"Debt"}</definedName>
    <definedName function="false" hidden="false" name="wrn_One___Pager___plus___Technicals_" vbProcedure="false">{#N/A,#N/A,FALSE,"One Pager";#N/A,#N/A,FALSE,"Technical"}</definedName>
    <definedName function="false" hidden="false" name="xer" vbProcedure="false">#REF!</definedName>
    <definedName function="false" hidden="false" name="xfx" vbProcedure="false">#REF!</definedName>
    <definedName function="false" hidden="false" name="xitem" vbProcedure="false">#REF!</definedName>
    <definedName function="false" hidden="false" name="xoe" vbProcedure="false">#REF!</definedName>
    <definedName function="false" hidden="false" name="xpr" vbProcedure="false">#REF!</definedName>
    <definedName function="false" hidden="false" name="xunits" vbProcedure="false">#REF!</definedName>
    <definedName function="false" hidden="false" name="year" vbProcedure="false">[37]dcf!$B$129</definedName>
    <definedName function="false" hidden="false" name="YearEnd" vbProcedure="false">'[4]#REF'!$D$11</definedName>
    <definedName function="false" hidden="false" name="yearone" vbProcedure="false">[48]Introduction!$E$16</definedName>
    <definedName function="false" hidden="false" name="YeEq" vbProcedure="false">[12]Capital!$K$8:$AE$8</definedName>
    <definedName function="false" hidden="false" name="YrRange" vbProcedure="false">[12]Profile!$K$10:$AE$10</definedName>
    <definedName function="false" hidden="false" name="yyy" vbProcedure="false">[19]RBS!$B$15</definedName>
    <definedName function="false" hidden="false" name="yyyy" vbProcedure="false">[19]RBS!$F$14</definedName>
    <definedName function="false" hidden="false" name="Y_Y_Growth" vbProcedure="false">'[47]Model (Not Merged)'!$A$2305</definedName>
    <definedName function="false" hidden="false" name="Z" vbProcedure="false">[10]Earning_Assum!$A$1281</definedName>
    <definedName function="false" hidden="false" name="ZZ_AAA_BSControl" vbProcedure="false">#REF!</definedName>
    <definedName function="false" hidden="false" name="ZZ_AAA_IncludeManual" vbProcedure="false">#REF!</definedName>
    <definedName function="false" hidden="false" name="ZZ_AAA_ISControl" vbProcedure="false">#REF!</definedName>
    <definedName function="false" hidden="false" name="ZZ_AAA_TerminalStartTest1" vbProcedure="false">#REF!</definedName>
    <definedName function="false" hidden="false" name="ZZ_AAA_TerminalStartTest2" vbProcedure="false">#REF!</definedName>
    <definedName function="false" hidden="false" name="ZZ_AAA_TerminalStartTest3" vbProcedure="false">#REF!</definedName>
    <definedName function="false" hidden="false" name="ZZ_AAA_TerminalStartTest4" vbProcedure="false">#REF!</definedName>
    <definedName function="false" hidden="false" name="ZZ_AAA_TerminalStartTest5" vbProcedure="false">#REF!</definedName>
    <definedName function="false" hidden="false" name="ZZ_AAA_YearCount" vbProcedure="false">#REF!</definedName>
    <definedName function="false" hidden="false" name="ZZ_AAA_YearEndManual" vbProcedure="false">#REF!</definedName>
    <definedName function="false" hidden="false" name="ZZ_AAA_YearEnds" vbProcedure="false">#REF!</definedName>
    <definedName function="false" hidden="false" name="ZZ_AA_User1" vbProcedure="false">#REF!</definedName>
    <definedName function="false" hidden="false" name="ZZ_AA_User2" vbProcedure="false">#REF!</definedName>
    <definedName function="false" hidden="false" name="ZZ_AA_User3" vbProcedure="false">#REF!</definedName>
    <definedName function="false" hidden="false" name="ZZ_AA_User4" vbProcedure="false">#REF!</definedName>
    <definedName function="false" hidden="false" name="ZZ_AA_User5" vbProcedure="false">#REF!</definedName>
    <definedName function="false" hidden="false" name="ZZ_BAL_AccountsPayable" vbProcedure="false">#REF!</definedName>
    <definedName function="false" hidden="false" name="ZZ_BAL_AccountsReceivable" vbProcedure="false">#REF!</definedName>
    <definedName function="false" hidden="false" name="ZZ_BAL_AverageTotalDebt" vbProcedure="false">#REF!</definedName>
    <definedName function="false" hidden="false" name="ZZ_BAL_Balance" vbProcedure="false">#REF!</definedName>
    <definedName function="false" hidden="false" name="ZZ_BAL_CapitalizedAssets" vbProcedure="false">#REF!</definedName>
    <definedName function="false" hidden="false" name="ZZ_BAL_ConstructionInProgress" vbProcedure="false">#REF!</definedName>
    <definedName function="false" hidden="false" name="ZZ_BAL_DebtNet" vbProcedure="false">#REF!</definedName>
    <definedName function="false" hidden="false" name="ZZ_BAL_DebtTotal" vbProcedure="false">#REF!</definedName>
    <definedName function="false" hidden="false" name="ZZ_BAL_DeferredTaxes" vbProcedure="false">#REF!</definedName>
    <definedName function="false" hidden="false" name="ZZ_BAL_Goodwill" vbProcedure="false">#REF!</definedName>
    <definedName function="false" hidden="false" name="ZZ_BAL_Inventories" vbProcedure="false">#REF!</definedName>
    <definedName function="false" hidden="false" name="ZZ_BAL_LongTermDebt" vbProcedure="false">#REF!</definedName>
    <definedName function="false" hidden="false" name="ZZ_BAL_LongTermInterestAssets" vbProcedure="false">#REF!</definedName>
    <definedName function="false" hidden="false" name="ZZ_BAL_LongTermNonInterestLiabilities" vbProcedure="false">#REF!</definedName>
    <definedName function="false" hidden="false" name="ZZ_BAL_LongTermNonOperatingAssets" vbProcedure="false">#REF!</definedName>
    <definedName function="false" hidden="false" name="ZZ_BAL_MinorityInterest" vbProcedure="false">#REF!</definedName>
    <definedName function="false" hidden="false" name="ZZ_BAL_NetAssets" vbProcedure="false">#REF!</definedName>
    <definedName function="false" hidden="false" name="ZZ_BAL_NetAssetsAverage" vbProcedure="false">#REF!</definedName>
    <definedName function="false" hidden="false" name="ZZ_BAL_NetCurrentAssets" vbProcedure="false">#REF!</definedName>
    <definedName function="false" hidden="false" name="ZZ_BAL_NetFixedAssets" vbProcedure="false">#REF!</definedName>
    <definedName function="false" hidden="false" name="ZZ_BAL_NetWorkingCapital" vbProcedure="false">#REF!</definedName>
    <definedName function="false" hidden="false" name="ZZ_BAL_OBSILeases" vbProcedure="false">#REF!</definedName>
    <definedName function="false" hidden="false" name="ZZ_BAL_OBSIOther" vbProcedure="false">#REF!</definedName>
    <definedName function="false" hidden="false" name="ZZ_BAL_OperatingCash" vbProcedure="false">#REF!</definedName>
    <definedName function="false" hidden="false" name="ZZ_BAL_OtherCurrentAssets" vbProcedure="false">#REF!</definedName>
    <definedName function="false" hidden="false" name="ZZ_BAL_OtherCurrentLiabilities" vbProcedure="false">#REF!</definedName>
    <definedName function="false" hidden="false" name="ZZ_BAL_OtherReserves" vbProcedure="false">#REF!</definedName>
    <definedName function="false" hidden="false" name="ZZ_BAL_PreferredStock" vbProcedure="false">#REF!</definedName>
    <definedName function="false" hidden="false" name="ZZ_BAL_RetainedEarnings" vbProcedure="false">#REF!</definedName>
    <definedName function="false" hidden="false" name="ZZ_BAL_RevaluationReserve" vbProcedure="false">#REF!</definedName>
    <definedName function="false" hidden="false" name="ZZ_BAL_ShareCapital" vbProcedure="false">#REF!</definedName>
    <definedName function="false" hidden="false" name="ZZ_BAL_SharePremium" vbProcedure="false">#REF!</definedName>
    <definedName function="false" hidden="false" name="ZZ_BAL_StatutoryReserves" vbProcedure="false">#REF!</definedName>
    <definedName function="false" hidden="false" name="ZZ_BAL_STDebt" vbProcedure="false">#REF!</definedName>
    <definedName function="false" hidden="false" name="ZZ_BAL_STInvestments" vbProcedure="false">#REF!</definedName>
    <definedName function="false" hidden="false" name="ZZ_BAL_TotalAssets" vbProcedure="false">#REF!</definedName>
    <definedName function="false" hidden="false" name="ZZ_BAL_TotalAssetsAverage" vbProcedure="false">#REF!</definedName>
    <definedName function="false" hidden="false" name="ZZ_BAL_TotalCommonEquity" vbProcedure="false">#REF!</definedName>
    <definedName function="false" hidden="false" name="ZZ_BAL_TotalCurrentAssets" vbProcedure="false">#REF!</definedName>
    <definedName function="false" hidden="false" name="ZZ_BAL_TotalCurrentLiabilities" vbProcedure="false">#REF!</definedName>
    <definedName function="false" hidden="false" name="ZZ_BAL_TotalEquity" vbProcedure="false">#REF!</definedName>
    <definedName function="false" hidden="false" name="ZZ_BAL_TotalEquityAverage" vbProcedure="false">#REF!</definedName>
    <definedName function="false" hidden="false" name="ZZ_BAL_TotalLiabilities" vbProcedure="false">#REF!</definedName>
    <definedName function="false" hidden="false" name="ZZ_BAL_TotalLiabilitiesPlusEquity" vbProcedure="false">#REF!</definedName>
    <definedName function="false" hidden="false" name="ZZ_BAL_TotalLongTermLiabilities" vbProcedure="false">#REF!</definedName>
    <definedName function="false" hidden="false" name="ZZ_BAL_TotalReserves" vbProcedure="false">#REF!</definedName>
    <definedName function="false" hidden="false" name="ZZ_CAP_AccumulatedGoodwillAmort" vbProcedure="false">#REF!</definedName>
    <definedName function="false" hidden="false" name="ZZ_CAP_AccumulatedGoodwillAmortManual" vbProcedure="false">#REF!</definedName>
    <definedName function="false" hidden="false" name="ZZ_CAP_AdjToOperatingCapital" vbProcedure="false">#REF!</definedName>
    <definedName function="false" hidden="false" name="ZZ_CAP_AdjustedCommonEquity" vbProcedure="false">#REF!</definedName>
    <definedName function="false" hidden="false" name="ZZ_CAP_Balance" vbProcedure="false">#REF!</definedName>
    <definedName function="false" hidden="false" name="ZZ_CAP_ChangeInOperatingCapital" vbProcedure="false">#REF!</definedName>
    <definedName function="false" hidden="false" name="ZZ_CAP_EquityEquivalents" vbProcedure="false">#REF!</definedName>
    <definedName function="false" hidden="false" name="ZZ_CAP_LIFOReserve" vbProcedure="false">#REF!</definedName>
    <definedName function="false" hidden="false" name="ZZ_CAP_NetWorkingCapitalAdj" vbProcedure="false">#REF!</definedName>
    <definedName function="false" hidden="false" name="ZZ_CAP_NonOperatingCapital" vbProcedure="false">#REF!</definedName>
    <definedName function="false" hidden="false" name="ZZ_CAP_OperatingCapital" vbProcedure="false">#REF!</definedName>
    <definedName function="false" hidden="false" name="ZZ_CAP_OperatingCapitalAverage" vbProcedure="false">#REF!</definedName>
    <definedName function="false" hidden="false" name="ZZ_CAP_TotalCapital" vbProcedure="false">#REF!</definedName>
    <definedName function="false" hidden="false" name="ZZ_CAP_TotalCapitalAverage" vbProcedure="false">#REF!</definedName>
    <definedName function="false" hidden="false" name="ZZ_CAP_TotalCapitalRecon" vbProcedure="false">#REF!</definedName>
    <definedName function="false" hidden="false" name="ZZ_CAP_TotalDebtAdj" vbProcedure="false">#REF!</definedName>
    <definedName function="false" hidden="false" name="ZZ_CAP_ValueOfOperatingLeases" vbProcedure="false">#REF!</definedName>
    <definedName function="false" hidden="false" name="ZZ_CAS_Balance" vbProcedure="false">#REF!</definedName>
    <definedName function="false" hidden="false" name="ZZ_CAS_CashFlowFinancing" vbProcedure="false">#REF!</definedName>
    <definedName function="false" hidden="false" name="ZZ_CAS_CashFlowInvestment" vbProcedure="false">#REF!</definedName>
    <definedName function="false" hidden="false" name="ZZ_CAS_CashFlowOperational" vbProcedure="false">#REF!</definedName>
    <definedName function="false" hidden="false" name="ZZ_CAS_CashSTInvestments" vbProcedure="false">#REF!</definedName>
    <definedName function="false" hidden="false" name="ZZ_CAS_ChangeInCapitalizedAssets" vbProcedure="false">#REF!</definedName>
    <definedName function="false" hidden="false" name="ZZ_CAS_ChangeInCIP" vbProcedure="false">#REF!</definedName>
    <definedName function="false" hidden="false" name="ZZ_CAS_ChangeInCommonEquity" vbProcedure="false">#REF!</definedName>
    <definedName function="false" hidden="false" name="ZZ_CAS_ChangeInGoodwill" vbProcedure="false">#REF!</definedName>
    <definedName function="false" hidden="false" name="ZZ_CAS_ChangeInInvestmentsAssets" vbProcedure="false">#REF!</definedName>
    <definedName function="false" hidden="false" name="ZZ_CAS_ChangeInLTDebt" vbProcedure="false">#REF!</definedName>
    <definedName function="false" hidden="false" name="ZZ_CAS_ChangeInMinorityInterest" vbProcedure="false">#REF!</definedName>
    <definedName function="false" hidden="false" name="ZZ_CAS_ChangeInNetFixedAssets" vbProcedure="false">#REF!</definedName>
    <definedName function="false" hidden="false" name="ZZ_CAS_ChangeInOtherLTLiabilities" vbProcedure="false">#REF!</definedName>
    <definedName function="false" hidden="false" name="ZZ_CAS_ChangeInOtherNonOperatingAssets" vbProcedure="false">#REF!</definedName>
    <definedName function="false" hidden="false" name="ZZ_CAS_ChangeInOtherReserves" vbProcedure="false">#REF!</definedName>
    <definedName function="false" hidden="false" name="ZZ_CAS_ChangeInPreferredEquity" vbProcedure="false">#REF!</definedName>
    <definedName function="false" hidden="false" name="ZZ_CAS_ChangeInRevaluationReserve" vbProcedure="false">#REF!</definedName>
    <definedName function="false" hidden="false" name="ZZ_CAS_ChangeInSharePremium" vbProcedure="false">#REF!</definedName>
    <definedName function="false" hidden="false" name="ZZ_CAS_ChangeInStatutoryReserves" vbProcedure="false">#REF!</definedName>
    <definedName function="false" hidden="false" name="ZZ_CAS_ChangeInSTDebt" vbProcedure="false">#REF!</definedName>
    <definedName function="false" hidden="false" name="ZZ_CAS_ChangeInWC" vbProcedure="false">#REF!</definedName>
    <definedName function="false" hidden="false" name="ZZ_CAS_TotalCashFlow" vbProcedure="false">#REF!</definedName>
    <definedName function="false" hidden="false" name="ZZ_CAS_TotalCashFlowRecon" vbProcedure="false">#REF!</definedName>
    <definedName function="false" hidden="false" name="ZZ_COM_Assets" vbProcedure="false">#REF!</definedName>
    <definedName function="false" hidden="false" name="ZZ_COM_Switch1" vbProcedure="false">#REF!</definedName>
    <definedName function="false" hidden="false" name="ZZ_COS_BetaManual" vbProcedure="false">#REF!</definedName>
    <definedName function="false" hidden="false" name="ZZ_COS_BVCommonEquity" vbProcedure="false">#REF!</definedName>
    <definedName function="false" hidden="false" name="ZZ_COS_BVPreferredEquity" vbProcedure="false">#REF!</definedName>
    <definedName function="false" hidden="false" name="ZZ_COS_BVTotalCapital" vbProcedure="false">#REF!</definedName>
    <definedName function="false" hidden="false" name="ZZ_COS_BVTotalDebt" vbProcedure="false">#REF!</definedName>
    <definedName function="false" hidden="false" name="ZZ_COS_CostOfCommonEquity" vbProcedure="false">#REF!</definedName>
    <definedName function="false" hidden="false" name="ZZ_COS_CostOfDebtPostTax" vbProcedure="false">#REF!</definedName>
    <definedName function="false" hidden="false" name="ZZ_COS_CostOfDebtPreTaxManual" vbProcedure="false">#REF!</definedName>
    <definedName function="false" hidden="false" name="ZZ_COS_CostOfPreferredEquityManual" vbProcedure="false">#REF!</definedName>
    <definedName function="false" hidden="false" name="ZZ_COS_EquityRiskPremiumManual" vbProcedure="false">#REF!</definedName>
    <definedName function="false" hidden="false" name="ZZ_COS_MVCommonEquity" vbProcedure="false">#REF!</definedName>
    <definedName function="false" hidden="false" name="ZZ_COS_MVPreferredEquity" vbProcedure="false">#REF!</definedName>
    <definedName function="false" hidden="false" name="ZZ_COS_MVTotalCapital" vbProcedure="false">#REF!</definedName>
    <definedName function="false" hidden="false" name="ZZ_COS_MVTotalDebt" vbProcedure="false">#REF!</definedName>
    <definedName function="false" hidden="false" name="ZZ_COS_RequiredReturnCAPM" vbProcedure="false">#REF!</definedName>
    <definedName function="false" hidden="false" name="ZZ_COS_RequiredReturnManual" vbProcedure="false">#REF!</definedName>
    <definedName function="false" hidden="false" name="ZZ_COS_RiskFreeRateManual" vbProcedure="false">#REF!</definedName>
    <definedName function="false" hidden="false" name="ZZ_COS_Switch1" vbProcedure="false">#REF!</definedName>
    <definedName function="false" hidden="false" name="ZZ_COS_TargetDebtToCapitalManual" vbProcedure="false">#REF!</definedName>
    <definedName function="false" hidden="false" name="ZZ_COS_UnleveragedCostOfCapital" vbProcedure="false">#REF!</definedName>
    <definedName function="false" hidden="false" name="ZZ_COS_WACC" vbProcedure="false">#REF!</definedName>
    <definedName function="false" hidden="false" name="ZZ_COS_WACCActual" vbProcedure="false">#REF!</definedName>
    <definedName function="false" hidden="false" name="ZZ_COS_WACCManual" vbProcedure="false">#REF!</definedName>
    <definedName function="false" hidden="false" name="ZZ_COS_WGTCommonEquity" vbProcedure="false">#REF!</definedName>
    <definedName function="false" hidden="false" name="ZZ_COS_WGTPreferredEquity" vbProcedure="false">#REF!</definedName>
    <definedName function="false" hidden="false" name="ZZ_COS_WGTTotalDebt" vbProcedure="false">#REF!</definedName>
    <definedName function="false" hidden="false" name="ZZ_COV_Cover" vbProcedure="false">[4]Financials!$A$1</definedName>
    <definedName function="false" hidden="false" name="ZZ_DCF_Balance" vbProcedure="false">#REF!</definedName>
    <definedName function="false" hidden="false" name="ZZ_DCF_EVA_Discounted" vbProcedure="false">#REF!</definedName>
    <definedName function="false" hidden="false" name="ZZ_DCF_EVA_DiscountedTotal" vbProcedure="false">#REF!</definedName>
    <definedName function="false" hidden="false" name="ZZ_DCF_EVA_DiscountFactor" vbProcedure="false">#REF!</definedName>
    <definedName function="false" hidden="false" name="ZZ_DCF_EVA_EconomicValueAdded" vbProcedure="false">#REF!</definedName>
    <definedName function="false" hidden="false" name="ZZ_DCF_EVA_EconomicValueAddedManual" vbProcedure="false">#REF!</definedName>
    <definedName function="false" hidden="false" name="ZZ_DCF_EVA_ImpliedEquityValue" vbProcedure="false">#REF!</definedName>
    <definedName function="false" hidden="false" name="ZZ_DCF_EVA_ImpliedEquityValuePerShare" vbProcedure="false">#REF!</definedName>
    <definedName function="false" hidden="false" name="ZZ_DCF_EVA_MidYearAdjustmentFactor" vbProcedure="false">#REF!</definedName>
    <definedName function="false" hidden="false" name="ZZ_DCF_EVA_OperatingValue" vbProcedure="false">#REF!</definedName>
    <definedName function="false" hidden="false" name="ZZ_DCF_EVA_OperatingValueAdj" vbProcedure="false">#REF!</definedName>
    <definedName function="false" hidden="false" name="ZZ_DCF_EVA_TotalValue" vbProcedure="false">#REF!</definedName>
    <definedName function="false" hidden="false" name="ZZ_DCF_EVA_WACC" vbProcedure="false">#REF!</definedName>
    <definedName function="false" hidden="false" name="ZZ_DCF_FCF_Discounted" vbProcedure="false">#REF!</definedName>
    <definedName function="false" hidden="false" name="ZZ_DCF_FCF_DiscountFactor" vbProcedure="false">#REF!</definedName>
    <definedName function="false" hidden="false" name="ZZ_DCF_FCF_FreeCashFlow" vbProcedure="false">#REF!</definedName>
    <definedName function="false" hidden="false" name="ZZ_DCF_FCF_FreeCashFlowManual" vbProcedure="false">#REF!</definedName>
    <definedName function="false" hidden="false" name="ZZ_DCF_FCF_ImpliedEquityValue" vbProcedure="false">#REF!</definedName>
    <definedName function="false" hidden="false" name="ZZ_DCF_FCF_ImpliedEquityValuePerShare" vbProcedure="false">#REF!</definedName>
    <definedName function="false" hidden="false" name="ZZ_DCF_FCF_MidYearAdjustmentFactor" vbProcedure="false">#REF!</definedName>
    <definedName function="false" hidden="false" name="ZZ_DCF_FCF_NetInvestment" vbProcedure="false">#REF!</definedName>
    <definedName function="false" hidden="false" name="ZZ_DCF_FCF_NOPAT" vbProcedure="false">#REF!</definedName>
    <definedName function="false" hidden="false" name="ZZ_DCF_FCF_OperatingValue" vbProcedure="false">#REF!</definedName>
    <definedName function="false" hidden="false" name="ZZ_DCF_FCF_OperatingValueAdj" vbProcedure="false">#REF!</definedName>
    <definedName function="false" hidden="false" name="ZZ_DCF_FCF_SharePremiumDiscount" vbProcedure="false">#REF!</definedName>
    <definedName function="false" hidden="false" name="ZZ_DCF_FCF_TotalValue" vbProcedure="false">#REF!</definedName>
    <definedName function="false" hidden="false" name="ZZ_DCF_FCF_WACC" vbProcedure="false">#REF!</definedName>
    <definedName function="false" hidden="false" name="ZZ_DCF_LTGrowthRate" vbProcedure="false">#REF!</definedName>
    <definedName function="false" hidden="false" name="ZZ_DCF_LTGrowthRateManual" vbProcedure="false">#REF!</definedName>
    <definedName function="false" hidden="false" name="ZZ_DCF_NON_TotalNonCommonEquity" vbProcedure="false">#REF!</definedName>
    <definedName function="false" hidden="false" name="ZZ_EPS_BookValuePS" vbProcedure="false">#REF!</definedName>
    <definedName function="false" hidden="false" name="ZZ_EPS_CFPSFree" vbProcedure="false">#REF!</definedName>
    <definedName function="false" hidden="false" name="ZZ_EPS_CFPSGross" vbProcedure="false">#REF!</definedName>
    <definedName function="false" hidden="false" name="ZZ_EPS_DPS" vbProcedure="false">#REF!</definedName>
    <definedName function="false" hidden="false" name="ZZ_EPS_DPSManual" vbProcedure="false">#REF!</definedName>
    <definedName function="false" hidden="false" name="ZZ_EPS_EPSBasic" vbProcedure="false">#REF!</definedName>
    <definedName function="false" hidden="false" name="ZZ_EPS_EPSBasicManual" vbProcedure="false">#REF!</definedName>
    <definedName function="false" hidden="false" name="ZZ_EPS_EPSBFullyDiluted" vbProcedure="false">#REF!</definedName>
    <definedName function="false" hidden="false" name="ZZ_EPS_EPSBFullyDilutedManual" vbProcedure="false">#REF!</definedName>
    <definedName function="false" hidden="false" name="ZZ_EPS_EPSPrimary" vbProcedure="false">#REF!</definedName>
    <definedName function="false" hidden="false" name="ZZ_EPS_EPSPrimaryManual" vbProcedure="false">#REF!</definedName>
    <definedName function="false" hidden="false" name="ZZ_EPS_MarketCapCurrent" vbProcedure="false">#REF!</definedName>
    <definedName function="false" hidden="false" name="ZZ_EPS_PriorYearAdjAnnual" vbProcedure="false">#REF!</definedName>
    <definedName function="false" hidden="false" name="ZZ_EPS_PriorYearAdjCumulative" vbProcedure="false">#REF!</definedName>
    <definedName function="false" hidden="false" name="ZZ_EPS_SharePriceAtYE" vbProcedure="false">#REF!</definedName>
    <definedName function="false" hidden="false" name="ZZ_EPS_SharePriceAtYEManual" vbProcedure="false">#REF!</definedName>
    <definedName function="false" hidden="false" name="ZZ_EPS_SharesAtYE" vbProcedure="false">#REF!</definedName>
    <definedName function="false" hidden="false" name="ZZ_EPS_SharesAtYEManual" vbProcedure="false">#REF!</definedName>
    <definedName function="false" hidden="false" name="ZZ_EPS_SharesFullyDiluted" vbProcedure="false">#REF!</definedName>
    <definedName function="false" hidden="false" name="ZZ_EPS_SharesFullyDilutedManual" vbProcedure="false">#REF!</definedName>
    <definedName function="false" hidden="false" name="ZZ_EPS_SharesPrimary" vbProcedure="false">#REF!</definedName>
    <definedName function="false" hidden="false" name="ZZ_EPS_SharesPrimaryManual" vbProcedure="false">#REF!</definedName>
    <definedName function="false" hidden="false" name="ZZ_EPS_SharesWgtAvg" vbProcedure="false">#REF!</definedName>
    <definedName function="false" hidden="false" name="ZZ_EPS_SharesWgtAvgManual" vbProcedure="false">#REF!</definedName>
    <definedName function="false" hidden="false" name="ZZ_FRE_Amortization" vbProcedure="false">#REF!</definedName>
    <definedName function="false" hidden="false" name="ZZ_FRE_Balance1" vbProcedure="false">#REF!</definedName>
    <definedName function="false" hidden="false" name="ZZ_FRE_Balance2" vbProcedure="false">#REF!</definedName>
    <definedName function="false" hidden="false" name="ZZ_FRE_CapitalNetAdditions" vbProcedure="false">#REF!</definedName>
    <definedName function="false" hidden="false" name="ZZ_FRE_ChangeInAdjToOperatingInvestedCapital" vbProcedure="false">#REF!</definedName>
    <definedName function="false" hidden="false" name="ZZ_FRE_Depreciation" vbProcedure="false">#REF!</definedName>
    <definedName function="false" hidden="false" name="ZZ_FRE_FreeCashFlow" vbProcedure="false">#REF!</definedName>
    <definedName function="false" hidden="false" name="ZZ_FRE_FreeCashFlowRecon1" vbProcedure="false">#REF!</definedName>
    <definedName function="false" hidden="false" name="ZZ_FRE_FreeCashFlowRecon2" vbProcedure="false">#REF!</definedName>
    <definedName function="false" hidden="false" name="ZZ_FRE_GrossCashFlow" vbProcedure="false">#REF!</definedName>
    <definedName function="false" hidden="false" name="ZZ_FRE_GrossInvestment" vbProcedure="false">#REF!</definedName>
    <definedName function="false" hidden="false" name="ZZ_FRE_NetInvestment" vbProcedure="false">#REF!</definedName>
    <definedName function="false" hidden="false" name="ZZ_FRE_NetInvestmentRate" vbProcedure="false">#REF!</definedName>
    <definedName function="false" hidden="false" name="ZZ_FRE_NOPAT" vbProcedure="false">#REF!</definedName>
    <definedName function="false" hidden="false" name="ZZ_FRE_PaymentsToInvestors" vbProcedure="false">#REF!</definedName>
    <definedName function="false" hidden="false" name="ZZ_GRO_BasicEPS" vbProcedure="false">#REF!</definedName>
    <definedName function="false" hidden="false" name="ZZ_GRO_NetIncome" vbProcedure="false">#REF!</definedName>
    <definedName function="false" hidden="false" name="ZZ_GRO_NOPAT" vbProcedure="false">#REF!</definedName>
    <definedName function="false" hidden="false" name="ZZ_GRO_Revenue" vbProcedure="false">#REF!</definedName>
    <definedName function="false" hidden="false" name="ZZ_INC_AdjToRetainedEarnings" vbProcedure="false">#REF!</definedName>
    <definedName function="false" hidden="false" name="ZZ_INC_AdminExpense" vbProcedure="false">#REF!</definedName>
    <definedName function="false" hidden="false" name="ZZ_INC_Amortization" vbProcedure="false">#REF!</definedName>
    <definedName function="false" hidden="false" name="ZZ_INC_AmortizationGoodwill" vbProcedure="false">#REF!</definedName>
    <definedName function="false" hidden="false" name="ZZ_INC_Associates" vbProcedure="false">#REF!</definedName>
    <definedName function="false" hidden="false" name="ZZ_INC_BeginningRetainedEarnings" vbProcedure="false">#REF!</definedName>
    <definedName function="false" hidden="false" name="ZZ_INC_CashDividends" vbProcedure="false">#REF!</definedName>
    <definedName function="false" hidden="false" name="ZZ_INC_CGS" vbProcedure="false">#REF!</definedName>
    <definedName function="false" hidden="false" name="ZZ_INC_Depreciation" vbProcedure="false">#REF!</definedName>
    <definedName function="false" hidden="false" name="ZZ_INC_EAT" vbProcedure="false">#REF!</definedName>
    <definedName function="false" hidden="false" name="ZZ_INC_EBIT" vbProcedure="false">#REF!</definedName>
    <definedName function="false" hidden="false" name="ZZ_INC_EBITDA" vbProcedure="false">#REF!</definedName>
    <definedName function="false" hidden="false" name="ZZ_INC_EBT" vbProcedure="false">#REF!</definedName>
    <definedName function="false" hidden="false" name="ZZ_INC_EffectiveTaxRate" vbProcedure="false">#REF!</definedName>
    <definedName function="false" hidden="false" name="ZZ_INC_Exceptionals" vbProcedure="false">#REF!</definedName>
    <definedName function="false" hidden="false" name="ZZ_INC_Extraordinaries" vbProcedure="false">#REF!</definedName>
    <definedName function="false" hidden="false" name="ZZ_INC_GrossProfit" vbProcedure="false">#REF!</definedName>
    <definedName function="false" hidden="false" name="ZZ_INC_IncomeTax" vbProcedure="false">#REF!</definedName>
    <definedName function="false" hidden="false" name="ZZ_INC_InterestExpense" vbProcedure="false">#REF!</definedName>
    <definedName function="false" hidden="false" name="ZZ_INC_InterestIncome" vbProcedure="false">#REF!</definedName>
    <definedName function="false" hidden="false" name="ZZ_INC_Minorities" vbProcedure="false">#REF!</definedName>
    <definedName function="false" hidden="false" name="ZZ_INC_NetIncome" vbProcedure="false">#REF!</definedName>
    <definedName function="false" hidden="false" name="ZZ_INC_NonOperatingIncome" vbProcedure="false">#REF!</definedName>
    <definedName function="false" hidden="false" name="ZZ_INC_OperatingIncome" vbProcedure="false">#REF!</definedName>
    <definedName function="false" hidden="false" name="ZZ_INC_OtherAfterTaxIncome" vbProcedure="false">#REF!</definedName>
    <definedName function="false" hidden="false" name="ZZ_INC_OtherIncome" vbProcedure="false">#REF!</definedName>
    <definedName function="false" hidden="false" name="ZZ_INC_OtherOperatingIncome" vbProcedure="false">#REF!</definedName>
    <definedName function="false" hidden="false" name="ZZ_INC_PreferredDividends" vbProcedure="false">#REF!</definedName>
    <definedName function="false" hidden="false" name="ZZ_INC_RetainedProfit" vbProcedure="false">#REF!</definedName>
    <definedName function="false" hidden="false" name="ZZ_INC_Revenue" vbProcedure="false">#REF!</definedName>
    <definedName function="false" hidden="false" name="ZZ_INC_StatutoryAppropriations" vbProcedure="false">#REF!</definedName>
    <definedName function="false" hidden="false" name="ZZ_NOP_AdjToOperatingIncome" vbProcedure="false">#REF!</definedName>
    <definedName function="false" hidden="false" name="ZZ_NOP_ATInterestExpense" vbProcedure="false">#REF!</definedName>
    <definedName function="false" hidden="false" name="ZZ_NOP_ATInterestOnNonCapitalizedLeases" vbProcedure="false">#REF!</definedName>
    <definedName function="false" hidden="false" name="ZZ_NOP_ATNonOperatingIncome" vbProcedure="false">#REF!</definedName>
    <definedName function="false" hidden="false" name="ZZ_NOP_Balance" vbProcedure="false">#REF!</definedName>
    <definedName function="false" hidden="false" name="ZZ_NOP_CashTaxesPaid" vbProcedure="false">#REF!</definedName>
    <definedName function="false" hidden="false" name="ZZ_NOP_ChangeInDeferredTaxes" vbProcedure="false">#REF!</definedName>
    <definedName function="false" hidden="false" name="ZZ_NOP_ChangeInLIFOReserve" vbProcedure="false">#REF!</definedName>
    <definedName function="false" hidden="false" name="ZZ_NOP_EquityEquivalents" vbProcedure="false">#REF!</definedName>
    <definedName function="false" hidden="false" name="ZZ_NOP_IncomeAvailableToInvestors" vbProcedure="false">#REF!</definedName>
    <definedName function="false" hidden="false" name="ZZ_NOP_LeaseAdjustment" vbProcedure="false">#REF!</definedName>
    <definedName function="false" hidden="false" name="ZZ_NOP_MarginalTaxRate" vbProcedure="false">#REF!</definedName>
    <definedName function="false" hidden="false" name="ZZ_NOP_MarginalTaxRateManual" vbProcedure="false">#REF!</definedName>
    <definedName function="false" hidden="false" name="ZZ_NOP_NOPAT" vbProcedure="false">#REF!</definedName>
    <definedName function="false" hidden="false" name="ZZ_NOP_NOPATRecon" vbProcedure="false">#REF!</definedName>
    <definedName function="false" hidden="false" name="ZZ_NOP_NOPBT" vbProcedure="false">#REF!</definedName>
    <definedName function="false" hidden="false" name="ZZ_NOP_TaxesOnOperatingIncomeAdj" vbProcedure="false">#REF!</definedName>
    <definedName function="false" hidden="false" name="ZZ_NOP_TaxOnNonOperatingIncome" vbProcedure="false">#REF!</definedName>
    <definedName function="false" hidden="false" name="ZZ_NOP_TaxShieldOnInterestExpense" vbProcedure="false">#REF!</definedName>
    <definedName function="false" hidden="false" name="ZZ_OTH_AverageAccountsPayable" vbProcedure="false">#REF!</definedName>
    <definedName function="false" hidden="false" name="ZZ_OTH_AverageAccountsReceivable" vbProcedure="false">#REF!</definedName>
    <definedName function="false" hidden="false" name="ZZ_OTH_AverageCapitalizedAssets" vbProcedure="false">#REF!</definedName>
    <definedName function="false" hidden="false" name="ZZ_OTH_AverageInventories" vbProcedure="false">#REF!</definedName>
    <definedName function="false" hidden="false" name="ZZ_OTH_AverageNetFixedAssets" vbProcedure="false">#REF!</definedName>
    <definedName function="false" hidden="false" name="ZZ_OTH_AverageNWC" vbProcedure="false">#REF!</definedName>
    <definedName function="false" hidden="false" name="ZZ_OTH_CashTaxRate" vbProcedure="false">#REF!</definedName>
    <definedName function="false" hidden="false" name="ZZ_OTH_DaysInInventory" vbProcedure="false">#REF!</definedName>
    <definedName function="false" hidden="false" name="ZZ_OTH_DaysPayable" vbProcedure="false">#REF!</definedName>
    <definedName function="false" hidden="false" name="ZZ_OTH_DaysReceivable" vbProcedure="false">#REF!</definedName>
    <definedName function="false" hidden="false" name="ZZ_OTH_DividendPayoutRatio" vbProcedure="false">#REF!</definedName>
    <definedName function="false" hidden="false" name="ZZ_OTH_RetentionRate" vbProcedure="false">#REF!</definedName>
    <definedName function="false" hidden="false" name="ZZ_PRI_BAL_All" vbProcedure="false">#REF!</definedName>
    <definedName function="false" hidden="false" name="ZZ_PRI_CAS_All" vbProcedure="false">#REF!</definedName>
    <definedName function="false" hidden="false" name="ZZ_PRI_COM_All" vbProcedure="false">#REF!</definedName>
    <definedName function="false" hidden="false" name="ZZ_PRI_COS_All" vbProcedure="false">#REF!</definedName>
    <definedName function="false" hidden="false" name="ZZ_PRI_DCF_All" vbProcedure="false">#REF!</definedName>
    <definedName function="false" hidden="false" name="ZZ_PRI_EPS_All" vbProcedure="false">#REF!</definedName>
    <definedName function="false" hidden="false" name="ZZ_PRI_FRE_All" vbProcedure="false">#REF!</definedName>
    <definedName function="false" hidden="false" name="ZZ_PRI_GRO_All" vbProcedure="false">#REF!</definedName>
    <definedName function="false" hidden="false" name="ZZ_PRI_INC_All" vbProcedure="false">#REF!</definedName>
    <definedName function="false" hidden="false" name="ZZ_PRI_INV_All" vbProcedure="false">#REF!</definedName>
    <definedName function="false" hidden="false" name="ZZ_PRI_NOP_All" vbProcedure="false">#REF!</definedName>
    <definedName function="false" hidden="false" name="ZZ_PRI_OTH_All" vbProcedure="false">#REF!</definedName>
    <definedName function="false" hidden="false" name="ZZ_PRI_RET_All" vbProcedure="false">#REF!</definedName>
    <definedName function="false" hidden="false" name="ZZ_PRI_SUM_All" vbProcedure="false">#REF!</definedName>
    <definedName function="false" hidden="false" name="ZZ_PRI_VAL_0" vbProcedure="false">#REF!</definedName>
    <definedName function="false" hidden="false" name="ZZ_PRI_VAL_1" vbProcedure="false">#REF!</definedName>
    <definedName function="false" hidden="false" name="ZZ_RET_DuPont1" vbProcedure="false">#REF!</definedName>
    <definedName function="false" hidden="false" name="ZZ_RET_DuPont10" vbProcedure="false">#REF!</definedName>
    <definedName function="false" hidden="false" name="ZZ_RET_DuPont11" vbProcedure="false">#REF!</definedName>
    <definedName function="false" hidden="false" name="ZZ_RET_DuPont12" vbProcedure="false">#REF!</definedName>
    <definedName function="false" hidden="false" name="ZZ_RET_DuPont2" vbProcedure="false">#REF!</definedName>
    <definedName function="false" hidden="false" name="ZZ_RET_DuPont3" vbProcedure="false">#REF!</definedName>
    <definedName function="false" hidden="false" name="ZZ_RET_DuPont4" vbProcedure="false">#REF!</definedName>
    <definedName function="false" hidden="false" name="ZZ_RET_DuPont5" vbProcedure="false">#REF!</definedName>
    <definedName function="false" hidden="false" name="ZZ_RET_DuPont6" vbProcedure="false">#REF!</definedName>
    <definedName function="false" hidden="false" name="ZZ_RET_DuPont7" vbProcedure="false">#REF!</definedName>
    <definedName function="false" hidden="false" name="ZZ_RET_DuPont8" vbProcedure="false">#REF!</definedName>
    <definedName function="false" hidden="false" name="ZZ_RET_DuPont9" vbProcedure="false">#REF!</definedName>
    <definedName function="false" hidden="false" name="ZZ_RET_InternalGrowth" vbProcedure="false">#REF!</definedName>
    <definedName function="false" hidden="false" name="ZZ_RET_ROEAfterTax" vbProcedure="false">#REF!</definedName>
    <definedName function="false" hidden="false" name="ZZ_RET_ROEPreTax" vbProcedure="false">#REF!</definedName>
    <definedName function="false" hidden="false" name="ZZ_RET_Switch1" vbProcedure="false">#REF!</definedName>
    <definedName function="false" hidden="false" name="ZZ_RET_TotalAssets" vbProcedure="false">#REF!</definedName>
    <definedName function="false" hidden="false" name="ZZ_RET_TotalCapital" vbProcedure="false">#REF!</definedName>
    <definedName function="false" hidden="false" name="ZZ_RET_TotalEquity" vbProcedure="false">#REF!</definedName>
    <definedName function="false" hidden="false" name="ZZ_RET_TotalOperatingInvestedCapital" vbProcedure="false">#REF!</definedName>
    <definedName function="false" hidden="false" name="ZZ_SUM_AdjBVPS" vbProcedure="false">#REF!</definedName>
    <definedName function="false" hidden="false" name="ZZ_SUM_BegOperatingCapital" vbProcedure="false">#REF!</definedName>
    <definedName function="false" hidden="false" name="ZZ_SUM_CapitalCharge" vbProcedure="false">#REF!</definedName>
    <definedName function="false" hidden="false" name="ZZ_SUM_ChangeInEVA" vbProcedure="false">#REF!</definedName>
    <definedName function="false" hidden="false" name="ZZ_SUM_ChangeInMVA" vbProcedure="false">#REF!</definedName>
    <definedName function="false" hidden="false" name="ZZ_SUM_EVA" vbProcedure="false">#REF!</definedName>
    <definedName function="false" hidden="false" name="ZZ_SUM_EVASpread" vbProcedure="false">#REF!</definedName>
    <definedName function="false" hidden="false" name="ZZ_SUM_MVA" vbProcedure="false">#REF!</definedName>
    <definedName function="false" hidden="false" name="ZZ_SUM_MVAPS" vbProcedure="false">#REF!</definedName>
    <definedName function="false" hidden="false" name="ZZ_SUM_OperatingGrowth" vbProcedure="false">#REF!</definedName>
    <definedName function="false" hidden="false" name="ZZ_SUM_ReturnOnCapital" vbProcedure="false">#REF!</definedName>
    <definedName function="false" hidden="false" name="ZZ_SUM_TotalCapital" vbProcedure="false">#REF!</definedName>
    <definedName function="false" hidden="false" name="ZZ_SYS_AnalystName" vbProcedure="false">#REF!</definedName>
    <definedName function="false" hidden="false" name="ZZ_SYS_AutomaticData" vbProcedure="false">#REF!</definedName>
    <definedName function="false" hidden="false" name="ZZ_SYS_AvailableToForeigners" vbProcedure="false">#REF!</definedName>
    <definedName function="false" hidden="false" name="ZZ_SYS_Beta" vbProcedure="false">#REF!</definedName>
    <definedName function="false" hidden="false" name="ZZ_SYS_CodeBloomberg" vbProcedure="false">#REF!</definedName>
    <definedName function="false" hidden="false" name="ZZ_SYS_CodeDatastream" vbProcedure="false">#REF!</definedName>
    <definedName function="false" hidden="false" name="ZZ_SYS_CodeFileName" vbProcedure="false">#REF!</definedName>
    <definedName function="false" hidden="false" name="ZZ_SYS_CodeFilePath" vbProcedure="false">#REF!</definedName>
    <definedName function="false" hidden="false" name="ZZ_SYS_CodeFilePathTemp" vbProcedure="false">#REF!</definedName>
    <definedName function="false" hidden="false" name="ZZ_SYS_CodeLocal" vbProcedure="false">#REF!</definedName>
    <definedName function="false" hidden="false" name="ZZ_SYS_CodeReuters" vbProcedure="false">#REF!</definedName>
    <definedName function="false" hidden="false" name="ZZ_SYS_CompanyName" vbProcedure="false">#REF!</definedName>
    <definedName function="false" hidden="false" name="ZZ_SYS_CostOfDebt" vbProcedure="false">#REF!</definedName>
    <definedName function="false" hidden="false" name="ZZ_SYS_Country" vbProcedure="false">#REF!</definedName>
    <definedName function="false" hidden="false" name="ZZ_SYS_Currency" vbProcedure="false">#REF!</definedName>
    <definedName function="false" hidden="false" name="ZZ_SYS_CurrencyManual" vbProcedure="false">#REF!</definedName>
    <definedName function="false" hidden="false" name="ZZ_SYS_CurrentDateManual" vbProcedure="false">#REF!</definedName>
    <definedName function="false" hidden="false" name="ZZ_SYS_CurrentFreeFloatLocalManual" vbProcedure="false">#REF!</definedName>
    <definedName function="false" hidden="false" name="ZZ_SYS_CurrentMarketCapIssuedForeignManual" vbProcedure="false">#REF!</definedName>
    <definedName function="false" hidden="false" name="ZZ_SYS_CurrentMarketCapIssuedLocalAuto" vbProcedure="false">#REF!</definedName>
    <definedName function="false" hidden="false" name="ZZ_SYS_CurrentMarketCapIssuedLocalManual" vbProcedure="false">#REF!</definedName>
    <definedName function="false" hidden="false" name="ZZ_SYS_CurrentMonthNo" vbProcedure="false">#REF!</definedName>
    <definedName function="false" hidden="false" name="ZZ_SYS_CurrentPriceForeignAuto" vbProcedure="false">#REF!</definedName>
    <definedName function="false" hidden="false" name="ZZ_SYS_CurrentPriceForeignManual" vbProcedure="false">#REF!</definedName>
    <definedName function="false" hidden="false" name="ZZ_SYS_CurrentPriceLocalAuto" vbProcedure="false">#REF!</definedName>
    <definedName function="false" hidden="false" name="ZZ_SYS_CurrentPriceLocalManual" vbProcedure="false">#REF!</definedName>
    <definedName function="false" hidden="false" name="ZZ_SYS_CurrentSharesFreeFloatLocalManual" vbProcedure="false">#REF!</definedName>
    <definedName function="false" hidden="false" name="ZZ_SYS_CurrentSharesIssuedLocalAuto" vbProcedure="false">#REF!</definedName>
    <definedName function="false" hidden="false" name="ZZ_SYS_CurrentSharesIssuedLocalManual" vbProcedure="false">#REF!</definedName>
    <definedName function="false" hidden="false" name="ZZ_SYS_CurrentYearEnd" vbProcedure="false">#REF!</definedName>
    <definedName function="false" hidden="false" name="ZZ_SYS_Customize" vbProcedure="false">#REF!</definedName>
    <definedName function="false" hidden="false" name="ZZ_SYS_CustomPassword" vbProcedure="false">#REF!</definedName>
    <definedName function="false" hidden="false" name="ZZ_SYS_DecimalPlacesChoices" vbProcedure="false">#REF!</definedName>
    <definedName function="false" hidden="false" name="ZZ_SYS_DecimalPlacesMainIndex" vbProcedure="false">#REF!</definedName>
    <definedName function="false" hidden="false" name="ZZ_SYS_DecimalPlacesMultiplesIndex" vbProcedure="false">#REF!</definedName>
    <definedName function="false" hidden="false" name="ZZ_SYS_DecimalPlacesOtherIndex" vbProcedure="false">#REF!</definedName>
    <definedName function="false" hidden="false" name="ZZ_SYS_DecimalPlacesPercentIndex" vbProcedure="false">#REF!</definedName>
    <definedName function="false" hidden="false" name="ZZ_SYS_DecimalPlacesPriceIndex" vbProcedure="false">#REF!</definedName>
    <definedName function="false" hidden="false" name="ZZ_SYS_EquityRiskPremium" vbProcedure="false">#REF!</definedName>
    <definedName function="false" hidden="false" name="ZZ_SYS_Error1" vbProcedure="false">#REF!</definedName>
    <definedName function="false" hidden="false" name="ZZ_SYS_ExcludeMidYearAdj" vbProcedure="false">#REF!</definedName>
    <definedName function="false" hidden="false" name="ZZ_SYS_ExcludeTerminalValues" vbProcedure="false">#REF!</definedName>
    <definedName function="false" hidden="false" name="ZZ_SYS_ExpiryDate" vbProcedure="false">#REF!</definedName>
    <definedName function="false" hidden="false" name="ZZ_SYS_ExpiryStatus" vbProcedure="false">#REF!</definedName>
    <definedName function="false" hidden="false" name="ZZ_SYS_HideLicenseAgreement" vbProcedure="false">#REF!</definedName>
    <definedName function="false" hidden="false" name="ZZ_SYS_Installed" vbProcedure="false">#REF!</definedName>
    <definedName function="false" hidden="false" name="ZZ_SYS_InstalledBy" vbProcedure="false">#REF!</definedName>
    <definedName function="false" hidden="false" name="ZZ_SYS_InstalledDate" vbProcedure="false">#REF!</definedName>
    <definedName function="false" hidden="false" name="ZZ_SYS_LatestModelUpdate" vbProcedure="false">#REF!</definedName>
    <definedName function="false" hidden="false" name="ZZ_SYS_LatestModelUpdateAuto" vbProcedure="false">#REF!</definedName>
    <definedName function="false" hidden="false" name="ZZ_SYS_LatestModelUpdateManual" vbProcedure="false">#REF!</definedName>
    <definedName function="false" hidden="false" name="ZZ_SYS_LatestPriceUpdate" vbProcedure="false">#REF!</definedName>
    <definedName function="false" hidden="false" name="ZZ_SYS_LatestPriceUpdateAuto" vbProcedure="false">#REF!</definedName>
    <definedName function="false" hidden="false" name="ZZ_SYS_LatestPriceUpdateManual" vbProcedure="false">#REF!</definedName>
    <definedName function="false" hidden="false" name="ZZ_SYS_LocalCodeName" vbProcedure="false">#REF!</definedName>
    <definedName function="false" hidden="false" name="ZZ_SYS_MarketCapIssued" vbProcedure="false">#REF!</definedName>
    <definedName function="false" hidden="false" name="ZZ_SYS_MarketCode" vbProcedure="false">#REF!</definedName>
    <definedName function="false" hidden="false" name="ZZ_SYS_MarketCodeUsed" vbProcedure="false">#REF!</definedName>
    <definedName function="false" hidden="false" name="ZZ_SYS_MarketEPSGrowth" vbProcedure="false">#REF!</definedName>
    <definedName function="false" hidden="false" name="ZZ_SYS_MarketID" vbProcedure="false">#REF!</definedName>
    <definedName function="false" hidden="false" name="ZZ_SYS_MarketIDUsed" vbProcedure="false">#REF!</definedName>
    <definedName function="false" hidden="false" name="ZZ_SYS_MarketName" vbProcedure="false">#REF!</definedName>
    <definedName function="false" hidden="false" name="ZZ_SYS_MarketNameUsed" vbProcedure="false">#REF!</definedName>
    <definedName function="false" hidden="false" name="ZZ_SYS_MarketPE" vbProcedure="false">#REF!</definedName>
    <definedName function="false" hidden="false" name="ZZ_SYS_ModelID" vbProcedure="false">#REF!</definedName>
    <definedName function="false" hidden="false" name="ZZ_SYS_ModelType" vbProcedure="false">#REF!</definedName>
    <definedName function="false" hidden="false" name="ZZ_SYS_PRI_Activity" vbProcedure="false">#REF!</definedName>
    <definedName function="false" hidden="false" name="ZZ_SYS_PRI_BAL_All" vbProcedure="false">#REF!</definedName>
    <definedName function="false" hidden="false" name="ZZ_SYS_PRI_CAS_All" vbProcedure="false">#REF!</definedName>
    <definedName function="false" hidden="false" name="ZZ_SYS_PRI_COM_All" vbProcedure="false">#REF!</definedName>
    <definedName function="false" hidden="false" name="ZZ_SYS_PRI_COS_All" vbProcedure="false">#REF!</definedName>
    <definedName function="false" hidden="false" name="ZZ_SYS_PRI_DCF_All" vbProcedure="false">#REF!</definedName>
    <definedName function="false" hidden="false" name="ZZ_SYS_PRI_EPS_All" vbProcedure="false">#REF!</definedName>
    <definedName function="false" hidden="false" name="ZZ_SYS_PRI_Favourites" vbProcedure="false">#REF!</definedName>
    <definedName function="false" hidden="false" name="ZZ_SYS_PRI_FRE_All" vbProcedure="false">#REF!</definedName>
    <definedName function="false" hidden="false" name="ZZ_SYS_PRI_GRO_All" vbProcedure="false">#REF!</definedName>
    <definedName function="false" hidden="false" name="ZZ_SYS_PRI_INC_All" vbProcedure="false">#REF!</definedName>
    <definedName function="false" hidden="false" name="ZZ_SYS_PRI_INV_All" vbProcedure="false">#REF!</definedName>
    <definedName function="false" hidden="false" name="ZZ_SYS_PRI_NOP_All" vbProcedure="false">#REF!</definedName>
    <definedName function="false" hidden="false" name="ZZ_SYS_PRI_OTH_All" vbProcedure="false">#REF!</definedName>
    <definedName function="false" hidden="false" name="ZZ_SYS_PRI_RangeNames" vbProcedure="false">#REF!</definedName>
    <definedName function="false" hidden="false" name="ZZ_SYS_PRI_RangeTitles" vbProcedure="false">#REF!</definedName>
    <definedName function="false" hidden="false" name="ZZ_SYS_PRI_RET_All" vbProcedure="false">#REF!</definedName>
    <definedName function="false" hidden="false" name="ZZ_SYS_PRI_SUM_All" vbProcedure="false">#REF!</definedName>
    <definedName function="false" hidden="false" name="ZZ_SYS_PRI_VAL0" vbProcedure="false">#REF!</definedName>
    <definedName function="false" hidden="false" name="ZZ_SYS_PRI_VAL1" vbProcedure="false">#REF!</definedName>
    <definedName function="false" hidden="false" name="ZZ_SYS_Recommendation" vbProcedure="false">#REF!</definedName>
    <definedName function="false" hidden="false" name="ZZ_SYS_RecommendationDate" vbProcedure="false">#REF!</definedName>
    <definedName function="false" hidden="false" name="ZZ_SYS_RiskFreeRate" vbProcedure="false">#REF!</definedName>
    <definedName function="false" hidden="false" name="ZZ_SYS_Rounding" vbProcedure="false">#REF!</definedName>
    <definedName function="false" hidden="false" name="ZZ_SYS_RoundingIndex" vbProcedure="false">#REF!</definedName>
    <definedName function="false" hidden="false" name="ZZ_SYS_SectionName01" vbProcedure="false">#REF!</definedName>
    <definedName function="false" hidden="false" name="ZZ_SYS_SectionName02" vbProcedure="false">#REF!</definedName>
    <definedName function="false" hidden="false" name="ZZ_SYS_SectionName03" vbProcedure="false">#REF!</definedName>
    <definedName function="false" hidden="false" name="ZZ_SYS_SectionName04" vbProcedure="false">#REF!</definedName>
    <definedName function="false" hidden="false" name="ZZ_SYS_SectionName05" vbProcedure="false">#REF!</definedName>
    <definedName function="false" hidden="false" name="ZZ_SYS_SectionName06" vbProcedure="false">#REF!</definedName>
    <definedName function="false" hidden="false" name="ZZ_SYS_SectionName07" vbProcedure="false">#REF!</definedName>
    <definedName function="false" hidden="false" name="ZZ_SYS_SectionName08" vbProcedure="false">#REF!</definedName>
    <definedName function="false" hidden="false" name="ZZ_SYS_SectionName09" vbProcedure="false">#REF!</definedName>
    <definedName function="false" hidden="false" name="ZZ_SYS_SectionName10" vbProcedure="false">#REF!</definedName>
    <definedName function="false" hidden="false" name="ZZ_SYS_SectionName11" vbProcedure="false">#REF!</definedName>
    <definedName function="false" hidden="false" name="ZZ_SYS_SectionName12" vbProcedure="false">#REF!</definedName>
    <definedName function="false" hidden="false" name="ZZ_SYS_SectionName13" vbProcedure="false">#REF!</definedName>
    <definedName function="false" hidden="false" name="ZZ_SYS_SectionName14" vbProcedure="false">#REF!</definedName>
    <definedName function="false" hidden="false" name="ZZ_SYS_SectionName15" vbProcedure="false">#REF!</definedName>
    <definedName function="false" hidden="false" name="ZZ_SYS_SectionName16" vbProcedure="false">#REF!</definedName>
    <definedName function="false" hidden="false" name="ZZ_SYS_SectorCode" vbProcedure="false">#REF!</definedName>
    <definedName function="false" hidden="false" name="ZZ_SYS_SectorCodeUsed" vbProcedure="false">#REF!</definedName>
    <definedName function="false" hidden="false" name="ZZ_SYS_SectorID" vbProcedure="false">#REF!</definedName>
    <definedName function="false" hidden="false" name="ZZ_SYS_SectorIDUsed" vbProcedure="false">#REF!</definedName>
    <definedName function="false" hidden="false" name="ZZ_SYS_SectorName" vbProcedure="false">#REF!</definedName>
    <definedName function="false" hidden="false" name="ZZ_SYS_SectorNameUsed" vbProcedure="false">#REF!</definedName>
    <definedName function="false" hidden="false" name="ZZ_SYS_SharePrice" vbProcedure="false">#REF!</definedName>
    <definedName function="false" hidden="false" name="ZZ_SYS_SharesIssued" vbProcedure="false">#REF!</definedName>
    <definedName function="false" hidden="false" name="ZZ_SYS_SheetNames" vbProcedure="false">#REF!</definedName>
    <definedName function="false" hidden="false" name="ZZ_SYS_ShowPercents" vbProcedure="false">#REF!</definedName>
    <definedName function="false" hidden="false" name="ZZ_SYS_ShowXs" vbProcedure="false">#REF!</definedName>
    <definedName function="false" hidden="false" name="ZZ_SYS_Units" vbProcedure="false">#REF!</definedName>
    <definedName function="false" hidden="false" name="ZZ_SYS_UnitsManual" vbProcedure="false">#REF!</definedName>
    <definedName function="false" hidden="false" name="ZZ_SYS_UseCalculationHandling" vbProcedure="false">#REF!</definedName>
    <definedName function="false" hidden="false" name="ZZ_SYS_UseForeignPrice" vbProcedure="false">#REF!</definedName>
    <definedName function="false" hidden="false" name="ZZ_SYS_UsePrintRangeHandling" vbProcedure="false">#REF!</definedName>
    <definedName function="false" hidden="false" name="ZZ_SYS_UserMode" vbProcedure="false">#REF!</definedName>
    <definedName function="false" hidden="false" name="ZZ_SYS_UseTaxDeductibleGoodwillAmort" vbProcedure="false">#REF!</definedName>
    <definedName function="false" hidden="false" name="ZZ_SYS_VersionDate" vbProcedure="false">#REF!</definedName>
    <definedName function="false" hidden="false" name="ZZ_SYS_VersionNo" vbProcedure="false">#REF!</definedName>
    <definedName function="false" hidden="false" name="ZZ_SYS_YearCodeForecast" vbProcedure="false">#REF!</definedName>
    <definedName function="false" hidden="false" name="ZZ_SYS_YearCodeHistoric" vbProcedure="false">#REF!</definedName>
    <definedName function="false" hidden="false" name="ZZ_VAL_DDM_DiscountedDividends" vbProcedure="false">#REF!</definedName>
    <definedName function="false" hidden="false" name="ZZ_VAL_DDM_DiscountFactor" vbProcedure="false">#REF!</definedName>
    <definedName function="false" hidden="false" name="ZZ_VAL_DDM_DiscountRate" vbProcedure="false">#REF!</definedName>
    <definedName function="false" hidden="false" name="ZZ_VAL_DDM_DiscountRateManual" vbProcedure="false">#REF!</definedName>
    <definedName function="false" hidden="false" name="ZZ_VAL_DDM_Dividends" vbProcedure="false">#REF!</definedName>
    <definedName function="false" hidden="false" name="ZZ_VAL_DDM_DividendsManual" vbProcedure="false">#REF!</definedName>
    <definedName function="false" hidden="false" name="ZZ_VAL_DDM_ImpliedEquityValue" vbProcedure="false">#REF!</definedName>
    <definedName function="false" hidden="false" name="ZZ_VAL_DDM_ImpliedEquityValuePerShare" vbProcedure="false">#REF!</definedName>
    <definedName function="false" hidden="false" name="ZZ_VAL_DDM_LTGrowthRate" vbProcedure="false">#REF!</definedName>
    <definedName function="false" hidden="false" name="ZZ_VAL_DDM_LTGrowthRateManual" vbProcedure="false">#REF!</definedName>
    <definedName function="false" hidden="false" name="ZZ_VAL_DDM_TotalValue" vbProcedure="false">#REF!</definedName>
    <definedName function="false" hidden="false" name="ZZ_VAL_ENT_AdjToEquityValue" vbProcedure="false">#REF!</definedName>
    <definedName function="false" hidden="false" name="ZZ_VAL_ENT_EBITDA" vbProcedure="false">#REF!</definedName>
    <definedName function="false" hidden="false" name="ZZ_VAL_ENT_EnterpriseValue" vbProcedure="false">#REF!</definedName>
    <definedName function="false" hidden="false" name="ZZ_VAL_ENT_EquityValue" vbProcedure="false">#REF!</definedName>
    <definedName function="false" hidden="false" name="ZZ_VAL_IRR_FreeCashFlow" vbProcedure="false">#REF!</definedName>
    <definedName function="false" hidden="false" name="ZZ_VAL_IRR_FreeCashFlowManual" vbProcedure="false">#REF!</definedName>
    <definedName function="false" hidden="false" name="ZZ_VAL_PER_MarketCapActual" vbProcedure="false">#REF!</definedName>
    <definedName function="false" hidden="false" name="ZZ_VAL_PER_NetIncome" vbProcedure="false">#REF!</definedName>
    <definedName function="false" hidden="false" name="ZZ_VAL_PER_PEMultiple" vbProcedure="false">#REF!</definedName>
    <definedName function="false" hidden="false" name="ZZ_VAL_PER_PriceActual" vbProcedure="false">#REF!</definedName>
    <definedName function="false" hidden="false" name="\agro" vbProcedure="false">[1]Summary!$A$1</definedName>
    <definedName function="false" hidden="false" name="\agro2" vbProcedure="false">[1]Summary!$A$1</definedName>
    <definedName function="false" hidden="false" name="\B" vbProcedure="false">[2]Pulses!$A$1</definedName>
    <definedName function="false" hidden="false" name="\D" vbProcedure="false">[2]Pulses!$A$1</definedName>
    <definedName function="false" hidden="false" name="\P" vbProcedure="false">[2]Pulses!$A$1</definedName>
    <definedName function="false" hidden="false" name="\Q" vbProcedure="false">'[3]#REF'!$IK$6512</definedName>
    <definedName function="false" hidden="false" name="\S" vbProcedure="false">[2]Pulses!$A$62465</definedName>
    <definedName function="false" hidden="false" name="_3_" vbProcedure="false">[4]Sheet2!$A$1</definedName>
    <definedName function="false" hidden="false" name="_6_0RMconsu" vbProcedure="false">[5]Old!$A$1</definedName>
    <definedName function="false" hidden="false" name="_B" vbProcedure="false">[6]Pulses!$A$1</definedName>
    <definedName function="false" hidden="false" name="_B___0" vbProcedure="false">[6]Pulses!$A$1</definedName>
    <definedName function="false" hidden="false" name="_B___6" vbProcedure="false">[7]Pulses!$A$1</definedName>
    <definedName function="false" hidden="false" name="_ce1" vbProcedure="false">'[8]agrops&amp;ce'!$L$6:$L$44</definedName>
    <definedName function="false" hidden="false" name="_D" vbProcedure="false">[6]Pulses!$A$11009</definedName>
    <definedName function="false" hidden="false" name="_day1" vbProcedure="false">#REF!</definedName>
    <definedName function="false" hidden="false" name="_day2" vbProcedure="false">#REF!</definedName>
    <definedName function="false" hidden="false" name="_day3" vbProcedure="false">#REF!</definedName>
    <definedName function="false" hidden="false" name="_dd1" vbProcedure="false">[2]Pulses!$A$1:$S$311</definedName>
    <definedName function="false" hidden="false" name="_dd2" vbProcedure="false">[7]Pulses!$A$1:$S$311</definedName>
    <definedName function="false" hidden="false" name="_D___0" vbProcedure="false">[6]Pulses!$A$1</definedName>
    <definedName function="false" hidden="false" name="_D___6" vbProcedure="false">[7]Pulses!$A$1</definedName>
    <definedName function="false" hidden="false" name="_Key2" vbProcedure="false">'[3]#REF'!$D$1:$D$266</definedName>
    <definedName function="false" hidden="false" name="_Order1" vbProcedure="false">255</definedName>
    <definedName function="false" hidden="false" name="_Order2" vbProcedure="false">255</definedName>
    <definedName function="false" hidden="false" name="_P" vbProcedure="false">[6]Pulses!$B$2305</definedName>
    <definedName function="false" hidden="false" name="_P___0" vbProcedure="false">[6]Pulses!$A$1</definedName>
    <definedName function="false" hidden="false" name="_P___6" vbProcedure="false">[7]Pulses!$A$1</definedName>
    <definedName function="false" hidden="false" name="_Regression_Int" vbProcedure="false">1</definedName>
    <definedName function="false" hidden="false" name="_Regression_Out" vbProcedure="false">[9]Internet!$A$1</definedName>
    <definedName function="false" hidden="false" name="_S" vbProcedure="false">[6]Pulses!$A$1</definedName>
    <definedName function="false" hidden="false" name="_Sort" vbProcedure="false">'[3]#REF'!$A$1:$AC$265</definedName>
    <definedName function="false" hidden="false" name="_S___0" vbProcedure="false">[6]Pulses!$A$1</definedName>
    <definedName function="false" hidden="false" name="_S___6" vbProcedure="false">[7]Pulses!$A$1</definedName>
    <definedName function="false" hidden="false" name="_Table2_In1" vbProcedure="false">#REF!</definedName>
    <definedName function="false" hidden="false" name="_Table2_In2" vbProcedure="false">#REF!</definedName>
    <definedName function="false" hidden="false" name="_Table2_Out" vbProcedure="false">#REF!</definedName>
    <definedName function="false" hidden="false" name="__123Graph_A" vbProcedure="false">[3]MSI9920B!$A$1</definedName>
    <definedName function="false" hidden="false" name="__123Graph_B" vbProcedure="false">[3]MSI9920B!$A$1</definedName>
    <definedName function="false" hidden="false" name="__123Graph_C" vbProcedure="false">[3]MSI9920B!$A$1</definedName>
    <definedName function="false" hidden="false" name="__123Graph_D" vbProcedure="false">[3]MSI9920B!$A$1</definedName>
    <definedName function="false" hidden="false" name="__123Graph_E" vbProcedure="false">[3]MSI9920B!$A$1</definedName>
    <definedName function="false" hidden="false" name="__123Graph_X" vbProcedure="false">[3]MSI9920B!$A$1</definedName>
    <definedName function="false" hidden="false" localSheetId="6" name="a" vbProcedure="false">[10]Earning_Assum!$A$2305</definedName>
    <definedName function="false" hidden="false" localSheetId="6" name="AA" vbProcedure="false">[10]Earning_Assum!$A$3</definedName>
    <definedName function="false" hidden="false" localSheetId="6" name="aaa" vbProcedure="false">#REF!</definedName>
    <definedName function="false" hidden="false" localSheetId="6" name="Acquition" vbProcedure="false">#REF!</definedName>
    <definedName function="false" hidden="false" localSheetId="6" name="advertising" vbProcedure="false">#REF!</definedName>
    <definedName function="false" hidden="false" localSheetId="6" name="AFHrs" vbProcedure="false">#REF!</definedName>
    <definedName function="false" hidden="false" localSheetId="6" name="AFKW" vbProcedure="false">#REF!</definedName>
    <definedName function="false" hidden="false" localSheetId="6" name="agro1" vbProcedure="false">[1]Summary!$A$2305</definedName>
    <definedName function="false" hidden="false" localSheetId="6" name="agro2" vbProcedure="false">[1]Summary!$A$10</definedName>
    <definedName function="false" hidden="false" localSheetId="6" name="agro4" vbProcedure="false">[1]Summary!$A$1</definedName>
    <definedName function="false" hidden="false" localSheetId="6" name="Analyst" vbProcedure="false">#REF!</definedName>
    <definedName function="false" hidden="false" localSheetId="6" name="ARBL" vbProcedure="false">#REF!</definedName>
    <definedName function="false" hidden="false" localSheetId="6" name="asd" vbProcedure="false">#REF!</definedName>
    <definedName function="false" hidden="false" localSheetId="6" name="avg_vol_3m" vbProcedure="false">#REF!</definedName>
    <definedName function="false" hidden="false" localSheetId="6" name="B" vbProcedure="false">[10]Earning_Assum!$FE$14</definedName>
    <definedName function="false" hidden="false" localSheetId="6" name="bal" vbProcedure="false">#REF!</definedName>
    <definedName function="false" hidden="false" localSheetId="6" name="Balloon" vbProcedure="false">#REF!</definedName>
    <definedName function="false" hidden="false" localSheetId="6" name="Balloon_Amount" vbProcedure="false">#REF!</definedName>
    <definedName function="false" hidden="false" localSheetId="6" name="Basicshares" vbProcedure="false">#REF!</definedName>
    <definedName function="false" hidden="false" localSheetId="6" name="Basicsharesoutstanding" vbProcedure="false">#REF!</definedName>
    <definedName function="false" hidden="false" localSheetId="6" name="BasicYearEndEPS" vbProcedure="false">#REF!</definedName>
    <definedName function="false" hidden="false" localSheetId="6" name="BasicYearEndShares" vbProcedure="false">#REF!</definedName>
    <definedName function="false" hidden="false" localSheetId="6" name="BB" vbProcedure="false">[10]Earning_Assum!$A$2305</definedName>
    <definedName function="false" hidden="false" localSheetId="6" name="BE1_0" vbProcedure="false">#REF!</definedName>
    <definedName function="false" hidden="false" localSheetId="6" name="BE2_0" vbProcedure="false">#REF!,#REF!,#REF!</definedName>
    <definedName function="false" hidden="false" localSheetId="6" name="BE3_0" vbProcedure="false">#REF!,#REF!,#REF!</definedName>
    <definedName function="false" hidden="false" localSheetId="6" name="BE4_0" vbProcedure="false">#REF!,#REF!,#REF!</definedName>
    <definedName function="false" hidden="false" localSheetId="6" name="BE5_0" vbProcedure="false">#REF!,#REF!,#REF!</definedName>
    <definedName function="false" hidden="false" localSheetId="6" name="BL1_0" vbProcedure="false">#REF!</definedName>
    <definedName function="false" hidden="false" localSheetId="6" name="BL2_0" vbProcedure="false">#REF!,#REF!,#REF!</definedName>
    <definedName function="false" hidden="false" localSheetId="6" name="BL3_0" vbProcedure="false">#REF!,#REF!,#REF!</definedName>
    <definedName function="false" hidden="false" localSheetId="6" name="BL4_0" vbProcedure="false">#REF!,#REF!,#REF!</definedName>
    <definedName function="false" hidden="false" localSheetId="6" name="BL5_0" vbProcedure="false">#REF!,#REF!,#REF!</definedName>
    <definedName function="false" hidden="false" localSheetId="6" name="block_balancesheet_blue" vbProcedure="false">#REF!</definedName>
    <definedName function="false" hidden="false" localSheetId="6" name="block_businessbackground_blue" vbProcedure="false">#REF!</definedName>
    <definedName function="false" hidden="false" localSheetId="6" name="block_capitalhistory_blue" vbProcedure="false">#REF!</definedName>
    <definedName function="false" hidden="false" localSheetId="6" name="block_cashflow_blue" vbProcedure="false">#REF!</definedName>
    <definedName function="false" hidden="false" localSheetId="6" name="block_expansionplans_blue" vbProcedure="false">#REF!</definedName>
    <definedName function="false" hidden="false" localSheetId="6" name="block_forecasts_blue" vbProcedure="false">#REF!</definedName>
    <definedName function="false" hidden="false" localSheetId="6" name="block_identityblock_blue" vbProcedure="false">#REF!</definedName>
    <definedName function="false" hidden="false" localSheetId="6" name="block_incomestatement_blue" vbProcedure="false">#REF!</definedName>
    <definedName function="false" hidden="false" localSheetId="6" name="block_investmentargument_blue" vbProcedure="false">#REF!</definedName>
    <definedName function="false" hidden="false" localSheetId="6" name="block_keyassumptions2_blue" vbProcedure="false">#REF!</definedName>
    <definedName function="false" hidden="false" localSheetId="6" name="block_keyassumptions_blue" vbProcedure="false">#REF!</definedName>
    <definedName function="false" hidden="false" localSheetId="6" name="block_mainpoints_red" vbProcedure="false">#REF!</definedName>
    <definedName function="false" hidden="false" localSheetId="6" name="block_PEBANDS_none" vbProcedure="false">#REF!</definedName>
    <definedName function="false" hidden="false" localSheetId="6" name="block_perrel_none" vbProcedure="false">#REF!</definedName>
    <definedName function="false" hidden="false" localSheetId="6" name="block_pricetrends_none" vbProcedure="false">#REF!</definedName>
    <definedName function="false" hidden="false" localSheetId="6" name="block_ratioanalysis_blue" vbProcedure="false">#REF!</definedName>
    <definedName function="false" hidden="false" localSheetId="6" name="block_salesbreakdown_none" vbProcedure="false">#REF!</definedName>
    <definedName function="false" hidden="false" localSheetId="6" name="block_shareholdingpattern_blue" vbProcedure="false">#REF!</definedName>
    <definedName function="false" hidden="false" localSheetId="6" name="block_title_blue" vbProcedure="false">#REF!</definedName>
    <definedName function="false" hidden="false" localSheetId="6" name="Bloomberg" vbProcedure="false">#REF!</definedName>
    <definedName function="false" hidden="false" localSheetId="6" name="Bookvalue" vbProcedure="false">#REF!</definedName>
    <definedName function="false" hidden="false" localSheetId="6" name="bs" vbProcedure="false">#REF!</definedName>
    <definedName function="false" hidden="false" localSheetId="6" name="BSE200Member" vbProcedure="false">#REF!</definedName>
    <definedName function="false" hidden="false" localSheetId="6" name="BSECode" vbProcedure="false">#REF!</definedName>
    <definedName function="false" hidden="false" localSheetId="6" name="bs_sski" vbProcedure="false">#REF!</definedName>
    <definedName function="false" hidden="false" localSheetId="6" name="BuiltIn_Print_Area" vbProcedure="false">#REF!</definedName>
    <definedName function="false" hidden="false" localSheetId="6" name="BuiltIn_Print_Titles" vbProcedure="false">#REF!</definedName>
    <definedName function="false" hidden="false" localSheetId="6" name="BuiltIn_Print_Titles___0" vbProcedure="false">#REF!</definedName>
    <definedName function="false" hidden="false" localSheetId="6" name="BuiltIn_Print_Titles___0___0" vbProcedure="false">#REF!</definedName>
    <definedName function="false" hidden="false" localSheetId="6" name="BuiltIn_Print_Titles___0___0___0" vbProcedure="false">#REF!</definedName>
    <definedName function="false" hidden="false" localSheetId="6" name="BuiltIn_Print_Titles___0___0___0___0" vbProcedure="false">#REF!</definedName>
    <definedName function="false" hidden="false" localSheetId="6" name="buyback" vbProcedure="false">#REF!</definedName>
    <definedName function="false" hidden="false" localSheetId="6" name="CABLE" vbProcedure="false">#REF!</definedName>
    <definedName function="false" hidden="false" localSheetId="6" name="capacity" vbProcedure="false">[14]sales!$A$769</definedName>
    <definedName function="false" hidden="false" localSheetId="6" name="CapitalEmployed" vbProcedure="false">#REF!</definedName>
    <definedName function="false" hidden="false" localSheetId="6" name="CapitalExpenditure" vbProcedure="false">#REF!</definedName>
    <definedName function="false" hidden="false" localSheetId="6" name="Capitalisation" vbProcedure="false">#REF!</definedName>
    <definedName function="false" hidden="false" localSheetId="6" name="CashflowfromOperations" vbProcedure="false">#REF!</definedName>
    <definedName function="false" hidden="false" localSheetId="6" name="caz_bs" vbProcedure="false">#REF!</definedName>
    <definedName function="false" hidden="false" localSheetId="6" name="caz_cf" vbProcedure="false">#REF!</definedName>
    <definedName function="false" hidden="false" localSheetId="6" name="caz_pl" vbProcedure="false">#REF!</definedName>
    <definedName function="false" hidden="false" localSheetId="6" name="caz_ratio" vbProcedure="false">#REF!</definedName>
    <definedName function="false" hidden="false" localSheetId="6" name="CCC" vbProcedure="false">[10]Earning_Assum!$A$2305</definedName>
    <definedName function="false" hidden="false" localSheetId="6" name="ce" vbProcedure="false">#REF!</definedName>
    <definedName function="false" hidden="false" localSheetId="6" name="cell" vbProcedure="false">#REF!</definedName>
    <definedName function="false" hidden="false" localSheetId="6" name="centre_1" vbProcedure="false">#REF!</definedName>
    <definedName function="false" hidden="false" localSheetId="6" name="centre_2" vbProcedure="false">#REF!</definedName>
    <definedName function="false" hidden="false" localSheetId="6" name="cf" vbProcedure="false">#REF!</definedName>
    <definedName function="false" hidden="false" localSheetId="6" name="CFPS_Curr_Yr" vbProcedure="false">#REF!</definedName>
    <definedName function="false" hidden="false" localSheetId="6" name="CFPS_Lst_Yr" vbProcedure="false">#REF!</definedName>
    <definedName function="false" hidden="false" localSheetId="6" name="CFPS_Next_Yr" vbProcedure="false">#REF!</definedName>
    <definedName function="false" hidden="false" localSheetId="6" name="ChangesInWorkingCapital" vbProcedure="false">#REF!</definedName>
    <definedName function="false" hidden="false" localSheetId="6" name="Cochin" vbProcedure="false">#REF!</definedName>
    <definedName function="false" hidden="false" localSheetId="6" name="commerce" vbProcedure="false">#REF!</definedName>
    <definedName function="false" hidden="false" localSheetId="6" name="CommonDividendPaidOut" vbProcedure="false">#REF!</definedName>
    <definedName function="false" hidden="false" localSheetId="6" name="CommonStock" vbProcedure="false">#REF!</definedName>
    <definedName function="false" hidden="false" localSheetId="6" name="company" vbProcedure="false">#REF!</definedName>
    <definedName function="false" hidden="false" localSheetId="6" name="company_nameh" vbProcedure="false">#REF!</definedName>
    <definedName function="false" hidden="false" localSheetId="6" name="cons" vbProcedure="false">#REF!</definedName>
    <definedName function="false" hidden="false" localSheetId="6" name="COSTING_FOR_EACH__SET_OF_5__CONSISTS____POCUREMENT_BY_ADANI_LOGISTICS" vbProcedure="false">#REF!</definedName>
    <definedName function="false" hidden="false" localSheetId="6" name="cost_of_cap_growth" vbProcedure="false">#REF!</definedName>
    <definedName function="false" hidden="false" localSheetId="6" name="CS" vbProcedure="false">'[21]Main Sheet'!$A2</definedName>
    <definedName function="false" hidden="false" localSheetId="6" name="csbs" vbProcedure="false">#REF!</definedName>
    <definedName function="false" hidden="false" localSheetId="6" name="cscf" vbProcedure="false">#REF!</definedName>
    <definedName function="false" hidden="false" localSheetId="6" name="cspl" vbProcedure="false">#REF!</definedName>
    <definedName function="false" hidden="false" localSheetId="6" name="CurrentLiab" vbProcedure="false">#REF!</definedName>
    <definedName function="false" hidden="false" localSheetId="6" name="CurrentRatio" vbProcedure="false">[4]Introduction!$A2</definedName>
    <definedName function="false" hidden="false" localSheetId="6" name="curr_year_sales" vbProcedure="false">#REF!</definedName>
    <definedName function="false" hidden="false" localSheetId="6" name="days" vbProcedure="false">#REF!</definedName>
    <definedName function="false" hidden="false" localSheetId="6" name="daysss" vbProcedure="false">[24]Key_Base!$D$12</definedName>
    <definedName function="false" hidden="false" localSheetId="6" name="dcf_sensit" vbProcedure="false">#REF!</definedName>
    <definedName function="false" hidden="false" localSheetId="6" name="Delivery_Date" vbProcedure="false">#REF!</definedName>
    <definedName function="false" hidden="false" localSheetId="6" name="Deprecn" vbProcedure="false">#REF!</definedName>
    <definedName function="false" hidden="false" localSheetId="6" name="desktop" vbProcedure="false">#REF!</definedName>
    <definedName function="false" hidden="false" localSheetId="6" name="directors" vbProcedure="false">#REF!</definedName>
    <definedName function="false" hidden="false" localSheetId="6" name="dis" vbProcedure="false">#REF!</definedName>
    <definedName function="false" hidden="false" localSheetId="6" name="DispFmt" vbProcedure="false">[12]Input!$A$2305</definedName>
    <definedName function="false" hidden="false" localSheetId="6" name="diversity" vbProcedure="false">#REF!</definedName>
    <definedName function="false" hidden="false" localSheetId="6" name="diversityss" vbProcedure="false">[24]Key_Base!$D$18</definedName>
    <definedName function="false" hidden="false" localSheetId="6" name="docs" vbProcedure="false">#REF!</definedName>
    <definedName function="false" hidden="false" localSheetId="6" name="dp" vbProcedure="false">#REF!</definedName>
    <definedName function="false" hidden="false" localSheetId="6" name="DPS_Curr_Yr" vbProcedure="false">#REF!</definedName>
    <definedName function="false" hidden="false" localSheetId="6" name="DPS_Lst_Yr" vbProcedure="false">#REF!</definedName>
    <definedName function="false" hidden="false" localSheetId="6" name="DPS_Next_Yr" vbProcedure="false">#REF!</definedName>
    <definedName function="false" hidden="false" localSheetId="6" name="Drawdowns" vbProcedure="false">#REF!</definedName>
    <definedName function="false" hidden="false" localSheetId="6" name="E1E" vbProcedure="false">#REF!</definedName>
    <definedName function="false" hidden="false" localSheetId="6" name="E2E" vbProcedure="false">#REF!,#REF!,#REF!</definedName>
    <definedName function="false" hidden="false" localSheetId="6" name="E3E" vbProcedure="false">#REF!,#REF!,#REF!</definedName>
    <definedName function="false" hidden="false" localSheetId="6" name="E4E" vbProcedure="false">#REF!,#REF!,#REF!</definedName>
    <definedName function="false" hidden="false" localSheetId="6" name="E5E" vbProcedure="false">#REF!,#REF!,#REF!</definedName>
    <definedName function="false" hidden="false" localSheetId="6" name="Each_Installment" vbProcedure="false">#REF!</definedName>
    <definedName function="false" hidden="false" localSheetId="6" name="Earnings" vbProcedure="false">[10]Earning_Assum!$A$1</definedName>
    <definedName function="false" hidden="false" localSheetId="6" name="EBIT" vbProcedure="false">#REF!</definedName>
    <definedName function="false" hidden="false" localSheetId="6" name="EEE" vbProcedure="false">[10]Earning_Assum!$A2</definedName>
    <definedName function="false" hidden="false" localSheetId="6" name="Effective_cost" vbProcedure="false">#REF!</definedName>
    <definedName function="false" hidden="false" localSheetId="6" name="Effective_Cost_with_witholding" vbProcedure="false">#REF!</definedName>
    <definedName function="false" hidden="false" localSheetId="6" name="Effective_Spread" vbProcedure="false">#REF!</definedName>
    <definedName function="false" hidden="false" localSheetId="6" name="Effective_Spread_without_witholding" vbProcedure="false">#REF!</definedName>
    <definedName function="false" hidden="false" localSheetId="6" name="Employees" vbProcedure="false">#REF!</definedName>
    <definedName function="false" hidden="false" localSheetId="6" name="EPS_Curr_Qtr" vbProcedure="false">#REF!</definedName>
    <definedName function="false" hidden="false" localSheetId="6" name="EPS_Curr_Yr" vbProcedure="false">#REF!</definedName>
    <definedName function="false" hidden="false" localSheetId="6" name="EPS_Growth_Rate" vbProcedure="false">#REF!</definedName>
    <definedName function="false" hidden="false" localSheetId="6" name="EPS_Lst_Yr" vbProcedure="false">#REF!</definedName>
    <definedName function="false" hidden="false" localSheetId="6" name="EPS_Next_Yr" vbProcedure="false">#REF!</definedName>
    <definedName function="false" hidden="false" localSheetId="6" name="EPS_Qtr_Date" vbProcedure="false">#REF!</definedName>
    <definedName function="false" hidden="false" localSheetId="6" name="Equity_Ticker" vbProcedure="false">#REF!</definedName>
    <definedName function="false" hidden="false" localSheetId="6" name="er" vbProcedure="false">#REF!</definedName>
    <definedName function="false" hidden="false" localSheetId="6" name="Excel_BuiltIn_Database_0" vbProcedure="false">#REF!</definedName>
    <definedName function="false" hidden="false" localSheetId="6" name="Excel_BuiltIn_Database_1" vbProcedure="false">#REF!</definedName>
    <definedName function="false" hidden="false" localSheetId="6" name="Excel_BuiltIn_Database_6" vbProcedure="false">#REF!</definedName>
    <definedName function="false" hidden="false" localSheetId="6" name="ExchangeRates" vbProcedure="false">#REF!</definedName>
    <definedName function="false" hidden="false" localSheetId="6" name="exc_rate" vbProcedure="false">#REF!</definedName>
    <definedName function="false" hidden="false" localSheetId="6" name="exc_Rsmn" vbProcedure="false">#REF!</definedName>
    <definedName function="false" hidden="false" localSheetId="6" name="exec_board" vbProcedure="false">#REF!</definedName>
    <definedName function="false" hidden="false" localSheetId="6" name="Export" vbProcedure="false">#REF!</definedName>
    <definedName function="false" hidden="false" localSheetId="6" name="Factor" vbProcedure="false">#REF!</definedName>
    <definedName function="false" hidden="false" localSheetId="6" name="fcf" vbProcedure="false">#REF!</definedName>
    <definedName function="false" hidden="false" localSheetId="6" name="FDafan" vbProcedure="false">#REF!</definedName>
    <definedName function="false" hidden="false" localSheetId="6" name="FDFumigation" vbProcedure="false">#REF!</definedName>
    <definedName function="false" hidden="false" localSheetId="6" name="FDtemp" vbProcedure="false">#REF!</definedName>
    <definedName function="false" hidden="false" localSheetId="6" name="fdvfan" vbProcedure="false">#REF!</definedName>
    <definedName function="false" hidden="false" localSheetId="6" name="ffg" vbProcedure="false">#REF!</definedName>
    <definedName function="false" hidden="false" localSheetId="6" name="FinancialActivities" vbProcedure="false">#REF!</definedName>
    <definedName function="false" hidden="false" localSheetId="6" name="Financials" vbProcedure="false">#REF!</definedName>
    <definedName function="false" hidden="false" localSheetId="6" name="Flag1" vbProcedure="false">[10]Earning_Assum!$A2</definedName>
    <definedName function="false" hidden="false" localSheetId="6" name="FORMIII_COM" vbProcedure="false">'[32]EXIS-COMBINED'!$A$27</definedName>
    <definedName function="false" hidden="false" localSheetId="6" name="formii_com" vbProcedure="false">'[32]EXIS-COMBINED'!$A$2</definedName>
    <definedName function="false" hidden="false" localSheetId="6" name="FORMIV_COM" vbProcedure="false">'[32]EXIS-COMBINED'!$A$1</definedName>
    <definedName function="false" hidden="false" localSheetId="6" name="FORMVI_COM" vbProcedure="false">'[32]EXIS-COMBINED'!$A$1</definedName>
    <definedName function="false" hidden="false" localSheetId="6" name="FORMV_COM" vbProcedure="false">'[32]EXIS-COMBINED'!$A$1</definedName>
    <definedName function="false" hidden="false" localSheetId="6" name="FreeFloat" vbProcedure="false">#REF!</definedName>
    <definedName function="false" hidden="false" localSheetId="6" name="FSAKW" vbProcedure="false">#REF!</definedName>
    <definedName function="false" hidden="false" localSheetId="6" name="FSOne" vbProcedure="false">#REF!</definedName>
    <definedName function="false" hidden="false" localSheetId="6" name="FSTwo" vbProcedure="false">#REF!</definedName>
    <definedName function="false" hidden="false" localSheetId="6" name="FullyDilutedYearEndEPS" vbProcedure="false">#REF!</definedName>
    <definedName function="false" hidden="false" localSheetId="6" name="FullyDilutedYearEndShares" vbProcedure="false">#REF!</definedName>
    <definedName function="false" hidden="false" localSheetId="6" name="FumigationKW" vbProcedure="false">#REF!</definedName>
    <definedName function="false" hidden="false" localSheetId="6" name="fv" vbProcedure="false">#REF!</definedName>
    <definedName function="false" hidden="false" localSheetId="6" name="FY2004_" vbProcedure="false">#REF!</definedName>
    <definedName function="false" hidden="false" localSheetId="6" name="FY2005_" vbProcedure="false">#REF!</definedName>
    <definedName function="false" hidden="false" localSheetId="6" name="g" vbProcedure="false">#REF!</definedName>
    <definedName function="false" hidden="false" localSheetId="6" name="GDRParity" vbProcedure="false">#REF!</definedName>
    <definedName function="false" hidden="false" localSheetId="6" name="GDRPriceRs" vbProcedure="false">#REF!</definedName>
    <definedName function="false" hidden="false" localSheetId="6" name="GDRPriceUSD" vbProcedure="false">#REF!</definedName>
    <definedName function="false" hidden="false" localSheetId="6" name="GDRRsPrice" vbProcedure="false">#REF!</definedName>
    <definedName function="false" hidden="false" localSheetId="6" name="GrossProfit" vbProcedure="false">#REF!</definedName>
    <definedName function="false" hidden="false" localSheetId="6" name="growth_period" vbProcedure="false">#REF!</definedName>
    <definedName function="false" hidden="false" localSheetId="6" name="H1Rec" vbProcedure="false">#REF!</definedName>
    <definedName function="false" hidden="false" localSheetId="6" name="H1_1" vbProcedure="false">#REF!</definedName>
    <definedName function="false" hidden="false" localSheetId="6" name="H1_2" vbProcedure="false">#REF!,#REF!,#REF!</definedName>
    <definedName function="false" hidden="false" localSheetId="6" name="H2Tra" vbProcedure="false">#REF!</definedName>
    <definedName function="false" hidden="false" localSheetId="6" name="H2_1" vbProcedure="false">#REF!,#REF!,#REF!</definedName>
    <definedName function="false" hidden="false" localSheetId="6" name="H2_2" vbProcedure="false">#REF!,#REF!,#REF!</definedName>
    <definedName function="false" hidden="false" localSheetId="6" name="H4recl" vbProcedure="false">#REF!</definedName>
    <definedName function="false" hidden="false" localSheetId="6" name="h4swe" vbProcedure="false">#REF!</definedName>
    <definedName function="false" hidden="false" localSheetId="6" name="H5Bag" vbProcedure="false">#REF!</definedName>
    <definedName function="false" hidden="false" localSheetId="6" name="H6Shi" vbProcedure="false">#REF!</definedName>
    <definedName function="false" hidden="false" localSheetId="6" name="H7cir" vbProcedure="false">#REF!</definedName>
    <definedName function="false" hidden="false" localSheetId="6" name="HE1_0" vbProcedure="false">#REF!</definedName>
    <definedName function="false" hidden="false" localSheetId="6" name="HE2_0" vbProcedure="false">#REF!,#REF!,#REF!</definedName>
    <definedName function="false" hidden="false" localSheetId="6" name="HE3_0" vbProcedure="false">#REF!,#REF!,#REF!</definedName>
    <definedName function="false" hidden="false" localSheetId="6" name="HE4_0" vbProcedure="false">#REF!,#REF!,#REF!</definedName>
    <definedName function="false" hidden="false" localSheetId="6" name="HE5_0" vbProcedure="false">#REF!,#REF!,#REF!</definedName>
    <definedName function="false" hidden="false" localSheetId="6" name="Headers" vbProcedure="false">#REF!</definedName>
    <definedName function="false" hidden="false" localSheetId="6" name="hh" vbProcedure="false">#REF!</definedName>
    <definedName function="false" hidden="false" localSheetId="6" name="hhh" vbProcedure="false">[10]Earning_Assum!$A$2305</definedName>
    <definedName function="false" hidden="false" localSheetId="6" name="hhhhh" vbProcedure="false">[10]Earning_Assum!$A$32</definedName>
    <definedName function="false" hidden="false" localSheetId="6" name="hhhhhhhhhh" vbProcedure="false">[10]Earning_Assum!$A$1</definedName>
    <definedName function="false" hidden="false" localSheetId="6" name="hhhhhhhhhhhhhhh" vbProcedure="false">[10]Earning_Assum!$A$1</definedName>
    <definedName function="false" hidden="false" localSheetId="6" name="hhhhhhhhhhhhhhhhhhhhhhh" vbProcedure="false">[10]Earning_Assum!$A$1</definedName>
    <definedName function="false" hidden="false" localSheetId="6" name="HighLow" vbProcedure="false">#REF!</definedName>
    <definedName function="false" hidden="false" localSheetId="6" name="hj" vbProcedure="false">#REF!,#REF!,#REF!</definedName>
    <definedName function="false" hidden="false" localSheetId="6" name="hjggj" vbProcedure="false">#REF!,#REF!,#REF!</definedName>
    <definedName function="false" hidden="false" localSheetId="6" name="HL1_0" vbProcedure="false">#REF!</definedName>
    <definedName function="false" hidden="false" localSheetId="6" name="HL1_1" vbProcedure="false">#REF!</definedName>
    <definedName function="false" hidden="false" localSheetId="6" name="HL1_2" vbProcedure="false">#REF!,#REF!</definedName>
    <definedName function="false" hidden="false" localSheetId="6" name="HL2_0" vbProcedure="false">#REF!,#REF!,#REF!</definedName>
    <definedName function="false" hidden="false" localSheetId="6" name="HL2_1" vbProcedure="false">#REF!,#REF!</definedName>
    <definedName function="false" hidden="false" localSheetId="6" name="HL2_2" vbProcedure="false">#REF!,#REF!</definedName>
    <definedName function="false" hidden="false" localSheetId="6" name="HL3_0" vbProcedure="false">#REF!,#REF!,#REF!</definedName>
    <definedName function="false" hidden="false" localSheetId="6" name="HL4_0" vbProcedure="false">#REF!,#REF!,#REF!</definedName>
    <definedName function="false" hidden="false" localSheetId="6" name="HL5_0" vbProcedure="false">#REF!,#REF!,#REF!</definedName>
    <definedName function="false" hidden="false" localSheetId="6" name="HLCL" vbProcedure="false">#REF!</definedName>
    <definedName function="false" hidden="false" localSheetId="6" name="hll_pond" vbProcedure="false">#REF!</definedName>
    <definedName function="false" hidden="false" localSheetId="6" name="hour1" vbProcedure="false">#REF!</definedName>
    <definedName function="false" hidden="false" localSheetId="6" name="hour10" vbProcedure="false">#REF!</definedName>
    <definedName function="false" hidden="false" localSheetId="6" name="hour11" vbProcedure="false">#REF!</definedName>
    <definedName function="false" hidden="false" localSheetId="6" name="Hour12" vbProcedure="false">#REF!</definedName>
    <definedName function="false" hidden="false" localSheetId="6" name="Hour13" vbProcedure="false">#REF!</definedName>
    <definedName function="false" hidden="false" localSheetId="6" name="hour14" vbProcedure="false">#REF!</definedName>
    <definedName function="false" hidden="false" localSheetId="6" name="Hour15" vbProcedure="false">#REF!</definedName>
    <definedName function="false" hidden="false" localSheetId="6" name="hour2" vbProcedure="false">#REF!</definedName>
    <definedName function="false" hidden="false" localSheetId="6" name="hour3" vbProcedure="false">#REF!</definedName>
    <definedName function="false" hidden="false" localSheetId="6" name="hour4" vbProcedure="false">#REF!</definedName>
    <definedName function="false" hidden="false" localSheetId="6" name="hour5" vbProcedure="false">#REF!</definedName>
    <definedName function="false" hidden="false" localSheetId="6" name="Hour6" vbProcedure="false">#REF!</definedName>
    <definedName function="false" hidden="false" localSheetId="6" name="hour7" vbProcedure="false">#REF!</definedName>
    <definedName function="false" hidden="false" localSheetId="6" name="Hour8" vbProcedure="false">#REF!</definedName>
    <definedName function="false" hidden="false" localSheetId="6" name="hour9" vbProcedure="false">#REF!</definedName>
    <definedName function="false" hidden="false" localSheetId="6" name="hours14" vbProcedure="false">#REF!</definedName>
    <definedName function="false" hidden="false" localSheetId="6" name="IncomeTax" vbProcedure="false">#REF!</definedName>
    <definedName function="false" hidden="false" localSheetId="6" name="IncomeTaxPaidOut" vbProcedure="false">#REF!</definedName>
    <definedName function="false" hidden="false" localSheetId="6" name="inc_model" vbProcedure="false">#REF!</definedName>
    <definedName function="false" hidden="false" localSheetId="6" name="IndexC" vbProcedure="false">#REF!</definedName>
    <definedName function="false" hidden="false" localSheetId="6" name="IndexCs" vbProcedure="false">#REF!</definedName>
    <definedName function="false" hidden="false" localSheetId="6" name="industry" vbProcedure="false">#REF!</definedName>
    <definedName function="false" hidden="false" localSheetId="6" name="INR_per_USD" vbProcedure="false">#REF!</definedName>
    <definedName function="false" hidden="false" localSheetId="6" name="Installments_peryear" vbProcedure="false">#REF!</definedName>
    <definedName function="false" hidden="false" localSheetId="6" name="Interest" vbProcedure="false">#REF!</definedName>
    <definedName function="false" hidden="false" localSheetId="6" name="InterestExpense" vbProcedure="false">#REF!</definedName>
    <definedName function="false" hidden="false" localSheetId="6" name="Interests" vbProcedure="false">#REF!</definedName>
    <definedName function="false" hidden="false" localSheetId="6" name="Investments" vbProcedure="false">#REF!</definedName>
    <definedName function="false" hidden="false" localSheetId="6" name="ITAX" vbProcedure="false">#REF!</definedName>
    <definedName function="false" hidden="false" localSheetId="6" name="ITAXs" vbProcedure="false">#REF!</definedName>
    <definedName function="false" hidden="false" localSheetId="6" name="kew" vbProcedure="false">#REF!</definedName>
    <definedName function="false" hidden="false" localSheetId="6" name="klll" vbProcedure="false">#REF!,#REF!,#REF!</definedName>
    <definedName function="false" hidden="false" localSheetId="6" name="L" vbProcedure="false">#REF!</definedName>
    <definedName function="false" hidden="false" localSheetId="6" name="L1L" vbProcedure="false">#REF!,#REF!</definedName>
    <definedName function="false" hidden="false" localSheetId="6" name="L2L" vbProcedure="false">#REF!,#REF!</definedName>
    <definedName function="false" hidden="false" localSheetId="6" name="L3L" vbProcedure="false">#REF!,#REF!</definedName>
    <definedName function="false" hidden="false" localSheetId="6" name="L4L" vbProcedure="false">#REF!,#REF!</definedName>
    <definedName function="false" hidden="false" localSheetId="6" name="L5L" vbProcedure="false">#REF!,#REF!</definedName>
    <definedName function="false" hidden="false" localSheetId="6" name="labor_annual_increase" vbProcedure="false">#REF!</definedName>
    <definedName function="false" hidden="false" localSheetId="6" name="Labour_cost_per__TEU" vbProcedure="false">#REF!</definedName>
    <definedName function="false" hidden="false" localSheetId="6" name="Last_Installment_Date" vbProcedure="false">#REF!</definedName>
    <definedName function="false" hidden="false" localSheetId="6" name="Lawyer_Fee" vbProcedure="false">#REF!</definedName>
    <definedName function="false" hidden="false" localSheetId="6" name="Layup_02\03" vbProcedure="false">[10]Earning_Assum!$A$2305</definedName>
    <definedName function="false" hidden="false" localSheetId="6" name="Layup_03\04" vbProcedure="false">[10]Earning_Assum!$J$10</definedName>
    <definedName function="false" hidden="false" localSheetId="6" name="Layup_04\05" vbProcedure="false">[10]Earning_Assum!$J$2314</definedName>
    <definedName function="false" hidden="false" localSheetId="6" name="LeaseAdj" vbProcedure="false">[12]Input!$J$2314</definedName>
    <definedName function="false" hidden="false" localSheetId="6" name="MAT" vbProcedure="false">#REF!</definedName>
    <definedName function="false" hidden="false" localSheetId="6" name="MATs" vbProcedure="false">#REF!</definedName>
    <definedName function="false" hidden="false" localSheetId="6" name="Maximum_loan_available" vbProcedure="false">#REF!</definedName>
    <definedName function="false" hidden="false" localSheetId="6" name="mc_ms" vbProcedure="false">#REF!</definedName>
    <definedName function="false" hidden="false" localSheetId="6" name="Mico" vbProcedure="false">[38]Mico!$A$1</definedName>
    <definedName function="false" hidden="false" localSheetId="6" name="MinGraph" vbProcedure="false">#REF!</definedName>
    <definedName function="false" hidden="false" localSheetId="6" name="mkt_strength" vbProcedure="false">#REF!</definedName>
    <definedName function="false" hidden="false" localSheetId="6" name="Months" vbProcedure="false">#REF!</definedName>
    <definedName function="false" hidden="false" localSheetId="6" name="MrgnTax" vbProcedure="false">[12]Profile!$A$2305</definedName>
    <definedName function="false" hidden="false" localSheetId="6" name="NationalMember" vbProcedure="false">#REF!</definedName>
    <definedName function="false" hidden="false" localSheetId="6" name="NetCashGenerated" vbProcedure="false">#REF!</definedName>
    <definedName function="false" hidden="false" localSheetId="6" name="NetDebtToEquity" vbProcedure="false">#REF!</definedName>
    <definedName function="false" hidden="false" localSheetId="6" name="NetFixedAssets" vbProcedure="false">#REF!</definedName>
    <definedName function="false" hidden="false" localSheetId="6" name="NetInterest" vbProcedure="false">InterestIncome-'CASH FOW STATEMENT'!InterestExpense</definedName>
    <definedName function="false" hidden="false" localSheetId="6" name="NetProfitMargin" vbProcedure="false">#REF!</definedName>
    <definedName function="false" hidden="false" localSheetId="6" name="Num_of_plots" vbProcedure="false">#REF!</definedName>
    <definedName function="false" hidden="false" localSheetId="6" name="OnePager" vbProcedure="false">#REF!</definedName>
    <definedName function="false" hidden="false" localSheetId="6" name="OperatingCashflow" vbProcedure="false">[4]Introduction!$A$1</definedName>
    <definedName function="false" hidden="false" localSheetId="6" name="OperatingProfit" vbProcedure="false">#REF!</definedName>
    <definedName function="false" hidden="false" localSheetId="6" name="OperatingProfitMargin" vbProcedure="false">#REF!</definedName>
    <definedName function="false" hidden="false" localSheetId="6" name="ops" vbProcedure="false">#REF!+#REF!</definedName>
    <definedName function="false" hidden="false" localSheetId="6" name="opss" vbProcedure="false">[39]Key_Base!$D$20+[39]Key_Base!$E$20</definedName>
    <definedName function="false" hidden="false" localSheetId="6" name="opsss" vbProcedure="false">[24]Key_Base!$D$20+[24]Key_Base!$E$20</definedName>
    <definedName function="false" hidden="false" localSheetId="6" name="OTHER" vbProcedure="false">#REF!</definedName>
    <definedName function="false" hidden="false" localSheetId="6" name="OtherIncome" vbProcedure="false">#REF!</definedName>
    <definedName function="false" hidden="false" localSheetId="6" name="OtherLTAssets" vbProcedure="false">#REF!</definedName>
    <definedName function="false" hidden="false" localSheetId="6" name="OtherLTLiabilities" vbProcedure="false">#REF!</definedName>
    <definedName function="false" hidden="false" localSheetId="6" name="others" vbProcedure="false">#REF!</definedName>
    <definedName function="false" hidden="false" localSheetId="6" name="other_inc" vbProcedure="false">#REF!</definedName>
    <definedName function="false" hidden="false" localSheetId="6" name="OutputGrowthEstimates" vbProcedure="false">[4]Old!B$1</definedName>
    <definedName function="false" hidden="false" localSheetId="6" name="ownership" vbProcedure="false">#REF!</definedName>
    <definedName function="false" hidden="false" localSheetId="6" name="page1" vbProcedure="false">#REF!</definedName>
    <definedName function="false" hidden="false" localSheetId="6" name="page2" vbProcedure="false">#REF!</definedName>
    <definedName function="false" hidden="false" localSheetId="6" name="ParValue" vbProcedure="false">#REF!</definedName>
    <definedName function="false" hidden="false" localSheetId="6" name="pe" vbProcedure="false">#REF!</definedName>
    <definedName function="false" hidden="false" localSheetId="6" name="pebanddata" vbProcedure="false">#REF!</definedName>
    <definedName function="false" hidden="false" localSheetId="6" name="PEMultiplesFirstyear" vbProcedure="false">#REF!</definedName>
    <definedName function="false" hidden="false" localSheetId="6" name="PEMultiplesLastyear" vbProcedure="false">#REF!</definedName>
    <definedName function="false" hidden="false" localSheetId="6" name="pereldata" vbProcedure="false">#REF!</definedName>
    <definedName function="false" hidden="false" localSheetId="6" name="pe_to_pop" vbProcedure="false">#REF!</definedName>
    <definedName function="false" hidden="false" localSheetId="6" name="PivotData" vbProcedure="false">OFFSET(#REF!,0,0,COUNTA(#REF!),COUNTA(#REF!))</definedName>
    <definedName function="false" hidden="false" localSheetId="6" name="PJCapex" vbProcedure="false">#REF!</definedName>
    <definedName function="false" hidden="false" localSheetId="6" name="PJInterestIncome" vbProcedure="false">#REF!</definedName>
    <definedName function="false" hidden="false" localSheetId="6" name="pjlongtermdebtchanges" vbProcedure="false">#REF!</definedName>
    <definedName function="false" hidden="false" localSheetId="6" name="pjlongterminterestexpense" vbProcedure="false">#REF!</definedName>
    <definedName function="false" hidden="false" localSheetId="6" name="pjnetcashflow" vbProcedure="false">#REF!</definedName>
    <definedName function="false" hidden="false" localSheetId="6" name="pjshorttermdebtchanges" vbProcedure="false">#REF!</definedName>
    <definedName function="false" hidden="false" localSheetId="6" name="pjshortterminterestexpense" vbProcedure="false">#REF!</definedName>
    <definedName function="false" hidden="false" localSheetId="6" name="PJYears" vbProcedure="false">#REF!</definedName>
    <definedName function="false" hidden="false" localSheetId="6" name="pl" vbProcedure="false">#REF!</definedName>
    <definedName function="false" hidden="false" localSheetId="6" name="pl_sski" vbProcedure="false">#REF!</definedName>
    <definedName function="false" hidden="false" localSheetId="6" name="pop_growth" vbProcedure="false">#REF!</definedName>
    <definedName function="false" hidden="false" localSheetId="6" name="pres" vbProcedure="false">[39]Key_Base!$D$19+[39]Key_Base!$E$19</definedName>
    <definedName function="false" hidden="false" localSheetId="6" name="press" vbProcedure="false">[24]Key_Base!$D$19+[24]Key_Base!$E$19</definedName>
    <definedName function="false" hidden="false" localSheetId="6" name="PretaxProfit" vbProcedure="false">#REF!</definedName>
    <definedName function="false" hidden="false" localSheetId="6" name="pri" vbProcedure="false">#REF!</definedName>
    <definedName function="false" hidden="false" localSheetId="6" name="price" vbProcedure="false">#REF!</definedName>
    <definedName function="false" hidden="false" localSheetId="6" name="PriceChg1" vbProcedure="false">#REF!</definedName>
    <definedName function="false" hidden="false" localSheetId="6" name="PriceChg12" vbProcedure="false">#REF!</definedName>
    <definedName function="false" hidden="false" localSheetId="6" name="PriceChg3" vbProcedure="false">#REF!</definedName>
    <definedName function="false" hidden="false" localSheetId="6" name="priceh" vbProcedure="false">#REF!</definedName>
    <definedName function="false" hidden="false" localSheetId="6" name="PricesFYEnd" vbProcedure="false">#REF!</definedName>
    <definedName function="false" hidden="false" localSheetId="6" name="PricesIndexed" vbProcedure="false">#REF!</definedName>
    <definedName function="false" hidden="false" localSheetId="6" name="production" vbProcedure="false">#REF!</definedName>
    <definedName function="false" hidden="false" localSheetId="6" name="PSV" vbProcedure="false">#REF!</definedName>
    <definedName function="false" hidden="false" localSheetId="6" name="Q1_1" vbProcedure="false">#REF!</definedName>
    <definedName function="false" hidden="false" localSheetId="6" name="Q1_2" vbProcedure="false">#REF!,#REF!,#REF!</definedName>
    <definedName function="false" hidden="false" localSheetId="6" name="Q1_3" vbProcedure="false">#REF!,#REF!,#REF!</definedName>
    <definedName function="false" hidden="false" localSheetId="6" name="Q1_4" vbProcedure="false">#REF!,#REF!,#REF!</definedName>
    <definedName function="false" hidden="false" localSheetId="6" name="Q2_1" vbProcedure="false">#REF!,#REF!,#REF!</definedName>
    <definedName function="false" hidden="false" localSheetId="6" name="Q2_2" vbProcedure="false">#REF!,#REF!,#REF!</definedName>
    <definedName function="false" hidden="false" localSheetId="6" name="Q2_3" vbProcedure="false">#REF!,#REF!,#REF!</definedName>
    <definedName function="false" hidden="false" localSheetId="6" name="Q2_4" vbProcedure="false">#REF!,#REF!,#REF!</definedName>
    <definedName function="false" hidden="false" localSheetId="6" name="Q3_1" vbProcedure="false">#REF!,#REF!,#REF!</definedName>
    <definedName function="false" hidden="false" localSheetId="6" name="QL1_1" vbProcedure="false">#REF!,#REF!</definedName>
    <definedName function="false" hidden="false" localSheetId="6" name="QL1_2" vbProcedure="false">#REF!,#REF!</definedName>
    <definedName function="false" hidden="false" localSheetId="6" name="QL1_3" vbProcedure="false">#REF!,#REF!</definedName>
    <definedName function="false" hidden="false" localSheetId="6" name="QL1_4" vbProcedure="false">#REF!,#REF!</definedName>
    <definedName function="false" hidden="false" localSheetId="6" name="QL2_1" vbProcedure="false">#REF!,#REF!</definedName>
    <definedName function="false" hidden="false" localSheetId="6" name="QL2_2" vbProcedure="false">#REF!,#REF!</definedName>
    <definedName function="false" hidden="false" localSheetId="6" name="QL2_3" vbProcedure="false">#REF!,#REF!</definedName>
    <definedName function="false" hidden="false" localSheetId="6" name="QL2_4" vbProcedure="false">#REF!,#REF!</definedName>
    <definedName function="false" hidden="false" localSheetId="6" name="QL3_1" vbProcedure="false">#REF!,#REF!</definedName>
    <definedName function="false" hidden="false" localSheetId="6" name="ra" vbProcedure="false">#REF!</definedName>
    <definedName function="false" hidden="false" localSheetId="6" name="RATIO" vbProcedure="false">'[21]Main Sheet'!$A$2305</definedName>
    <definedName function="false" hidden="false" localSheetId="6" name="read_area" vbProcedure="false">#REF!</definedName>
    <definedName function="false" hidden="false" localSheetId="6" name="reco" vbProcedure="false">#REF!</definedName>
    <definedName function="false" hidden="false" localSheetId="6" name="recommendation" vbProcedure="false">#REF!</definedName>
    <definedName function="false" hidden="false" localSheetId="6" name="recommendationH" vbProcedure="false">#REF!</definedName>
    <definedName function="false" hidden="false" localSheetId="6" name="ReductInInvestments" vbProcedure="false">#REF!</definedName>
    <definedName function="false" hidden="false" localSheetId="6" name="relperfdata" vbProcedure="false">#REF!</definedName>
    <definedName function="false" hidden="false" localSheetId="6" name="Repayment_period" vbProcedure="false">#REF!</definedName>
    <definedName function="false" hidden="false" localSheetId="6" name="Repayment_Starts_on" vbProcedure="false">#REF!</definedName>
    <definedName function="false" hidden="false" localSheetId="6" name="ReservesAndPremium" vbProcedure="false">#REF!</definedName>
    <definedName function="false" hidden="false" localSheetId="6" name="Residential" vbProcedure="false">#REF!</definedName>
    <definedName function="false" hidden="false" localSheetId="6" name="RetainedEarnings" vbProcedure="false">#REF!</definedName>
    <definedName function="false" hidden="false" localSheetId="6" name="ReturnOnAssets" vbProcedure="false">[4]Introduction!$A$1</definedName>
    <definedName function="false" hidden="false" localSheetId="6" name="ReturnOnEquity" vbProcedure="false">[4]Introduction!$A$39</definedName>
    <definedName function="false" hidden="false" localSheetId="6" name="reuters" vbProcedure="false">#REF!</definedName>
    <definedName function="false" hidden="false" localSheetId="6" name="ReutersCode" vbProcedure="false">#REF!</definedName>
    <definedName function="false" hidden="false" localSheetId="6" name="reuters_codeh" vbProcedure="false">#REF!</definedName>
    <definedName function="false" hidden="false" localSheetId="6" name="Revenue" vbProcedure="false">[4]Old!$A$1</definedName>
    <definedName function="false" hidden="false" localSheetId="6" name="RevenueGrowth" vbProcedure="false">#REF!</definedName>
    <definedName function="false" hidden="false" localSheetId="6" name="RMconsumed" vbProcedure="false">[4]Old!$A$2305</definedName>
    <definedName function="false" hidden="false" localSheetId="6" name="rm_price" vbProcedure="false">#REF!</definedName>
    <definedName function="false" hidden="false" localSheetId="6" name="roce" vbProcedure="false">#REF!</definedName>
    <definedName function="false" hidden="false" localSheetId="6" name="roe" vbProcedure="false">#REF!</definedName>
    <definedName function="false" hidden="false" localSheetId="6" name="RSBasicShares" vbProcedure="false">[4]Sheet2!$A4098</definedName>
    <definedName function="false" hidden="false" localSheetId="6" name="RSDepreciation" vbProcedure="false">[4]Sheet3!$A$165</definedName>
    <definedName function="false" hidden="false" localSheetId="6" name="RSNPAT" vbProcedure="false">[4]Sheet3!$A$1</definedName>
    <definedName function="false" hidden="false" localSheetId="6" name="RSOperatingProfit" vbProcedure="false">[4]Sheet3!$A$1</definedName>
    <definedName function="false" hidden="false" localSheetId="6" name="RSOtherEquity" vbProcedure="false">[4]Sheet3!$A$1</definedName>
    <definedName function="false" hidden="false" localSheetId="6" name="RSOtherLTAssets" vbProcedure="false">[4]Sheet3!$A$1</definedName>
    <definedName function="false" hidden="false" localSheetId="6" name="RSOtherLTLiabilities" vbProcedure="false">[4]Sheet3!$A$1</definedName>
    <definedName function="false" hidden="false" localSheetId="6" name="RSRetainedEarnings" vbProcedure="false">[4]Sheet3!$A$1</definedName>
    <definedName function="false" hidden="false" localSheetId="6" name="RSWeightedaverageeps" vbProcedure="false">[4]Sheet3!$A$1</definedName>
    <definedName function="false" hidden="false" localSheetId="6" name="RSweightedaverageshares" vbProcedure="false">[4]Sheet3!$A$1</definedName>
    <definedName function="false" hidden="false" localSheetId="6" name="R_" vbProcedure="false">'[21]Main Sheet'!$A$1</definedName>
    <definedName function="false" hidden="false" localSheetId="6" name="R_M_Breakdown" vbProcedure="false">#REF!</definedName>
    <definedName function="false" hidden="false" localSheetId="6" name="sales" vbProcedure="false">#REF!</definedName>
    <definedName function="false" hidden="false" localSheetId="6" name="Sales_Breakdown" vbProcedure="false">#REF!</definedName>
    <definedName function="false" hidden="false" localSheetId="6" name="sales_realisation" vbProcedure="false">#REF!</definedName>
    <definedName function="false" hidden="false" localSheetId="6" name="sales_real_growth" vbProcedure="false">#REF!</definedName>
    <definedName function="false" hidden="false" localSheetId="6" name="sales_value" vbProcedure="false">#REF!</definedName>
    <definedName function="false" hidden="false" localSheetId="6" name="sales_val_growth" vbProcedure="false">#REF!</definedName>
    <definedName function="false" hidden="false" localSheetId="6" name="sales_vol" vbProcedure="false">#REF!</definedName>
    <definedName function="false" hidden="false" localSheetId="6" name="sales_vol_growth" vbProcedure="false">#REF!</definedName>
    <definedName function="false" hidden="false" localSheetId="6" name="SCI_Afra" vbProcedure="false">#REF!</definedName>
    <definedName function="false" hidden="false" localSheetId="6" name="SCi_Loan" vbProcedure="false">#REF!</definedName>
    <definedName function="false" hidden="false" localSheetId="6" name="SCI_Suez" vbProcedure="false">#REF!</definedName>
    <definedName function="false" hidden="false" localSheetId="6" name="sd" vbProcedure="false">[10]Earning_Assum!B$1</definedName>
    <definedName function="false" hidden="false" localSheetId="6" name="sector" vbProcedure="false">#REF!</definedName>
    <definedName function="false" hidden="false" localSheetId="6" name="seg" vbProcedure="false">[41]sales!$A$2305</definedName>
    <definedName function="false" hidden="false" localSheetId="6" name="sensex" vbProcedure="false">#REF!</definedName>
    <definedName function="false" hidden="false" localSheetId="6" name="SENSEXIndexed" vbProcedure="false">#REF!</definedName>
    <definedName function="false" hidden="false" localSheetId="6" name="SENSEXMember" vbProcedure="false">#REF!</definedName>
    <definedName function="false" hidden="false" localSheetId="6" name="SENSEXPrices" vbProcedure="false">#REF!</definedName>
    <definedName function="false" hidden="false" localSheetId="6" name="SGandA" vbProcedure="false">#REF!</definedName>
    <definedName function="false" hidden="false" localSheetId="6" name="ShareholdersEquity" vbProcedure="false">#REF!</definedName>
    <definedName function="false" hidden="false" localSheetId="6" name="shares" vbProcedure="false">#REF!</definedName>
    <definedName function="false" hidden="false" localSheetId="6" name="SharesPerGDR" vbProcedure="false">#REF!</definedName>
    <definedName function="false" hidden="false" localSheetId="6" name="sh_pri" vbProcedure="false">#REF!</definedName>
    <definedName function="false" hidden="false" localSheetId="6" name="sh_pti" vbProcedure="false">#REF!</definedName>
    <definedName function="false" hidden="false" localSheetId="6" name="Simplex" vbProcedure="false">#REF!</definedName>
    <definedName function="false" hidden="false" localSheetId="6" name="small_cap" vbProcedure="false">#REF!</definedName>
    <definedName function="false" hidden="false" localSheetId="6" name="software" vbProcedure="false">#REF!</definedName>
    <definedName function="false" hidden="false" localSheetId="6" name="speciality_chem" vbProcedure="false">#REF!</definedName>
    <definedName function="false" hidden="false" localSheetId="6" name="Spread" vbProcedure="false">#REF!</definedName>
    <definedName function="false" hidden="false" localSheetId="6" name="stable_growth_rate" vbProcedure="false">#REF!</definedName>
    <definedName function="false" hidden="false" localSheetId="6" name="Start_Detail" vbProcedure="false">#REF!</definedName>
    <definedName function="false" hidden="false" localSheetId="6" name="Start_Header" vbProcedure="false">#REF!</definedName>
    <definedName function="false" hidden="false" localSheetId="6" name="state_mktsh" vbProcedure="false">#REF!</definedName>
    <definedName function="false" hidden="false" localSheetId="6" name="Summary_Date" vbProcedure="false">#REF!</definedName>
    <definedName function="false" hidden="false" localSheetId="6" name="swap" vbProcedure="false">#REF!</definedName>
    <definedName function="false" hidden="false" localSheetId="6" name="Sweep_Hours" vbProcedure="false">#REF!</definedName>
    <definedName function="false" hidden="false" localSheetId="6" name="Sweep_KW" vbProcedure="false">#REF!</definedName>
    <definedName function="false" hidden="false" localSheetId="6" name="Table" vbProcedure="false">#REF!</definedName>
    <definedName function="false" hidden="false" localSheetId="6" name="target_pri" vbProcedure="false">#REF!</definedName>
    <definedName function="false" hidden="false" localSheetId="6" name="tariff_incr" vbProcedure="false">'[45]P&amp;L Depots C1'!$A$2305</definedName>
    <definedName function="false" hidden="false" localSheetId="6" name="tariff_incr1" vbProcedure="false">'[46]P&amp;L Depots C1'!$A$10</definedName>
    <definedName function="false" hidden="false" localSheetId="6" name="tea_estates" vbProcedure="false">[41]shareholding!$A$13313</definedName>
    <definedName function="false" hidden="false" localSheetId="6" name="Technical" vbProcedure="false">#REF!</definedName>
    <definedName function="false" hidden="false" localSheetId="6" name="tetley" vbProcedure="false">#REF!</definedName>
    <definedName function="false" hidden="false" localSheetId="6" name="THC_incr" vbProcedure="false">'[45]P&amp;L Depots C1'!$A$2305</definedName>
    <definedName function="false" hidden="false" localSheetId="6" name="TMKW" vbProcedure="false">#REF!</definedName>
    <definedName function="false" hidden="false" localSheetId="6" name="today" vbProcedure="false">#REF!</definedName>
    <definedName function="false" hidden="false" localSheetId="6" name="total" vbProcedure="false">#REF!</definedName>
    <definedName function="false" hidden="false" localSheetId="6" name="TotalAssets" vbProcedure="false">'CASH FOW STATEMENT'!CapitalEmployed+'CASH FOW STATEMENT'!CurrentLiab</definedName>
    <definedName function="false" hidden="false" localSheetId="6" name="TotalAssetsNet" vbProcedure="false">#REF!</definedName>
    <definedName function="false" hidden="false" localSheetId="6" name="TotalChangesInWorkingCapital" vbProcedure="false">#REF!</definedName>
    <definedName function="false" hidden="false" localSheetId="6" name="TotalCurrentAssets" vbProcedure="false">#REF!</definedName>
    <definedName function="false" hidden="false" localSheetId="6" name="TotalCurrentLiabilities" vbProcedure="false">#REF!</definedName>
    <definedName function="false" hidden="false" localSheetId="6" name="TotalDebt" vbProcedure="false">LongTermDebt+ShortTermDebt+CurrentPortion</definedName>
    <definedName function="false" hidden="false" localSheetId="6" name="totalss" vbProcedure="false">[24]Key_Base!$D$7</definedName>
    <definedName function="false" hidden="false" localSheetId="6" name="Total_Installments" vbProcedure="false">#REF!</definedName>
    <definedName function="false" hidden="false" localSheetId="6" name="tr" vbProcedure="false">[4]Sheet2!B$1</definedName>
    <definedName function="false" hidden="false" localSheetId="6" name="tt_subsidiaries" vbProcedure="false">[41]shareholding!$A21250</definedName>
    <definedName function="false" hidden="false" localSheetId="6" name="unilever" vbProcedure="false">#REF!</definedName>
    <definedName function="false" hidden="false" localSheetId="6" name="Upfront_Fee" vbProcedure="false">#REF!</definedName>
    <definedName function="false" hidden="false" localSheetId="6" name="USD_Libor_Swap_rate" vbProcedure="false">#REF!</definedName>
    <definedName function="false" hidden="false" localSheetId="6" name="Vessel_Cost" vbProcedure="false">#REF!</definedName>
    <definedName function="false" hidden="false" localSheetId="6" name="VFHrs" vbProcedure="false">#REF!</definedName>
    <definedName function="false" hidden="false" localSheetId="6" name="VFKW" vbProcedure="false">#REF!</definedName>
    <definedName function="false" hidden="false" localSheetId="6" name="vol" vbProcedure="false">[41]sales!$A$2305</definedName>
    <definedName function="false" hidden="false" localSheetId="6" name="Volume_Growth" vbProcedure="false">#REF!</definedName>
    <definedName function="false" hidden="false" localSheetId="6" name="WDV" vbProcedure="false">#REF!</definedName>
    <definedName function="false" hidden="false" localSheetId="6" name="WeightedAverageEPS" vbProcedure="false">#REF!</definedName>
    <definedName function="false" hidden="false" localSheetId="6" name="wrn_All_" vbProcedure="false">{#N/A,#N/A,TRUE,"Introduction";#N/A,#N/A,TRUE,"Operating Statistics";#N/A,#N/A,TRUE,"Capex &amp; Depreciation";#N/A,#N/A,TRUE,"Equity";#N/A,#N/A,TRUE,"Debt";#N/A,#N/A,TRUE,"Debt (2)";#N/A,#N/A,TRUE,"Financials";#N/A,#N/A,TRUE,"Market Info";#N/A,#N/A,TRUE,"Company Card";#N/A,#N/A,TRUE,"One Pager";#N/A,#N/A,TRUE,"First Page";#N/A,#N/A,TRUE,"Technical";#N/A,#N/A,TRUE,"Range Names"}</definedName>
    <definedName function="false" hidden="false" localSheetId="6" name="wrn_Full___Financials_" vbProcedure="false">{#N/A,#N/A,TRUE,"Financials";#N/A,#N/A,TRUE,"Operating Statistics";#N/A,#N/A,TRUE,"Capex &amp; Depreciation";#N/A,#N/A,TRUE,"Debt"}</definedName>
    <definedName function="false" hidden="false" localSheetId="6" name="wrn_One___Pager___plus___Technicals_" vbProcedure="false">{#N/A,#N/A,FALSE,"One Pager";#N/A,#N/A,FALSE,"Technical"}</definedName>
    <definedName function="false" hidden="false" localSheetId="6" name="Y_Y_Growth" vbProcedure="false">'[47]Model (Not Merged)'!$A$2305</definedName>
    <definedName function="false" hidden="false" localSheetId="6" name="Z" vbProcedure="false">[10]Earning_Assum!$A$1</definedName>
    <definedName function="false" hidden="false" localSheetId="6" name="ZZ_AAA_BSControl" vbProcedure="false">#REF!</definedName>
    <definedName function="false" hidden="false" localSheetId="6" name="ZZ_AAA_IncludeManual" vbProcedure="false">#REF!</definedName>
    <definedName function="false" hidden="false" localSheetId="6" name="ZZ_AAA_ISControl" vbProcedure="false">#REF!</definedName>
    <definedName function="false" hidden="false" localSheetId="6" name="ZZ_AAA_TerminalStartTest1" vbProcedure="false">#REF!</definedName>
    <definedName function="false" hidden="false" localSheetId="6" name="ZZ_AAA_TerminalStartTest2" vbProcedure="false">#REF!</definedName>
    <definedName function="false" hidden="false" localSheetId="6" name="ZZ_AAA_TerminalStartTest3" vbProcedure="false">#REF!</definedName>
    <definedName function="false" hidden="false" localSheetId="6" name="ZZ_AAA_TerminalStartTest4" vbProcedure="false">#REF!</definedName>
    <definedName function="false" hidden="false" localSheetId="6" name="ZZ_AAA_TerminalStartTest5" vbProcedure="false">#REF!</definedName>
    <definedName function="false" hidden="false" localSheetId="6" name="ZZ_AAA_YearCount" vbProcedure="false">#REF!</definedName>
    <definedName function="false" hidden="false" localSheetId="6" name="ZZ_AAA_YearEndManual" vbProcedure="false">#REF!</definedName>
    <definedName function="false" hidden="false" localSheetId="6" name="ZZ_AAA_YearEnds" vbProcedure="false">#REF!</definedName>
    <definedName function="false" hidden="false" localSheetId="6" name="ZZ_AA_User1" vbProcedure="false">#REF!</definedName>
    <definedName function="false" hidden="false" localSheetId="6" name="ZZ_AA_User2" vbProcedure="false">#REF!</definedName>
    <definedName function="false" hidden="false" localSheetId="6" name="ZZ_AA_User3" vbProcedure="false">#REF!</definedName>
    <definedName function="false" hidden="false" localSheetId="6" name="ZZ_AA_User4" vbProcedure="false">#REF!</definedName>
    <definedName function="false" hidden="false" localSheetId="6" name="ZZ_AA_User5" vbProcedure="false">#REF!</definedName>
    <definedName function="false" hidden="false" localSheetId="6" name="ZZ_BAL_AccountsPayable" vbProcedure="false">#REF!</definedName>
    <definedName function="false" hidden="false" localSheetId="6" name="ZZ_BAL_AccountsReceivable" vbProcedure="false">#REF!</definedName>
    <definedName function="false" hidden="false" localSheetId="6" name="ZZ_BAL_AverageTotalDebt" vbProcedure="false">#REF!</definedName>
    <definedName function="false" hidden="false" localSheetId="6" name="ZZ_BAL_Balance" vbProcedure="false">#REF!</definedName>
    <definedName function="false" hidden="false" localSheetId="6" name="ZZ_BAL_CapitalizedAssets" vbProcedure="false">#REF!</definedName>
    <definedName function="false" hidden="false" localSheetId="6" name="ZZ_BAL_ConstructionInProgress" vbProcedure="false">#REF!</definedName>
    <definedName function="false" hidden="false" localSheetId="6" name="ZZ_BAL_DebtNet" vbProcedure="false">#REF!</definedName>
    <definedName function="false" hidden="false" localSheetId="6" name="ZZ_BAL_DebtTotal" vbProcedure="false">#REF!</definedName>
    <definedName function="false" hidden="false" localSheetId="6" name="ZZ_BAL_DeferredTaxes" vbProcedure="false">#REF!</definedName>
    <definedName function="false" hidden="false" localSheetId="6" name="ZZ_BAL_Goodwill" vbProcedure="false">#REF!</definedName>
    <definedName function="false" hidden="false" localSheetId="6" name="ZZ_BAL_Inventories" vbProcedure="false">#REF!</definedName>
    <definedName function="false" hidden="false" localSheetId="6" name="ZZ_BAL_LongTermDebt" vbProcedure="false">#REF!</definedName>
    <definedName function="false" hidden="false" localSheetId="6" name="ZZ_BAL_LongTermInterestAssets" vbProcedure="false">#REF!</definedName>
    <definedName function="false" hidden="false" localSheetId="6" name="ZZ_BAL_LongTermNonInterestLiabilities" vbProcedure="false">#REF!</definedName>
    <definedName function="false" hidden="false" localSheetId="6" name="ZZ_BAL_LongTermNonOperatingAssets" vbProcedure="false">#REF!</definedName>
    <definedName function="false" hidden="false" localSheetId="6" name="ZZ_BAL_MinorityInterest" vbProcedure="false">#REF!</definedName>
    <definedName function="false" hidden="false" localSheetId="6" name="ZZ_BAL_NetAssets" vbProcedure="false">#REF!</definedName>
    <definedName function="false" hidden="false" localSheetId="6" name="ZZ_BAL_NetAssetsAverage" vbProcedure="false">#REF!</definedName>
    <definedName function="false" hidden="false" localSheetId="6" name="ZZ_BAL_NetCurrentAssets" vbProcedure="false">#REF!</definedName>
    <definedName function="false" hidden="false" localSheetId="6" name="ZZ_BAL_NetFixedAssets" vbProcedure="false">#REF!</definedName>
    <definedName function="false" hidden="false" localSheetId="6" name="ZZ_BAL_NetWorkingCapital" vbProcedure="false">#REF!</definedName>
    <definedName function="false" hidden="false" localSheetId="6" name="ZZ_BAL_OBSILeases" vbProcedure="false">#REF!</definedName>
    <definedName function="false" hidden="false" localSheetId="6" name="ZZ_BAL_OBSIOther" vbProcedure="false">#REF!</definedName>
    <definedName function="false" hidden="false" localSheetId="6" name="ZZ_BAL_OperatingCash" vbProcedure="false">#REF!</definedName>
    <definedName function="false" hidden="false" localSheetId="6" name="ZZ_BAL_OtherCurrentAssets" vbProcedure="false">#REF!</definedName>
    <definedName function="false" hidden="false" localSheetId="6" name="ZZ_BAL_OtherCurrentLiabilities" vbProcedure="false">#REF!</definedName>
    <definedName function="false" hidden="false" localSheetId="6" name="ZZ_BAL_OtherReserves" vbProcedure="false">#REF!</definedName>
    <definedName function="false" hidden="false" localSheetId="6" name="ZZ_BAL_PreferredStock" vbProcedure="false">#REF!</definedName>
    <definedName function="false" hidden="false" localSheetId="6" name="ZZ_BAL_RetainedEarnings" vbProcedure="false">#REF!</definedName>
    <definedName function="false" hidden="false" localSheetId="6" name="ZZ_BAL_RevaluationReserve" vbProcedure="false">#REF!</definedName>
    <definedName function="false" hidden="false" localSheetId="6" name="ZZ_BAL_ShareCapital" vbProcedure="false">#REF!</definedName>
    <definedName function="false" hidden="false" localSheetId="6" name="ZZ_BAL_SharePremium" vbProcedure="false">#REF!</definedName>
    <definedName function="false" hidden="false" localSheetId="6" name="ZZ_BAL_StatutoryReserves" vbProcedure="false">#REF!</definedName>
    <definedName function="false" hidden="false" localSheetId="6" name="ZZ_BAL_STDebt" vbProcedure="false">#REF!</definedName>
    <definedName function="false" hidden="false" localSheetId="6" name="ZZ_BAL_STInvestments" vbProcedure="false">#REF!</definedName>
    <definedName function="false" hidden="false" localSheetId="6" name="ZZ_BAL_TotalAssets" vbProcedure="false">#REF!</definedName>
    <definedName function="false" hidden="false" localSheetId="6" name="ZZ_BAL_TotalAssetsAverage" vbProcedure="false">#REF!</definedName>
    <definedName function="false" hidden="false" localSheetId="6" name="ZZ_BAL_TotalCommonEquity" vbProcedure="false">#REF!</definedName>
    <definedName function="false" hidden="false" localSheetId="6" name="ZZ_BAL_TotalCurrentAssets" vbProcedure="false">#REF!</definedName>
    <definedName function="false" hidden="false" localSheetId="6" name="ZZ_BAL_TotalCurrentLiabilities" vbProcedure="false">#REF!</definedName>
    <definedName function="false" hidden="false" localSheetId="6" name="ZZ_BAL_TotalEquity" vbProcedure="false">#REF!</definedName>
    <definedName function="false" hidden="false" localSheetId="6" name="ZZ_BAL_TotalEquityAverage" vbProcedure="false">#REF!</definedName>
    <definedName function="false" hidden="false" localSheetId="6" name="ZZ_BAL_TotalLiabilities" vbProcedure="false">#REF!</definedName>
    <definedName function="false" hidden="false" localSheetId="6" name="ZZ_BAL_TotalLiabilitiesPlusEquity" vbProcedure="false">#REF!</definedName>
    <definedName function="false" hidden="false" localSheetId="6" name="ZZ_BAL_TotalLongTermLiabilities" vbProcedure="false">#REF!</definedName>
    <definedName function="false" hidden="false" localSheetId="6" name="ZZ_BAL_TotalReserves" vbProcedure="false">#REF!</definedName>
    <definedName function="false" hidden="false" localSheetId="6" name="ZZ_CAP_AccumulatedGoodwillAmort" vbProcedure="false">#REF!</definedName>
    <definedName function="false" hidden="false" localSheetId="6" name="ZZ_CAP_AccumulatedGoodwillAmortManual" vbProcedure="false">#REF!</definedName>
    <definedName function="false" hidden="false" localSheetId="6" name="ZZ_CAP_AdjToOperatingCapital" vbProcedure="false">#REF!</definedName>
    <definedName function="false" hidden="false" localSheetId="6" name="ZZ_CAP_AdjustedCommonEquity" vbProcedure="false">#REF!</definedName>
    <definedName function="false" hidden="false" localSheetId="6" name="ZZ_CAP_Balance" vbProcedure="false">#REF!</definedName>
    <definedName function="false" hidden="false" localSheetId="6" name="ZZ_CAP_ChangeInOperatingCapital" vbProcedure="false">#REF!</definedName>
    <definedName function="false" hidden="false" localSheetId="6" name="ZZ_CAP_EquityEquivalents" vbProcedure="false">#REF!</definedName>
    <definedName function="false" hidden="false" localSheetId="6" name="ZZ_CAP_LIFOReserve" vbProcedure="false">#REF!</definedName>
    <definedName function="false" hidden="false" localSheetId="6" name="ZZ_CAP_NetWorkingCapitalAdj" vbProcedure="false">#REF!</definedName>
    <definedName function="false" hidden="false" localSheetId="6" name="ZZ_CAP_NonOperatingCapital" vbProcedure="false">#REF!</definedName>
    <definedName function="false" hidden="false" localSheetId="6" name="ZZ_CAP_OperatingCapital" vbProcedure="false">#REF!</definedName>
    <definedName function="false" hidden="false" localSheetId="6" name="ZZ_CAP_OperatingCapitalAverage" vbProcedure="false">#REF!</definedName>
    <definedName function="false" hidden="false" localSheetId="6" name="ZZ_CAP_TotalCapital" vbProcedure="false">#REF!</definedName>
    <definedName function="false" hidden="false" localSheetId="6" name="ZZ_CAP_TotalCapitalAverage" vbProcedure="false">#REF!</definedName>
    <definedName function="false" hidden="false" localSheetId="6" name="ZZ_CAP_TotalCapitalRecon" vbProcedure="false">#REF!</definedName>
    <definedName function="false" hidden="false" localSheetId="6" name="ZZ_CAP_TotalDebtAdj" vbProcedure="false">#REF!</definedName>
    <definedName function="false" hidden="false" localSheetId="6" name="ZZ_CAP_ValueOfOperatingLeases" vbProcedure="false">#REF!</definedName>
    <definedName function="false" hidden="false" localSheetId="6" name="ZZ_CAS_Balance" vbProcedure="false">#REF!</definedName>
    <definedName function="false" hidden="false" localSheetId="6" name="ZZ_CAS_CashFlowFinancing" vbProcedure="false">#REF!</definedName>
    <definedName function="false" hidden="false" localSheetId="6" name="ZZ_CAS_CashFlowInvestment" vbProcedure="false">#REF!</definedName>
    <definedName function="false" hidden="false" localSheetId="6" name="ZZ_CAS_CashFlowOperational" vbProcedure="false">#REF!</definedName>
    <definedName function="false" hidden="false" localSheetId="6" name="ZZ_CAS_CashSTInvestments" vbProcedure="false">#REF!</definedName>
    <definedName function="false" hidden="false" localSheetId="6" name="ZZ_CAS_ChangeInCapitalizedAssets" vbProcedure="false">#REF!</definedName>
    <definedName function="false" hidden="false" localSheetId="6" name="ZZ_CAS_ChangeInCIP" vbProcedure="false">#REF!</definedName>
    <definedName function="false" hidden="false" localSheetId="6" name="ZZ_CAS_ChangeInCommonEquity" vbProcedure="false">#REF!</definedName>
    <definedName function="false" hidden="false" localSheetId="6" name="ZZ_CAS_ChangeInGoodwill" vbProcedure="false">#REF!</definedName>
    <definedName function="false" hidden="false" localSheetId="6" name="ZZ_CAS_ChangeInInvestmentsAssets" vbProcedure="false">#REF!</definedName>
    <definedName function="false" hidden="false" localSheetId="6" name="ZZ_CAS_ChangeInLTDebt" vbProcedure="false">#REF!</definedName>
    <definedName function="false" hidden="false" localSheetId="6" name="ZZ_CAS_ChangeInMinorityInterest" vbProcedure="false">#REF!</definedName>
    <definedName function="false" hidden="false" localSheetId="6" name="ZZ_CAS_ChangeInNetFixedAssets" vbProcedure="false">#REF!</definedName>
    <definedName function="false" hidden="false" localSheetId="6" name="ZZ_CAS_ChangeInOtherLTLiabilities" vbProcedure="false">#REF!</definedName>
    <definedName function="false" hidden="false" localSheetId="6" name="ZZ_CAS_ChangeInOtherNonOperatingAssets" vbProcedure="false">#REF!</definedName>
    <definedName function="false" hidden="false" localSheetId="6" name="ZZ_CAS_ChangeInOtherReserves" vbProcedure="false">#REF!</definedName>
    <definedName function="false" hidden="false" localSheetId="6" name="ZZ_CAS_ChangeInPreferredEquity" vbProcedure="false">#REF!</definedName>
    <definedName function="false" hidden="false" localSheetId="6" name="ZZ_CAS_ChangeInRevaluationReserve" vbProcedure="false">#REF!</definedName>
    <definedName function="false" hidden="false" localSheetId="6" name="ZZ_CAS_ChangeInSharePremium" vbProcedure="false">#REF!</definedName>
    <definedName function="false" hidden="false" localSheetId="6" name="ZZ_CAS_ChangeInStatutoryReserves" vbProcedure="false">#REF!</definedName>
    <definedName function="false" hidden="false" localSheetId="6" name="ZZ_CAS_ChangeInSTDebt" vbProcedure="false">#REF!</definedName>
    <definedName function="false" hidden="false" localSheetId="6" name="ZZ_CAS_ChangeInWC" vbProcedure="false">#REF!</definedName>
    <definedName function="false" hidden="false" localSheetId="6" name="ZZ_CAS_TotalCashFlow" vbProcedure="false">#REF!</definedName>
    <definedName function="false" hidden="false" localSheetId="6" name="ZZ_CAS_TotalCashFlowRecon" vbProcedure="false">#REF!</definedName>
    <definedName function="false" hidden="false" localSheetId="6" name="ZZ_COM_Assets" vbProcedure="false">#REF!</definedName>
    <definedName function="false" hidden="false" localSheetId="6" name="ZZ_COM_Switch1" vbProcedure="false">#REF!</definedName>
    <definedName function="false" hidden="false" localSheetId="6" name="ZZ_COS_BetaManual" vbProcedure="false">#REF!</definedName>
    <definedName function="false" hidden="false" localSheetId="6" name="ZZ_COS_BVCommonEquity" vbProcedure="false">#REF!</definedName>
    <definedName function="false" hidden="false" localSheetId="6" name="ZZ_COS_BVPreferredEquity" vbProcedure="false">#REF!</definedName>
    <definedName function="false" hidden="false" localSheetId="6" name="ZZ_COS_BVTotalCapital" vbProcedure="false">#REF!</definedName>
    <definedName function="false" hidden="false" localSheetId="6" name="ZZ_COS_BVTotalDebt" vbProcedure="false">#REF!</definedName>
    <definedName function="false" hidden="false" localSheetId="6" name="ZZ_COS_CostOfCommonEquity" vbProcedure="false">#REF!</definedName>
    <definedName function="false" hidden="false" localSheetId="6" name="ZZ_COS_CostOfDebtPostTax" vbProcedure="false">#REF!</definedName>
    <definedName function="false" hidden="false" localSheetId="6" name="ZZ_COS_CostOfDebtPreTaxManual" vbProcedure="false">#REF!</definedName>
    <definedName function="false" hidden="false" localSheetId="6" name="ZZ_COS_CostOfPreferredEquityManual" vbProcedure="false">#REF!</definedName>
    <definedName function="false" hidden="false" localSheetId="6" name="ZZ_COS_EquityRiskPremiumManual" vbProcedure="false">#REF!</definedName>
    <definedName function="false" hidden="false" localSheetId="6" name="ZZ_COS_MVCommonEquity" vbProcedure="false">#REF!</definedName>
    <definedName function="false" hidden="false" localSheetId="6" name="ZZ_COS_MVPreferredEquity" vbProcedure="false">#REF!</definedName>
    <definedName function="false" hidden="false" localSheetId="6" name="ZZ_COS_MVTotalCapital" vbProcedure="false">#REF!</definedName>
    <definedName function="false" hidden="false" localSheetId="6" name="ZZ_COS_MVTotalDebt" vbProcedure="false">#REF!</definedName>
    <definedName function="false" hidden="false" localSheetId="6" name="ZZ_COS_RequiredReturnCAPM" vbProcedure="false">#REF!</definedName>
    <definedName function="false" hidden="false" localSheetId="6" name="ZZ_COS_RequiredReturnManual" vbProcedure="false">#REF!</definedName>
    <definedName function="false" hidden="false" localSheetId="6" name="ZZ_COS_RiskFreeRateManual" vbProcedure="false">#REF!</definedName>
    <definedName function="false" hidden="false" localSheetId="6" name="ZZ_COS_Switch1" vbProcedure="false">#REF!</definedName>
    <definedName function="false" hidden="false" localSheetId="6" name="ZZ_COS_TargetDebtToCapitalManual" vbProcedure="false">#REF!</definedName>
    <definedName function="false" hidden="false" localSheetId="6" name="ZZ_COS_UnleveragedCostOfCapital" vbProcedure="false">#REF!</definedName>
    <definedName function="false" hidden="false" localSheetId="6" name="ZZ_COS_WACC" vbProcedure="false">#REF!</definedName>
    <definedName function="false" hidden="false" localSheetId="6" name="ZZ_COS_WACCActual" vbProcedure="false">#REF!</definedName>
    <definedName function="false" hidden="false" localSheetId="6" name="ZZ_COS_WACCManual" vbProcedure="false">#REF!</definedName>
    <definedName function="false" hidden="false" localSheetId="6" name="ZZ_COS_WGTCommonEquity" vbProcedure="false">#REF!</definedName>
    <definedName function="false" hidden="false" localSheetId="6" name="ZZ_COS_WGTPreferredEquity" vbProcedure="false">#REF!</definedName>
    <definedName function="false" hidden="false" localSheetId="6" name="ZZ_COS_WGTTotalDebt" vbProcedure="false">#REF!</definedName>
    <definedName function="false" hidden="false" localSheetId="6" name="ZZ_DCF_Balance" vbProcedure="false">#REF!</definedName>
    <definedName function="false" hidden="false" localSheetId="6" name="ZZ_DCF_EVA_Discounted" vbProcedure="false">#REF!</definedName>
    <definedName function="false" hidden="false" localSheetId="6" name="ZZ_DCF_EVA_DiscountedTotal" vbProcedure="false">#REF!</definedName>
    <definedName function="false" hidden="false" localSheetId="6" name="ZZ_DCF_EVA_DiscountFactor" vbProcedure="false">#REF!</definedName>
    <definedName function="false" hidden="false" localSheetId="6" name="ZZ_DCF_EVA_EconomicValueAdded" vbProcedure="false">#REF!</definedName>
    <definedName function="false" hidden="false" localSheetId="6" name="ZZ_DCF_EVA_EconomicValueAddedManual" vbProcedure="false">#REF!</definedName>
    <definedName function="false" hidden="false" localSheetId="6" name="ZZ_DCF_EVA_ImpliedEquityValue" vbProcedure="false">#REF!</definedName>
    <definedName function="false" hidden="false" localSheetId="6" name="ZZ_DCF_EVA_ImpliedEquityValuePerShare" vbProcedure="false">#REF!</definedName>
    <definedName function="false" hidden="false" localSheetId="6" name="ZZ_DCF_EVA_MidYearAdjustmentFactor" vbProcedure="false">#REF!</definedName>
    <definedName function="false" hidden="false" localSheetId="6" name="ZZ_DCF_EVA_OperatingValue" vbProcedure="false">#REF!</definedName>
    <definedName function="false" hidden="false" localSheetId="6" name="ZZ_DCF_EVA_OperatingValueAdj" vbProcedure="false">#REF!</definedName>
    <definedName function="false" hidden="false" localSheetId="6" name="ZZ_DCF_EVA_TotalValue" vbProcedure="false">#REF!</definedName>
    <definedName function="false" hidden="false" localSheetId="6" name="ZZ_DCF_EVA_WACC" vbProcedure="false">#REF!</definedName>
    <definedName function="false" hidden="false" localSheetId="6" name="ZZ_DCF_FCF_Discounted" vbProcedure="false">#REF!</definedName>
    <definedName function="false" hidden="false" localSheetId="6" name="ZZ_DCF_FCF_DiscountFactor" vbProcedure="false">#REF!</definedName>
    <definedName function="false" hidden="false" localSheetId="6" name="ZZ_DCF_FCF_FreeCashFlow" vbProcedure="false">#REF!</definedName>
    <definedName function="false" hidden="false" localSheetId="6" name="ZZ_DCF_FCF_FreeCashFlowManual" vbProcedure="false">#REF!</definedName>
    <definedName function="false" hidden="false" localSheetId="6" name="ZZ_DCF_FCF_ImpliedEquityValue" vbProcedure="false">#REF!</definedName>
    <definedName function="false" hidden="false" localSheetId="6" name="ZZ_DCF_FCF_ImpliedEquityValuePerShare" vbProcedure="false">#REF!</definedName>
    <definedName function="false" hidden="false" localSheetId="6" name="ZZ_DCF_FCF_MidYearAdjustmentFactor" vbProcedure="false">#REF!</definedName>
    <definedName function="false" hidden="false" localSheetId="6" name="ZZ_DCF_FCF_NetInvestment" vbProcedure="false">#REF!</definedName>
    <definedName function="false" hidden="false" localSheetId="6" name="ZZ_DCF_FCF_NOPAT" vbProcedure="false">#REF!</definedName>
    <definedName function="false" hidden="false" localSheetId="6" name="ZZ_DCF_FCF_OperatingValue" vbProcedure="false">#REF!</definedName>
    <definedName function="false" hidden="false" localSheetId="6" name="ZZ_DCF_FCF_OperatingValueAdj" vbProcedure="false">#REF!</definedName>
    <definedName function="false" hidden="false" localSheetId="6" name="ZZ_DCF_FCF_SharePremiumDiscount" vbProcedure="false">#REF!</definedName>
    <definedName function="false" hidden="false" localSheetId="6" name="ZZ_DCF_FCF_TotalValue" vbProcedure="false">#REF!</definedName>
    <definedName function="false" hidden="false" localSheetId="6" name="ZZ_DCF_FCF_WACC" vbProcedure="false">#REF!</definedName>
    <definedName function="false" hidden="false" localSheetId="6" name="ZZ_DCF_LTGrowthRate" vbProcedure="false">#REF!</definedName>
    <definedName function="false" hidden="false" localSheetId="6" name="ZZ_DCF_LTGrowthRateManual" vbProcedure="false">#REF!</definedName>
    <definedName function="false" hidden="false" localSheetId="6" name="ZZ_DCF_NON_TotalNonCommonEquity" vbProcedure="false">#REF!</definedName>
    <definedName function="false" hidden="false" localSheetId="6" name="ZZ_EPS_BookValuePS" vbProcedure="false">#REF!</definedName>
    <definedName function="false" hidden="false" localSheetId="6" name="ZZ_EPS_CFPSFree" vbProcedure="false">#REF!</definedName>
    <definedName function="false" hidden="false" localSheetId="6" name="ZZ_EPS_CFPSGross" vbProcedure="false">#REF!</definedName>
    <definedName function="false" hidden="false" localSheetId="6" name="ZZ_EPS_DPS" vbProcedure="false">#REF!</definedName>
    <definedName function="false" hidden="false" localSheetId="6" name="ZZ_EPS_DPSManual" vbProcedure="false">#REF!</definedName>
    <definedName function="false" hidden="false" localSheetId="6" name="ZZ_EPS_EPSBasic" vbProcedure="false">#REF!</definedName>
    <definedName function="false" hidden="false" localSheetId="6" name="ZZ_EPS_EPSBasicManual" vbProcedure="false">#REF!</definedName>
    <definedName function="false" hidden="false" localSheetId="6" name="ZZ_EPS_EPSBFullyDiluted" vbProcedure="false">#REF!</definedName>
    <definedName function="false" hidden="false" localSheetId="6" name="ZZ_EPS_EPSBFullyDilutedManual" vbProcedure="false">#REF!</definedName>
    <definedName function="false" hidden="false" localSheetId="6" name="ZZ_EPS_EPSPrimary" vbProcedure="false">#REF!</definedName>
    <definedName function="false" hidden="false" localSheetId="6" name="ZZ_EPS_EPSPrimaryManual" vbProcedure="false">#REF!</definedName>
    <definedName function="false" hidden="false" localSheetId="6" name="ZZ_EPS_MarketCapCurrent" vbProcedure="false">#REF!</definedName>
    <definedName function="false" hidden="false" localSheetId="6" name="ZZ_EPS_PriorYearAdjAnnual" vbProcedure="false">#REF!</definedName>
    <definedName function="false" hidden="false" localSheetId="6" name="ZZ_EPS_PriorYearAdjCumulative" vbProcedure="false">#REF!</definedName>
    <definedName function="false" hidden="false" localSheetId="6" name="ZZ_EPS_SharePriceAtYE" vbProcedure="false">#REF!</definedName>
    <definedName function="false" hidden="false" localSheetId="6" name="ZZ_EPS_SharePriceAtYEManual" vbProcedure="false">#REF!</definedName>
    <definedName function="false" hidden="false" localSheetId="6" name="ZZ_EPS_SharesAtYE" vbProcedure="false">#REF!</definedName>
    <definedName function="false" hidden="false" localSheetId="6" name="ZZ_EPS_SharesAtYEManual" vbProcedure="false">#REF!</definedName>
    <definedName function="false" hidden="false" localSheetId="6" name="ZZ_EPS_SharesFullyDiluted" vbProcedure="false">#REF!</definedName>
    <definedName function="false" hidden="false" localSheetId="6" name="ZZ_EPS_SharesFullyDilutedManual" vbProcedure="false">#REF!</definedName>
    <definedName function="false" hidden="false" localSheetId="6" name="ZZ_EPS_SharesPrimary" vbProcedure="false">#REF!</definedName>
    <definedName function="false" hidden="false" localSheetId="6" name="ZZ_EPS_SharesPrimaryManual" vbProcedure="false">#REF!</definedName>
    <definedName function="false" hidden="false" localSheetId="6" name="ZZ_EPS_SharesWgtAvg" vbProcedure="false">#REF!</definedName>
    <definedName function="false" hidden="false" localSheetId="6" name="ZZ_EPS_SharesWgtAvgManual" vbProcedure="false">#REF!</definedName>
    <definedName function="false" hidden="false" localSheetId="6" name="ZZ_FRE_Amortization" vbProcedure="false">#REF!</definedName>
    <definedName function="false" hidden="false" localSheetId="6" name="ZZ_FRE_Balance1" vbProcedure="false">#REF!</definedName>
    <definedName function="false" hidden="false" localSheetId="6" name="ZZ_FRE_Balance2" vbProcedure="false">#REF!</definedName>
    <definedName function="false" hidden="false" localSheetId="6" name="ZZ_FRE_CapitalNetAdditions" vbProcedure="false">#REF!</definedName>
    <definedName function="false" hidden="false" localSheetId="6" name="ZZ_FRE_ChangeInAdjToOperatingInvestedCapital" vbProcedure="false">#REF!</definedName>
    <definedName function="false" hidden="false" localSheetId="6" name="ZZ_FRE_Depreciation" vbProcedure="false">#REF!</definedName>
    <definedName function="false" hidden="false" localSheetId="6" name="ZZ_FRE_FreeCashFlow" vbProcedure="false">#REF!</definedName>
    <definedName function="false" hidden="false" localSheetId="6" name="ZZ_FRE_FreeCashFlowRecon1" vbProcedure="false">#REF!</definedName>
    <definedName function="false" hidden="false" localSheetId="6" name="ZZ_FRE_FreeCashFlowRecon2" vbProcedure="false">#REF!</definedName>
    <definedName function="false" hidden="false" localSheetId="6" name="ZZ_FRE_GrossCashFlow" vbProcedure="false">#REF!</definedName>
    <definedName function="false" hidden="false" localSheetId="6" name="ZZ_FRE_GrossInvestment" vbProcedure="false">#REF!</definedName>
    <definedName function="false" hidden="false" localSheetId="6" name="ZZ_FRE_NetInvestment" vbProcedure="false">#REF!</definedName>
    <definedName function="false" hidden="false" localSheetId="6" name="ZZ_FRE_NetInvestmentRate" vbProcedure="false">#REF!</definedName>
    <definedName function="false" hidden="false" localSheetId="6" name="ZZ_FRE_NOPAT" vbProcedure="false">#REF!</definedName>
    <definedName function="false" hidden="false" localSheetId="6" name="ZZ_FRE_PaymentsToInvestors" vbProcedure="false">#REF!</definedName>
    <definedName function="false" hidden="false" localSheetId="6" name="ZZ_GRO_BasicEPS" vbProcedure="false">#REF!</definedName>
    <definedName function="false" hidden="false" localSheetId="6" name="ZZ_GRO_NetIncome" vbProcedure="false">#REF!</definedName>
    <definedName function="false" hidden="false" localSheetId="6" name="ZZ_GRO_NOPAT" vbProcedure="false">#REF!</definedName>
    <definedName function="false" hidden="false" localSheetId="6" name="ZZ_GRO_Revenue" vbProcedure="false">#REF!</definedName>
    <definedName function="false" hidden="false" localSheetId="6" name="ZZ_INC_AdjToRetainedEarnings" vbProcedure="false">#REF!</definedName>
    <definedName function="false" hidden="false" localSheetId="6" name="ZZ_INC_AdminExpense" vbProcedure="false">#REF!</definedName>
    <definedName function="false" hidden="false" localSheetId="6" name="ZZ_INC_Amortization" vbProcedure="false">#REF!</definedName>
    <definedName function="false" hidden="false" localSheetId="6" name="ZZ_INC_AmortizationGoodwill" vbProcedure="false">#REF!</definedName>
    <definedName function="false" hidden="false" localSheetId="6" name="ZZ_INC_Associates" vbProcedure="false">#REF!</definedName>
    <definedName function="false" hidden="false" localSheetId="6" name="ZZ_INC_BeginningRetainedEarnings" vbProcedure="false">#REF!</definedName>
    <definedName function="false" hidden="false" localSheetId="6" name="ZZ_INC_CashDividends" vbProcedure="false">#REF!</definedName>
    <definedName function="false" hidden="false" localSheetId="6" name="ZZ_INC_CGS" vbProcedure="false">#REF!</definedName>
    <definedName function="false" hidden="false" localSheetId="6" name="ZZ_INC_Depreciation" vbProcedure="false">#REF!</definedName>
    <definedName function="false" hidden="false" localSheetId="6" name="ZZ_INC_EAT" vbProcedure="false">#REF!</definedName>
    <definedName function="false" hidden="false" localSheetId="6" name="ZZ_INC_EBIT" vbProcedure="false">#REF!</definedName>
    <definedName function="false" hidden="false" localSheetId="6" name="ZZ_INC_EBITDA" vbProcedure="false">#REF!</definedName>
    <definedName function="false" hidden="false" localSheetId="6" name="ZZ_INC_EBT" vbProcedure="false">#REF!</definedName>
    <definedName function="false" hidden="false" localSheetId="6" name="ZZ_INC_EffectiveTaxRate" vbProcedure="false">#REF!</definedName>
    <definedName function="false" hidden="false" localSheetId="6" name="ZZ_INC_Exceptionals" vbProcedure="false">#REF!</definedName>
    <definedName function="false" hidden="false" localSheetId="6" name="ZZ_INC_Extraordinaries" vbProcedure="false">#REF!</definedName>
    <definedName function="false" hidden="false" localSheetId="6" name="ZZ_INC_GrossProfit" vbProcedure="false">#REF!</definedName>
    <definedName function="false" hidden="false" localSheetId="6" name="ZZ_INC_IncomeTax" vbProcedure="false">#REF!</definedName>
    <definedName function="false" hidden="false" localSheetId="6" name="ZZ_INC_InterestExpense" vbProcedure="false">#REF!</definedName>
    <definedName function="false" hidden="false" localSheetId="6" name="ZZ_INC_InterestIncome" vbProcedure="false">#REF!</definedName>
    <definedName function="false" hidden="false" localSheetId="6" name="ZZ_INC_Minorities" vbProcedure="false">#REF!</definedName>
    <definedName function="false" hidden="false" localSheetId="6" name="ZZ_INC_NetIncome" vbProcedure="false">#REF!</definedName>
    <definedName function="false" hidden="false" localSheetId="6" name="ZZ_INC_NonOperatingIncome" vbProcedure="false">#REF!</definedName>
    <definedName function="false" hidden="false" localSheetId="6" name="ZZ_INC_OperatingIncome" vbProcedure="false">#REF!</definedName>
    <definedName function="false" hidden="false" localSheetId="6" name="ZZ_INC_OtherAfterTaxIncome" vbProcedure="false">#REF!</definedName>
    <definedName function="false" hidden="false" localSheetId="6" name="ZZ_INC_OtherIncome" vbProcedure="false">#REF!</definedName>
    <definedName function="false" hidden="false" localSheetId="6" name="ZZ_INC_OtherOperatingIncome" vbProcedure="false">#REF!</definedName>
    <definedName function="false" hidden="false" localSheetId="6" name="ZZ_INC_PreferredDividends" vbProcedure="false">#REF!</definedName>
    <definedName function="false" hidden="false" localSheetId="6" name="ZZ_INC_RetainedProfit" vbProcedure="false">#REF!</definedName>
    <definedName function="false" hidden="false" localSheetId="6" name="ZZ_INC_Revenue" vbProcedure="false">#REF!</definedName>
    <definedName function="false" hidden="false" localSheetId="6" name="ZZ_INC_StatutoryAppropriations" vbProcedure="false">#REF!</definedName>
    <definedName function="false" hidden="false" localSheetId="6" name="ZZ_NOP_AdjToOperatingIncome" vbProcedure="false">#REF!</definedName>
    <definedName function="false" hidden="false" localSheetId="6" name="ZZ_NOP_ATInterestExpense" vbProcedure="false">#REF!</definedName>
    <definedName function="false" hidden="false" localSheetId="6" name="ZZ_NOP_ATInterestOnNonCapitalizedLeases" vbProcedure="false">#REF!</definedName>
    <definedName function="false" hidden="false" localSheetId="6" name="ZZ_NOP_ATNonOperatingIncome" vbProcedure="false">#REF!</definedName>
    <definedName function="false" hidden="false" localSheetId="6" name="ZZ_NOP_Balance" vbProcedure="false">#REF!</definedName>
    <definedName function="false" hidden="false" localSheetId="6" name="ZZ_NOP_CashTaxesPaid" vbProcedure="false">#REF!</definedName>
    <definedName function="false" hidden="false" localSheetId="6" name="ZZ_NOP_ChangeInDeferredTaxes" vbProcedure="false">#REF!</definedName>
    <definedName function="false" hidden="false" localSheetId="6" name="ZZ_NOP_ChangeInLIFOReserve" vbProcedure="false">#REF!</definedName>
    <definedName function="false" hidden="false" localSheetId="6" name="ZZ_NOP_EquityEquivalents" vbProcedure="false">#REF!</definedName>
    <definedName function="false" hidden="false" localSheetId="6" name="ZZ_NOP_IncomeAvailableToInvestors" vbProcedure="false">#REF!</definedName>
    <definedName function="false" hidden="false" localSheetId="6" name="ZZ_NOP_LeaseAdjustment" vbProcedure="false">#REF!</definedName>
    <definedName function="false" hidden="false" localSheetId="6" name="ZZ_NOP_MarginalTaxRate" vbProcedure="false">#REF!</definedName>
    <definedName function="false" hidden="false" localSheetId="6" name="ZZ_NOP_MarginalTaxRateManual" vbProcedure="false">#REF!</definedName>
    <definedName function="false" hidden="false" localSheetId="6" name="ZZ_NOP_NOPAT" vbProcedure="false">#REF!</definedName>
    <definedName function="false" hidden="false" localSheetId="6" name="ZZ_NOP_NOPATRecon" vbProcedure="false">#REF!</definedName>
    <definedName function="false" hidden="false" localSheetId="6" name="ZZ_NOP_NOPBT" vbProcedure="false">#REF!</definedName>
    <definedName function="false" hidden="false" localSheetId="6" name="ZZ_NOP_TaxesOnOperatingIncomeAdj" vbProcedure="false">#REF!</definedName>
    <definedName function="false" hidden="false" localSheetId="6" name="ZZ_NOP_TaxOnNonOperatingIncome" vbProcedure="false">#REF!</definedName>
    <definedName function="false" hidden="false" localSheetId="6" name="ZZ_NOP_TaxShieldOnInterestExpense" vbProcedure="false">#REF!</definedName>
    <definedName function="false" hidden="false" localSheetId="6" name="ZZ_OTH_AverageAccountsPayable" vbProcedure="false">#REF!</definedName>
    <definedName function="false" hidden="false" localSheetId="6" name="ZZ_OTH_AverageAccountsReceivable" vbProcedure="false">#REF!</definedName>
    <definedName function="false" hidden="false" localSheetId="6" name="ZZ_OTH_AverageCapitalizedAssets" vbProcedure="false">#REF!</definedName>
    <definedName function="false" hidden="false" localSheetId="6" name="ZZ_OTH_AverageInventories" vbProcedure="false">#REF!</definedName>
    <definedName function="false" hidden="false" localSheetId="6" name="ZZ_OTH_AverageNetFixedAssets" vbProcedure="false">#REF!</definedName>
    <definedName function="false" hidden="false" localSheetId="6" name="ZZ_OTH_AverageNWC" vbProcedure="false">#REF!</definedName>
    <definedName function="false" hidden="false" localSheetId="6" name="ZZ_OTH_CashTaxRate" vbProcedure="false">#REF!</definedName>
    <definedName function="false" hidden="false" localSheetId="6" name="ZZ_OTH_DaysInInventory" vbProcedure="false">#REF!</definedName>
    <definedName function="false" hidden="false" localSheetId="6" name="ZZ_OTH_DaysPayable" vbProcedure="false">#REF!</definedName>
    <definedName function="false" hidden="false" localSheetId="6" name="ZZ_OTH_DaysReceivable" vbProcedure="false">#REF!</definedName>
    <definedName function="false" hidden="false" localSheetId="6" name="ZZ_OTH_DividendPayoutRatio" vbProcedure="false">#REF!</definedName>
    <definedName function="false" hidden="false" localSheetId="6" name="ZZ_OTH_RetentionRate" vbProcedure="false">#REF!</definedName>
    <definedName function="false" hidden="false" localSheetId="6" name="ZZ_PRI_BAL_All" vbProcedure="false">#REF!</definedName>
    <definedName function="false" hidden="false" localSheetId="6" name="ZZ_PRI_CAS_All" vbProcedure="false">#REF!</definedName>
    <definedName function="false" hidden="false" localSheetId="6" name="ZZ_PRI_COM_All" vbProcedure="false">#REF!</definedName>
    <definedName function="false" hidden="false" localSheetId="6" name="ZZ_PRI_COS_All" vbProcedure="false">#REF!</definedName>
    <definedName function="false" hidden="false" localSheetId="6" name="ZZ_PRI_DCF_All" vbProcedure="false">#REF!</definedName>
    <definedName function="false" hidden="false" localSheetId="6" name="ZZ_PRI_EPS_All" vbProcedure="false">#REF!</definedName>
    <definedName function="false" hidden="false" localSheetId="6" name="ZZ_PRI_FRE_All" vbProcedure="false">#REF!</definedName>
    <definedName function="false" hidden="false" localSheetId="6" name="ZZ_PRI_GRO_All" vbProcedure="false">#REF!</definedName>
    <definedName function="false" hidden="false" localSheetId="6" name="ZZ_PRI_INC_All" vbProcedure="false">#REF!</definedName>
    <definedName function="false" hidden="false" localSheetId="6" name="ZZ_PRI_INV_All" vbProcedure="false">#REF!</definedName>
    <definedName function="false" hidden="false" localSheetId="6" name="ZZ_PRI_NOP_All" vbProcedure="false">#REF!</definedName>
    <definedName function="false" hidden="false" localSheetId="6" name="ZZ_PRI_OTH_All" vbProcedure="false">#REF!</definedName>
    <definedName function="false" hidden="false" localSheetId="6" name="ZZ_PRI_RET_All" vbProcedure="false">#REF!</definedName>
    <definedName function="false" hidden="false" localSheetId="6" name="ZZ_PRI_SUM_All" vbProcedure="false">#REF!</definedName>
    <definedName function="false" hidden="false" localSheetId="6" name="ZZ_PRI_VAL_0" vbProcedure="false">#REF!</definedName>
    <definedName function="false" hidden="false" localSheetId="6" name="ZZ_PRI_VAL_1" vbProcedure="false">#REF!</definedName>
    <definedName function="false" hidden="false" localSheetId="6" name="ZZ_RET_DuPont1" vbProcedure="false">#REF!</definedName>
    <definedName function="false" hidden="false" localSheetId="6" name="ZZ_RET_DuPont10" vbProcedure="false">#REF!</definedName>
    <definedName function="false" hidden="false" localSheetId="6" name="ZZ_RET_DuPont11" vbProcedure="false">#REF!</definedName>
    <definedName function="false" hidden="false" localSheetId="6" name="ZZ_RET_DuPont12" vbProcedure="false">#REF!</definedName>
    <definedName function="false" hidden="false" localSheetId="6" name="ZZ_RET_DuPont2" vbProcedure="false">#REF!</definedName>
    <definedName function="false" hidden="false" localSheetId="6" name="ZZ_RET_DuPont3" vbProcedure="false">#REF!</definedName>
    <definedName function="false" hidden="false" localSheetId="6" name="ZZ_RET_DuPont4" vbProcedure="false">#REF!</definedName>
    <definedName function="false" hidden="false" localSheetId="6" name="ZZ_RET_DuPont5" vbProcedure="false">#REF!</definedName>
    <definedName function="false" hidden="false" localSheetId="6" name="ZZ_RET_DuPont6" vbProcedure="false">#REF!</definedName>
    <definedName function="false" hidden="false" localSheetId="6" name="ZZ_RET_DuPont7" vbProcedure="false">#REF!</definedName>
    <definedName function="false" hidden="false" localSheetId="6" name="ZZ_RET_DuPont8" vbProcedure="false">#REF!</definedName>
    <definedName function="false" hidden="false" localSheetId="6" name="ZZ_RET_DuPont9" vbProcedure="false">#REF!</definedName>
    <definedName function="false" hidden="false" localSheetId="6" name="ZZ_RET_InternalGrowth" vbProcedure="false">#REF!</definedName>
    <definedName function="false" hidden="false" localSheetId="6" name="ZZ_RET_ROEAfterTax" vbProcedure="false">#REF!</definedName>
    <definedName function="false" hidden="false" localSheetId="6" name="ZZ_RET_ROEPreTax" vbProcedure="false">#REF!</definedName>
    <definedName function="false" hidden="false" localSheetId="6" name="ZZ_RET_Switch1" vbProcedure="false">#REF!</definedName>
    <definedName function="false" hidden="false" localSheetId="6" name="ZZ_RET_TotalAssets" vbProcedure="false">#REF!</definedName>
    <definedName function="false" hidden="false" localSheetId="6" name="ZZ_RET_TotalCapital" vbProcedure="false">#REF!</definedName>
    <definedName function="false" hidden="false" localSheetId="6" name="ZZ_RET_TotalEquity" vbProcedure="false">#REF!</definedName>
    <definedName function="false" hidden="false" localSheetId="6" name="ZZ_RET_TotalOperatingInvestedCapital" vbProcedure="false">#REF!</definedName>
    <definedName function="false" hidden="false" localSheetId="6" name="ZZ_SUM_AdjBVPS" vbProcedure="false">#REF!</definedName>
    <definedName function="false" hidden="false" localSheetId="6" name="ZZ_SUM_BegOperatingCapital" vbProcedure="false">#REF!</definedName>
    <definedName function="false" hidden="false" localSheetId="6" name="ZZ_SUM_CapitalCharge" vbProcedure="false">#REF!</definedName>
    <definedName function="false" hidden="false" localSheetId="6" name="ZZ_SUM_ChangeInEVA" vbProcedure="false">#REF!</definedName>
    <definedName function="false" hidden="false" localSheetId="6" name="ZZ_SUM_ChangeInMVA" vbProcedure="false">#REF!</definedName>
    <definedName function="false" hidden="false" localSheetId="6" name="ZZ_SUM_EVA" vbProcedure="false">#REF!</definedName>
    <definedName function="false" hidden="false" localSheetId="6" name="ZZ_SUM_EVASpread" vbProcedure="false">#REF!</definedName>
    <definedName function="false" hidden="false" localSheetId="6" name="ZZ_SUM_MVA" vbProcedure="false">#REF!</definedName>
    <definedName function="false" hidden="false" localSheetId="6" name="ZZ_SUM_MVAPS" vbProcedure="false">#REF!</definedName>
    <definedName function="false" hidden="false" localSheetId="6" name="ZZ_SUM_OperatingGrowth" vbProcedure="false">#REF!</definedName>
    <definedName function="false" hidden="false" localSheetId="6" name="ZZ_SUM_ReturnOnCapital" vbProcedure="false">#REF!</definedName>
    <definedName function="false" hidden="false" localSheetId="6" name="ZZ_SUM_TotalCapital" vbProcedure="false">#REF!</definedName>
    <definedName function="false" hidden="false" localSheetId="6" name="ZZ_SYS_AnalystName" vbProcedure="false">#REF!</definedName>
    <definedName function="false" hidden="false" localSheetId="6" name="ZZ_SYS_AutomaticData" vbProcedure="false">#REF!</definedName>
    <definedName function="false" hidden="false" localSheetId="6" name="ZZ_SYS_AvailableToForeigners" vbProcedure="false">#REF!</definedName>
    <definedName function="false" hidden="false" localSheetId="6" name="ZZ_SYS_Beta" vbProcedure="false">#REF!</definedName>
    <definedName function="false" hidden="false" localSheetId="6" name="ZZ_SYS_CodeBloomberg" vbProcedure="false">#REF!</definedName>
    <definedName function="false" hidden="false" localSheetId="6" name="ZZ_SYS_CodeDatastream" vbProcedure="false">#REF!</definedName>
    <definedName function="false" hidden="false" localSheetId="6" name="ZZ_SYS_CodeFileName" vbProcedure="false">#REF!</definedName>
    <definedName function="false" hidden="false" localSheetId="6" name="ZZ_SYS_CodeFilePath" vbProcedure="false">#REF!</definedName>
    <definedName function="false" hidden="false" localSheetId="6" name="ZZ_SYS_CodeFilePathTemp" vbProcedure="false">#REF!</definedName>
    <definedName function="false" hidden="false" localSheetId="6" name="ZZ_SYS_CodeLocal" vbProcedure="false">#REF!</definedName>
    <definedName function="false" hidden="false" localSheetId="6" name="ZZ_SYS_CodeReuters" vbProcedure="false">#REF!</definedName>
    <definedName function="false" hidden="false" localSheetId="6" name="ZZ_SYS_CompanyName" vbProcedure="false">#REF!</definedName>
    <definedName function="false" hidden="false" localSheetId="6" name="ZZ_SYS_CostOfDebt" vbProcedure="false">#REF!</definedName>
    <definedName function="false" hidden="false" localSheetId="6" name="ZZ_SYS_Country" vbProcedure="false">#REF!</definedName>
    <definedName function="false" hidden="false" localSheetId="6" name="ZZ_SYS_Currency" vbProcedure="false">#REF!</definedName>
    <definedName function="false" hidden="false" localSheetId="6" name="ZZ_SYS_CurrencyManual" vbProcedure="false">#REF!</definedName>
    <definedName function="false" hidden="false" localSheetId="6" name="ZZ_SYS_CurrentDateManual" vbProcedure="false">#REF!</definedName>
    <definedName function="false" hidden="false" localSheetId="6" name="ZZ_SYS_CurrentFreeFloatLocalManual" vbProcedure="false">#REF!</definedName>
    <definedName function="false" hidden="false" localSheetId="6" name="ZZ_SYS_CurrentMarketCapIssuedForeignManual" vbProcedure="false">#REF!</definedName>
    <definedName function="false" hidden="false" localSheetId="6" name="ZZ_SYS_CurrentMarketCapIssuedLocalAuto" vbProcedure="false">#REF!</definedName>
    <definedName function="false" hidden="false" localSheetId="6" name="ZZ_SYS_CurrentMarketCapIssuedLocalManual" vbProcedure="false">#REF!</definedName>
    <definedName function="false" hidden="false" localSheetId="6" name="ZZ_SYS_CurrentMonthNo" vbProcedure="false">#REF!</definedName>
    <definedName function="false" hidden="false" localSheetId="6" name="ZZ_SYS_CurrentPriceForeignAuto" vbProcedure="false">#REF!</definedName>
    <definedName function="false" hidden="false" localSheetId="6" name="ZZ_SYS_CurrentPriceForeignManual" vbProcedure="false">#REF!</definedName>
    <definedName function="false" hidden="false" localSheetId="6" name="ZZ_SYS_CurrentPriceLocalAuto" vbProcedure="false">#REF!</definedName>
    <definedName function="false" hidden="false" localSheetId="6" name="ZZ_SYS_CurrentPriceLocalManual" vbProcedure="false">#REF!</definedName>
    <definedName function="false" hidden="false" localSheetId="6" name="ZZ_SYS_CurrentSharesFreeFloatLocalManual" vbProcedure="false">#REF!</definedName>
    <definedName function="false" hidden="false" localSheetId="6" name="ZZ_SYS_CurrentSharesIssuedLocalAuto" vbProcedure="false">#REF!</definedName>
    <definedName function="false" hidden="false" localSheetId="6" name="ZZ_SYS_CurrentSharesIssuedLocalManual" vbProcedure="false">#REF!</definedName>
    <definedName function="false" hidden="false" localSheetId="6" name="ZZ_SYS_CurrentYearEnd" vbProcedure="false">#REF!</definedName>
    <definedName function="false" hidden="false" localSheetId="6" name="ZZ_SYS_Customize" vbProcedure="false">#REF!</definedName>
    <definedName function="false" hidden="false" localSheetId="6" name="ZZ_SYS_CustomPassword" vbProcedure="false">#REF!</definedName>
    <definedName function="false" hidden="false" localSheetId="6" name="ZZ_SYS_DecimalPlacesChoices" vbProcedure="false">#REF!</definedName>
    <definedName function="false" hidden="false" localSheetId="6" name="ZZ_SYS_DecimalPlacesMainIndex" vbProcedure="false">#REF!</definedName>
    <definedName function="false" hidden="false" localSheetId="6" name="ZZ_SYS_DecimalPlacesMultiplesIndex" vbProcedure="false">#REF!</definedName>
    <definedName function="false" hidden="false" localSheetId="6" name="ZZ_SYS_DecimalPlacesOtherIndex" vbProcedure="false">#REF!</definedName>
    <definedName function="false" hidden="false" localSheetId="6" name="ZZ_SYS_DecimalPlacesPercentIndex" vbProcedure="false">#REF!</definedName>
    <definedName function="false" hidden="false" localSheetId="6" name="ZZ_SYS_DecimalPlacesPriceIndex" vbProcedure="false">#REF!</definedName>
    <definedName function="false" hidden="false" localSheetId="6" name="ZZ_SYS_EquityRiskPremium" vbProcedure="false">#REF!</definedName>
    <definedName function="false" hidden="false" localSheetId="6" name="ZZ_SYS_Error1" vbProcedure="false">#REF!</definedName>
    <definedName function="false" hidden="false" localSheetId="6" name="ZZ_SYS_ExcludeMidYearAdj" vbProcedure="false">#REF!</definedName>
    <definedName function="false" hidden="false" localSheetId="6" name="ZZ_SYS_ExcludeTerminalValues" vbProcedure="false">#REF!</definedName>
    <definedName function="false" hidden="false" localSheetId="6" name="ZZ_SYS_ExpiryDate" vbProcedure="false">#REF!</definedName>
    <definedName function="false" hidden="false" localSheetId="6" name="ZZ_SYS_ExpiryStatus" vbProcedure="false">#REF!</definedName>
    <definedName function="false" hidden="false" localSheetId="6" name="ZZ_SYS_HideLicenseAgreement" vbProcedure="false">#REF!</definedName>
    <definedName function="false" hidden="false" localSheetId="6" name="ZZ_SYS_Installed" vbProcedure="false">#REF!</definedName>
    <definedName function="false" hidden="false" localSheetId="6" name="ZZ_SYS_InstalledBy" vbProcedure="false">#REF!</definedName>
    <definedName function="false" hidden="false" localSheetId="6" name="ZZ_SYS_InstalledDate" vbProcedure="false">#REF!</definedName>
    <definedName function="false" hidden="false" localSheetId="6" name="ZZ_SYS_LatestModelUpdate" vbProcedure="false">#REF!</definedName>
    <definedName function="false" hidden="false" localSheetId="6" name="ZZ_SYS_LatestModelUpdateAuto" vbProcedure="false">#REF!</definedName>
    <definedName function="false" hidden="false" localSheetId="6" name="ZZ_SYS_LatestModelUpdateManual" vbProcedure="false">#REF!</definedName>
    <definedName function="false" hidden="false" localSheetId="6" name="ZZ_SYS_LatestPriceUpdate" vbProcedure="false">#REF!</definedName>
    <definedName function="false" hidden="false" localSheetId="6" name="ZZ_SYS_LatestPriceUpdateAuto" vbProcedure="false">#REF!</definedName>
    <definedName function="false" hidden="false" localSheetId="6" name="ZZ_SYS_LatestPriceUpdateManual" vbProcedure="false">#REF!</definedName>
    <definedName function="false" hidden="false" localSheetId="6" name="ZZ_SYS_LocalCodeName" vbProcedure="false">#REF!</definedName>
    <definedName function="false" hidden="false" localSheetId="6" name="ZZ_SYS_MarketCapIssued" vbProcedure="false">#REF!</definedName>
    <definedName function="false" hidden="false" localSheetId="6" name="ZZ_SYS_MarketCode" vbProcedure="false">#REF!</definedName>
    <definedName function="false" hidden="false" localSheetId="6" name="ZZ_SYS_MarketCodeUsed" vbProcedure="false">#REF!</definedName>
    <definedName function="false" hidden="false" localSheetId="6" name="ZZ_SYS_MarketEPSGrowth" vbProcedure="false">#REF!</definedName>
    <definedName function="false" hidden="false" localSheetId="6" name="ZZ_SYS_MarketID" vbProcedure="false">#REF!</definedName>
    <definedName function="false" hidden="false" localSheetId="6" name="ZZ_SYS_MarketIDUsed" vbProcedure="false">#REF!</definedName>
    <definedName function="false" hidden="false" localSheetId="6" name="ZZ_SYS_MarketName" vbProcedure="false">#REF!</definedName>
    <definedName function="false" hidden="false" localSheetId="6" name="ZZ_SYS_MarketNameUsed" vbProcedure="false">#REF!</definedName>
    <definedName function="false" hidden="false" localSheetId="6" name="ZZ_SYS_MarketPE" vbProcedure="false">#REF!</definedName>
    <definedName function="false" hidden="false" localSheetId="6" name="ZZ_SYS_ModelID" vbProcedure="false">#REF!</definedName>
    <definedName function="false" hidden="false" localSheetId="6" name="ZZ_SYS_ModelType" vbProcedure="false">#REF!</definedName>
    <definedName function="false" hidden="false" localSheetId="6" name="ZZ_SYS_PRI_Activity" vbProcedure="false">#REF!</definedName>
    <definedName function="false" hidden="false" localSheetId="6" name="ZZ_SYS_PRI_BAL_All" vbProcedure="false">#REF!</definedName>
    <definedName function="false" hidden="false" localSheetId="6" name="ZZ_SYS_PRI_CAS_All" vbProcedure="false">#REF!</definedName>
    <definedName function="false" hidden="false" localSheetId="6" name="ZZ_SYS_PRI_COM_All" vbProcedure="false">#REF!</definedName>
    <definedName function="false" hidden="false" localSheetId="6" name="ZZ_SYS_PRI_COS_All" vbProcedure="false">#REF!</definedName>
    <definedName function="false" hidden="false" localSheetId="6" name="ZZ_SYS_PRI_DCF_All" vbProcedure="false">#REF!</definedName>
    <definedName function="false" hidden="false" localSheetId="6" name="ZZ_SYS_PRI_EPS_All" vbProcedure="false">#REF!</definedName>
    <definedName function="false" hidden="false" localSheetId="6" name="ZZ_SYS_PRI_Favourites" vbProcedure="false">#REF!</definedName>
    <definedName function="false" hidden="false" localSheetId="6" name="ZZ_SYS_PRI_FRE_All" vbProcedure="false">#REF!</definedName>
    <definedName function="false" hidden="false" localSheetId="6" name="ZZ_SYS_PRI_GRO_All" vbProcedure="false">#REF!</definedName>
    <definedName function="false" hidden="false" localSheetId="6" name="ZZ_SYS_PRI_INC_All" vbProcedure="false">#REF!</definedName>
    <definedName function="false" hidden="false" localSheetId="6" name="ZZ_SYS_PRI_INV_All" vbProcedure="false">#REF!</definedName>
    <definedName function="false" hidden="false" localSheetId="6" name="ZZ_SYS_PRI_NOP_All" vbProcedure="false">#REF!</definedName>
    <definedName function="false" hidden="false" localSheetId="6" name="ZZ_SYS_PRI_OTH_All" vbProcedure="false">#REF!</definedName>
    <definedName function="false" hidden="false" localSheetId="6" name="ZZ_SYS_PRI_RangeNames" vbProcedure="false">#REF!</definedName>
    <definedName function="false" hidden="false" localSheetId="6" name="ZZ_SYS_PRI_RangeTitles" vbProcedure="false">#REF!</definedName>
    <definedName function="false" hidden="false" localSheetId="6" name="ZZ_SYS_PRI_RET_All" vbProcedure="false">#REF!</definedName>
    <definedName function="false" hidden="false" localSheetId="6" name="ZZ_SYS_PRI_SUM_All" vbProcedure="false">#REF!</definedName>
    <definedName function="false" hidden="false" localSheetId="6" name="ZZ_SYS_PRI_VAL0" vbProcedure="false">#REF!</definedName>
    <definedName function="false" hidden="false" localSheetId="6" name="ZZ_SYS_PRI_VAL1" vbProcedure="false">#REF!</definedName>
    <definedName function="false" hidden="false" localSheetId="6" name="ZZ_SYS_Recommendation" vbProcedure="false">#REF!</definedName>
    <definedName function="false" hidden="false" localSheetId="6" name="ZZ_SYS_RecommendationDate" vbProcedure="false">#REF!</definedName>
    <definedName function="false" hidden="false" localSheetId="6" name="ZZ_SYS_RiskFreeRate" vbProcedure="false">#REF!</definedName>
    <definedName function="false" hidden="false" localSheetId="6" name="ZZ_SYS_Rounding" vbProcedure="false">#REF!</definedName>
    <definedName function="false" hidden="false" localSheetId="6" name="ZZ_SYS_RoundingIndex" vbProcedure="false">#REF!</definedName>
    <definedName function="false" hidden="false" localSheetId="6" name="ZZ_SYS_SectionName01" vbProcedure="false">#REF!</definedName>
    <definedName function="false" hidden="false" localSheetId="6" name="ZZ_SYS_SectionName02" vbProcedure="false">#REF!</definedName>
    <definedName function="false" hidden="false" localSheetId="6" name="ZZ_SYS_SectionName03" vbProcedure="false">#REF!</definedName>
    <definedName function="false" hidden="false" localSheetId="6" name="ZZ_SYS_SectionName04" vbProcedure="false">#REF!</definedName>
    <definedName function="false" hidden="false" localSheetId="6" name="ZZ_SYS_SectionName05" vbProcedure="false">#REF!</definedName>
    <definedName function="false" hidden="false" localSheetId="6" name="ZZ_SYS_SectionName06" vbProcedure="false">#REF!</definedName>
    <definedName function="false" hidden="false" localSheetId="6" name="ZZ_SYS_SectionName07" vbProcedure="false">#REF!</definedName>
    <definedName function="false" hidden="false" localSheetId="6" name="ZZ_SYS_SectionName08" vbProcedure="false">#REF!</definedName>
    <definedName function="false" hidden="false" localSheetId="6" name="ZZ_SYS_SectionName09" vbProcedure="false">#REF!</definedName>
    <definedName function="false" hidden="false" localSheetId="6" name="ZZ_SYS_SectionName10" vbProcedure="false">#REF!</definedName>
    <definedName function="false" hidden="false" localSheetId="6" name="ZZ_SYS_SectionName11" vbProcedure="false">#REF!</definedName>
    <definedName function="false" hidden="false" localSheetId="6" name="ZZ_SYS_SectionName12" vbProcedure="false">#REF!</definedName>
    <definedName function="false" hidden="false" localSheetId="6" name="ZZ_SYS_SectionName13" vbProcedure="false">#REF!</definedName>
    <definedName function="false" hidden="false" localSheetId="6" name="ZZ_SYS_SectionName14" vbProcedure="false">#REF!</definedName>
    <definedName function="false" hidden="false" localSheetId="6" name="ZZ_SYS_SectionName15" vbProcedure="false">#REF!</definedName>
    <definedName function="false" hidden="false" localSheetId="6" name="ZZ_SYS_SectionName16" vbProcedure="false">#REF!</definedName>
    <definedName function="false" hidden="false" localSheetId="6" name="ZZ_SYS_SectorCode" vbProcedure="false">#REF!</definedName>
    <definedName function="false" hidden="false" localSheetId="6" name="ZZ_SYS_SectorCodeUsed" vbProcedure="false">#REF!</definedName>
    <definedName function="false" hidden="false" localSheetId="6" name="ZZ_SYS_SectorID" vbProcedure="false">#REF!</definedName>
    <definedName function="false" hidden="false" localSheetId="6" name="ZZ_SYS_SectorIDUsed" vbProcedure="false">#REF!</definedName>
    <definedName function="false" hidden="false" localSheetId="6" name="ZZ_SYS_SectorName" vbProcedure="false">#REF!</definedName>
    <definedName function="false" hidden="false" localSheetId="6" name="ZZ_SYS_SectorNameUsed" vbProcedure="false">#REF!</definedName>
    <definedName function="false" hidden="false" localSheetId="6" name="ZZ_SYS_SharePrice" vbProcedure="false">#REF!</definedName>
    <definedName function="false" hidden="false" localSheetId="6" name="ZZ_SYS_SharesIssued" vbProcedure="false">#REF!</definedName>
    <definedName function="false" hidden="false" localSheetId="6" name="ZZ_SYS_SheetNames" vbProcedure="false">#REF!</definedName>
    <definedName function="false" hidden="false" localSheetId="6" name="ZZ_SYS_ShowPercents" vbProcedure="false">#REF!</definedName>
    <definedName function="false" hidden="false" localSheetId="6" name="ZZ_SYS_ShowXs" vbProcedure="false">#REF!</definedName>
    <definedName function="false" hidden="false" localSheetId="6" name="ZZ_SYS_Units" vbProcedure="false">#REF!</definedName>
    <definedName function="false" hidden="false" localSheetId="6" name="ZZ_SYS_UnitsManual" vbProcedure="false">#REF!</definedName>
    <definedName function="false" hidden="false" localSheetId="6" name="ZZ_SYS_UseCalculationHandling" vbProcedure="false">#REF!</definedName>
    <definedName function="false" hidden="false" localSheetId="6" name="ZZ_SYS_UseForeignPrice" vbProcedure="false">#REF!</definedName>
    <definedName function="false" hidden="false" localSheetId="6" name="ZZ_SYS_UsePrintRangeHandling" vbProcedure="false">#REF!</definedName>
    <definedName function="false" hidden="false" localSheetId="6" name="ZZ_SYS_UserMode" vbProcedure="false">#REF!</definedName>
    <definedName function="false" hidden="false" localSheetId="6" name="ZZ_SYS_UseTaxDeductibleGoodwillAmort" vbProcedure="false">#REF!</definedName>
    <definedName function="false" hidden="false" localSheetId="6" name="ZZ_SYS_VersionDate" vbProcedure="false">#REF!</definedName>
    <definedName function="false" hidden="false" localSheetId="6" name="ZZ_SYS_VersionNo" vbProcedure="false">#REF!</definedName>
    <definedName function="false" hidden="false" localSheetId="6" name="ZZ_SYS_YearCodeForecast" vbProcedure="false">#REF!</definedName>
    <definedName function="false" hidden="false" localSheetId="6" name="ZZ_SYS_YearCodeHistoric" vbProcedure="false">#REF!</definedName>
    <definedName function="false" hidden="false" localSheetId="6" name="ZZ_VAL_DDM_DiscountedDividends" vbProcedure="false">#REF!</definedName>
    <definedName function="false" hidden="false" localSheetId="6" name="ZZ_VAL_DDM_DiscountFactor" vbProcedure="false">#REF!</definedName>
    <definedName function="false" hidden="false" localSheetId="6" name="ZZ_VAL_DDM_DiscountRate" vbProcedure="false">#REF!</definedName>
    <definedName function="false" hidden="false" localSheetId="6" name="ZZ_VAL_DDM_DiscountRateManual" vbProcedure="false">#REF!</definedName>
    <definedName function="false" hidden="false" localSheetId="6" name="ZZ_VAL_DDM_Dividends" vbProcedure="false">#REF!</definedName>
    <definedName function="false" hidden="false" localSheetId="6" name="ZZ_VAL_DDM_DividendsManual" vbProcedure="false">#REF!</definedName>
    <definedName function="false" hidden="false" localSheetId="6" name="ZZ_VAL_DDM_ImpliedEquityValue" vbProcedure="false">#REF!</definedName>
    <definedName function="false" hidden="false" localSheetId="6" name="ZZ_VAL_DDM_ImpliedEquityValuePerShare" vbProcedure="false">#REF!</definedName>
    <definedName function="false" hidden="false" localSheetId="6" name="ZZ_VAL_DDM_LTGrowthRate" vbProcedure="false">#REF!</definedName>
    <definedName function="false" hidden="false" localSheetId="6" name="ZZ_VAL_DDM_LTGrowthRateManual" vbProcedure="false">#REF!</definedName>
    <definedName function="false" hidden="false" localSheetId="6" name="ZZ_VAL_DDM_TotalValue" vbProcedure="false">#REF!</definedName>
    <definedName function="false" hidden="false" localSheetId="6" name="ZZ_VAL_ENT_AdjToEquityValue" vbProcedure="false">#REF!</definedName>
    <definedName function="false" hidden="false" localSheetId="6" name="ZZ_VAL_ENT_EBITDA" vbProcedure="false">#REF!</definedName>
    <definedName function="false" hidden="false" localSheetId="6" name="ZZ_VAL_ENT_EnterpriseValue" vbProcedure="false">#REF!</definedName>
    <definedName function="false" hidden="false" localSheetId="6" name="ZZ_VAL_ENT_EquityValue" vbProcedure="false">#REF!</definedName>
    <definedName function="false" hidden="false" localSheetId="6" name="ZZ_VAL_IRR_FreeCashFlow" vbProcedure="false">#REF!</definedName>
    <definedName function="false" hidden="false" localSheetId="6" name="ZZ_VAL_IRR_FreeCashFlowManual" vbProcedure="false">#REF!</definedName>
    <definedName function="false" hidden="false" localSheetId="6" name="ZZ_VAL_PER_MarketCapActual" vbProcedure="false">#REF!</definedName>
    <definedName function="false" hidden="false" localSheetId="6" name="ZZ_VAL_PER_NetIncome" vbProcedure="false">#REF!</definedName>
    <definedName function="false" hidden="false" localSheetId="6" name="ZZ_VAL_PER_PEMultiple" vbProcedure="false">#REF!</definedName>
    <definedName function="false" hidden="false" localSheetId="6" name="ZZ_VAL_PER_PriceActual" vbProcedure="false">#REF!</definedName>
    <definedName function="false" hidden="false" localSheetId="6" name="\agro" vbProcedure="false">[1]Summary!$A$1</definedName>
    <definedName function="false" hidden="false" localSheetId="6" name="\agro2" vbProcedure="false">[1]Summary!$A$1</definedName>
    <definedName function="false" hidden="false" localSheetId="6" name="\B" vbProcedure="false">[2]Pulses!$A$1</definedName>
    <definedName function="false" hidden="false" localSheetId="6" name="\D" vbProcedure="false">[2]Pulses!$A$1</definedName>
    <definedName function="false" hidden="false" localSheetId="6" name="\P" vbProcedure="false">[2]Pulses!$A$1</definedName>
    <definedName function="false" hidden="false" localSheetId="6" name="\S" vbProcedure="false">[2]Pulses!B27</definedName>
    <definedName function="false" hidden="false" localSheetId="6" name="_1_" vbProcedure="false">[4]Sheet2!$A$1</definedName>
    <definedName function="false" hidden="false" localSheetId="6" name="_4_0RMconsu" vbProcedure="false">[5]Old!$A$1</definedName>
    <definedName function="false" hidden="false" localSheetId="6" name="_B" vbProcedure="false">[6]Pulses!$A$1</definedName>
    <definedName function="false" hidden="false" localSheetId="6" name="_B___0" vbProcedure="false">[6]Pulses!$A$1</definedName>
    <definedName function="false" hidden="false" localSheetId="6" name="_B___6" vbProcedure="false">[7]Pulses!$A$1</definedName>
    <definedName function="false" hidden="false" localSheetId="6" name="_D" vbProcedure="false">[6]Pulses!$A$1</definedName>
    <definedName function="false" hidden="false" localSheetId="6" name="_day1" vbProcedure="false">#REF!</definedName>
    <definedName function="false" hidden="false" localSheetId="6" name="_day2" vbProcedure="false">#REF!</definedName>
    <definedName function="false" hidden="false" localSheetId="6" name="_day3" vbProcedure="false">#REF!</definedName>
    <definedName function="false" hidden="false" localSheetId="6" name="_D___0" vbProcedure="false">[6]Pulses!$A$44</definedName>
    <definedName function="false" hidden="false" localSheetId="6" name="_D___6" vbProcedure="false">[7]Pulses!$A$1</definedName>
    <definedName function="false" hidden="false" localSheetId="6" name="_P" vbProcedure="false">[6]Pulses!$A$1</definedName>
    <definedName function="false" hidden="false" localSheetId="6" name="_P___0" vbProcedure="false">[6]Pulses!$A$266</definedName>
    <definedName function="false" hidden="false" localSheetId="6" name="_P___6" vbProcedure="false">[7]Pulses!$A$1</definedName>
    <definedName function="false" hidden="false" localSheetId="6" name="_Regression_Out" vbProcedure="false">[9]Internet!$A$1</definedName>
    <definedName function="false" hidden="false" localSheetId="6" name="_S" vbProcedure="false">[6]Pulses!$A$1</definedName>
    <definedName function="false" hidden="false" localSheetId="6" name="_S___0" vbProcedure="false">[6]Pulses!$A$1</definedName>
    <definedName function="false" hidden="false" localSheetId="6" name="_S___6" vbProcedure="false">[7]Pulses!$A$1</definedName>
    <definedName function="false" hidden="false" localSheetId="6" name="__123Graph_A" vbProcedure="false">[3]MSI9920B!$A$245</definedName>
    <definedName function="false" hidden="false" localSheetId="6" name="__123Graph_B" vbProcedure="false">[3]MSI9920B!$A$1</definedName>
    <definedName function="false" hidden="false" localSheetId="6" name="__123Graph_C" vbProcedure="false">[3]MSI9920B!$A$1</definedName>
    <definedName function="false" hidden="false" localSheetId="6" name="__123Graph_D" vbProcedure="false">[3]MSI9920B!$A$1</definedName>
    <definedName function="false" hidden="false" localSheetId="6" name="__123Graph_E" vbProcedure="false">[3]MSI9920B!$A$1</definedName>
    <definedName function="false" hidden="false" localSheetId="6" name="__123Graph_X" vbProcedure="false">[3]MSI9920B!$A$1</definedName>
    <definedName function="false" hidden="false" localSheetId="8" name="a" vbProcedure="false">[10]Earning_Assum!$C$10</definedName>
    <definedName function="false" hidden="false" localSheetId="8" name="AA" vbProcedure="false">[10]Earning_Assum!$A$1</definedName>
    <definedName function="false" hidden="false" localSheetId="8" name="aaa" vbProcedure="false">#REF!</definedName>
    <definedName function="false" hidden="false" localSheetId="8" name="Acquition" vbProcedure="false">#REF!</definedName>
    <definedName function="false" hidden="false" localSheetId="8" name="advertising" vbProcedure="false">#REF!</definedName>
    <definedName function="false" hidden="false" localSheetId="8" name="AFHrs" vbProcedure="false">#REF!</definedName>
    <definedName function="false" hidden="false" localSheetId="8" name="AFKW" vbProcedure="false">#REF!</definedName>
    <definedName function="false" hidden="false" localSheetId="8" name="agro1" vbProcedure="false">[1]Summary!$J$10</definedName>
    <definedName function="false" hidden="false" localSheetId="8" name="agro2" vbProcedure="false">[1]Summary!$A$1</definedName>
    <definedName function="false" hidden="false" localSheetId="8" name="agro4" vbProcedure="false">[1]Summary!$A$1</definedName>
    <definedName function="false" hidden="false" localSheetId="8" name="Analyst" vbProcedure="false">#REF!</definedName>
    <definedName function="false" hidden="false" localSheetId="8" name="ARBL" vbProcedure="false">#REF!</definedName>
    <definedName function="false" hidden="false" localSheetId="8" name="asd" vbProcedure="false">#REF!</definedName>
    <definedName function="false" hidden="false" localSheetId="8" name="avg_vol_3m" vbProcedure="false">#REF!</definedName>
    <definedName function="false" hidden="false" localSheetId="8" name="B" vbProcedure="false">[10]Earning_Assum!$A$40961</definedName>
    <definedName function="false" hidden="false" localSheetId="8" name="bal" vbProcedure="false">#REF!</definedName>
    <definedName function="false" hidden="false" localSheetId="8" name="Balloon" vbProcedure="false">#REF!</definedName>
    <definedName function="false" hidden="false" localSheetId="8" name="Balloon_Amount" vbProcedure="false">#REF!</definedName>
    <definedName function="false" hidden="false" localSheetId="8" name="Basicshares" vbProcedure="false">#REF!</definedName>
    <definedName function="false" hidden="false" localSheetId="8" name="Basicsharesoutstanding" vbProcedure="false">#REF!</definedName>
    <definedName function="false" hidden="false" localSheetId="8" name="BasicYearEndEPS" vbProcedure="false">#REF!</definedName>
    <definedName function="false" hidden="false" localSheetId="8" name="BasicYearEndShares" vbProcedure="false">#REF!</definedName>
    <definedName function="false" hidden="false" localSheetId="8" name="BB" vbProcedure="false">[10]Earning_Assum!$J$10</definedName>
    <definedName function="false" hidden="false" localSheetId="8" name="BE1_0" vbProcedure="false">#REF!</definedName>
    <definedName function="false" hidden="false" localSheetId="8" name="BE2_0" vbProcedure="false">#REF!,#REF!,#REF!</definedName>
    <definedName function="false" hidden="false" localSheetId="8" name="BE3_0" vbProcedure="false">#REF!,#REF!,#REF!</definedName>
    <definedName function="false" hidden="false" localSheetId="8" name="BE4_0" vbProcedure="false">#REF!,#REF!,#REF!</definedName>
    <definedName function="false" hidden="false" localSheetId="8" name="BE5_0" vbProcedure="false">#REF!,#REF!,#REF!</definedName>
    <definedName function="false" hidden="false" localSheetId="8" name="BL1_0" vbProcedure="false">#REF!</definedName>
    <definedName function="false" hidden="false" localSheetId="8" name="BL2_0" vbProcedure="false">#REF!,#REF!,#REF!</definedName>
    <definedName function="false" hidden="false" localSheetId="8" name="BL3_0" vbProcedure="false">#REF!,#REF!,#REF!</definedName>
    <definedName function="false" hidden="false" localSheetId="8" name="BL4_0" vbProcedure="false">#REF!,#REF!,#REF!</definedName>
    <definedName function="false" hidden="false" localSheetId="8" name="BL5_0" vbProcedure="false">#REF!,#REF!,#REF!</definedName>
    <definedName function="false" hidden="false" localSheetId="8" name="block_balancesheet_blue" vbProcedure="false">#REF!</definedName>
    <definedName function="false" hidden="false" localSheetId="8" name="block_businessbackground_blue" vbProcedure="false">#REF!</definedName>
    <definedName function="false" hidden="false" localSheetId="8" name="block_capitalhistory_blue" vbProcedure="false">#REF!</definedName>
    <definedName function="false" hidden="false" localSheetId="8" name="block_cashflow_blue" vbProcedure="false">#REF!</definedName>
    <definedName function="false" hidden="false" localSheetId="8" name="block_expansionplans_blue" vbProcedure="false">#REF!</definedName>
    <definedName function="false" hidden="false" localSheetId="8" name="block_forecasts_blue" vbProcedure="false">#REF!</definedName>
    <definedName function="false" hidden="false" localSheetId="8" name="block_identityblock_blue" vbProcedure="false">#REF!</definedName>
    <definedName function="false" hidden="false" localSheetId="8" name="block_incomestatement_blue" vbProcedure="false">#REF!</definedName>
    <definedName function="false" hidden="false" localSheetId="8" name="block_investmentargument_blue" vbProcedure="false">#REF!</definedName>
    <definedName function="false" hidden="false" localSheetId="8" name="block_keyassumptions2_blue" vbProcedure="false">#REF!</definedName>
    <definedName function="false" hidden="false" localSheetId="8" name="block_keyassumptions_blue" vbProcedure="false">#REF!</definedName>
    <definedName function="false" hidden="false" localSheetId="8" name="block_mainpoints_red" vbProcedure="false">#REF!</definedName>
    <definedName function="false" hidden="false" localSheetId="8" name="block_PEBANDS_none" vbProcedure="false">#REF!</definedName>
    <definedName function="false" hidden="false" localSheetId="8" name="block_perrel_none" vbProcedure="false">#REF!</definedName>
    <definedName function="false" hidden="false" localSheetId="8" name="block_pricetrends_none" vbProcedure="false">#REF!</definedName>
    <definedName function="false" hidden="false" localSheetId="8" name="block_ratioanalysis_blue" vbProcedure="false">#REF!</definedName>
    <definedName function="false" hidden="false" localSheetId="8" name="block_salesbreakdown_none" vbProcedure="false">#REF!</definedName>
    <definedName function="false" hidden="false" localSheetId="8" name="block_shareholdingpattern_blue" vbProcedure="false">#REF!</definedName>
    <definedName function="false" hidden="false" localSheetId="8" name="block_title_blue" vbProcedure="false">#REF!</definedName>
    <definedName function="false" hidden="false" localSheetId="8" name="Bloomberg" vbProcedure="false">#REF!</definedName>
    <definedName function="false" hidden="false" localSheetId="8" name="Bookvalue" vbProcedure="false">#REF!</definedName>
    <definedName function="false" hidden="false" localSheetId="8" name="bs" vbProcedure="false">#REF!</definedName>
    <definedName function="false" hidden="false" localSheetId="8" name="BSE200Member" vbProcedure="false">#REF!</definedName>
    <definedName function="false" hidden="false" localSheetId="8" name="BSECode" vbProcedure="false">#REF!</definedName>
    <definedName function="false" hidden="false" localSheetId="8" name="bs_sski" vbProcedure="false">#REF!</definedName>
    <definedName function="false" hidden="false" localSheetId="8" name="BuiltIn_Print_Area" vbProcedure="false">#REF!</definedName>
    <definedName function="false" hidden="false" localSheetId="8" name="BuiltIn_Print_Titles" vbProcedure="false">#REF!</definedName>
    <definedName function="false" hidden="false" localSheetId="8" name="BuiltIn_Print_Titles___0" vbProcedure="false">#REF!</definedName>
    <definedName function="false" hidden="false" localSheetId="8" name="BuiltIn_Print_Titles___0___0" vbProcedure="false">#REF!</definedName>
    <definedName function="false" hidden="false" localSheetId="8" name="BuiltIn_Print_Titles___0___0___0" vbProcedure="false">#REF!</definedName>
    <definedName function="false" hidden="false" localSheetId="8" name="BuiltIn_Print_Titles___0___0___0___0" vbProcedure="false">#REF!</definedName>
    <definedName function="false" hidden="false" localSheetId="8" name="buyback" vbProcedure="false">#REF!</definedName>
    <definedName function="false" hidden="false" localSheetId="8" name="CABLE" vbProcedure="false">#REF!</definedName>
    <definedName function="false" hidden="false" localSheetId="8" name="capacity" vbProcedure="false">[14]sales!$A$4</definedName>
    <definedName function="false" hidden="false" localSheetId="8" name="CapitalEmployed" vbProcedure="false">#REF!</definedName>
    <definedName function="false" hidden="false" localSheetId="8" name="CapitalExpenditure" vbProcedure="false">#REF!</definedName>
    <definedName function="false" hidden="false" localSheetId="8" name="Capitalisation" vbProcedure="false">#REF!</definedName>
    <definedName function="false" hidden="false" localSheetId="8" name="CashflowfromOperations" vbProcedure="false">#REF!</definedName>
    <definedName function="false" hidden="false" localSheetId="8" name="caz_bs" vbProcedure="false">#REF!</definedName>
    <definedName function="false" hidden="false" localSheetId="8" name="caz_cf" vbProcedure="false">#REF!</definedName>
    <definedName function="false" hidden="false" localSheetId="8" name="caz_pl" vbProcedure="false">#REF!</definedName>
    <definedName function="false" hidden="false" localSheetId="8" name="caz_ratio" vbProcedure="false">#REF!</definedName>
    <definedName function="false" hidden="false" localSheetId="8" name="CCC" vbProcedure="false">[10]Earning_Assum!$J$10</definedName>
    <definedName function="false" hidden="false" localSheetId="8" name="ce" vbProcedure="false">#REF!</definedName>
    <definedName function="false" hidden="false" localSheetId="8" name="cell" vbProcedure="false">#REF!</definedName>
    <definedName function="false" hidden="false" localSheetId="8" name="centre_1" vbProcedure="false">#REF!</definedName>
    <definedName function="false" hidden="false" localSheetId="8" name="centre_2" vbProcedure="false">#REF!</definedName>
    <definedName function="false" hidden="false" localSheetId="8" name="cf" vbProcedure="false">[18]Financials!$A$2305</definedName>
    <definedName function="false" hidden="false" localSheetId="8" name="CFPS_Curr_Yr" vbProcedure="false">#REF!</definedName>
    <definedName function="false" hidden="false" localSheetId="8" name="CFPS_Lst_Yr" vbProcedure="false">#REF!</definedName>
    <definedName function="false" hidden="false" localSheetId="8" name="CFPS_Next_Yr" vbProcedure="false">#REF!</definedName>
    <definedName function="false" hidden="false" localSheetId="8" name="ChangesInWorkingCapital" vbProcedure="false">#REF!</definedName>
    <definedName function="false" hidden="false" localSheetId="8" name="Cochin" vbProcedure="false">#REF!</definedName>
    <definedName function="false" hidden="false" localSheetId="8" name="commerce" vbProcedure="false">#REF!</definedName>
    <definedName function="false" hidden="false" localSheetId="8" name="CommonDividendPaidOut" vbProcedure="false">#REF!</definedName>
    <definedName function="false" hidden="false" localSheetId="8" name="CommonStock" vbProcedure="false">#REF!</definedName>
    <definedName function="false" hidden="false" localSheetId="8" name="company" vbProcedure="false">#REF!</definedName>
    <definedName function="false" hidden="false" localSheetId="8" name="company_nameh" vbProcedure="false">#REF!</definedName>
    <definedName function="false" hidden="false" localSheetId="8" name="cons" vbProcedure="false">#REF!</definedName>
    <definedName function="false" hidden="false" localSheetId="8" name="COSTING_FOR_EACH__SET_OF_5__CONSISTS____POCUREMENT_BY_ADANI_LOGISTICS" vbProcedure="false">#REF!</definedName>
    <definedName function="false" hidden="false" localSheetId="8" name="cost_of_cap_growth" vbProcedure="false">#REF!</definedName>
    <definedName function="false" hidden="false" localSheetId="8" name="CS" vbProcedure="false">'[21]Main Sheet'!$EO$1</definedName>
    <definedName function="false" hidden="false" localSheetId="8" name="csbs" vbProcedure="false">[18]Financials!$EO$1</definedName>
    <definedName function="false" hidden="false" localSheetId="8" name="cscf" vbProcedure="false">[18]Financials!$A$7169</definedName>
    <definedName function="false" hidden="false" localSheetId="8" name="cspl" vbProcedure="false">[18]Financials!$A$2305</definedName>
    <definedName function="false" hidden="false" localSheetId="8" name="CurrentLiab" vbProcedure="false">#REF!</definedName>
    <definedName function="false" hidden="false" localSheetId="8" name="CurrentRatio" vbProcedure="false">[4]Introduction!$EP$1</definedName>
    <definedName function="false" hidden="false" localSheetId="8" name="curr_year_sales" vbProcedure="false">#REF!</definedName>
    <definedName function="false" hidden="false" localSheetId="8" name="days" vbProcedure="false">#REF!</definedName>
    <definedName function="false" hidden="false" localSheetId="8" name="daysss" vbProcedure="false">[24]Key_Base!$D$12</definedName>
    <definedName function="false" hidden="false" localSheetId="8" name="dcf_sensit" vbProcedure="false">#REF!</definedName>
    <definedName function="false" hidden="false" localSheetId="8" name="Delivery_Date" vbProcedure="false">#REF!</definedName>
    <definedName function="false" hidden="false" localSheetId="8" name="Deprecn" vbProcedure="false">#REF!</definedName>
    <definedName function="false" hidden="false" localSheetId="8" name="desktop" vbProcedure="false">#REF!</definedName>
    <definedName function="false" hidden="false" localSheetId="8" name="directors" vbProcedure="false">#REF!</definedName>
    <definedName function="false" hidden="false" localSheetId="8" name="dis" vbProcedure="false">#REF!</definedName>
    <definedName function="false" hidden="false" localSheetId="8" name="DispFmt" vbProcedure="false">[12]Input!$J$10</definedName>
    <definedName function="false" hidden="false" localSheetId="8" name="diversity" vbProcedure="false">#REF!</definedName>
    <definedName function="false" hidden="false" localSheetId="8" name="diversityss" vbProcedure="false">[24]Key_Base!$D$18</definedName>
    <definedName function="false" hidden="false" localSheetId="8" name="docs" vbProcedure="false">[18]Financials!$A$4353</definedName>
    <definedName function="false" hidden="false" localSheetId="8" name="dp" vbProcedure="false">[18]Financials!$A$7169</definedName>
    <definedName function="false" hidden="false" localSheetId="8" name="DPS_Curr_Yr" vbProcedure="false">#REF!</definedName>
    <definedName function="false" hidden="false" localSheetId="8" name="DPS_Lst_Yr" vbProcedure="false">#REF!</definedName>
    <definedName function="false" hidden="false" localSheetId="8" name="DPS_Next_Yr" vbProcedure="false">#REF!</definedName>
    <definedName function="false" hidden="false" localSheetId="8" name="Drawdowns" vbProcedure="false">#REF!</definedName>
    <definedName function="false" hidden="false" localSheetId="8" name="E1E" vbProcedure="false">#REF!</definedName>
    <definedName function="false" hidden="false" localSheetId="8" name="E2E" vbProcedure="false">#REF!,#REF!,#REF!</definedName>
    <definedName function="false" hidden="false" localSheetId="8" name="E3E" vbProcedure="false">#REF!,#REF!,#REF!</definedName>
    <definedName function="false" hidden="false" localSheetId="8" name="E4E" vbProcedure="false">#REF!,#REF!,#REF!</definedName>
    <definedName function="false" hidden="false" localSheetId="8" name="E5E" vbProcedure="false">#REF!,#REF!,#REF!</definedName>
    <definedName function="false" hidden="false" localSheetId="8" name="Each_Installment" vbProcedure="false">#REF!</definedName>
    <definedName function="false" hidden="false" localSheetId="8" name="Earnings" vbProcedure="false">[10]Earning_Assum!$S$1</definedName>
    <definedName function="false" hidden="false" localSheetId="8" name="EBIT" vbProcedure="false">#REF!</definedName>
    <definedName function="false" hidden="false" localSheetId="8" name="EEE" vbProcedure="false">[10]Earning_Assum!$EI$1</definedName>
    <definedName function="false" hidden="false" localSheetId="8" name="Effective_cost" vbProcedure="false">#REF!</definedName>
    <definedName function="false" hidden="false" localSheetId="8" name="Effective_Cost_with_witholding" vbProcedure="false">#REF!</definedName>
    <definedName function="false" hidden="false" localSheetId="8" name="Effective_Spread" vbProcedure="false">#REF!</definedName>
    <definedName function="false" hidden="false" localSheetId="8" name="Effective_Spread_without_witholding" vbProcedure="false">#REF!</definedName>
    <definedName function="false" hidden="false" localSheetId="8" name="Employees" vbProcedure="false">#REF!</definedName>
    <definedName function="false" hidden="false" localSheetId="8" name="EPS_Curr_Qtr" vbProcedure="false">#REF!</definedName>
    <definedName function="false" hidden="false" localSheetId="8" name="EPS_Curr_Yr" vbProcedure="false">#REF!</definedName>
    <definedName function="false" hidden="false" localSheetId="8" name="EPS_Growth_Rate" vbProcedure="false">#REF!</definedName>
    <definedName function="false" hidden="false" localSheetId="8" name="EPS_Lst_Yr" vbProcedure="false">#REF!</definedName>
    <definedName function="false" hidden="false" localSheetId="8" name="EPS_Next_Yr" vbProcedure="false">#REF!</definedName>
    <definedName function="false" hidden="false" localSheetId="8" name="EPS_Qtr_Date" vbProcedure="false">#REF!</definedName>
    <definedName function="false" hidden="false" localSheetId="8" name="Equity_Ticker" vbProcedure="false">#REF!</definedName>
    <definedName function="false" hidden="false" localSheetId="8" name="er" vbProcedure="false">#REF!</definedName>
    <definedName function="false" hidden="false" localSheetId="8" name="Excel_BuiltIn_Database_0" vbProcedure="false">#REF!</definedName>
    <definedName function="false" hidden="false" localSheetId="8" name="Excel_BuiltIn_Database_1" vbProcedure="false">#REF!</definedName>
    <definedName function="false" hidden="false" localSheetId="8" name="Excel_BuiltIn_Database_6" vbProcedure="false">#REF!</definedName>
    <definedName function="false" hidden="false" localSheetId="8" name="ExchangeRates" vbProcedure="false">#REF!</definedName>
    <definedName function="false" hidden="false" localSheetId="8" name="exc_rate" vbProcedure="false">#REF!</definedName>
    <definedName function="false" hidden="false" localSheetId="8" name="exc_Rsmn" vbProcedure="false">#REF!</definedName>
    <definedName function="false" hidden="false" localSheetId="8" name="exec_board" vbProcedure="false">#REF!</definedName>
    <definedName function="false" hidden="false" localSheetId="8" name="Export" vbProcedure="false">#REF!</definedName>
    <definedName function="false" hidden="false" localSheetId="8" name="Factor" vbProcedure="false">#REF!</definedName>
    <definedName function="false" hidden="false" localSheetId="8" name="fcf" vbProcedure="false">[18]Financials!$A$1025</definedName>
    <definedName function="false" hidden="false" localSheetId="8" name="FDafan" vbProcedure="false">#REF!</definedName>
    <definedName function="false" hidden="false" localSheetId="8" name="FDFumigation" vbProcedure="false">#REF!</definedName>
    <definedName function="false" hidden="false" localSheetId="8" name="FDtemp" vbProcedure="false">#REF!</definedName>
    <definedName function="false" hidden="false" localSheetId="8" name="fdvfan" vbProcedure="false">#REF!</definedName>
    <definedName function="false" hidden="false" localSheetId="8" name="ffg" vbProcedure="false">#REF!</definedName>
    <definedName function="false" hidden="false" localSheetId="8" name="FinancialActivities" vbProcedure="false">#REF!</definedName>
    <definedName function="false" hidden="false" localSheetId="8" name="Financials" vbProcedure="false">#REF!</definedName>
    <definedName function="false" hidden="false" localSheetId="8" name="Flag1" vbProcedure="false">[10]Earning_Assum!$EK$1</definedName>
    <definedName function="false" hidden="false" localSheetId="8" name="FORMIII_COM" vbProcedure="false">'[32]EXIS-COMBINED'!$A$1</definedName>
    <definedName function="false" hidden="false" localSheetId="8" name="formii_com" vbProcedure="false">'[32]EXIS-COMBINED'!$AA$1</definedName>
    <definedName function="false" hidden="false" localSheetId="8" name="FORMIV_COM" vbProcedure="false">'[32]EXIS-COMBINED'!$A$1</definedName>
    <definedName function="false" hidden="false" localSheetId="8" name="FORMVI_COM" vbProcedure="false">'[32]EXIS-COMBINED'!$A$1</definedName>
    <definedName function="false" hidden="false" localSheetId="8" name="FORMV_COM" vbProcedure="false">'[32]EXIS-COMBINED'!$A$1</definedName>
    <definedName function="false" hidden="false" localSheetId="8" name="FreeFloat" vbProcedure="false">#REF!</definedName>
    <definedName function="false" hidden="false" localSheetId="8" name="FSAKW" vbProcedure="false">#REF!</definedName>
    <definedName function="false" hidden="false" localSheetId="8" name="FSOne" vbProcedure="false">#REF!</definedName>
    <definedName function="false" hidden="false" localSheetId="8" name="FSTwo" vbProcedure="false">#REF!</definedName>
    <definedName function="false" hidden="false" localSheetId="8" name="FullyDilutedYearEndEPS" vbProcedure="false">#REF!</definedName>
    <definedName function="false" hidden="false" localSheetId="8" name="FullyDilutedYearEndShares" vbProcedure="false">#REF!</definedName>
    <definedName function="false" hidden="false" localSheetId="8" name="FumigationKW" vbProcedure="false">#REF!</definedName>
    <definedName function="false" hidden="false" localSheetId="8" name="fv" vbProcedure="false">[18]Financials!$A$2305</definedName>
    <definedName function="false" hidden="false" localSheetId="8" name="FY2004_" vbProcedure="false">#REF!</definedName>
    <definedName function="false" hidden="false" localSheetId="8" name="FY2005_" vbProcedure="false">#REF!</definedName>
    <definedName function="false" hidden="false" localSheetId="8" name="g" vbProcedure="false">#REF!</definedName>
    <definedName function="false" hidden="false" localSheetId="8" name="GDRParity" vbProcedure="false">#REF!</definedName>
    <definedName function="false" hidden="false" localSheetId="8" name="GDRPriceRs" vbProcedure="false">#REF!</definedName>
    <definedName function="false" hidden="false" localSheetId="8" name="GDRPriceUSD" vbProcedure="false">#REF!</definedName>
    <definedName function="false" hidden="false" localSheetId="8" name="GDRRsPrice" vbProcedure="false">#REF!</definedName>
    <definedName function="false" hidden="false" localSheetId="8" name="GrossProfit" vbProcedure="false">#REF!</definedName>
    <definedName function="false" hidden="false" localSheetId="8" name="growth_period" vbProcedure="false">#REF!</definedName>
    <definedName function="false" hidden="false" localSheetId="8" name="H1Rec" vbProcedure="false">#REF!</definedName>
    <definedName function="false" hidden="false" localSheetId="8" name="H1_1" vbProcedure="false">#REF!</definedName>
    <definedName function="false" hidden="false" localSheetId="8" name="H1_2" vbProcedure="false">#REF!,#REF!,#REF!</definedName>
    <definedName function="false" hidden="false" localSheetId="8" name="H2Tra" vbProcedure="false">#REF!</definedName>
    <definedName function="false" hidden="false" localSheetId="8" name="H2_1" vbProcedure="false">#REF!,#REF!,#REF!</definedName>
    <definedName function="false" hidden="false" localSheetId="8" name="H2_2" vbProcedure="false">#REF!,#REF!,#REF!</definedName>
    <definedName function="false" hidden="false" localSheetId="8" name="H4recl" vbProcedure="false">#REF!</definedName>
    <definedName function="false" hidden="false" localSheetId="8" name="h4swe" vbProcedure="false">#REF!</definedName>
    <definedName function="false" hidden="false" localSheetId="8" name="H5Bag" vbProcedure="false">#REF!</definedName>
    <definedName function="false" hidden="false" localSheetId="8" name="H6Shi" vbProcedure="false">#REF!</definedName>
    <definedName function="false" hidden="false" localSheetId="8" name="H7cir" vbProcedure="false">#REF!</definedName>
    <definedName function="false" hidden="false" localSheetId="8" name="HE1_0" vbProcedure="false">#REF!</definedName>
    <definedName function="false" hidden="false" localSheetId="8" name="HE2_0" vbProcedure="false">#REF!,#REF!,#REF!</definedName>
    <definedName function="false" hidden="false" localSheetId="8" name="HE3_0" vbProcedure="false">#REF!,#REF!,#REF!</definedName>
    <definedName function="false" hidden="false" localSheetId="8" name="HE4_0" vbProcedure="false">#REF!,#REF!,#REF!</definedName>
    <definedName function="false" hidden="false" localSheetId="8" name="HE5_0" vbProcedure="false">#REF!,#REF!,#REF!</definedName>
    <definedName function="false" hidden="false" localSheetId="8" name="Headers" vbProcedure="false">#REF!</definedName>
    <definedName function="false" hidden="false" localSheetId="8" name="hh" vbProcedure="false">#REF!</definedName>
    <definedName function="false" hidden="false" localSheetId="8" name="hhh" vbProcedure="false">[10]Earning_Assum!$AF$10</definedName>
    <definedName function="false" hidden="false" localSheetId="8" name="hhhhh" vbProcedure="false">[10]Earning_Assum!$A$1</definedName>
    <definedName function="false" hidden="false" localSheetId="8" name="hhhhhhhhhh" vbProcedure="false">[10]Earning_Assum!$A$1</definedName>
    <definedName function="false" hidden="false" localSheetId="8" name="hhhhhhhhhhhhhhh" vbProcedure="false">[10]Earning_Assum!$A$1</definedName>
    <definedName function="false" hidden="false" localSheetId="8" name="hhhhhhhhhhhhhhhhhhhhhhh" vbProcedure="false">[10]Earning_Assum!$B$1</definedName>
    <definedName function="false" hidden="false" localSheetId="8" name="HighLow" vbProcedure="false">#REF!</definedName>
    <definedName function="false" hidden="false" localSheetId="8" name="hj" vbProcedure="false">#REF!,#REF!,#REF!</definedName>
    <definedName function="false" hidden="false" localSheetId="8" name="hjggj" vbProcedure="false">#REF!,#REF!,#REF!</definedName>
    <definedName function="false" hidden="false" localSheetId="8" name="HL1_0" vbProcedure="false">#REF!</definedName>
    <definedName function="false" hidden="false" localSheetId="8" name="HL1_1" vbProcedure="false">#REF!</definedName>
    <definedName function="false" hidden="false" localSheetId="8" name="HL1_2" vbProcedure="false">#REF!,#REF!</definedName>
    <definedName function="false" hidden="false" localSheetId="8" name="HL2_0" vbProcedure="false">#REF!,#REF!,#REF!</definedName>
    <definedName function="false" hidden="false" localSheetId="8" name="HL2_1" vbProcedure="false">#REF!,#REF!</definedName>
    <definedName function="false" hidden="false" localSheetId="8" name="HL2_2" vbProcedure="false">#REF!,#REF!</definedName>
    <definedName function="false" hidden="false" localSheetId="8" name="HL3_0" vbProcedure="false">#REF!,#REF!,#REF!</definedName>
    <definedName function="false" hidden="false" localSheetId="8" name="HL4_0" vbProcedure="false">#REF!,#REF!,#REF!</definedName>
    <definedName function="false" hidden="false" localSheetId="8" name="HL5_0" vbProcedure="false">#REF!,#REF!,#REF!</definedName>
    <definedName function="false" hidden="false" localSheetId="8" name="HLCL" vbProcedure="false">#REF!</definedName>
    <definedName function="false" hidden="false" localSheetId="8" name="hll_pond" vbProcedure="false">#REF!</definedName>
    <definedName function="false" hidden="false" localSheetId="8" name="hour1" vbProcedure="false">#REF!</definedName>
    <definedName function="false" hidden="false" localSheetId="8" name="hour10" vbProcedure="false">#REF!</definedName>
    <definedName function="false" hidden="false" localSheetId="8" name="hour11" vbProcedure="false">#REF!</definedName>
    <definedName function="false" hidden="false" localSheetId="8" name="Hour12" vbProcedure="false">#REF!</definedName>
    <definedName function="false" hidden="false" localSheetId="8" name="Hour13" vbProcedure="false">#REF!</definedName>
    <definedName function="false" hidden="false" localSheetId="8" name="hour14" vbProcedure="false">#REF!</definedName>
    <definedName function="false" hidden="false" localSheetId="8" name="Hour15" vbProcedure="false">#REF!</definedName>
    <definedName function="false" hidden="false" localSheetId="8" name="hour2" vbProcedure="false">#REF!</definedName>
    <definedName function="false" hidden="false" localSheetId="8" name="hour3" vbProcedure="false">#REF!</definedName>
    <definedName function="false" hidden="false" localSheetId="8" name="hour4" vbProcedure="false">#REF!</definedName>
    <definedName function="false" hidden="false" localSheetId="8" name="hour5" vbProcedure="false">#REF!</definedName>
    <definedName function="false" hidden="false" localSheetId="8" name="Hour6" vbProcedure="false">#REF!</definedName>
    <definedName function="false" hidden="false" localSheetId="8" name="hour7" vbProcedure="false">#REF!</definedName>
    <definedName function="false" hidden="false" localSheetId="8" name="Hour8" vbProcedure="false">#REF!</definedName>
    <definedName function="false" hidden="false" localSheetId="8" name="hour9" vbProcedure="false">#REF!</definedName>
    <definedName function="false" hidden="false" localSheetId="8" name="hours14" vbProcedure="false">#REF!</definedName>
    <definedName function="false" hidden="false" localSheetId="8" name="IncomeTax" vbProcedure="false">#REF!</definedName>
    <definedName function="false" hidden="false" localSheetId="8" name="IncomeTaxPaidOut" vbProcedure="false">#REF!</definedName>
    <definedName function="false" hidden="false" localSheetId="8" name="inc_model" vbProcedure="false">#REF!</definedName>
    <definedName function="false" hidden="false" localSheetId="8" name="IndexC" vbProcedure="false">#REF!</definedName>
    <definedName function="false" hidden="false" localSheetId="8" name="IndexCs" vbProcedure="false">#REF!</definedName>
    <definedName function="false" hidden="false" localSheetId="8" name="industry" vbProcedure="false">#REF!</definedName>
    <definedName function="false" hidden="false" localSheetId="8" name="INR_per_USD" vbProcedure="false">#REF!</definedName>
    <definedName function="false" hidden="false" localSheetId="8" name="Installments_peryear" vbProcedure="false">#REF!</definedName>
    <definedName function="false" hidden="false" localSheetId="8" name="Interest" vbProcedure="false">#REF!</definedName>
    <definedName function="false" hidden="false" localSheetId="8" name="InterestExpense" vbProcedure="false">#REF!</definedName>
    <definedName function="false" hidden="false" localSheetId="8" name="Interests" vbProcedure="false">#REF!</definedName>
    <definedName function="false" hidden="false" localSheetId="8" name="Investments" vbProcedure="false">#REF!</definedName>
    <definedName function="false" hidden="false" localSheetId="8" name="ITAX" vbProcedure="false">#REF!</definedName>
    <definedName function="false" hidden="false" localSheetId="8" name="ITAXs" vbProcedure="false">#REF!</definedName>
    <definedName function="false" hidden="false" localSheetId="8" name="kew" vbProcedure="false">#REF!</definedName>
    <definedName function="false" hidden="false" localSheetId="8" name="klll" vbProcedure="false">#REF!,#REF!,#REF!</definedName>
    <definedName function="false" hidden="false" localSheetId="8" name="L" vbProcedure="false">#REF!</definedName>
    <definedName function="false" hidden="false" localSheetId="8" name="L1L" vbProcedure="false">#REF!,#REF!</definedName>
    <definedName function="false" hidden="false" localSheetId="8" name="L2L" vbProcedure="false">#REF!,#REF!</definedName>
    <definedName function="false" hidden="false" localSheetId="8" name="L3L" vbProcedure="false">#REF!,#REF!</definedName>
    <definedName function="false" hidden="false" localSheetId="8" name="L4L" vbProcedure="false">#REF!,#REF!</definedName>
    <definedName function="false" hidden="false" localSheetId="8" name="L5L" vbProcedure="false">#REF!,#REF!</definedName>
    <definedName function="false" hidden="false" localSheetId="8" name="labor_annual_increase" vbProcedure="false">#REF!</definedName>
    <definedName function="false" hidden="false" localSheetId="8" name="Labour_cost_per__TEU" vbProcedure="false">#REF!</definedName>
    <definedName function="false" hidden="false" localSheetId="8" name="Last_Installment_Date" vbProcedure="false">#REF!</definedName>
    <definedName function="false" hidden="false" localSheetId="8" name="Lawyer_Fee" vbProcedure="false">#REF!</definedName>
    <definedName function="false" hidden="false" localSheetId="8" name="Layup_02\03" vbProcedure="false">[10]Earning_Assum!$J$10</definedName>
    <definedName function="false" hidden="false" localSheetId="8" name="Layup_03\04" vbProcedure="false">[10]Earning_Assum!$J$2305</definedName>
    <definedName function="false" hidden="false" localSheetId="8" name="Layup_04\05" vbProcedure="false">[10]Earning_Assum!$J$2314</definedName>
    <definedName function="false" hidden="false" localSheetId="8" name="LeaseAdj" vbProcedure="false">[12]Input!$J$2314</definedName>
    <definedName function="false" hidden="false" localSheetId="8" name="MAT" vbProcedure="false">#REF!</definedName>
    <definedName function="false" hidden="false" localSheetId="8" name="MATs" vbProcedure="false">#REF!</definedName>
    <definedName function="false" hidden="false" localSheetId="8" name="Maximum_loan_available" vbProcedure="false">#REF!</definedName>
    <definedName function="false" hidden="false" localSheetId="8" name="mc_ms" vbProcedure="false">#REF!</definedName>
    <definedName function="false" hidden="false" localSheetId="8" name="Mico" vbProcedure="false">[38]Mico!$L$1</definedName>
    <definedName function="false" hidden="false" localSheetId="8" name="MinGraph" vbProcedure="false">#REF!</definedName>
    <definedName function="false" hidden="false" localSheetId="8" name="mkt_strength" vbProcedure="false">#REF!</definedName>
    <definedName function="false" hidden="false" localSheetId="8" name="Months" vbProcedure="false">#REF!</definedName>
    <definedName function="false" hidden="false" localSheetId="8" name="MrgnTax" vbProcedure="false">[12]Profile!$O$10</definedName>
    <definedName function="false" hidden="false" localSheetId="8" name="NationalMember" vbProcedure="false">#REF!</definedName>
    <definedName function="false" hidden="false" localSheetId="8" name="NetCashGenerated" vbProcedure="false">#REF!</definedName>
    <definedName function="false" hidden="false" localSheetId="8" name="NetDebtToEquity" vbProcedure="false">#REF!</definedName>
    <definedName function="false" hidden="false" localSheetId="8" name="NetFixedAssets" vbProcedure="false">#REF!</definedName>
    <definedName function="false" hidden="false" localSheetId="8" name="NetInterest" vbProcedure="false">InterestIncome-'Debt Schedule'!InterestExpense</definedName>
    <definedName function="false" hidden="false" localSheetId="8" name="NetProfitMargin" vbProcedure="false">#REF!</definedName>
    <definedName function="false" hidden="false" localSheetId="8" name="Num_of_plots" vbProcedure="false">#REF!</definedName>
    <definedName function="false" hidden="false" localSheetId="8" name="OnePager" vbProcedure="false">#REF!</definedName>
    <definedName function="false" hidden="false" localSheetId="8" name="OperatingCashflow" vbProcedure="false">[4]Introduction!$O$1</definedName>
    <definedName function="false" hidden="false" localSheetId="8" name="OperatingProfit" vbProcedure="false">#REF!</definedName>
    <definedName function="false" hidden="false" localSheetId="8" name="OperatingProfitMargin" vbProcedure="false">#REF!</definedName>
    <definedName function="false" hidden="false" localSheetId="8" name="ops" vbProcedure="false">#REF!+#REF!</definedName>
    <definedName function="false" hidden="false" localSheetId="8" name="opss" vbProcedure="false">[39]Key_Base!$D$20+[39]Key_Base!$E$20</definedName>
    <definedName function="false" hidden="false" localSheetId="8" name="opsss" vbProcedure="false">[24]Key_Base!$D$20+[24]Key_Base!$E$20</definedName>
    <definedName function="false" hidden="false" localSheetId="8" name="OTHER" vbProcedure="false">#REF!</definedName>
    <definedName function="false" hidden="false" localSheetId="8" name="OtherIncome" vbProcedure="false">#REF!</definedName>
    <definedName function="false" hidden="false" localSheetId="8" name="OtherLTAssets" vbProcedure="false">#REF!</definedName>
    <definedName function="false" hidden="false" localSheetId="8" name="OtherLTLiabilities" vbProcedure="false">#REF!</definedName>
    <definedName function="false" hidden="false" localSheetId="8" name="others" vbProcedure="false">#REF!</definedName>
    <definedName function="false" hidden="false" localSheetId="8" name="other_inc" vbProcedure="false">#REF!</definedName>
    <definedName function="false" hidden="false" localSheetId="8" name="OutputGrowthEstimates" vbProcedure="false">[4]Old!$DK$1</definedName>
    <definedName function="false" hidden="false" localSheetId="8" name="ownership" vbProcedure="false">#REF!</definedName>
    <definedName function="false" hidden="false" localSheetId="8" name="page1" vbProcedure="false">#REF!</definedName>
    <definedName function="false" hidden="false" localSheetId="8" name="page2" vbProcedure="false">#REF!</definedName>
    <definedName function="false" hidden="false" localSheetId="8" name="ParValue" vbProcedure="false">#REF!</definedName>
    <definedName function="false" hidden="false" localSheetId="8" name="pe" vbProcedure="false">[18]Financials!$A$35585</definedName>
    <definedName function="false" hidden="false" localSheetId="8" name="pebanddata" vbProcedure="false">#REF!</definedName>
    <definedName function="false" hidden="false" localSheetId="8" name="PEMultiplesFirstyear" vbProcedure="false">#REF!</definedName>
    <definedName function="false" hidden="false" localSheetId="8" name="PEMultiplesLastyear" vbProcedure="false">#REF!</definedName>
    <definedName function="false" hidden="false" localSheetId="8" name="pereldata" vbProcedure="false">#REF!</definedName>
    <definedName function="false" hidden="false" localSheetId="8" name="pe_to_pop" vbProcedure="false">#REF!</definedName>
    <definedName function="false" hidden="false" localSheetId="8" name="PivotData" vbProcedure="false">OFFSET(#REF!,0,0,COUNTA(#REF!),COUNTA(#REF!))</definedName>
    <definedName function="false" hidden="false" localSheetId="8" name="PJCapex" vbProcedure="false">#REF!</definedName>
    <definedName function="false" hidden="false" localSheetId="8" name="PJInterestIncome" vbProcedure="false">#REF!</definedName>
    <definedName function="false" hidden="false" localSheetId="8" name="pjlongtermdebtchanges" vbProcedure="false">#REF!</definedName>
    <definedName function="false" hidden="false" localSheetId="8" name="pjlongterminterestexpense" vbProcedure="false">#REF!</definedName>
    <definedName function="false" hidden="false" localSheetId="8" name="pjnetcashflow" vbProcedure="false">#REF!</definedName>
    <definedName function="false" hidden="false" localSheetId="8" name="pjshorttermdebtchanges" vbProcedure="false">#REF!</definedName>
    <definedName function="false" hidden="false" localSheetId="8" name="pjshortterminterestexpense" vbProcedure="false">#REF!</definedName>
    <definedName function="false" hidden="false" localSheetId="8" name="PJYears" vbProcedure="false">#REF!</definedName>
    <definedName function="false" hidden="false" localSheetId="8" name="pl" vbProcedure="false">#REF!</definedName>
    <definedName function="false" hidden="false" localSheetId="8" name="pl_sski" vbProcedure="false">#REF!</definedName>
    <definedName function="false" hidden="false" localSheetId="8" name="pop_growth" vbProcedure="false">#REF!</definedName>
    <definedName function="false" hidden="false" localSheetId="8" name="pres" vbProcedure="false">[39]Key_Base!$D$19+[39]Key_Base!$E$19</definedName>
    <definedName function="false" hidden="false" localSheetId="8" name="press" vbProcedure="false">[24]Key_Base!$D$19+[24]Key_Base!$E$19</definedName>
    <definedName function="false" hidden="false" localSheetId="8" name="PretaxProfit" vbProcedure="false">#REF!</definedName>
    <definedName function="false" hidden="false" localSheetId="8" name="pri" vbProcedure="false">#REF!</definedName>
    <definedName function="false" hidden="false" localSheetId="8" name="price" vbProcedure="false">#REF!</definedName>
    <definedName function="false" hidden="false" localSheetId="8" name="PriceChg1" vbProcedure="false">#REF!</definedName>
    <definedName function="false" hidden="false" localSheetId="8" name="PriceChg12" vbProcedure="false">#REF!</definedName>
    <definedName function="false" hidden="false" localSheetId="8" name="PriceChg3" vbProcedure="false">#REF!</definedName>
    <definedName function="false" hidden="false" localSheetId="8" name="priceh" vbProcedure="false">#REF!</definedName>
    <definedName function="false" hidden="false" localSheetId="8" name="PricesFYEnd" vbProcedure="false">#REF!</definedName>
    <definedName function="false" hidden="false" localSheetId="8" name="PricesIndexed" vbProcedure="false">#REF!</definedName>
    <definedName function="false" hidden="false" localSheetId="8" name="production" vbProcedure="false">#REF!</definedName>
    <definedName function="false" hidden="false" localSheetId="8" name="PSV" vbProcedure="false">#REF!</definedName>
    <definedName function="false" hidden="false" localSheetId="8" name="Q1_1" vbProcedure="false">#REF!</definedName>
    <definedName function="false" hidden="false" localSheetId="8" name="Q1_2" vbProcedure="false">#REF!,#REF!,#REF!</definedName>
    <definedName function="false" hidden="false" localSheetId="8" name="Q1_3" vbProcedure="false">#REF!,#REF!,#REF!</definedName>
    <definedName function="false" hidden="false" localSheetId="8" name="Q1_4" vbProcedure="false">#REF!,#REF!,#REF!</definedName>
    <definedName function="false" hidden="false" localSheetId="8" name="Q2_1" vbProcedure="false">#REF!,#REF!,#REF!</definedName>
    <definedName function="false" hidden="false" localSheetId="8" name="Q2_2" vbProcedure="false">#REF!,#REF!,#REF!</definedName>
    <definedName function="false" hidden="false" localSheetId="8" name="Q2_3" vbProcedure="false">#REF!,#REF!,#REF!</definedName>
    <definedName function="false" hidden="false" localSheetId="8" name="Q2_4" vbProcedure="false">#REF!,#REF!,#REF!</definedName>
    <definedName function="false" hidden="false" localSheetId="8" name="Q3_1" vbProcedure="false">#REF!,#REF!,#REF!</definedName>
    <definedName function="false" hidden="false" localSheetId="8" name="QL1_1" vbProcedure="false">#REF!,#REF!</definedName>
    <definedName function="false" hidden="false" localSheetId="8" name="QL1_2" vbProcedure="false">#REF!,#REF!</definedName>
    <definedName function="false" hidden="false" localSheetId="8" name="QL1_3" vbProcedure="false">#REF!,#REF!</definedName>
    <definedName function="false" hidden="false" localSheetId="8" name="QL1_4" vbProcedure="false">#REF!,#REF!</definedName>
    <definedName function="false" hidden="false" localSheetId="8" name="QL2_1" vbProcedure="false">#REF!,#REF!</definedName>
    <definedName function="false" hidden="false" localSheetId="8" name="QL2_2" vbProcedure="false">#REF!,#REF!</definedName>
    <definedName function="false" hidden="false" localSheetId="8" name="QL2_3" vbProcedure="false">#REF!,#REF!</definedName>
    <definedName function="false" hidden="false" localSheetId="8" name="QL2_4" vbProcedure="false">#REF!,#REF!</definedName>
    <definedName function="false" hidden="false" localSheetId="8" name="QL3_1" vbProcedure="false">#REF!,#REF!</definedName>
    <definedName function="false" hidden="false" localSheetId="8" name="ra" vbProcedure="false">#REF!</definedName>
    <definedName function="false" hidden="false" localSheetId="8" name="RATIO" vbProcedure="false">'[21]Main Sheet'!$J$10</definedName>
    <definedName function="false" hidden="false" localSheetId="8" name="read_area" vbProcedure="false">#REF!</definedName>
    <definedName function="false" hidden="false" localSheetId="8" name="reco" vbProcedure="false">#REF!</definedName>
    <definedName function="false" hidden="false" localSheetId="8" name="recommendation" vbProcedure="false">#REF!</definedName>
    <definedName function="false" hidden="false" localSheetId="8" name="recommendationH" vbProcedure="false">#REF!</definedName>
    <definedName function="false" hidden="false" localSheetId="8" name="ReductInInvestments" vbProcedure="false">#REF!</definedName>
    <definedName function="false" hidden="false" localSheetId="8" name="relperfdata" vbProcedure="false">#REF!</definedName>
    <definedName function="false" hidden="false" localSheetId="8" name="Repayment_period" vbProcedure="false">#REF!</definedName>
    <definedName function="false" hidden="false" localSheetId="8" name="Repayment_Starts_on" vbProcedure="false">#REF!</definedName>
    <definedName function="false" hidden="false" localSheetId="8" name="ReservesAndPremium" vbProcedure="false">#REF!</definedName>
    <definedName function="false" hidden="false" localSheetId="8" name="Residential" vbProcedure="false">#REF!</definedName>
    <definedName function="false" hidden="false" localSheetId="8" name="RetainedEarnings" vbProcedure="false">#REF!</definedName>
    <definedName function="false" hidden="false" localSheetId="8" name="ReturnOnAssets" vbProcedure="false">[4]Introduction!$AM$1</definedName>
    <definedName function="false" hidden="false" localSheetId="8" name="ReturnOnEquity" vbProcedure="false">[4]Introduction!$A$1</definedName>
    <definedName function="false" hidden="false" localSheetId="8" name="reuters" vbProcedure="false">#REF!</definedName>
    <definedName function="false" hidden="false" localSheetId="8" name="ReutersCode" vbProcedure="false">#REF!</definedName>
    <definedName function="false" hidden="false" localSheetId="8" name="reuters_codeh" vbProcedure="false">#REF!</definedName>
    <definedName function="false" hidden="false" localSheetId="8" name="Revenue" vbProcedure="false">[4]Old!$AQ$1</definedName>
    <definedName function="false" hidden="false" localSheetId="8" name="RevenueGrowth" vbProcedure="false">#REF!</definedName>
    <definedName function="false" hidden="false" localSheetId="8" name="RMconsumed" vbProcedure="false">[4]Old!$N$10</definedName>
    <definedName function="false" hidden="false" localSheetId="8" name="rm_price" vbProcedure="false">#REF!</definedName>
    <definedName function="false" hidden="false" localSheetId="8" name="roce" vbProcedure="false">[18]Financials!$A$2305</definedName>
    <definedName function="false" hidden="false" localSheetId="8" name="roe" vbProcedure="false">[18]Financials!$A$1281</definedName>
    <definedName function="false" hidden="false" localSheetId="8" name="RSBasicShares" vbProcedure="false">[4]Sheet2!$FI$17</definedName>
    <definedName function="false" hidden="false" localSheetId="8" name="RSDepreciation" vbProcedure="false">[4]Sheet3!$A$1</definedName>
    <definedName function="false" hidden="false" localSheetId="8" name="RSNPAT" vbProcedure="false">[4]Sheet3!$A$1</definedName>
    <definedName function="false" hidden="false" localSheetId="8" name="RSOperatingProfit" vbProcedure="false">[4]Sheet3!$A$1</definedName>
    <definedName function="false" hidden="false" localSheetId="8" name="RSOtherEquity" vbProcedure="false">[4]Sheet3!$A$1</definedName>
    <definedName function="false" hidden="false" localSheetId="8" name="RSOtherLTAssets" vbProcedure="false">[4]Sheet3!$A$1</definedName>
    <definedName function="false" hidden="false" localSheetId="8" name="RSOtherLTLiabilities" vbProcedure="false">[4]Sheet3!$A$1</definedName>
    <definedName function="false" hidden="false" localSheetId="8" name="RSRetainedEarnings" vbProcedure="false">[4]Sheet3!$A$1</definedName>
    <definedName function="false" hidden="false" localSheetId="8" name="RSWeightedaverageeps" vbProcedure="false">[4]Sheet3!$A$1</definedName>
    <definedName function="false" hidden="false" localSheetId="8" name="RSweightedaverageshares" vbProcedure="false">[4]Sheet3!$A$1</definedName>
    <definedName function="false" hidden="false" localSheetId="8" name="R_" vbProcedure="false">'[21]Main Sheet'!$Q$1</definedName>
    <definedName function="false" hidden="false" localSheetId="8" name="R_M_Breakdown" vbProcedure="false">#REF!</definedName>
    <definedName function="false" hidden="false" localSheetId="8" name="sales" vbProcedure="false">#REF!</definedName>
    <definedName function="false" hidden="false" localSheetId="8" name="Sales_Breakdown" vbProcedure="false">#REF!</definedName>
    <definedName function="false" hidden="false" localSheetId="8" name="sales_realisation" vbProcedure="false">#REF!</definedName>
    <definedName function="false" hidden="false" localSheetId="8" name="sales_real_growth" vbProcedure="false">#REF!</definedName>
    <definedName function="false" hidden="false" localSheetId="8" name="sales_value" vbProcedure="false">#REF!</definedName>
    <definedName function="false" hidden="false" localSheetId="8" name="sales_val_growth" vbProcedure="false">#REF!</definedName>
    <definedName function="false" hidden="false" localSheetId="8" name="sales_vol" vbProcedure="false">#REF!</definedName>
    <definedName function="false" hidden="false" localSheetId="8" name="sales_vol_growth" vbProcedure="false">#REF!</definedName>
    <definedName function="false" hidden="false" localSheetId="8" name="SCI_Afra" vbProcedure="false">#REF!</definedName>
    <definedName function="false" hidden="false" localSheetId="8" name="SCi_Loan" vbProcedure="false">#REF!</definedName>
    <definedName function="false" hidden="false" localSheetId="8" name="SCI_Suez" vbProcedure="false">#REF!</definedName>
    <definedName function="false" hidden="false" localSheetId="8" name="sd" vbProcedure="false">[10]Earning_Assum!$CJ$1</definedName>
    <definedName function="false" hidden="false" localSheetId="8" name="sector" vbProcedure="false">#REF!</definedName>
    <definedName function="false" hidden="false" localSheetId="8" name="seg" vbProcedure="false">[41]sales!$J$10</definedName>
    <definedName function="false" hidden="false" localSheetId="8" name="sensex" vbProcedure="false">#REF!</definedName>
    <definedName function="false" hidden="false" localSheetId="8" name="SENSEXIndexed" vbProcedure="false">#REF!</definedName>
    <definedName function="false" hidden="false" localSheetId="8" name="SENSEXMember" vbProcedure="false">#REF!</definedName>
    <definedName function="false" hidden="false" localSheetId="8" name="SENSEXPrices" vbProcedure="false">#REF!</definedName>
    <definedName function="false" hidden="false" localSheetId="8" name="SGandA" vbProcedure="false">#REF!</definedName>
    <definedName function="false" hidden="false" localSheetId="8" name="ShareholdersEquity" vbProcedure="false">#REF!</definedName>
    <definedName function="false" hidden="false" localSheetId="8" name="shares" vbProcedure="false">#REF!</definedName>
    <definedName function="false" hidden="false" localSheetId="8" name="SharesPerGDR" vbProcedure="false">#REF!</definedName>
    <definedName function="false" hidden="false" localSheetId="8" name="sh_pri" vbProcedure="false">#REF!</definedName>
    <definedName function="false" hidden="false" localSheetId="8" name="sh_pti" vbProcedure="false">#REF!</definedName>
    <definedName function="false" hidden="false" localSheetId="8" name="Simplex" vbProcedure="false">#REF!</definedName>
    <definedName function="false" hidden="false" localSheetId="8" name="small_cap" vbProcedure="false">#REF!</definedName>
    <definedName function="false" hidden="false" localSheetId="8" name="software" vbProcedure="false">#REF!</definedName>
    <definedName function="false" hidden="false" localSheetId="8" name="speciality_chem" vbProcedure="false">#REF!</definedName>
    <definedName function="false" hidden="false" localSheetId="8" name="Spread" vbProcedure="false">#REF!</definedName>
    <definedName function="false" hidden="false" localSheetId="8" name="stable_growth_rate" vbProcedure="false">#REF!</definedName>
    <definedName function="false" hidden="false" localSheetId="8" name="Start_Detail" vbProcedure="false">#REF!</definedName>
    <definedName function="false" hidden="false" localSheetId="8" name="Start_Header" vbProcedure="false">#REF!</definedName>
    <definedName function="false" hidden="false" localSheetId="8" name="state_mktsh" vbProcedure="false">#REF!</definedName>
    <definedName function="false" hidden="false" localSheetId="8" name="Summary_Date" vbProcedure="false">#REF!</definedName>
    <definedName function="false" hidden="false" localSheetId="8" name="swap" vbProcedure="false">#REF!</definedName>
    <definedName function="false" hidden="false" localSheetId="8" name="Sweep_Hours" vbProcedure="false">#REF!</definedName>
    <definedName function="false" hidden="false" localSheetId="8" name="Sweep_KW" vbProcedure="false">#REF!</definedName>
    <definedName function="false" hidden="false" localSheetId="8" name="Table" vbProcedure="false">#REF!</definedName>
    <definedName function="false" hidden="false" localSheetId="8" name="target_pri" vbProcedure="false">#REF!</definedName>
    <definedName function="false" hidden="false" localSheetId="8" name="tariff_incr" vbProcedure="false">'[45]P&amp;L Depots C1'!$J$10</definedName>
    <definedName function="false" hidden="false" localSheetId="8" name="tariff_incr1" vbProcedure="false">'[46]P&amp;L Depots C1'!$A$1</definedName>
    <definedName function="false" hidden="false" localSheetId="8" name="tea_estates" vbProcedure="false">[41]shareholding!$AN$53</definedName>
    <definedName function="false" hidden="false" localSheetId="8" name="Technical" vbProcedure="false">#REF!</definedName>
    <definedName function="false" hidden="false" localSheetId="8" name="tetley" vbProcedure="false">#REF!</definedName>
    <definedName function="false" hidden="false" localSheetId="8" name="THC_incr" vbProcedure="false">'[45]P&amp;L Depots C1'!$J$10</definedName>
    <definedName function="false" hidden="false" localSheetId="8" name="TMKW" vbProcedure="false">#REF!</definedName>
    <definedName function="false" hidden="false" localSheetId="8" name="today" vbProcedure="false">#REF!</definedName>
    <definedName function="false" hidden="false" localSheetId="8" name="total" vbProcedure="false">#REF!</definedName>
    <definedName function="false" hidden="false" localSheetId="8" name="TotalAssets" vbProcedure="false">'Debt Schedule'!CapitalEmployed+'Debt Schedule'!CurrentLiab</definedName>
    <definedName function="false" hidden="false" localSheetId="8" name="TotalAssetsNet" vbProcedure="false">#REF!</definedName>
    <definedName function="false" hidden="false" localSheetId="8" name="TotalChangesInWorkingCapital" vbProcedure="false">#REF!</definedName>
    <definedName function="false" hidden="false" localSheetId="8" name="TotalCurrentAssets" vbProcedure="false">#REF!</definedName>
    <definedName function="false" hidden="false" localSheetId="8" name="TotalCurrentLiabilities" vbProcedure="false">#REF!</definedName>
    <definedName function="false" hidden="false" localSheetId="8" name="TotalDebt" vbProcedure="false">LongTermDebt+ShortTermDebt+CurrentPortion</definedName>
    <definedName function="false" hidden="false" localSheetId="8" name="totalss" vbProcedure="false">[24]Key_Base!$D$7</definedName>
    <definedName function="false" hidden="false" localSheetId="8" name="Total_Installments" vbProcedure="false">#REF!</definedName>
    <definedName function="false" hidden="false" localSheetId="8" name="tr" vbProcedure="false">[4]Sheet2!$BQ$1</definedName>
    <definedName function="false" hidden="false" localSheetId="8" name="tt_subsidiaries" vbProcedure="false">[41]shareholding!$FY$84</definedName>
    <definedName function="false" hidden="false" localSheetId="8" name="unilever" vbProcedure="false">#REF!</definedName>
    <definedName function="false" hidden="false" localSheetId="8" name="Upfront_Fee" vbProcedure="false">#REF!</definedName>
    <definedName function="false" hidden="false" localSheetId="8" name="USD_Libor_Swap_rate" vbProcedure="false">#REF!</definedName>
    <definedName function="false" hidden="false" localSheetId="8" name="Vessel_Cost" vbProcedure="false">#REF!</definedName>
    <definedName function="false" hidden="false" localSheetId="8" name="VFHrs" vbProcedure="false">#REF!</definedName>
    <definedName function="false" hidden="false" localSheetId="8" name="VFKW" vbProcedure="false">#REF!</definedName>
    <definedName function="false" hidden="false" localSheetId="8" name="vol" vbProcedure="false">[41]sales!$J$10</definedName>
    <definedName function="false" hidden="false" localSheetId="8" name="Volume_Growth" vbProcedure="false">#REF!</definedName>
    <definedName function="false" hidden="false" localSheetId="8" name="WDV" vbProcedure="false">#REF!</definedName>
    <definedName function="false" hidden="false" localSheetId="8" name="WeightedAverageEPS" vbProcedure="false">#REF!</definedName>
    <definedName function="false" hidden="false" localSheetId="8" name="wrn_All_" vbProcedure="false">{#N/A,#N/A,TRUE,"Introduction";#N/A,#N/A,TRUE,"Operating Statistics";#N/A,#N/A,TRUE,"Capex &amp; Depreciation";#N/A,#N/A,TRUE,"Equity";#N/A,#N/A,TRUE,"Debt";#N/A,#N/A,TRUE,"Debt (2)";#N/A,#N/A,TRUE,"Financials";#N/A,#N/A,TRUE,"Market Info";#N/A,#N/A,TRUE,"Company Card";#N/A,#N/A,TRUE,"One Pager";#N/A,#N/A,TRUE,"First Page";#N/A,#N/A,TRUE,"Technical";#N/A,#N/A,TRUE,"Range Names"}</definedName>
    <definedName function="false" hidden="false" localSheetId="8" name="wrn_Full___Financials_" vbProcedure="false">{#N/A,#N/A,TRUE,"Financials";#N/A,#N/A,TRUE,"Operating Statistics";#N/A,#N/A,TRUE,"Capex &amp; Depreciation";#N/A,#N/A,TRUE,"Debt"}</definedName>
    <definedName function="false" hidden="false" localSheetId="8" name="wrn_One___Pager___plus___Technicals_" vbProcedure="false">{#N/A,#N/A,FALSE,"One Pager";#N/A,#N/A,FALSE,"Technical"}</definedName>
    <definedName function="false" hidden="false" localSheetId="8" name="Y_Y_Growth" vbProcedure="false">'[47]Model (Not Merged)'!$J$10</definedName>
    <definedName function="false" hidden="false" localSheetId="8" name="Z" vbProcedure="false">[10]Earning_Assum!$F$1</definedName>
    <definedName function="false" hidden="false" localSheetId="8" name="ZZ_AAA_BSControl" vbProcedure="false">#REF!</definedName>
    <definedName function="false" hidden="false" localSheetId="8" name="ZZ_AAA_IncludeManual" vbProcedure="false">#REF!</definedName>
    <definedName function="false" hidden="false" localSheetId="8" name="ZZ_AAA_ISControl" vbProcedure="false">#REF!</definedName>
    <definedName function="false" hidden="false" localSheetId="8" name="ZZ_AAA_TerminalStartTest1" vbProcedure="false">#REF!</definedName>
    <definedName function="false" hidden="false" localSheetId="8" name="ZZ_AAA_TerminalStartTest2" vbProcedure="false">#REF!</definedName>
    <definedName function="false" hidden="false" localSheetId="8" name="ZZ_AAA_TerminalStartTest3" vbProcedure="false">#REF!</definedName>
    <definedName function="false" hidden="false" localSheetId="8" name="ZZ_AAA_TerminalStartTest4" vbProcedure="false">#REF!</definedName>
    <definedName function="false" hidden="false" localSheetId="8" name="ZZ_AAA_TerminalStartTest5" vbProcedure="false">#REF!</definedName>
    <definedName function="false" hidden="false" localSheetId="8" name="ZZ_AAA_YearCount" vbProcedure="false">#REF!</definedName>
    <definedName function="false" hidden="false" localSheetId="8" name="ZZ_AAA_YearEndManual" vbProcedure="false">#REF!</definedName>
    <definedName function="false" hidden="false" localSheetId="8" name="ZZ_AAA_YearEnds" vbProcedure="false">#REF!</definedName>
    <definedName function="false" hidden="false" localSheetId="8" name="ZZ_AA_User1" vbProcedure="false">#REF!</definedName>
    <definedName function="false" hidden="false" localSheetId="8" name="ZZ_AA_User2" vbProcedure="false">#REF!</definedName>
    <definedName function="false" hidden="false" localSheetId="8" name="ZZ_AA_User3" vbProcedure="false">#REF!</definedName>
    <definedName function="false" hidden="false" localSheetId="8" name="ZZ_AA_User4" vbProcedure="false">#REF!</definedName>
    <definedName function="false" hidden="false" localSheetId="8" name="ZZ_AA_User5" vbProcedure="false">#REF!</definedName>
    <definedName function="false" hidden="false" localSheetId="8" name="ZZ_BAL_AccountsPayable" vbProcedure="false">#REF!</definedName>
    <definedName function="false" hidden="false" localSheetId="8" name="ZZ_BAL_AccountsReceivable" vbProcedure="false">#REF!</definedName>
    <definedName function="false" hidden="false" localSheetId="8" name="ZZ_BAL_AverageTotalDebt" vbProcedure="false">#REF!</definedName>
    <definedName function="false" hidden="false" localSheetId="8" name="ZZ_BAL_Balance" vbProcedure="false">#REF!</definedName>
    <definedName function="false" hidden="false" localSheetId="8" name="ZZ_BAL_CapitalizedAssets" vbProcedure="false">#REF!</definedName>
    <definedName function="false" hidden="false" localSheetId="8" name="ZZ_BAL_ConstructionInProgress" vbProcedure="false">#REF!</definedName>
    <definedName function="false" hidden="false" localSheetId="8" name="ZZ_BAL_DebtNet" vbProcedure="false">#REF!</definedName>
    <definedName function="false" hidden="false" localSheetId="8" name="ZZ_BAL_DebtTotal" vbProcedure="false">#REF!</definedName>
    <definedName function="false" hidden="false" localSheetId="8" name="ZZ_BAL_DeferredTaxes" vbProcedure="false">#REF!</definedName>
    <definedName function="false" hidden="false" localSheetId="8" name="ZZ_BAL_Goodwill" vbProcedure="false">#REF!</definedName>
    <definedName function="false" hidden="false" localSheetId="8" name="ZZ_BAL_Inventories" vbProcedure="false">#REF!</definedName>
    <definedName function="false" hidden="false" localSheetId="8" name="ZZ_BAL_LongTermDebt" vbProcedure="false">#REF!</definedName>
    <definedName function="false" hidden="false" localSheetId="8" name="ZZ_BAL_LongTermInterestAssets" vbProcedure="false">#REF!</definedName>
    <definedName function="false" hidden="false" localSheetId="8" name="ZZ_BAL_LongTermNonInterestLiabilities" vbProcedure="false">#REF!</definedName>
    <definedName function="false" hidden="false" localSheetId="8" name="ZZ_BAL_LongTermNonOperatingAssets" vbProcedure="false">#REF!</definedName>
    <definedName function="false" hidden="false" localSheetId="8" name="ZZ_BAL_MinorityInterest" vbProcedure="false">#REF!</definedName>
    <definedName function="false" hidden="false" localSheetId="8" name="ZZ_BAL_NetAssets" vbProcedure="false">#REF!</definedName>
    <definedName function="false" hidden="false" localSheetId="8" name="ZZ_BAL_NetAssetsAverage" vbProcedure="false">#REF!</definedName>
    <definedName function="false" hidden="false" localSheetId="8" name="ZZ_BAL_NetCurrentAssets" vbProcedure="false">#REF!</definedName>
    <definedName function="false" hidden="false" localSheetId="8" name="ZZ_BAL_NetFixedAssets" vbProcedure="false">#REF!</definedName>
    <definedName function="false" hidden="false" localSheetId="8" name="ZZ_BAL_NetWorkingCapital" vbProcedure="false">#REF!</definedName>
    <definedName function="false" hidden="false" localSheetId="8" name="ZZ_BAL_OBSILeases" vbProcedure="false">#REF!</definedName>
    <definedName function="false" hidden="false" localSheetId="8" name="ZZ_BAL_OBSIOther" vbProcedure="false">#REF!</definedName>
    <definedName function="false" hidden="false" localSheetId="8" name="ZZ_BAL_OperatingCash" vbProcedure="false">#REF!</definedName>
    <definedName function="false" hidden="false" localSheetId="8" name="ZZ_BAL_OtherCurrentAssets" vbProcedure="false">#REF!</definedName>
    <definedName function="false" hidden="false" localSheetId="8" name="ZZ_BAL_OtherCurrentLiabilities" vbProcedure="false">#REF!</definedName>
    <definedName function="false" hidden="false" localSheetId="8" name="ZZ_BAL_OtherReserves" vbProcedure="false">#REF!</definedName>
    <definedName function="false" hidden="false" localSheetId="8" name="ZZ_BAL_PreferredStock" vbProcedure="false">#REF!</definedName>
    <definedName function="false" hidden="false" localSheetId="8" name="ZZ_BAL_RetainedEarnings" vbProcedure="false">#REF!</definedName>
    <definedName function="false" hidden="false" localSheetId="8" name="ZZ_BAL_RevaluationReserve" vbProcedure="false">#REF!</definedName>
    <definedName function="false" hidden="false" localSheetId="8" name="ZZ_BAL_ShareCapital" vbProcedure="false">#REF!</definedName>
    <definedName function="false" hidden="false" localSheetId="8" name="ZZ_BAL_SharePremium" vbProcedure="false">#REF!</definedName>
    <definedName function="false" hidden="false" localSheetId="8" name="ZZ_BAL_StatutoryReserves" vbProcedure="false">#REF!</definedName>
    <definedName function="false" hidden="false" localSheetId="8" name="ZZ_BAL_STDebt" vbProcedure="false">#REF!</definedName>
    <definedName function="false" hidden="false" localSheetId="8" name="ZZ_BAL_STInvestments" vbProcedure="false">#REF!</definedName>
    <definedName function="false" hidden="false" localSheetId="8" name="ZZ_BAL_TotalAssets" vbProcedure="false">#REF!</definedName>
    <definedName function="false" hidden="false" localSheetId="8" name="ZZ_BAL_TotalAssetsAverage" vbProcedure="false">#REF!</definedName>
    <definedName function="false" hidden="false" localSheetId="8" name="ZZ_BAL_TotalCommonEquity" vbProcedure="false">#REF!</definedName>
    <definedName function="false" hidden="false" localSheetId="8" name="ZZ_BAL_TotalCurrentAssets" vbProcedure="false">#REF!</definedName>
    <definedName function="false" hidden="false" localSheetId="8" name="ZZ_BAL_TotalCurrentLiabilities" vbProcedure="false">#REF!</definedName>
    <definedName function="false" hidden="false" localSheetId="8" name="ZZ_BAL_TotalEquity" vbProcedure="false">#REF!</definedName>
    <definedName function="false" hidden="false" localSheetId="8" name="ZZ_BAL_TotalEquityAverage" vbProcedure="false">#REF!</definedName>
    <definedName function="false" hidden="false" localSheetId="8" name="ZZ_BAL_TotalLiabilities" vbProcedure="false">#REF!</definedName>
    <definedName function="false" hidden="false" localSheetId="8" name="ZZ_BAL_TotalLiabilitiesPlusEquity" vbProcedure="false">#REF!</definedName>
    <definedName function="false" hidden="false" localSheetId="8" name="ZZ_BAL_TotalLongTermLiabilities" vbProcedure="false">#REF!</definedName>
    <definedName function="false" hidden="false" localSheetId="8" name="ZZ_BAL_TotalReserves" vbProcedure="false">#REF!</definedName>
    <definedName function="false" hidden="false" localSheetId="8" name="ZZ_CAP_AccumulatedGoodwillAmort" vbProcedure="false">#REF!</definedName>
    <definedName function="false" hidden="false" localSheetId="8" name="ZZ_CAP_AccumulatedGoodwillAmortManual" vbProcedure="false">#REF!</definedName>
    <definedName function="false" hidden="false" localSheetId="8" name="ZZ_CAP_AdjToOperatingCapital" vbProcedure="false">#REF!</definedName>
    <definedName function="false" hidden="false" localSheetId="8" name="ZZ_CAP_AdjustedCommonEquity" vbProcedure="false">#REF!</definedName>
    <definedName function="false" hidden="false" localSheetId="8" name="ZZ_CAP_Balance" vbProcedure="false">#REF!</definedName>
    <definedName function="false" hidden="false" localSheetId="8" name="ZZ_CAP_ChangeInOperatingCapital" vbProcedure="false">#REF!</definedName>
    <definedName function="false" hidden="false" localSheetId="8" name="ZZ_CAP_EquityEquivalents" vbProcedure="false">#REF!</definedName>
    <definedName function="false" hidden="false" localSheetId="8" name="ZZ_CAP_LIFOReserve" vbProcedure="false">#REF!</definedName>
    <definedName function="false" hidden="false" localSheetId="8" name="ZZ_CAP_NetWorkingCapitalAdj" vbProcedure="false">#REF!</definedName>
    <definedName function="false" hidden="false" localSheetId="8" name="ZZ_CAP_NonOperatingCapital" vbProcedure="false">#REF!</definedName>
    <definedName function="false" hidden="false" localSheetId="8" name="ZZ_CAP_OperatingCapital" vbProcedure="false">#REF!</definedName>
    <definedName function="false" hidden="false" localSheetId="8" name="ZZ_CAP_OperatingCapitalAverage" vbProcedure="false">#REF!</definedName>
    <definedName function="false" hidden="false" localSheetId="8" name="ZZ_CAP_TotalCapital" vbProcedure="false">#REF!</definedName>
    <definedName function="false" hidden="false" localSheetId="8" name="ZZ_CAP_TotalCapitalAverage" vbProcedure="false">#REF!</definedName>
    <definedName function="false" hidden="false" localSheetId="8" name="ZZ_CAP_TotalCapitalRecon" vbProcedure="false">#REF!</definedName>
    <definedName function="false" hidden="false" localSheetId="8" name="ZZ_CAP_TotalDebtAdj" vbProcedure="false">#REF!</definedName>
    <definedName function="false" hidden="false" localSheetId="8" name="ZZ_CAP_ValueOfOperatingLeases" vbProcedure="false">#REF!</definedName>
    <definedName function="false" hidden="false" localSheetId="8" name="ZZ_CAS_Balance" vbProcedure="false">#REF!</definedName>
    <definedName function="false" hidden="false" localSheetId="8" name="ZZ_CAS_CashFlowFinancing" vbProcedure="false">#REF!</definedName>
    <definedName function="false" hidden="false" localSheetId="8" name="ZZ_CAS_CashFlowInvestment" vbProcedure="false">#REF!</definedName>
    <definedName function="false" hidden="false" localSheetId="8" name="ZZ_CAS_CashFlowOperational" vbProcedure="false">#REF!</definedName>
    <definedName function="false" hidden="false" localSheetId="8" name="ZZ_CAS_CashSTInvestments" vbProcedure="false">#REF!</definedName>
    <definedName function="false" hidden="false" localSheetId="8" name="ZZ_CAS_ChangeInCapitalizedAssets" vbProcedure="false">#REF!</definedName>
    <definedName function="false" hidden="false" localSheetId="8" name="ZZ_CAS_ChangeInCIP" vbProcedure="false">#REF!</definedName>
    <definedName function="false" hidden="false" localSheetId="8" name="ZZ_CAS_ChangeInCommonEquity" vbProcedure="false">#REF!</definedName>
    <definedName function="false" hidden="false" localSheetId="8" name="ZZ_CAS_ChangeInGoodwill" vbProcedure="false">#REF!</definedName>
    <definedName function="false" hidden="false" localSheetId="8" name="ZZ_CAS_ChangeInInvestmentsAssets" vbProcedure="false">#REF!</definedName>
    <definedName function="false" hidden="false" localSheetId="8" name="ZZ_CAS_ChangeInLTDebt" vbProcedure="false">#REF!</definedName>
    <definedName function="false" hidden="false" localSheetId="8" name="ZZ_CAS_ChangeInMinorityInterest" vbProcedure="false">#REF!</definedName>
    <definedName function="false" hidden="false" localSheetId="8" name="ZZ_CAS_ChangeInNetFixedAssets" vbProcedure="false">#REF!</definedName>
    <definedName function="false" hidden="false" localSheetId="8" name="ZZ_CAS_ChangeInOtherLTLiabilities" vbProcedure="false">#REF!</definedName>
    <definedName function="false" hidden="false" localSheetId="8" name="ZZ_CAS_ChangeInOtherNonOperatingAssets" vbProcedure="false">#REF!</definedName>
    <definedName function="false" hidden="false" localSheetId="8" name="ZZ_CAS_ChangeInOtherReserves" vbProcedure="false">#REF!</definedName>
    <definedName function="false" hidden="false" localSheetId="8" name="ZZ_CAS_ChangeInPreferredEquity" vbProcedure="false">#REF!</definedName>
    <definedName function="false" hidden="false" localSheetId="8" name="ZZ_CAS_ChangeInRevaluationReserve" vbProcedure="false">#REF!</definedName>
    <definedName function="false" hidden="false" localSheetId="8" name="ZZ_CAS_ChangeInSharePremium" vbProcedure="false">#REF!</definedName>
    <definedName function="false" hidden="false" localSheetId="8" name="ZZ_CAS_ChangeInStatutoryReserves" vbProcedure="false">#REF!</definedName>
    <definedName function="false" hidden="false" localSheetId="8" name="ZZ_CAS_ChangeInSTDebt" vbProcedure="false">#REF!</definedName>
    <definedName function="false" hidden="false" localSheetId="8" name="ZZ_CAS_ChangeInWC" vbProcedure="false">#REF!</definedName>
    <definedName function="false" hidden="false" localSheetId="8" name="ZZ_CAS_TotalCashFlow" vbProcedure="false">#REF!</definedName>
    <definedName function="false" hidden="false" localSheetId="8" name="ZZ_CAS_TotalCashFlowRecon" vbProcedure="false">#REF!</definedName>
    <definedName function="false" hidden="false" localSheetId="8" name="ZZ_COM_Assets" vbProcedure="false">#REF!</definedName>
    <definedName function="false" hidden="false" localSheetId="8" name="ZZ_COM_Switch1" vbProcedure="false">#REF!</definedName>
    <definedName function="false" hidden="false" localSheetId="8" name="ZZ_COS_BetaManual" vbProcedure="false">#REF!</definedName>
    <definedName function="false" hidden="false" localSheetId="8" name="ZZ_COS_BVCommonEquity" vbProcedure="false">#REF!</definedName>
    <definedName function="false" hidden="false" localSheetId="8" name="ZZ_COS_BVPreferredEquity" vbProcedure="false">#REF!</definedName>
    <definedName function="false" hidden="false" localSheetId="8" name="ZZ_COS_BVTotalCapital" vbProcedure="false">#REF!</definedName>
    <definedName function="false" hidden="false" localSheetId="8" name="ZZ_COS_BVTotalDebt" vbProcedure="false">#REF!</definedName>
    <definedName function="false" hidden="false" localSheetId="8" name="ZZ_COS_CostOfCommonEquity" vbProcedure="false">#REF!</definedName>
    <definedName function="false" hidden="false" localSheetId="8" name="ZZ_COS_CostOfDebtPostTax" vbProcedure="false">#REF!</definedName>
    <definedName function="false" hidden="false" localSheetId="8" name="ZZ_COS_CostOfDebtPreTaxManual" vbProcedure="false">#REF!</definedName>
    <definedName function="false" hidden="false" localSheetId="8" name="ZZ_COS_CostOfPreferredEquityManual" vbProcedure="false">#REF!</definedName>
    <definedName function="false" hidden="false" localSheetId="8" name="ZZ_COS_EquityRiskPremiumManual" vbProcedure="false">#REF!</definedName>
    <definedName function="false" hidden="false" localSheetId="8" name="ZZ_COS_MVCommonEquity" vbProcedure="false">#REF!</definedName>
    <definedName function="false" hidden="false" localSheetId="8" name="ZZ_COS_MVPreferredEquity" vbProcedure="false">#REF!</definedName>
    <definedName function="false" hidden="false" localSheetId="8" name="ZZ_COS_MVTotalCapital" vbProcedure="false">#REF!</definedName>
    <definedName function="false" hidden="false" localSheetId="8" name="ZZ_COS_MVTotalDebt" vbProcedure="false">#REF!</definedName>
    <definedName function="false" hidden="false" localSheetId="8" name="ZZ_COS_RequiredReturnCAPM" vbProcedure="false">#REF!</definedName>
    <definedName function="false" hidden="false" localSheetId="8" name="ZZ_COS_RequiredReturnManual" vbProcedure="false">#REF!</definedName>
    <definedName function="false" hidden="false" localSheetId="8" name="ZZ_COS_RiskFreeRateManual" vbProcedure="false">#REF!</definedName>
    <definedName function="false" hidden="false" localSheetId="8" name="ZZ_COS_Switch1" vbProcedure="false">#REF!</definedName>
    <definedName function="false" hidden="false" localSheetId="8" name="ZZ_COS_TargetDebtToCapitalManual" vbProcedure="false">#REF!</definedName>
    <definedName function="false" hidden="false" localSheetId="8" name="ZZ_COS_UnleveragedCostOfCapital" vbProcedure="false">#REF!</definedName>
    <definedName function="false" hidden="false" localSheetId="8" name="ZZ_COS_WACC" vbProcedure="false">#REF!</definedName>
    <definedName function="false" hidden="false" localSheetId="8" name="ZZ_COS_WACCActual" vbProcedure="false">#REF!</definedName>
    <definedName function="false" hidden="false" localSheetId="8" name="ZZ_COS_WACCManual" vbProcedure="false">#REF!</definedName>
    <definedName function="false" hidden="false" localSheetId="8" name="ZZ_COS_WGTCommonEquity" vbProcedure="false">#REF!</definedName>
    <definedName function="false" hidden="false" localSheetId="8" name="ZZ_COS_WGTPreferredEquity" vbProcedure="false">#REF!</definedName>
    <definedName function="false" hidden="false" localSheetId="8" name="ZZ_COS_WGTTotalDebt" vbProcedure="false">#REF!</definedName>
    <definedName function="false" hidden="false" localSheetId="8" name="ZZ_DCF_Balance" vbProcedure="false">#REF!</definedName>
    <definedName function="false" hidden="false" localSheetId="8" name="ZZ_DCF_EVA_Discounted" vbProcedure="false">#REF!</definedName>
    <definedName function="false" hidden="false" localSheetId="8" name="ZZ_DCF_EVA_DiscountedTotal" vbProcedure="false">#REF!</definedName>
    <definedName function="false" hidden="false" localSheetId="8" name="ZZ_DCF_EVA_DiscountFactor" vbProcedure="false">#REF!</definedName>
    <definedName function="false" hidden="false" localSheetId="8" name="ZZ_DCF_EVA_EconomicValueAdded" vbProcedure="false">#REF!</definedName>
    <definedName function="false" hidden="false" localSheetId="8" name="ZZ_DCF_EVA_EconomicValueAddedManual" vbProcedure="false">#REF!</definedName>
    <definedName function="false" hidden="false" localSheetId="8" name="ZZ_DCF_EVA_ImpliedEquityValue" vbProcedure="false">#REF!</definedName>
    <definedName function="false" hidden="false" localSheetId="8" name="ZZ_DCF_EVA_ImpliedEquityValuePerShare" vbProcedure="false">#REF!</definedName>
    <definedName function="false" hidden="false" localSheetId="8" name="ZZ_DCF_EVA_MidYearAdjustmentFactor" vbProcedure="false">#REF!</definedName>
    <definedName function="false" hidden="false" localSheetId="8" name="ZZ_DCF_EVA_OperatingValue" vbProcedure="false">#REF!</definedName>
    <definedName function="false" hidden="false" localSheetId="8" name="ZZ_DCF_EVA_OperatingValueAdj" vbProcedure="false">#REF!</definedName>
    <definedName function="false" hidden="false" localSheetId="8" name="ZZ_DCF_EVA_TotalValue" vbProcedure="false">#REF!</definedName>
    <definedName function="false" hidden="false" localSheetId="8" name="ZZ_DCF_EVA_WACC" vbProcedure="false">#REF!</definedName>
    <definedName function="false" hidden="false" localSheetId="8" name="ZZ_DCF_FCF_Discounted" vbProcedure="false">#REF!</definedName>
    <definedName function="false" hidden="false" localSheetId="8" name="ZZ_DCF_FCF_DiscountFactor" vbProcedure="false">#REF!</definedName>
    <definedName function="false" hidden="false" localSheetId="8" name="ZZ_DCF_FCF_FreeCashFlow" vbProcedure="false">#REF!</definedName>
    <definedName function="false" hidden="false" localSheetId="8" name="ZZ_DCF_FCF_FreeCashFlowManual" vbProcedure="false">#REF!</definedName>
    <definedName function="false" hidden="false" localSheetId="8" name="ZZ_DCF_FCF_ImpliedEquityValue" vbProcedure="false">#REF!</definedName>
    <definedName function="false" hidden="false" localSheetId="8" name="ZZ_DCF_FCF_ImpliedEquityValuePerShare" vbProcedure="false">#REF!</definedName>
    <definedName function="false" hidden="false" localSheetId="8" name="ZZ_DCF_FCF_MidYearAdjustmentFactor" vbProcedure="false">#REF!</definedName>
    <definedName function="false" hidden="false" localSheetId="8" name="ZZ_DCF_FCF_NetInvestment" vbProcedure="false">#REF!</definedName>
    <definedName function="false" hidden="false" localSheetId="8" name="ZZ_DCF_FCF_NOPAT" vbProcedure="false">#REF!</definedName>
    <definedName function="false" hidden="false" localSheetId="8" name="ZZ_DCF_FCF_OperatingValue" vbProcedure="false">#REF!</definedName>
    <definedName function="false" hidden="false" localSheetId="8" name="ZZ_DCF_FCF_OperatingValueAdj" vbProcedure="false">#REF!</definedName>
    <definedName function="false" hidden="false" localSheetId="8" name="ZZ_DCF_FCF_SharePremiumDiscount" vbProcedure="false">#REF!</definedName>
    <definedName function="false" hidden="false" localSheetId="8" name="ZZ_DCF_FCF_TotalValue" vbProcedure="false">#REF!</definedName>
    <definedName function="false" hidden="false" localSheetId="8" name="ZZ_DCF_FCF_WACC" vbProcedure="false">#REF!</definedName>
    <definedName function="false" hidden="false" localSheetId="8" name="ZZ_DCF_LTGrowthRate" vbProcedure="false">#REF!</definedName>
    <definedName function="false" hidden="false" localSheetId="8" name="ZZ_DCF_LTGrowthRateManual" vbProcedure="false">#REF!</definedName>
    <definedName function="false" hidden="false" localSheetId="8" name="ZZ_DCF_NON_TotalNonCommonEquity" vbProcedure="false">#REF!</definedName>
    <definedName function="false" hidden="false" localSheetId="8" name="ZZ_EPS_BookValuePS" vbProcedure="false">#REF!</definedName>
    <definedName function="false" hidden="false" localSheetId="8" name="ZZ_EPS_CFPSFree" vbProcedure="false">#REF!</definedName>
    <definedName function="false" hidden="false" localSheetId="8" name="ZZ_EPS_CFPSGross" vbProcedure="false">#REF!</definedName>
    <definedName function="false" hidden="false" localSheetId="8" name="ZZ_EPS_DPS" vbProcedure="false">#REF!</definedName>
    <definedName function="false" hidden="false" localSheetId="8" name="ZZ_EPS_DPSManual" vbProcedure="false">#REF!</definedName>
    <definedName function="false" hidden="false" localSheetId="8" name="ZZ_EPS_EPSBasic" vbProcedure="false">#REF!</definedName>
    <definedName function="false" hidden="false" localSheetId="8" name="ZZ_EPS_EPSBasicManual" vbProcedure="false">#REF!</definedName>
    <definedName function="false" hidden="false" localSheetId="8" name="ZZ_EPS_EPSBFullyDiluted" vbProcedure="false">#REF!</definedName>
    <definedName function="false" hidden="false" localSheetId="8" name="ZZ_EPS_EPSBFullyDilutedManual" vbProcedure="false">#REF!</definedName>
    <definedName function="false" hidden="false" localSheetId="8" name="ZZ_EPS_EPSPrimary" vbProcedure="false">#REF!</definedName>
    <definedName function="false" hidden="false" localSheetId="8" name="ZZ_EPS_EPSPrimaryManual" vbProcedure="false">#REF!</definedName>
    <definedName function="false" hidden="false" localSheetId="8" name="ZZ_EPS_MarketCapCurrent" vbProcedure="false">#REF!</definedName>
    <definedName function="false" hidden="false" localSheetId="8" name="ZZ_EPS_PriorYearAdjAnnual" vbProcedure="false">#REF!</definedName>
    <definedName function="false" hidden="false" localSheetId="8" name="ZZ_EPS_PriorYearAdjCumulative" vbProcedure="false">#REF!</definedName>
    <definedName function="false" hidden="false" localSheetId="8" name="ZZ_EPS_SharePriceAtYE" vbProcedure="false">#REF!</definedName>
    <definedName function="false" hidden="false" localSheetId="8" name="ZZ_EPS_SharePriceAtYEManual" vbProcedure="false">#REF!</definedName>
    <definedName function="false" hidden="false" localSheetId="8" name="ZZ_EPS_SharesAtYE" vbProcedure="false">#REF!</definedName>
    <definedName function="false" hidden="false" localSheetId="8" name="ZZ_EPS_SharesAtYEManual" vbProcedure="false">#REF!</definedName>
    <definedName function="false" hidden="false" localSheetId="8" name="ZZ_EPS_SharesFullyDiluted" vbProcedure="false">#REF!</definedName>
    <definedName function="false" hidden="false" localSheetId="8" name="ZZ_EPS_SharesFullyDilutedManual" vbProcedure="false">#REF!</definedName>
    <definedName function="false" hidden="false" localSheetId="8" name="ZZ_EPS_SharesPrimary" vbProcedure="false">#REF!</definedName>
    <definedName function="false" hidden="false" localSheetId="8" name="ZZ_EPS_SharesPrimaryManual" vbProcedure="false">#REF!</definedName>
    <definedName function="false" hidden="false" localSheetId="8" name="ZZ_EPS_SharesWgtAvg" vbProcedure="false">#REF!</definedName>
    <definedName function="false" hidden="false" localSheetId="8" name="ZZ_EPS_SharesWgtAvgManual" vbProcedure="false">#REF!</definedName>
    <definedName function="false" hidden="false" localSheetId="8" name="ZZ_FRE_Amortization" vbProcedure="false">#REF!</definedName>
    <definedName function="false" hidden="false" localSheetId="8" name="ZZ_FRE_Balance1" vbProcedure="false">#REF!</definedName>
    <definedName function="false" hidden="false" localSheetId="8" name="ZZ_FRE_Balance2" vbProcedure="false">#REF!</definedName>
    <definedName function="false" hidden="false" localSheetId="8" name="ZZ_FRE_CapitalNetAdditions" vbProcedure="false">#REF!</definedName>
    <definedName function="false" hidden="false" localSheetId="8" name="ZZ_FRE_ChangeInAdjToOperatingInvestedCapital" vbProcedure="false">#REF!</definedName>
    <definedName function="false" hidden="false" localSheetId="8" name="ZZ_FRE_Depreciation" vbProcedure="false">#REF!</definedName>
    <definedName function="false" hidden="false" localSheetId="8" name="ZZ_FRE_FreeCashFlow" vbProcedure="false">#REF!</definedName>
    <definedName function="false" hidden="false" localSheetId="8" name="ZZ_FRE_FreeCashFlowRecon1" vbProcedure="false">#REF!</definedName>
    <definedName function="false" hidden="false" localSheetId="8" name="ZZ_FRE_FreeCashFlowRecon2" vbProcedure="false">#REF!</definedName>
    <definedName function="false" hidden="false" localSheetId="8" name="ZZ_FRE_GrossCashFlow" vbProcedure="false">#REF!</definedName>
    <definedName function="false" hidden="false" localSheetId="8" name="ZZ_FRE_GrossInvestment" vbProcedure="false">#REF!</definedName>
    <definedName function="false" hidden="false" localSheetId="8" name="ZZ_FRE_NetInvestment" vbProcedure="false">#REF!</definedName>
    <definedName function="false" hidden="false" localSheetId="8" name="ZZ_FRE_NetInvestmentRate" vbProcedure="false">#REF!</definedName>
    <definedName function="false" hidden="false" localSheetId="8" name="ZZ_FRE_NOPAT" vbProcedure="false">#REF!</definedName>
    <definedName function="false" hidden="false" localSheetId="8" name="ZZ_FRE_PaymentsToInvestors" vbProcedure="false">#REF!</definedName>
    <definedName function="false" hidden="false" localSheetId="8" name="ZZ_GRO_BasicEPS" vbProcedure="false">#REF!</definedName>
    <definedName function="false" hidden="false" localSheetId="8" name="ZZ_GRO_NetIncome" vbProcedure="false">#REF!</definedName>
    <definedName function="false" hidden="false" localSheetId="8" name="ZZ_GRO_NOPAT" vbProcedure="false">#REF!</definedName>
    <definedName function="false" hidden="false" localSheetId="8" name="ZZ_GRO_Revenue" vbProcedure="false">#REF!</definedName>
    <definedName function="false" hidden="false" localSheetId="8" name="ZZ_INC_AdjToRetainedEarnings" vbProcedure="false">#REF!</definedName>
    <definedName function="false" hidden="false" localSheetId="8" name="ZZ_INC_AdminExpense" vbProcedure="false">#REF!</definedName>
    <definedName function="false" hidden="false" localSheetId="8" name="ZZ_INC_Amortization" vbProcedure="false">#REF!</definedName>
    <definedName function="false" hidden="false" localSheetId="8" name="ZZ_INC_AmortizationGoodwill" vbProcedure="false">#REF!</definedName>
    <definedName function="false" hidden="false" localSheetId="8" name="ZZ_INC_Associates" vbProcedure="false">#REF!</definedName>
    <definedName function="false" hidden="false" localSheetId="8" name="ZZ_INC_BeginningRetainedEarnings" vbProcedure="false">#REF!</definedName>
    <definedName function="false" hidden="false" localSheetId="8" name="ZZ_INC_CashDividends" vbProcedure="false">#REF!</definedName>
    <definedName function="false" hidden="false" localSheetId="8" name="ZZ_INC_CGS" vbProcedure="false">#REF!</definedName>
    <definedName function="false" hidden="false" localSheetId="8" name="ZZ_INC_Depreciation" vbProcedure="false">#REF!</definedName>
    <definedName function="false" hidden="false" localSheetId="8" name="ZZ_INC_EAT" vbProcedure="false">#REF!</definedName>
    <definedName function="false" hidden="false" localSheetId="8" name="ZZ_INC_EBIT" vbProcedure="false">#REF!</definedName>
    <definedName function="false" hidden="false" localSheetId="8" name="ZZ_INC_EBITDA" vbProcedure="false">#REF!</definedName>
    <definedName function="false" hidden="false" localSheetId="8" name="ZZ_INC_EBT" vbProcedure="false">#REF!</definedName>
    <definedName function="false" hidden="false" localSheetId="8" name="ZZ_INC_EffectiveTaxRate" vbProcedure="false">#REF!</definedName>
    <definedName function="false" hidden="false" localSheetId="8" name="ZZ_INC_Exceptionals" vbProcedure="false">#REF!</definedName>
    <definedName function="false" hidden="false" localSheetId="8" name="ZZ_INC_Extraordinaries" vbProcedure="false">#REF!</definedName>
    <definedName function="false" hidden="false" localSheetId="8" name="ZZ_INC_GrossProfit" vbProcedure="false">#REF!</definedName>
    <definedName function="false" hidden="false" localSheetId="8" name="ZZ_INC_IncomeTax" vbProcedure="false">#REF!</definedName>
    <definedName function="false" hidden="false" localSheetId="8" name="ZZ_INC_InterestExpense" vbProcedure="false">#REF!</definedName>
    <definedName function="false" hidden="false" localSheetId="8" name="ZZ_INC_InterestIncome" vbProcedure="false">#REF!</definedName>
    <definedName function="false" hidden="false" localSheetId="8" name="ZZ_INC_Minorities" vbProcedure="false">#REF!</definedName>
    <definedName function="false" hidden="false" localSheetId="8" name="ZZ_INC_NetIncome" vbProcedure="false">#REF!</definedName>
    <definedName function="false" hidden="false" localSheetId="8" name="ZZ_INC_NonOperatingIncome" vbProcedure="false">#REF!</definedName>
    <definedName function="false" hidden="false" localSheetId="8" name="ZZ_INC_OperatingIncome" vbProcedure="false">#REF!</definedName>
    <definedName function="false" hidden="false" localSheetId="8" name="ZZ_INC_OtherAfterTaxIncome" vbProcedure="false">#REF!</definedName>
    <definedName function="false" hidden="false" localSheetId="8" name="ZZ_INC_OtherIncome" vbProcedure="false">#REF!</definedName>
    <definedName function="false" hidden="false" localSheetId="8" name="ZZ_INC_OtherOperatingIncome" vbProcedure="false">#REF!</definedName>
    <definedName function="false" hidden="false" localSheetId="8" name="ZZ_INC_PreferredDividends" vbProcedure="false">#REF!</definedName>
    <definedName function="false" hidden="false" localSheetId="8" name="ZZ_INC_RetainedProfit" vbProcedure="false">#REF!</definedName>
    <definedName function="false" hidden="false" localSheetId="8" name="ZZ_INC_Revenue" vbProcedure="false">#REF!</definedName>
    <definedName function="false" hidden="false" localSheetId="8" name="ZZ_INC_StatutoryAppropriations" vbProcedure="false">#REF!</definedName>
    <definedName function="false" hidden="false" localSheetId="8" name="ZZ_NOP_AdjToOperatingIncome" vbProcedure="false">#REF!</definedName>
    <definedName function="false" hidden="false" localSheetId="8" name="ZZ_NOP_ATInterestExpense" vbProcedure="false">#REF!</definedName>
    <definedName function="false" hidden="false" localSheetId="8" name="ZZ_NOP_ATInterestOnNonCapitalizedLeases" vbProcedure="false">#REF!</definedName>
    <definedName function="false" hidden="false" localSheetId="8" name="ZZ_NOP_ATNonOperatingIncome" vbProcedure="false">#REF!</definedName>
    <definedName function="false" hidden="false" localSheetId="8" name="ZZ_NOP_Balance" vbProcedure="false">#REF!</definedName>
    <definedName function="false" hidden="false" localSheetId="8" name="ZZ_NOP_CashTaxesPaid" vbProcedure="false">#REF!</definedName>
    <definedName function="false" hidden="false" localSheetId="8" name="ZZ_NOP_ChangeInDeferredTaxes" vbProcedure="false">#REF!</definedName>
    <definedName function="false" hidden="false" localSheetId="8" name="ZZ_NOP_ChangeInLIFOReserve" vbProcedure="false">#REF!</definedName>
    <definedName function="false" hidden="false" localSheetId="8" name="ZZ_NOP_EquityEquivalents" vbProcedure="false">#REF!</definedName>
    <definedName function="false" hidden="false" localSheetId="8" name="ZZ_NOP_IncomeAvailableToInvestors" vbProcedure="false">#REF!</definedName>
    <definedName function="false" hidden="false" localSheetId="8" name="ZZ_NOP_LeaseAdjustment" vbProcedure="false">#REF!</definedName>
    <definedName function="false" hidden="false" localSheetId="8" name="ZZ_NOP_MarginalTaxRate" vbProcedure="false">#REF!</definedName>
    <definedName function="false" hidden="false" localSheetId="8" name="ZZ_NOP_MarginalTaxRateManual" vbProcedure="false">#REF!</definedName>
    <definedName function="false" hidden="false" localSheetId="8" name="ZZ_NOP_NOPAT" vbProcedure="false">#REF!</definedName>
    <definedName function="false" hidden="false" localSheetId="8" name="ZZ_NOP_NOPATRecon" vbProcedure="false">#REF!</definedName>
    <definedName function="false" hidden="false" localSheetId="8" name="ZZ_NOP_NOPBT" vbProcedure="false">#REF!</definedName>
    <definedName function="false" hidden="false" localSheetId="8" name="ZZ_NOP_TaxesOnOperatingIncomeAdj" vbProcedure="false">#REF!</definedName>
    <definedName function="false" hidden="false" localSheetId="8" name="ZZ_NOP_TaxOnNonOperatingIncome" vbProcedure="false">#REF!</definedName>
    <definedName function="false" hidden="false" localSheetId="8" name="ZZ_NOP_TaxShieldOnInterestExpense" vbProcedure="false">#REF!</definedName>
    <definedName function="false" hidden="false" localSheetId="8" name="ZZ_OTH_AverageAccountsPayable" vbProcedure="false">#REF!</definedName>
    <definedName function="false" hidden="false" localSheetId="8" name="ZZ_OTH_AverageAccountsReceivable" vbProcedure="false">#REF!</definedName>
    <definedName function="false" hidden="false" localSheetId="8" name="ZZ_OTH_AverageCapitalizedAssets" vbProcedure="false">#REF!</definedName>
    <definedName function="false" hidden="false" localSheetId="8" name="ZZ_OTH_AverageInventories" vbProcedure="false">#REF!</definedName>
    <definedName function="false" hidden="false" localSheetId="8" name="ZZ_OTH_AverageNetFixedAssets" vbProcedure="false">#REF!</definedName>
    <definedName function="false" hidden="false" localSheetId="8" name="ZZ_OTH_AverageNWC" vbProcedure="false">#REF!</definedName>
    <definedName function="false" hidden="false" localSheetId="8" name="ZZ_OTH_CashTaxRate" vbProcedure="false">#REF!</definedName>
    <definedName function="false" hidden="false" localSheetId="8" name="ZZ_OTH_DaysInInventory" vbProcedure="false">#REF!</definedName>
    <definedName function="false" hidden="false" localSheetId="8" name="ZZ_OTH_DaysPayable" vbProcedure="false">#REF!</definedName>
    <definedName function="false" hidden="false" localSheetId="8" name="ZZ_OTH_DaysReceivable" vbProcedure="false">#REF!</definedName>
    <definedName function="false" hidden="false" localSheetId="8" name="ZZ_OTH_DividendPayoutRatio" vbProcedure="false">#REF!</definedName>
    <definedName function="false" hidden="false" localSheetId="8" name="ZZ_OTH_RetentionRate" vbProcedure="false">#REF!</definedName>
    <definedName function="false" hidden="false" localSheetId="8" name="ZZ_PRI_BAL_All" vbProcedure="false">#REF!</definedName>
    <definedName function="false" hidden="false" localSheetId="8" name="ZZ_PRI_CAS_All" vbProcedure="false">#REF!</definedName>
    <definedName function="false" hidden="false" localSheetId="8" name="ZZ_PRI_COM_All" vbProcedure="false">#REF!</definedName>
    <definedName function="false" hidden="false" localSheetId="8" name="ZZ_PRI_COS_All" vbProcedure="false">#REF!</definedName>
    <definedName function="false" hidden="false" localSheetId="8" name="ZZ_PRI_DCF_All" vbProcedure="false">#REF!</definedName>
    <definedName function="false" hidden="false" localSheetId="8" name="ZZ_PRI_EPS_All" vbProcedure="false">#REF!</definedName>
    <definedName function="false" hidden="false" localSheetId="8" name="ZZ_PRI_FRE_All" vbProcedure="false">#REF!</definedName>
    <definedName function="false" hidden="false" localSheetId="8" name="ZZ_PRI_GRO_All" vbProcedure="false">#REF!</definedName>
    <definedName function="false" hidden="false" localSheetId="8" name="ZZ_PRI_INC_All" vbProcedure="false">#REF!</definedName>
    <definedName function="false" hidden="false" localSheetId="8" name="ZZ_PRI_INV_All" vbProcedure="false">#REF!</definedName>
    <definedName function="false" hidden="false" localSheetId="8" name="ZZ_PRI_NOP_All" vbProcedure="false">#REF!</definedName>
    <definedName function="false" hidden="false" localSheetId="8" name="ZZ_PRI_OTH_All" vbProcedure="false">#REF!</definedName>
    <definedName function="false" hidden="false" localSheetId="8" name="ZZ_PRI_RET_All" vbProcedure="false">#REF!</definedName>
    <definedName function="false" hidden="false" localSheetId="8" name="ZZ_PRI_SUM_All" vbProcedure="false">#REF!</definedName>
    <definedName function="false" hidden="false" localSheetId="8" name="ZZ_PRI_VAL_0" vbProcedure="false">#REF!</definedName>
    <definedName function="false" hidden="false" localSheetId="8" name="ZZ_PRI_VAL_1" vbProcedure="false">#REF!</definedName>
    <definedName function="false" hidden="false" localSheetId="8" name="ZZ_RET_DuPont1" vbProcedure="false">#REF!</definedName>
    <definedName function="false" hidden="false" localSheetId="8" name="ZZ_RET_DuPont10" vbProcedure="false">#REF!</definedName>
    <definedName function="false" hidden="false" localSheetId="8" name="ZZ_RET_DuPont11" vbProcedure="false">#REF!</definedName>
    <definedName function="false" hidden="false" localSheetId="8" name="ZZ_RET_DuPont12" vbProcedure="false">#REF!</definedName>
    <definedName function="false" hidden="false" localSheetId="8" name="ZZ_RET_DuPont2" vbProcedure="false">#REF!</definedName>
    <definedName function="false" hidden="false" localSheetId="8" name="ZZ_RET_DuPont3" vbProcedure="false">#REF!</definedName>
    <definedName function="false" hidden="false" localSheetId="8" name="ZZ_RET_DuPont4" vbProcedure="false">#REF!</definedName>
    <definedName function="false" hidden="false" localSheetId="8" name="ZZ_RET_DuPont5" vbProcedure="false">#REF!</definedName>
    <definedName function="false" hidden="false" localSheetId="8" name="ZZ_RET_DuPont6" vbProcedure="false">#REF!</definedName>
    <definedName function="false" hidden="false" localSheetId="8" name="ZZ_RET_DuPont7" vbProcedure="false">#REF!</definedName>
    <definedName function="false" hidden="false" localSheetId="8" name="ZZ_RET_DuPont8" vbProcedure="false">#REF!</definedName>
    <definedName function="false" hidden="false" localSheetId="8" name="ZZ_RET_DuPont9" vbProcedure="false">#REF!</definedName>
    <definedName function="false" hidden="false" localSheetId="8" name="ZZ_RET_InternalGrowth" vbProcedure="false">#REF!</definedName>
    <definedName function="false" hidden="false" localSheetId="8" name="ZZ_RET_ROEAfterTax" vbProcedure="false">#REF!</definedName>
    <definedName function="false" hidden="false" localSheetId="8" name="ZZ_RET_ROEPreTax" vbProcedure="false">#REF!</definedName>
    <definedName function="false" hidden="false" localSheetId="8" name="ZZ_RET_Switch1" vbProcedure="false">#REF!</definedName>
    <definedName function="false" hidden="false" localSheetId="8" name="ZZ_RET_TotalAssets" vbProcedure="false">#REF!</definedName>
    <definedName function="false" hidden="false" localSheetId="8" name="ZZ_RET_TotalCapital" vbProcedure="false">#REF!</definedName>
    <definedName function="false" hidden="false" localSheetId="8" name="ZZ_RET_TotalEquity" vbProcedure="false">#REF!</definedName>
    <definedName function="false" hidden="false" localSheetId="8" name="ZZ_RET_TotalOperatingInvestedCapital" vbProcedure="false">#REF!</definedName>
    <definedName function="false" hidden="false" localSheetId="8" name="ZZ_SUM_AdjBVPS" vbProcedure="false">#REF!</definedName>
    <definedName function="false" hidden="false" localSheetId="8" name="ZZ_SUM_BegOperatingCapital" vbProcedure="false">#REF!</definedName>
    <definedName function="false" hidden="false" localSheetId="8" name="ZZ_SUM_CapitalCharge" vbProcedure="false">#REF!</definedName>
    <definedName function="false" hidden="false" localSheetId="8" name="ZZ_SUM_ChangeInEVA" vbProcedure="false">#REF!</definedName>
    <definedName function="false" hidden="false" localSheetId="8" name="ZZ_SUM_ChangeInMVA" vbProcedure="false">#REF!</definedName>
    <definedName function="false" hidden="false" localSheetId="8" name="ZZ_SUM_EVA" vbProcedure="false">#REF!</definedName>
    <definedName function="false" hidden="false" localSheetId="8" name="ZZ_SUM_EVASpread" vbProcedure="false">#REF!</definedName>
    <definedName function="false" hidden="false" localSheetId="8" name="ZZ_SUM_MVA" vbProcedure="false">#REF!</definedName>
    <definedName function="false" hidden="false" localSheetId="8" name="ZZ_SUM_MVAPS" vbProcedure="false">#REF!</definedName>
    <definedName function="false" hidden="false" localSheetId="8" name="ZZ_SUM_OperatingGrowth" vbProcedure="false">#REF!</definedName>
    <definedName function="false" hidden="false" localSheetId="8" name="ZZ_SUM_ReturnOnCapital" vbProcedure="false">#REF!</definedName>
    <definedName function="false" hidden="false" localSheetId="8" name="ZZ_SUM_TotalCapital" vbProcedure="false">#REF!</definedName>
    <definedName function="false" hidden="false" localSheetId="8" name="ZZ_SYS_AnalystName" vbProcedure="false">#REF!</definedName>
    <definedName function="false" hidden="false" localSheetId="8" name="ZZ_SYS_AutomaticData" vbProcedure="false">#REF!</definedName>
    <definedName function="false" hidden="false" localSheetId="8" name="ZZ_SYS_AvailableToForeigners" vbProcedure="false">#REF!</definedName>
    <definedName function="false" hidden="false" localSheetId="8" name="ZZ_SYS_Beta" vbProcedure="false">#REF!</definedName>
    <definedName function="false" hidden="false" localSheetId="8" name="ZZ_SYS_CodeBloomberg" vbProcedure="false">#REF!</definedName>
    <definedName function="false" hidden="false" localSheetId="8" name="ZZ_SYS_CodeDatastream" vbProcedure="false">#REF!</definedName>
    <definedName function="false" hidden="false" localSheetId="8" name="ZZ_SYS_CodeFileName" vbProcedure="false">#REF!</definedName>
    <definedName function="false" hidden="false" localSheetId="8" name="ZZ_SYS_CodeFilePath" vbProcedure="false">#REF!</definedName>
    <definedName function="false" hidden="false" localSheetId="8" name="ZZ_SYS_CodeFilePathTemp" vbProcedure="false">#REF!</definedName>
    <definedName function="false" hidden="false" localSheetId="8" name="ZZ_SYS_CodeLocal" vbProcedure="false">#REF!</definedName>
    <definedName function="false" hidden="false" localSheetId="8" name="ZZ_SYS_CodeReuters" vbProcedure="false">#REF!</definedName>
    <definedName function="false" hidden="false" localSheetId="8" name="ZZ_SYS_CompanyName" vbProcedure="false">#REF!</definedName>
    <definedName function="false" hidden="false" localSheetId="8" name="ZZ_SYS_CostOfDebt" vbProcedure="false">#REF!</definedName>
    <definedName function="false" hidden="false" localSheetId="8" name="ZZ_SYS_Country" vbProcedure="false">#REF!</definedName>
    <definedName function="false" hidden="false" localSheetId="8" name="ZZ_SYS_Currency" vbProcedure="false">#REF!</definedName>
    <definedName function="false" hidden="false" localSheetId="8" name="ZZ_SYS_CurrencyManual" vbProcedure="false">#REF!</definedName>
    <definedName function="false" hidden="false" localSheetId="8" name="ZZ_SYS_CurrentDateManual" vbProcedure="false">#REF!</definedName>
    <definedName function="false" hidden="false" localSheetId="8" name="ZZ_SYS_CurrentFreeFloatLocalManual" vbProcedure="false">#REF!</definedName>
    <definedName function="false" hidden="false" localSheetId="8" name="ZZ_SYS_CurrentMarketCapIssuedForeignManual" vbProcedure="false">#REF!</definedName>
    <definedName function="false" hidden="false" localSheetId="8" name="ZZ_SYS_CurrentMarketCapIssuedLocalAuto" vbProcedure="false">#REF!</definedName>
    <definedName function="false" hidden="false" localSheetId="8" name="ZZ_SYS_CurrentMarketCapIssuedLocalManual" vbProcedure="false">#REF!</definedName>
    <definedName function="false" hidden="false" localSheetId="8" name="ZZ_SYS_CurrentMonthNo" vbProcedure="false">#REF!</definedName>
    <definedName function="false" hidden="false" localSheetId="8" name="ZZ_SYS_CurrentPriceForeignAuto" vbProcedure="false">#REF!</definedName>
    <definedName function="false" hidden="false" localSheetId="8" name="ZZ_SYS_CurrentPriceForeignManual" vbProcedure="false">#REF!</definedName>
    <definedName function="false" hidden="false" localSheetId="8" name="ZZ_SYS_CurrentPriceLocalAuto" vbProcedure="false">#REF!</definedName>
    <definedName function="false" hidden="false" localSheetId="8" name="ZZ_SYS_CurrentPriceLocalManual" vbProcedure="false">#REF!</definedName>
    <definedName function="false" hidden="false" localSheetId="8" name="ZZ_SYS_CurrentSharesFreeFloatLocalManual" vbProcedure="false">#REF!</definedName>
    <definedName function="false" hidden="false" localSheetId="8" name="ZZ_SYS_CurrentSharesIssuedLocalAuto" vbProcedure="false">#REF!</definedName>
    <definedName function="false" hidden="false" localSheetId="8" name="ZZ_SYS_CurrentSharesIssuedLocalManual" vbProcedure="false">#REF!</definedName>
    <definedName function="false" hidden="false" localSheetId="8" name="ZZ_SYS_CurrentYearEnd" vbProcedure="false">#REF!</definedName>
    <definedName function="false" hidden="false" localSheetId="8" name="ZZ_SYS_Customize" vbProcedure="false">#REF!</definedName>
    <definedName function="false" hidden="false" localSheetId="8" name="ZZ_SYS_CustomPassword" vbProcedure="false">#REF!</definedName>
    <definedName function="false" hidden="false" localSheetId="8" name="ZZ_SYS_DecimalPlacesChoices" vbProcedure="false">#REF!</definedName>
    <definedName function="false" hidden="false" localSheetId="8" name="ZZ_SYS_DecimalPlacesMainIndex" vbProcedure="false">#REF!</definedName>
    <definedName function="false" hidden="false" localSheetId="8" name="ZZ_SYS_DecimalPlacesMultiplesIndex" vbProcedure="false">#REF!</definedName>
    <definedName function="false" hidden="false" localSheetId="8" name="ZZ_SYS_DecimalPlacesOtherIndex" vbProcedure="false">#REF!</definedName>
    <definedName function="false" hidden="false" localSheetId="8" name="ZZ_SYS_DecimalPlacesPercentIndex" vbProcedure="false">#REF!</definedName>
    <definedName function="false" hidden="false" localSheetId="8" name="ZZ_SYS_DecimalPlacesPriceIndex" vbProcedure="false">#REF!</definedName>
    <definedName function="false" hidden="false" localSheetId="8" name="ZZ_SYS_EquityRiskPremium" vbProcedure="false">#REF!</definedName>
    <definedName function="false" hidden="false" localSheetId="8" name="ZZ_SYS_Error1" vbProcedure="false">#REF!</definedName>
    <definedName function="false" hidden="false" localSheetId="8" name="ZZ_SYS_ExcludeMidYearAdj" vbProcedure="false">#REF!</definedName>
    <definedName function="false" hidden="false" localSheetId="8" name="ZZ_SYS_ExcludeTerminalValues" vbProcedure="false">#REF!</definedName>
    <definedName function="false" hidden="false" localSheetId="8" name="ZZ_SYS_ExpiryDate" vbProcedure="false">#REF!</definedName>
    <definedName function="false" hidden="false" localSheetId="8" name="ZZ_SYS_ExpiryStatus" vbProcedure="false">#REF!</definedName>
    <definedName function="false" hidden="false" localSheetId="8" name="ZZ_SYS_HideLicenseAgreement" vbProcedure="false">#REF!</definedName>
    <definedName function="false" hidden="false" localSheetId="8" name="ZZ_SYS_Installed" vbProcedure="false">#REF!</definedName>
    <definedName function="false" hidden="false" localSheetId="8" name="ZZ_SYS_InstalledBy" vbProcedure="false">#REF!</definedName>
    <definedName function="false" hidden="false" localSheetId="8" name="ZZ_SYS_InstalledDate" vbProcedure="false">#REF!</definedName>
    <definedName function="false" hidden="false" localSheetId="8" name="ZZ_SYS_LatestModelUpdate" vbProcedure="false">#REF!</definedName>
    <definedName function="false" hidden="false" localSheetId="8" name="ZZ_SYS_LatestModelUpdateAuto" vbProcedure="false">#REF!</definedName>
    <definedName function="false" hidden="false" localSheetId="8" name="ZZ_SYS_LatestModelUpdateManual" vbProcedure="false">#REF!</definedName>
    <definedName function="false" hidden="false" localSheetId="8" name="ZZ_SYS_LatestPriceUpdate" vbProcedure="false">#REF!</definedName>
    <definedName function="false" hidden="false" localSheetId="8" name="ZZ_SYS_LatestPriceUpdateAuto" vbProcedure="false">#REF!</definedName>
    <definedName function="false" hidden="false" localSheetId="8" name="ZZ_SYS_LatestPriceUpdateManual" vbProcedure="false">#REF!</definedName>
    <definedName function="false" hidden="false" localSheetId="8" name="ZZ_SYS_LocalCodeName" vbProcedure="false">#REF!</definedName>
    <definedName function="false" hidden="false" localSheetId="8" name="ZZ_SYS_MarketCapIssued" vbProcedure="false">#REF!</definedName>
    <definedName function="false" hidden="false" localSheetId="8" name="ZZ_SYS_MarketCode" vbProcedure="false">#REF!</definedName>
    <definedName function="false" hidden="false" localSheetId="8" name="ZZ_SYS_MarketCodeUsed" vbProcedure="false">#REF!</definedName>
    <definedName function="false" hidden="false" localSheetId="8" name="ZZ_SYS_MarketEPSGrowth" vbProcedure="false">#REF!</definedName>
    <definedName function="false" hidden="false" localSheetId="8" name="ZZ_SYS_MarketID" vbProcedure="false">#REF!</definedName>
    <definedName function="false" hidden="false" localSheetId="8" name="ZZ_SYS_MarketIDUsed" vbProcedure="false">#REF!</definedName>
    <definedName function="false" hidden="false" localSheetId="8" name="ZZ_SYS_MarketName" vbProcedure="false">#REF!</definedName>
    <definedName function="false" hidden="false" localSheetId="8" name="ZZ_SYS_MarketNameUsed" vbProcedure="false">#REF!</definedName>
    <definedName function="false" hidden="false" localSheetId="8" name="ZZ_SYS_MarketPE" vbProcedure="false">#REF!</definedName>
    <definedName function="false" hidden="false" localSheetId="8" name="ZZ_SYS_ModelID" vbProcedure="false">#REF!</definedName>
    <definedName function="false" hidden="false" localSheetId="8" name="ZZ_SYS_ModelType" vbProcedure="false">#REF!</definedName>
    <definedName function="false" hidden="false" localSheetId="8" name="ZZ_SYS_PRI_Activity" vbProcedure="false">#REF!</definedName>
    <definedName function="false" hidden="false" localSheetId="8" name="ZZ_SYS_PRI_BAL_All" vbProcedure="false">#REF!</definedName>
    <definedName function="false" hidden="false" localSheetId="8" name="ZZ_SYS_PRI_CAS_All" vbProcedure="false">#REF!</definedName>
    <definedName function="false" hidden="false" localSheetId="8" name="ZZ_SYS_PRI_COM_All" vbProcedure="false">#REF!</definedName>
    <definedName function="false" hidden="false" localSheetId="8" name="ZZ_SYS_PRI_COS_All" vbProcedure="false">#REF!</definedName>
    <definedName function="false" hidden="false" localSheetId="8" name="ZZ_SYS_PRI_DCF_All" vbProcedure="false">#REF!</definedName>
    <definedName function="false" hidden="false" localSheetId="8" name="ZZ_SYS_PRI_EPS_All" vbProcedure="false">#REF!</definedName>
    <definedName function="false" hidden="false" localSheetId="8" name="ZZ_SYS_PRI_Favourites" vbProcedure="false">#REF!</definedName>
    <definedName function="false" hidden="false" localSheetId="8" name="ZZ_SYS_PRI_FRE_All" vbProcedure="false">#REF!</definedName>
    <definedName function="false" hidden="false" localSheetId="8" name="ZZ_SYS_PRI_GRO_All" vbProcedure="false">#REF!</definedName>
    <definedName function="false" hidden="false" localSheetId="8" name="ZZ_SYS_PRI_INC_All" vbProcedure="false">#REF!</definedName>
    <definedName function="false" hidden="false" localSheetId="8" name="ZZ_SYS_PRI_INV_All" vbProcedure="false">#REF!</definedName>
    <definedName function="false" hidden="false" localSheetId="8" name="ZZ_SYS_PRI_NOP_All" vbProcedure="false">#REF!</definedName>
    <definedName function="false" hidden="false" localSheetId="8" name="ZZ_SYS_PRI_OTH_All" vbProcedure="false">#REF!</definedName>
    <definedName function="false" hidden="false" localSheetId="8" name="ZZ_SYS_PRI_RangeNames" vbProcedure="false">#REF!</definedName>
    <definedName function="false" hidden="false" localSheetId="8" name="ZZ_SYS_PRI_RangeTitles" vbProcedure="false">#REF!</definedName>
    <definedName function="false" hidden="false" localSheetId="8" name="ZZ_SYS_PRI_RET_All" vbProcedure="false">#REF!</definedName>
    <definedName function="false" hidden="false" localSheetId="8" name="ZZ_SYS_PRI_SUM_All" vbProcedure="false">#REF!</definedName>
    <definedName function="false" hidden="false" localSheetId="8" name="ZZ_SYS_PRI_VAL0" vbProcedure="false">#REF!</definedName>
    <definedName function="false" hidden="false" localSheetId="8" name="ZZ_SYS_PRI_VAL1" vbProcedure="false">#REF!</definedName>
    <definedName function="false" hidden="false" localSheetId="8" name="ZZ_SYS_Recommendation" vbProcedure="false">#REF!</definedName>
    <definedName function="false" hidden="false" localSheetId="8" name="ZZ_SYS_RecommendationDate" vbProcedure="false">#REF!</definedName>
    <definedName function="false" hidden="false" localSheetId="8" name="ZZ_SYS_RiskFreeRate" vbProcedure="false">#REF!</definedName>
    <definedName function="false" hidden="false" localSheetId="8" name="ZZ_SYS_Rounding" vbProcedure="false">#REF!</definedName>
    <definedName function="false" hidden="false" localSheetId="8" name="ZZ_SYS_RoundingIndex" vbProcedure="false">#REF!</definedName>
    <definedName function="false" hidden="false" localSheetId="8" name="ZZ_SYS_SectionName01" vbProcedure="false">#REF!</definedName>
    <definedName function="false" hidden="false" localSheetId="8" name="ZZ_SYS_SectionName02" vbProcedure="false">#REF!</definedName>
    <definedName function="false" hidden="false" localSheetId="8" name="ZZ_SYS_SectionName03" vbProcedure="false">#REF!</definedName>
    <definedName function="false" hidden="false" localSheetId="8" name="ZZ_SYS_SectionName04" vbProcedure="false">#REF!</definedName>
    <definedName function="false" hidden="false" localSheetId="8" name="ZZ_SYS_SectionName05" vbProcedure="false">#REF!</definedName>
    <definedName function="false" hidden="false" localSheetId="8" name="ZZ_SYS_SectionName06" vbProcedure="false">#REF!</definedName>
    <definedName function="false" hidden="false" localSheetId="8" name="ZZ_SYS_SectionName07" vbProcedure="false">#REF!</definedName>
    <definedName function="false" hidden="false" localSheetId="8" name="ZZ_SYS_SectionName08" vbProcedure="false">#REF!</definedName>
    <definedName function="false" hidden="false" localSheetId="8" name="ZZ_SYS_SectionName09" vbProcedure="false">#REF!</definedName>
    <definedName function="false" hidden="false" localSheetId="8" name="ZZ_SYS_SectionName10" vbProcedure="false">#REF!</definedName>
    <definedName function="false" hidden="false" localSheetId="8" name="ZZ_SYS_SectionName11" vbProcedure="false">#REF!</definedName>
    <definedName function="false" hidden="false" localSheetId="8" name="ZZ_SYS_SectionName12" vbProcedure="false">#REF!</definedName>
    <definedName function="false" hidden="false" localSheetId="8" name="ZZ_SYS_SectionName13" vbProcedure="false">#REF!</definedName>
    <definedName function="false" hidden="false" localSheetId="8" name="ZZ_SYS_SectionName14" vbProcedure="false">#REF!</definedName>
    <definedName function="false" hidden="false" localSheetId="8" name="ZZ_SYS_SectionName15" vbProcedure="false">#REF!</definedName>
    <definedName function="false" hidden="false" localSheetId="8" name="ZZ_SYS_SectionName16" vbProcedure="false">#REF!</definedName>
    <definedName function="false" hidden="false" localSheetId="8" name="ZZ_SYS_SectorCode" vbProcedure="false">#REF!</definedName>
    <definedName function="false" hidden="false" localSheetId="8" name="ZZ_SYS_SectorCodeUsed" vbProcedure="false">#REF!</definedName>
    <definedName function="false" hidden="false" localSheetId="8" name="ZZ_SYS_SectorID" vbProcedure="false">#REF!</definedName>
    <definedName function="false" hidden="false" localSheetId="8" name="ZZ_SYS_SectorIDUsed" vbProcedure="false">#REF!</definedName>
    <definedName function="false" hidden="false" localSheetId="8" name="ZZ_SYS_SectorName" vbProcedure="false">#REF!</definedName>
    <definedName function="false" hidden="false" localSheetId="8" name="ZZ_SYS_SectorNameUsed" vbProcedure="false">#REF!</definedName>
    <definedName function="false" hidden="false" localSheetId="8" name="ZZ_SYS_SharePrice" vbProcedure="false">#REF!</definedName>
    <definedName function="false" hidden="false" localSheetId="8" name="ZZ_SYS_SharesIssued" vbProcedure="false">#REF!</definedName>
    <definedName function="false" hidden="false" localSheetId="8" name="ZZ_SYS_SheetNames" vbProcedure="false">#REF!</definedName>
    <definedName function="false" hidden="false" localSheetId="8" name="ZZ_SYS_ShowPercents" vbProcedure="false">#REF!</definedName>
    <definedName function="false" hidden="false" localSheetId="8" name="ZZ_SYS_ShowXs" vbProcedure="false">#REF!</definedName>
    <definedName function="false" hidden="false" localSheetId="8" name="ZZ_SYS_Units" vbProcedure="false">#REF!</definedName>
    <definedName function="false" hidden="false" localSheetId="8" name="ZZ_SYS_UnitsManual" vbProcedure="false">#REF!</definedName>
    <definedName function="false" hidden="false" localSheetId="8" name="ZZ_SYS_UseCalculationHandling" vbProcedure="false">#REF!</definedName>
    <definedName function="false" hidden="false" localSheetId="8" name="ZZ_SYS_UseForeignPrice" vbProcedure="false">#REF!</definedName>
    <definedName function="false" hidden="false" localSheetId="8" name="ZZ_SYS_UsePrintRangeHandling" vbProcedure="false">#REF!</definedName>
    <definedName function="false" hidden="false" localSheetId="8" name="ZZ_SYS_UserMode" vbProcedure="false">#REF!</definedName>
    <definedName function="false" hidden="false" localSheetId="8" name="ZZ_SYS_UseTaxDeductibleGoodwillAmort" vbProcedure="false">#REF!</definedName>
    <definedName function="false" hidden="false" localSheetId="8" name="ZZ_SYS_VersionDate" vbProcedure="false">#REF!</definedName>
    <definedName function="false" hidden="false" localSheetId="8" name="ZZ_SYS_VersionNo" vbProcedure="false">#REF!</definedName>
    <definedName function="false" hidden="false" localSheetId="8" name="ZZ_SYS_YearCodeForecast" vbProcedure="false">#REF!</definedName>
    <definedName function="false" hidden="false" localSheetId="8" name="ZZ_SYS_YearCodeHistoric" vbProcedure="false">#REF!</definedName>
    <definedName function="false" hidden="false" localSheetId="8" name="ZZ_VAL_DDM_DiscountedDividends" vbProcedure="false">#REF!</definedName>
    <definedName function="false" hidden="false" localSheetId="8" name="ZZ_VAL_DDM_DiscountFactor" vbProcedure="false">#REF!</definedName>
    <definedName function="false" hidden="false" localSheetId="8" name="ZZ_VAL_DDM_DiscountRate" vbProcedure="false">#REF!</definedName>
    <definedName function="false" hidden="false" localSheetId="8" name="ZZ_VAL_DDM_DiscountRateManual" vbProcedure="false">#REF!</definedName>
    <definedName function="false" hidden="false" localSheetId="8" name="ZZ_VAL_DDM_Dividends" vbProcedure="false">#REF!</definedName>
    <definedName function="false" hidden="false" localSheetId="8" name="ZZ_VAL_DDM_DividendsManual" vbProcedure="false">#REF!</definedName>
    <definedName function="false" hidden="false" localSheetId="8" name="ZZ_VAL_DDM_ImpliedEquityValue" vbProcedure="false">#REF!</definedName>
    <definedName function="false" hidden="false" localSheetId="8" name="ZZ_VAL_DDM_ImpliedEquityValuePerShare" vbProcedure="false">#REF!</definedName>
    <definedName function="false" hidden="false" localSheetId="8" name="ZZ_VAL_DDM_LTGrowthRate" vbProcedure="false">#REF!</definedName>
    <definedName function="false" hidden="false" localSheetId="8" name="ZZ_VAL_DDM_LTGrowthRateManual" vbProcedure="false">#REF!</definedName>
    <definedName function="false" hidden="false" localSheetId="8" name="ZZ_VAL_DDM_TotalValue" vbProcedure="false">#REF!</definedName>
    <definedName function="false" hidden="false" localSheetId="8" name="ZZ_VAL_ENT_AdjToEquityValue" vbProcedure="false">#REF!</definedName>
    <definedName function="false" hidden="false" localSheetId="8" name="ZZ_VAL_ENT_EBITDA" vbProcedure="false">#REF!</definedName>
    <definedName function="false" hidden="false" localSheetId="8" name="ZZ_VAL_ENT_EnterpriseValue" vbProcedure="false">#REF!</definedName>
    <definedName function="false" hidden="false" localSheetId="8" name="ZZ_VAL_ENT_EquityValue" vbProcedure="false">#REF!</definedName>
    <definedName function="false" hidden="false" localSheetId="8" name="ZZ_VAL_IRR_FreeCashFlow" vbProcedure="false">#REF!</definedName>
    <definedName function="false" hidden="false" localSheetId="8" name="ZZ_VAL_IRR_FreeCashFlowManual" vbProcedure="false">#REF!</definedName>
    <definedName function="false" hidden="false" localSheetId="8" name="ZZ_VAL_PER_MarketCapActual" vbProcedure="false">#REF!</definedName>
    <definedName function="false" hidden="false" localSheetId="8" name="ZZ_VAL_PER_NetIncome" vbProcedure="false">#REF!</definedName>
    <definedName function="false" hidden="false" localSheetId="8" name="ZZ_VAL_PER_PEMultiple" vbProcedure="false">#REF!</definedName>
    <definedName function="false" hidden="false" localSheetId="8" name="ZZ_VAL_PER_PriceActual" vbProcedure="false">#REF!</definedName>
    <definedName function="false" hidden="false" localSheetId="8" name="\agro" vbProcedure="false">[1]Summary!$A$1</definedName>
    <definedName function="false" hidden="false" localSheetId="8" name="\agro2" vbProcedure="false">[1]Summary!$A$1</definedName>
    <definedName function="false" hidden="false" localSheetId="8" name="\B" vbProcedure="false">[2]Pulses!$A$1</definedName>
    <definedName function="false" hidden="false" localSheetId="8" name="\D" vbProcedure="false">[2]Pulses!$A$1</definedName>
    <definedName function="false" hidden="false" localSheetId="8" name="\P" vbProcedure="false">[2]Pulses!$A$1</definedName>
    <definedName function="false" hidden="false" localSheetId="8" name="\S" vbProcedure="false">[2]Pulses!$IK$1</definedName>
    <definedName function="false" hidden="false" localSheetId="8" name="_2_" vbProcedure="false">[4]Sheet2!$A$1</definedName>
    <definedName function="false" hidden="false" localSheetId="8" name="_5_0RMconsu" vbProcedure="false">[5]Old!$A$1</definedName>
    <definedName function="false" hidden="false" localSheetId="8" name="_B" vbProcedure="false">[6]Pulses!$A$1</definedName>
    <definedName function="false" hidden="false" localSheetId="8" name="_B___0" vbProcedure="false">[6]Pulses!$A$1</definedName>
    <definedName function="false" hidden="false" localSheetId="8" name="_B___6" vbProcedure="false">[7]Pulses!$A$1</definedName>
    <definedName function="false" hidden="false" localSheetId="8" name="_D" vbProcedure="false">[6]Pulses!$AR$1</definedName>
    <definedName function="false" hidden="false" localSheetId="8" name="_day1" vbProcedure="false">#REF!</definedName>
    <definedName function="false" hidden="false" localSheetId="8" name="_day2" vbProcedure="false">#REF!</definedName>
    <definedName function="false" hidden="false" localSheetId="8" name="_day3" vbProcedure="false">#REF!</definedName>
    <definedName function="false" hidden="false" localSheetId="8" name="_D___0" vbProcedure="false">[6]Pulses!$A$1</definedName>
    <definedName function="false" hidden="false" localSheetId="8" name="_D___6" vbProcedure="false">[7]Pulses!$A$1</definedName>
    <definedName function="false" hidden="false" localSheetId="8" name="_P" vbProcedure="false">[6]Pulses!$J$1</definedName>
    <definedName function="false" hidden="false" localSheetId="8" name="_P___0" vbProcedure="false">[6]Pulses!$A$2</definedName>
    <definedName function="false" hidden="false" localSheetId="8" name="_P___6" vbProcedure="false">[7]Pulses!$A$1</definedName>
    <definedName function="false" hidden="false" localSheetId="8" name="_Regression_Out" vbProcedure="false">[9]Internet!$A$1</definedName>
    <definedName function="false" hidden="false" localSheetId="8" name="_S" vbProcedure="false">[6]Pulses!$A$1</definedName>
    <definedName function="false" hidden="false" localSheetId="8" name="_S___0" vbProcedure="false">[6]Pulses!$A$1</definedName>
    <definedName function="false" hidden="false" localSheetId="8" name="_S___6" vbProcedure="false">[7]Pulses!$A$1</definedName>
    <definedName function="false" hidden="false" localSheetId="8" name="__123Graph_A" vbProcedure="false">[3]MSI9920B!$A$1</definedName>
    <definedName function="false" hidden="false" localSheetId="8" name="__123Graph_B" vbProcedure="false">[3]MSI9920B!$A$1</definedName>
    <definedName function="false" hidden="false" localSheetId="8" name="__123Graph_C" vbProcedure="false">[3]MSI9920B!$A$1</definedName>
    <definedName function="false" hidden="false" localSheetId="8" name="__123Graph_D" vbProcedure="false">[3]MSI9920B!$A$1</definedName>
    <definedName function="false" hidden="false" localSheetId="8" name="__123Graph_E" vbProcedure="false">[3]MSI9920B!$A$1</definedName>
    <definedName function="false" hidden="false" localSheetId="8" name="__123Graph_X" vbProcedure="false">[3]MSI9920B!$A$1</definedName>
  </definedNames>
  <calcPr iterateCount="100" refMode="A1" iterate="false" iterateDelta="0.001"/>
  <extLst>
    <ext xmlns:loext="http://schemas.libreoffice.org/" uri="{7626C862-2A13-11E5-B345-FEFF819CDC9F}">
      <loext:extCalcPr stringRefSyntax="CalcA1"/>
    </ext>
  </extLst>
</workbook>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b val="true"/>
            <sz val="8"/>
            <color rgb="FF000000"/>
            <rFont val="Tahoma"/>
            <family val="2"/>
          </rPr>
          <t xml:space="preserve">Amount includes , 
Both 'Natural Gas Trading' &amp; 'Transmission Services - Natural Gas'.
</t>
        </r>
      </text>
      <mc:AlternateContent>
        <mc:Choice Requires="v2">
          <commentPr autoFill="true" autoScale="false" colHidden="false" locked="false" rowHidden="false" textHAlign="justify" textVAlign="top">
            <anchor moveWithCells="false" sizeWithCells="false">
              <xdr:from>
                <xdr:col>2</xdr:col>
                <xdr:colOff>18</xdr:colOff>
                <xdr:row>50</xdr:row>
                <xdr:rowOff>5</xdr:rowOff>
              </xdr:from>
              <xdr:to>
                <xdr:col>4</xdr:col>
                <xdr:colOff>47</xdr:colOff>
                <xdr:row>54</xdr:row>
                <xdr:rowOff>7</xdr:rowOff>
              </xdr:to>
            </anchor>
          </commentPr>
        </mc:Choice>
        <mc:Fallback/>
      </mc:AlternateContent>
    </comment>
    <comment ref="B65" authorId="0">
      <text>
        <r>
          <rPr>
            <b val="true"/>
            <sz val="8"/>
            <color rgb="FF000000"/>
            <rFont val="Tahoma"/>
            <family val="2"/>
          </rPr>
          <t xml:space="preserve">Amount includes , Natural Gas Trading + Natural Gas Transmission , values 
together.
Therefore Transmission Services-Natural Gas is shown as "0".</t>
        </r>
      </text>
      <mc:AlternateContent>
        <mc:Choice Requires="v2">
          <commentPr autoFill="true" autoScale="false" colHidden="false" locked="false" rowHidden="false" textHAlign="justify" textVAlign="top">
            <anchor moveWithCells="false" sizeWithCells="false">
              <xdr:from>
                <xdr:col>2</xdr:col>
                <xdr:colOff>18</xdr:colOff>
                <xdr:row>63</xdr:row>
                <xdr:rowOff>6</xdr:rowOff>
              </xdr:from>
              <xdr:to>
                <xdr:col>4</xdr:col>
                <xdr:colOff>48</xdr:colOff>
                <xdr:row>71</xdr:row>
                <xdr:rowOff>5</xdr:rowOff>
              </xdr:to>
            </anchor>
          </commentPr>
        </mc:Choice>
        <mc:Fallback/>
      </mc:AlternateContent>
    </comment>
    <comment ref="G51" authorId="0">
      <text>
        <r>
          <rPr>
            <b val="true"/>
            <sz val="9"/>
            <color rgb="FF000000"/>
            <rFont val="Tahoma"/>
            <family val="2"/>
          </rPr>
          <t xml:space="preserve">Amount includes , 
Both 'Natural Gas Trading' &amp; 'Transmission Services - Natural Gas'.
</t>
        </r>
      </text>
      <mc:AlternateContent>
        <mc:Choice Requires="v2">
          <commentPr autoFill="true" autoScale="false" colHidden="false" locked="false" rowHidden="false" textHAlign="justify" textVAlign="top">
            <anchor moveWithCells="false" sizeWithCells="false">
              <xdr:from>
                <xdr:col>7</xdr:col>
                <xdr:colOff>18</xdr:colOff>
                <xdr:row>50</xdr:row>
                <xdr:rowOff>7</xdr:rowOff>
              </xdr:from>
              <xdr:to>
                <xdr:col>9</xdr:col>
                <xdr:colOff>65</xdr:colOff>
                <xdr:row>55</xdr:row>
                <xdr:rowOff>4</xdr:rowOff>
              </xdr:to>
            </anchor>
          </commentPr>
        </mc:Choice>
        <mc:Fallback/>
      </mc:AlternateContent>
    </comment>
    <comment ref="G65" authorId="0">
      <text>
        <r>
          <rPr>
            <b val="true"/>
            <sz val="9"/>
            <color rgb="FF000000"/>
            <rFont val="Tahoma"/>
            <family val="2"/>
          </rPr>
          <t xml:space="preserve">Amount includes , Natural Gas Trading + Natural Gas Transmission , values 
together.
Therefore Transmission Services-Natural Gas is shown as "0".
</t>
        </r>
      </text>
      <mc:AlternateContent>
        <mc:Choice Requires="v2">
          <commentPr autoFill="true" autoScale="false" colHidden="false" locked="false" rowHidden="false" textHAlign="justify" textVAlign="top">
            <anchor moveWithCells="false" sizeWithCells="false">
              <xdr:from>
                <xdr:col>7</xdr:col>
                <xdr:colOff>18</xdr:colOff>
                <xdr:row>64</xdr:row>
                <xdr:rowOff>4</xdr:rowOff>
              </xdr:from>
              <xdr:to>
                <xdr:col>9</xdr:col>
                <xdr:colOff>65</xdr:colOff>
                <xdr:row>72</xdr:row>
                <xdr:rowOff>11</xdr:rowOff>
              </xdr:to>
            </anchor>
          </commentPr>
        </mc:Choice>
        <mc:Fallback/>
      </mc:AlternateContent>
    </comment>
    <comment ref="H51" authorId="0">
      <text>
        <r>
          <rPr>
            <b val="true"/>
            <sz val="9"/>
            <color rgb="FF000000"/>
            <rFont val="Tahoma"/>
            <family val="2"/>
          </rPr>
          <t xml:space="preserve">Amount includes , 
Both 'Natural Gas Trading' &amp; 'Transmission Services - Natural Gas'.</t>
        </r>
      </text>
      <mc:AlternateContent>
        <mc:Choice Requires="v2">
          <commentPr autoFill="true" autoScale="false" colHidden="false" locked="false" rowHidden="false" textHAlign="justify" textVAlign="top">
            <anchor moveWithCells="false" sizeWithCells="false">
              <xdr:from>
                <xdr:col>8</xdr:col>
                <xdr:colOff>18</xdr:colOff>
                <xdr:row>50</xdr:row>
                <xdr:rowOff>7</xdr:rowOff>
              </xdr:from>
              <xdr:to>
                <xdr:col>10</xdr:col>
                <xdr:colOff>61</xdr:colOff>
                <xdr:row>55</xdr:row>
                <xdr:rowOff>4</xdr:rowOff>
              </xdr:to>
            </anchor>
          </commentPr>
        </mc:Choice>
        <mc:Fallback/>
      </mc:AlternateContent>
    </comment>
    <comment ref="H65" authorId="0">
      <text>
        <r>
          <rPr>
            <b val="true"/>
            <sz val="9"/>
            <color rgb="FF000000"/>
            <rFont val="Tahoma"/>
            <family val="2"/>
          </rPr>
          <t xml:space="preserve">Amount includes , Natural Gas Trading + Natural Gas Transmission , values 
together.
Therefore Transmission Services-Natural Gas is shown as "0".</t>
        </r>
      </text>
      <mc:AlternateContent>
        <mc:Choice Requires="v2">
          <commentPr autoFill="true" autoScale="false" colHidden="false" locked="false" rowHidden="false" textHAlign="justify" textVAlign="top">
            <anchor moveWithCells="false" sizeWithCells="false">
              <xdr:from>
                <xdr:col>8</xdr:col>
                <xdr:colOff>18</xdr:colOff>
                <xdr:row>63</xdr:row>
                <xdr:rowOff>6</xdr:rowOff>
              </xdr:from>
              <xdr:to>
                <xdr:col>10</xdr:col>
                <xdr:colOff>73</xdr:colOff>
                <xdr:row>71</xdr:row>
                <xdr:rowOff>14</xdr:rowOff>
              </xdr:to>
            </anchor>
          </commentPr>
        </mc:Choice>
        <mc:Fallback/>
      </mc:AlternateContent>
    </comment>
    <comment ref="I51" authorId="0">
      <text>
        <r>
          <rPr>
            <b val="true"/>
            <sz val="9"/>
            <color rgb="FF000000"/>
            <rFont val="Tahoma"/>
            <family val="2"/>
          </rPr>
          <t xml:space="preserve">TOTAL = 4543.3
</t>
        </r>
      </text>
      <mc:AlternateContent>
        <mc:Choice Requires="v2">
          <commentPr autoFill="true" autoScale="false" colHidden="false" locked="false" rowHidden="false" textHAlign="justify" textVAlign="top">
            <anchor moveWithCells="false" sizeWithCells="false">
              <xdr:from>
                <xdr:col>9</xdr:col>
                <xdr:colOff>18</xdr:colOff>
                <xdr:row>52</xdr:row>
                <xdr:rowOff>11</xdr:rowOff>
              </xdr:from>
              <xdr:to>
                <xdr:col>10</xdr:col>
                <xdr:colOff>71</xdr:colOff>
                <xdr:row>54</xdr:row>
                <xdr:rowOff>13</xdr:rowOff>
              </xdr:to>
            </anchor>
          </commentPr>
        </mc:Choice>
        <mc:Fallback/>
      </mc:AlternateContent>
    </comment>
    <comment ref="J51" authorId="0">
      <text>
        <r>
          <rPr>
            <b val="true"/>
            <sz val="9"/>
            <color rgb="FF000000"/>
            <rFont val="Tahoma"/>
            <family val="2"/>
          </rPr>
          <t xml:space="preserve">TOTAL = 44467
</t>
        </r>
      </text>
      <mc:AlternateContent>
        <mc:Choice Requires="v2">
          <commentPr autoFill="true" autoScale="false" colHidden="false" locked="false" rowHidden="false" textHAlign="justify" textVAlign="top">
            <anchor moveWithCells="false" sizeWithCells="false">
              <xdr:from>
                <xdr:col>10</xdr:col>
                <xdr:colOff>18</xdr:colOff>
                <xdr:row>50</xdr:row>
                <xdr:rowOff>7</xdr:rowOff>
              </xdr:from>
              <xdr:to>
                <xdr:col>11</xdr:col>
                <xdr:colOff>49</xdr:colOff>
                <xdr:row>51</xdr:row>
                <xdr:rowOff>9</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F43" authorId="0">
      <text>
        <r>
          <rPr>
            <b val="true"/>
            <sz val="10"/>
            <color rgb="FF000000"/>
            <rFont val="Tahoma"/>
            <family val="2"/>
          </rPr>
          <t xml:space="preserve">The Figures here are total of Current Liabilities &amp; Provisions.
</t>
        </r>
      </text>
      <mc:AlternateContent>
        <mc:Choice Requires="v2">
          <commentPr autoFill="true" autoScale="false" colHidden="false" locked="false" rowHidden="false" textHAlign="justify" textVAlign="top">
            <anchor moveWithCells="false" sizeWithCells="false">
              <xdr:from>
                <xdr:col>7</xdr:col>
                <xdr:colOff>10</xdr:colOff>
                <xdr:row>42</xdr:row>
                <xdr:rowOff>25</xdr:rowOff>
              </xdr:from>
              <xdr:to>
                <xdr:col>9</xdr:col>
                <xdr:colOff>1</xdr:colOff>
                <xdr:row>45</xdr:row>
                <xdr:rowOff>23</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50" authorId="0">
      <text>
        <r>
          <rPr>
            <b val="true"/>
            <sz val="8"/>
            <color rgb="FF000000"/>
            <rFont val="Tahoma"/>
            <family val="2"/>
          </rPr>
          <t xml:space="preserve">psec:
</t>
        </r>
        <r>
          <rPr>
            <sz val="8"/>
            <color rgb="FF000000"/>
            <rFont val="Tahoma"/>
            <family val="2"/>
          </rPr>
          <t xml:space="preserve">balancing figure</t>
        </r>
      </text>
      <mc:AlternateContent>
        <mc:Choice Requires="v2">
          <commentPr autoFill="true" autoScale="false" colHidden="false" locked="false" rowHidden="false" textHAlign="justify" textVAlign="top">
            <anchor moveWithCells="false" sizeWithCells="false">
              <xdr:from>
                <xdr:col>0</xdr:col>
                <xdr:colOff>275</xdr:colOff>
                <xdr:row>40</xdr:row>
                <xdr:rowOff>18</xdr:rowOff>
              </xdr:from>
              <xdr:to>
                <xdr:col>2</xdr:col>
                <xdr:colOff>17</xdr:colOff>
                <xdr:row>46</xdr:row>
                <xdr:rowOff>16</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2" authorId="0">
      <text>
        <r>
          <rPr>
            <b val="true"/>
            <sz val="9"/>
            <color rgb="FF000000"/>
            <rFont val="Tahoma"/>
            <family val="2"/>
          </rPr>
          <t xml:space="preserve">Hp:
</t>
        </r>
        <r>
          <rPr>
            <sz val="9"/>
            <color rgb="FF000000"/>
            <rFont val="Tahoma"/>
            <family val="2"/>
          </rPr>
          <t xml:space="preserve">Value taken from finance.yahoo.com</t>
        </r>
      </text>
      <mc:AlternateContent>
        <mc:Choice Requires="v2">
          <commentPr autoFill="true" autoScale="false" colHidden="false" locked="false" rowHidden="false" textHAlign="justify" textVAlign="top">
            <anchor moveWithCells="false" sizeWithCells="false">
              <xdr:from>
                <xdr:col>2</xdr:col>
                <xdr:colOff>18</xdr:colOff>
                <xdr:row>9</xdr:row>
                <xdr:rowOff>8</xdr:rowOff>
              </xdr:from>
              <xdr:to>
                <xdr:col>4</xdr:col>
                <xdr:colOff>37</xdr:colOff>
                <xdr:row>14</xdr:row>
                <xdr:rowOff>11</xdr:rowOff>
              </xdr:to>
            </anchor>
          </commentPr>
        </mc:Choice>
        <mc:Fallback/>
      </mc:AlternateContent>
    </comment>
  </commentList>
</comments>
</file>

<file path=xl/sharedStrings.xml><?xml version="1.0" encoding="utf-8"?>
<sst xmlns="http://schemas.openxmlformats.org/spreadsheetml/2006/main" count="764" uniqueCount="396">
  <si>
    <t xml:space="preserve">Reference Model</t>
  </si>
  <si>
    <t xml:space="preserve">GAIL India Limited</t>
  </si>
  <si>
    <t xml:space="preserve">Prepared By: Disha Vyas, Distance learning, Mumbai</t>
  </si>
  <si>
    <t xml:space="preserve">http://proschoolonline.com</t>
  </si>
  <si>
    <r>
      <rPr>
        <b val="true"/>
        <sz val="9"/>
        <color rgb="FF333333"/>
        <rFont val="Tahoma"/>
        <family val="2"/>
      </rPr>
      <t xml:space="preserve">Email ID : </t>
    </r>
    <r>
      <rPr>
        <sz val="9"/>
        <color rgb="FF333333"/>
        <rFont val="Tahoma"/>
        <family val="2"/>
      </rPr>
      <t xml:space="preserve">mumbai@proschoolonline.com</t>
    </r>
  </si>
  <si>
    <t xml:space="preserve">Mumbai</t>
  </si>
  <si>
    <t xml:space="preserve">IMS Proschool Pvt Ltd,</t>
  </si>
  <si>
    <t xml:space="preserve">Maharashtra High School Complex,</t>
  </si>
  <si>
    <t xml:space="preserve">Principal N.M Kale Marg, Off Gokhale Rd,</t>
  </si>
  <si>
    <t xml:space="preserve">Dadar (W), Mumbai 400028</t>
  </si>
  <si>
    <r>
      <rPr>
        <b val="true"/>
        <sz val="9"/>
        <color rgb="FF333333"/>
        <rFont val="Tahoma"/>
        <family val="2"/>
      </rPr>
      <t xml:space="preserve">Tel. No. :</t>
    </r>
    <r>
      <rPr>
        <sz val="9"/>
        <color rgb="FF333333"/>
        <rFont val="Tahoma"/>
        <family val="2"/>
      </rPr>
      <t xml:space="preserve"> 022-65285393/94</t>
    </r>
  </si>
  <si>
    <t xml:space="preserve">+91 9372895050</t>
  </si>
  <si>
    <t xml:space="preserve">Directions</t>
  </si>
  <si>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</si>
  <si>
    <t xml:space="preserve">Email ID : mumbai@proschoolonline.com</t>
  </si>
  <si>
    <t xml:space="preserve">GAIL (INDIA) LTD.</t>
  </si>
  <si>
    <t xml:space="preserve">Company Overview</t>
  </si>
  <si>
    <t xml:space="preserve">(Figures in Rs. Millions.)</t>
  </si>
  <si>
    <t xml:space="preserve">Company Information</t>
  </si>
  <si>
    <t xml:space="preserve">Company Description</t>
  </si>
  <si>
    <t xml:space="preserve">Industry</t>
  </si>
  <si>
    <t xml:space="preserve">                                Natural Gas Industry</t>
  </si>
  <si>
    <t xml:space="preserve">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</si>
  <si>
    <t xml:space="preserve">Sector</t>
  </si>
  <si>
    <t xml:space="preserve">                                   Natural Gas Sector</t>
  </si>
  <si>
    <t xml:space="preserve">Country</t>
  </si>
  <si>
    <t xml:space="preserve">                                                         INDIA</t>
  </si>
  <si>
    <t xml:space="preserve">Current Market Price</t>
  </si>
  <si>
    <t xml:space="preserve">RS.420.65</t>
  </si>
  <si>
    <t xml:space="preserve">Ticker</t>
  </si>
  <si>
    <t xml:space="preserve">NSE</t>
  </si>
  <si>
    <t xml:space="preserve">Market Capitalization ($MM)</t>
  </si>
  <si>
    <t xml:space="preserve">Relative Index (S&amp;P 500)</t>
  </si>
  <si>
    <t xml:space="preserve">(S&amp;P 500)</t>
  </si>
  <si>
    <t xml:space="preserve">Year end</t>
  </si>
  <si>
    <t xml:space="preserve">Products</t>
  </si>
  <si>
    <t xml:space="preserve">Reporting currency</t>
  </si>
  <si>
    <t xml:space="preserve">INDIAN (Rs.)</t>
  </si>
  <si>
    <t xml:space="preserve">Natural Gas value chain and beyond including Exploration, Production, Transmission, Marketing, Extraction, Processing, Distribution, utilisation including Petrochemicals and Power and Natural Gas related infrastructure, products and services.</t>
  </si>
  <si>
    <t xml:space="preserve">Per Share Data &amp; Key Ratios</t>
  </si>
  <si>
    <t xml:space="preserve"> (in Rs.crores)</t>
  </si>
  <si>
    <t xml:space="preserve">RATIOS</t>
  </si>
  <si>
    <t xml:space="preserve">31MAR '06 </t>
  </si>
  <si>
    <t xml:space="preserve">31MAR '07</t>
  </si>
  <si>
    <t xml:space="preserve">31MAR '08</t>
  </si>
  <si>
    <t xml:space="preserve">31MAR '09</t>
  </si>
  <si>
    <t xml:space="preserve">31MAR '10</t>
  </si>
  <si>
    <t xml:space="preserve">31MAR '11</t>
  </si>
  <si>
    <t xml:space="preserve">31MAR '12</t>
  </si>
  <si>
    <t xml:space="preserve">31MAR '13</t>
  </si>
  <si>
    <t xml:space="preserve">31MAR '14</t>
  </si>
  <si>
    <t xml:space="preserve">2005-06A</t>
  </si>
  <si>
    <t xml:space="preserve">2006-07A</t>
  </si>
  <si>
    <t xml:space="preserve">2007-08 A</t>
  </si>
  <si>
    <t xml:space="preserve">2008-09 A</t>
  </si>
  <si>
    <t xml:space="preserve">2009-2010E</t>
  </si>
  <si>
    <t xml:space="preserve">2010-11E</t>
  </si>
  <si>
    <t xml:space="preserve">2011-12E</t>
  </si>
  <si>
    <t xml:space="preserve">2012-13E</t>
  </si>
  <si>
    <t xml:space="preserve">2013-14E</t>
  </si>
  <si>
    <t xml:space="preserve">EPS BASIC</t>
  </si>
  <si>
    <t xml:space="preserve">EBITDA/sales (%)</t>
  </si>
  <si>
    <t xml:space="preserve">Net income/sales (%)</t>
  </si>
  <si>
    <t xml:space="preserve">Interest Cover</t>
  </si>
  <si>
    <t xml:space="preserve">EV/Sales</t>
  </si>
  <si>
    <t xml:space="preserve">EV/EBITDA</t>
  </si>
  <si>
    <t xml:space="preserve">P/E</t>
  </si>
  <si>
    <t xml:space="preserve">P/Sales</t>
  </si>
  <si>
    <t xml:space="preserve">Segment revenue breakup for 2009</t>
  </si>
  <si>
    <t xml:space="preserve">Natural Gas Trading</t>
  </si>
  <si>
    <t xml:space="preserve">Transmission Services - Natural Gas</t>
  </si>
  <si>
    <t xml:space="preserve">Petrochemicals</t>
  </si>
  <si>
    <t xml:space="preserve">LPG &amp; Liquid Hydrocarbons</t>
  </si>
  <si>
    <t xml:space="preserve">Transmission Services - LPG</t>
  </si>
  <si>
    <t xml:space="preserve">Gailtel</t>
  </si>
  <si>
    <t xml:space="preserve">Others</t>
  </si>
  <si>
    <t xml:space="preserve">Total</t>
  </si>
  <si>
    <t xml:space="preserve">Revenue Forecast</t>
  </si>
  <si>
    <t xml:space="preserve">2006-07</t>
  </si>
  <si>
    <t xml:space="preserve">2007-08</t>
  </si>
  <si>
    <t xml:space="preserve">2008-09</t>
  </si>
  <si>
    <t xml:space="preserve">2009-10</t>
  </si>
  <si>
    <t xml:space="preserve">2010-11</t>
  </si>
  <si>
    <t xml:space="preserve">2011-12</t>
  </si>
  <si>
    <t xml:space="preserve">Segment Revenue Model</t>
  </si>
  <si>
    <t xml:space="preserve">BSE Q RES</t>
  </si>
  <si>
    <t xml:space="preserve">APR - JUN</t>
  </si>
  <si>
    <t xml:space="preserve">JUL - SEPT</t>
  </si>
  <si>
    <t xml:space="preserve">OCT - DEC</t>
  </si>
  <si>
    <t xml:space="preserve">JAN - MAR</t>
  </si>
  <si>
    <t xml:space="preserve">31st MAR '07 </t>
  </si>
  <si>
    <t xml:space="preserve">31st MAR '10 </t>
  </si>
  <si>
    <t xml:space="preserve">31st MAR '11 </t>
  </si>
  <si>
    <t xml:space="preserve">31st MAR '12 </t>
  </si>
  <si>
    <t xml:space="preserve">31st MAR '13 </t>
  </si>
  <si>
    <t xml:space="preserve">31st MAR '14 </t>
  </si>
  <si>
    <t xml:space="preserve">Q1 2006 </t>
  </si>
  <si>
    <t xml:space="preserve">Q2 2006 </t>
  </si>
  <si>
    <t xml:space="preserve">Q3 2006 </t>
  </si>
  <si>
    <t xml:space="preserve">Q4 2007 </t>
  </si>
  <si>
    <t xml:space="preserve">Q1 2007 </t>
  </si>
  <si>
    <t xml:space="preserve">Q2 2007</t>
  </si>
  <si>
    <t xml:space="preserve">Q3 2007</t>
  </si>
  <si>
    <t xml:space="preserve">Q4 2008</t>
  </si>
  <si>
    <t xml:space="preserve">2007-08A</t>
  </si>
  <si>
    <t xml:space="preserve">Q1 2008 </t>
  </si>
  <si>
    <t xml:space="preserve">Q2 2008</t>
  </si>
  <si>
    <t xml:space="preserve">Q3 2008</t>
  </si>
  <si>
    <t xml:space="preserve">Q4 2009</t>
  </si>
  <si>
    <t xml:space="preserve">2008-09A</t>
  </si>
  <si>
    <t xml:space="preserve">Q1 2009 </t>
  </si>
  <si>
    <t xml:space="preserve">Q2 2009</t>
  </si>
  <si>
    <t xml:space="preserve">Q3 2009</t>
  </si>
  <si>
    <t xml:space="preserve">Q4 2010</t>
  </si>
  <si>
    <t xml:space="preserve">2009-10E</t>
  </si>
  <si>
    <t xml:space="preserve">Segment Revenues</t>
  </si>
  <si>
    <t xml:space="preserve">Less: Inter Segment Revenue</t>
  </si>
  <si>
    <t xml:space="preserve">Net sales/income from Operations</t>
  </si>
  <si>
    <t xml:space="preserve">INCOME STATEMENT MODEL</t>
  </si>
  <si>
    <t xml:space="preserve">FY 2006-07</t>
  </si>
  <si>
    <t xml:space="preserve">A</t>
  </si>
  <si>
    <t xml:space="preserve">FY 2007-08</t>
  </si>
  <si>
    <t xml:space="preserve">FY 2008-09</t>
  </si>
  <si>
    <t xml:space="preserve">FY 2009-10</t>
  </si>
  <si>
    <t xml:space="preserve">E</t>
  </si>
  <si>
    <t xml:space="preserve">FY 2010-11 E</t>
  </si>
  <si>
    <t xml:space="preserve">FY 2011-12 E</t>
  </si>
  <si>
    <t xml:space="preserve">FY 2012-13 E</t>
  </si>
  <si>
    <t xml:space="preserve">FY 2013-14 E</t>
  </si>
  <si>
    <t xml:space="preserve">(Figures in Rs. Crores.)</t>
  </si>
  <si>
    <t xml:space="preserve">Q1</t>
  </si>
  <si>
    <t xml:space="preserve">Q2 </t>
  </si>
  <si>
    <t xml:space="preserve">6M</t>
  </si>
  <si>
    <t xml:space="preserve">Q3</t>
  </si>
  <si>
    <t xml:space="preserve">9M</t>
  </si>
  <si>
    <t xml:space="preserve">Q4</t>
  </si>
  <si>
    <t xml:space="preserve">FY 2007</t>
  </si>
  <si>
    <t xml:space="preserve">FY 2008</t>
  </si>
  <si>
    <t xml:space="preserve">FY 2009</t>
  </si>
  <si>
    <t xml:space="preserve">FY 2010</t>
  </si>
  <si>
    <t xml:space="preserve">APR-JUN</t>
  </si>
  <si>
    <t xml:space="preserve">JUL-SEPT</t>
  </si>
  <si>
    <t xml:space="preserve">OCT-DEC</t>
  </si>
  <si>
    <t xml:space="preserve">JAN-MAR</t>
  </si>
  <si>
    <t xml:space="preserve">APR 1,2010-MAR 31,2011</t>
  </si>
  <si>
    <t xml:space="preserve">APR 1,2011-MAR 31,2012</t>
  </si>
  <si>
    <t xml:space="preserve">APR 1,2012-MAR 31,2013</t>
  </si>
  <si>
    <t xml:space="preserve">APR 1,2013-MAR 31,2014</t>
  </si>
  <si>
    <t xml:space="preserve">Net Sales/ Income from Operations</t>
  </si>
  <si>
    <t xml:space="preserve">Total Expenditure</t>
  </si>
  <si>
    <t xml:space="preserve">(Increase) / Decrease In Stock In Trade &amp; WIP</t>
  </si>
  <si>
    <t xml:space="preserve">Consumption of Raw Materials</t>
  </si>
  <si>
    <t xml:space="preserve">Employees Cost</t>
  </si>
  <si>
    <t xml:space="preserve">Other Expenditure</t>
  </si>
  <si>
    <t xml:space="preserve">Consumption of Materials/Purchase</t>
  </si>
  <si>
    <t xml:space="preserve">OPBDIT</t>
  </si>
  <si>
    <t xml:space="preserve">OP Margin</t>
  </si>
  <si>
    <t xml:space="preserve">Interest</t>
  </si>
  <si>
    <t xml:space="preserve">Depreciation</t>
  </si>
  <si>
    <t xml:space="preserve">PBT From Operations</t>
  </si>
  <si>
    <t xml:space="preserve">Other Income</t>
  </si>
  <si>
    <t xml:space="preserve">PBT &amp; Exceptional Item</t>
  </si>
  <si>
    <t xml:space="preserve">Exceptional Item</t>
  </si>
  <si>
    <t xml:space="preserve">Profit Before Tax</t>
  </si>
  <si>
    <t xml:space="preserve">Current Tax</t>
  </si>
  <si>
    <t xml:space="preserve">Deferred Tax</t>
  </si>
  <si>
    <t xml:space="preserve">Fringe Benefit Tax</t>
  </si>
  <si>
    <t xml:space="preserve">Profit After Tax</t>
  </si>
  <si>
    <t xml:space="preserve">NET PROFIT</t>
  </si>
  <si>
    <t xml:space="preserve">NO.OF EQUITY SHARES</t>
  </si>
  <si>
    <t xml:space="preserve">EPS Basic</t>
  </si>
  <si>
    <t xml:space="preserve">Other Selected Items and Ratios</t>
  </si>
  <si>
    <t xml:space="preserve">MAR '06 </t>
  </si>
  <si>
    <t xml:space="preserve">MAR '07</t>
  </si>
  <si>
    <t xml:space="preserve">MAR '08</t>
  </si>
  <si>
    <t xml:space="preserve">MAR '09</t>
  </si>
  <si>
    <t xml:space="preserve">MAR '10</t>
  </si>
  <si>
    <t xml:space="preserve">MAR '11</t>
  </si>
  <si>
    <t xml:space="preserve">MAR '12</t>
  </si>
  <si>
    <t xml:space="preserve">MAR '13</t>
  </si>
  <si>
    <t xml:space="preserve">MAR '14</t>
  </si>
  <si>
    <t xml:space="preserve">Cash and Bank balances</t>
  </si>
  <si>
    <t xml:space="preserve">CAPEX</t>
  </si>
  <si>
    <t xml:space="preserve">Total Debt</t>
  </si>
  <si>
    <t xml:space="preserve">Inventory Turnover</t>
  </si>
  <si>
    <t xml:space="preserve">Valuation Metrics</t>
  </si>
  <si>
    <t xml:space="preserve">Gross Profit Margin(%)</t>
  </si>
  <si>
    <t xml:space="preserve">EBITDA Margin (%)</t>
  </si>
  <si>
    <t xml:space="preserve">Net Profit Margin (%)</t>
  </si>
  <si>
    <t xml:space="preserve">BSE</t>
  </si>
  <si>
    <t xml:space="preserve">    ( Figures in Rs. Millions.)</t>
  </si>
  <si>
    <t xml:space="preserve">Y/Y (%) Growth</t>
  </si>
  <si>
    <t xml:space="preserve">Segment Revenue As % of Total Revenues</t>
  </si>
  <si>
    <t xml:space="preserve">Segment Results</t>
  </si>
  <si>
    <t xml:space="preserve">Other un-allocable expenditure net off un-allocable income</t>
  </si>
  <si>
    <t xml:space="preserve">Total Profit Before Tax</t>
  </si>
  <si>
    <t xml:space="preserve">CAPITAL EMPLOYED</t>
  </si>
  <si>
    <t xml:space="preserve">Other Unallocable Items</t>
  </si>
  <si>
    <t xml:space="preserve">INCOME STATEMENT</t>
  </si>
  <si>
    <t xml:space="preserve">JUL-SEP</t>
  </si>
  <si>
    <t xml:space="preserve">APR-MAR</t>
  </si>
  <si>
    <t xml:space="preserve">% full year</t>
  </si>
  <si>
    <t xml:space="preserve">% growth y-o-y</t>
  </si>
  <si>
    <t xml:space="preserve">% growth q-o-q</t>
  </si>
  <si>
    <t xml:space="preserve">% of Revenue</t>
  </si>
  <si>
    <t xml:space="preserve">% full year    (OR)      %Y-o-Y</t>
  </si>
  <si>
    <t xml:space="preserve">Eff tax rate - non deferred</t>
  </si>
  <si>
    <t xml:space="preserve">Eff tax rate (%)</t>
  </si>
  <si>
    <t xml:space="preserve">Prior Period Items</t>
  </si>
  <si>
    <t xml:space="preserve">Extraordinary Items</t>
  </si>
  <si>
    <t xml:space="preserve">Net Profit</t>
  </si>
  <si>
    <t xml:space="preserve">PAT(% of Sales)</t>
  </si>
  <si>
    <t xml:space="preserve">Equity</t>
  </si>
  <si>
    <t xml:space="preserve">No of Equity shares</t>
  </si>
  <si>
    <t xml:space="preserve">GAIL INDIA LTD.</t>
  </si>
  <si>
    <t xml:space="preserve">CASH FLOW STATEMENT</t>
  </si>
  <si>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'08</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</si>
  <si>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'09</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</si>
  <si>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'10</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</si>
  <si>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'11</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</si>
  <si>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'12</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</si>
  <si>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'13</t>
    </r>
  </si>
  <si>
    <r>
      <rPr>
        <b val="true"/>
        <sz val="8"/>
        <color rgb="FF000000"/>
        <rFont val="Arial Unicode MS"/>
        <family val="2"/>
      </rPr>
      <t xml:space="preserve">31</t>
    </r>
    <r>
      <rPr>
        <b val="true"/>
        <vertAlign val="superscript"/>
        <sz val="8"/>
        <color rgb="FF000000"/>
        <rFont val="Arial Unicode MS"/>
        <family val="2"/>
      </rPr>
      <t xml:space="preserve">st </t>
    </r>
    <r>
      <rPr>
        <b val="true"/>
        <sz val="8"/>
        <color rgb="FF000000"/>
        <rFont val="Arial Unicode MS"/>
        <family val="2"/>
      </rPr>
      <t xml:space="preserve">MAR '14</t>
    </r>
  </si>
  <si>
    <t xml:space="preserve">Particulars</t>
  </si>
  <si>
    <t xml:space="preserve">PBT</t>
  </si>
  <si>
    <t xml:space="preserve">Tax - non deferred</t>
  </si>
  <si>
    <t xml:space="preserve">PAT</t>
  </si>
  <si>
    <t xml:space="preserve">Operating Cash Flow</t>
  </si>
  <si>
    <t xml:space="preserve">Capex</t>
  </si>
  <si>
    <t xml:space="preserve">Net cash Flow</t>
  </si>
  <si>
    <t xml:space="preserve">Cash Flow / Share</t>
  </si>
  <si>
    <t xml:space="preserve">Dividend/dividend tax</t>
  </si>
  <si>
    <t xml:space="preserve">Increase in equity capital</t>
  </si>
  <si>
    <t xml:space="preserve"> </t>
  </si>
  <si>
    <t xml:space="preserve">Inc/(Dec) in Investments</t>
  </si>
  <si>
    <t xml:space="preserve">Inc/Dec in Net Working Capital</t>
  </si>
  <si>
    <t xml:space="preserve">Inc/Dec in loan funds</t>
  </si>
  <si>
    <t xml:space="preserve">Opening cash balance</t>
  </si>
  <si>
    <t xml:space="preserve">Total cash flow</t>
  </si>
  <si>
    <t xml:space="preserve">Closing cash balance</t>
  </si>
  <si>
    <t xml:space="preserve">BALANCESHEET</t>
  </si>
  <si>
    <t xml:space="preserve">31st MAR '06 </t>
  </si>
  <si>
    <t xml:space="preserve">SOURCES OF FUNDS</t>
  </si>
  <si>
    <t xml:space="preserve">Shareholder's funds</t>
  </si>
  <si>
    <r>
      <rPr>
        <b val="true"/>
        <sz val="9"/>
        <color rgb="FF000000"/>
        <rFont val="Calibri"/>
        <family val="2"/>
      </rPr>
      <t xml:space="preserve">Capital</t>
    </r>
    <r>
      <rPr>
        <sz val="9"/>
        <color rgb="FF000000"/>
        <rFont val="Calibri"/>
        <family val="2"/>
      </rPr>
      <t xml:space="preserve">:Issued, Subscribed &amp; Paid-up.</t>
    </r>
  </si>
  <si>
    <t xml:space="preserve">Reserves and Surplus:</t>
  </si>
  <si>
    <t xml:space="preserve">Capital Reserve</t>
  </si>
  <si>
    <t xml:space="preserve">Share Premium Account</t>
  </si>
  <si>
    <t xml:space="preserve">Investment Allowance Reserve</t>
  </si>
  <si>
    <t xml:space="preserve">Bonds Redemption Reserve</t>
  </si>
  <si>
    <t xml:space="preserve">Foreign Currency Translation Reserve</t>
  </si>
  <si>
    <t xml:space="preserve">General Reserve</t>
  </si>
  <si>
    <t xml:space="preserve">Profit and Loss A ccount</t>
  </si>
  <si>
    <t xml:space="preserve">Loan Funds</t>
  </si>
  <si>
    <t xml:space="preserve">Secured Loans</t>
  </si>
  <si>
    <t xml:space="preserve">Unsecured Loans</t>
  </si>
  <si>
    <t xml:space="preserve">Deferred Tax Liability (Net)</t>
  </si>
  <si>
    <t xml:space="preserve">TOTAL</t>
  </si>
  <si>
    <t xml:space="preserve">APPLICATION OF FUNDS</t>
  </si>
  <si>
    <t xml:space="preserve">Fixed Assets</t>
  </si>
  <si>
    <t xml:space="preserve">               Gross Block</t>
  </si>
  <si>
    <t xml:space="preserve">               Less: Depreciation</t>
  </si>
  <si>
    <t xml:space="preserve">NET BLOCK</t>
  </si>
  <si>
    <t xml:space="preserve">Capital Work -in- Progress</t>
  </si>
  <si>
    <t xml:space="preserve">Investments</t>
  </si>
  <si>
    <t xml:space="preserve">Advances For Investment (Pending Allotment)</t>
  </si>
  <si>
    <t xml:space="preserve">Current Assets, Loans and Advances</t>
  </si>
  <si>
    <t xml:space="preserve">Inventories</t>
  </si>
  <si>
    <t xml:space="preserve">Sundry Debtors</t>
  </si>
  <si>
    <t xml:space="preserve">Other Current Assets</t>
  </si>
  <si>
    <t xml:space="preserve">Loans and Advances</t>
  </si>
  <si>
    <t xml:space="preserve">Less: Current Liabilities and Provisions</t>
  </si>
  <si>
    <t xml:space="preserve">Current Liabilities:</t>
  </si>
  <si>
    <t xml:space="preserve">Sundry Creditors</t>
  </si>
  <si>
    <t xml:space="preserve">Deposits/Retention Money from Contractors and Others</t>
  </si>
  <si>
    <t xml:space="preserve">Other Liabilities</t>
  </si>
  <si>
    <t xml:space="preserve">Gas Pool Money</t>
  </si>
  <si>
    <t xml:space="preserve">Unclaimed Dividend</t>
  </si>
  <si>
    <t xml:space="preserve">Interest Accrued But not due</t>
  </si>
  <si>
    <t xml:space="preserve">Provisions:</t>
  </si>
  <si>
    <t xml:space="preserve">Provision for Taxation(FBT) </t>
  </si>
  <si>
    <t xml:space="preserve">Provision for Proposed dividend</t>
  </si>
  <si>
    <t xml:space="preserve">Provision for Corporate Dividend Tax</t>
  </si>
  <si>
    <t xml:space="preserve">Provision for Leave Encashment &amp; Post Retirement Medical Benefits</t>
  </si>
  <si>
    <t xml:space="preserve">Net current Assets</t>
  </si>
  <si>
    <t xml:space="preserve">DEBT SCHEDULE</t>
  </si>
  <si>
    <t xml:space="preserve">FY 2006-07 A</t>
  </si>
  <si>
    <t xml:space="preserve">FY 2008 A</t>
  </si>
  <si>
    <t xml:space="preserve">FY 2009 A</t>
  </si>
  <si>
    <t xml:space="preserve">FY 2010 E</t>
  </si>
  <si>
    <t xml:space="preserve">FY 2011 E</t>
  </si>
  <si>
    <t xml:space="preserve">FY 2012 E</t>
  </si>
  <si>
    <t xml:space="preserve">FY 2013 E</t>
  </si>
  <si>
    <t xml:space="preserve">FY 2014 E</t>
  </si>
  <si>
    <t xml:space="preserve">SECURED LOANS</t>
  </si>
  <si>
    <t xml:space="preserve">BOND SERIES-I</t>
  </si>
  <si>
    <t xml:space="preserve">6.10% Non-Convertible Redeemable Bonds</t>
  </si>
  <si>
    <t xml:space="preserve">BOND SERIES-II</t>
  </si>
  <si>
    <t xml:space="preserve">5.85% Secure Non-Convertible Redeemable Bonds</t>
  </si>
  <si>
    <t xml:space="preserve">UNSECURED LOANS</t>
  </si>
  <si>
    <t xml:space="preserve">OTHER LOANS &amp; ADVANCES</t>
  </si>
  <si>
    <t xml:space="preserve">  From Banks:</t>
  </si>
  <si>
    <t xml:space="preserve">   State Bank Of India, London</t>
  </si>
  <si>
    <t xml:space="preserve">  From Others:</t>
  </si>
  <si>
    <t xml:space="preserve">       Oil Industry Development Board</t>
  </si>
  <si>
    <t xml:space="preserve">TOTAL DEBT</t>
  </si>
  <si>
    <t xml:space="preserve">Valuation</t>
  </si>
  <si>
    <t xml:space="preserve">(in Rs. Crores)</t>
  </si>
  <si>
    <t xml:space="preserve">Growth Assumptions</t>
  </si>
  <si>
    <t xml:space="preserve">Enterpsire Value (EV)</t>
  </si>
  <si>
    <t xml:space="preserve">Debt Equity Weightage</t>
  </si>
  <si>
    <t xml:space="preserve">Long term World GDP growth rate</t>
  </si>
  <si>
    <t xml:space="preserve">E/(D+E) @ Enterprise Value</t>
  </si>
  <si>
    <t xml:space="preserve">D/(D+E) @ Enterprise Value</t>
  </si>
  <si>
    <t xml:space="preserve">Diluted Shares</t>
  </si>
  <si>
    <t xml:space="preserve">CAPM Assumptions</t>
  </si>
  <si>
    <t xml:space="preserve">Market Capitalisation</t>
  </si>
  <si>
    <t xml:space="preserve">Interest Rate (%)</t>
  </si>
  <si>
    <t xml:space="preserve">Ke</t>
  </si>
  <si>
    <t xml:space="preserve">Long Term Liabilities</t>
  </si>
  <si>
    <t xml:space="preserve">Tax Rate (%)</t>
  </si>
  <si>
    <t xml:space="preserve">RFR</t>
  </si>
  <si>
    <t xml:space="preserve">Less: Cash &amp; Cash Equivalents</t>
  </si>
  <si>
    <t xml:space="preserve">Beta</t>
  </si>
  <si>
    <t xml:space="preserve">Net Debt</t>
  </si>
  <si>
    <t xml:space="preserve">WACC Calculation</t>
  </si>
  <si>
    <t xml:space="preserve">Rp</t>
  </si>
  <si>
    <t xml:space="preserve">Enterprise Value (EV)</t>
  </si>
  <si>
    <t xml:space="preserve">WACC</t>
  </si>
  <si>
    <t xml:space="preserve">Calculation of Free Cash Flow</t>
  </si>
  <si>
    <t xml:space="preserve">Explicit Forecast Period</t>
  </si>
  <si>
    <t xml:space="preserve">First Stage of Valuation</t>
  </si>
  <si>
    <t xml:space="preserve">Second Stage of Valuation</t>
  </si>
  <si>
    <t xml:space="preserve">2009A</t>
  </si>
  <si>
    <t xml:space="preserve">2010E</t>
  </si>
  <si>
    <t xml:space="preserve">2011E</t>
  </si>
  <si>
    <t xml:space="preserve">2012E</t>
  </si>
  <si>
    <t xml:space="preserve">2013E</t>
  </si>
  <si>
    <t xml:space="preserve">2014E</t>
  </si>
  <si>
    <t xml:space="preserve">2015E</t>
  </si>
  <si>
    <t xml:space="preserve">2016E</t>
  </si>
  <si>
    <t xml:space="preserve">2017E</t>
  </si>
  <si>
    <t xml:space="preserve">Terminal Year</t>
  </si>
  <si>
    <t xml:space="preserve">Revenues</t>
  </si>
  <si>
    <t xml:space="preserve">EBITDA</t>
  </si>
  <si>
    <t xml:space="preserve">EBIT</t>
  </si>
  <si>
    <t xml:space="preserve">Tax Expense</t>
  </si>
  <si>
    <t xml:space="preserve">Net Operating Profit After Tax</t>
  </si>
  <si>
    <t xml:space="preserve">Depreciation &amp; Amortisation</t>
  </si>
  <si>
    <t xml:space="preserve">Working Capital Change</t>
  </si>
  <si>
    <t xml:space="preserve">FCF</t>
  </si>
  <si>
    <t xml:space="preserve">Projection Year</t>
  </si>
  <si>
    <t xml:space="preserve">Discount Factor</t>
  </si>
  <si>
    <t xml:space="preserve">Present Value of FCF</t>
  </si>
  <si>
    <t xml:space="preserve">Y/Y Growth Analysis</t>
  </si>
  <si>
    <t xml:space="preserve">Margin Analysis (As % of Revenues)</t>
  </si>
  <si>
    <t xml:space="preserve">EBITA Margin</t>
  </si>
  <si>
    <t xml:space="preserve">EBIT Margin</t>
  </si>
  <si>
    <t xml:space="preserve">Tax Rate (Tax Expense/EBIT)</t>
  </si>
  <si>
    <t xml:space="preserve">Terminal Value</t>
  </si>
  <si>
    <t xml:space="preserve">Calculated Equity Value</t>
  </si>
  <si>
    <t xml:space="preserve">Intrinsic Value</t>
  </si>
  <si>
    <t xml:space="preserve">Sum of PV of FCF for explicit forecast</t>
  </si>
  <si>
    <t xml:space="preserve">Enterprise Value</t>
  </si>
  <si>
    <t xml:space="preserve">Equity Value</t>
  </si>
  <si>
    <t xml:space="preserve">-   Debt</t>
  </si>
  <si>
    <t xml:space="preserve">Long term growth in EBIT</t>
  </si>
  <si>
    <t xml:space="preserve">+  Cash</t>
  </si>
  <si>
    <t xml:space="preserve">Present Value of terminal value</t>
  </si>
  <si>
    <t xml:space="preserve">Terminal Value as % of Total Value</t>
  </si>
  <si>
    <t xml:space="preserve">Sensitivity - Varying Terminal Growth Rate</t>
  </si>
  <si>
    <t xml:space="preserve">PV of Terminal Value</t>
  </si>
  <si>
    <t xml:space="preserve">PV of FCF</t>
  </si>
  <si>
    <t xml:space="preserve">Sensitivity - EV/EBITDA Exit Multiple</t>
  </si>
  <si>
    <t xml:space="preserve">PV of Terminal Value (EV/EBITDA)</t>
  </si>
  <si>
    <t xml:space="preserve">RATIO ANALYSIS</t>
  </si>
  <si>
    <t xml:space="preserve">GEARING %</t>
  </si>
  <si>
    <t xml:space="preserve">DEBT EQUITY</t>
  </si>
  <si>
    <t xml:space="preserve">CURRENT RATIO</t>
  </si>
  <si>
    <t xml:space="preserve">ASSET TURNOVER</t>
  </si>
  <si>
    <t xml:space="preserve">RONW(%)</t>
  </si>
  <si>
    <t xml:space="preserve">ROCE(%)</t>
  </si>
  <si>
    <t xml:space="preserve">OPM(%)</t>
  </si>
  <si>
    <t xml:space="preserve">NPM(%)</t>
  </si>
  <si>
    <t xml:space="preserve">Effective Interest Rate</t>
  </si>
  <si>
    <t xml:space="preserve">Effective Tax Rate(%)</t>
  </si>
  <si>
    <t xml:space="preserve">Cash/Net Assets</t>
  </si>
  <si>
    <t xml:space="preserve">Other Income/PBT</t>
  </si>
  <si>
    <t xml:space="preserve">Interest Coverage</t>
  </si>
  <si>
    <t xml:space="preserve">Growth in Gross Block</t>
  </si>
  <si>
    <t xml:space="preserve">Sales Growth</t>
  </si>
  <si>
    <t xml:space="preserve">Operating Profit Growth</t>
  </si>
  <si>
    <t xml:space="preserve">Net Current Assets/Sales</t>
  </si>
  <si>
    <t xml:space="preserve">Tax Rate Non-Deferred</t>
  </si>
  <si>
    <t xml:space="preserve">PBT From Operations Growth</t>
  </si>
  <si>
    <t xml:space="preserve">EPS Growth</t>
  </si>
</sst>
</file>

<file path=xl/styles.xml><?xml version="1.0" encoding="utf-8"?>
<styleSheet xmlns="http://schemas.openxmlformats.org/spreadsheetml/2006/main">
  <numFmts count="45">
    <numFmt numFmtId="164" formatCode="General"/>
    <numFmt numFmtId="165" formatCode="0.00_)"/>
    <numFmt numFmtId="166" formatCode="_(* #,##0_);_(* \(#,##0\);_(* &quot;&quot;_);_(@_)"/>
    <numFmt numFmtId="167" formatCode="0"/>
    <numFmt numFmtId="168" formatCode="_(* #,##0.00_);_(* \(#,##0.00\);_(* \-??_);_(@_)"/>
    <numFmt numFmtId="169" formatCode="0.00_);\(0.00\);0.00"/>
    <numFmt numFmtId="170" formatCode="d/mmm/yy"/>
    <numFmt numFmtId="171" formatCode="@"/>
    <numFmt numFmtId="172" formatCode="_([$€-2]* #,##0.00_);_([$€-2]* \(#,##0.00\);_([$€-2]* \-??_)"/>
    <numFmt numFmtId="173" formatCode="0.00"/>
    <numFmt numFmtId="174" formatCode="#,##0.0000\ ;\(#,##0.0000\)"/>
    <numFmt numFmtId="175" formatCode="[$-409]#,##0_);\(#,##0\)"/>
    <numFmt numFmtId="176" formatCode="General_)"/>
    <numFmt numFmtId="177" formatCode="#,##0.0_);\(#,##0.0\)"/>
    <numFmt numFmtId="178" formatCode="#,##0_);[MAGENTA]\(#,##0\)"/>
    <numFmt numFmtId="179" formatCode="0.00_);\(0.00\);0.00_)"/>
    <numFmt numFmtId="180" formatCode="[$-409]#,##0.00_);[RED]\(#,##0.00\)"/>
    <numFmt numFmtId="181" formatCode="[$-409]#,##0_);[RED]\(#,##0\)"/>
    <numFmt numFmtId="182" formatCode="0%"/>
    <numFmt numFmtId="183" formatCode="0.00\%;\-0.00\%;0.00\%"/>
    <numFmt numFmtId="184" formatCode="0.00;\-0.00;0.00"/>
    <numFmt numFmtId="185" formatCode="0.00\x;\-0.00\x;0.00\x"/>
    <numFmt numFmtId="186" formatCode="##0.00000"/>
    <numFmt numFmtId="187" formatCode="General;\-General;General"/>
    <numFmt numFmtId="188" formatCode="#,##0.000\ ;\(#,##0.000\)"/>
    <numFmt numFmtId="189" formatCode="#,##0.00\ ;\(#,##0.00\)"/>
    <numFmt numFmtId="190" formatCode="_(* #,##0_);_(* \(#,##0\);_(* \-??_);_(@_)"/>
    <numFmt numFmtId="191" formatCode="\$#,##0.00_);&quot;($&quot;#,##0.00\)"/>
    <numFmt numFmtId="192" formatCode="_(* #,##0.0_);_(* \(#,##0.0\);_(* \-??_);_(@_)"/>
    <numFmt numFmtId="193" formatCode="[$-409]d\-mmm;@"/>
    <numFmt numFmtId="194" formatCode="#,##0.0;\(#,##0.0\)"/>
    <numFmt numFmtId="195" formatCode="#,##0.00;\(#,##0.00\)"/>
    <numFmt numFmtId="196" formatCode="0.00%"/>
    <numFmt numFmtId="197" formatCode="0.0000%"/>
    <numFmt numFmtId="198" formatCode="General"/>
    <numFmt numFmtId="199" formatCode="[$-409]mmm\-yy"/>
    <numFmt numFmtId="200" formatCode="[$-809]dd\ mmmm\ yyyy;@"/>
    <numFmt numFmtId="201" formatCode="#,##0"/>
    <numFmt numFmtId="202" formatCode="#,##0.00"/>
    <numFmt numFmtId="203" formatCode="0.0"/>
    <numFmt numFmtId="204" formatCode="_ [$रु-439]\ * #,##0.00_ ;_ [$रु-439]\ * \-#,##0.00_ ;_ [$रु-439]\ * \-??_ ;_ @_ "/>
    <numFmt numFmtId="205" formatCode="0.0%"/>
    <numFmt numFmtId="206" formatCode="0.000%"/>
    <numFmt numFmtId="207" formatCode="[$-409]#,##0.00_);\(#,##0.00\)"/>
    <numFmt numFmtId="208" formatCode="0.000"/>
  </numFmts>
  <fonts count="172">
    <font>
      <sz val="11"/>
      <color rgb="FF000000"/>
      <name val="Calibri"/>
      <family val="2"/>
    </font>
    <font>
      <sz val="10"/>
      <name val="Arial"/>
      <family val="0"/>
    </font>
    <font>
      <sz val="10"/>
      <name val="Arial"/>
      <family val="0"/>
    </font>
    <font>
      <sz val="10"/>
      <name val="Arial"/>
      <family val="0"/>
    </font>
    <font>
      <sz val="10"/>
      <name val="Arial"/>
      <family val="2"/>
    </font>
    <font>
      <sz val="10"/>
      <name val="Courier New"/>
      <family val="3"/>
    </font>
    <font>
      <b val="true"/>
      <sz val="10"/>
      <name val="Arial"/>
      <family val="2"/>
    </font>
    <font>
      <b val="true"/>
      <sz val="6"/>
      <name val="Arial"/>
      <family val="2"/>
    </font>
    <font>
      <b val="true"/>
      <sz val="8"/>
      <name val="Arial"/>
      <family val="2"/>
    </font>
    <font>
      <i val="true"/>
      <sz val="8"/>
      <name val="Arial"/>
      <family val="2"/>
    </font>
    <font>
      <sz val="8"/>
      <name val="Arial"/>
      <family val="2"/>
    </font>
    <font>
      <sz val="8"/>
      <color rgb="FF0000FF"/>
      <name val="Times New Roman"/>
      <family val="1"/>
    </font>
    <font>
      <sz val="10"/>
      <color rgb="FF000080"/>
      <name val="Times New Roman"/>
      <family val="1"/>
    </font>
    <font>
      <sz val="16"/>
      <name val="Arial"/>
      <family val="2"/>
    </font>
    <font>
      <sz val="10"/>
      <name val="MS Sans Serif"/>
      <family val="2"/>
    </font>
    <font>
      <sz val="24"/>
      <name val="MS Sans Serif"/>
      <family val="2"/>
    </font>
    <font>
      <sz val="16"/>
      <color rgb="FF993366"/>
      <name val="Century Schoolbook"/>
      <family val="1"/>
    </font>
    <font>
      <sz val="12"/>
      <name val="Arial"/>
      <family val="0"/>
    </font>
    <font>
      <sz val="12"/>
      <name val="Times New Roman"/>
      <family val="0"/>
    </font>
    <font>
      <sz val="8"/>
      <name val="Times New Roman"/>
      <family val="1"/>
    </font>
    <font>
      <b val="true"/>
      <sz val="10"/>
      <color rgb="FF0000FF"/>
      <name val="Arial"/>
      <family val="2"/>
    </font>
    <font>
      <sz val="10"/>
      <color rgb="FF008000"/>
      <name val="Arial"/>
      <family val="2"/>
    </font>
    <font>
      <sz val="8"/>
      <color rgb="FFFF00FF"/>
      <name val="Times New Roman"/>
      <family val="1"/>
    </font>
    <font>
      <sz val="11"/>
      <name val="Arial"/>
      <family val="2"/>
    </font>
    <font>
      <i val="true"/>
      <sz val="10"/>
      <name val="Arial"/>
      <family val="2"/>
    </font>
    <font>
      <sz val="9"/>
      <name val="Arial"/>
      <family val="2"/>
    </font>
    <font>
      <b val="true"/>
      <sz val="10"/>
      <name val="MS Sans Serif"/>
      <family val="2"/>
    </font>
    <font>
      <b val="true"/>
      <sz val="14"/>
      <name val="Arial"/>
      <family val="0"/>
    </font>
    <font>
      <sz val="10"/>
      <name val="Times New Roman"/>
      <family val="1"/>
    </font>
    <font>
      <sz val="9"/>
      <color rgb="FF0000FF"/>
      <name val="Times New Roman"/>
      <family val="1"/>
    </font>
    <font>
      <b val="true"/>
      <i val="true"/>
      <sz val="16"/>
      <name val="Arial"/>
      <family val="0"/>
    </font>
    <font>
      <b val="true"/>
      <sz val="9"/>
      <name val="Arial"/>
      <family val="2"/>
    </font>
    <font>
      <i val="true"/>
      <sz val="14"/>
      <name val="Arial"/>
      <family val="2"/>
    </font>
    <font>
      <sz val="12"/>
      <name val="Arial"/>
      <family val="2"/>
    </font>
    <font>
      <i val="true"/>
      <sz val="11"/>
      <name val="Arial"/>
      <family val="2"/>
    </font>
    <font>
      <b val="true"/>
      <sz val="10"/>
      <color rgb="FF000000"/>
      <name val="Arial"/>
      <family val="2"/>
    </font>
    <font>
      <sz val="10"/>
      <color rgb="FF000000"/>
      <name val="Arial"/>
      <family val="2"/>
    </font>
    <font>
      <b val="true"/>
      <sz val="16"/>
      <color rgb="FF808080"/>
      <name val="Arial"/>
      <family val="2"/>
    </font>
    <font>
      <sz val="10"/>
      <color rgb="FF0000FF"/>
      <name val="MS Sans Serif"/>
      <family val="2"/>
    </font>
    <font>
      <b val="true"/>
      <sz val="12"/>
      <name val="MS Sans Serif"/>
      <family val="2"/>
    </font>
    <font>
      <sz val="10"/>
      <name val="Helvetica 45 Light"/>
      <family val="2"/>
    </font>
    <font>
      <b val="true"/>
      <sz val="10"/>
      <color rgb="FF000080"/>
      <name val="Symbol"/>
      <family val="1"/>
      <charset val="2"/>
    </font>
    <font>
      <b val="true"/>
      <u val="single"/>
      <sz val="10"/>
      <name val="Arial Narrow"/>
      <family val="2"/>
    </font>
    <font>
      <sz val="24"/>
      <color rgb="FFFFFF00"/>
      <name val="Arial"/>
      <family val="0"/>
    </font>
    <font>
      <sz val="12"/>
      <color rgb="FFFFFF00"/>
      <name val="Arial"/>
      <family val="0"/>
    </font>
    <font>
      <b val="true"/>
      <sz val="13"/>
      <color rgb="FF333399"/>
      <name val="Arial"/>
      <family val="2"/>
    </font>
    <font>
      <b val="true"/>
      <sz val="12"/>
      <name val="Arial"/>
      <family val="0"/>
    </font>
    <font>
      <b val="true"/>
      <sz val="8"/>
      <color rgb="FF000000"/>
      <name val="Wingdings"/>
      <family val="0"/>
      <charset val="2"/>
    </font>
    <font>
      <b val="true"/>
      <sz val="8"/>
      <color rgb="FFFF0000"/>
      <name val="Wingdings"/>
      <family val="0"/>
      <charset val="2"/>
    </font>
    <font>
      <b val="true"/>
      <sz val="8"/>
      <color rgb="FFFFFFFF"/>
      <name val="Wingdings"/>
      <family val="0"/>
      <charset val="2"/>
    </font>
    <font>
      <b val="true"/>
      <u val="single"/>
      <sz val="22"/>
      <color rgb="FF333333"/>
      <name val="Calibri"/>
      <family val="2"/>
    </font>
    <font>
      <b val="true"/>
      <sz val="32"/>
      <color rgb="FF808080"/>
      <name val="Calibri"/>
      <family val="2"/>
    </font>
    <font>
      <b val="true"/>
      <sz val="11"/>
      <color rgb="FF333333"/>
      <name val="Calibri"/>
      <family val="2"/>
    </font>
    <font>
      <u val="single"/>
      <sz val="11"/>
      <color rgb="FF0000FF"/>
      <name val="Calibri"/>
      <family val="2"/>
    </font>
    <font>
      <b val="true"/>
      <sz val="9"/>
      <color rgb="FF333333"/>
      <name val="Tahoma"/>
      <family val="2"/>
    </font>
    <font>
      <sz val="9"/>
      <color rgb="FF333333"/>
      <name val="Tahoma"/>
      <family val="2"/>
    </font>
    <font>
      <b val="true"/>
      <sz val="14"/>
      <color rgb="FF993300"/>
      <name val="Arial"/>
      <family val="2"/>
    </font>
    <font>
      <u val="single"/>
      <sz val="10"/>
      <color rgb="FF0000FF"/>
      <name val="Arial"/>
      <family val="2"/>
    </font>
    <font>
      <b val="true"/>
      <u val="single"/>
      <sz val="12"/>
      <name val="Trebuchet MS"/>
      <family val="2"/>
    </font>
    <font>
      <b val="true"/>
      <sz val="10"/>
      <name val="Trebuchet MS"/>
      <family val="2"/>
    </font>
    <font>
      <sz val="10"/>
      <name val="Trebuchet MS"/>
      <family val="2"/>
    </font>
    <font>
      <b val="true"/>
      <sz val="10"/>
      <color rgb="FF000000"/>
      <name val="Calibri"/>
      <family val="2"/>
    </font>
    <font>
      <b val="true"/>
      <sz val="10"/>
      <color rgb="FFFFFFFF"/>
      <name val="Trebuchet MS"/>
      <family val="2"/>
    </font>
    <font>
      <b val="true"/>
      <sz val="10"/>
      <name val="Calibri"/>
      <family val="2"/>
    </font>
    <font>
      <b val="true"/>
      <sz val="8"/>
      <name val="Trebuchet MS"/>
      <family val="2"/>
    </font>
    <font>
      <b val="true"/>
      <sz val="8"/>
      <name val="Calibri"/>
      <family val="2"/>
    </font>
    <font>
      <sz val="11"/>
      <color rgb="FF000000"/>
      <name val="Georgia"/>
      <family val="1"/>
    </font>
    <font>
      <sz val="8"/>
      <color rgb="FF000000"/>
      <name val="Calibri"/>
      <family val="2"/>
    </font>
    <font>
      <b val="true"/>
      <sz val="8"/>
      <color rgb="FF000000"/>
      <name val="Arial Unicode MS"/>
      <family val="2"/>
    </font>
    <font>
      <sz val="11"/>
      <color rgb="FF000000"/>
      <name val="Arial Unicode MS"/>
      <family val="2"/>
    </font>
    <font>
      <b val="true"/>
      <sz val="8"/>
      <color rgb="FF0000FF"/>
      <name val="Calibri"/>
      <family val="2"/>
    </font>
    <font>
      <b val="true"/>
      <u val="single"/>
      <sz val="10"/>
      <name val="Calibri"/>
      <family val="2"/>
    </font>
    <font>
      <sz val="8"/>
      <color rgb="FF000000"/>
      <name val="Arial Unicode MS"/>
      <family val="2"/>
    </font>
    <font>
      <sz val="8"/>
      <name val="Calibri"/>
      <family val="2"/>
    </font>
    <font>
      <b val="true"/>
      <sz val="9"/>
      <name val="Calibri"/>
      <family val="2"/>
    </font>
    <font>
      <b val="true"/>
      <sz val="8"/>
      <color rgb="FFFFFFFF"/>
      <name val="Calibri"/>
      <family val="2"/>
    </font>
    <font>
      <sz val="8"/>
      <color rgb="FF003366"/>
      <name val="Arial"/>
      <family val="2"/>
    </font>
    <font>
      <b val="true"/>
      <sz val="8"/>
      <color rgb="FF000000"/>
      <name val="Calibri"/>
      <family val="2"/>
    </font>
    <font>
      <b val="true"/>
      <sz val="8"/>
      <color rgb="FF003366"/>
      <name val="Arial"/>
      <family val="2"/>
    </font>
    <font>
      <b val="true"/>
      <sz val="11"/>
      <color rgb="FF000000"/>
      <name val="Calibri"/>
      <family val="2"/>
    </font>
    <font>
      <sz val="8"/>
      <color rgb="FF003366"/>
      <name val="Calibri"/>
      <family val="2"/>
    </font>
    <font>
      <b val="true"/>
      <sz val="8"/>
      <color rgb="FF003366"/>
      <name val="Calibri"/>
      <family val="2"/>
    </font>
    <font>
      <sz val="8"/>
      <color rgb="FF000000"/>
      <name val="Georgia"/>
      <family val="1"/>
    </font>
    <font>
      <b val="true"/>
      <sz val="10"/>
      <color rgb="FFCCFFFF"/>
      <name val="Calibri"/>
      <family val="2"/>
    </font>
    <font>
      <b val="true"/>
      <u val="single"/>
      <sz val="16"/>
      <name val="Trebuchet MS"/>
      <family val="2"/>
    </font>
    <font>
      <b val="true"/>
      <sz val="11"/>
      <name val="Calibri"/>
      <family val="2"/>
    </font>
    <font>
      <b val="true"/>
      <sz val="12"/>
      <name val="Calibri"/>
      <family val="2"/>
    </font>
    <font>
      <b val="true"/>
      <sz val="9"/>
      <name val="Trebuchet MS"/>
      <family val="2"/>
    </font>
    <font>
      <sz val="9"/>
      <name val="Calibri"/>
      <family val="2"/>
    </font>
    <font>
      <sz val="8"/>
      <color rgb="FF000000"/>
      <name val="Cambria"/>
      <family val="1"/>
    </font>
    <font>
      <sz val="9"/>
      <color rgb="FF000000"/>
      <name val="Arial Unicode MS"/>
      <family val="2"/>
    </font>
    <font>
      <sz val="9"/>
      <color rgb="FF0066CC"/>
      <name val="Calibri"/>
      <family val="2"/>
    </font>
    <font>
      <sz val="9"/>
      <color rgb="FF000000"/>
      <name val="Calibri"/>
      <family val="2"/>
    </font>
    <font>
      <b val="true"/>
      <sz val="18"/>
      <name val="Trebuchet MS"/>
      <family val="2"/>
    </font>
    <font>
      <b val="true"/>
      <sz val="16"/>
      <name val="Trebuchet MS"/>
      <family val="2"/>
    </font>
    <font>
      <b val="true"/>
      <u val="single"/>
      <sz val="9"/>
      <name val="Trebuchet MS"/>
      <family val="2"/>
    </font>
    <font>
      <b val="true"/>
      <u val="single"/>
      <sz val="9"/>
      <color rgb="FF000000"/>
      <name val="Trebuchet MS"/>
      <family val="2"/>
    </font>
    <font>
      <b val="true"/>
      <i val="true"/>
      <sz val="9"/>
      <name val="Trebuchet MS"/>
      <family val="2"/>
    </font>
    <font>
      <b val="true"/>
      <sz val="9"/>
      <color rgb="FF000000"/>
      <name val="Trebuchet MS"/>
      <family val="2"/>
    </font>
    <font>
      <sz val="9"/>
      <name val="Trebuchet MS"/>
      <family val="2"/>
    </font>
    <font>
      <sz val="11"/>
      <name val="Calibri"/>
      <family val="2"/>
    </font>
    <font>
      <b val="true"/>
      <u val="single"/>
      <sz val="12"/>
      <name val="Arial Unicode MS"/>
      <family val="2"/>
    </font>
    <font>
      <b val="true"/>
      <sz val="8"/>
      <color rgb="FFFFFFCC"/>
      <name val="Calibri"/>
      <family val="2"/>
    </font>
    <font>
      <b val="true"/>
      <sz val="8"/>
      <color rgb="FF000000"/>
      <name val="Tahoma"/>
      <family val="2"/>
    </font>
    <font>
      <sz val="9"/>
      <color rgb="FF000000"/>
      <name val="Tahoma"/>
      <family val="2"/>
    </font>
    <font>
      <b val="true"/>
      <sz val="9"/>
      <color rgb="FF000000"/>
      <name val="Tahoma"/>
      <family val="2"/>
    </font>
    <font>
      <i val="true"/>
      <sz val="9"/>
      <name val="Trebuchet MS"/>
      <family val="2"/>
    </font>
    <font>
      <sz val="10"/>
      <color rgb="FF000000"/>
      <name val="Calibri"/>
      <family val="2"/>
    </font>
    <font>
      <b val="true"/>
      <sz val="10"/>
      <name val="바탕"/>
      <family val="1"/>
    </font>
    <font>
      <sz val="9"/>
      <color rgb="FF000000"/>
      <name val="Trebuchet MS"/>
      <family val="2"/>
    </font>
    <font>
      <b val="true"/>
      <u val="single"/>
      <sz val="8"/>
      <name val="Baskerville Old Face"/>
      <family val="1"/>
    </font>
    <font>
      <b val="true"/>
      <sz val="9"/>
      <name val="Baskerville Old Face"/>
      <family val="1"/>
    </font>
    <font>
      <b val="true"/>
      <sz val="9"/>
      <name val="Cambria"/>
      <family val="1"/>
    </font>
    <font>
      <b val="true"/>
      <sz val="9"/>
      <color rgb="FF000000"/>
      <name val="Cambria"/>
      <family val="1"/>
    </font>
    <font>
      <sz val="9"/>
      <color rgb="FF0000FF"/>
      <name val="Baskerville Old Face"/>
      <family val="1"/>
    </font>
    <font>
      <sz val="9"/>
      <color rgb="FF0000FF"/>
      <name val="Cambria"/>
      <family val="1"/>
    </font>
    <font>
      <sz val="9"/>
      <color rgb="FF0000FF"/>
      <name val="Trebuchet MS"/>
      <family val="2"/>
    </font>
    <font>
      <sz val="9"/>
      <name val="Baskerville Old Face"/>
      <family val="1"/>
    </font>
    <font>
      <sz val="9"/>
      <name val="Cambria"/>
      <family val="1"/>
    </font>
    <font>
      <i val="true"/>
      <sz val="9"/>
      <color rgb="FFFF0000"/>
      <name val="Baskerville Old Face"/>
      <family val="1"/>
    </font>
    <font>
      <i val="true"/>
      <sz val="9"/>
      <color rgb="FFFF0000"/>
      <name val="Cambria"/>
      <family val="1"/>
    </font>
    <font>
      <b val="true"/>
      <i val="true"/>
      <sz val="9"/>
      <color rgb="FFFF0000"/>
      <name val="Trebuchet MS"/>
      <family val="2"/>
    </font>
    <font>
      <sz val="9"/>
      <color rgb="FFFF0000"/>
      <name val="Trebuchet MS"/>
      <family val="2"/>
    </font>
    <font>
      <b val="true"/>
      <i val="true"/>
      <sz val="9"/>
      <name val="Baskerville Old Face"/>
      <family val="1"/>
    </font>
    <font>
      <b val="true"/>
      <i val="true"/>
      <sz val="9"/>
      <name val="Cambria"/>
      <family val="1"/>
    </font>
    <font>
      <i val="true"/>
      <sz val="9"/>
      <name val="Cambria"/>
      <family val="1"/>
    </font>
    <font>
      <b val="true"/>
      <sz val="12"/>
      <name val="Cambria"/>
      <family val="1"/>
    </font>
    <font>
      <b val="true"/>
      <sz val="11"/>
      <name val="Arial Unicode MS"/>
      <family val="2"/>
    </font>
    <font>
      <b val="true"/>
      <u val="single"/>
      <sz val="9"/>
      <color rgb="FF000000"/>
      <name val="Cambria"/>
      <family val="1"/>
    </font>
    <font>
      <b val="true"/>
      <u val="single"/>
      <sz val="9"/>
      <name val="Calibri"/>
      <family val="2"/>
    </font>
    <font>
      <b val="true"/>
      <vertAlign val="superscript"/>
      <sz val="8"/>
      <color rgb="FF000000"/>
      <name val="Arial Unicode MS"/>
      <family val="2"/>
    </font>
    <font>
      <b val="true"/>
      <sz val="10"/>
      <name val="Times New Roman"/>
      <family val="1"/>
    </font>
    <font>
      <sz val="8"/>
      <name val="Baskerville Old Face"/>
      <family val="1"/>
    </font>
    <font>
      <sz val="8"/>
      <name val="Cambria"/>
      <family val="1"/>
    </font>
    <font>
      <b val="true"/>
      <sz val="8"/>
      <name val="Baskerville Old Face"/>
      <family val="1"/>
    </font>
    <font>
      <b val="true"/>
      <sz val="8"/>
      <name val="Cambria"/>
      <family val="1"/>
    </font>
    <font>
      <sz val="8"/>
      <color rgb="FFFF0000"/>
      <name val="Cambria"/>
      <family val="1"/>
    </font>
    <font>
      <sz val="10"/>
      <color rgb="FFFF0000"/>
      <name val="Times New Roman"/>
      <family val="1"/>
    </font>
    <font>
      <b val="true"/>
      <sz val="8"/>
      <color rgb="FFFF0000"/>
      <name val="Cambria"/>
      <family val="1"/>
    </font>
    <font>
      <b val="true"/>
      <sz val="10"/>
      <color rgb="FFFF0000"/>
      <name val="Times New Roman"/>
      <family val="1"/>
    </font>
    <font>
      <b val="true"/>
      <i val="true"/>
      <sz val="10"/>
      <color rgb="FFFF0000"/>
      <name val="Times New Roman"/>
      <family val="1"/>
    </font>
    <font>
      <b val="true"/>
      <i val="true"/>
      <sz val="10"/>
      <name val="Times New Roman"/>
      <family val="1"/>
    </font>
    <font>
      <b val="true"/>
      <sz val="14"/>
      <color rgb="FF008000"/>
      <name val="Arial Unicode MS"/>
      <family val="2"/>
    </font>
    <font>
      <b val="true"/>
      <sz val="9"/>
      <color rgb="FF000000"/>
      <name val="Calibri"/>
      <family val="2"/>
    </font>
    <font>
      <b val="true"/>
      <u val="single"/>
      <sz val="11"/>
      <color rgb="FF000000"/>
      <name val="Calibri"/>
      <family val="2"/>
    </font>
    <font>
      <sz val="10"/>
      <color rgb="FF000000"/>
      <name val="Arial Unicode MS"/>
      <family val="2"/>
    </font>
    <font>
      <b val="true"/>
      <sz val="9"/>
      <color rgb="FF000000"/>
      <name val="Arial Unicode MS"/>
      <family val="2"/>
    </font>
    <font>
      <b val="true"/>
      <u val="single"/>
      <sz val="10"/>
      <color rgb="FF000000"/>
      <name val="Calibri"/>
      <family val="2"/>
    </font>
    <font>
      <b val="true"/>
      <u val="single"/>
      <sz val="9"/>
      <color rgb="FF000000"/>
      <name val="Calibri"/>
      <family val="2"/>
    </font>
    <font>
      <u val="single"/>
      <sz val="9"/>
      <color rgb="FF000000"/>
      <name val="Calibri"/>
      <family val="2"/>
    </font>
    <font>
      <b val="true"/>
      <sz val="10"/>
      <color rgb="FF000000"/>
      <name val="Tahoma"/>
      <family val="2"/>
    </font>
    <font>
      <b val="true"/>
      <u val="single"/>
      <sz val="10"/>
      <color rgb="FFFF0000"/>
      <name val="Trebuchet MS"/>
      <family val="2"/>
    </font>
    <font>
      <sz val="10"/>
      <color rgb="FFFFFFFF"/>
      <name val="Trebuchet MS"/>
      <family val="2"/>
    </font>
    <font>
      <b val="true"/>
      <i val="true"/>
      <u val="single"/>
      <sz val="10"/>
      <name val="Trebuchet MS"/>
      <family val="2"/>
    </font>
    <font>
      <b val="true"/>
      <u val="single"/>
      <sz val="10"/>
      <name val="Baskerville Old Face"/>
      <family val="1"/>
    </font>
    <font>
      <sz val="8"/>
      <name val="Trebuchet MS"/>
      <family val="2"/>
    </font>
    <font>
      <b val="true"/>
      <u val="single"/>
      <sz val="10"/>
      <name val="Trebuchet MS"/>
      <family val="2"/>
    </font>
    <font>
      <sz val="10"/>
      <name val="Baskerville Old Face"/>
      <family val="1"/>
    </font>
    <font>
      <b val="true"/>
      <sz val="10"/>
      <color rgb="FFFF0000"/>
      <name val="Trebuchet MS"/>
      <family val="2"/>
    </font>
    <font>
      <b val="true"/>
      <i val="true"/>
      <sz val="10"/>
      <name val="Trebuchet MS"/>
      <family val="2"/>
    </font>
    <font>
      <i val="true"/>
      <sz val="10"/>
      <name val="Trebuchet MS"/>
      <family val="2"/>
    </font>
    <font>
      <b val="true"/>
      <i val="true"/>
      <sz val="10"/>
      <color rgb="FFFF0000"/>
      <name val="Trebuchet MS"/>
      <family val="2"/>
    </font>
    <font>
      <sz val="10"/>
      <color rgb="FFFF0000"/>
      <name val="Trebuchet MS"/>
      <family val="2"/>
    </font>
    <font>
      <sz val="8"/>
      <color rgb="FF000000"/>
      <name val="Tahoma"/>
      <family val="2"/>
    </font>
    <font>
      <b val="true"/>
      <sz val="14"/>
      <name val="Arial Unicode MS"/>
      <family val="2"/>
    </font>
    <font>
      <sz val="8"/>
      <color rgb="FFFF0000"/>
      <name val="Calibri"/>
      <family val="2"/>
    </font>
    <font>
      <b val="true"/>
      <u val="single"/>
      <sz val="8"/>
      <color rgb="FFFFFFFF"/>
      <name val="Calibri"/>
      <family val="2"/>
    </font>
    <font>
      <b val="true"/>
      <u val="single"/>
      <sz val="8"/>
      <color rgb="FF000000"/>
      <name val="Calibri"/>
      <family val="2"/>
    </font>
    <font>
      <sz val="8"/>
      <color rgb="FFFFFFFF"/>
      <name val="Calibri"/>
      <family val="2"/>
    </font>
    <font>
      <b val="true"/>
      <sz val="11"/>
      <color rgb="FF000000"/>
      <name val="Cambria"/>
      <family val="1"/>
    </font>
    <font>
      <b val="true"/>
      <u val="single"/>
      <sz val="11"/>
      <name val="Calibri"/>
      <family val="2"/>
    </font>
    <font>
      <b val="true"/>
      <sz val="12"/>
      <color rgb="FF000000"/>
      <name val="Calibri"/>
      <family val="2"/>
    </font>
  </fonts>
  <fills count="20">
    <fill>
      <patternFill patternType="none"/>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26">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double"/>
      <right style="double"/>
      <top style="double"/>
      <bottom style="double"/>
      <diagonal/>
    </border>
    <border diagonalUp="false" diagonalDown="false">
      <left/>
      <right/>
      <top/>
      <bottom style="medium">
        <color rgb="FF993366"/>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style="medium"/>
      <bottom style="medium"/>
      <diagonal/>
    </border>
    <border diagonalUp="false" diagonalDown="false">
      <left/>
      <right/>
      <top/>
      <bottom style="thin"/>
      <diagonal/>
    </border>
    <border diagonalUp="false" diagonalDown="false">
      <left style="thin">
        <color rgb="FF333333"/>
      </left>
      <right style="thin">
        <color rgb="FF333333"/>
      </right>
      <top style="thin">
        <color rgb="FF333333"/>
      </top>
      <bottom style="thin">
        <color rgb="FF333333"/>
      </bottom>
      <diagonal/>
    </border>
    <border diagonalUp="false" diagonalDown="false">
      <left style="thin">
        <color rgb="FF333333"/>
      </left>
      <right style="thin">
        <color rgb="FF333333"/>
      </right>
      <top style="thin"/>
      <bottom style="thin">
        <color rgb="FF333333"/>
      </bottom>
      <diagonal/>
    </border>
    <border diagonalUp="false" diagonalDown="false">
      <left/>
      <right/>
      <top style="thin"/>
      <bottom style="thin"/>
      <diagonal/>
    </border>
    <border diagonalUp="false" diagonalDown="false">
      <left/>
      <right/>
      <top style="thin"/>
      <bottom style="double"/>
      <diagonal/>
    </border>
    <border diagonalUp="false" diagonalDown="false">
      <left/>
      <right/>
      <top style="thin"/>
      <bottom style="medium"/>
      <diagonal/>
    </border>
    <border diagonalUp="false" diagonalDown="false">
      <left/>
      <right/>
      <top style="medium"/>
      <bottom/>
      <diagonal/>
    </border>
    <border diagonalUp="false" diagonalDown="false">
      <left/>
      <right/>
      <top/>
      <bottom style="double"/>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style="thin"/>
      <bottom style="double"/>
      <diagonal/>
    </border>
    <border diagonalUp="false" diagonalDown="false">
      <left/>
      <right/>
      <top/>
      <bottom style="medium">
        <color rgb="FF333399"/>
      </bottom>
      <diagonal/>
    </border>
    <border diagonalUp="false" diagonalDown="false">
      <left style="thin"/>
      <right style="thin"/>
      <top style="double"/>
      <bottom style="thin"/>
      <diagonal/>
    </border>
    <border diagonalUp="false" diagonalDown="false">
      <left/>
      <right style="medium">
        <color rgb="FFFFCC00"/>
      </right>
      <top/>
      <bottom/>
      <diagonal/>
    </border>
    <border diagonalUp="false" diagonalDown="false">
      <left/>
      <right/>
      <top/>
      <bottom style="medium">
        <color rgb="FFFFCC00"/>
      </bottom>
      <diagonal/>
    </border>
    <border diagonalUp="false" diagonalDown="false">
      <left/>
      <right style="medium">
        <color rgb="FFFFCC00"/>
      </right>
      <top/>
      <bottom style="medium">
        <color rgb="FFFFCC00"/>
      </bottom>
      <diagonal/>
    </border>
    <border diagonalUp="false" diagonalDown="false">
      <left style="medium"/>
      <right/>
      <top style="medium"/>
      <bottom/>
      <diagonal/>
    </border>
    <border diagonalUp="false" diagonalDown="false">
      <left/>
      <right style="medium"/>
      <top style="medium"/>
      <bottom/>
      <diagonal/>
    </border>
    <border diagonalUp="false" diagonalDown="false">
      <left/>
      <right/>
      <top/>
      <bottom style="medium">
        <color rgb="FF0000FF"/>
      </bottom>
      <diagonal/>
    </border>
    <border diagonalUp="false" diagonalDown="false">
      <left/>
      <right/>
      <top/>
      <bottom style="medium">
        <color rgb="FF0066CC"/>
      </bottom>
      <diagonal/>
    </border>
    <border diagonalUp="false" diagonalDown="false">
      <left style="medium">
        <color rgb="FF0066CC"/>
      </left>
      <right style="medium">
        <color rgb="FF0066CC"/>
      </right>
      <top style="medium">
        <color rgb="FF0066CC"/>
      </top>
      <bottom style="medium">
        <color rgb="FF0066CC"/>
      </bottom>
      <diagonal/>
    </border>
    <border diagonalUp="false" diagonalDown="false">
      <left style="medium">
        <color rgb="FF0066CC"/>
      </left>
      <right style="medium">
        <color rgb="FF0066CC"/>
      </right>
      <top style="medium">
        <color rgb="FF0066CC"/>
      </top>
      <bottom/>
      <diagonal/>
    </border>
    <border diagonalUp="false" diagonalDown="false">
      <left/>
      <right/>
      <top/>
      <bottom style="medium">
        <color rgb="FF9999FF"/>
      </bottom>
      <diagonal/>
    </border>
    <border diagonalUp="false" diagonalDown="false">
      <left style="medium"/>
      <right style="thin">
        <color rgb="FF0066CC"/>
      </right>
      <top style="medium"/>
      <bottom style="thin">
        <color rgb="FF0066CC"/>
      </bottom>
      <diagonal/>
    </border>
    <border diagonalUp="false" diagonalDown="false">
      <left style="thin">
        <color rgb="FF0066CC"/>
      </left>
      <right style="thin">
        <color rgb="FF0066CC"/>
      </right>
      <top style="thin">
        <color rgb="FF0066CC"/>
      </top>
      <bottom style="thin">
        <color rgb="FF0066CC"/>
      </bottom>
      <diagonal/>
    </border>
    <border diagonalUp="false" diagonalDown="false">
      <left style="thin">
        <color rgb="FF0066CC"/>
      </left>
      <right style="thin">
        <color rgb="FF0066CC"/>
      </right>
      <top style="thin">
        <color rgb="FF0066CC"/>
      </top>
      <bottom/>
      <diagonal/>
    </border>
    <border diagonalUp="false" diagonalDown="false">
      <left style="thin">
        <color rgb="FF0066CC"/>
      </left>
      <right/>
      <top style="thin">
        <color rgb="FF0066CC"/>
      </top>
      <bottom style="thin">
        <color rgb="FF0066CC"/>
      </bottom>
      <diagonal/>
    </border>
    <border diagonalUp="false" diagonalDown="false">
      <left style="thin">
        <color rgb="FF0066CC"/>
      </left>
      <right style="thin">
        <color rgb="FF0066CC"/>
      </right>
      <top/>
      <bottom style="thin">
        <color rgb="FF0066CC"/>
      </bottom>
      <diagonal/>
    </border>
    <border diagonalUp="false" diagonalDown="false">
      <left style="medium">
        <color rgb="FF0066CC"/>
      </left>
      <right style="medium">
        <color rgb="FF0066CC"/>
      </right>
      <top style="medium">
        <color rgb="FF0066CC"/>
      </top>
      <bottom style="thin"/>
      <diagonal/>
    </border>
    <border diagonalUp="false" diagonalDown="false">
      <left style="medium">
        <color rgb="FF0066CC"/>
      </left>
      <right style="medium">
        <color rgb="FF0066CC"/>
      </right>
      <top style="thin"/>
      <bottom style="thin"/>
      <diagonal/>
    </border>
    <border diagonalUp="false" diagonalDown="false">
      <left style="medium">
        <color rgb="FF0066CC"/>
      </left>
      <right style="medium">
        <color rgb="FF0066CC"/>
      </right>
      <top/>
      <bottom/>
      <diagonal/>
    </border>
    <border diagonalUp="false" diagonalDown="false">
      <left style="medium">
        <color rgb="FF0066CC"/>
      </left>
      <right style="medium">
        <color rgb="FF0066CC"/>
      </right>
      <top style="thin"/>
      <bottom style="medium">
        <color rgb="FF0066CC"/>
      </bottom>
      <diagonal/>
    </border>
    <border diagonalUp="false" diagonalDown="false">
      <left style="medium">
        <color rgb="FF0066CC"/>
      </left>
      <right style="medium">
        <color rgb="FF0066CC"/>
      </right>
      <top/>
      <bottom style="medium">
        <color rgb="FF0066CC"/>
      </bottom>
      <diagonal/>
    </border>
    <border diagonalUp="false" diagonalDown="false">
      <left style="medium"/>
      <right/>
      <top style="thin"/>
      <bottom style="thin"/>
      <diagonal/>
    </border>
    <border diagonalUp="false" diagonalDown="false">
      <left style="medium"/>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medium"/>
      <right style="medium"/>
      <top style="medium"/>
      <bottom/>
      <diagonal/>
    </border>
    <border diagonalUp="false" diagonalDown="false">
      <left style="medium"/>
      <right/>
      <top style="medium"/>
      <bottom style="medium">
        <color rgb="FF9999FF"/>
      </bottom>
      <diagonal/>
    </border>
    <border diagonalUp="false" diagonalDown="false">
      <left/>
      <right/>
      <top style="medium"/>
      <bottom style="medium">
        <color rgb="FF9999FF"/>
      </bottom>
      <diagonal/>
    </border>
    <border diagonalUp="false" diagonalDown="false">
      <left/>
      <right style="medium"/>
      <top style="medium"/>
      <bottom style="medium">
        <color rgb="FF9999FF"/>
      </bottom>
      <diagonal/>
    </border>
    <border diagonalUp="false" diagonalDown="false">
      <left style="medium"/>
      <right style="medium"/>
      <top style="thin"/>
      <bottom style="thin"/>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style="medium"/>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medium"/>
      <right style="medium"/>
      <top style="thin"/>
      <botto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medium"/>
      <top style="thin"/>
      <bottom style="medium"/>
      <diagonal/>
    </border>
    <border diagonalUp="false" diagonalDown="false">
      <left style="medium"/>
      <right style="medium"/>
      <top/>
      <bottom style="thin"/>
      <diagonal/>
    </border>
    <border diagonalUp="false" diagonalDown="false">
      <left style="medium">
        <color rgb="FF0066CC"/>
      </left>
      <right style="medium">
        <color rgb="FF0066CC"/>
      </right>
      <top style="medium">
        <color rgb="FF0066CC"/>
      </top>
      <bottom style="medium"/>
      <diagonal/>
    </border>
    <border diagonalUp="false" diagonalDown="false">
      <left style="medium">
        <color rgb="FF0066CC"/>
      </left>
      <right style="medium">
        <color rgb="FF0066CC"/>
      </right>
      <top style="medium"/>
      <bottom style="medium"/>
      <diagonal/>
    </border>
    <border diagonalUp="false" diagonalDown="false">
      <left style="medium">
        <color rgb="FF0066CC"/>
      </left>
      <right style="medium">
        <color rgb="FF0066CC"/>
      </right>
      <top style="medium"/>
      <bottom style="medium">
        <color rgb="FF0066CC"/>
      </bottom>
      <diagonal/>
    </border>
    <border diagonalUp="false" diagonalDown="false">
      <left/>
      <right/>
      <top/>
      <bottom style="medium">
        <color rgb="FF00CCFF"/>
      </bottom>
      <diagonal/>
    </border>
    <border diagonalUp="false" diagonalDown="false">
      <left/>
      <right/>
      <top style="medium">
        <color rgb="FF00CCFF"/>
      </top>
      <bottom/>
      <diagonal/>
    </border>
    <border diagonalUp="false" diagonalDown="false">
      <left style="thin">
        <color rgb="FF0066CC"/>
      </left>
      <right style="thin">
        <color rgb="FF0066CC"/>
      </right>
      <top style="medium"/>
      <bottom style="thin">
        <color rgb="FF0066CC"/>
      </bottom>
      <diagonal/>
    </border>
    <border diagonalUp="false" diagonalDown="false">
      <left style="thin">
        <color rgb="FF0066CC"/>
      </left>
      <right style="medium"/>
      <top style="medium"/>
      <bottom style="thin">
        <color rgb="FF0066CC"/>
      </bottom>
      <diagonal/>
    </border>
    <border diagonalUp="false" diagonalDown="false">
      <left style="medium"/>
      <right style="thin">
        <color rgb="FF0066CC"/>
      </right>
      <top style="thin">
        <color rgb="FF0066CC"/>
      </top>
      <bottom style="medium"/>
      <diagonal/>
    </border>
    <border diagonalUp="false" diagonalDown="false">
      <left style="thin">
        <color rgb="FF0066CC"/>
      </left>
      <right style="thin">
        <color rgb="FF0066CC"/>
      </right>
      <top style="thin">
        <color rgb="FF0066CC"/>
      </top>
      <bottom style="medium"/>
      <diagonal/>
    </border>
    <border diagonalUp="false" diagonalDown="false">
      <left style="thin">
        <color rgb="FF0066CC"/>
      </left>
      <right style="medium"/>
      <top style="thin">
        <color rgb="FF0066CC"/>
      </top>
      <bottom style="medium"/>
      <diagonal/>
    </border>
    <border diagonalUp="false" diagonalDown="false">
      <left style="medium">
        <color rgb="FF0066CC"/>
      </left>
      <right style="thin">
        <color rgb="FF0066CC"/>
      </right>
      <top style="medium">
        <color rgb="FF0066CC"/>
      </top>
      <bottom style="thin">
        <color rgb="FF0066CC"/>
      </bottom>
      <diagonal/>
    </border>
    <border diagonalUp="false" diagonalDown="false">
      <left style="thin">
        <color rgb="FF0066CC"/>
      </left>
      <right style="thin">
        <color rgb="FF0066CC"/>
      </right>
      <top style="medium">
        <color rgb="FF0066CC"/>
      </top>
      <bottom style="thin">
        <color rgb="FF0066CC"/>
      </bottom>
      <diagonal/>
    </border>
    <border diagonalUp="false" diagonalDown="false">
      <left style="thin">
        <color rgb="FF0066CC"/>
      </left>
      <right style="medium">
        <color rgb="FF0066CC"/>
      </right>
      <top style="medium">
        <color rgb="FF0066CC"/>
      </top>
      <bottom style="thin">
        <color rgb="FF0066CC"/>
      </bottom>
      <diagonal/>
    </border>
    <border diagonalUp="false" diagonalDown="false">
      <left style="medium">
        <color rgb="FF0066CC"/>
      </left>
      <right style="thin">
        <color rgb="FF0066CC"/>
      </right>
      <top style="thin">
        <color rgb="FF0066CC"/>
      </top>
      <bottom style="thin">
        <color rgb="FF0066CC"/>
      </bottom>
      <diagonal/>
    </border>
    <border diagonalUp="false" diagonalDown="false">
      <left style="thin">
        <color rgb="FF0066CC"/>
      </left>
      <right style="medium">
        <color rgb="FF0066CC"/>
      </right>
      <top style="thin">
        <color rgb="FF0066CC"/>
      </top>
      <bottom style="thin">
        <color rgb="FF0066CC"/>
      </bottom>
      <diagonal/>
    </border>
    <border diagonalUp="false" diagonalDown="false">
      <left style="medium">
        <color rgb="FF0066CC"/>
      </left>
      <right style="thin">
        <color rgb="FF0066CC"/>
      </right>
      <top style="thin">
        <color rgb="FF0066CC"/>
      </top>
      <bottom style="medium">
        <color rgb="FF0066CC"/>
      </bottom>
      <diagonal/>
    </border>
    <border diagonalUp="false" diagonalDown="false">
      <left style="thin">
        <color rgb="FF0066CC"/>
      </left>
      <right style="thin">
        <color rgb="FF0066CC"/>
      </right>
      <top style="thin">
        <color rgb="FF0066CC"/>
      </top>
      <bottom style="medium">
        <color rgb="FF0066CC"/>
      </bottom>
      <diagonal/>
    </border>
    <border diagonalUp="false" diagonalDown="false">
      <left style="thin">
        <color rgb="FF0066CC"/>
      </left>
      <right style="medium">
        <color rgb="FF0066CC"/>
      </right>
      <top style="thin">
        <color rgb="FF0066CC"/>
      </top>
      <bottom style="medium">
        <color rgb="FF0066CC"/>
      </bottom>
      <diagonal/>
    </border>
    <border diagonalUp="false" diagonalDown="false">
      <left/>
      <right/>
      <top/>
      <bottom style="thin">
        <color rgb="FFFF6600"/>
      </bottom>
      <diagonal/>
    </border>
    <border diagonalUp="false" diagonalDown="false">
      <left style="medium"/>
      <right style="medium"/>
      <top style="medium"/>
      <bottom style="thin"/>
      <diagonal/>
    </border>
    <border diagonalUp="false" diagonalDown="false">
      <left style="medium"/>
      <right style="medium"/>
      <top/>
      <bottom style="medium"/>
      <diagonal/>
    </border>
    <border diagonalUp="false" diagonalDown="false">
      <left style="medium"/>
      <right/>
      <top style="medium"/>
      <bottom style="thin"/>
      <diagonal/>
    </border>
    <border diagonalUp="false" diagonalDown="false">
      <left style="thin"/>
      <right style="medium"/>
      <top style="thin"/>
      <bottom style="thin"/>
      <diagonal/>
    </border>
    <border diagonalUp="false" diagonalDown="false">
      <left style="thin"/>
      <right style="medium"/>
      <top style="thin"/>
      <bottom/>
      <diagonal/>
    </border>
    <border diagonalUp="false" diagonalDown="false">
      <left style="medium"/>
      <right/>
      <top/>
      <bottom style="medium"/>
      <diagonal/>
    </border>
    <border diagonalUp="false" diagonalDown="false">
      <left style="medium"/>
      <right/>
      <top/>
      <bottom style="thin">
        <color rgb="FF00CCFF"/>
      </bottom>
      <diagonal/>
    </border>
    <border diagonalUp="false" diagonalDown="false">
      <left style="medium"/>
      <right style="thin"/>
      <top style="thin"/>
      <bottom style="thin">
        <color rgb="FF00CCFF"/>
      </bottom>
      <diagonal/>
    </border>
    <border diagonalUp="false" diagonalDown="false">
      <left style="thin"/>
      <right style="thin"/>
      <top style="thin"/>
      <bottom style="thin">
        <color rgb="FF00CCFF"/>
      </bottom>
      <diagonal/>
    </border>
    <border diagonalUp="false" diagonalDown="false">
      <left style="thin"/>
      <right style="medium"/>
      <top style="thin"/>
      <bottom style="thin">
        <color rgb="FF00CCFF"/>
      </bottom>
      <diagonal/>
    </border>
    <border diagonalUp="false" diagonalDown="false">
      <left/>
      <right/>
      <top style="thin"/>
      <bottom style="thin">
        <color rgb="FF00CCFF"/>
      </bottom>
      <diagonal/>
    </border>
    <border diagonalUp="false" diagonalDown="false">
      <left/>
      <right style="medium"/>
      <top/>
      <bottom style="medium"/>
      <diagonal/>
    </border>
    <border diagonalUp="false" diagonalDown="false">
      <left style="medium"/>
      <right/>
      <top style="medium"/>
      <bottom style="mediu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right style="medium"/>
      <top style="medium"/>
      <bottom style="medium"/>
      <diagonal/>
    </border>
    <border diagonalUp="false" diagonalDown="false">
      <left/>
      <right/>
      <top style="medium">
        <color rgb="FF9999FF"/>
      </top>
      <bottom/>
      <diagonal/>
    </border>
    <border diagonalUp="false" diagonalDown="false">
      <left/>
      <right style="thick">
        <color rgb="FFFFFFFF"/>
      </right>
      <top style="medium">
        <color rgb="FF9999FF"/>
      </top>
      <bottom/>
      <diagonal/>
    </border>
    <border diagonalUp="false" diagonalDown="false">
      <left style="thick">
        <color rgb="FFFFFFFF"/>
      </left>
      <right style="thick">
        <color rgb="FFFFFFFF"/>
      </right>
      <top style="medium">
        <color rgb="FF9999FF"/>
      </top>
      <bottom/>
      <diagonal/>
    </border>
    <border diagonalUp="false" diagonalDown="false">
      <left style="thick">
        <color rgb="FFFFFFFF"/>
      </left>
      <right/>
      <top style="medium">
        <color rgb="FF9999FF"/>
      </top>
      <bottom/>
      <diagonal/>
    </border>
    <border diagonalUp="false" diagonalDown="false">
      <left/>
      <right/>
      <top/>
      <bottom style="thin">
        <color rgb="FF808080"/>
      </bottom>
      <diagonal/>
    </border>
    <border diagonalUp="false" diagonalDown="false">
      <left style="thin">
        <color rgb="FF0000FF"/>
      </left>
      <right/>
      <top/>
      <bottom/>
      <diagonal/>
    </border>
    <border diagonalUp="false" diagonalDown="false">
      <left/>
      <right/>
      <top/>
      <bottom style="thin">
        <color rgb="FF0000FF"/>
      </bottom>
      <diagonal/>
    </border>
    <border diagonalUp="false" diagonalDown="false">
      <left style="thin">
        <color rgb="FF0000FF"/>
      </left>
      <right/>
      <top/>
      <bottom style="thin">
        <color rgb="FF0000FF"/>
      </bottom>
      <diagonal/>
    </border>
    <border diagonalUp="false" diagonalDown="false">
      <left style="medium">
        <color rgb="FF0066CC"/>
      </left>
      <right style="thin"/>
      <top style="medium">
        <color rgb="FF0066CC"/>
      </top>
      <bottom style="medium">
        <color rgb="FF0066CC"/>
      </bottom>
      <diagonal/>
    </border>
    <border diagonalUp="false" diagonalDown="false">
      <left style="thin"/>
      <right style="thin"/>
      <top style="medium">
        <color rgb="FF0066CC"/>
      </top>
      <bottom style="medium">
        <color rgb="FF0066CC"/>
      </bottom>
      <diagonal/>
    </border>
    <border diagonalUp="false" diagonalDown="false">
      <left style="thin"/>
      <right style="medium">
        <color rgb="FF0066CC"/>
      </right>
      <top style="medium">
        <color rgb="FF0066CC"/>
      </top>
      <bottom style="medium">
        <color rgb="FF0066CC"/>
      </bottom>
      <diagonal/>
    </border>
  </borders>
  <cellStyleXfs count="16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82" fontId="0" fillId="0" borderId="0" applyFont="true" applyBorder="false" applyAlignment="false" applyProtection="false"/>
    <xf numFmtId="164" fontId="53" fillId="0" borderId="0" applyFont="true" applyBorder="false" applyAlignment="false" applyProtection="false"/>
    <xf numFmtId="164"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false" applyProtection="false"/>
    <xf numFmtId="164" fontId="4"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false" applyProtection="false"/>
    <xf numFmtId="164" fontId="4" fillId="0" borderId="0" applyFont="true" applyBorder="false" applyAlignment="false" applyProtection="false"/>
    <xf numFmtId="164" fontId="4"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false" applyProtection="false"/>
    <xf numFmtId="164" fontId="6" fillId="0" borderId="0" applyFont="true" applyBorder="true" applyAlignment="true" applyProtection="true">
      <alignment horizontal="right" vertical="bottom" textRotation="0" wrapText="false" indent="0" shrinkToFit="false"/>
      <protection locked="true" hidden="false"/>
    </xf>
    <xf numFmtId="164" fontId="7" fillId="0" borderId="0" applyFont="true" applyBorder="false" applyAlignment="false" applyProtection="false"/>
    <xf numFmtId="164" fontId="8" fillId="0" borderId="0" applyFont="true" applyBorder="false" applyAlignment="false" applyProtection="false"/>
    <xf numFmtId="164" fontId="9" fillId="0" borderId="0" applyFont="true" applyBorder="false" applyAlignment="false" applyProtection="false"/>
    <xf numFmtId="164" fontId="10" fillId="0" borderId="1" applyFont="true" applyBorder="true" applyAlignment="false" applyProtection="false"/>
    <xf numFmtId="166" fontId="0" fillId="0" borderId="0" applyFont="true" applyBorder="false" applyAlignment="false" applyProtection="false"/>
    <xf numFmtId="164" fontId="11" fillId="0" borderId="0" applyFont="true" applyBorder="false" applyAlignment="false" applyProtection="false"/>
    <xf numFmtId="167" fontId="12" fillId="0" borderId="0" applyFont="true" applyBorder="true" applyAlignment="true" applyProtection="true">
      <alignment horizontal="general" vertical="bottom" textRotation="0" wrapText="false" indent="0" shrinkToFit="false"/>
      <protection locked="true" hidden="false"/>
    </xf>
    <xf numFmtId="164" fontId="13" fillId="2" borderId="2" applyFont="true" applyBorder="true" applyAlignment="true" applyProtection="true">
      <alignment horizontal="left" vertical="center" textRotation="0" wrapText="false" indent="0" shrinkToFit="false"/>
      <protection locked="true" hidden="false"/>
    </xf>
    <xf numFmtId="164" fontId="14" fillId="0" borderId="0" applyFont="true" applyBorder="true" applyAlignment="true" applyProtection="true">
      <alignment horizontal="center" vertical="bottom" textRotation="0" wrapText="true" indent="0" shrinkToFit="false"/>
      <protection locked="true" hidden="true"/>
    </xf>
    <xf numFmtId="168" fontId="0" fillId="0" borderId="0" applyFont="true" applyBorder="false" applyAlignment="false" applyProtection="false"/>
    <xf numFmtId="164" fontId="15" fillId="3" borderId="0" applyFont="true" applyBorder="true" applyAlignment="true" applyProtection="true">
      <alignment horizontal="center" vertical="center" textRotation="0" wrapText="true" indent="0" shrinkToFit="false"/>
      <protection locked="true" hidden="false"/>
    </xf>
    <xf numFmtId="164" fontId="16" fillId="4" borderId="3" applyFont="true" applyBorder="true" applyAlignment="true" applyProtection="true">
      <alignment horizontal="general" vertical="center" textRotation="0" wrapText="false" indent="0" shrinkToFit="false"/>
      <protection locked="true" hidden="false"/>
    </xf>
    <xf numFmtId="169" fontId="14" fillId="0" borderId="0" applyFont="true" applyBorder="false" applyAlignment="true" applyProtection="true">
      <alignment horizontal="right" vertical="bottom" textRotation="0" wrapText="false" indent="0" shrinkToFit="false"/>
      <protection locked="false" hidden="false"/>
    </xf>
    <xf numFmtId="164" fontId="0" fillId="0" borderId="0" applyFont="true" applyBorder="false" applyAlignment="false" applyProtection="true">
      <protection locked="fals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4"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true">
      <alignment horizontal="general" vertical="bottom" textRotation="0" wrapText="false" indent="0" shrinkToFit="false"/>
      <protection locked="true" hidden="false"/>
    </xf>
    <xf numFmtId="170" fontId="0" fillId="0" borderId="0" applyFont="true" applyBorder="false" applyAlignment="false" applyProtection="false"/>
    <xf numFmtId="171" fontId="0" fillId="0" borderId="0" applyFont="true" applyBorder="false" applyAlignment="true" applyProtection="false">
      <alignment horizontal="right" vertical="bottom" textRotation="0" wrapText="false" indent="0" shrinkToFit="false"/>
    </xf>
    <xf numFmtId="171" fontId="0" fillId="0" borderId="0" applyFont="true" applyBorder="false" applyAlignment="false" applyProtection="true">
      <protection locked="true" hidden="false"/>
    </xf>
    <xf numFmtId="172" fontId="0" fillId="0" borderId="0" applyFont="true" applyBorder="false" applyAlignment="false" applyProtection="false"/>
    <xf numFmtId="173" fontId="4" fillId="0" borderId="0" applyFont="true" applyBorder="false" applyAlignment="true" applyProtection="true">
      <alignment horizontal="general" vertical="bottom" textRotation="0" wrapText="false" indent="0" shrinkToFit="false"/>
      <protection locked="true" hidden="false"/>
    </xf>
    <xf numFmtId="174" fontId="8" fillId="0" borderId="0" applyFont="true" applyBorder="false" applyAlignment="true" applyProtection="false">
      <alignment horizontal="general" vertical="bottom" textRotation="0" wrapText="false" indent="0" shrinkToFit="false"/>
    </xf>
    <xf numFmtId="164" fontId="19" fillId="0" borderId="0" applyFont="true" applyBorder="true" applyAlignment="true" applyProtection="true">
      <alignment horizontal="right" vertical="bottom" textRotation="0" wrapText="false" indent="0" shrinkToFit="false"/>
      <protection locked="true" hidden="false"/>
    </xf>
    <xf numFmtId="175" fontId="17" fillId="0" borderId="0" applyFont="true" applyBorder="true" applyAlignment="true" applyProtection="true">
      <alignment horizontal="general" vertical="bottom" textRotation="0" wrapText="false" indent="0" shrinkToFit="false"/>
      <protection locked="true" hidden="false"/>
    </xf>
    <xf numFmtId="176" fontId="20" fillId="0" borderId="0" applyFont="true" applyBorder="true" applyAlignment="true" applyProtection="true">
      <alignment horizontal="left" vertical="bottom" textRotation="0" wrapText="false" indent="0" shrinkToFit="false"/>
      <protection locked="false" hidden="false"/>
    </xf>
    <xf numFmtId="177" fontId="21" fillId="0" borderId="0" applyFont="true" applyBorder="false" applyAlignment="true" applyProtection="true">
      <alignment horizontal="general" vertical="bottom" textRotation="0" wrapText="false" indent="0" shrinkToFit="false"/>
      <protection locked="true" hidden="false"/>
    </xf>
    <xf numFmtId="178" fontId="22"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false" applyAlignment="false" applyProtection="true">
      <protection locked="true" hidden="false"/>
    </xf>
    <xf numFmtId="179" fontId="14" fillId="0" borderId="0" applyFont="true" applyBorder="false" applyAlignment="true" applyProtection="true">
      <alignment horizontal="right" vertical="bottom" textRotation="0" wrapText="false" indent="0" shrinkToFit="false"/>
      <protection locked="false" hidden="false"/>
    </xf>
    <xf numFmtId="164" fontId="23" fillId="0" borderId="0" applyFont="true" applyBorder="false" applyAlignment="true" applyProtection="true">
      <alignment horizontal="general" vertical="bottom" textRotation="0" wrapText="false" indent="0" shrinkToFit="false"/>
      <protection locked="true" hidden="false"/>
    </xf>
    <xf numFmtId="164" fontId="24" fillId="0" borderId="0" applyFont="true" applyBorder="false" applyAlignment="true" applyProtection="true">
      <alignment horizontal="general" vertical="bottom" textRotation="0" wrapText="false" indent="0" shrinkToFit="false"/>
      <protection locked="true" hidden="false"/>
    </xf>
    <xf numFmtId="164" fontId="25" fillId="0" borderId="0" applyFont="true" applyBorder="false" applyAlignment="true" applyProtection="true">
      <alignment horizontal="general" vertical="bottom" textRotation="0" wrapText="false" indent="0" shrinkToFit="false"/>
      <protection locked="true" hidden="false"/>
    </xf>
    <xf numFmtId="164" fontId="24" fillId="0" borderId="0" applyFont="true" applyBorder="false" applyAlignment="true" applyProtection="true">
      <alignment horizontal="right" vertical="bottom" textRotation="0" wrapText="false" indent="0" shrinkToFit="false"/>
      <protection locked="true" hidden="false"/>
    </xf>
    <xf numFmtId="164" fontId="26" fillId="5" borderId="4" applyFont="true" applyBorder="true" applyAlignment="true" applyProtection="true">
      <alignment horizontal="left" vertical="center" textRotation="0" wrapText="true" indent="0" shrinkToFit="false"/>
      <protection locked="true" hidden="false"/>
    </xf>
    <xf numFmtId="164" fontId="27" fillId="5" borderId="4"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false" applyProtection="true">
      <protection locked="true" hidden="false"/>
    </xf>
    <xf numFmtId="164" fontId="29" fillId="0" borderId="0" applyFont="true" applyBorder="false" applyAlignment="false" applyProtection="false"/>
    <xf numFmtId="164" fontId="0" fillId="0" borderId="5" applyFont="true" applyBorder="true" applyAlignment="false" applyProtection="true">
      <protection locked="true" hidden="false"/>
    </xf>
    <xf numFmtId="164" fontId="0" fillId="0" borderId="6" applyFont="true" applyBorder="true" applyAlignment="false" applyProtection="true">
      <protection locked="true" hidden="false"/>
    </xf>
    <xf numFmtId="165" fontId="3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false" applyProtection="true">
      <protection locked="true" hidden="false"/>
    </xf>
    <xf numFmtId="180" fontId="24" fillId="0" borderId="0" applyFont="true" applyBorder="false" applyAlignment="true" applyProtection="false">
      <alignment horizontal="right" vertical="bottom" textRotation="0" wrapText="false" indent="0" shrinkToFit="false"/>
    </xf>
    <xf numFmtId="181" fontId="0" fillId="0" borderId="0" applyFont="true" applyBorder="false" applyAlignment="false" applyProtection="true">
      <protection locked="true" hidden="false"/>
    </xf>
    <xf numFmtId="180" fontId="0" fillId="0" borderId="0" applyFont="true" applyBorder="false" applyAlignment="true" applyProtection="false">
      <alignment horizontal="right" vertical="bottom" textRotation="0" wrapText="false" indent="0" shrinkToFit="false"/>
    </xf>
    <xf numFmtId="164" fontId="6" fillId="6" borderId="4" applyFont="true" applyBorder="true" applyAlignment="true" applyProtection="true">
      <alignment horizontal="general" vertical="bottom" textRotation="0" wrapText="false" indent="0" shrinkToFit="false"/>
      <protection locked="true" hidden="false"/>
    </xf>
    <xf numFmtId="182" fontId="0" fillId="0" borderId="0" applyFont="true" applyBorder="false" applyAlignment="false" applyProtection="false"/>
    <xf numFmtId="182" fontId="0" fillId="0" borderId="0" applyFont="true" applyBorder="false" applyAlignment="false" applyProtection="false"/>
    <xf numFmtId="183" fontId="14" fillId="0" borderId="0" applyFont="true" applyBorder="false" applyAlignment="true" applyProtection="true">
      <alignment horizontal="right" vertical="bottom" textRotation="0" wrapText="false" indent="0" shrinkToFit="false"/>
      <protection locked="false" hidden="false"/>
    </xf>
    <xf numFmtId="164" fontId="31" fillId="4" borderId="7" applyFont="true" applyBorder="true" applyAlignment="true" applyProtection="true">
      <alignment horizontal="center" vertical="center" textRotation="0" wrapText="false" indent="0" shrinkToFit="false"/>
      <protection locked="true" hidden="false"/>
    </xf>
    <xf numFmtId="184" fontId="14" fillId="0" borderId="0" applyFont="true" applyBorder="false" applyAlignment="true" applyProtection="true">
      <alignment horizontal="right" vertical="bottom" textRotation="0" wrapText="false" indent="0" shrinkToFit="false"/>
      <protection locked="false" hidden="false"/>
    </xf>
    <xf numFmtId="185" fontId="14" fillId="0" borderId="0" applyFont="true" applyBorder="true" applyAlignment="true" applyProtection="true">
      <alignment horizontal="right" vertical="bottom" textRotation="0" wrapText="false" indent="0" shrinkToFit="false"/>
      <protection locked="fals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4" fillId="0" borderId="5"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4" fillId="0" borderId="0" applyFont="true" applyBorder="true" applyAlignment="true" applyProtection="true">
      <alignment horizontal="right" vertical="bottom" textRotation="0" wrapText="false" indent="0" shrinkToFit="false"/>
      <protection locked="true" hidden="false"/>
    </xf>
    <xf numFmtId="164" fontId="13" fillId="0" borderId="6" applyFont="true" applyBorder="true" applyAlignment="true" applyProtection="true">
      <alignment horizontal="left" vertical="center"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164" fontId="3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24" fillId="0" borderId="0" applyFont="true" applyBorder="true" applyAlignment="true" applyProtection="true">
      <alignment horizontal="right" vertical="bottom" textRotation="0" wrapText="false" indent="0" shrinkToFit="false"/>
      <protection locked="true" hidden="false"/>
    </xf>
    <xf numFmtId="164" fontId="4" fillId="7" borderId="8" applyFont="true" applyBorder="true" applyAlignment="true" applyProtection="false">
      <alignment horizontal="left" vertical="center" textRotation="0" wrapText="false" indent="1" shrinkToFit="false"/>
    </xf>
    <xf numFmtId="164" fontId="35" fillId="8" borderId="8" applyFont="true" applyBorder="true" applyAlignment="true" applyProtection="false">
      <alignment horizontal="left" vertical="center" textRotation="0" wrapText="false" indent="1" shrinkToFit="false"/>
    </xf>
    <xf numFmtId="164" fontId="36" fillId="9" borderId="9" applyFont="true" applyBorder="true" applyAlignment="true" applyProtection="false">
      <alignment horizontal="left" vertical="center" textRotation="0" wrapText="false" indent="1" shrinkToFit="false"/>
    </xf>
    <xf numFmtId="164" fontId="36" fillId="9" borderId="8" applyFont="true" applyBorder="true" applyAlignment="true" applyProtection="false">
      <alignment horizontal="left" vertical="center" textRotation="0" wrapText="false" indent="1" shrinkToFit="false"/>
    </xf>
    <xf numFmtId="164" fontId="36" fillId="10" borderId="8" applyFont="true" applyBorder="true" applyAlignment="true" applyProtection="false">
      <alignment horizontal="left" vertical="center" textRotation="0" wrapText="false" indent="1" shrinkToFit="false"/>
    </xf>
    <xf numFmtId="164" fontId="4" fillId="10" borderId="8" applyFont="true" applyBorder="true" applyAlignment="true" applyProtection="false">
      <alignment horizontal="left" vertical="center" textRotation="0" wrapText="false" indent="1" shrinkToFit="false"/>
    </xf>
    <xf numFmtId="164" fontId="4" fillId="11" borderId="8" applyFont="true" applyBorder="true" applyAlignment="true" applyProtection="false">
      <alignment horizontal="left" vertical="center" textRotation="0" wrapText="false" indent="1" shrinkToFit="false"/>
    </xf>
    <xf numFmtId="164" fontId="4" fillId="6" borderId="8" applyFont="true" applyBorder="true" applyAlignment="true" applyProtection="false">
      <alignment horizontal="left" vertical="center" textRotation="0" wrapText="false" indent="1" shrinkToFit="false"/>
    </xf>
    <xf numFmtId="164" fontId="4" fillId="7" borderId="8" applyFont="true" applyBorder="true" applyAlignment="true" applyProtection="false">
      <alignment horizontal="left" vertical="center" textRotation="0" wrapText="false" indent="1" shrinkToFit="false"/>
    </xf>
    <xf numFmtId="164" fontId="36" fillId="9" borderId="8" applyFont="true" applyBorder="true" applyAlignment="true" applyProtection="false">
      <alignment horizontal="right" vertical="center" textRotation="0" wrapText="false" indent="0" shrinkToFit="false"/>
    </xf>
    <xf numFmtId="164" fontId="4" fillId="7" borderId="8" applyFont="true" applyBorder="true" applyAlignment="true" applyProtection="false">
      <alignment horizontal="left" vertical="center" textRotation="0" wrapText="false" indent="1" shrinkToFit="false"/>
    </xf>
    <xf numFmtId="164" fontId="4" fillId="7" borderId="8" applyFont="true" applyBorder="true" applyAlignment="true" applyProtection="false">
      <alignment horizontal="left" vertical="center" textRotation="0" wrapText="false" indent="1" shrinkToFit="false"/>
    </xf>
    <xf numFmtId="164" fontId="37" fillId="0" borderId="0" applyFont="true" applyBorder="true" applyAlignment="true" applyProtection="true">
      <alignment horizontal="general" vertical="bottom" textRotation="0" wrapText="false" indent="0" shrinkToFit="false"/>
      <protection locked="true" hidden="false"/>
    </xf>
    <xf numFmtId="186" fontId="38" fillId="0" borderId="0" applyFont="true" applyBorder="false" applyAlignment="true" applyProtection="false">
      <alignment horizontal="right" vertical="bottom" textRotation="0" wrapText="false" indent="0" shrinkToFit="false"/>
    </xf>
    <xf numFmtId="164" fontId="39" fillId="3" borderId="4" applyFont="true" applyBorder="true" applyAlignment="true" applyProtection="true">
      <alignment horizontal="center" vertical="center" textRotation="0" wrapText="true" indent="0" shrinkToFit="false"/>
      <protection locked="true" hidden="true"/>
    </xf>
    <xf numFmtId="187" fontId="14" fillId="0" borderId="0" applyFont="true" applyBorder="true" applyAlignment="true" applyProtection="true">
      <alignment horizontal="general" vertical="bottom" textRotation="0" wrapText="false" indent="0" shrinkToFit="false"/>
      <protection locked="false" hidden="false"/>
    </xf>
    <xf numFmtId="164" fontId="40" fillId="0" borderId="0" applyFont="true" applyBorder="false" applyAlignment="false" applyProtection="false"/>
    <xf numFmtId="164" fontId="4" fillId="0" borderId="0" applyFont="true" applyBorder="false" applyAlignment="false" applyProtection="false"/>
    <xf numFmtId="175" fontId="17" fillId="0" borderId="0" applyFont="true" applyBorder="true" applyAlignment="true" applyProtection="true">
      <alignment horizontal="general" vertical="bottom" textRotation="0" wrapText="false" indent="0" shrinkToFit="false"/>
      <protection locked="true" hidden="false"/>
    </xf>
    <xf numFmtId="164" fontId="4" fillId="0" borderId="10" applyFont="true" applyBorder="true" applyAlignment="true" applyProtection="true">
      <alignment horizontal="general" vertical="bottom" textRotation="0" wrapText="false" indent="0" shrinkToFit="false"/>
      <protection locked="true" hidden="false"/>
    </xf>
    <xf numFmtId="164" fontId="4" fillId="0" borderId="11" applyFont="true" applyBorder="true" applyAlignment="true" applyProtection="true">
      <alignment horizontal="general" vertical="bottom" textRotation="0" wrapText="false" indent="0" shrinkToFit="false"/>
      <protection locked="true" hidden="false"/>
    </xf>
    <xf numFmtId="164" fontId="4" fillId="0" borderId="12" applyFont="true" applyBorder="true" applyAlignment="true" applyProtection="true">
      <alignment horizontal="general" vertical="bottom" textRotation="0" wrapText="false" indent="0" shrinkToFit="false"/>
      <protection locked="true" hidden="false"/>
    </xf>
    <xf numFmtId="164" fontId="41" fillId="0" borderId="0" applyFont="true" applyBorder="false" applyAlignment="false" applyProtection="false"/>
    <xf numFmtId="164" fontId="17" fillId="0" borderId="4" applyFont="true" applyBorder="true" applyAlignment="true" applyProtection="true">
      <alignment horizontal="general" vertical="bottom" textRotation="0" wrapText="false" indent="0" shrinkToFit="false"/>
      <protection locked="true" hidden="false"/>
    </xf>
    <xf numFmtId="164" fontId="18" fillId="0" borderId="4" applyFont="true" applyBorder="true" applyAlignment="true" applyProtection="true">
      <alignment horizontal="general" vertical="bottom" textRotation="0" wrapText="false" indent="0" shrinkToFit="false"/>
      <protection locked="true" hidden="false"/>
    </xf>
    <xf numFmtId="164" fontId="0" fillId="0" borderId="5" applyFont="true" applyBorder="true" applyAlignment="false" applyProtection="false"/>
    <xf numFmtId="164" fontId="42" fillId="0" borderId="13" applyFont="true" applyBorder="true" applyAlignment="false" applyProtection="false"/>
    <xf numFmtId="164" fontId="0" fillId="0" borderId="14" applyFont="true" applyBorder="true" applyAlignment="false" applyProtection="true">
      <protection locked="true" hidden="false"/>
    </xf>
    <xf numFmtId="164" fontId="0" fillId="0" borderId="15" applyFont="true" applyBorder="true" applyAlignment="false" applyProtection="false"/>
    <xf numFmtId="164" fontId="0" fillId="0" borderId="7" applyFont="true" applyBorder="true" applyAlignment="false" applyProtection="true">
      <protection locked="true" hidden="false"/>
    </xf>
    <xf numFmtId="164" fontId="0" fillId="0" borderId="16" applyFont="true" applyBorder="true" applyAlignment="false" applyProtection="true">
      <protection locked="true" hidden="false"/>
    </xf>
    <xf numFmtId="164" fontId="0" fillId="0" borderId="4" applyFont="true" applyBorder="true" applyAlignment="false" applyProtection="true">
      <protection locked="true" hidden="false"/>
    </xf>
    <xf numFmtId="164" fontId="0" fillId="0" borderId="17" applyFont="true" applyBorder="true" applyAlignment="false" applyProtection="true">
      <protection locked="true" hidden="false"/>
    </xf>
    <xf numFmtId="164" fontId="0" fillId="0" borderId="18" applyFont="true" applyBorder="true" applyAlignment="false" applyProtection="true">
      <protection locked="true" hidden="false"/>
    </xf>
    <xf numFmtId="164" fontId="0" fillId="0" borderId="19" applyFont="true" applyBorder="true" applyAlignment="false" applyProtection="true">
      <protection locked="true" hidden="false"/>
    </xf>
    <xf numFmtId="164" fontId="0" fillId="0" borderId="10" applyFont="true" applyBorder="true" applyAlignment="false" applyProtection="true">
      <protection locked="true" hidden="false"/>
    </xf>
    <xf numFmtId="164" fontId="0" fillId="0" borderId="20" applyFont="true" applyBorder="true" applyAlignment="false" applyProtection="true">
      <protection locked="true" hidden="false"/>
    </xf>
    <xf numFmtId="164" fontId="0" fillId="0" borderId="21" applyFont="true" applyBorder="true" applyAlignment="false" applyProtection="true">
      <protection locked="true" hidden="false"/>
    </xf>
    <xf numFmtId="164" fontId="0" fillId="0" borderId="22" applyFont="true" applyBorder="true" applyAlignment="false" applyProtection="false"/>
    <xf numFmtId="164" fontId="0" fillId="0" borderId="23" applyFont="true" applyBorder="true" applyAlignment="false" applyProtection="false"/>
    <xf numFmtId="164" fontId="0" fillId="0" borderId="11" applyFont="true" applyBorder="true" applyAlignment="false" applyProtection="true">
      <protection locked="true" hidden="false"/>
    </xf>
    <xf numFmtId="164" fontId="0" fillId="0" borderId="24" applyFont="true" applyBorder="true" applyAlignment="false" applyProtection="true">
      <protection locked="true" hidden="false"/>
    </xf>
    <xf numFmtId="188" fontId="8" fillId="0" borderId="0" applyFont="true" applyBorder="false" applyAlignment="true" applyProtection="false">
      <alignment horizontal="right" vertical="bottom" textRotation="0" wrapText="false" indent="0" shrinkToFit="false"/>
    </xf>
    <xf numFmtId="164" fontId="43" fillId="12" borderId="0" applyFont="true" applyBorder="true" applyAlignment="true" applyProtection="true">
      <alignment horizontal="general" vertical="bottom" textRotation="0" wrapText="false" indent="0" shrinkToFit="false"/>
      <protection locked="true" hidden="false"/>
    </xf>
    <xf numFmtId="164" fontId="44" fillId="12" borderId="0" applyFont="true" applyBorder="true" applyAlignment="true" applyProtection="true">
      <alignment horizontal="general" vertical="bottom" textRotation="0" wrapText="false" indent="0" shrinkToFit="false"/>
      <protection locked="true" hidden="false"/>
    </xf>
    <xf numFmtId="164" fontId="45" fillId="4" borderId="25" applyFont="true" applyBorder="true" applyAlignment="true" applyProtection="true">
      <alignment horizontal="left" vertical="center" textRotation="0" wrapText="false" indent="0" shrinkToFit="false"/>
      <protection locked="true" hidden="false"/>
    </xf>
    <xf numFmtId="164" fontId="14" fillId="0" borderId="0" applyFont="true" applyBorder="false" applyAlignment="true" applyProtection="true">
      <alignment horizontal="general" vertical="bottom" textRotation="0" wrapText="false" indent="0" shrinkToFit="false"/>
      <protection locked="true" hidden="false"/>
    </xf>
    <xf numFmtId="164" fontId="27" fillId="0" borderId="26" applyFont="true" applyBorder="true" applyAlignment="true" applyProtection="true">
      <alignment horizontal="general" vertical="bottom" textRotation="0" wrapText="false" indent="0" shrinkToFit="false"/>
      <protection locked="true" hidden="false"/>
    </xf>
    <xf numFmtId="164" fontId="46" fillId="0" borderId="26" applyFont="true" applyBorder="true" applyAlignment="true" applyProtection="true">
      <alignment horizontal="general" vertical="bottom" textRotation="0" wrapText="false" indent="0" shrinkToFit="false"/>
      <protection locked="true" hidden="false"/>
    </xf>
    <xf numFmtId="164" fontId="27" fillId="0" borderId="4" applyFont="true" applyBorder="true" applyAlignment="true" applyProtection="true">
      <alignment horizontal="general" vertical="bottom" textRotation="0" wrapText="false" indent="0" shrinkToFit="false"/>
      <protection locked="true" hidden="false"/>
    </xf>
    <xf numFmtId="164" fontId="46" fillId="0" borderId="4" applyFont="true" applyBorder="true" applyAlignment="true" applyProtection="true">
      <alignment horizontal="general" vertical="bottom" textRotation="0" wrapText="false" indent="0" shrinkToFit="false"/>
      <protection locked="true" hidden="false"/>
    </xf>
    <xf numFmtId="189" fontId="10" fillId="0" borderId="0" applyFont="true" applyBorder="false" applyAlignment="true" applyProtection="false">
      <alignment horizontal="right" vertical="bottom" textRotation="0" wrapText="false" indent="0" shrinkToFit="false"/>
    </xf>
    <xf numFmtId="164" fontId="47" fillId="0" borderId="0" applyFont="true" applyBorder="false" applyAlignment="false" applyProtection="false"/>
    <xf numFmtId="164" fontId="48" fillId="0" borderId="0" applyFont="true" applyBorder="false" applyAlignment="false" applyProtection="false"/>
    <xf numFmtId="164" fontId="49" fillId="0" borderId="0" applyFont="true" applyBorder="false" applyAlignment="false" applyProtection="false"/>
    <xf numFmtId="164" fontId="6" fillId="0" borderId="0" applyFont="true" applyBorder="true" applyAlignment="true" applyProtection="true">
      <alignment horizontal="right" vertical="bottom" textRotation="0" wrapText="false" indent="0" shrinkToFit="false"/>
      <protection locked="true" hidden="false"/>
    </xf>
    <xf numFmtId="164" fontId="23"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false" applyAlignment="false" applyProtection="false"/>
    <xf numFmtId="164" fontId="0" fillId="0" borderId="0" applyFont="true" applyBorder="false" applyAlignment="false" applyProtection="false"/>
  </cellStyleXfs>
  <cellXfs count="8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50" fillId="0" borderId="0" xfId="0" applyFont="true" applyBorder="true" applyAlignment="true" applyProtection="fals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center" vertical="bottom" textRotation="0" wrapText="false" indent="0" shrinkToFit="false"/>
      <protection locked="true" hidden="false"/>
    </xf>
    <xf numFmtId="164" fontId="53" fillId="0" borderId="0" xfId="20" applyFont="true" applyBorder="true" applyAlignment="true" applyProtection="true">
      <alignment horizontal="center"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55" fillId="0" borderId="0" xfId="0" applyFont="true" applyBorder="true" applyAlignment="true" applyProtection="false">
      <alignment horizontal="center" vertical="bottom" textRotation="0" wrapText="false" indent="0" shrinkToFit="false"/>
      <protection locked="true" hidden="false"/>
    </xf>
    <xf numFmtId="164" fontId="56" fillId="13" borderId="0" xfId="82" applyFont="true" applyBorder="true" applyAlignment="false" applyProtection="false">
      <alignment horizontal="general" vertical="bottom" textRotation="0" wrapText="false" indent="0" shrinkToFit="false"/>
      <protection locked="true" hidden="false"/>
    </xf>
    <xf numFmtId="164" fontId="4" fillId="13" borderId="0" xfId="82" applyFont="true" applyBorder="true" applyAlignment="false" applyProtection="false">
      <alignment horizontal="general" vertical="bottom" textRotation="0" wrapText="false" indent="0" shrinkToFit="false"/>
      <protection locked="true" hidden="false"/>
    </xf>
    <xf numFmtId="164" fontId="4" fillId="13" borderId="27" xfId="82" applyFont="true" applyBorder="true" applyAlignment="false" applyProtection="false">
      <alignment horizontal="general" vertical="bottom" textRotation="0" wrapText="false" indent="0" shrinkToFit="false"/>
      <protection locked="true" hidden="false"/>
    </xf>
    <xf numFmtId="164" fontId="4" fillId="14" borderId="0" xfId="82" applyFont="true" applyBorder="true" applyAlignment="false" applyProtection="false">
      <alignment horizontal="general" vertical="bottom" textRotation="0" wrapText="false" indent="0" shrinkToFit="false"/>
      <protection locked="true" hidden="false"/>
    </xf>
    <xf numFmtId="164" fontId="4" fillId="14" borderId="27" xfId="82" applyFont="true" applyBorder="true" applyAlignment="false" applyProtection="false">
      <alignment horizontal="general" vertical="bottom" textRotation="0" wrapText="false" indent="0" shrinkToFit="false"/>
      <protection locked="true" hidden="false"/>
    </xf>
    <xf numFmtId="164" fontId="4" fillId="14" borderId="27" xfId="82" applyFont="true" applyBorder="true" applyAlignment="true" applyProtection="false">
      <alignment horizontal="left" vertical="top" textRotation="0" wrapText="true" indent="0" shrinkToFit="false"/>
      <protection locked="true" hidden="false"/>
    </xf>
    <xf numFmtId="164" fontId="4" fillId="14" borderId="0" xfId="82" applyFont="true" applyBorder="true" applyAlignment="true" applyProtection="false">
      <alignment horizontal="general" vertical="top" textRotation="0" wrapText="true" indent="0" shrinkToFit="false"/>
      <protection locked="true" hidden="false"/>
    </xf>
    <xf numFmtId="164" fontId="4" fillId="14" borderId="27" xfId="82" applyFont="true" applyBorder="true" applyAlignment="true" applyProtection="false">
      <alignment horizontal="general" vertical="top" textRotation="0" wrapText="true" indent="0" shrinkToFit="false"/>
      <protection locked="true" hidden="false"/>
    </xf>
    <xf numFmtId="164" fontId="4" fillId="14" borderId="0" xfId="82" applyFont="true" applyBorder="true" applyAlignment="true" applyProtection="false">
      <alignment horizontal="left" vertical="top" textRotation="0" wrapText="true" indent="0" shrinkToFit="false"/>
      <protection locked="true" hidden="false"/>
    </xf>
    <xf numFmtId="164" fontId="55" fillId="0" borderId="0" xfId="0" applyFont="true" applyBorder="true" applyAlignment="true" applyProtection="false">
      <alignment horizontal="left" vertical="bottom" textRotation="0" wrapText="false" indent="0" shrinkToFit="false"/>
      <protection locked="true" hidden="false"/>
    </xf>
    <xf numFmtId="164" fontId="57" fillId="14" borderId="0" xfId="20" applyFont="true" applyBorder="true" applyAlignment="true" applyProtection="true">
      <alignment horizontal="general" vertical="bottom" textRotation="0" wrapText="false" indent="0" shrinkToFit="false"/>
      <protection locked="true" hidden="false"/>
    </xf>
    <xf numFmtId="164" fontId="54" fillId="0" borderId="0" xfId="0" applyFont="true" applyBorder="true" applyAlignment="true" applyProtection="false">
      <alignment horizontal="left" vertical="bottom" textRotation="0" wrapText="false" indent="0" shrinkToFit="false"/>
      <protection locked="true" hidden="false"/>
    </xf>
    <xf numFmtId="164" fontId="4" fillId="14" borderId="28" xfId="82" applyFont="true" applyBorder="true" applyAlignment="false" applyProtection="false">
      <alignment horizontal="general" vertical="bottom" textRotation="0" wrapText="false" indent="0" shrinkToFit="false"/>
      <protection locked="true" hidden="false"/>
    </xf>
    <xf numFmtId="164" fontId="57" fillId="14" borderId="28" xfId="20" applyFont="true" applyBorder="true" applyAlignment="true" applyProtection="true">
      <alignment horizontal="general" vertical="bottom" textRotation="0" wrapText="false" indent="0" shrinkToFit="false"/>
      <protection locked="true" hidden="false"/>
    </xf>
    <xf numFmtId="164" fontId="4" fillId="14" borderId="29" xfId="82" applyFont="true" applyBorder="true" applyAlignment="false" applyProtection="false">
      <alignment horizontal="general" vertical="bottom" textRotation="0" wrapText="false" indent="0" shrinkToFit="false"/>
      <protection locked="true" hidden="false"/>
    </xf>
    <xf numFmtId="164" fontId="24" fillId="14" borderId="0" xfId="82" applyFont="true" applyBorder="true" applyAlignment="true" applyProtection="false">
      <alignment horizontal="left" vertical="top" textRotation="0" wrapText="true" indent="0" shrinkToFit="false"/>
      <protection locked="true" hidden="false"/>
    </xf>
    <xf numFmtId="164" fontId="58" fillId="5" borderId="30" xfId="83" applyFont="true" applyBorder="true" applyAlignment="false" applyProtection="false">
      <alignment horizontal="general" vertical="bottom" textRotation="0" wrapText="false" indent="0" shrinkToFit="false"/>
      <protection locked="true" hidden="false"/>
    </xf>
    <xf numFmtId="173" fontId="59" fillId="0" borderId="13" xfId="83" applyFont="true" applyBorder="true" applyAlignment="false" applyProtection="false">
      <alignment horizontal="general" vertical="bottom" textRotation="0" wrapText="false" indent="0" shrinkToFit="false"/>
      <protection locked="true" hidden="false"/>
    </xf>
    <xf numFmtId="164" fontId="60" fillId="0" borderId="13" xfId="83" applyFont="true" applyBorder="true" applyAlignment="false" applyProtection="false">
      <alignment horizontal="general" vertical="bottom" textRotation="0" wrapText="false" indent="0" shrinkToFit="false"/>
      <protection locked="true" hidden="false"/>
    </xf>
    <xf numFmtId="173" fontId="60" fillId="0" borderId="13" xfId="83" applyFont="true" applyBorder="true" applyAlignment="false" applyProtection="false">
      <alignment horizontal="general" vertical="bottom" textRotation="0" wrapText="false" indent="0" shrinkToFit="false"/>
      <protection locked="true" hidden="false"/>
    </xf>
    <xf numFmtId="164" fontId="61" fillId="0" borderId="0" xfId="0" applyFont="true" applyBorder="true" applyAlignment="true" applyProtection="false">
      <alignment horizontal="center" vertical="bottom" textRotation="0" wrapText="true" indent="0" shrinkToFit="false"/>
      <protection locked="true" hidden="false"/>
    </xf>
    <xf numFmtId="164" fontId="62" fillId="0" borderId="13" xfId="83" applyFont="true" applyBorder="true" applyAlignment="false" applyProtection="false">
      <alignment horizontal="general" vertical="bottom" textRotation="0" wrapText="false" indent="0" shrinkToFit="false"/>
      <protection locked="true" hidden="false"/>
    </xf>
    <xf numFmtId="164" fontId="60" fillId="0" borderId="31" xfId="83" applyFont="true" applyBorder="true" applyAlignment="false" applyProtection="false">
      <alignment horizontal="general" vertical="bottom" textRotation="0" wrapText="false" indent="0" shrinkToFit="false"/>
      <protection locked="true" hidden="false"/>
    </xf>
    <xf numFmtId="164" fontId="60" fillId="0" borderId="0" xfId="83" applyFont="true" applyBorder="true" applyAlignment="fals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left" vertical="bottom" textRotation="0" wrapText="false" indent="0" shrinkToFit="false"/>
      <protection locked="true" hidden="false"/>
    </xf>
    <xf numFmtId="164" fontId="64" fillId="0" borderId="0" xfId="83" applyFont="true" applyBorder="true" applyAlignment="true" applyProtection="false">
      <alignment horizontal="left" vertical="center" textRotation="0" wrapText="false" indent="0" shrinkToFit="false"/>
      <protection locked="true" hidden="false"/>
    </xf>
    <xf numFmtId="164" fontId="65" fillId="0" borderId="32" xfId="0" applyFont="true" applyBorder="true" applyAlignment="true" applyProtection="false">
      <alignment horizontal="left" vertical="bottom" textRotation="0" wrapText="false" indent="0" shrinkToFit="false"/>
      <protection locked="true" hidden="false"/>
    </xf>
    <xf numFmtId="164" fontId="66" fillId="0" borderId="33" xfId="0" applyFont="true" applyBorder="true" applyAlignment="false" applyProtection="false">
      <alignment horizontal="general" vertical="bottom" textRotation="0" wrapText="false" indent="0" shrinkToFit="false"/>
      <protection locked="true" hidden="false"/>
    </xf>
    <xf numFmtId="164" fontId="0" fillId="0" borderId="33" xfId="0" applyFont="false" applyBorder="true" applyAlignment="false" applyProtection="false">
      <alignment horizontal="general" vertical="bottom" textRotation="0" wrapText="false" indent="0" shrinkToFit="false"/>
      <protection locked="true" hidden="false"/>
    </xf>
    <xf numFmtId="164" fontId="66" fillId="0" borderId="0" xfId="0" applyFont="true" applyBorder="false" applyAlignment="false" applyProtection="false">
      <alignment horizontal="general" vertical="bottom" textRotation="0" wrapText="false" indent="0" shrinkToFit="false"/>
      <protection locked="true" hidden="false"/>
    </xf>
    <xf numFmtId="164" fontId="63" fillId="15" borderId="34" xfId="0" applyFont="true" applyBorder="true" applyAlignment="true" applyProtection="false">
      <alignment horizontal="center" vertical="bottom" textRotation="0" wrapText="false" indent="0" shrinkToFit="false"/>
      <protection locked="true" hidden="false"/>
    </xf>
    <xf numFmtId="190" fontId="67" fillId="0" borderId="0" xfId="15" applyFont="true" applyBorder="true" applyAlignment="true" applyProtection="true">
      <alignment horizontal="general" vertical="bottom" textRotation="0" wrapText="false" indent="0" shrinkToFit="false"/>
      <protection locked="true" hidden="false"/>
    </xf>
    <xf numFmtId="164" fontId="63" fillId="15" borderId="35" xfId="0" applyFont="true" applyBorder="true" applyAlignment="true" applyProtection="false">
      <alignment horizontal="center" vertical="bottom" textRotation="0" wrapText="false" indent="0" shrinkToFit="false"/>
      <protection locked="true" hidden="false"/>
    </xf>
    <xf numFmtId="164" fontId="67" fillId="0" borderId="34" xfId="0" applyFont="true" applyBorder="true" applyAlignment="false" applyProtection="false">
      <alignment horizontal="general" vertical="bottom" textRotation="0" wrapText="false" indent="0" shrinkToFit="false"/>
      <protection locked="true" hidden="false"/>
    </xf>
    <xf numFmtId="164" fontId="67" fillId="0" borderId="34" xfId="0" applyFont="true" applyBorder="true" applyAlignment="true" applyProtection="false">
      <alignment horizontal="center" vertical="bottom" textRotation="0" wrapText="false" indent="0" shrinkToFit="false"/>
      <protection locked="true" hidden="false"/>
    </xf>
    <xf numFmtId="164" fontId="67" fillId="0" borderId="34" xfId="0" applyFont="true" applyBorder="true" applyAlignment="true" applyProtection="false">
      <alignment horizontal="justify" vertical="top" textRotation="0" wrapText="true" indent="0" shrinkToFit="false"/>
      <protection locked="true" hidden="false"/>
    </xf>
    <xf numFmtId="191" fontId="67" fillId="0" borderId="34" xfId="0" applyFont="true" applyBorder="true" applyAlignment="true" applyProtection="false">
      <alignment horizontal="right" vertical="bottom" textRotation="0" wrapText="false" indent="0" shrinkToFit="false"/>
      <protection locked="true" hidden="false"/>
    </xf>
    <xf numFmtId="164" fontId="67" fillId="0" borderId="34" xfId="0" applyFont="true" applyBorder="true" applyAlignment="true" applyProtection="false">
      <alignment horizontal="right" vertical="bottom" textRotation="0" wrapText="false" indent="0" shrinkToFit="false"/>
      <protection locked="true" hidden="false"/>
    </xf>
    <xf numFmtId="192" fontId="67" fillId="0" borderId="34" xfId="15" applyFont="true" applyBorder="true" applyAlignment="true" applyProtection="true">
      <alignment horizontal="center" vertical="bottom" textRotation="0" wrapText="false" indent="0" shrinkToFit="false"/>
      <protection locked="true" hidden="false"/>
    </xf>
    <xf numFmtId="193" fontId="67" fillId="0" borderId="34" xfId="0" applyFont="true" applyBorder="true" applyAlignment="true" applyProtection="false">
      <alignment horizontal="right" vertical="bottom" textRotation="0" wrapText="false" indent="0" shrinkToFit="false"/>
      <protection locked="true" hidden="false"/>
    </xf>
    <xf numFmtId="164" fontId="67" fillId="0" borderId="0" xfId="0" applyFont="true" applyBorder="false" applyAlignment="true" applyProtection="false">
      <alignment horizontal="justify" vertical="top" textRotation="0" wrapText="true" indent="0" shrinkToFit="false"/>
      <protection locked="true" hidden="false"/>
    </xf>
    <xf numFmtId="164" fontId="63" fillId="15" borderId="36" xfId="0" applyFont="true" applyBorder="true" applyAlignment="true" applyProtection="false">
      <alignment horizontal="center" vertical="bottom" textRotation="0" wrapText="false" indent="0" shrinkToFit="false"/>
      <protection locked="true" hidden="false"/>
    </xf>
    <xf numFmtId="190" fontId="67" fillId="0" borderId="36" xfId="15" applyFont="true" applyBorder="true" applyAlignment="true" applyProtection="true">
      <alignment horizontal="general" vertical="bottom" textRotation="0" wrapText="false" indent="0" shrinkToFit="false"/>
      <protection locked="true" hidden="false"/>
    </xf>
    <xf numFmtId="164" fontId="68" fillId="0" borderId="22" xfId="0" applyFont="true" applyBorder="true" applyAlignment="false" applyProtection="false">
      <alignment horizontal="general" vertical="bottom" textRotation="0" wrapText="false" indent="0" shrinkToFit="false"/>
      <protection locked="true" hidden="false"/>
    </xf>
    <xf numFmtId="164" fontId="68" fillId="0" borderId="0" xfId="0" applyFont="true" applyBorder="true" applyAlignment="false" applyProtection="false">
      <alignment horizontal="general" vertical="bottom" textRotation="0" wrapText="false" indent="0" shrinkToFit="false"/>
      <protection locked="true" hidden="false"/>
    </xf>
    <xf numFmtId="164" fontId="69" fillId="0" borderId="0" xfId="0" applyFont="true" applyBorder="false" applyAlignment="false" applyProtection="false">
      <alignment horizontal="general" vertical="bottom" textRotation="0" wrapText="false" indent="0" shrinkToFit="false"/>
      <protection locked="true" hidden="false"/>
    </xf>
    <xf numFmtId="190" fontId="70" fillId="0" borderId="0" xfId="15" applyFont="true" applyBorder="true" applyAlignment="true" applyProtection="true">
      <alignment horizontal="center" vertical="bottom" textRotation="0" wrapText="false" indent="0" shrinkToFit="false"/>
      <protection locked="true" hidden="false"/>
    </xf>
    <xf numFmtId="164" fontId="71" fillId="15" borderId="37" xfId="0" applyFont="true" applyBorder="true" applyAlignment="true" applyProtection="false">
      <alignment horizontal="center" vertical="center" textRotation="0" wrapText="false" indent="0" shrinkToFit="false"/>
      <protection locked="true" hidden="false"/>
    </xf>
    <xf numFmtId="164" fontId="72" fillId="0" borderId="38" xfId="0" applyFont="true" applyBorder="true" applyAlignment="true" applyProtection="false">
      <alignment horizontal="center" vertical="bottom" textRotation="0" wrapText="false" indent="0" shrinkToFit="false"/>
      <protection locked="true" hidden="false"/>
    </xf>
    <xf numFmtId="194" fontId="73" fillId="0" borderId="0" xfId="84" applyFont="true" applyBorder="true" applyAlignment="true" applyProtection="true">
      <alignment horizontal="right" vertical="bottom" textRotation="0" wrapText="false" indent="0" shrinkToFit="false"/>
      <protection locked="true" hidden="false"/>
    </xf>
    <xf numFmtId="195" fontId="73" fillId="0" borderId="0" xfId="84" applyFont="true" applyBorder="true" applyAlignment="true" applyProtection="true">
      <alignment horizontal="right" vertical="bottom" textRotation="0" wrapText="false" indent="0" shrinkToFit="false"/>
      <protection locked="true" hidden="false"/>
    </xf>
    <xf numFmtId="164" fontId="73" fillId="0" borderId="38" xfId="0" applyFont="true" applyBorder="true" applyAlignment="true" applyProtection="false">
      <alignment horizontal="general" vertical="bottom" textRotation="0" wrapText="true" indent="0" shrinkToFit="false"/>
      <protection locked="true" hidden="false"/>
    </xf>
    <xf numFmtId="173" fontId="73" fillId="0" borderId="38" xfId="19" applyFont="true" applyBorder="true" applyAlignment="true" applyProtection="true">
      <alignment horizontal="right" vertical="bottom" textRotation="0" wrapText="false" indent="0" shrinkToFit="false"/>
      <protection locked="true" hidden="false"/>
    </xf>
    <xf numFmtId="182" fontId="73" fillId="0" borderId="0" xfId="19" applyFont="true" applyBorder="true" applyAlignment="true" applyProtection="true">
      <alignment horizontal="right" vertical="bottom" textRotation="0" wrapText="false" indent="0" shrinkToFit="false"/>
      <protection locked="true" hidden="false"/>
    </xf>
    <xf numFmtId="164" fontId="73" fillId="0" borderId="38" xfId="84" applyFont="true" applyBorder="true" applyAlignment="false" applyProtection="true">
      <alignment horizontal="general" vertical="bottom" textRotation="0" wrapText="false" indent="0" shrinkToFit="false"/>
      <protection locked="true" hidden="false"/>
    </xf>
    <xf numFmtId="182" fontId="73" fillId="0" borderId="38" xfId="84" applyFont="true" applyBorder="true" applyAlignment="true" applyProtection="true">
      <alignment horizontal="right" vertical="bottom" textRotation="0" wrapText="false" indent="0" shrinkToFit="false"/>
      <protection locked="true" hidden="false"/>
    </xf>
    <xf numFmtId="182" fontId="73" fillId="0" borderId="0" xfId="84" applyFont="true" applyBorder="true" applyAlignment="true" applyProtection="true">
      <alignment horizontal="right" vertical="bottom" textRotation="0" wrapText="false" indent="0" shrinkToFit="false"/>
      <protection locked="true" hidden="false"/>
    </xf>
    <xf numFmtId="182" fontId="73" fillId="0" borderId="39" xfId="84" applyFont="true" applyBorder="true" applyAlignment="true" applyProtection="true">
      <alignment horizontal="right" vertical="bottom" textRotation="0" wrapText="false" indent="0" shrinkToFit="false"/>
      <protection locked="true" hidden="false"/>
    </xf>
    <xf numFmtId="192" fontId="73" fillId="0" borderId="38" xfId="15" applyFont="true" applyBorder="true" applyAlignment="true" applyProtection="true">
      <alignment horizontal="general" vertical="bottom" textRotation="0" wrapText="true" indent="0" shrinkToFit="false"/>
      <protection locked="true" hidden="false"/>
    </xf>
    <xf numFmtId="192" fontId="73" fillId="0" borderId="38" xfId="15" applyFont="true" applyBorder="true" applyAlignment="true" applyProtection="true">
      <alignment horizontal="general" vertical="bottom" textRotation="0" wrapText="false" indent="0" shrinkToFit="false"/>
      <protection locked="true" hidden="false"/>
    </xf>
    <xf numFmtId="192" fontId="73" fillId="0" borderId="40" xfId="15" applyFont="true" applyBorder="true" applyAlignment="true" applyProtection="true">
      <alignment horizontal="general" vertical="bottom" textRotation="0" wrapText="false" indent="0" shrinkToFit="false"/>
      <protection locked="true" hidden="false"/>
    </xf>
    <xf numFmtId="192" fontId="73" fillId="0" borderId="4" xfId="15" applyFont="true" applyBorder="true" applyAlignment="true" applyProtection="true">
      <alignment horizontal="general" vertical="bottom" textRotation="0" wrapText="false" indent="0" shrinkToFit="false"/>
      <protection locked="true" hidden="false"/>
    </xf>
    <xf numFmtId="192" fontId="73" fillId="0" borderId="0" xfId="15" applyFont="true" applyBorder="true" applyAlignment="true" applyProtection="tru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73" fontId="67" fillId="0" borderId="38" xfId="0" applyFont="true" applyBorder="true" applyAlignment="false" applyProtection="false">
      <alignment horizontal="general" vertical="bottom" textRotation="0" wrapText="false" indent="0" shrinkToFit="false"/>
      <protection locked="true" hidden="false"/>
    </xf>
    <xf numFmtId="173" fontId="67" fillId="0" borderId="38" xfId="15" applyFont="true" applyBorder="true" applyAlignment="true" applyProtection="true">
      <alignment horizontal="general" vertical="bottom" textRotation="0" wrapText="false" indent="0" shrinkToFit="false"/>
      <protection locked="true" hidden="false"/>
    </xf>
    <xf numFmtId="173" fontId="67" fillId="0" borderId="41" xfId="15" applyFont="true" applyBorder="true" applyAlignment="true" applyProtection="true">
      <alignment horizontal="general" vertical="bottom" textRotation="0" wrapText="false" indent="0" shrinkToFit="false"/>
      <protection locked="true" hidden="false"/>
    </xf>
    <xf numFmtId="192" fontId="67" fillId="0" borderId="0" xfId="15" applyFont="true" applyBorder="true" applyAlignment="true" applyProtection="true">
      <alignment horizontal="general" vertical="bottom" textRotation="0" wrapText="false" indent="0" shrinkToFit="false"/>
      <protection locked="true" hidden="false"/>
    </xf>
    <xf numFmtId="196" fontId="67" fillId="0" borderId="38" xfId="0" applyFont="true" applyBorder="true" applyAlignment="false" applyProtection="false">
      <alignment horizontal="general" vertical="bottom" textRotation="0" wrapText="false" indent="0" shrinkToFit="false"/>
      <protection locked="true" hidden="false"/>
    </xf>
    <xf numFmtId="196" fontId="67" fillId="0" borderId="38" xfId="15" applyFont="true" applyBorder="true" applyAlignment="true" applyProtection="true">
      <alignment horizontal="general" vertical="bottom" textRotation="0" wrapText="false" indent="0" shrinkToFit="false"/>
      <protection locked="true" hidden="false"/>
    </xf>
    <xf numFmtId="197" fontId="67" fillId="0" borderId="38" xfId="15" applyFont="true" applyBorder="true" applyAlignment="true" applyProtection="true">
      <alignment horizontal="general" vertical="bottom" textRotation="0" wrapText="false" indent="0" shrinkToFit="false"/>
      <protection locked="true" hidden="false"/>
    </xf>
    <xf numFmtId="164" fontId="74" fillId="15" borderId="36" xfId="0" applyFont="true" applyBorder="true" applyAlignment="true" applyProtection="false">
      <alignment horizontal="center" vertical="bottom" textRotation="0" wrapText="false" indent="0" shrinkToFit="false"/>
      <protection locked="true" hidden="false"/>
    </xf>
    <xf numFmtId="164" fontId="75" fillId="0" borderId="33" xfId="0" applyFont="true" applyBorder="true" applyAlignment="true" applyProtection="false">
      <alignment horizontal="center" vertical="bottom" textRotation="0" wrapText="true" indent="0" shrinkToFit="false"/>
      <protection locked="true" hidden="false"/>
    </xf>
    <xf numFmtId="164" fontId="75" fillId="0" borderId="36" xfId="0" applyFont="true" applyBorder="true" applyAlignment="false" applyProtection="false">
      <alignment horizontal="general" vertical="bottom" textRotation="0" wrapText="false" indent="0" shrinkToFit="false"/>
      <protection locked="true" hidden="false"/>
    </xf>
    <xf numFmtId="164" fontId="76" fillId="14" borderId="42" xfId="0" applyFont="true" applyBorder="true" applyAlignment="true" applyProtection="false">
      <alignment horizontal="left" vertical="top" textRotation="0" wrapText="true" indent="0" shrinkToFit="false"/>
      <protection locked="true" hidden="false"/>
    </xf>
    <xf numFmtId="190" fontId="73" fillId="0" borderId="35" xfId="15"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7" fillId="0" borderId="0" xfId="0" applyFont="true" applyBorder="true" applyAlignment="true" applyProtection="false">
      <alignment horizontal="left" vertical="bottom" textRotation="0" wrapText="false" indent="1" shrinkToFit="false"/>
      <protection locked="true" hidden="false"/>
    </xf>
    <xf numFmtId="190" fontId="73" fillId="0" borderId="0" xfId="15" applyFont="true" applyBorder="true" applyAlignment="true" applyProtection="true">
      <alignment horizontal="general" vertical="bottom" textRotation="0" wrapText="false" indent="0" shrinkToFit="false"/>
      <protection locked="true" hidden="false"/>
    </xf>
    <xf numFmtId="164" fontId="76" fillId="14" borderId="43" xfId="0" applyFont="true" applyBorder="true" applyAlignment="true" applyProtection="false">
      <alignment horizontal="left" vertical="top" textRotation="0" wrapText="true" indent="0" shrinkToFit="false"/>
      <protection locked="true" hidden="false"/>
    </xf>
    <xf numFmtId="190" fontId="73" fillId="0" borderId="44" xfId="15" applyFont="true" applyBorder="true" applyAlignment="true" applyProtection="true">
      <alignment horizontal="general" vertical="bottom" textRotation="0" wrapText="false" indent="0" shrinkToFit="false"/>
      <protection locked="true" hidden="false"/>
    </xf>
    <xf numFmtId="164" fontId="67" fillId="0" borderId="0" xfId="0" applyFont="true" applyBorder="true" applyAlignment="true" applyProtection="false">
      <alignment horizontal="left" vertical="bottom" textRotation="0" wrapText="true" indent="1" shrinkToFit="false"/>
      <protection locked="true" hidden="false"/>
    </xf>
    <xf numFmtId="190" fontId="73" fillId="0" borderId="44" xfId="15" applyFont="true" applyBorder="true" applyAlignment="true" applyProtection="true">
      <alignment horizontal="left" vertical="bottom" textRotation="0" wrapText="true" indent="1" shrinkToFit="false"/>
      <protection locked="true" hidden="false"/>
    </xf>
    <xf numFmtId="171" fontId="73" fillId="0" borderId="0" xfId="15" applyFont="true" applyBorder="true" applyAlignment="true" applyProtection="true">
      <alignment horizontal="left" vertical="bottom" textRotation="0" wrapText="true" indent="1" shrinkToFit="false"/>
      <protection locked="true" hidden="false"/>
    </xf>
    <xf numFmtId="190" fontId="73" fillId="0" borderId="0" xfId="15" applyFont="true" applyBorder="true" applyAlignment="true" applyProtection="true">
      <alignment horizontal="left" vertical="bottom" textRotation="0" wrapText="true" indent="1" shrinkToFit="false"/>
      <protection locked="true" hidden="false"/>
    </xf>
    <xf numFmtId="190" fontId="65" fillId="0" borderId="44" xfId="15" applyFont="true" applyBorder="true" applyAlignment="true" applyProtection="true">
      <alignment horizontal="general" vertical="bottom" textRotation="0" wrapText="false" indent="0" shrinkToFit="false"/>
      <protection locked="true" hidden="false"/>
    </xf>
    <xf numFmtId="164" fontId="77" fillId="0" borderId="0" xfId="0" applyFont="true" applyBorder="false" applyAlignment="false" applyProtection="false">
      <alignment horizontal="general" vertical="bottom" textRotation="0" wrapText="false" indent="0" shrinkToFit="false"/>
      <protection locked="true" hidden="false"/>
    </xf>
    <xf numFmtId="190" fontId="65" fillId="0" borderId="0" xfId="15" applyFont="true" applyBorder="true" applyAlignment="true" applyProtection="true">
      <alignment horizontal="general" vertical="bottom" textRotation="0" wrapText="false" indent="0" shrinkToFit="false"/>
      <protection locked="true" hidden="false"/>
    </xf>
    <xf numFmtId="164" fontId="76" fillId="14" borderId="45" xfId="0" applyFont="true" applyBorder="true" applyAlignment="true" applyProtection="false">
      <alignment horizontal="left" vertical="top" textRotation="0" wrapText="true" indent="0" shrinkToFit="false"/>
      <protection locked="true" hidden="false"/>
    </xf>
    <xf numFmtId="164" fontId="67" fillId="0" borderId="44" xfId="0" applyFont="true" applyBorder="true" applyAlignment="false" applyProtection="false">
      <alignment horizontal="general" vertical="bottom" textRotation="0" wrapText="false" indent="0" shrinkToFit="false"/>
      <protection locked="true" hidden="false"/>
    </xf>
    <xf numFmtId="164" fontId="78" fillId="14" borderId="46" xfId="0" applyFont="true" applyBorder="true" applyAlignment="true" applyProtection="false">
      <alignment horizontal="left" vertical="top" textRotation="0" wrapText="true" indent="0" shrinkToFit="false"/>
      <protection locked="true" hidden="false"/>
    </xf>
    <xf numFmtId="190" fontId="0" fillId="0" borderId="34" xfId="0" applyFont="false" applyBorder="true" applyAlignment="false" applyProtection="false">
      <alignment horizontal="general" vertical="bottom" textRotation="0" wrapText="false" indent="0" shrinkToFit="false"/>
      <protection locked="true" hidden="false"/>
    </xf>
    <xf numFmtId="164" fontId="63" fillId="15" borderId="36" xfId="0" applyFont="true" applyBorder="true" applyAlignment="false" applyProtection="false">
      <alignment horizontal="general" vertical="bottom" textRotation="0" wrapText="false" indent="0" shrinkToFit="false"/>
      <protection locked="true" hidden="false"/>
    </xf>
    <xf numFmtId="164" fontId="75" fillId="0" borderId="0" xfId="0" applyFont="true" applyBorder="true" applyAlignment="false" applyProtection="false">
      <alignment horizontal="general" vertical="bottom" textRotation="0" wrapText="false" indent="0" shrinkToFit="false"/>
      <protection locked="true" hidden="false"/>
    </xf>
    <xf numFmtId="164" fontId="79" fillId="0" borderId="4" xfId="0" applyFont="true" applyBorder="true" applyAlignment="true" applyProtection="false">
      <alignment horizontal="center" vertical="bottom" textRotation="0" wrapText="false" indent="0" shrinkToFit="false"/>
      <protection locked="true" hidden="false"/>
    </xf>
    <xf numFmtId="164" fontId="79" fillId="0" borderId="4" xfId="0" applyFont="true" applyBorder="true" applyAlignment="false" applyProtection="false">
      <alignment horizontal="general" vertical="bottom" textRotation="0" wrapText="false" indent="0" shrinkToFit="false"/>
      <protection locked="true" hidden="false"/>
    </xf>
    <xf numFmtId="164" fontId="79" fillId="0" borderId="4" xfId="0" applyFont="true" applyBorder="true" applyAlignment="false" applyProtection="false">
      <alignment horizontal="general" vertical="bottom" textRotation="0" wrapText="false" indent="0" shrinkToFit="false"/>
      <protection locked="true" hidden="false"/>
    </xf>
    <xf numFmtId="164" fontId="80" fillId="14" borderId="47" xfId="0" applyFont="true" applyBorder="true" applyAlignment="true" applyProtection="false">
      <alignment horizontal="left" vertical="top" textRotation="0" wrapText="true" indent="0" shrinkToFit="false"/>
      <protection locked="true" hidden="false"/>
    </xf>
    <xf numFmtId="164" fontId="67" fillId="0" borderId="4" xfId="0" applyFont="true" applyBorder="true" applyAlignment="true" applyProtection="false">
      <alignment horizontal="center" vertical="bottom" textRotation="0" wrapText="false" indent="0" shrinkToFit="false"/>
      <protection locked="true" hidden="false"/>
    </xf>
    <xf numFmtId="164" fontId="81" fillId="14" borderId="47" xfId="0" applyFont="true" applyBorder="true" applyAlignment="true" applyProtection="false">
      <alignment horizontal="left" vertical="top" textRotation="0" wrapText="true" indent="0" shrinkToFit="false"/>
      <protection locked="true" hidden="false"/>
    </xf>
    <xf numFmtId="198" fontId="77" fillId="0" borderId="4" xfId="0" applyFont="true" applyBorder="true" applyAlignment="true" applyProtection="false">
      <alignment horizontal="center" vertical="bottom" textRotation="0" wrapText="false" indent="0" shrinkToFit="false"/>
      <protection locked="true" hidden="false"/>
    </xf>
    <xf numFmtId="164" fontId="73" fillId="0" borderId="32" xfId="0" applyFont="true" applyBorder="true" applyAlignment="true" applyProtection="false">
      <alignment horizontal="general" vertical="bottom" textRotation="0" wrapText="true" indent="0" shrinkToFit="false"/>
      <protection locked="true" hidden="false"/>
    </xf>
    <xf numFmtId="164" fontId="67" fillId="0" borderId="0" xfId="0" applyFont="true" applyBorder="true" applyAlignment="false" applyProtection="false">
      <alignment horizontal="general" vertical="bottom" textRotation="0" wrapText="false" indent="0" shrinkToFit="false"/>
      <protection locked="true" hidden="false"/>
    </xf>
    <xf numFmtId="164" fontId="67" fillId="0" borderId="0" xfId="0" applyFont="true" applyBorder="true" applyAlignment="true" applyProtection="false">
      <alignment horizontal="center" vertical="bottom" textRotation="0" wrapText="false" indent="0" shrinkToFit="false"/>
      <protection locked="true" hidden="false"/>
    </xf>
    <xf numFmtId="182" fontId="67" fillId="0" borderId="0" xfId="19" applyFont="true" applyBorder="true" applyAlignment="true" applyProtection="true">
      <alignment horizontal="general" vertical="bottom" textRotation="0" wrapText="false" indent="0" shrinkToFit="false"/>
      <protection locked="true" hidden="false"/>
    </xf>
    <xf numFmtId="167" fontId="67" fillId="0" borderId="0" xfId="0" applyFont="true" applyBorder="true" applyAlignment="false" applyProtection="false">
      <alignment horizontal="general" vertical="bottom" textRotation="0" wrapText="false" indent="0" shrinkToFit="false"/>
      <protection locked="true" hidden="false"/>
    </xf>
    <xf numFmtId="164" fontId="82" fillId="0" borderId="0" xfId="0" applyFont="true" applyBorder="true" applyAlignment="true" applyProtection="false">
      <alignment horizontal="general" vertical="bottom" textRotation="0" wrapText="true" indent="0" shrinkToFit="false"/>
      <protection locked="true" hidden="false"/>
    </xf>
    <xf numFmtId="164" fontId="82" fillId="0" borderId="0" xfId="0" applyFont="true" applyBorder="true" applyAlignment="false" applyProtection="false">
      <alignment horizontal="general" vertical="bottom" textRotation="0" wrapText="false" indent="0" shrinkToFit="false"/>
      <protection locked="true" hidden="false"/>
    </xf>
    <xf numFmtId="191" fontId="67" fillId="0" borderId="0" xfId="0" applyFont="true" applyBorder="true" applyAlignment="true" applyProtection="false">
      <alignment horizontal="right" vertical="bottom" textRotation="0" wrapText="false" indent="0" shrinkToFit="false"/>
      <protection locked="true" hidden="false"/>
    </xf>
    <xf numFmtId="164" fontId="67" fillId="0" borderId="0" xfId="0" applyFont="true" applyBorder="true" applyAlignment="true" applyProtection="false">
      <alignment horizontal="right" vertical="bottom" textRotation="0" wrapText="false" indent="0" shrinkToFit="false"/>
      <protection locked="true" hidden="false"/>
    </xf>
    <xf numFmtId="192" fontId="67" fillId="0" borderId="0" xfId="15" applyFont="true" applyBorder="true" applyAlignment="true" applyProtection="true">
      <alignment horizontal="center" vertical="bottom" textRotation="0" wrapText="false" indent="0" shrinkToFit="false"/>
      <protection locked="true" hidden="false"/>
    </xf>
    <xf numFmtId="193" fontId="67" fillId="0" borderId="0" xfId="0" applyFont="true" applyBorder="true" applyAlignment="true" applyProtection="false">
      <alignment horizontal="right" vertical="bottom" textRotation="0" wrapText="false" indent="0" shrinkToFit="false"/>
      <protection locked="true" hidden="false"/>
    </xf>
    <xf numFmtId="164" fontId="84" fillId="5" borderId="0" xfId="83" applyFont="true" applyBorder="true" applyAlignment="false" applyProtection="false">
      <alignment horizontal="general" vertical="bottom" textRotation="0" wrapText="false" indent="0" shrinkToFit="false"/>
      <protection locked="true" hidden="false"/>
    </xf>
    <xf numFmtId="164" fontId="67" fillId="0" borderId="0" xfId="0" applyFont="true" applyBorder="false" applyAlignment="false" applyProtection="false">
      <alignment horizontal="general" vertical="bottom" textRotation="0" wrapText="false" indent="0" shrinkToFit="false"/>
      <protection locked="true" hidden="false"/>
    </xf>
    <xf numFmtId="164" fontId="67" fillId="0" borderId="0" xfId="0" applyFont="true" applyBorder="false" applyAlignment="false" applyProtection="false">
      <alignment horizontal="general" vertical="bottom" textRotation="0" wrapText="false" indent="0" shrinkToFit="false"/>
      <protection locked="true" hidden="false"/>
    </xf>
    <xf numFmtId="164" fontId="85" fillId="0" borderId="0" xfId="0" applyFont="true" applyBorder="false" applyAlignment="true" applyProtection="false">
      <alignment horizontal="left" vertical="bottom" textRotation="0" wrapText="false" indent="0" shrinkToFit="false"/>
      <protection locked="true" hidden="false"/>
    </xf>
    <xf numFmtId="164" fontId="86" fillId="0" borderId="0" xfId="0" applyFont="true" applyBorder="true" applyAlignment="true" applyProtection="false">
      <alignment horizontal="center" vertical="bottom" textRotation="0" wrapText="false" indent="0" shrinkToFit="false"/>
      <protection locked="true" hidden="false"/>
    </xf>
    <xf numFmtId="164" fontId="74" fillId="0" borderId="0" xfId="0" applyFont="true" applyBorder="true" applyAlignment="true" applyProtection="false">
      <alignment horizontal="left" vertical="bottom" textRotation="0" wrapText="false" indent="0" shrinkToFit="false"/>
      <protection locked="true" hidden="false"/>
    </xf>
    <xf numFmtId="164" fontId="87" fillId="15" borderId="0" xfId="83" applyFont="true" applyBorder="true" applyAlignment="true" applyProtection="false">
      <alignment horizontal="left" vertical="bottom" textRotation="0" wrapText="false" indent="0" shrinkToFit="false"/>
      <protection locked="true" hidden="false"/>
    </xf>
    <xf numFmtId="164" fontId="63" fillId="0" borderId="48" xfId="0" applyFont="true" applyBorder="true" applyAlignment="true" applyProtection="false">
      <alignment horizontal="center" vertical="bottom" textRotation="0" wrapText="false" indent="0" shrinkToFit="false"/>
      <protection locked="true" hidden="false"/>
    </xf>
    <xf numFmtId="164" fontId="65" fillId="0" borderId="0" xfId="0" applyFont="true" applyBorder="true" applyAlignment="true" applyProtection="false">
      <alignment horizontal="left" vertical="bottom" textRotation="0" wrapText="false" indent="0" shrinkToFit="false"/>
      <protection locked="true" hidden="false"/>
    </xf>
    <xf numFmtId="164" fontId="61" fillId="0" borderId="48" xfId="0" applyFont="true" applyBorder="true" applyAlignment="true" applyProtection="false">
      <alignment horizontal="center" vertical="bottom" textRotation="0" wrapText="false" indent="0" shrinkToFit="false"/>
      <protection locked="true" hidden="false"/>
    </xf>
    <xf numFmtId="199" fontId="88" fillId="0" borderId="49" xfId="0" applyFont="true" applyBorder="true" applyAlignment="true" applyProtection="false">
      <alignment horizontal="center" vertical="bottom" textRotation="0" wrapText="false" indent="0" shrinkToFit="false"/>
      <protection locked="true" hidden="false"/>
    </xf>
    <xf numFmtId="199" fontId="88" fillId="0" borderId="50" xfId="0" applyFont="true" applyBorder="true" applyAlignment="true" applyProtection="false">
      <alignment horizontal="center" vertical="bottom" textRotation="0" wrapText="false" indent="0" shrinkToFit="false"/>
      <protection locked="true" hidden="false"/>
    </xf>
    <xf numFmtId="200" fontId="89" fillId="15" borderId="50" xfId="0" applyFont="true" applyBorder="true" applyAlignment="true" applyProtection="false">
      <alignment horizontal="center" vertical="bottom" textRotation="0" wrapText="false" indent="0" shrinkToFit="false"/>
      <protection locked="true" hidden="false"/>
    </xf>
    <xf numFmtId="200" fontId="90" fillId="15" borderId="50" xfId="0" applyFont="true" applyBorder="true" applyAlignment="true" applyProtection="false">
      <alignment horizontal="center" vertical="bottom" textRotation="0" wrapText="false" indent="0" shrinkToFit="false"/>
      <protection locked="true" hidden="false"/>
    </xf>
    <xf numFmtId="200" fontId="90" fillId="15" borderId="51" xfId="0" applyFont="true" applyBorder="true" applyAlignment="true" applyProtection="false">
      <alignment horizontal="center" vertical="bottom" textRotation="0" wrapText="false" indent="0" shrinkToFit="false"/>
      <protection locked="true" hidden="false"/>
    </xf>
    <xf numFmtId="164" fontId="88" fillId="0" borderId="52" xfId="0" applyFont="true" applyBorder="true" applyAlignment="true" applyProtection="false">
      <alignment horizontal="center" vertical="bottom" textRotation="0" wrapText="false" indent="0" shrinkToFit="false"/>
      <protection locked="true" hidden="false"/>
    </xf>
    <xf numFmtId="164" fontId="88" fillId="0" borderId="53" xfId="0" applyFont="true" applyBorder="true" applyAlignment="true" applyProtection="false">
      <alignment horizontal="center" vertical="bottom" textRotation="0" wrapText="false" indent="0" shrinkToFit="false"/>
      <protection locked="true" hidden="false"/>
    </xf>
    <xf numFmtId="164" fontId="90" fillId="15" borderId="53" xfId="0" applyFont="true" applyBorder="true" applyAlignment="true" applyProtection="false">
      <alignment horizontal="center" vertical="bottom" textRotation="0" wrapText="false" indent="0" shrinkToFit="false"/>
      <protection locked="true" hidden="false"/>
    </xf>
    <xf numFmtId="164" fontId="90" fillId="15" borderId="54" xfId="0" applyFont="true" applyBorder="true" applyAlignment="true" applyProtection="false">
      <alignment horizontal="center" vertical="bottom" textRotation="0" wrapText="false" indent="0" shrinkToFit="false"/>
      <protection locked="true" hidden="false"/>
    </xf>
    <xf numFmtId="164" fontId="90" fillId="15" borderId="48" xfId="0" applyFont="true" applyBorder="true" applyAlignment="true" applyProtection="false">
      <alignment horizontal="center" vertical="bottom" textRotation="0" wrapText="false" indent="0" shrinkToFit="false"/>
      <protection locked="true" hidden="false"/>
    </xf>
    <xf numFmtId="164" fontId="73" fillId="0" borderId="0" xfId="0" applyFont="true" applyBorder="false" applyAlignment="false" applyProtection="false">
      <alignment horizontal="general" vertical="bottom" textRotation="0" wrapText="false" indent="0" shrinkToFit="false"/>
      <protection locked="true" hidden="false"/>
    </xf>
    <xf numFmtId="164" fontId="73" fillId="0" borderId="0" xfId="0" applyFont="true" applyBorder="false" applyAlignment="false" applyProtection="false">
      <alignment horizontal="general" vertical="bottom" textRotation="0" wrapText="false" indent="0" shrinkToFit="false"/>
      <protection locked="true" hidden="false"/>
    </xf>
    <xf numFmtId="164" fontId="63" fillId="16" borderId="55" xfId="0" applyFont="true" applyBorder="true" applyAlignment="false" applyProtection="false">
      <alignment horizontal="general" vertical="bottom" textRotation="0" wrapText="false" indent="0" shrinkToFit="false"/>
      <protection locked="true" hidden="false"/>
    </xf>
    <xf numFmtId="190" fontId="67" fillId="0" borderId="56" xfId="15" applyFont="true" applyBorder="true" applyAlignment="true" applyProtection="true">
      <alignment horizontal="general" vertical="bottom" textRotation="0" wrapText="false" indent="0" shrinkToFit="false"/>
      <protection locked="true" hidden="false"/>
    </xf>
    <xf numFmtId="190" fontId="67" fillId="0" borderId="57" xfId="15" applyFont="true" applyBorder="true" applyAlignment="true" applyProtection="true">
      <alignment horizontal="general" vertical="bottom" textRotation="0" wrapText="false" indent="0" shrinkToFit="false"/>
      <protection locked="true" hidden="false"/>
    </xf>
    <xf numFmtId="190" fontId="73" fillId="0" borderId="57" xfId="15" applyFont="true" applyBorder="true" applyAlignment="true" applyProtection="true">
      <alignment horizontal="general" vertical="bottom" textRotation="0" wrapText="false" indent="0" shrinkToFit="false"/>
      <protection locked="true" hidden="false"/>
    </xf>
    <xf numFmtId="190" fontId="73" fillId="0" borderId="58" xfId="15" applyFont="true" applyBorder="true" applyAlignment="true" applyProtection="true">
      <alignment horizontal="general" vertical="bottom" textRotation="0" wrapText="false" indent="0" shrinkToFit="false"/>
      <protection locked="true" hidden="false"/>
    </xf>
    <xf numFmtId="164" fontId="76" fillId="14" borderId="59" xfId="0" applyFont="true" applyBorder="true" applyAlignment="true" applyProtection="false">
      <alignment horizontal="left" vertical="top" textRotation="0" wrapText="true" indent="0" shrinkToFit="false"/>
      <protection locked="true" hidden="false"/>
    </xf>
    <xf numFmtId="201" fontId="91" fillId="0" borderId="60" xfId="0" applyFont="true" applyBorder="true" applyAlignment="true" applyProtection="false">
      <alignment horizontal="general" vertical="bottom" textRotation="0" wrapText="false" indent="0" shrinkToFit="false"/>
      <protection locked="true" hidden="false"/>
    </xf>
    <xf numFmtId="201" fontId="91" fillId="0" borderId="0" xfId="0" applyFont="true" applyBorder="true" applyAlignment="true" applyProtection="false">
      <alignment horizontal="general" vertical="bottom" textRotation="0" wrapText="false" indent="0" shrinkToFit="false"/>
      <protection locked="true" hidden="false"/>
    </xf>
    <xf numFmtId="201" fontId="91" fillId="0" borderId="0" xfId="0" applyFont="true" applyBorder="true" applyAlignment="false" applyProtection="false">
      <alignment horizontal="general" vertical="bottom" textRotation="0" wrapText="false" indent="0" shrinkToFit="false"/>
      <protection locked="true" hidden="false"/>
    </xf>
    <xf numFmtId="201" fontId="88" fillId="5" borderId="0" xfId="0" applyFont="true" applyBorder="true" applyAlignment="true" applyProtection="false">
      <alignment horizontal="general" vertical="bottom" textRotation="0" wrapText="false" indent="0" shrinkToFit="false"/>
      <protection locked="true" hidden="false"/>
    </xf>
    <xf numFmtId="201" fontId="91" fillId="0" borderId="0" xfId="0" applyFont="true" applyBorder="true" applyAlignment="false" applyProtection="false">
      <alignment horizontal="general" vertical="bottom" textRotation="0" wrapText="false" indent="0" shrinkToFit="false"/>
      <protection locked="true" hidden="false"/>
    </xf>
    <xf numFmtId="164" fontId="91" fillId="0" borderId="0" xfId="0" applyFont="true" applyBorder="true" applyAlignment="false" applyProtection="false">
      <alignment horizontal="general" vertical="bottom" textRotation="0" wrapText="false" indent="0" shrinkToFit="false"/>
      <protection locked="true" hidden="false"/>
    </xf>
    <xf numFmtId="201" fontId="88" fillId="5" borderId="0" xfId="0" applyFont="true" applyBorder="true" applyAlignment="false" applyProtection="false">
      <alignment horizontal="general" vertical="bottom" textRotation="0" wrapText="false" indent="0" shrinkToFit="false"/>
      <protection locked="true" hidden="false"/>
    </xf>
    <xf numFmtId="164" fontId="91" fillId="0" borderId="0" xfId="0" applyFont="true" applyBorder="true" applyAlignment="false" applyProtection="false">
      <alignment horizontal="general" vertical="bottom" textRotation="0" wrapText="false" indent="0" shrinkToFit="false"/>
      <protection locked="true" hidden="false"/>
    </xf>
    <xf numFmtId="167" fontId="88" fillId="5" borderId="0" xfId="0" applyFont="true" applyBorder="true" applyAlignment="false" applyProtection="false">
      <alignment horizontal="general" vertical="bottom" textRotation="0" wrapText="false" indent="0" shrinkToFit="false"/>
      <protection locked="true" hidden="false"/>
    </xf>
    <xf numFmtId="167" fontId="91" fillId="0" borderId="0" xfId="0" applyFont="true" applyBorder="true" applyAlignment="false" applyProtection="false">
      <alignment horizontal="general" vertical="bottom" textRotation="0" wrapText="false" indent="0" shrinkToFit="false"/>
      <protection locked="true" hidden="false"/>
    </xf>
    <xf numFmtId="167" fontId="91" fillId="0" borderId="0" xfId="0" applyFont="true" applyBorder="true" applyAlignment="false" applyProtection="false">
      <alignment horizontal="general" vertical="bottom" textRotation="0" wrapText="false" indent="0" shrinkToFit="false"/>
      <protection locked="true" hidden="false"/>
    </xf>
    <xf numFmtId="167" fontId="91" fillId="0" borderId="61" xfId="0" applyFont="true" applyBorder="true" applyAlignment="true" applyProtection="false">
      <alignment horizontal="center" vertical="top" textRotation="0" wrapText="true" indent="0" shrinkToFit="false"/>
      <protection locked="true" hidden="false"/>
    </xf>
    <xf numFmtId="167" fontId="73" fillId="0" borderId="31" xfId="0" applyFont="true" applyBorder="true" applyAlignment="true" applyProtection="false">
      <alignment horizontal="general" vertical="center" textRotation="0" wrapText="false" indent="0" shrinkToFit="false"/>
      <protection locked="true" hidden="false"/>
    </xf>
    <xf numFmtId="167" fontId="73" fillId="0" borderId="55" xfId="0" applyFont="true" applyBorder="true" applyAlignment="true" applyProtection="false">
      <alignment horizontal="center" vertical="bottom" textRotation="0" wrapText="false" indent="0" shrinkToFit="false"/>
      <protection locked="true" hidden="false"/>
    </xf>
    <xf numFmtId="167" fontId="67" fillId="0" borderId="55" xfId="0" applyFont="true" applyBorder="true" applyAlignment="true" applyProtection="false">
      <alignment horizontal="center" vertical="bottom" textRotation="0" wrapText="false" indent="0" shrinkToFit="false"/>
      <protection locked="true" hidden="false"/>
    </xf>
    <xf numFmtId="190" fontId="91" fillId="0" borderId="60" xfId="15" applyFont="true" applyBorder="true" applyAlignment="true" applyProtection="true">
      <alignment horizontal="general" vertical="center" textRotation="0" wrapText="false" indent="0" shrinkToFit="false"/>
      <protection locked="true" hidden="false"/>
    </xf>
    <xf numFmtId="190" fontId="91" fillId="0" borderId="0" xfId="15" applyFont="true" applyBorder="true" applyAlignment="true" applyProtection="true">
      <alignment horizontal="general" vertical="center" textRotation="0" wrapText="false" indent="0" shrinkToFit="false"/>
      <protection locked="true" hidden="false"/>
    </xf>
    <xf numFmtId="190" fontId="91" fillId="0" borderId="0" xfId="15" applyFont="true" applyBorder="true" applyAlignment="true" applyProtection="true">
      <alignment horizontal="general" vertical="bottom" textRotation="0" wrapText="false" indent="0" shrinkToFit="false"/>
      <protection locked="true" hidden="false"/>
    </xf>
    <xf numFmtId="190" fontId="88" fillId="5" borderId="0" xfId="15" applyFont="true" applyBorder="true" applyAlignment="true" applyProtection="true">
      <alignment horizontal="general" vertical="bottom" textRotation="0" wrapText="false" indent="0" shrinkToFit="false"/>
      <protection locked="true" hidden="false"/>
    </xf>
    <xf numFmtId="201" fontId="91" fillId="0" borderId="61" xfId="0" applyFont="true" applyBorder="true" applyAlignment="true" applyProtection="false">
      <alignment horizontal="center" vertical="top" textRotation="0" wrapText="true" indent="0" shrinkToFit="false"/>
      <protection locked="true" hidden="false"/>
    </xf>
    <xf numFmtId="190" fontId="73" fillId="0" borderId="61" xfId="0" applyFont="true" applyBorder="true" applyAlignment="true" applyProtection="false">
      <alignment horizontal="general" vertical="center" textRotation="0" wrapText="false" indent="0" shrinkToFit="false"/>
      <protection locked="true" hidden="false"/>
    </xf>
    <xf numFmtId="167" fontId="73" fillId="0" borderId="62" xfId="0" applyFont="true" applyBorder="true" applyAlignment="true" applyProtection="false">
      <alignment horizontal="center" vertical="bottom" textRotation="0" wrapText="false" indent="0" shrinkToFit="false"/>
      <protection locked="true" hidden="false"/>
    </xf>
    <xf numFmtId="167" fontId="67" fillId="0" borderId="62" xfId="0" applyFont="true" applyBorder="true" applyAlignment="true" applyProtection="false">
      <alignment horizontal="center" vertical="bottom" textRotation="0" wrapText="false" indent="0" shrinkToFit="false"/>
      <protection locked="true" hidden="false"/>
    </xf>
    <xf numFmtId="167" fontId="73" fillId="0" borderId="61" xfId="0" applyFont="true" applyBorder="true" applyAlignment="true" applyProtection="false">
      <alignment horizontal="general" vertical="center" textRotation="0" wrapText="false" indent="0" shrinkToFit="false"/>
      <protection locked="true" hidden="false"/>
    </xf>
    <xf numFmtId="190" fontId="91" fillId="0" borderId="60" xfId="15" applyFont="true" applyBorder="true" applyAlignment="true" applyProtection="true">
      <alignment horizontal="general" vertical="center" textRotation="0" wrapText="true" indent="0" shrinkToFit="false"/>
      <protection locked="true" hidden="false"/>
    </xf>
    <xf numFmtId="190" fontId="91" fillId="0" borderId="0" xfId="15" applyFont="true" applyBorder="true" applyAlignment="true" applyProtection="true">
      <alignment horizontal="general" vertical="center" textRotation="0" wrapText="true" indent="0" shrinkToFit="false"/>
      <protection locked="true" hidden="false"/>
    </xf>
    <xf numFmtId="190" fontId="91" fillId="0" borderId="0" xfId="15" applyFont="true" applyBorder="true" applyAlignment="true" applyProtection="true">
      <alignment horizontal="left" vertical="bottom" textRotation="0" wrapText="true" indent="1" shrinkToFit="false"/>
      <protection locked="true" hidden="false"/>
    </xf>
    <xf numFmtId="190" fontId="88" fillId="5" borderId="0" xfId="15" applyFont="true" applyBorder="true" applyAlignment="true" applyProtection="true">
      <alignment horizontal="general" vertical="bottom" textRotation="0" wrapText="true" indent="0" shrinkToFit="false"/>
      <protection locked="true" hidden="false"/>
    </xf>
    <xf numFmtId="190" fontId="88" fillId="5" borderId="0" xfId="15" applyFont="true" applyBorder="true" applyAlignment="true" applyProtection="true">
      <alignment horizontal="left" vertical="bottom" textRotation="0" wrapText="true" indent="1" shrinkToFit="false"/>
      <protection locked="true" hidden="false"/>
    </xf>
    <xf numFmtId="164" fontId="78" fillId="14" borderId="59" xfId="0" applyFont="true" applyBorder="true" applyAlignment="true" applyProtection="false">
      <alignment horizontal="left" vertical="top" textRotation="0" wrapText="true" indent="0" shrinkToFit="false"/>
      <protection locked="true" hidden="false"/>
    </xf>
    <xf numFmtId="190" fontId="92" fillId="0" borderId="63" xfId="0" applyFont="true" applyBorder="true" applyAlignment="true" applyProtection="false">
      <alignment horizontal="general" vertical="center" textRotation="0" wrapText="false" indent="0" shrinkToFit="false"/>
      <protection locked="true" hidden="false"/>
    </xf>
    <xf numFmtId="167" fontId="88" fillId="0" borderId="64" xfId="0" applyFont="true" applyBorder="true" applyAlignment="true" applyProtection="false">
      <alignment horizontal="general" vertical="center" textRotation="0" wrapText="false" indent="0" shrinkToFit="false"/>
      <protection locked="true" hidden="false"/>
    </xf>
    <xf numFmtId="201" fontId="88" fillId="0" borderId="64" xfId="0" applyFont="true" applyBorder="true" applyAlignment="true" applyProtection="false">
      <alignment horizontal="general" vertical="center" textRotation="0" wrapText="false" indent="0" shrinkToFit="false"/>
      <protection locked="true" hidden="false"/>
    </xf>
    <xf numFmtId="201" fontId="88" fillId="0" borderId="64" xfId="0" applyFont="true" applyBorder="true" applyAlignment="false" applyProtection="false">
      <alignment horizontal="general" vertical="bottom" textRotation="0" wrapText="false" indent="0" shrinkToFit="false"/>
      <protection locked="true" hidden="false"/>
    </xf>
    <xf numFmtId="201" fontId="88" fillId="5" borderId="64" xfId="0" applyFont="true" applyBorder="true" applyAlignment="true" applyProtection="false">
      <alignment horizontal="general" vertical="bottom" textRotation="0" wrapText="false" indent="0" shrinkToFit="false"/>
      <protection locked="true" hidden="false"/>
    </xf>
    <xf numFmtId="167" fontId="88" fillId="0" borderId="64" xfId="0" applyFont="true" applyBorder="true" applyAlignment="false" applyProtection="false">
      <alignment horizontal="general" vertical="bottom" textRotation="0" wrapText="false" indent="0" shrinkToFit="false"/>
      <protection locked="true" hidden="false"/>
    </xf>
    <xf numFmtId="201" fontId="88" fillId="0" borderId="64" xfId="0" applyFont="true" applyBorder="true" applyAlignment="false" applyProtection="false">
      <alignment horizontal="general" vertical="bottom" textRotation="0" wrapText="false" indent="0" shrinkToFit="false"/>
      <protection locked="true" hidden="false"/>
    </xf>
    <xf numFmtId="190" fontId="88" fillId="5" borderId="64" xfId="0" applyFont="true" applyBorder="true" applyAlignment="false" applyProtection="false">
      <alignment horizontal="general" vertical="bottom" textRotation="0" wrapText="false" indent="0" shrinkToFit="false"/>
      <protection locked="true" hidden="false"/>
    </xf>
    <xf numFmtId="198" fontId="88" fillId="0" borderId="64" xfId="0" applyFont="true" applyBorder="true" applyAlignment="false" applyProtection="false">
      <alignment horizontal="general" vertical="bottom" textRotation="0" wrapText="false" indent="0" shrinkToFit="false"/>
      <protection locked="true" hidden="false"/>
    </xf>
    <xf numFmtId="198" fontId="88" fillId="0" borderId="64" xfId="0" applyFont="true" applyBorder="true" applyAlignment="false" applyProtection="false">
      <alignment horizontal="general" vertical="bottom" textRotation="0" wrapText="false" indent="0" shrinkToFit="false"/>
      <protection locked="true" hidden="false"/>
    </xf>
    <xf numFmtId="167" fontId="73" fillId="0" borderId="64" xfId="0" applyFont="true" applyBorder="true" applyAlignment="false" applyProtection="false">
      <alignment horizontal="general" vertical="bottom" textRotation="0" wrapText="false" indent="0" shrinkToFit="false"/>
      <protection locked="true" hidden="false"/>
    </xf>
    <xf numFmtId="202" fontId="73" fillId="0" borderId="65" xfId="0" applyFont="true" applyBorder="true" applyAlignment="true" applyProtection="false">
      <alignment horizontal="center" vertical="top" textRotation="0" wrapText="true" indent="0" shrinkToFit="false"/>
      <protection locked="true" hidden="false"/>
    </xf>
    <xf numFmtId="167" fontId="73" fillId="0" borderId="65" xfId="0" applyFont="true" applyBorder="true" applyAlignment="true" applyProtection="false">
      <alignment horizontal="general" vertical="center" textRotation="0" wrapText="false" indent="0" shrinkToFit="false"/>
      <protection locked="true" hidden="false"/>
    </xf>
    <xf numFmtId="167" fontId="73" fillId="0" borderId="66" xfId="0" applyFont="true" applyBorder="true" applyAlignment="true" applyProtection="false">
      <alignment horizontal="center" vertical="bottom" textRotation="0" wrapText="false" indent="0" shrinkToFit="false"/>
      <protection locked="true" hidden="false"/>
    </xf>
    <xf numFmtId="167" fontId="67" fillId="0" borderId="66" xfId="0" applyFont="true" applyBorder="true" applyAlignment="true" applyProtection="false">
      <alignment horizontal="center" vertical="bottom" textRotation="0" wrapText="false" indent="0" shrinkToFit="false"/>
      <protection locked="true" hidden="false"/>
    </xf>
    <xf numFmtId="190" fontId="73" fillId="0" borderId="61" xfId="15" applyFont="true" applyBorder="true" applyAlignment="true" applyProtection="true">
      <alignment horizontal="general" vertical="center" textRotation="0" wrapText="false" indent="0" shrinkToFit="false"/>
      <protection locked="true" hidden="false"/>
    </xf>
    <xf numFmtId="164" fontId="78" fillId="14" borderId="67" xfId="0" applyFont="true" applyBorder="true" applyAlignment="true" applyProtection="false">
      <alignment horizontal="left" vertical="top" textRotation="0" wrapText="true" indent="0" shrinkToFit="false"/>
      <protection locked="true" hidden="false"/>
    </xf>
    <xf numFmtId="190" fontId="88" fillId="0" borderId="68" xfId="15" applyFont="true" applyBorder="true" applyAlignment="true" applyProtection="true">
      <alignment horizontal="general" vertical="center" textRotation="0" wrapText="true" indent="0" shrinkToFit="false"/>
      <protection locked="true" hidden="false"/>
    </xf>
    <xf numFmtId="190" fontId="88" fillId="0" borderId="12" xfId="15" applyFont="true" applyBorder="true" applyAlignment="true" applyProtection="true">
      <alignment horizontal="general" vertical="center" textRotation="0" wrapText="true" indent="0" shrinkToFit="false"/>
      <protection locked="true" hidden="false"/>
    </xf>
    <xf numFmtId="190" fontId="88" fillId="0" borderId="12" xfId="15" applyFont="true" applyBorder="true" applyAlignment="true" applyProtection="true">
      <alignment horizontal="left" vertical="bottom" textRotation="0" wrapText="true" indent="1" shrinkToFit="false"/>
      <protection locked="true" hidden="false"/>
    </xf>
    <xf numFmtId="190" fontId="88" fillId="5" borderId="12" xfId="15" applyFont="true" applyBorder="true" applyAlignment="true" applyProtection="true">
      <alignment horizontal="general" vertical="bottom" textRotation="0" wrapText="true" indent="0" shrinkToFit="false"/>
      <protection locked="true" hidden="false"/>
    </xf>
    <xf numFmtId="190" fontId="73" fillId="0" borderId="12" xfId="15" applyFont="true" applyBorder="true" applyAlignment="true" applyProtection="true">
      <alignment horizontal="left" vertical="bottom" textRotation="0" wrapText="true" indent="1" shrinkToFit="false"/>
      <protection locked="true" hidden="false"/>
    </xf>
    <xf numFmtId="190" fontId="88" fillId="5" borderId="12" xfId="15" applyFont="true" applyBorder="true" applyAlignment="true" applyProtection="true">
      <alignment horizontal="left" vertical="bottom" textRotation="0" wrapText="true" indent="1" shrinkToFit="false"/>
      <protection locked="true" hidden="false"/>
    </xf>
    <xf numFmtId="201" fontId="88" fillId="0" borderId="69" xfId="0" applyFont="true" applyBorder="true" applyAlignment="true" applyProtection="false">
      <alignment horizontal="center" vertical="bottom" textRotation="0" wrapText="true" indent="0" shrinkToFit="false"/>
      <protection locked="true" hidden="false"/>
    </xf>
    <xf numFmtId="190" fontId="73" fillId="0" borderId="69" xfId="15" applyFont="true" applyBorder="true" applyAlignment="true" applyProtection="true">
      <alignment horizontal="general" vertical="center" textRotation="0" wrapText="true" indent="0" shrinkToFit="false"/>
      <protection locked="true" hidden="false"/>
    </xf>
    <xf numFmtId="190" fontId="73" fillId="0" borderId="67" xfId="15" applyFont="true" applyBorder="true" applyAlignment="true" applyProtection="true">
      <alignment horizontal="center" vertical="bottom" textRotation="0" wrapText="true" indent="0" shrinkToFit="false"/>
      <protection locked="true" hidden="false"/>
    </xf>
    <xf numFmtId="167" fontId="67" fillId="0" borderId="67" xfId="0" applyFont="true" applyBorder="true" applyAlignment="true" applyProtection="false">
      <alignment horizontal="center" vertical="bottom" textRotation="0" wrapText="false" indent="0" shrinkToFit="false"/>
      <protection locked="true" hidden="false"/>
    </xf>
    <xf numFmtId="164" fontId="67" fillId="0" borderId="32" xfId="0" applyFont="true" applyBorder="true" applyAlignment="false" applyProtection="false">
      <alignment horizontal="general" vertical="bottom" textRotation="0" wrapText="false" indent="0" shrinkToFit="false"/>
      <protection locked="true" hidden="false"/>
    </xf>
    <xf numFmtId="164" fontId="67" fillId="0" borderId="32" xfId="0" applyFont="true" applyBorder="true" applyAlignment="false" applyProtection="false">
      <alignment horizontal="general" vertical="bottom" textRotation="0" wrapText="false" indent="0" shrinkToFit="false"/>
      <protection locked="true" hidden="false"/>
    </xf>
    <xf numFmtId="164" fontId="73" fillId="0" borderId="32" xfId="0" applyFont="true" applyBorder="true" applyAlignment="false" applyProtection="false">
      <alignment horizontal="general" vertical="bottom" textRotation="0" wrapText="false" indent="0" shrinkToFit="false"/>
      <protection locked="true" hidden="false"/>
    </xf>
    <xf numFmtId="164" fontId="73" fillId="0" borderId="32" xfId="0" applyFont="true" applyBorder="true" applyAlignment="false" applyProtection="false">
      <alignment horizontal="general" vertical="bottom" textRotation="0" wrapText="false" indent="0" shrinkToFit="false"/>
      <protection locked="true" hidden="false"/>
    </xf>
    <xf numFmtId="167" fontId="67" fillId="0" borderId="0" xfId="0" applyFont="true" applyBorder="false" applyAlignment="false" applyProtection="false">
      <alignment horizontal="general" vertical="bottom" textRotation="0" wrapText="false" indent="0" shrinkToFit="false"/>
      <protection locked="true" hidden="false"/>
    </xf>
    <xf numFmtId="164" fontId="67" fillId="0" borderId="0" xfId="0" applyFont="true" applyBorder="true" applyAlignment="false" applyProtection="false">
      <alignment horizontal="general" vertical="bottom" textRotation="0" wrapText="false" indent="0" shrinkToFit="false"/>
      <protection locked="true" hidden="false"/>
    </xf>
    <xf numFmtId="164" fontId="73" fillId="0" borderId="0" xfId="0" applyFont="true" applyBorder="true" applyAlignment="false" applyProtection="false">
      <alignment horizontal="general" vertical="bottom" textRotation="0" wrapText="false" indent="0" shrinkToFit="false"/>
      <protection locked="true" hidden="false"/>
    </xf>
    <xf numFmtId="164" fontId="73" fillId="0" borderId="0" xfId="0" applyFont="true" applyBorder="true" applyAlignment="false" applyProtection="false">
      <alignment horizontal="general" vertical="bottom" textRotation="0" wrapText="false" indent="0" shrinkToFit="false"/>
      <protection locked="true" hidden="false"/>
    </xf>
    <xf numFmtId="164" fontId="85" fillId="0" borderId="48" xfId="83" applyFont="true" applyBorder="true" applyAlignment="true" applyProtection="false">
      <alignment horizontal="left" vertical="bottom" textRotation="0" wrapText="false" indent="0" shrinkToFit="false"/>
      <protection locked="true" hidden="false"/>
    </xf>
    <xf numFmtId="173" fontId="87" fillId="0" borderId="48" xfId="83" applyFont="true" applyBorder="true" applyAlignment="true" applyProtection="false">
      <alignment horizontal="center" vertical="bottom" textRotation="0" wrapText="false" indent="0" shrinkToFit="false"/>
      <protection locked="true" hidden="false"/>
    </xf>
    <xf numFmtId="173" fontId="93" fillId="15" borderId="0" xfId="83" applyFont="true" applyBorder="true" applyAlignment="true" applyProtection="false">
      <alignment horizontal="center" vertical="bottom" textRotation="0" wrapText="false" indent="0" shrinkToFit="false"/>
      <protection locked="true" hidden="false"/>
    </xf>
    <xf numFmtId="173" fontId="94" fillId="15" borderId="0" xfId="83" applyFont="true" applyBorder="true" applyAlignment="true" applyProtection="false">
      <alignment horizontal="center" vertical="bottom" textRotation="0" wrapText="false" indent="0" shrinkToFit="false"/>
      <protection locked="true" hidden="false"/>
    </xf>
    <xf numFmtId="164" fontId="95" fillId="0" borderId="48" xfId="83" applyFont="true" applyBorder="true" applyAlignment="true" applyProtection="false">
      <alignment horizontal="center" vertical="center" textRotation="0" wrapText="false" indent="0" shrinkToFit="false"/>
      <protection locked="true" hidden="false"/>
    </xf>
    <xf numFmtId="164" fontId="87" fillId="15" borderId="60" xfId="83" applyFont="true" applyBorder="true" applyAlignment="true" applyProtection="false">
      <alignment horizontal="left" vertical="bottom" textRotation="0" wrapText="false" indent="0" shrinkToFit="false"/>
      <protection locked="true" hidden="false"/>
    </xf>
    <xf numFmtId="173" fontId="95" fillId="15" borderId="70" xfId="83" applyFont="true" applyBorder="true" applyAlignment="true" applyProtection="false">
      <alignment horizontal="center" vertical="bottom" textRotation="0" wrapText="false" indent="0" shrinkToFit="false"/>
      <protection locked="true" hidden="false"/>
    </xf>
    <xf numFmtId="173" fontId="96" fillId="15" borderId="71" xfId="83" applyFont="true" applyBorder="true" applyAlignment="true" applyProtection="false">
      <alignment horizontal="center" vertical="bottom" textRotation="0" wrapText="false" indent="0" shrinkToFit="false"/>
      <protection locked="true" hidden="false"/>
    </xf>
    <xf numFmtId="173" fontId="95" fillId="15" borderId="71" xfId="83" applyFont="true" applyBorder="true" applyAlignment="true" applyProtection="false">
      <alignment horizontal="center" vertical="bottom" textRotation="0" wrapText="false" indent="0" shrinkToFit="false"/>
      <protection locked="true" hidden="false"/>
    </xf>
    <xf numFmtId="173" fontId="95" fillId="15" borderId="13" xfId="83" applyFont="true" applyBorder="true" applyAlignment="true" applyProtection="false">
      <alignment horizontal="center" vertical="bottom" textRotation="0" wrapText="false" indent="0" shrinkToFit="false"/>
      <protection locked="true" hidden="false"/>
    </xf>
    <xf numFmtId="173" fontId="95" fillId="15" borderId="51" xfId="83" applyFont="true" applyBorder="true" applyAlignment="true" applyProtection="false">
      <alignment horizontal="center" vertical="bottom" textRotation="0" wrapText="false" indent="0" shrinkToFit="false"/>
      <protection locked="true" hidden="false"/>
    </xf>
    <xf numFmtId="173" fontId="87" fillId="15" borderId="10" xfId="83" applyFont="true" applyBorder="true" applyAlignment="true" applyProtection="false">
      <alignment horizontal="center" vertical="bottom" textRotation="0" wrapText="false" indent="0" shrinkToFit="false"/>
      <protection locked="true" hidden="false"/>
    </xf>
    <xf numFmtId="173" fontId="96" fillId="15" borderId="50" xfId="83" applyFont="true" applyBorder="true" applyAlignment="true" applyProtection="false">
      <alignment horizontal="center" vertical="bottom" textRotation="0" wrapText="false" indent="0" shrinkToFit="false"/>
      <protection locked="true" hidden="false"/>
    </xf>
    <xf numFmtId="173" fontId="95" fillId="15" borderId="50" xfId="83" applyFont="true" applyBorder="true" applyAlignment="true" applyProtection="false">
      <alignment horizontal="center" vertical="bottom" textRotation="0" wrapText="false" indent="0" shrinkToFit="false"/>
      <protection locked="true" hidden="false"/>
    </xf>
    <xf numFmtId="173" fontId="95" fillId="15" borderId="72" xfId="83" applyFont="true" applyBorder="true" applyAlignment="true" applyProtection="false">
      <alignment horizontal="center" vertical="bottom" textRotation="0" wrapText="false" indent="0" shrinkToFit="false"/>
      <protection locked="true" hidden="false"/>
    </xf>
    <xf numFmtId="173" fontId="95" fillId="15" borderId="49" xfId="83" applyFont="true" applyBorder="true" applyAlignment="true" applyProtection="false">
      <alignment horizontal="center" vertical="bottom" textRotation="0" wrapText="false" indent="0" shrinkToFit="false"/>
      <protection locked="true" hidden="false"/>
    </xf>
    <xf numFmtId="173" fontId="95" fillId="15" borderId="10" xfId="83" applyFont="true" applyBorder="true" applyAlignment="true" applyProtection="false">
      <alignment horizontal="center" vertical="bottom" textRotation="0" wrapText="false" indent="0" shrinkToFit="false"/>
      <protection locked="true" hidden="false"/>
    </xf>
    <xf numFmtId="164" fontId="95" fillId="15" borderId="49" xfId="83" applyFont="true" applyBorder="true" applyAlignment="true" applyProtection="false">
      <alignment horizontal="center" vertical="bottom" textRotation="0" wrapText="false" indent="0" shrinkToFit="false"/>
      <protection locked="true" hidden="false"/>
    </xf>
    <xf numFmtId="164" fontId="95" fillId="15" borderId="50" xfId="83" applyFont="true" applyBorder="true" applyAlignment="true" applyProtection="false">
      <alignment horizontal="center" vertical="bottom" textRotation="0" wrapText="false" indent="0" shrinkToFit="false"/>
      <protection locked="true" hidden="false"/>
    </xf>
    <xf numFmtId="164" fontId="95" fillId="15" borderId="72" xfId="83" applyFont="true" applyBorder="true" applyAlignment="true" applyProtection="false">
      <alignment horizontal="center" vertical="bottom" textRotation="0" wrapText="false" indent="0" shrinkToFit="false"/>
      <protection locked="true" hidden="false"/>
    </xf>
    <xf numFmtId="164" fontId="97" fillId="0" borderId="60" xfId="83" applyFont="true" applyBorder="true" applyAlignment="true" applyProtection="false">
      <alignment horizontal="left" vertical="bottom" textRotation="0" wrapText="false" indent="0" shrinkToFit="false"/>
      <protection locked="true" hidden="false"/>
    </xf>
    <xf numFmtId="173" fontId="95" fillId="15" borderId="73" xfId="83" applyFont="true" applyBorder="true" applyAlignment="true" applyProtection="false">
      <alignment horizontal="center" vertical="center" textRotation="0" wrapText="false" indent="0" shrinkToFit="false"/>
      <protection locked="true" hidden="false"/>
    </xf>
    <xf numFmtId="173" fontId="96" fillId="15" borderId="74" xfId="83" applyFont="true" applyBorder="true" applyAlignment="true" applyProtection="false">
      <alignment horizontal="center" vertical="center" textRotation="0" wrapText="false" indent="0" shrinkToFit="false"/>
      <protection locked="true" hidden="false"/>
    </xf>
    <xf numFmtId="164" fontId="95" fillId="15" borderId="74" xfId="83" applyFont="true" applyBorder="true" applyAlignment="true" applyProtection="false">
      <alignment horizontal="center" vertical="center" textRotation="0" wrapText="false" indent="0" shrinkToFit="false"/>
      <protection locked="true" hidden="false"/>
    </xf>
    <xf numFmtId="173" fontId="95" fillId="15" borderId="5" xfId="83" applyFont="true" applyBorder="true" applyAlignment="true" applyProtection="false">
      <alignment horizontal="center" vertical="center" textRotation="0" wrapText="false" indent="0" shrinkToFit="false"/>
      <protection locked="true" hidden="false"/>
    </xf>
    <xf numFmtId="173" fontId="95" fillId="15" borderId="74" xfId="83" applyFont="true" applyBorder="true" applyAlignment="true" applyProtection="false">
      <alignment horizontal="center" vertical="center" textRotation="0" wrapText="false" indent="0" shrinkToFit="false"/>
      <protection locked="true" hidden="false"/>
    </xf>
    <xf numFmtId="173" fontId="95" fillId="15" borderId="75" xfId="83" applyFont="true" applyBorder="true" applyAlignment="true" applyProtection="false">
      <alignment horizontal="center" vertical="center" textRotation="0" wrapText="false" indent="0" shrinkToFit="false"/>
      <protection locked="true" hidden="false"/>
    </xf>
    <xf numFmtId="173" fontId="87" fillId="15" borderId="64" xfId="83" applyFont="true" applyBorder="true" applyAlignment="true" applyProtection="false">
      <alignment horizontal="center" vertical="center" textRotation="0" wrapText="false" indent="0" shrinkToFit="false"/>
      <protection locked="true" hidden="false"/>
    </xf>
    <xf numFmtId="173" fontId="96" fillId="15" borderId="53" xfId="83" applyFont="true" applyBorder="true" applyAlignment="true" applyProtection="false">
      <alignment horizontal="center" vertical="center" textRotation="0" wrapText="false" indent="0" shrinkToFit="false"/>
      <protection locked="true" hidden="false"/>
    </xf>
    <xf numFmtId="164" fontId="95" fillId="15" borderId="53" xfId="83" applyFont="true" applyBorder="true" applyAlignment="true" applyProtection="false">
      <alignment horizontal="center" vertical="center" textRotation="0" wrapText="false" indent="0" shrinkToFit="false"/>
      <protection locked="true" hidden="false"/>
    </xf>
    <xf numFmtId="173" fontId="95" fillId="15" borderId="53" xfId="83" applyFont="true" applyBorder="true" applyAlignment="true" applyProtection="false">
      <alignment horizontal="center" vertical="center" textRotation="0" wrapText="false" indent="0" shrinkToFit="false"/>
      <protection locked="true" hidden="false"/>
    </xf>
    <xf numFmtId="173" fontId="95" fillId="15" borderId="76" xfId="83" applyFont="true" applyBorder="true" applyAlignment="true" applyProtection="false">
      <alignment horizontal="center" vertical="center" textRotation="0" wrapText="false" indent="0" shrinkToFit="false"/>
      <protection locked="true" hidden="false"/>
    </xf>
    <xf numFmtId="173" fontId="95" fillId="15" borderId="52" xfId="83" applyFont="true" applyBorder="true" applyAlignment="true" applyProtection="false">
      <alignment horizontal="center" vertical="center" textRotation="0" wrapText="false" indent="0" shrinkToFit="false"/>
      <protection locked="true" hidden="false"/>
    </xf>
    <xf numFmtId="173" fontId="95" fillId="15" borderId="64" xfId="83" applyFont="true" applyBorder="true" applyAlignment="true" applyProtection="false">
      <alignment horizontal="center" vertical="center" textRotation="0" wrapText="false" indent="0" shrinkToFit="false"/>
      <protection locked="true" hidden="false"/>
    </xf>
    <xf numFmtId="173" fontId="95" fillId="15" borderId="64" xfId="83" applyFont="true" applyBorder="true" applyAlignment="true" applyProtection="false">
      <alignment horizontal="center" vertical="bottom" textRotation="0" wrapText="false" indent="0" shrinkToFit="false"/>
      <protection locked="true" hidden="false"/>
    </xf>
    <xf numFmtId="164" fontId="95" fillId="15" borderId="52" xfId="83" applyFont="true" applyBorder="true" applyAlignment="true" applyProtection="false">
      <alignment horizontal="center" vertical="center" textRotation="0" wrapText="true" indent="0" shrinkToFit="false"/>
      <protection locked="true" hidden="false"/>
    </xf>
    <xf numFmtId="164" fontId="95" fillId="15" borderId="53" xfId="83" applyFont="true" applyBorder="true" applyAlignment="true" applyProtection="false">
      <alignment horizontal="center" vertical="center" textRotation="0" wrapText="true" indent="0" shrinkToFit="false"/>
      <protection locked="true" hidden="false"/>
    </xf>
    <xf numFmtId="164" fontId="95" fillId="15" borderId="76" xfId="83" applyFont="true" applyBorder="true" applyAlignment="true" applyProtection="false">
      <alignment horizontal="center" vertical="center" textRotation="0" wrapText="true" indent="0" shrinkToFit="false"/>
      <protection locked="true" hidden="false"/>
    </xf>
    <xf numFmtId="164" fontId="87" fillId="0" borderId="48" xfId="83" applyFont="true" applyBorder="true" applyAlignment="false" applyProtection="false">
      <alignment horizontal="general" vertical="bottom" textRotation="0" wrapText="false" indent="0" shrinkToFit="false"/>
      <protection locked="true" hidden="false"/>
    </xf>
    <xf numFmtId="167" fontId="87" fillId="0" borderId="6" xfId="83" applyFont="true" applyBorder="true" applyAlignment="false" applyProtection="false">
      <alignment horizontal="general" vertical="bottom" textRotation="0" wrapText="false" indent="0" shrinkToFit="false"/>
      <protection locked="true" hidden="false"/>
    </xf>
    <xf numFmtId="164" fontId="98" fillId="0" borderId="6" xfId="0" applyFont="true" applyBorder="true" applyAlignment="false" applyProtection="false">
      <alignment horizontal="general" vertical="bottom" textRotation="0" wrapText="false" indent="0" shrinkToFit="false"/>
      <protection locked="true" hidden="false"/>
    </xf>
    <xf numFmtId="167" fontId="87" fillId="0" borderId="48" xfId="83" applyFont="true" applyBorder="true" applyAlignment="false" applyProtection="false">
      <alignment horizontal="general" vertical="bottom" textRotation="0" wrapText="false" indent="0" shrinkToFit="false"/>
      <protection locked="true" hidden="false"/>
    </xf>
    <xf numFmtId="167" fontId="87" fillId="0" borderId="48" xfId="83" applyFont="true" applyBorder="true" applyAlignment="true" applyProtection="false">
      <alignment horizontal="center" vertical="bottom" textRotation="0" wrapText="false" indent="0" shrinkToFit="false"/>
      <protection locked="true" hidden="false"/>
    </xf>
    <xf numFmtId="164" fontId="87" fillId="0" borderId="48" xfId="83" applyFont="true" applyBorder="true" applyAlignment="true" applyProtection="false">
      <alignment horizontal="center" vertical="bottom" textRotation="0" wrapText="false" indent="0" shrinkToFit="false"/>
      <protection locked="true" hidden="false"/>
    </xf>
    <xf numFmtId="164" fontId="99" fillId="0" borderId="77" xfId="83" applyFont="true" applyBorder="true" applyAlignment="false" applyProtection="false">
      <alignment horizontal="general" vertical="bottom" textRotation="0" wrapText="false" indent="0" shrinkToFit="false"/>
      <protection locked="true" hidden="false"/>
    </xf>
    <xf numFmtId="167" fontId="99" fillId="0" borderId="0" xfId="83" applyFont="true" applyBorder="true" applyAlignment="false" applyProtection="false">
      <alignment horizontal="general" vertical="bottom" textRotation="0" wrapText="false" indent="0" shrinkToFit="false"/>
      <protection locked="true" hidden="false"/>
    </xf>
    <xf numFmtId="167" fontId="99" fillId="0" borderId="62" xfId="83" applyFont="true" applyBorder="true" applyAlignment="false" applyProtection="false">
      <alignment horizontal="general" vertical="bottom" textRotation="0" wrapText="false" indent="0" shrinkToFit="false"/>
      <protection locked="true" hidden="false"/>
    </xf>
    <xf numFmtId="173" fontId="99" fillId="0" borderId="0" xfId="83" applyFont="true" applyBorder="true" applyAlignment="false" applyProtection="false">
      <alignment horizontal="general" vertical="bottom" textRotation="0" wrapText="false" indent="0" shrinkToFit="false"/>
      <protection locked="true" hidden="false"/>
    </xf>
    <xf numFmtId="173" fontId="99" fillId="0" borderId="62" xfId="83" applyFont="true" applyBorder="true" applyAlignment="false" applyProtection="false">
      <alignment horizontal="general" vertical="bottom" textRotation="0" wrapText="false" indent="0" shrinkToFit="false"/>
      <protection locked="true" hidden="false"/>
    </xf>
    <xf numFmtId="167" fontId="99" fillId="0" borderId="62" xfId="83" applyFont="true" applyBorder="true" applyAlignment="true" applyProtection="false">
      <alignment horizontal="center" vertical="bottom" textRotation="0" wrapText="false" indent="0" shrinkToFit="false"/>
      <protection locked="true" hidden="false"/>
    </xf>
    <xf numFmtId="164" fontId="99" fillId="0" borderId="59" xfId="83" applyFont="true" applyBorder="true" applyAlignment="false" applyProtection="false">
      <alignment horizontal="general" vertical="bottom" textRotation="0" wrapText="false" indent="0" shrinkToFit="false"/>
      <protection locked="true" hidden="false"/>
    </xf>
    <xf numFmtId="164" fontId="99" fillId="0" borderId="0" xfId="83" applyFont="true" applyBorder="true" applyAlignment="false" applyProtection="false">
      <alignment horizontal="general" vertical="bottom" textRotation="0" wrapText="false" indent="0" shrinkToFit="false"/>
      <protection locked="true" hidden="false"/>
    </xf>
    <xf numFmtId="167" fontId="99" fillId="0" borderId="0" xfId="91" applyFont="true" applyBorder="true" applyAlignment="true" applyProtection="true">
      <alignment horizontal="general" vertical="bottom" textRotation="0" wrapText="false" indent="0" shrinkToFit="false"/>
      <protection locked="true" hidden="false"/>
    </xf>
    <xf numFmtId="164" fontId="99" fillId="0" borderId="62" xfId="83" applyFont="true" applyBorder="true" applyAlignment="true" applyProtection="false">
      <alignment horizontal="center" vertical="bottom" textRotation="0" wrapText="false" indent="0" shrinkToFit="false"/>
      <protection locked="true" hidden="false"/>
    </xf>
    <xf numFmtId="164" fontId="99" fillId="0" borderId="66" xfId="83" applyFont="true" applyBorder="true" applyAlignment="false" applyProtection="false">
      <alignment horizontal="general" vertical="bottom" textRotation="0" wrapText="false" indent="0" shrinkToFit="false"/>
      <protection locked="true" hidden="false"/>
    </xf>
    <xf numFmtId="164" fontId="99" fillId="0" borderId="62" xfId="83" applyFont="true" applyBorder="true" applyAlignment="false" applyProtection="false">
      <alignment horizontal="general" vertical="bottom" textRotation="0" wrapText="false" indent="0" shrinkToFit="false"/>
      <protection locked="true" hidden="false"/>
    </xf>
    <xf numFmtId="167" fontId="87" fillId="0" borderId="6" xfId="83" applyFont="true" applyBorder="true" applyAlignment="true" applyProtection="false">
      <alignment horizontal="center" vertical="bottom" textRotation="0" wrapText="false" indent="0" shrinkToFit="false"/>
      <protection locked="true" hidden="false"/>
    </xf>
    <xf numFmtId="167" fontId="87" fillId="0" borderId="78" xfId="83" applyFont="true" applyBorder="true" applyAlignment="true" applyProtection="false">
      <alignment horizontal="center" vertical="bottom" textRotation="0" wrapText="false" indent="0" shrinkToFit="false"/>
      <protection locked="true" hidden="false"/>
    </xf>
    <xf numFmtId="167" fontId="87" fillId="0" borderId="79" xfId="83" applyFont="true" applyBorder="true" applyAlignment="true" applyProtection="false">
      <alignment horizontal="center" vertical="bottom" textRotation="0" wrapText="false" indent="0" shrinkToFit="false"/>
      <protection locked="true" hidden="false"/>
    </xf>
    <xf numFmtId="173" fontId="87" fillId="0" borderId="6" xfId="83" applyFont="true" applyBorder="true" applyAlignment="true" applyProtection="false">
      <alignment horizontal="center" vertical="bottom" textRotation="0" wrapText="false" indent="0" shrinkToFit="false"/>
      <protection locked="true" hidden="false"/>
    </xf>
    <xf numFmtId="173" fontId="87" fillId="0" borderId="80" xfId="83" applyFont="true" applyBorder="true" applyAlignment="true" applyProtection="false">
      <alignment horizontal="center" vertical="bottom" textRotation="0" wrapText="false" indent="0" shrinkToFit="false"/>
      <protection locked="true" hidden="false"/>
    </xf>
    <xf numFmtId="164" fontId="87" fillId="0" borderId="0" xfId="83" applyFont="true" applyBorder="true" applyAlignment="false" applyProtection="false">
      <alignment horizontal="general" vertical="bottom" textRotation="0" wrapText="false" indent="0" shrinkToFit="false"/>
      <protection locked="true" hidden="false"/>
    </xf>
    <xf numFmtId="164" fontId="0" fillId="0" borderId="81"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2" xfId="0" applyFont="false" applyBorder="true" applyAlignment="false" applyProtection="false">
      <alignment horizontal="general" vertical="bottom" textRotation="0" wrapText="false" indent="0" shrinkToFit="false"/>
      <protection locked="true" hidden="false"/>
    </xf>
    <xf numFmtId="164" fontId="85" fillId="15" borderId="36" xfId="0" applyFont="true" applyBorder="true" applyAlignment="false" applyProtection="false">
      <alignment horizontal="general" vertical="bottom" textRotation="0" wrapText="false" indent="0" shrinkToFit="false"/>
      <protection locked="true" hidden="false"/>
    </xf>
    <xf numFmtId="164" fontId="63" fillId="0" borderId="0" xfId="0" applyFont="true" applyBorder="true" applyAlignment="false" applyProtection="false">
      <alignment horizontal="general" vertical="bottom" textRotation="0" wrapText="false" indent="0" shrinkToFit="false"/>
      <protection locked="true" hidden="false"/>
    </xf>
    <xf numFmtId="164" fontId="68" fillId="0" borderId="37" xfId="0" applyFont="true" applyBorder="true" applyAlignment="true" applyProtection="false">
      <alignment horizontal="center" vertical="bottom" textRotation="0" wrapText="false" indent="0" shrinkToFit="false"/>
      <protection locked="true" hidden="false"/>
    </xf>
    <xf numFmtId="164" fontId="68" fillId="0" borderId="83" xfId="0" applyFont="true" applyBorder="true" applyAlignment="true" applyProtection="false">
      <alignment horizontal="center" vertical="bottom" textRotation="0" wrapText="false" indent="0" shrinkToFit="false"/>
      <protection locked="true" hidden="false"/>
    </xf>
    <xf numFmtId="164" fontId="68" fillId="0" borderId="84" xfId="0" applyFont="true" applyBorder="true" applyAlignment="true" applyProtection="false">
      <alignment horizontal="center" vertical="bottom" textRotation="0" wrapText="false" indent="0" shrinkToFit="false"/>
      <protection locked="true" hidden="false"/>
    </xf>
    <xf numFmtId="164" fontId="68" fillId="0" borderId="85" xfId="0" applyFont="true" applyBorder="true" applyAlignment="true" applyProtection="false">
      <alignment horizontal="center" vertical="bottom" textRotation="0" wrapText="false" indent="0" shrinkToFit="false"/>
      <protection locked="true" hidden="false"/>
    </xf>
    <xf numFmtId="164" fontId="68" fillId="0" borderId="86" xfId="0" applyFont="true" applyBorder="true" applyAlignment="true" applyProtection="false">
      <alignment horizontal="center" vertical="bottom" textRotation="0" wrapText="false" indent="0" shrinkToFit="false"/>
      <protection locked="true" hidden="false"/>
    </xf>
    <xf numFmtId="164" fontId="68" fillId="0" borderId="87" xfId="0" applyFont="true" applyBorder="true" applyAlignment="true" applyProtection="false">
      <alignment horizontal="center" vertical="bottom" textRotation="0" wrapText="false" indent="0" shrinkToFit="false"/>
      <protection locked="true" hidden="false"/>
    </xf>
    <xf numFmtId="164" fontId="0" fillId="0" borderId="88" xfId="0" applyFont="true" applyBorder="true" applyAlignment="true" applyProtection="false">
      <alignment horizontal="right" vertical="bottom" textRotation="0" wrapText="false" indent="0" shrinkToFit="false"/>
      <protection locked="true" hidden="false"/>
    </xf>
    <xf numFmtId="167" fontId="0" fillId="0" borderId="89" xfId="0" applyFont="false" applyBorder="true" applyAlignment="true" applyProtection="false">
      <alignment horizontal="center" vertical="bottom" textRotation="0" wrapText="false" indent="0" shrinkToFit="false"/>
      <protection locked="true" hidden="false"/>
    </xf>
    <xf numFmtId="167" fontId="0" fillId="0" borderId="89" xfId="0" applyFont="false" applyBorder="true" applyAlignment="true" applyProtection="false">
      <alignment horizontal="center" vertical="bottom" textRotation="0" wrapText="false" indent="0" shrinkToFit="false"/>
      <protection locked="true" hidden="false"/>
    </xf>
    <xf numFmtId="167" fontId="0" fillId="0" borderId="90" xfId="0" applyFont="false" applyBorder="true" applyAlignment="true" applyProtection="false">
      <alignment horizontal="center" vertical="bottom" textRotation="0" wrapText="false" indent="0" shrinkToFit="false"/>
      <protection locked="true" hidden="false"/>
    </xf>
    <xf numFmtId="164" fontId="0" fillId="0" borderId="91" xfId="0" applyFont="true" applyBorder="true" applyAlignment="true" applyProtection="false">
      <alignment horizontal="right"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4" fontId="0" fillId="0" borderId="92" xfId="0" applyFont="false" applyBorder="true" applyAlignment="true" applyProtection="false">
      <alignment horizontal="center" vertical="bottom" textRotation="0" wrapText="false" indent="0" shrinkToFit="false"/>
      <protection locked="true" hidden="false"/>
    </xf>
    <xf numFmtId="167" fontId="0" fillId="0" borderId="38" xfId="0" applyFont="false" applyBorder="true" applyAlignment="true" applyProtection="false">
      <alignment horizontal="center" vertical="bottom" textRotation="0" wrapText="false" indent="0" shrinkToFit="false"/>
      <protection locked="true" hidden="false"/>
    </xf>
    <xf numFmtId="167" fontId="0" fillId="0" borderId="92" xfId="0" applyFont="false" applyBorder="true" applyAlignment="true" applyProtection="false">
      <alignment horizontal="center" vertical="bottom" textRotation="0" wrapText="false" indent="0" shrinkToFit="false"/>
      <protection locked="true" hidden="false"/>
    </xf>
    <xf numFmtId="164" fontId="0" fillId="0" borderId="93" xfId="0" applyFont="true" applyBorder="true" applyAlignment="true" applyProtection="false">
      <alignment horizontal="right" vertical="bottom" textRotation="0" wrapText="false" indent="0" shrinkToFit="false"/>
      <protection locked="true" hidden="false"/>
    </xf>
    <xf numFmtId="167" fontId="0" fillId="0" borderId="94" xfId="0" applyFont="false" applyBorder="true" applyAlignment="true" applyProtection="false">
      <alignment horizontal="center" vertical="bottom" textRotation="0" wrapText="false" indent="0" shrinkToFit="false"/>
      <protection locked="true" hidden="false"/>
    </xf>
    <xf numFmtId="167" fontId="0" fillId="0" borderId="95" xfId="0" applyFont="false" applyBorder="true" applyAlignment="true" applyProtection="false">
      <alignment horizontal="center" vertical="bottom" textRotation="0" wrapText="false" indent="0" shrinkToFit="false"/>
      <protection locked="true" hidden="false"/>
    </xf>
    <xf numFmtId="164" fontId="0" fillId="0" borderId="88" xfId="0" applyFont="true" applyBorder="true" applyAlignment="true" applyProtection="false">
      <alignment horizontal="right" vertical="bottom" textRotation="0" wrapText="false" indent="0" shrinkToFit="false"/>
      <protection locked="true" hidden="false"/>
    </xf>
    <xf numFmtId="164" fontId="0" fillId="0" borderId="89" xfId="0" applyFont="false" applyBorder="true" applyAlignment="false" applyProtection="false">
      <alignment horizontal="general" vertical="bottom" textRotation="0" wrapText="false" indent="0" shrinkToFit="false"/>
      <protection locked="true" hidden="false"/>
    </xf>
    <xf numFmtId="173" fontId="0" fillId="0" borderId="89" xfId="0" applyFont="false" applyBorder="true" applyAlignment="false" applyProtection="false">
      <alignment horizontal="general" vertical="bottom" textRotation="0" wrapText="false" indent="0" shrinkToFit="false"/>
      <protection locked="true" hidden="false"/>
    </xf>
    <xf numFmtId="173" fontId="0" fillId="0" borderId="90" xfId="0" applyFont="false" applyBorder="true" applyAlignment="false" applyProtection="false">
      <alignment horizontal="general" vertical="bottom" textRotation="0" wrapText="false" indent="0" shrinkToFit="false"/>
      <protection locked="true" hidden="false"/>
    </xf>
    <xf numFmtId="164" fontId="100" fillId="0" borderId="91" xfId="0" applyFont="true" applyBorder="true" applyAlignment="true" applyProtection="false">
      <alignment horizontal="right" vertical="bottom" textRotation="0" wrapText="tru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82" fontId="0" fillId="0" borderId="38" xfId="0" applyFont="false" applyBorder="true" applyAlignment="false" applyProtection="false">
      <alignment horizontal="general" vertical="bottom" textRotation="0" wrapText="false" indent="0" shrinkToFit="false"/>
      <protection locked="true" hidden="false"/>
    </xf>
    <xf numFmtId="182" fontId="0" fillId="0" borderId="92" xfId="0" applyFont="false" applyBorder="true" applyAlignment="false" applyProtection="false">
      <alignment horizontal="general" vertical="bottom" textRotation="0" wrapText="false" indent="0" shrinkToFit="false"/>
      <protection locked="true" hidden="false"/>
    </xf>
    <xf numFmtId="173" fontId="0" fillId="0" borderId="38" xfId="0" applyFont="false" applyBorder="true" applyAlignment="false" applyProtection="false">
      <alignment horizontal="general" vertical="bottom" textRotation="0" wrapText="false" indent="0" shrinkToFit="false"/>
      <protection locked="true" hidden="false"/>
    </xf>
    <xf numFmtId="173" fontId="0" fillId="0" borderId="92" xfId="0" applyFont="false" applyBorder="true" applyAlignment="false" applyProtection="false">
      <alignment horizontal="general" vertical="bottom" textRotation="0" wrapText="false" indent="0" shrinkToFit="false"/>
      <protection locked="true" hidden="false"/>
    </xf>
    <xf numFmtId="192" fontId="100" fillId="0" borderId="93" xfId="15" applyFont="true" applyBorder="true" applyAlignment="true" applyProtection="true">
      <alignment horizontal="right" vertical="bottom" textRotation="0" wrapText="true" indent="0" shrinkToFit="false"/>
      <protection locked="true" hidden="false"/>
    </xf>
    <xf numFmtId="164" fontId="0" fillId="0" borderId="94" xfId="0" applyFont="false" applyBorder="true" applyAlignment="false" applyProtection="false">
      <alignment horizontal="general" vertical="bottom" textRotation="0" wrapText="false" indent="0" shrinkToFit="false"/>
      <protection locked="true" hidden="false"/>
    </xf>
    <xf numFmtId="173" fontId="0" fillId="0" borderId="94" xfId="0" applyFont="false" applyBorder="true" applyAlignment="false" applyProtection="false">
      <alignment horizontal="general" vertical="bottom" textRotation="0" wrapText="false" indent="0" shrinkToFit="false"/>
      <protection locked="true" hidden="false"/>
    </xf>
    <xf numFmtId="173" fontId="0" fillId="0" borderId="95" xfId="0" applyFont="false" applyBorder="true" applyAlignment="false" applyProtection="false">
      <alignment horizontal="general" vertical="bottom" textRotation="0" wrapText="false" indent="0" shrinkToFit="false"/>
      <protection locked="true" hidden="false"/>
    </xf>
    <xf numFmtId="164" fontId="67" fillId="5" borderId="0" xfId="0" applyFont="true" applyBorder="false" applyAlignment="false" applyProtection="false">
      <alignment horizontal="general" vertical="bottom" textRotation="0" wrapText="false" indent="0" shrinkToFit="false"/>
      <protection locked="true" hidden="false"/>
    </xf>
    <xf numFmtId="164" fontId="101" fillId="5" borderId="0" xfId="83" applyFont="true" applyBorder="true" applyAlignment="false" applyProtection="false">
      <alignment horizontal="general" vertical="bottom" textRotation="0" wrapText="false" indent="0" shrinkToFit="false"/>
      <protection locked="true" hidden="false"/>
    </xf>
    <xf numFmtId="164" fontId="102" fillId="0" borderId="0" xfId="0" applyFont="true" applyBorder="true" applyAlignment="true" applyProtection="false">
      <alignment horizontal="center" vertical="bottom" textRotation="0" wrapText="false" indent="0" shrinkToFit="false"/>
      <protection locked="true" hidden="false"/>
    </xf>
    <xf numFmtId="164" fontId="87" fillId="16" borderId="0" xfId="83" applyFont="true" applyBorder="true" applyAlignment="true" applyProtection="false">
      <alignment horizontal="left" vertical="bottom" textRotation="0" wrapText="false" indent="0" shrinkToFit="false"/>
      <protection locked="true" hidden="false"/>
    </xf>
    <xf numFmtId="164" fontId="85" fillId="0" borderId="48" xfId="0" applyFont="true" applyBorder="true" applyAlignment="true" applyProtection="false">
      <alignment horizontal="center" vertical="bottom" textRotation="0" wrapText="false" indent="0" shrinkToFit="false"/>
      <protection locked="true" hidden="false"/>
    </xf>
    <xf numFmtId="164" fontId="79" fillId="0" borderId="48" xfId="0" applyFont="true" applyBorder="true" applyAlignment="true" applyProtection="false">
      <alignment horizontal="center" vertical="bottom" textRotation="0" wrapText="false" indent="0" shrinkToFit="false"/>
      <protection locked="true" hidden="false"/>
    </xf>
    <xf numFmtId="200" fontId="90" fillId="16" borderId="50" xfId="0" applyFont="true" applyBorder="true" applyAlignment="true" applyProtection="false">
      <alignment horizontal="center" vertical="bottom" textRotation="0" wrapText="false" indent="0" shrinkToFit="false"/>
      <protection locked="true" hidden="false"/>
    </xf>
    <xf numFmtId="200" fontId="90" fillId="16" borderId="51" xfId="0" applyFont="true" applyBorder="true" applyAlignment="true" applyProtection="false">
      <alignment horizontal="center" vertical="bottom" textRotation="0" wrapText="false" indent="0" shrinkToFit="false"/>
      <protection locked="true" hidden="false"/>
    </xf>
    <xf numFmtId="164" fontId="90" fillId="16" borderId="53" xfId="0" applyFont="true" applyBorder="true" applyAlignment="true" applyProtection="false">
      <alignment horizontal="center" vertical="bottom" textRotation="0" wrapText="false" indent="0" shrinkToFit="false"/>
      <protection locked="true" hidden="false"/>
    </xf>
    <xf numFmtId="164" fontId="90" fillId="16" borderId="54" xfId="0" applyFont="true" applyBorder="true" applyAlignment="true" applyProtection="false">
      <alignment horizontal="center" vertical="bottom" textRotation="0" wrapText="false" indent="0" shrinkToFit="false"/>
      <protection locked="true" hidden="false"/>
    </xf>
    <xf numFmtId="164" fontId="90" fillId="16" borderId="48" xfId="0" applyFont="true" applyBorder="true" applyAlignment="true" applyProtection="false">
      <alignment horizontal="center" vertical="bottom" textRotation="0" wrapText="false" indent="0" shrinkToFit="false"/>
      <protection locked="true" hidden="false"/>
    </xf>
    <xf numFmtId="167" fontId="73" fillId="5" borderId="31" xfId="0" applyFont="true" applyBorder="true" applyAlignment="true" applyProtection="false">
      <alignment horizontal="general" vertical="center" textRotation="0" wrapText="false" indent="0" shrinkToFit="false"/>
      <protection locked="true" hidden="false"/>
    </xf>
    <xf numFmtId="167" fontId="73" fillId="5" borderId="55" xfId="0" applyFont="true" applyBorder="true" applyAlignment="false" applyProtection="false">
      <alignment horizontal="general" vertical="bottom" textRotation="0" wrapText="false" indent="0" shrinkToFit="false"/>
      <protection locked="true" hidden="false"/>
    </xf>
    <xf numFmtId="167" fontId="67" fillId="5" borderId="55" xfId="0" applyFont="true" applyBorder="true" applyAlignment="false" applyProtection="false">
      <alignment horizontal="general" vertical="bottom" textRotation="0" wrapText="false" indent="0" shrinkToFit="false"/>
      <protection locked="true" hidden="false"/>
    </xf>
    <xf numFmtId="167" fontId="73" fillId="5" borderId="61" xfId="0" applyFont="true" applyBorder="true" applyAlignment="true" applyProtection="false">
      <alignment horizontal="general" vertical="center" textRotation="0" wrapText="false" indent="0" shrinkToFit="false"/>
      <protection locked="true" hidden="false"/>
    </xf>
    <xf numFmtId="167" fontId="73" fillId="5" borderId="62" xfId="0" applyFont="true" applyBorder="true" applyAlignment="false" applyProtection="false">
      <alignment horizontal="general" vertical="bottom" textRotation="0" wrapText="false" indent="0" shrinkToFit="false"/>
      <protection locked="true" hidden="false"/>
    </xf>
    <xf numFmtId="167" fontId="67" fillId="5" borderId="62" xfId="0" applyFont="true" applyBorder="true" applyAlignment="false" applyProtection="false">
      <alignment horizontal="general" vertical="bottom" textRotation="0" wrapText="false" indent="0" shrinkToFit="false"/>
      <protection locked="true" hidden="false"/>
    </xf>
    <xf numFmtId="190" fontId="73" fillId="5" borderId="61" xfId="0" applyFont="true" applyBorder="true" applyAlignment="true" applyProtection="false">
      <alignment horizontal="general" vertical="center" textRotation="0" wrapText="false" indent="0" shrinkToFit="false"/>
      <protection locked="true" hidden="false"/>
    </xf>
    <xf numFmtId="167" fontId="73" fillId="5" borderId="65" xfId="0" applyFont="true" applyBorder="true" applyAlignment="true" applyProtection="false">
      <alignment horizontal="general" vertical="center" textRotation="0" wrapText="false" indent="0" shrinkToFit="false"/>
      <protection locked="true" hidden="false"/>
    </xf>
    <xf numFmtId="167" fontId="73" fillId="5" borderId="66" xfId="0" applyFont="true" applyBorder="true" applyAlignment="false" applyProtection="false">
      <alignment horizontal="general" vertical="bottom" textRotation="0" wrapText="false" indent="0" shrinkToFit="false"/>
      <protection locked="true" hidden="false"/>
    </xf>
    <xf numFmtId="167" fontId="67" fillId="5" borderId="66" xfId="0" applyFont="true" applyBorder="true" applyAlignment="false" applyProtection="false">
      <alignment horizontal="general" vertical="bottom" textRotation="0" wrapText="false" indent="0" shrinkToFit="false"/>
      <protection locked="true" hidden="false"/>
    </xf>
    <xf numFmtId="190" fontId="73" fillId="5" borderId="61" xfId="15" applyFont="true" applyBorder="true" applyAlignment="true" applyProtection="true">
      <alignment horizontal="general" vertical="center" textRotation="0" wrapText="false" indent="0" shrinkToFit="false"/>
      <protection locked="true" hidden="false"/>
    </xf>
    <xf numFmtId="190" fontId="73" fillId="5" borderId="69" xfId="15" applyFont="true" applyBorder="true" applyAlignment="true" applyProtection="true">
      <alignment horizontal="general" vertical="center" textRotation="0" wrapText="true" indent="0" shrinkToFit="false"/>
      <protection locked="true" hidden="false"/>
    </xf>
    <xf numFmtId="190" fontId="73" fillId="5" borderId="67" xfId="15" applyFont="true" applyBorder="true" applyAlignment="true" applyProtection="true">
      <alignment horizontal="left" vertical="bottom" textRotation="0" wrapText="true" indent="1" shrinkToFit="false"/>
      <protection locked="true" hidden="false"/>
    </xf>
    <xf numFmtId="167" fontId="67" fillId="5" borderId="67" xfId="0" applyFont="true" applyBorder="true" applyAlignment="false" applyProtection="false">
      <alignment horizontal="general" vertical="bottom" textRotation="0" wrapText="false" indent="0" shrinkToFit="false"/>
      <protection locked="true" hidden="false"/>
    </xf>
    <xf numFmtId="190" fontId="67" fillId="0" borderId="0" xfId="0" applyFont="true" applyBorder="false" applyAlignment="false" applyProtection="false">
      <alignment horizontal="general" vertical="bottom" textRotation="0" wrapText="false" indent="0" shrinkToFit="false"/>
      <protection locked="true" hidden="false"/>
    </xf>
    <xf numFmtId="190" fontId="67" fillId="0" borderId="0" xfId="0" applyFont="true" applyBorder="false" applyAlignment="false" applyProtection="false">
      <alignment horizontal="general" vertical="bottom" textRotation="0" wrapText="false" indent="0" shrinkToFit="false"/>
      <protection locked="true" hidden="false"/>
    </xf>
    <xf numFmtId="190" fontId="67" fillId="0" borderId="0" xfId="0" applyFont="true" applyBorder="true" applyAlignment="false" applyProtection="false">
      <alignment horizontal="general" vertical="bottom" textRotation="0" wrapText="false" indent="0" shrinkToFit="false"/>
      <protection locked="true" hidden="false"/>
    </xf>
    <xf numFmtId="164" fontId="63" fillId="16" borderId="4" xfId="0" applyFont="true" applyBorder="true" applyAlignment="false" applyProtection="false">
      <alignment horizontal="general" vertical="bottom" textRotation="0" wrapText="false" indent="0" shrinkToFit="false"/>
      <protection locked="true" hidden="false"/>
    </xf>
    <xf numFmtId="164" fontId="67" fillId="0" borderId="59" xfId="0" applyFont="true" applyBorder="true" applyAlignment="false" applyProtection="false">
      <alignment horizontal="general" vertical="bottom" textRotation="0" wrapText="false" indent="0" shrinkToFit="false"/>
      <protection locked="true" hidden="false"/>
    </xf>
    <xf numFmtId="164" fontId="67" fillId="0" borderId="30" xfId="0" applyFont="true" applyBorder="true" applyAlignment="false" applyProtection="false">
      <alignment horizontal="general" vertical="bottom" textRotation="0" wrapText="false" indent="0" shrinkToFit="false"/>
      <protection locked="true" hidden="false"/>
    </xf>
    <xf numFmtId="164" fontId="67" fillId="0" borderId="13" xfId="0" applyFont="true" applyBorder="true" applyAlignment="false" applyProtection="false">
      <alignment horizontal="general" vertical="bottom" textRotation="0" wrapText="false" indent="0" shrinkToFit="false"/>
      <protection locked="true" hidden="false"/>
    </xf>
    <xf numFmtId="164" fontId="67" fillId="0" borderId="13" xfId="0" applyFont="true" applyBorder="true" applyAlignment="false" applyProtection="false">
      <alignment horizontal="general" vertical="bottom" textRotation="0" wrapText="false" indent="0" shrinkToFit="false"/>
      <protection locked="true" hidden="false"/>
    </xf>
    <xf numFmtId="164" fontId="67" fillId="5" borderId="13" xfId="0" applyFont="true" applyBorder="true" applyAlignment="false" applyProtection="false">
      <alignment horizontal="general" vertical="bottom" textRotation="0" wrapText="false" indent="0" shrinkToFit="false"/>
      <protection locked="true" hidden="false"/>
    </xf>
    <xf numFmtId="196" fontId="92" fillId="0" borderId="13" xfId="0" applyFont="true" applyBorder="true" applyAlignment="false" applyProtection="false">
      <alignment horizontal="general" vertical="bottom" textRotation="0" wrapText="false" indent="0" shrinkToFit="false"/>
      <protection locked="true" hidden="false"/>
    </xf>
    <xf numFmtId="196" fontId="92" fillId="5" borderId="13" xfId="0" applyFont="true" applyBorder="true" applyAlignment="false" applyProtection="false">
      <alignment horizontal="general" vertical="bottom" textRotation="0" wrapText="false" indent="0" shrinkToFit="false"/>
      <protection locked="true" hidden="false"/>
    </xf>
    <xf numFmtId="196" fontId="91" fillId="0" borderId="13" xfId="0" applyFont="true" applyBorder="true" applyAlignment="false" applyProtection="false">
      <alignment horizontal="general" vertical="bottom" textRotation="0" wrapText="false" indent="0" shrinkToFit="false"/>
      <protection locked="true" hidden="false"/>
    </xf>
    <xf numFmtId="196" fontId="91" fillId="0" borderId="31" xfId="0" applyFont="true" applyBorder="true" applyAlignment="false" applyProtection="false">
      <alignment horizontal="general" vertical="bottom" textRotation="0" wrapText="false" indent="0" shrinkToFit="false"/>
      <protection locked="true" hidden="false"/>
    </xf>
    <xf numFmtId="196" fontId="92" fillId="5" borderId="55" xfId="0" applyFont="true" applyBorder="true" applyAlignment="false" applyProtection="false">
      <alignment horizontal="general" vertical="bottom" textRotation="0" wrapText="false" indent="0" shrinkToFit="false"/>
      <protection locked="true" hidden="false"/>
    </xf>
    <xf numFmtId="182" fontId="67" fillId="0" borderId="60" xfId="19" applyFont="true" applyBorder="true" applyAlignment="true" applyProtection="true">
      <alignment horizontal="general" vertical="bottom" textRotation="0" wrapText="false" indent="0" shrinkToFit="false"/>
      <protection locked="true" hidden="false"/>
    </xf>
    <xf numFmtId="182" fontId="67" fillId="5" borderId="0" xfId="19" applyFont="true" applyBorder="true" applyAlignment="true" applyProtection="true">
      <alignment horizontal="general" vertical="bottom" textRotation="0" wrapText="false" indent="0" shrinkToFit="false"/>
      <protection locked="true" hidden="false"/>
    </xf>
    <xf numFmtId="196" fontId="92" fillId="0" borderId="0" xfId="19" applyFont="true" applyBorder="true" applyAlignment="true" applyProtection="true">
      <alignment horizontal="general" vertical="bottom" textRotation="0" wrapText="false" indent="0" shrinkToFit="false"/>
      <protection locked="true" hidden="false"/>
    </xf>
    <xf numFmtId="196" fontId="92" fillId="5" borderId="0" xfId="19" applyFont="true" applyBorder="true" applyAlignment="true" applyProtection="true">
      <alignment horizontal="general" vertical="bottom" textRotation="0" wrapText="false" indent="0" shrinkToFit="false"/>
      <protection locked="true" hidden="false"/>
    </xf>
    <xf numFmtId="196" fontId="91" fillId="0" borderId="0" xfId="19" applyFont="true" applyBorder="true" applyAlignment="true" applyProtection="true">
      <alignment horizontal="general" vertical="bottom" textRotation="0" wrapText="false" indent="0" shrinkToFit="false"/>
      <protection locked="true" hidden="false"/>
    </xf>
    <xf numFmtId="196" fontId="91" fillId="0" borderId="61" xfId="19" applyFont="true" applyBorder="true" applyAlignment="true" applyProtection="true">
      <alignment horizontal="general" vertical="bottom" textRotation="0" wrapText="false" indent="0" shrinkToFit="false"/>
      <protection locked="true" hidden="false"/>
    </xf>
    <xf numFmtId="196" fontId="92" fillId="5" borderId="62" xfId="19" applyFont="true" applyBorder="true" applyAlignment="true" applyProtection="true">
      <alignment horizontal="general" vertical="bottom" textRotation="0" wrapText="false" indent="0" shrinkToFit="false"/>
      <protection locked="true" hidden="false"/>
    </xf>
    <xf numFmtId="182" fontId="67" fillId="0" borderId="63" xfId="19" applyFont="true" applyBorder="true" applyAlignment="true" applyProtection="true">
      <alignment horizontal="general" vertical="bottom" textRotation="0" wrapText="false" indent="0" shrinkToFit="false"/>
      <protection locked="true" hidden="false"/>
    </xf>
    <xf numFmtId="182" fontId="67" fillId="0" borderId="64" xfId="19" applyFont="true" applyBorder="true" applyAlignment="true" applyProtection="true">
      <alignment horizontal="general" vertical="bottom" textRotation="0" wrapText="false" indent="0" shrinkToFit="false"/>
      <protection locked="true" hidden="false"/>
    </xf>
    <xf numFmtId="182" fontId="67" fillId="5" borderId="64" xfId="19" applyFont="true" applyBorder="true" applyAlignment="true" applyProtection="true">
      <alignment horizontal="general" vertical="bottom" textRotation="0" wrapText="false" indent="0" shrinkToFit="false"/>
      <protection locked="true" hidden="false"/>
    </xf>
    <xf numFmtId="196" fontId="92" fillId="0" borderId="64" xfId="19" applyFont="true" applyBorder="true" applyAlignment="true" applyProtection="true">
      <alignment horizontal="general" vertical="bottom" textRotation="0" wrapText="false" indent="0" shrinkToFit="false"/>
      <protection locked="true" hidden="false"/>
    </xf>
    <xf numFmtId="196" fontId="92" fillId="5" borderId="64" xfId="19" applyFont="true" applyBorder="true" applyAlignment="true" applyProtection="true">
      <alignment horizontal="general" vertical="bottom" textRotation="0" wrapText="false" indent="0" shrinkToFit="false"/>
      <protection locked="true" hidden="false"/>
    </xf>
    <xf numFmtId="196" fontId="92" fillId="0" borderId="65" xfId="19" applyFont="true" applyBorder="true" applyAlignment="true" applyProtection="true">
      <alignment horizontal="general" vertical="bottom" textRotation="0" wrapText="false" indent="0" shrinkToFit="false"/>
      <protection locked="true" hidden="false"/>
    </xf>
    <xf numFmtId="196" fontId="92" fillId="5" borderId="66" xfId="19" applyFont="true" applyBorder="true" applyAlignment="true" applyProtection="true">
      <alignment horizontal="general" vertical="bottom" textRotation="0" wrapText="false" indent="0" shrinkToFit="false"/>
      <protection locked="true" hidden="false"/>
    </xf>
    <xf numFmtId="196" fontId="88" fillId="5" borderId="62" xfId="19" applyFont="true" applyBorder="true" applyAlignment="true" applyProtection="true">
      <alignment horizontal="general" vertical="bottom" textRotation="0" wrapText="false" indent="0" shrinkToFit="false"/>
      <protection locked="true" hidden="false"/>
    </xf>
    <xf numFmtId="182" fontId="67" fillId="0" borderId="68" xfId="19" applyFont="true" applyBorder="true" applyAlignment="true" applyProtection="true">
      <alignment horizontal="general" vertical="bottom" textRotation="0" wrapText="false" indent="0" shrinkToFit="false"/>
      <protection locked="true" hidden="false"/>
    </xf>
    <xf numFmtId="182" fontId="67" fillId="0" borderId="12" xfId="19" applyFont="true" applyBorder="true" applyAlignment="true" applyProtection="true">
      <alignment horizontal="general" vertical="bottom" textRotation="0" wrapText="false" indent="0" shrinkToFit="false"/>
      <protection locked="true" hidden="false"/>
    </xf>
    <xf numFmtId="182" fontId="67" fillId="5" borderId="12" xfId="19" applyFont="true" applyBorder="true" applyAlignment="true" applyProtection="true">
      <alignment horizontal="general" vertical="bottom" textRotation="0" wrapText="false" indent="0" shrinkToFit="false"/>
      <protection locked="true" hidden="false"/>
    </xf>
    <xf numFmtId="196" fontId="92" fillId="0" borderId="12" xfId="19" applyFont="true" applyBorder="true" applyAlignment="true" applyProtection="true">
      <alignment horizontal="general" vertical="bottom" textRotation="0" wrapText="false" indent="0" shrinkToFit="false"/>
      <protection locked="true" hidden="false"/>
    </xf>
    <xf numFmtId="196" fontId="92" fillId="5" borderId="12" xfId="19" applyFont="true" applyBorder="true" applyAlignment="true" applyProtection="true">
      <alignment horizontal="general" vertical="bottom" textRotation="0" wrapText="false" indent="0" shrinkToFit="false"/>
      <protection locked="true" hidden="false"/>
    </xf>
    <xf numFmtId="196" fontId="92" fillId="0" borderId="69" xfId="19" applyFont="true" applyBorder="true" applyAlignment="true" applyProtection="true">
      <alignment horizontal="general" vertical="bottom" textRotation="0" wrapText="false" indent="0" shrinkToFit="false"/>
      <protection locked="true" hidden="false"/>
    </xf>
    <xf numFmtId="196" fontId="92" fillId="5" borderId="67" xfId="19" applyFont="true" applyBorder="true" applyAlignment="true" applyProtection="true">
      <alignment horizontal="general" vertical="bottom" textRotation="0" wrapText="false" indent="0" shrinkToFit="false"/>
      <protection locked="true" hidden="false"/>
    </xf>
    <xf numFmtId="164" fontId="67" fillId="0" borderId="96" xfId="0" applyFont="true" applyBorder="true" applyAlignment="false" applyProtection="false">
      <alignment horizontal="general" vertical="bottom" textRotation="0" wrapText="false" indent="0" shrinkToFit="false"/>
      <protection locked="true" hidden="false"/>
    </xf>
    <xf numFmtId="196" fontId="67" fillId="0" borderId="96" xfId="0" applyFont="true" applyBorder="true" applyAlignment="false" applyProtection="false">
      <alignment horizontal="general" vertical="bottom" textRotation="0" wrapText="false" indent="0" shrinkToFit="false"/>
      <protection locked="true" hidden="false"/>
    </xf>
    <xf numFmtId="164" fontId="67" fillId="0" borderId="96" xfId="0" applyFont="true" applyBorder="true" applyAlignment="false" applyProtection="false">
      <alignment horizontal="general" vertical="bottom" textRotation="0" wrapText="false" indent="0" shrinkToFit="false"/>
      <protection locked="true" hidden="false"/>
    </xf>
    <xf numFmtId="164" fontId="63" fillId="16" borderId="48" xfId="0" applyFont="true" applyBorder="true" applyAlignment="true" applyProtection="false">
      <alignment horizontal="general" vertical="bottom" textRotation="0" wrapText="true" indent="0" shrinkToFit="false"/>
      <protection locked="true" hidden="false"/>
    </xf>
    <xf numFmtId="164" fontId="67" fillId="0" borderId="77" xfId="0" applyFont="true" applyBorder="true" applyAlignment="false" applyProtection="false">
      <alignment horizontal="general" vertical="bottom" textRotation="0" wrapText="false" indent="0" shrinkToFit="false"/>
      <protection locked="true" hidden="false"/>
    </xf>
    <xf numFmtId="164" fontId="67" fillId="5" borderId="55" xfId="0" applyFont="true" applyBorder="true" applyAlignment="false" applyProtection="false">
      <alignment horizontal="general" vertical="bottom" textRotation="0" wrapText="false" indent="0" shrinkToFit="false"/>
      <protection locked="true" hidden="false"/>
    </xf>
    <xf numFmtId="164" fontId="92" fillId="5" borderId="55" xfId="0" applyFont="true" applyBorder="true" applyAlignment="false" applyProtection="false">
      <alignment horizontal="general" vertical="bottom" textRotation="0" wrapText="false" indent="0" shrinkToFit="false"/>
      <protection locked="true" hidden="false"/>
    </xf>
    <xf numFmtId="196" fontId="92" fillId="0" borderId="0" xfId="0" applyFont="true" applyBorder="false" applyAlignment="false" applyProtection="false">
      <alignment horizontal="general" vertical="bottom" textRotation="0" wrapText="false" indent="0" shrinkToFit="false"/>
      <protection locked="true" hidden="false"/>
    </xf>
    <xf numFmtId="196" fontId="92" fillId="5" borderId="0" xfId="0" applyFont="true" applyBorder="false" applyAlignment="false" applyProtection="false">
      <alignment horizontal="general" vertical="bottom" textRotation="0" wrapText="false" indent="0" shrinkToFit="false"/>
      <protection locked="true" hidden="false"/>
    </xf>
    <xf numFmtId="196" fontId="92" fillId="0" borderId="0" xfId="0" applyFont="true" applyBorder="false" applyAlignment="false" applyProtection="false">
      <alignment horizontal="general" vertical="bottom" textRotation="0" wrapText="false" indent="0" shrinkToFit="false"/>
      <protection locked="true" hidden="false"/>
    </xf>
    <xf numFmtId="196" fontId="92" fillId="5" borderId="62" xfId="0" applyFont="true" applyBorder="true" applyAlignment="false" applyProtection="false">
      <alignment horizontal="general" vertical="bottom" textRotation="0" wrapText="false" indent="0" shrinkToFit="false"/>
      <protection locked="true" hidden="false"/>
    </xf>
    <xf numFmtId="164" fontId="67" fillId="0" borderId="64" xfId="0" applyFont="true" applyBorder="true" applyAlignment="false" applyProtection="false">
      <alignment horizontal="general" vertical="bottom" textRotation="0" wrapText="false" indent="0" shrinkToFit="false"/>
      <protection locked="true" hidden="false"/>
    </xf>
    <xf numFmtId="196" fontId="67" fillId="0" borderId="64" xfId="19" applyFont="true" applyBorder="true" applyAlignment="true" applyProtection="true">
      <alignment horizontal="general" vertical="bottom" textRotation="0" wrapText="false" indent="0" shrinkToFit="false"/>
      <protection locked="true" hidden="false"/>
    </xf>
    <xf numFmtId="196" fontId="67" fillId="5" borderId="64" xfId="19" applyFont="true" applyBorder="true" applyAlignment="true" applyProtection="true">
      <alignment horizontal="general" vertical="bottom" textRotation="0" wrapText="false" indent="0" shrinkToFit="false"/>
      <protection locked="true" hidden="false"/>
    </xf>
    <xf numFmtId="164" fontId="67" fillId="0" borderId="67" xfId="0" applyFont="true" applyBorder="true" applyAlignment="false" applyProtection="false">
      <alignment horizontal="general" vertical="bottom" textRotation="0" wrapText="false" indent="0" shrinkToFit="false"/>
      <protection locked="true" hidden="false"/>
    </xf>
    <xf numFmtId="164" fontId="67" fillId="5" borderId="32" xfId="0" applyFont="true" applyBorder="true" applyAlignment="false" applyProtection="false">
      <alignment horizontal="general" vertical="bottom" textRotation="0" wrapText="false" indent="0" shrinkToFit="false"/>
      <protection locked="true" hidden="false"/>
    </xf>
    <xf numFmtId="164" fontId="76" fillId="14" borderId="97" xfId="0" applyFont="true" applyBorder="true" applyAlignment="true" applyProtection="false">
      <alignment horizontal="left" vertical="top" textRotation="0" wrapText="true" indent="0" shrinkToFit="false"/>
      <protection locked="true" hidden="false"/>
    </xf>
    <xf numFmtId="164" fontId="92" fillId="0" borderId="30" xfId="0" applyFont="true" applyBorder="true" applyAlignment="true" applyProtection="false">
      <alignment horizontal="right" vertical="center" textRotation="0" wrapText="false" indent="0" shrinkToFit="false"/>
      <protection locked="true" hidden="false"/>
    </xf>
    <xf numFmtId="164" fontId="92" fillId="0" borderId="13" xfId="0" applyFont="true" applyBorder="true" applyAlignment="false" applyProtection="false">
      <alignment horizontal="general" vertical="bottom" textRotation="0" wrapText="false" indent="0" shrinkToFit="false"/>
      <protection locked="true" hidden="false"/>
    </xf>
    <xf numFmtId="198" fontId="92" fillId="5" borderId="13" xfId="0" applyFont="true" applyBorder="true" applyAlignment="false" applyProtection="false">
      <alignment horizontal="general" vertical="bottom" textRotation="0" wrapText="false" indent="0" shrinkToFit="false"/>
      <protection locked="true" hidden="false"/>
    </xf>
    <xf numFmtId="164" fontId="92" fillId="0" borderId="13" xfId="0" applyFont="true" applyBorder="true" applyAlignment="true" applyProtection="false">
      <alignment horizontal="center" vertical="center" textRotation="0" wrapText="false" indent="0" shrinkToFit="false"/>
      <protection locked="true" hidden="false"/>
    </xf>
    <xf numFmtId="164" fontId="92" fillId="0" borderId="55" xfId="0" applyFont="true" applyBorder="true" applyAlignment="true" applyProtection="false">
      <alignment horizontal="general" vertical="bottom" textRotation="0" wrapText="false" indent="0" shrinkToFit="false"/>
      <protection locked="true" hidden="false"/>
    </xf>
    <xf numFmtId="164" fontId="92" fillId="0" borderId="55" xfId="0" applyFont="true" applyBorder="true" applyAlignment="false" applyProtection="false">
      <alignment horizontal="general" vertical="bottom" textRotation="0" wrapText="false" indent="0" shrinkToFit="false"/>
      <protection locked="true" hidden="false"/>
    </xf>
    <xf numFmtId="198" fontId="92" fillId="5" borderId="13" xfId="0" applyFont="true" applyBorder="true" applyAlignment="true" applyProtection="false">
      <alignment horizontal="center" vertical="center" textRotation="0" wrapText="false" indent="0" shrinkToFit="false"/>
      <protection locked="true" hidden="false"/>
    </xf>
    <xf numFmtId="164" fontId="92" fillId="0" borderId="13" xfId="0" applyFont="true" applyBorder="true" applyAlignment="false" applyProtection="false">
      <alignment horizontal="general" vertical="bottom" textRotation="0" wrapText="false" indent="0" shrinkToFit="false"/>
      <protection locked="true" hidden="false"/>
    </xf>
    <xf numFmtId="202" fontId="88" fillId="5" borderId="31" xfId="0" applyFont="true" applyBorder="true" applyAlignment="true" applyProtection="false">
      <alignment horizontal="center" vertical="top" textRotation="0" wrapText="true" indent="0" shrinkToFit="false"/>
      <protection locked="true" hidden="false"/>
    </xf>
    <xf numFmtId="164" fontId="92" fillId="0" borderId="0" xfId="0" applyFont="true" applyBorder="true" applyAlignment="false" applyProtection="false">
      <alignment horizontal="general" vertical="bottom" textRotation="0" wrapText="false" indent="0" shrinkToFit="false"/>
      <protection locked="true" hidden="false"/>
    </xf>
    <xf numFmtId="198" fontId="92" fillId="5" borderId="0" xfId="0" applyFont="true" applyBorder="true" applyAlignment="false" applyProtection="false">
      <alignment horizontal="general" vertical="bottom" textRotation="0" wrapText="false" indent="0" shrinkToFit="false"/>
      <protection locked="true" hidden="false"/>
    </xf>
    <xf numFmtId="164" fontId="92" fillId="0" borderId="98" xfId="0" applyFont="true" applyBorder="true" applyAlignment="true" applyProtection="false">
      <alignment horizontal="general" vertical="bottom" textRotation="0" wrapText="false" indent="0" shrinkToFit="false"/>
      <protection locked="true" hidden="false"/>
    </xf>
    <xf numFmtId="164" fontId="92" fillId="0" borderId="98" xfId="0" applyFont="true" applyBorder="true" applyAlignment="false" applyProtection="false">
      <alignment horizontal="general" vertical="bottom" textRotation="0" wrapText="false" indent="0" shrinkToFit="false"/>
      <protection locked="true" hidden="false"/>
    </xf>
    <xf numFmtId="164" fontId="92" fillId="0" borderId="0" xfId="0" applyFont="true" applyBorder="true" applyAlignment="false" applyProtection="false">
      <alignment horizontal="general" vertical="bottom" textRotation="0" wrapText="false" indent="0" shrinkToFit="false"/>
      <protection locked="true" hidden="false"/>
    </xf>
    <xf numFmtId="202" fontId="88" fillId="5" borderId="61" xfId="0" applyFont="true" applyBorder="true" applyAlignment="true" applyProtection="false">
      <alignment horizontal="center" vertical="top" textRotation="0" wrapText="true" indent="0" shrinkToFit="false"/>
      <protection locked="true" hidden="false"/>
    </xf>
    <xf numFmtId="198" fontId="92" fillId="5" borderId="62" xfId="0" applyFont="true" applyBorder="true" applyAlignment="false" applyProtection="false">
      <alignment horizontal="general" vertical="bottom" textRotation="0" wrapText="false" indent="0" shrinkToFit="false"/>
      <protection locked="true" hidden="false"/>
    </xf>
    <xf numFmtId="164" fontId="92" fillId="0" borderId="60" xfId="0" applyFont="true" applyBorder="true" applyAlignment="false" applyProtection="false">
      <alignment horizontal="general" vertical="bottom" textRotation="0" wrapText="false" indent="0" shrinkToFit="false"/>
      <protection locked="true" hidden="false"/>
    </xf>
    <xf numFmtId="164" fontId="88" fillId="5" borderId="61" xfId="0" applyFont="true" applyBorder="true" applyAlignment="true" applyProtection="false">
      <alignment horizontal="center" vertical="top" textRotation="0" wrapText="true" indent="0" shrinkToFit="false"/>
      <protection locked="true" hidden="false"/>
    </xf>
    <xf numFmtId="198" fontId="92" fillId="0" borderId="63" xfId="0" applyFont="true" applyBorder="true" applyAlignment="false" applyProtection="false">
      <alignment horizontal="general" vertical="bottom" textRotation="0" wrapText="false" indent="0" shrinkToFit="false"/>
      <protection locked="true" hidden="false"/>
    </xf>
    <xf numFmtId="198" fontId="92" fillId="0" borderId="64" xfId="0" applyFont="true" applyBorder="true" applyAlignment="false" applyProtection="false">
      <alignment horizontal="general" vertical="bottom" textRotation="0" wrapText="false" indent="0" shrinkToFit="false"/>
      <protection locked="true" hidden="false"/>
    </xf>
    <xf numFmtId="198" fontId="92" fillId="5" borderId="64" xfId="0" applyFont="true" applyBorder="true" applyAlignment="false" applyProtection="false">
      <alignment horizontal="general" vertical="bottom" textRotation="0" wrapText="false" indent="0" shrinkToFit="false"/>
      <protection locked="true" hidden="false"/>
    </xf>
    <xf numFmtId="198" fontId="92" fillId="0" borderId="64" xfId="0" applyFont="true" applyBorder="true" applyAlignment="false" applyProtection="false">
      <alignment horizontal="general" vertical="bottom" textRotation="0" wrapText="false" indent="0" shrinkToFit="false"/>
      <protection locked="true" hidden="false"/>
    </xf>
    <xf numFmtId="201" fontId="74" fillId="5" borderId="65" xfId="0" applyFont="true" applyBorder="true" applyAlignment="true" applyProtection="false">
      <alignment horizontal="center" vertical="top" textRotation="0" wrapText="true" indent="0" shrinkToFit="false"/>
      <protection locked="true" hidden="false"/>
    </xf>
    <xf numFmtId="198" fontId="92" fillId="5" borderId="66" xfId="0" applyFont="true" applyBorder="true" applyAlignment="false" applyProtection="false">
      <alignment horizontal="general" vertical="bottom" textRotation="0" wrapText="false" indent="0" shrinkToFit="false"/>
      <protection locked="true" hidden="false"/>
    </xf>
    <xf numFmtId="164" fontId="88" fillId="5" borderId="61" xfId="0" applyFont="true" applyBorder="true" applyAlignment="true" applyProtection="false">
      <alignment horizontal="center" vertical="bottom" textRotation="0" wrapText="true" indent="0" shrinkToFit="false"/>
      <protection locked="true" hidden="false"/>
    </xf>
    <xf numFmtId="198" fontId="92" fillId="0" borderId="68" xfId="0" applyFont="true" applyBorder="true" applyAlignment="false" applyProtection="false">
      <alignment horizontal="general" vertical="bottom" textRotation="0" wrapText="false" indent="0" shrinkToFit="false"/>
      <protection locked="true" hidden="false"/>
    </xf>
    <xf numFmtId="198" fontId="92" fillId="0" borderId="12" xfId="0" applyFont="true" applyBorder="true" applyAlignment="false" applyProtection="false">
      <alignment horizontal="general" vertical="bottom" textRotation="0" wrapText="false" indent="0" shrinkToFit="false"/>
      <protection locked="true" hidden="false"/>
    </xf>
    <xf numFmtId="198" fontId="92" fillId="5" borderId="12" xfId="0" applyFont="true" applyBorder="true" applyAlignment="false" applyProtection="false">
      <alignment horizontal="general" vertical="bottom" textRotation="0" wrapText="false" indent="0" shrinkToFit="false"/>
      <protection locked="true" hidden="false"/>
    </xf>
    <xf numFmtId="198" fontId="92" fillId="0" borderId="12" xfId="0" applyFont="true" applyBorder="true" applyAlignment="false" applyProtection="false">
      <alignment horizontal="general" vertical="bottom" textRotation="0" wrapText="false" indent="0" shrinkToFit="false"/>
      <protection locked="true" hidden="false"/>
    </xf>
    <xf numFmtId="201" fontId="74" fillId="5" borderId="69" xfId="0" applyFont="true" applyBorder="true" applyAlignment="true" applyProtection="false">
      <alignment horizontal="center" vertical="top" textRotation="0" wrapText="true" indent="0" shrinkToFit="false"/>
      <protection locked="true" hidden="false"/>
    </xf>
    <xf numFmtId="198" fontId="92" fillId="5" borderId="67" xfId="0" applyFont="true" applyBorder="true" applyAlignment="false" applyProtection="false">
      <alignment horizontal="general" vertical="bottom" textRotation="0" wrapText="false" indent="0" shrinkToFit="false"/>
      <protection locked="true" hidden="false"/>
    </xf>
    <xf numFmtId="164" fontId="67" fillId="0" borderId="99" xfId="0" applyFont="true" applyBorder="true" applyAlignment="false" applyProtection="false">
      <alignment horizontal="general" vertical="bottom" textRotation="0" wrapText="false" indent="0" shrinkToFit="false"/>
      <protection locked="true" hidden="false"/>
    </xf>
    <xf numFmtId="164" fontId="67" fillId="0" borderId="30" xfId="0" applyFont="true" applyBorder="true" applyAlignment="false" applyProtection="false">
      <alignment horizontal="general" vertical="bottom" textRotation="0" wrapText="false" indent="0" shrinkToFit="false"/>
      <protection locked="true" hidden="false"/>
    </xf>
    <xf numFmtId="164" fontId="67" fillId="17" borderId="13" xfId="0" applyFont="true" applyBorder="true" applyAlignment="false" applyProtection="false">
      <alignment horizontal="general" vertical="bottom" textRotation="0" wrapText="false" indent="0" shrinkToFit="false"/>
      <protection locked="true" hidden="false"/>
    </xf>
    <xf numFmtId="164" fontId="73" fillId="5" borderId="31" xfId="0" applyFont="true" applyBorder="true" applyAlignment="true" applyProtection="false">
      <alignment horizontal="general" vertical="bottom" textRotation="0" wrapText="false" indent="0" shrinkToFit="false"/>
      <protection locked="true" hidden="false"/>
    </xf>
    <xf numFmtId="164" fontId="76" fillId="14" borderId="47" xfId="0" applyFont="true" applyBorder="true" applyAlignment="true" applyProtection="false">
      <alignment horizontal="left" vertical="top" textRotation="0" wrapText="true" indent="0" shrinkToFit="false"/>
      <protection locked="true" hidden="false"/>
    </xf>
    <xf numFmtId="164" fontId="67" fillId="0" borderId="60" xfId="0" applyFont="true" applyBorder="true" applyAlignment="false" applyProtection="false">
      <alignment horizontal="general" vertical="bottom" textRotation="0" wrapText="false" indent="0" shrinkToFit="false"/>
      <protection locked="true" hidden="false"/>
    </xf>
    <xf numFmtId="198" fontId="67" fillId="5" borderId="0" xfId="0" applyFont="true" applyBorder="true" applyAlignment="false" applyProtection="false">
      <alignment horizontal="general" vertical="bottom" textRotation="0" wrapText="false" indent="0" shrinkToFit="false"/>
      <protection locked="true" hidden="false"/>
    </xf>
    <xf numFmtId="164" fontId="67" fillId="17" borderId="0" xfId="0" applyFont="true" applyBorder="true" applyAlignment="false" applyProtection="false">
      <alignment horizontal="general" vertical="bottom" textRotation="0" wrapText="false" indent="0" shrinkToFit="false"/>
      <protection locked="true" hidden="false"/>
    </xf>
    <xf numFmtId="202" fontId="10" fillId="5" borderId="100" xfId="0" applyFont="true" applyBorder="true" applyAlignment="true" applyProtection="false">
      <alignment horizontal="general" vertical="top" textRotation="0" wrapText="true" indent="0" shrinkToFit="false"/>
      <protection locked="true" hidden="false"/>
    </xf>
    <xf numFmtId="164" fontId="10" fillId="5" borderId="100" xfId="0" applyFont="true" applyBorder="true" applyAlignment="true" applyProtection="false">
      <alignment horizontal="general" vertical="top" textRotation="0" wrapText="true" indent="0" shrinkToFit="false"/>
      <protection locked="true" hidden="false"/>
    </xf>
    <xf numFmtId="164" fontId="10" fillId="5" borderId="101" xfId="0" applyFont="true" applyBorder="true" applyAlignment="true" applyProtection="false">
      <alignment horizontal="general" vertical="top" textRotation="0" wrapText="true" indent="0" shrinkToFit="false"/>
      <protection locked="true" hidden="false"/>
    </xf>
    <xf numFmtId="164" fontId="78" fillId="14" borderId="47" xfId="0" applyFont="true" applyBorder="true" applyAlignment="true" applyProtection="false">
      <alignment horizontal="left" vertical="top" textRotation="0" wrapText="true" indent="0" shrinkToFit="false"/>
      <protection locked="true" hidden="false"/>
    </xf>
    <xf numFmtId="198" fontId="67" fillId="0" borderId="63" xfId="0" applyFont="true" applyBorder="true" applyAlignment="false" applyProtection="false">
      <alignment horizontal="general" vertical="bottom" textRotation="0" wrapText="false" indent="0" shrinkToFit="false"/>
      <protection locked="true" hidden="false"/>
    </xf>
    <xf numFmtId="198" fontId="67" fillId="0" borderId="64" xfId="0" applyFont="true" applyBorder="true" applyAlignment="false" applyProtection="false">
      <alignment horizontal="general" vertical="bottom" textRotation="0" wrapText="false" indent="0" shrinkToFit="false"/>
      <protection locked="true" hidden="false"/>
    </xf>
    <xf numFmtId="198" fontId="67" fillId="5" borderId="64" xfId="0" applyFont="true" applyBorder="true" applyAlignment="false" applyProtection="false">
      <alignment horizontal="general" vertical="bottom" textRotation="0" wrapText="false" indent="0" shrinkToFit="false"/>
      <protection locked="true" hidden="false"/>
    </xf>
    <xf numFmtId="198" fontId="67" fillId="17" borderId="64" xfId="0" applyFont="true" applyBorder="true" applyAlignment="false" applyProtection="false">
      <alignment horizontal="general" vertical="bottom" textRotation="0" wrapText="false" indent="0" shrinkToFit="false"/>
      <protection locked="true" hidden="false"/>
    </xf>
    <xf numFmtId="202" fontId="8" fillId="14" borderId="101" xfId="0" applyFont="true" applyBorder="true" applyAlignment="true" applyProtection="false">
      <alignment horizontal="center" vertical="top" textRotation="0" wrapText="true" indent="0" shrinkToFit="false"/>
      <protection locked="true" hidden="false"/>
    </xf>
    <xf numFmtId="164" fontId="78" fillId="14" borderId="68" xfId="0" applyFont="true" applyBorder="true" applyAlignment="true" applyProtection="false">
      <alignment horizontal="left" vertical="top" textRotation="0" wrapText="true" indent="0" shrinkToFit="false"/>
      <protection locked="true" hidden="false"/>
    </xf>
    <xf numFmtId="202" fontId="10" fillId="14" borderId="100" xfId="0" applyFont="true" applyBorder="true" applyAlignment="true" applyProtection="false">
      <alignment horizontal="center" vertical="top" textRotation="0" wrapText="true" indent="0" shrinkToFit="false"/>
      <protection locked="true" hidden="false"/>
    </xf>
    <xf numFmtId="198" fontId="67" fillId="5" borderId="63" xfId="0" applyFont="true" applyBorder="true" applyAlignment="false" applyProtection="false">
      <alignment horizontal="general" vertical="bottom" textRotation="0" wrapText="false" indent="0" shrinkToFit="false"/>
      <protection locked="true" hidden="false"/>
    </xf>
    <xf numFmtId="164" fontId="67" fillId="5" borderId="4" xfId="0" applyFont="true" applyBorder="true" applyAlignment="false" applyProtection="false">
      <alignment horizontal="general" vertical="bottom" textRotation="0" wrapText="false" indent="0" shrinkToFit="false"/>
      <protection locked="true" hidden="false"/>
    </xf>
    <xf numFmtId="202" fontId="78" fillId="14" borderId="100" xfId="0" applyFont="true" applyBorder="true" applyAlignment="true" applyProtection="false">
      <alignment horizontal="center" vertical="top" textRotation="0" wrapText="true" indent="0" shrinkToFit="false"/>
      <protection locked="true" hidden="false"/>
    </xf>
    <xf numFmtId="164" fontId="67" fillId="5" borderId="62" xfId="0" applyFont="true" applyBorder="true" applyAlignment="false" applyProtection="false">
      <alignment horizontal="general" vertical="bottom" textRotation="0" wrapText="false" indent="0" shrinkToFit="false"/>
      <protection locked="true" hidden="false"/>
    </xf>
    <xf numFmtId="164" fontId="76" fillId="14" borderId="102" xfId="0" applyFont="true" applyBorder="true" applyAlignment="true" applyProtection="false">
      <alignment horizontal="left" vertical="top" textRotation="0" wrapText="true" indent="0" shrinkToFit="false"/>
      <protection locked="true" hidden="false"/>
    </xf>
    <xf numFmtId="164" fontId="67" fillId="0" borderId="102" xfId="0" applyFont="true" applyBorder="true" applyAlignment="false" applyProtection="false">
      <alignment horizontal="general" vertical="bottom" textRotation="0" wrapText="false" indent="0" shrinkToFit="false"/>
      <protection locked="true" hidden="false"/>
    </xf>
    <xf numFmtId="164" fontId="67" fillId="0" borderId="5" xfId="0" applyFont="true" applyBorder="true" applyAlignment="false" applyProtection="false">
      <alignment horizontal="general" vertical="bottom" textRotation="0" wrapText="false" indent="0" shrinkToFit="false"/>
      <protection locked="true" hidden="false"/>
    </xf>
    <xf numFmtId="164" fontId="67" fillId="5" borderId="5" xfId="0" applyFont="true" applyBorder="true" applyAlignment="false" applyProtection="false">
      <alignment horizontal="general" vertical="bottom" textRotation="0" wrapText="false" indent="0" shrinkToFit="false"/>
      <protection locked="true" hidden="false"/>
    </xf>
    <xf numFmtId="164" fontId="67" fillId="0" borderId="5" xfId="0" applyFont="true" applyBorder="true" applyAlignment="false" applyProtection="false">
      <alignment horizontal="general" vertical="bottom" textRotation="0" wrapText="false" indent="0" shrinkToFit="false"/>
      <protection locked="true" hidden="false"/>
    </xf>
    <xf numFmtId="164" fontId="67" fillId="17" borderId="5" xfId="0" applyFont="true" applyBorder="true" applyAlignment="false" applyProtection="false">
      <alignment horizontal="general" vertical="bottom" textRotation="0" wrapText="false" indent="0" shrinkToFit="false"/>
      <protection locked="true" hidden="false"/>
    </xf>
    <xf numFmtId="164" fontId="0" fillId="0" borderId="76" xfId="0" applyFont="false" applyBorder="true" applyAlignment="true" applyProtection="false">
      <alignment horizontal="center" vertical="bottom" textRotation="0" wrapText="false" indent="0" shrinkToFit="false"/>
      <protection locked="true" hidden="false"/>
    </xf>
    <xf numFmtId="164" fontId="67" fillId="5" borderId="98" xfId="0" applyFont="true" applyBorder="true" applyAlignment="false" applyProtection="false">
      <alignment horizontal="general" vertical="bottom" textRotation="0" wrapText="false" indent="0" shrinkToFit="false"/>
      <protection locked="true" hidden="false"/>
    </xf>
    <xf numFmtId="164" fontId="99" fillId="0" borderId="0" xfId="83" applyFont="true" applyBorder="true" applyAlignment="false" applyProtection="false">
      <alignment horizontal="general" vertical="bottom" textRotation="0" wrapText="false" indent="0" shrinkToFit="false"/>
      <protection locked="true" hidden="false"/>
    </xf>
    <xf numFmtId="173" fontId="106" fillId="0" borderId="0" xfId="83" applyFont="true" applyBorder="true" applyAlignment="false" applyProtection="false">
      <alignment horizontal="general" vertical="bottom" textRotation="0" wrapText="false" indent="0" shrinkToFit="false"/>
      <protection locked="true" hidden="false"/>
    </xf>
    <xf numFmtId="164" fontId="84" fillId="5" borderId="30" xfId="83" applyFont="true" applyBorder="true" applyAlignment="false" applyProtection="false">
      <alignment horizontal="general" vertical="bottom" textRotation="0" wrapText="false" indent="0" shrinkToFit="false"/>
      <protection locked="true" hidden="false"/>
    </xf>
    <xf numFmtId="164" fontId="107" fillId="0" borderId="0" xfId="0" applyFont="true" applyBorder="true" applyAlignment="true" applyProtection="false">
      <alignment horizontal="center" vertical="bottom" textRotation="0" wrapText="true" indent="0" shrinkToFit="false"/>
      <protection locked="true" hidden="false"/>
    </xf>
    <xf numFmtId="164" fontId="84" fillId="0" borderId="0" xfId="83" applyFont="true" applyBorder="true" applyAlignment="false" applyProtection="false">
      <alignment horizontal="general" vertical="bottom" textRotation="0" wrapText="false" indent="0" shrinkToFit="false"/>
      <protection locked="true" hidden="false"/>
    </xf>
    <xf numFmtId="173" fontId="59" fillId="0" borderId="0" xfId="83" applyFont="true" applyBorder="true" applyAlignment="false" applyProtection="false">
      <alignment horizontal="general" vertical="bottom" textRotation="0" wrapText="false" indent="0" shrinkToFit="false"/>
      <protection locked="true" hidden="false"/>
    </xf>
    <xf numFmtId="173" fontId="60" fillId="0" borderId="0" xfId="83" applyFont="true" applyBorder="true" applyAlignment="false" applyProtection="false">
      <alignment horizontal="general" vertical="bottom" textRotation="0" wrapText="false" indent="0" shrinkToFit="false"/>
      <protection locked="true" hidden="false"/>
    </xf>
    <xf numFmtId="164" fontId="62" fillId="0" borderId="0" xfId="83" applyFont="true" applyBorder="true" applyAlignment="false" applyProtection="false">
      <alignment horizontal="general" vertical="bottom" textRotation="0" wrapText="false" indent="0" shrinkToFit="false"/>
      <protection locked="true" hidden="false"/>
    </xf>
    <xf numFmtId="164" fontId="108" fillId="0" borderId="48" xfId="83" applyFont="true" applyBorder="true" applyAlignment="true" applyProtection="false">
      <alignment horizontal="left" vertical="bottom" textRotation="0" wrapText="false" indent="0" shrinkToFit="false"/>
      <protection locked="true" hidden="false"/>
    </xf>
    <xf numFmtId="173" fontId="87" fillId="0" borderId="55" xfId="83" applyFont="true" applyBorder="true" applyAlignment="true" applyProtection="false">
      <alignment horizontal="center" vertical="bottom" textRotation="0" wrapText="false" indent="0" shrinkToFit="false"/>
      <protection locked="true" hidden="false"/>
    </xf>
    <xf numFmtId="164" fontId="95" fillId="15" borderId="48" xfId="83" applyFont="true" applyBorder="true" applyAlignment="true" applyProtection="false">
      <alignment horizontal="center" vertical="center" textRotation="0" wrapText="false" indent="0" shrinkToFit="false"/>
      <protection locked="true" hidden="false"/>
    </xf>
    <xf numFmtId="164" fontId="87" fillId="16" borderId="60" xfId="83" applyFont="true" applyBorder="true" applyAlignment="true" applyProtection="false">
      <alignment horizontal="left" vertical="bottom" textRotation="0" wrapText="false" indent="0" shrinkToFit="false"/>
      <protection locked="true" hidden="false"/>
    </xf>
    <xf numFmtId="173" fontId="95" fillId="0" borderId="49" xfId="83" applyFont="true" applyBorder="true" applyAlignment="true" applyProtection="false">
      <alignment horizontal="center" vertical="bottom" textRotation="0" wrapText="false" indent="0" shrinkToFit="false"/>
      <protection locked="true" hidden="false"/>
    </xf>
    <xf numFmtId="173" fontId="96" fillId="0" borderId="50" xfId="83" applyFont="true" applyBorder="true" applyAlignment="true" applyProtection="false">
      <alignment horizontal="center" vertical="bottom" textRotation="0" wrapText="false" indent="0" shrinkToFit="false"/>
      <protection locked="true" hidden="false"/>
    </xf>
    <xf numFmtId="173" fontId="95" fillId="0" borderId="50" xfId="83" applyFont="true" applyBorder="true" applyAlignment="true" applyProtection="false">
      <alignment horizontal="center" vertical="bottom" textRotation="0" wrapText="false" indent="0" shrinkToFit="false"/>
      <protection locked="true" hidden="false"/>
    </xf>
    <xf numFmtId="173" fontId="95" fillId="0" borderId="72" xfId="83" applyFont="true" applyBorder="true" applyAlignment="true" applyProtection="false">
      <alignment horizontal="center" vertical="bottom" textRotation="0" wrapText="false" indent="0" shrinkToFit="false"/>
      <protection locked="true" hidden="false"/>
    </xf>
    <xf numFmtId="173" fontId="95" fillId="0" borderId="4" xfId="83" applyFont="true" applyBorder="true" applyAlignment="true" applyProtection="false">
      <alignment horizontal="center" vertical="bottom" textRotation="0" wrapText="false" indent="0" shrinkToFit="false"/>
      <protection locked="true" hidden="false"/>
    </xf>
    <xf numFmtId="164" fontId="95" fillId="0" borderId="49" xfId="83" applyFont="true" applyBorder="true" applyAlignment="true" applyProtection="false">
      <alignment horizontal="center" vertical="bottom" textRotation="0" wrapText="false" indent="0" shrinkToFit="false"/>
      <protection locked="true" hidden="false"/>
    </xf>
    <xf numFmtId="164" fontId="95" fillId="0" borderId="50" xfId="83" applyFont="true" applyBorder="true" applyAlignment="true" applyProtection="false">
      <alignment horizontal="center" vertical="bottom" textRotation="0" wrapText="false" indent="0" shrinkToFit="false"/>
      <protection locked="true" hidden="false"/>
    </xf>
    <xf numFmtId="164" fontId="95" fillId="0" borderId="72" xfId="83" applyFont="true" applyBorder="true" applyAlignment="true" applyProtection="false">
      <alignment horizontal="center" vertical="bottom" textRotation="0" wrapText="false" indent="0" shrinkToFit="false"/>
      <protection locked="true" hidden="false"/>
    </xf>
    <xf numFmtId="164" fontId="87" fillId="0" borderId="0" xfId="83" applyFont="true" applyBorder="true" applyAlignment="true" applyProtection="false">
      <alignment horizontal="center" vertical="bottom" textRotation="0" wrapText="false" indent="0" shrinkToFit="false"/>
      <protection locked="true" hidden="false"/>
    </xf>
    <xf numFmtId="164" fontId="97" fillId="0" borderId="103" xfId="83" applyFont="true" applyBorder="true" applyAlignment="true" applyProtection="false">
      <alignment horizontal="left" vertical="bottom" textRotation="0" wrapText="false" indent="0" shrinkToFit="false"/>
      <protection locked="true" hidden="false"/>
    </xf>
    <xf numFmtId="173" fontId="99" fillId="0" borderId="104" xfId="83" applyFont="true" applyBorder="true" applyAlignment="true" applyProtection="false">
      <alignment horizontal="center" vertical="center" textRotation="0" wrapText="false" indent="0" shrinkToFit="false"/>
      <protection locked="true" hidden="false"/>
    </xf>
    <xf numFmtId="173" fontId="109" fillId="0" borderId="105" xfId="83" applyFont="true" applyBorder="true" applyAlignment="true" applyProtection="false">
      <alignment horizontal="center" vertical="center" textRotation="0" wrapText="false" indent="0" shrinkToFit="false"/>
      <protection locked="true" hidden="false"/>
    </xf>
    <xf numFmtId="164" fontId="99" fillId="0" borderId="105" xfId="83" applyFont="true" applyBorder="true" applyAlignment="true" applyProtection="false">
      <alignment horizontal="center" vertical="center" textRotation="0" wrapText="false" indent="0" shrinkToFit="false"/>
      <protection locked="true" hidden="false"/>
    </xf>
    <xf numFmtId="173" fontId="73" fillId="0" borderId="105" xfId="83" applyFont="true" applyBorder="true" applyAlignment="true" applyProtection="false">
      <alignment horizontal="center" vertical="center" textRotation="0" wrapText="false" indent="0" shrinkToFit="false"/>
      <protection locked="true" hidden="false"/>
    </xf>
    <xf numFmtId="173" fontId="99" fillId="0" borderId="105" xfId="83" applyFont="true" applyBorder="true" applyAlignment="true" applyProtection="false">
      <alignment horizontal="center" vertical="center" textRotation="0" wrapText="false" indent="0" shrinkToFit="false"/>
      <protection locked="true" hidden="false"/>
    </xf>
    <xf numFmtId="173" fontId="99" fillId="0" borderId="106" xfId="83" applyFont="true" applyBorder="true" applyAlignment="true" applyProtection="false">
      <alignment horizontal="center" vertical="center" textRotation="0" wrapText="false" indent="0" shrinkToFit="false"/>
      <protection locked="true" hidden="false"/>
    </xf>
    <xf numFmtId="173" fontId="99" fillId="15" borderId="107" xfId="83" applyFont="true" applyBorder="true" applyAlignment="true" applyProtection="false">
      <alignment horizontal="center" vertical="center" textRotation="0" wrapText="false" indent="0" shrinkToFit="false"/>
      <protection locked="true" hidden="false"/>
    </xf>
    <xf numFmtId="173" fontId="99" fillId="15" borderId="107" xfId="83" applyFont="true" applyBorder="true" applyAlignment="true" applyProtection="false">
      <alignment horizontal="center" vertical="bottom" textRotation="0" wrapText="false" indent="0" shrinkToFit="false"/>
      <protection locked="true" hidden="false"/>
    </xf>
    <xf numFmtId="164" fontId="110" fillId="0" borderId="104" xfId="83" applyFont="true" applyBorder="true" applyAlignment="true" applyProtection="false">
      <alignment horizontal="center" vertical="center" textRotation="0" wrapText="true" indent="0" shrinkToFit="false"/>
      <protection locked="true" hidden="false"/>
    </xf>
    <xf numFmtId="164" fontId="87" fillId="0" borderId="7" xfId="83" applyFont="true" applyBorder="true" applyAlignment="true" applyProtection="false">
      <alignment horizontal="center" vertical="bottom" textRotation="0" wrapText="false" indent="0" shrinkToFit="false"/>
      <protection locked="true" hidden="false"/>
    </xf>
    <xf numFmtId="164" fontId="111" fillId="0" borderId="15" xfId="83" applyFont="true" applyBorder="true" applyAlignment="false" applyProtection="false">
      <alignment horizontal="general" vertical="bottom" textRotation="0" wrapText="false" indent="0" shrinkToFit="false"/>
      <protection locked="true" hidden="false"/>
    </xf>
    <xf numFmtId="167" fontId="112" fillId="0" borderId="15" xfId="83" applyFont="true" applyBorder="true" applyAlignment="true" applyProtection="false">
      <alignment horizontal="center" vertical="bottom" textRotation="0" wrapText="false" indent="0" shrinkToFit="false"/>
      <protection locked="true" hidden="false"/>
    </xf>
    <xf numFmtId="164" fontId="113" fillId="0" borderId="15" xfId="0" applyFont="true" applyBorder="true" applyAlignment="true" applyProtection="false">
      <alignment horizontal="center" vertical="bottom" textRotation="0" wrapText="false" indent="0" shrinkToFit="false"/>
      <protection locked="true" hidden="false"/>
    </xf>
    <xf numFmtId="167" fontId="112" fillId="15" borderId="15" xfId="83" applyFont="true" applyBorder="true" applyAlignment="true" applyProtection="false">
      <alignment horizontal="center" vertical="bottom" textRotation="0" wrapText="false" indent="0" shrinkToFit="false"/>
      <protection locked="true" hidden="false"/>
    </xf>
    <xf numFmtId="164" fontId="112" fillId="0" borderId="15" xfId="83" applyFont="true" applyBorder="true" applyAlignment="true" applyProtection="false">
      <alignment horizontal="center" vertical="bottom" textRotation="0" wrapText="false" indent="0" shrinkToFit="false"/>
      <protection locked="true" hidden="false"/>
    </xf>
    <xf numFmtId="164" fontId="114" fillId="0" borderId="77" xfId="83" applyFont="true" applyBorder="true" applyAlignment="false" applyProtection="false">
      <alignment horizontal="general" vertical="bottom" textRotation="0" wrapText="false" indent="0" shrinkToFit="false"/>
      <protection locked="true" hidden="false"/>
    </xf>
    <xf numFmtId="167" fontId="115" fillId="0" borderId="0" xfId="83" applyFont="true" applyBorder="true" applyAlignment="true" applyProtection="false">
      <alignment horizontal="center" vertical="bottom" textRotation="0" wrapText="false" indent="0" shrinkToFit="false"/>
      <protection locked="true" hidden="false"/>
    </xf>
    <xf numFmtId="167" fontId="115" fillId="15" borderId="62" xfId="83" applyFont="true" applyBorder="true" applyAlignment="true" applyProtection="false">
      <alignment horizontal="center" vertical="bottom" textRotation="0" wrapText="false" indent="0" shrinkToFit="false"/>
      <protection locked="true" hidden="false"/>
    </xf>
    <xf numFmtId="173" fontId="115" fillId="15" borderId="62" xfId="83" applyFont="true" applyBorder="true" applyAlignment="true" applyProtection="false">
      <alignment horizontal="center" vertical="bottom" textRotation="0" wrapText="false" indent="0" shrinkToFit="false"/>
      <protection locked="true" hidden="false"/>
    </xf>
    <xf numFmtId="173" fontId="115" fillId="0" borderId="62" xfId="83" applyFont="true" applyBorder="true" applyAlignment="true" applyProtection="false">
      <alignment horizontal="center" vertical="bottom" textRotation="0" wrapText="false" indent="0" shrinkToFit="false"/>
      <protection locked="true" hidden="false"/>
    </xf>
    <xf numFmtId="164" fontId="115" fillId="0" borderId="62" xfId="83" applyFont="true" applyBorder="true" applyAlignment="true" applyProtection="false">
      <alignment horizontal="center" vertical="bottom" textRotation="0" wrapText="false" indent="0" shrinkToFit="false"/>
      <protection locked="true" hidden="false"/>
    </xf>
    <xf numFmtId="164" fontId="116" fillId="0" borderId="0" xfId="83" applyFont="true" applyBorder="true" applyAlignment="false" applyProtection="false">
      <alignment horizontal="general" vertical="bottom" textRotation="0" wrapText="false" indent="0" shrinkToFit="false"/>
      <protection locked="true" hidden="false"/>
    </xf>
    <xf numFmtId="164" fontId="114" fillId="0" borderId="59" xfId="83" applyFont="true" applyBorder="true" applyAlignment="false" applyProtection="false">
      <alignment horizontal="general" vertical="bottom" textRotation="0" wrapText="false" indent="0" shrinkToFit="false"/>
      <protection locked="true" hidden="false"/>
    </xf>
    <xf numFmtId="173" fontId="115" fillId="0" borderId="0" xfId="83" applyFont="true" applyBorder="true" applyAlignment="true" applyProtection="false">
      <alignment horizontal="center" vertical="bottom" textRotation="0" wrapText="false" indent="0" shrinkToFit="false"/>
      <protection locked="true" hidden="false"/>
    </xf>
    <xf numFmtId="173" fontId="115" fillId="5" borderId="62" xfId="83" applyFont="true" applyBorder="true" applyAlignment="true" applyProtection="false">
      <alignment horizontal="center" vertical="bottom" textRotation="0" wrapText="false" indent="0" shrinkToFit="false"/>
      <protection locked="true" hidden="false"/>
    </xf>
    <xf numFmtId="164" fontId="114" fillId="0" borderId="66" xfId="83" applyFont="true" applyBorder="true" applyAlignment="false" applyProtection="false">
      <alignment horizontal="general" vertical="bottom" textRotation="0" wrapText="false" indent="0" shrinkToFit="false"/>
      <protection locked="true" hidden="false"/>
    </xf>
    <xf numFmtId="196" fontId="115" fillId="15" borderId="62" xfId="83" applyFont="true" applyBorder="true" applyAlignment="true" applyProtection="false">
      <alignment horizontal="center" vertical="bottom" textRotation="0" wrapText="false" indent="0" shrinkToFit="false"/>
      <protection locked="true" hidden="false"/>
    </xf>
    <xf numFmtId="164" fontId="111" fillId="0" borderId="4" xfId="83" applyFont="true" applyBorder="true" applyAlignment="false" applyProtection="false">
      <alignment horizontal="general" vertical="bottom" textRotation="0" wrapText="false" indent="0" shrinkToFit="false"/>
      <protection locked="true" hidden="false"/>
    </xf>
    <xf numFmtId="167" fontId="112" fillId="0" borderId="4" xfId="83" applyFont="true" applyBorder="true" applyAlignment="true" applyProtection="false">
      <alignment horizontal="center" vertical="bottom" textRotation="0" wrapText="false" indent="0" shrinkToFit="false"/>
      <protection locked="true" hidden="false"/>
    </xf>
    <xf numFmtId="167" fontId="112" fillId="15" borderId="4" xfId="83" applyFont="true" applyBorder="true" applyAlignment="true" applyProtection="false">
      <alignment horizontal="center" vertical="bottom" textRotation="0" wrapText="false" indent="0" shrinkToFit="false"/>
      <protection locked="true" hidden="false"/>
    </xf>
    <xf numFmtId="164" fontId="117" fillId="0" borderId="77" xfId="83" applyFont="true" applyBorder="true" applyAlignment="false" applyProtection="false">
      <alignment horizontal="general" vertical="bottom" textRotation="0" wrapText="false" indent="0" shrinkToFit="false"/>
      <protection locked="true" hidden="false"/>
    </xf>
    <xf numFmtId="167" fontId="118" fillId="0" borderId="0" xfId="83" applyFont="true" applyBorder="true" applyAlignment="true" applyProtection="false">
      <alignment horizontal="center" vertical="bottom" textRotation="0" wrapText="false" indent="0" shrinkToFit="false"/>
      <protection locked="true" hidden="false"/>
    </xf>
    <xf numFmtId="167" fontId="118" fillId="0" borderId="0" xfId="83" applyFont="true" applyBorder="true" applyAlignment="true" applyProtection="false">
      <alignment horizontal="center" vertical="bottom" textRotation="0" wrapText="false" indent="0" shrinkToFit="false"/>
      <protection locked="true" hidden="false"/>
    </xf>
    <xf numFmtId="167" fontId="118" fillId="15" borderId="62" xfId="83" applyFont="true" applyBorder="true" applyAlignment="true" applyProtection="false">
      <alignment horizontal="center" vertical="bottom" textRotation="0" wrapText="false" indent="0" shrinkToFit="false"/>
      <protection locked="true" hidden="false"/>
    </xf>
    <xf numFmtId="173" fontId="118" fillId="5" borderId="0" xfId="83" applyFont="true" applyBorder="true" applyAlignment="true" applyProtection="false">
      <alignment horizontal="center" vertical="bottom" textRotation="0" wrapText="false" indent="0" shrinkToFit="false"/>
      <protection locked="true" hidden="false"/>
    </xf>
    <xf numFmtId="173" fontId="118" fillId="15" borderId="62" xfId="83" applyFont="true" applyBorder="true" applyAlignment="true" applyProtection="false">
      <alignment horizontal="center" vertical="bottom" textRotation="0" wrapText="false" indent="0" shrinkToFit="false"/>
      <protection locked="true" hidden="false"/>
    </xf>
    <xf numFmtId="167" fontId="118" fillId="0" borderId="62" xfId="83" applyFont="true" applyBorder="true" applyAlignment="true" applyProtection="false">
      <alignment horizontal="center" vertical="bottom" textRotation="0" wrapText="false" indent="0" shrinkToFit="false"/>
      <protection locked="true" hidden="false"/>
    </xf>
    <xf numFmtId="164" fontId="114" fillId="0" borderId="59" xfId="83" applyFont="true" applyBorder="true" applyAlignment="false" applyProtection="false">
      <alignment horizontal="general" vertical="bottom" textRotation="0" wrapText="false" indent="0" shrinkToFit="false"/>
      <protection locked="true" hidden="false"/>
    </xf>
    <xf numFmtId="203" fontId="115" fillId="0" borderId="0" xfId="83" applyFont="true" applyBorder="true" applyAlignment="true" applyProtection="false">
      <alignment horizontal="center" vertical="bottom" textRotation="0" wrapText="false" indent="0" shrinkToFit="false"/>
      <protection locked="true" hidden="false"/>
    </xf>
    <xf numFmtId="164" fontId="117" fillId="0" borderId="59" xfId="83" applyFont="true" applyBorder="true" applyAlignment="false" applyProtection="false">
      <alignment horizontal="general" vertical="bottom" textRotation="0" wrapText="false" indent="0" shrinkToFit="false"/>
      <protection locked="true" hidden="false"/>
    </xf>
    <xf numFmtId="167" fontId="115" fillId="5" borderId="62" xfId="83" applyFont="true" applyBorder="true" applyAlignment="true" applyProtection="false">
      <alignment horizontal="center" vertical="bottom" textRotation="0" wrapText="false" indent="0" shrinkToFit="false"/>
      <protection locked="true" hidden="false"/>
    </xf>
    <xf numFmtId="167" fontId="118" fillId="5" borderId="0" xfId="83" applyFont="true" applyBorder="true" applyAlignment="true" applyProtection="false">
      <alignment horizontal="center" vertical="bottom" textRotation="0" wrapText="false" indent="0" shrinkToFit="false"/>
      <protection locked="true" hidden="false"/>
    </xf>
    <xf numFmtId="164" fontId="115" fillId="5" borderId="62" xfId="83" applyFont="true" applyBorder="true" applyAlignment="true" applyProtection="false">
      <alignment horizontal="center" vertical="bottom" textRotation="0" wrapText="false" indent="0" shrinkToFit="false"/>
      <protection locked="true" hidden="false"/>
    </xf>
    <xf numFmtId="164" fontId="118" fillId="0" borderId="0" xfId="83" applyFont="true" applyBorder="true" applyAlignment="true" applyProtection="false">
      <alignment horizontal="center" vertical="bottom" textRotation="0" wrapText="false" indent="0" shrinkToFit="false"/>
      <protection locked="true" hidden="false"/>
    </xf>
    <xf numFmtId="164" fontId="118" fillId="0" borderId="0" xfId="83" applyFont="true" applyBorder="true" applyAlignment="true" applyProtection="false">
      <alignment horizontal="center" vertical="bottom" textRotation="0" wrapText="false" indent="0" shrinkToFit="false"/>
      <protection locked="true" hidden="false"/>
    </xf>
    <xf numFmtId="164" fontId="114" fillId="0" borderId="66" xfId="83" applyFont="true" applyBorder="true" applyAlignment="false" applyProtection="false">
      <alignment horizontal="general" vertical="bottom" textRotation="0" wrapText="false" indent="0" shrinkToFit="false"/>
      <protection locked="true" hidden="false"/>
    </xf>
    <xf numFmtId="167" fontId="111" fillId="15" borderId="48" xfId="83" applyFont="true" applyBorder="true" applyAlignment="false" applyProtection="false">
      <alignment horizontal="general" vertical="bottom" textRotation="0" wrapText="false" indent="0" shrinkToFit="false"/>
      <protection locked="true" hidden="false"/>
    </xf>
    <xf numFmtId="167" fontId="112" fillId="15" borderId="6" xfId="83" applyFont="true" applyBorder="true" applyAlignment="true" applyProtection="false">
      <alignment horizontal="center" vertical="bottom" textRotation="0" wrapText="false" indent="0" shrinkToFit="false"/>
      <protection locked="true" hidden="false"/>
    </xf>
    <xf numFmtId="167" fontId="112" fillId="15" borderId="48" xfId="83" applyFont="true" applyBorder="true" applyAlignment="true" applyProtection="false">
      <alignment horizontal="center" vertical="bottom" textRotation="0" wrapText="false" indent="0" shrinkToFit="false"/>
      <protection locked="true" hidden="false"/>
    </xf>
    <xf numFmtId="167" fontId="87" fillId="0" borderId="0" xfId="83" applyFont="true" applyBorder="true" applyAlignment="false" applyProtection="false">
      <alignment horizontal="general" vertical="bottom" textRotation="0" wrapText="false" indent="0" shrinkToFit="false"/>
      <protection locked="true" hidden="false"/>
    </xf>
    <xf numFmtId="196" fontId="115" fillId="0" borderId="62" xfId="83" applyFont="true" applyBorder="true" applyAlignment="true" applyProtection="false">
      <alignment horizontal="center" vertical="bottom" textRotation="0" wrapText="false" indent="0" shrinkToFit="false"/>
      <protection locked="true" hidden="false"/>
    </xf>
    <xf numFmtId="164" fontId="111" fillId="5" borderId="48" xfId="83" applyFont="true" applyBorder="true" applyAlignment="false" applyProtection="false">
      <alignment horizontal="general" vertical="bottom" textRotation="0" wrapText="false" indent="0" shrinkToFit="false"/>
      <protection locked="true" hidden="false"/>
    </xf>
    <xf numFmtId="167" fontId="112" fillId="5" borderId="6" xfId="83" applyFont="true" applyBorder="true" applyAlignment="true" applyProtection="false">
      <alignment horizontal="center" vertical="bottom" textRotation="0" wrapText="false" indent="0" shrinkToFit="false"/>
      <protection locked="true" hidden="false"/>
    </xf>
    <xf numFmtId="198" fontId="112" fillId="15" borderId="48" xfId="83" applyFont="true" applyBorder="true" applyAlignment="true" applyProtection="false">
      <alignment horizontal="center" vertical="bottom" textRotation="0" wrapText="false" indent="0" shrinkToFit="false"/>
      <protection locked="true" hidden="false"/>
    </xf>
    <xf numFmtId="167" fontId="118" fillId="0" borderId="0" xfId="91" applyFont="true" applyBorder="true" applyAlignment="true" applyProtection="true">
      <alignment horizontal="center" vertical="bottom" textRotation="0" wrapText="false" indent="0" shrinkToFit="false"/>
      <protection locked="true" hidden="false"/>
    </xf>
    <xf numFmtId="164" fontId="118" fillId="5" borderId="62" xfId="83" applyFont="true" applyBorder="true" applyAlignment="true" applyProtection="false">
      <alignment horizontal="center" vertical="bottom" textRotation="0" wrapText="false" indent="0" shrinkToFit="false"/>
      <protection locked="true" hidden="false"/>
    </xf>
    <xf numFmtId="164" fontId="117" fillId="0" borderId="66" xfId="83" applyFont="true" applyBorder="true" applyAlignment="false" applyProtection="false">
      <alignment horizontal="general" vertical="bottom" textRotation="0" wrapText="false" indent="0" shrinkToFit="false"/>
      <protection locked="true" hidden="false"/>
    </xf>
    <xf numFmtId="167" fontId="111" fillId="5" borderId="48" xfId="83" applyFont="true" applyBorder="true" applyAlignment="false" applyProtection="false">
      <alignment horizontal="general" vertical="bottom" textRotation="0" wrapText="false" indent="0" shrinkToFit="false"/>
      <protection locked="true" hidden="false"/>
    </xf>
    <xf numFmtId="167" fontId="112" fillId="5" borderId="48" xfId="83" applyFont="true" applyBorder="true" applyAlignment="true" applyProtection="false">
      <alignment horizontal="center" vertical="bottom" textRotation="0" wrapText="false" indent="0" shrinkToFit="false"/>
      <protection locked="true" hidden="false"/>
    </xf>
    <xf numFmtId="164" fontId="117" fillId="0" borderId="62" xfId="83" applyFont="true" applyBorder="true" applyAlignment="false" applyProtection="false">
      <alignment horizontal="general" vertical="bottom" textRotation="0" wrapText="false" indent="0" shrinkToFit="false"/>
      <protection locked="true" hidden="false"/>
    </xf>
    <xf numFmtId="173" fontId="118" fillId="0" borderId="0" xfId="83" applyFont="true" applyBorder="true" applyAlignment="true" applyProtection="false">
      <alignment horizontal="center" vertical="bottom" textRotation="0" wrapText="false" indent="0" shrinkToFit="false"/>
      <protection locked="true" hidden="false"/>
    </xf>
    <xf numFmtId="173" fontId="118" fillId="0" borderId="0" xfId="83" applyFont="true" applyBorder="true" applyAlignment="true" applyProtection="false">
      <alignment horizontal="center" vertical="bottom" textRotation="0" wrapText="false" indent="0" shrinkToFit="false"/>
      <protection locked="true" hidden="false"/>
    </xf>
    <xf numFmtId="164" fontId="118" fillId="0" borderId="62" xfId="83" applyFont="true" applyBorder="true" applyAlignment="true" applyProtection="false">
      <alignment horizontal="center" vertical="bottom" textRotation="0" wrapText="false" indent="0" shrinkToFit="false"/>
      <protection locked="true" hidden="false"/>
    </xf>
    <xf numFmtId="164" fontId="117" fillId="0" borderId="77" xfId="83" applyFont="true" applyBorder="true" applyAlignment="false" applyProtection="false">
      <alignment horizontal="general" vertical="bottom" textRotation="0" wrapText="false" indent="0" shrinkToFit="false"/>
      <protection locked="true" hidden="false"/>
    </xf>
    <xf numFmtId="167" fontId="118" fillId="5" borderId="62" xfId="83" applyFont="true" applyBorder="true" applyAlignment="true" applyProtection="false">
      <alignment horizontal="center" vertical="bottom" textRotation="0" wrapText="false" indent="0" shrinkToFit="false"/>
      <protection locked="true" hidden="false"/>
    </xf>
    <xf numFmtId="164" fontId="117" fillId="0" borderId="59" xfId="83" applyFont="true" applyBorder="true" applyAlignment="false" applyProtection="false">
      <alignment horizontal="general" vertical="bottom" textRotation="0" wrapText="false" indent="0" shrinkToFit="false"/>
      <protection locked="true" hidden="false"/>
    </xf>
    <xf numFmtId="164" fontId="119" fillId="0" borderId="59" xfId="83" applyFont="true" applyBorder="true" applyAlignment="false" applyProtection="false">
      <alignment horizontal="general" vertical="bottom" textRotation="0" wrapText="false" indent="0" shrinkToFit="false"/>
      <protection locked="true" hidden="false"/>
    </xf>
    <xf numFmtId="167" fontId="120" fillId="0" borderId="0" xfId="83" applyFont="true" applyBorder="true" applyAlignment="true" applyProtection="false">
      <alignment horizontal="center" vertical="bottom" textRotation="0" wrapText="false" indent="0" shrinkToFit="false"/>
      <protection locked="true" hidden="false"/>
    </xf>
    <xf numFmtId="167" fontId="120" fillId="15" borderId="62" xfId="83" applyFont="true" applyBorder="true" applyAlignment="true" applyProtection="false">
      <alignment horizontal="center" vertical="bottom" textRotation="0" wrapText="false" indent="0" shrinkToFit="false"/>
      <protection locked="true" hidden="false"/>
    </xf>
    <xf numFmtId="173" fontId="120" fillId="0" borderId="0" xfId="83" applyFont="true" applyBorder="true" applyAlignment="true" applyProtection="false">
      <alignment horizontal="center" vertical="bottom" textRotation="0" wrapText="false" indent="0" shrinkToFit="false"/>
      <protection locked="true" hidden="false"/>
    </xf>
    <xf numFmtId="173" fontId="120" fillId="15" borderId="62" xfId="83" applyFont="true" applyBorder="true" applyAlignment="true" applyProtection="false">
      <alignment horizontal="center" vertical="bottom" textRotation="0" wrapText="false" indent="0" shrinkToFit="false"/>
      <protection locked="true" hidden="false"/>
    </xf>
    <xf numFmtId="173" fontId="120" fillId="13" borderId="62" xfId="83" applyFont="true" applyBorder="true" applyAlignment="true" applyProtection="false">
      <alignment horizontal="center" vertical="bottom" textRotation="0" wrapText="false" indent="0" shrinkToFit="false"/>
      <protection locked="true" hidden="false"/>
    </xf>
    <xf numFmtId="164" fontId="121" fillId="0" borderId="0" xfId="83" applyFont="true" applyBorder="true" applyAlignment="false" applyProtection="false">
      <alignment horizontal="general" vertical="bottom" textRotation="0" wrapText="false" indent="0" shrinkToFit="false"/>
      <protection locked="true" hidden="false"/>
    </xf>
    <xf numFmtId="173" fontId="119" fillId="0" borderId="66" xfId="83" applyFont="true" applyBorder="true" applyAlignment="false" applyProtection="false">
      <alignment horizontal="general" vertical="bottom" textRotation="0" wrapText="false" indent="0" shrinkToFit="false"/>
      <protection locked="true" hidden="false"/>
    </xf>
    <xf numFmtId="167" fontId="120" fillId="13" borderId="62" xfId="83" applyFont="true" applyBorder="true" applyAlignment="true" applyProtection="false">
      <alignment horizontal="center" vertical="bottom" textRotation="0" wrapText="false" indent="0" shrinkToFit="false"/>
      <protection locked="true" hidden="false"/>
    </xf>
    <xf numFmtId="164" fontId="122" fillId="0" borderId="0" xfId="83" applyFont="true" applyBorder="true" applyAlignment="false" applyProtection="false">
      <alignment horizontal="general" vertical="bottom" textRotation="0" wrapText="false" indent="0" shrinkToFit="false"/>
      <protection locked="true" hidden="false"/>
    </xf>
    <xf numFmtId="167" fontId="117" fillId="0" borderId="77" xfId="83" applyFont="true" applyBorder="true" applyAlignment="false" applyProtection="false">
      <alignment horizontal="general" vertical="bottom" textRotation="0" wrapText="false" indent="0" shrinkToFit="false"/>
      <protection locked="true" hidden="false"/>
    </xf>
    <xf numFmtId="167" fontId="118" fillId="13" borderId="62" xfId="83" applyFont="true" applyBorder="true" applyAlignment="true" applyProtection="false">
      <alignment horizontal="center" vertical="bottom" textRotation="0" wrapText="false" indent="0" shrinkToFit="false"/>
      <protection locked="true" hidden="false"/>
    </xf>
    <xf numFmtId="167" fontId="117" fillId="0" borderId="66" xfId="83" applyFont="true" applyBorder="true" applyAlignment="false" applyProtection="false">
      <alignment horizontal="general" vertical="bottom" textRotation="0" wrapText="false" indent="0" shrinkToFit="false"/>
      <protection locked="true" hidden="false"/>
    </xf>
    <xf numFmtId="167" fontId="111" fillId="9" borderId="48" xfId="83" applyFont="true" applyBorder="true" applyAlignment="false" applyProtection="false">
      <alignment horizontal="general" vertical="bottom" textRotation="0" wrapText="false" indent="0" shrinkToFit="false"/>
      <protection locked="true" hidden="false"/>
    </xf>
    <xf numFmtId="167" fontId="112" fillId="9" borderId="6" xfId="83" applyFont="true" applyBorder="true" applyAlignment="true" applyProtection="false">
      <alignment horizontal="center" vertical="bottom" textRotation="0" wrapText="false" indent="0" shrinkToFit="false"/>
      <protection locked="true" hidden="false"/>
    </xf>
    <xf numFmtId="173" fontId="112" fillId="15" borderId="48" xfId="83" applyFont="true" applyBorder="true" applyAlignment="true" applyProtection="false">
      <alignment horizontal="center" vertical="bottom" textRotation="0" wrapText="false" indent="0" shrinkToFit="false"/>
      <protection locked="true" hidden="false"/>
    </xf>
    <xf numFmtId="203" fontId="112" fillId="15" borderId="48" xfId="83" applyFont="true" applyBorder="true" applyAlignment="true" applyProtection="false">
      <alignment horizontal="center" vertical="bottom" textRotation="0" wrapText="false" indent="0" shrinkToFit="false"/>
      <protection locked="true" hidden="false"/>
    </xf>
    <xf numFmtId="164" fontId="123" fillId="0" borderId="77" xfId="83" applyFont="true" applyBorder="true" applyAlignment="false" applyProtection="false">
      <alignment horizontal="general" vertical="bottom" textRotation="0" wrapText="false" indent="0" shrinkToFit="false"/>
      <protection locked="true" hidden="false"/>
    </xf>
    <xf numFmtId="173" fontId="124" fillId="0" borderId="0" xfId="83" applyFont="true" applyBorder="true" applyAlignment="true" applyProtection="false">
      <alignment horizontal="center" vertical="bottom" textRotation="0" wrapText="false" indent="0" shrinkToFit="false"/>
      <protection locked="true" hidden="false"/>
    </xf>
    <xf numFmtId="173" fontId="124" fillId="15" borderId="62" xfId="83" applyFont="true" applyBorder="true" applyAlignment="true" applyProtection="false">
      <alignment horizontal="center" vertical="bottom" textRotation="0" wrapText="false" indent="0" shrinkToFit="false"/>
      <protection locked="true" hidden="false"/>
    </xf>
    <xf numFmtId="164" fontId="124" fillId="0" borderId="62" xfId="83" applyFont="true" applyBorder="true" applyAlignment="true" applyProtection="false">
      <alignment horizontal="center" vertical="bottom" textRotation="0" wrapText="false" indent="0" shrinkToFit="false"/>
      <protection locked="true" hidden="false"/>
    </xf>
    <xf numFmtId="164" fontId="97" fillId="0" borderId="0" xfId="83" applyFont="true" applyBorder="true" applyAlignment="false" applyProtection="false">
      <alignment horizontal="general" vertical="bottom" textRotation="0" wrapText="false" indent="0" shrinkToFit="false"/>
      <protection locked="true" hidden="false"/>
    </xf>
    <xf numFmtId="167" fontId="117" fillId="0" borderId="59" xfId="83" applyFont="true" applyBorder="true" applyAlignment="false" applyProtection="false">
      <alignment horizontal="general" vertical="bottom" textRotation="0" wrapText="false" indent="0" shrinkToFit="false"/>
      <protection locked="true" hidden="false"/>
    </xf>
    <xf numFmtId="173" fontId="118" fillId="15" borderId="0" xfId="83" applyFont="true" applyBorder="true" applyAlignment="true" applyProtection="false">
      <alignment horizontal="center" vertical="bottom" textRotation="0" wrapText="false" indent="0" shrinkToFit="false"/>
      <protection locked="true" hidden="false"/>
    </xf>
    <xf numFmtId="173" fontId="118" fillId="5" borderId="62" xfId="83" applyFont="true" applyBorder="true" applyAlignment="true" applyProtection="false">
      <alignment horizontal="center" vertical="bottom" textRotation="0" wrapText="false" indent="0" shrinkToFit="false"/>
      <protection locked="true" hidden="false"/>
    </xf>
    <xf numFmtId="167" fontId="117" fillId="0" borderId="66" xfId="83" applyFont="true" applyBorder="true" applyAlignment="false" applyProtection="false">
      <alignment horizontal="general" vertical="bottom" textRotation="0" wrapText="false" indent="0" shrinkToFit="false"/>
      <protection locked="true" hidden="false"/>
    </xf>
    <xf numFmtId="173" fontId="112" fillId="5" borderId="6" xfId="83" applyFont="true" applyBorder="true" applyAlignment="true" applyProtection="false">
      <alignment horizontal="center" vertical="bottom" textRotation="0" wrapText="false" indent="0" shrinkToFit="false"/>
      <protection locked="true" hidden="false"/>
    </xf>
    <xf numFmtId="173" fontId="112" fillId="5" borderId="48" xfId="83" applyFont="true" applyBorder="true" applyAlignment="true" applyProtection="false">
      <alignment horizontal="center" vertical="bottom" textRotation="0" wrapText="false" indent="0" shrinkToFit="false"/>
      <protection locked="true" hidden="false"/>
    </xf>
    <xf numFmtId="164" fontId="99" fillId="0" borderId="60" xfId="83" applyFont="true" applyBorder="true" applyAlignment="false" applyProtection="false">
      <alignment horizontal="general" vertical="bottom" textRotation="0" wrapText="false" indent="0" shrinkToFit="false"/>
      <protection locked="true" hidden="false"/>
    </xf>
    <xf numFmtId="164" fontId="118" fillId="0" borderId="0" xfId="83" applyFont="true" applyBorder="true" applyAlignment="false" applyProtection="false">
      <alignment horizontal="general" vertical="bottom" textRotation="0" wrapText="false" indent="0" shrinkToFit="false"/>
      <protection locked="true" hidden="false"/>
    </xf>
    <xf numFmtId="173" fontId="125" fillId="0" borderId="0" xfId="83" applyFont="true" applyBorder="true" applyAlignment="false" applyProtection="false">
      <alignment horizontal="general" vertical="bottom" textRotation="0" wrapText="false" indent="0" shrinkToFit="false"/>
      <protection locked="true" hidden="false"/>
    </xf>
    <xf numFmtId="173" fontId="118" fillId="0" borderId="0" xfId="83" applyFont="true" applyBorder="true" applyAlignment="false" applyProtection="false">
      <alignment horizontal="general" vertical="bottom" textRotation="0" wrapText="false" indent="0" shrinkToFit="false"/>
      <protection locked="true" hidden="false"/>
    </xf>
    <xf numFmtId="164" fontId="118" fillId="0" borderId="0" xfId="83" applyFont="true" applyBorder="true" applyAlignment="false" applyProtection="false">
      <alignment horizontal="general" vertical="bottom" textRotation="0" wrapText="false" indent="0" shrinkToFit="false"/>
      <protection locked="true" hidden="false"/>
    </xf>
    <xf numFmtId="164" fontId="126" fillId="0" borderId="0" xfId="83" applyFont="true" applyBorder="true" applyAlignment="true" applyProtection="false">
      <alignment horizontal="center" vertical="bottom" textRotation="0" wrapText="false" indent="0" shrinkToFit="false"/>
      <protection locked="true" hidden="false"/>
    </xf>
    <xf numFmtId="173" fontId="112" fillId="0" borderId="0" xfId="83" applyFont="true" applyBorder="true" applyAlignment="true" applyProtection="false">
      <alignment horizontal="center" vertical="bottom" textRotation="0" wrapText="false" indent="0" shrinkToFit="false"/>
      <protection locked="true" hidden="false"/>
    </xf>
    <xf numFmtId="164" fontId="112" fillId="0" borderId="0" xfId="83" applyFont="true" applyBorder="true" applyAlignment="true" applyProtection="false">
      <alignment horizontal="center" vertical="bottom" textRotation="0" wrapText="false" indent="0" shrinkToFit="false"/>
      <protection locked="true" hidden="false"/>
    </xf>
    <xf numFmtId="164" fontId="118" fillId="0" borderId="61" xfId="83" applyFont="true" applyBorder="true" applyAlignment="false" applyProtection="false">
      <alignment horizontal="general" vertical="bottom" textRotation="0" wrapText="false" indent="0" shrinkToFit="false"/>
      <protection locked="true" hidden="false"/>
    </xf>
    <xf numFmtId="164" fontId="99" fillId="0" borderId="102" xfId="83" applyFont="true" applyBorder="true" applyAlignment="false" applyProtection="false">
      <alignment horizontal="general" vertical="bottom" textRotation="0" wrapText="false" indent="0" shrinkToFit="false"/>
      <protection locked="true" hidden="false"/>
    </xf>
    <xf numFmtId="164" fontId="99" fillId="0" borderId="5" xfId="83" applyFont="true" applyBorder="true" applyAlignment="false" applyProtection="false">
      <alignment horizontal="general" vertical="bottom" textRotation="0" wrapText="false" indent="0" shrinkToFit="false"/>
      <protection locked="true" hidden="false"/>
    </xf>
    <xf numFmtId="164" fontId="99" fillId="0" borderId="5" xfId="83" applyFont="true" applyBorder="true" applyAlignment="false" applyProtection="false">
      <alignment horizontal="general" vertical="bottom" textRotation="0" wrapText="false" indent="0" shrinkToFit="false"/>
      <protection locked="true" hidden="false"/>
    </xf>
    <xf numFmtId="173" fontId="106" fillId="0" borderId="5" xfId="83" applyFont="true" applyBorder="true" applyAlignment="false" applyProtection="false">
      <alignment horizontal="general" vertical="bottom" textRotation="0" wrapText="false" indent="0" shrinkToFit="false"/>
      <protection locked="true" hidden="false"/>
    </xf>
    <xf numFmtId="167" fontId="99" fillId="0" borderId="0" xfId="83" applyFont="true" applyBorder="true" applyAlignment="false" applyProtection="false">
      <alignment horizontal="general" vertical="bottom" textRotation="0" wrapText="false" indent="0" shrinkToFit="false"/>
      <protection locked="true" hidden="false"/>
    </xf>
    <xf numFmtId="164" fontId="99" fillId="0" borderId="108" xfId="83" applyFont="true" applyBorder="true" applyAlignment="false" applyProtection="false">
      <alignment horizontal="general" vertical="bottom" textRotation="0" wrapText="false" indent="0" shrinkToFit="false"/>
      <protection locked="true" hidden="false"/>
    </xf>
    <xf numFmtId="182" fontId="99" fillId="0" borderId="0" xfId="91" applyFont="true" applyBorder="true" applyAlignment="true" applyProtection="true">
      <alignment horizontal="general" vertical="bottom" textRotation="0" wrapText="false" indent="0" shrinkToFit="false"/>
      <protection locked="true" hidden="false"/>
    </xf>
    <xf numFmtId="164" fontId="4" fillId="0" borderId="0" xfId="81" applyFont="true" applyBorder="true" applyAlignment="false" applyProtection="false">
      <alignment horizontal="general" vertical="bottom" textRotation="0" wrapText="false" indent="0" shrinkToFit="false"/>
      <protection locked="true" hidden="false"/>
    </xf>
    <xf numFmtId="164" fontId="28" fillId="0" borderId="0" xfId="81" applyFont="true" applyBorder="true" applyAlignment="false" applyProtection="false">
      <alignment horizontal="general" vertical="bottom" textRotation="0" wrapText="false" indent="0" shrinkToFit="false"/>
      <protection locked="true" hidden="false"/>
    </xf>
    <xf numFmtId="164" fontId="28" fillId="0" borderId="0" xfId="81" applyFont="true" applyBorder="true" applyAlignment="false" applyProtection="false">
      <alignment horizontal="general" vertical="bottom" textRotation="0" wrapText="false" indent="0" shrinkToFit="false"/>
      <protection locked="true" hidden="false"/>
    </xf>
    <xf numFmtId="164" fontId="127" fillId="5" borderId="48" xfId="0" applyFont="true" applyBorder="true" applyAlignment="true" applyProtection="false">
      <alignment horizontal="left" vertical="bottom" textRotation="0" wrapText="false" indent="0" shrinkToFit="false"/>
      <protection locked="true" hidden="false"/>
    </xf>
    <xf numFmtId="164" fontId="61" fillId="0" borderId="64" xfId="0" applyFont="true" applyBorder="true" applyAlignment="true" applyProtection="false">
      <alignment horizontal="center" vertical="bottom" textRotation="0" wrapText="true" indent="0" shrinkToFit="false"/>
      <protection locked="true" hidden="false"/>
    </xf>
    <xf numFmtId="164" fontId="128" fillId="0" borderId="48" xfId="0" applyFont="true" applyBorder="true" applyAlignment="true" applyProtection="false">
      <alignment horizontal="left" vertical="bottom" textRotation="0" wrapText="false" indent="0" shrinkToFit="false"/>
      <protection locked="true" hidden="false"/>
    </xf>
    <xf numFmtId="164" fontId="77" fillId="15" borderId="22" xfId="0" applyFont="true" applyBorder="true" applyAlignment="true" applyProtection="false">
      <alignment horizontal="left" vertical="bottom" textRotation="0" wrapText="false" indent="0" shrinkToFit="false"/>
      <protection locked="true" hidden="false"/>
    </xf>
    <xf numFmtId="164" fontId="129" fillId="15" borderId="109" xfId="0" applyFont="true" applyBorder="true" applyAlignment="true" applyProtection="false">
      <alignment horizontal="left" vertical="center" textRotation="0" wrapText="false" indent="0" shrinkToFit="false"/>
      <protection locked="true" hidden="false"/>
    </xf>
    <xf numFmtId="164" fontId="68" fillId="15" borderId="110" xfId="0" applyFont="true" applyBorder="true" applyAlignment="true" applyProtection="false">
      <alignment horizontal="center" vertical="bottom" textRotation="0" wrapText="false" indent="0" shrinkToFit="false"/>
      <protection locked="true" hidden="false"/>
    </xf>
    <xf numFmtId="164" fontId="131" fillId="0" borderId="0" xfId="81" applyFont="true" applyBorder="true" applyAlignment="false" applyProtection="false">
      <alignment horizontal="general" vertical="bottom" textRotation="0" wrapText="false" indent="0" shrinkToFit="false"/>
      <protection locked="true" hidden="false"/>
    </xf>
    <xf numFmtId="164" fontId="8" fillId="13" borderId="0" xfId="81" applyFont="true" applyBorder="true" applyAlignment="false" applyProtection="false">
      <alignment horizontal="general" vertical="bottom" textRotation="0" wrapText="false" indent="0" shrinkToFit="false"/>
      <protection locked="true" hidden="false"/>
    </xf>
    <xf numFmtId="164" fontId="28" fillId="0" borderId="0" xfId="81" applyFont="true" applyBorder="true" applyAlignment="true" applyProtection="false">
      <alignment horizontal="left" vertical="bottom" textRotation="0" wrapText="false" indent="0" shrinkToFit="false"/>
      <protection locked="true" hidden="false"/>
    </xf>
    <xf numFmtId="167" fontId="28" fillId="0" borderId="0" xfId="81" applyFont="true" applyBorder="true" applyAlignment="false" applyProtection="false">
      <alignment horizontal="general" vertical="bottom" textRotation="0" wrapText="false" indent="0" shrinkToFit="false"/>
      <protection locked="true" hidden="false"/>
    </xf>
    <xf numFmtId="164" fontId="132" fillId="0" borderId="97" xfId="81" applyFont="true" applyBorder="true" applyAlignment="false" applyProtection="false">
      <alignment horizontal="general" vertical="bottom" textRotation="0" wrapText="false" indent="0" shrinkToFit="false"/>
      <protection locked="true" hidden="false"/>
    </xf>
    <xf numFmtId="167" fontId="133" fillId="0" borderId="55" xfId="81" applyFont="true" applyBorder="true" applyAlignment="true" applyProtection="false">
      <alignment horizontal="center" vertical="bottom" textRotation="0" wrapText="false" indent="0" shrinkToFit="false"/>
      <protection locked="true" hidden="false"/>
    </xf>
    <xf numFmtId="167" fontId="133" fillId="0" borderId="55" xfId="81" applyFont="true" applyBorder="true" applyAlignment="true" applyProtection="false">
      <alignment horizontal="center" vertical="bottom" textRotation="0" wrapText="false" indent="0" shrinkToFit="false"/>
      <protection locked="true" hidden="false"/>
    </xf>
    <xf numFmtId="164" fontId="132" fillId="0" borderId="59" xfId="81" applyFont="true" applyBorder="true" applyAlignment="false" applyProtection="false">
      <alignment horizontal="general" vertical="bottom" textRotation="0" wrapText="false" indent="0" shrinkToFit="false"/>
      <protection locked="true" hidden="false"/>
    </xf>
    <xf numFmtId="167" fontId="133" fillId="0" borderId="62" xfId="81" applyFont="true" applyBorder="true" applyAlignment="true" applyProtection="false">
      <alignment horizontal="center" vertical="bottom" textRotation="0" wrapText="false" indent="0" shrinkToFit="false"/>
      <protection locked="true" hidden="false"/>
    </xf>
    <xf numFmtId="167" fontId="133" fillId="0" borderId="62" xfId="81" applyFont="true" applyBorder="true" applyAlignment="true" applyProtection="false">
      <alignment horizontal="center" vertical="bottom" textRotation="0" wrapText="false" indent="0" shrinkToFit="false"/>
      <protection locked="true" hidden="false"/>
    </xf>
    <xf numFmtId="164" fontId="134" fillId="0" borderId="59" xfId="81" applyFont="true" applyBorder="true" applyAlignment="false" applyProtection="false">
      <alignment horizontal="general" vertical="bottom" textRotation="0" wrapText="false" indent="0" shrinkToFit="false"/>
      <protection locked="true" hidden="false"/>
    </xf>
    <xf numFmtId="167" fontId="135" fillId="0" borderId="62" xfId="81" applyFont="true" applyBorder="true" applyAlignment="true" applyProtection="false">
      <alignment horizontal="center" vertical="bottom" textRotation="0" wrapText="false" indent="0" shrinkToFit="false"/>
      <protection locked="true" hidden="false"/>
    </xf>
    <xf numFmtId="164" fontId="132" fillId="0" borderId="59" xfId="81" applyFont="true" applyBorder="true" applyAlignment="false" applyProtection="false">
      <alignment horizontal="general" vertical="bottom" textRotation="0" wrapText="false" indent="0" shrinkToFit="false"/>
      <protection locked="true" hidden="false"/>
    </xf>
    <xf numFmtId="167" fontId="133" fillId="0" borderId="62" xfId="83" applyFont="true" applyBorder="true" applyAlignment="true" applyProtection="false">
      <alignment horizontal="center" vertical="bottom" textRotation="0" wrapText="false" indent="0" shrinkToFit="false"/>
      <protection locked="true" hidden="false"/>
    </xf>
    <xf numFmtId="167" fontId="136" fillId="0" borderId="62" xfId="81" applyFont="true" applyBorder="true" applyAlignment="true" applyProtection="false">
      <alignment horizontal="center" vertical="bottom" textRotation="0" wrapText="false" indent="0" shrinkToFit="false"/>
      <protection locked="true" hidden="false"/>
    </xf>
    <xf numFmtId="164" fontId="136" fillId="0" borderId="62" xfId="81" applyFont="true" applyBorder="true" applyAlignment="true" applyProtection="false">
      <alignment horizontal="center" vertical="bottom" textRotation="0" wrapText="false" indent="0" shrinkToFit="false"/>
      <protection locked="true" hidden="false"/>
    </xf>
    <xf numFmtId="164" fontId="137" fillId="0" borderId="0" xfId="81" applyFont="true" applyBorder="true" applyAlignment="false" applyProtection="false">
      <alignment horizontal="general" vertical="bottom" textRotation="0" wrapText="false" indent="0" shrinkToFit="false"/>
      <protection locked="true" hidden="false"/>
    </xf>
    <xf numFmtId="164" fontId="133" fillId="0" borderId="62" xfId="81" applyFont="true" applyBorder="true" applyAlignment="true" applyProtection="false">
      <alignment horizontal="center" vertical="bottom" textRotation="0" wrapText="false" indent="0" shrinkToFit="false"/>
      <protection locked="true" hidden="false"/>
    </xf>
    <xf numFmtId="173" fontId="133" fillId="0" borderId="62" xfId="81" applyFont="true" applyBorder="true" applyAlignment="true" applyProtection="false">
      <alignment horizontal="center" vertical="bottom" textRotation="0" wrapText="false" indent="0" shrinkToFit="false"/>
      <protection locked="true" hidden="false"/>
    </xf>
    <xf numFmtId="164" fontId="89" fillId="0" borderId="0" xfId="0" applyFont="true" applyBorder="false" applyAlignment="true" applyProtection="false">
      <alignment horizontal="center" vertical="bottom" textRotation="0" wrapText="false" indent="0" shrinkToFit="false"/>
      <protection locked="true" hidden="false"/>
    </xf>
    <xf numFmtId="167" fontId="138" fillId="0" borderId="62" xfId="81" applyFont="true" applyBorder="true" applyAlignment="true" applyProtection="false">
      <alignment horizontal="center" vertical="bottom" textRotation="0" wrapText="false" indent="0" shrinkToFit="false"/>
      <protection locked="true" hidden="false"/>
    </xf>
    <xf numFmtId="164" fontId="139" fillId="0" borderId="0" xfId="81" applyFont="true" applyBorder="true" applyAlignment="false" applyProtection="false">
      <alignment horizontal="general" vertical="bottom" textRotation="0" wrapText="false" indent="0" shrinkToFit="false"/>
      <protection locked="true" hidden="false"/>
    </xf>
    <xf numFmtId="164" fontId="132" fillId="0" borderId="67" xfId="81" applyFont="true" applyBorder="true" applyAlignment="false" applyProtection="false">
      <alignment horizontal="general" vertical="bottom" textRotation="0" wrapText="false" indent="0" shrinkToFit="false"/>
      <protection locked="true" hidden="false"/>
    </xf>
    <xf numFmtId="167" fontId="133" fillId="0" borderId="98" xfId="81" applyFont="true" applyBorder="true" applyAlignment="true" applyProtection="false">
      <alignment horizontal="center" vertical="bottom" textRotation="0" wrapText="false" indent="0" shrinkToFit="false"/>
      <protection locked="true" hidden="false"/>
    </xf>
    <xf numFmtId="167" fontId="133" fillId="0" borderId="98" xfId="81" applyFont="true" applyBorder="true" applyAlignment="true" applyProtection="false">
      <alignment horizontal="center" vertical="bottom" textRotation="0" wrapText="false" indent="0" shrinkToFit="false"/>
      <protection locked="true" hidden="false"/>
    </xf>
    <xf numFmtId="164" fontId="4" fillId="0" borderId="0" xfId="81" applyFont="true" applyBorder="true" applyAlignment="false" applyProtection="false">
      <alignment horizontal="general" vertical="bottom" textRotation="0" wrapText="false" indent="0" shrinkToFit="false"/>
      <protection locked="true" hidden="false"/>
    </xf>
    <xf numFmtId="164" fontId="140" fillId="0" borderId="0" xfId="81" applyFont="true" applyBorder="true" applyAlignment="false" applyProtection="false">
      <alignment horizontal="general" vertical="bottom" textRotation="0" wrapText="false" indent="0" shrinkToFit="false"/>
      <protection locked="true" hidden="false"/>
    </xf>
    <xf numFmtId="167" fontId="140" fillId="0" borderId="0" xfId="81" applyFont="true" applyBorder="true" applyAlignment="false" applyProtection="false">
      <alignment horizontal="general" vertical="bottom" textRotation="0" wrapText="false" indent="0" shrinkToFit="false"/>
      <protection locked="true" hidden="false"/>
    </xf>
    <xf numFmtId="164" fontId="140" fillId="0" borderId="0" xfId="81" applyFont="true" applyBorder="true" applyAlignment="false" applyProtection="false">
      <alignment horizontal="general" vertical="bottom" textRotation="0" wrapText="false" indent="0" shrinkToFit="false"/>
      <protection locked="true" hidden="false"/>
    </xf>
    <xf numFmtId="164" fontId="141" fillId="0" borderId="0" xfId="81" applyFont="true" applyBorder="true" applyAlignment="false" applyProtection="false">
      <alignment horizontal="general" vertical="bottom" textRotation="0" wrapText="false" indent="0" shrinkToFit="false"/>
      <protection locked="true" hidden="false"/>
    </xf>
    <xf numFmtId="167" fontId="141" fillId="0" borderId="0" xfId="81" applyFont="true" applyBorder="true" applyAlignment="false" applyProtection="false">
      <alignment horizontal="general" vertical="bottom" textRotation="0" wrapText="false" indent="0" shrinkToFit="false"/>
      <protection locked="true" hidden="false"/>
    </xf>
    <xf numFmtId="164" fontId="141" fillId="0" borderId="0" xfId="81" applyFont="true" applyBorder="true" applyAlignment="false" applyProtection="false">
      <alignment horizontal="general" vertical="bottom" textRotation="0" wrapText="false" indent="0" shrinkToFit="false"/>
      <protection locked="true" hidden="false"/>
    </xf>
    <xf numFmtId="167" fontId="137" fillId="0" borderId="0" xfId="81" applyFont="true" applyBorder="true" applyAlignment="false" applyProtection="false">
      <alignment horizontal="general" vertical="bottom" textRotation="0" wrapText="false" indent="0" shrinkToFit="false"/>
      <protection locked="true" hidden="false"/>
    </xf>
    <xf numFmtId="164" fontId="137" fillId="0" borderId="0" xfId="81" applyFont="true" applyBorder="true" applyAlignment="false" applyProtection="false">
      <alignment horizontal="general" vertical="bottom" textRotation="0" wrapText="false" indent="0" shrinkToFit="false"/>
      <protection locked="true" hidden="false"/>
    </xf>
    <xf numFmtId="164" fontId="131" fillId="0" borderId="0" xfId="81" applyFont="true" applyBorder="true" applyAlignment="true" applyProtection="false">
      <alignment horizontal="left" vertical="bottom" textRotation="0" wrapText="false" indent="0" shrinkToFit="false"/>
      <protection locked="true" hidden="false"/>
    </xf>
    <xf numFmtId="164" fontId="139" fillId="0" borderId="0" xfId="81" applyFont="true" applyBorder="true" applyAlignment="true" applyProtection="false">
      <alignment horizontal="left" vertical="bottom" textRotation="0" wrapText="false" indent="0" shrinkToFit="false"/>
      <protection locked="true" hidden="false"/>
    </xf>
    <xf numFmtId="167" fontId="139" fillId="0" borderId="0" xfId="81" applyFont="true" applyBorder="true" applyAlignment="false" applyProtection="false">
      <alignment horizontal="general" vertical="bottom" textRotation="0" wrapText="false" indent="0" shrinkToFit="false"/>
      <protection locked="true" hidden="false"/>
    </xf>
    <xf numFmtId="164" fontId="139" fillId="0" borderId="0" xfId="81" applyFont="true" applyBorder="true" applyAlignment="false" applyProtection="false">
      <alignment horizontal="general" vertical="bottom" textRotation="0" wrapText="false" indent="0" shrinkToFit="false"/>
      <protection locked="true" hidden="false"/>
    </xf>
    <xf numFmtId="164" fontId="101" fillId="5" borderId="48" xfId="0" applyFont="true" applyBorder="true" applyAlignment="true" applyProtection="false">
      <alignment horizontal="left" vertical="bottom" textRotation="0" wrapText="false" indent="0" shrinkToFit="false"/>
      <protection locked="true" hidden="false"/>
    </xf>
    <xf numFmtId="164" fontId="142" fillId="0" borderId="0" xfId="0" applyFont="true" applyBorder="true" applyAlignment="true" applyProtection="false">
      <alignment horizontal="left" vertical="bottom" textRotation="0" wrapText="false" indent="0" shrinkToFit="false"/>
      <protection locked="true" hidden="false"/>
    </xf>
    <xf numFmtId="164" fontId="143" fillId="0" borderId="0" xfId="0" applyFont="true" applyBorder="true" applyAlignment="true" applyProtection="false">
      <alignment horizontal="general" vertical="center" textRotation="0" wrapText="false" indent="0" shrinkToFit="false"/>
      <protection locked="true" hidden="false"/>
    </xf>
    <xf numFmtId="164" fontId="144" fillId="0" borderId="48" xfId="0" applyFont="true" applyBorder="true" applyAlignment="true" applyProtection="false">
      <alignment horizontal="left" vertical="bottom" textRotation="0" wrapText="false" indent="0" shrinkToFit="false"/>
      <protection locked="true" hidden="false"/>
    </xf>
    <xf numFmtId="164" fontId="145" fillId="0" borderId="0" xfId="0" applyFont="true" applyBorder="true" applyAlignment="true" applyProtection="false">
      <alignment horizontal="left" vertical="bottom" textRotation="0" wrapText="false" indent="0" shrinkToFit="false"/>
      <protection locked="true" hidden="false"/>
    </xf>
    <xf numFmtId="164" fontId="146" fillId="16" borderId="22" xfId="0" applyFont="true" applyBorder="true" applyAlignment="true" applyProtection="false">
      <alignment horizontal="left" vertical="bottom" textRotation="0" wrapText="false" indent="0" shrinkToFit="false"/>
      <protection locked="true" hidden="false"/>
    </xf>
    <xf numFmtId="164" fontId="71" fillId="15" borderId="111" xfId="0" applyFont="true" applyBorder="true" applyAlignment="true" applyProtection="false">
      <alignment horizontal="left" vertical="center" textRotation="0" wrapText="false" indent="0" shrinkToFit="false"/>
      <protection locked="true" hidden="false"/>
    </xf>
    <xf numFmtId="164" fontId="68" fillId="0" borderId="4" xfId="0" applyFont="true" applyBorder="true" applyAlignment="true" applyProtection="false">
      <alignment horizontal="center" vertical="bottom" textRotation="0" wrapText="false" indent="0" shrinkToFit="false"/>
      <protection locked="true" hidden="false"/>
    </xf>
    <xf numFmtId="164" fontId="147" fillId="16" borderId="55" xfId="0" applyFont="true" applyBorder="true" applyAlignment="false" applyProtection="false">
      <alignment horizontal="general" vertical="bottom" textRotation="0" wrapText="false" indent="0" shrinkToFit="false"/>
      <protection locked="true" hidden="false"/>
    </xf>
    <xf numFmtId="164" fontId="148" fillId="0" borderId="4" xfId="0" applyFont="true" applyBorder="true" applyAlignment="true" applyProtection="false">
      <alignment horizontal="left" vertical="bottom" textRotation="0" wrapText="false" indent="0" shrinkToFit="false"/>
      <protection locked="true" hidden="false"/>
    </xf>
    <xf numFmtId="198" fontId="143" fillId="0" borderId="4" xfId="0" applyFont="true" applyBorder="true" applyAlignment="true" applyProtection="false">
      <alignment horizontal="center" vertical="bottom" textRotation="0" wrapText="false" indent="0" shrinkToFit="false"/>
      <protection locked="true" hidden="false"/>
    </xf>
    <xf numFmtId="164" fontId="143" fillId="0" borderId="4" xfId="0" applyFont="true" applyBorder="true" applyAlignment="true" applyProtection="false">
      <alignment horizontal="left" vertical="bottom" textRotation="0" wrapText="true" indent="0" shrinkToFit="false"/>
      <protection locked="true" hidden="false"/>
    </xf>
    <xf numFmtId="164" fontId="92" fillId="0" borderId="4" xfId="0" applyFont="true" applyBorder="true" applyAlignment="true" applyProtection="false">
      <alignment horizontal="center" vertical="bottom" textRotation="0" wrapText="false" indent="0" shrinkToFit="false"/>
      <protection locked="true" hidden="false"/>
    </xf>
    <xf numFmtId="164" fontId="143" fillId="0" borderId="47" xfId="0" applyFont="true" applyBorder="true" applyAlignment="true" applyProtection="false">
      <alignment horizontal="left" vertical="bottom" textRotation="0" wrapText="false" indent="0" shrinkToFit="false"/>
      <protection locked="true" hidden="false"/>
    </xf>
    <xf numFmtId="164" fontId="92" fillId="0" borderId="62" xfId="0" applyFont="true" applyBorder="true" applyAlignment="true" applyProtection="false">
      <alignment horizontal="left" vertical="bottom" textRotation="0" wrapText="false" indent="0" shrinkToFit="false"/>
      <protection locked="true" hidden="false"/>
    </xf>
    <xf numFmtId="164" fontId="92" fillId="0" borderId="0" xfId="0" applyFont="true" applyBorder="false" applyAlignment="true" applyProtection="false">
      <alignment horizontal="center" vertical="bottom" textRotation="0" wrapText="false" indent="0" shrinkToFit="false"/>
      <protection locked="true" hidden="false"/>
    </xf>
    <xf numFmtId="164" fontId="92" fillId="0" borderId="0" xfId="0" applyFont="true" applyBorder="true" applyAlignment="true" applyProtection="false">
      <alignment horizontal="center" vertical="bottom" textRotation="0" wrapText="false" indent="0" shrinkToFit="false"/>
      <protection locked="true" hidden="false"/>
    </xf>
    <xf numFmtId="164" fontId="92" fillId="0" borderId="66" xfId="0" applyFont="true" applyBorder="true" applyAlignment="true" applyProtection="false">
      <alignment horizontal="left" vertical="bottom" textRotation="0" wrapText="false" indent="0" shrinkToFit="false"/>
      <protection locked="true" hidden="false"/>
    </xf>
    <xf numFmtId="164" fontId="92" fillId="0" borderId="64" xfId="0" applyFont="true" applyBorder="true" applyAlignment="true" applyProtection="false">
      <alignment horizontal="center" vertical="bottom" textRotation="0" wrapText="false" indent="0" shrinkToFit="false"/>
      <protection locked="true" hidden="false"/>
    </xf>
    <xf numFmtId="164" fontId="92" fillId="0" borderId="62" xfId="0" applyFont="true" applyBorder="true" applyAlignment="true" applyProtection="false">
      <alignment horizontal="left" vertical="bottom" textRotation="0" wrapText="false" indent="0" shrinkToFit="false"/>
      <protection locked="true" hidden="false"/>
    </xf>
    <xf numFmtId="164" fontId="92" fillId="0" borderId="4" xfId="0" applyFont="true" applyBorder="true" applyAlignment="false" applyProtection="false">
      <alignment horizontal="general" vertical="bottom" textRotation="0" wrapText="false" indent="0" shrinkToFit="false"/>
      <protection locked="true" hidden="false"/>
    </xf>
    <xf numFmtId="164" fontId="148" fillId="16" borderId="4" xfId="0" applyFont="true" applyBorder="true" applyAlignment="true" applyProtection="false">
      <alignment horizontal="center" vertical="bottom" textRotation="0" wrapText="false" indent="0" shrinkToFit="false"/>
      <protection locked="true" hidden="false"/>
    </xf>
    <xf numFmtId="198" fontId="92" fillId="16" borderId="4" xfId="0" applyFont="true" applyBorder="true" applyAlignment="true" applyProtection="false">
      <alignment horizontal="center" vertical="bottom" textRotation="0" wrapText="false" indent="0" shrinkToFit="false"/>
      <protection locked="true" hidden="false"/>
    </xf>
    <xf numFmtId="164" fontId="92" fillId="0" borderId="62" xfId="0" applyFont="true" applyBorder="true" applyAlignment="false" applyProtection="false">
      <alignment horizontal="general" vertical="bottom" textRotation="0" wrapText="false" indent="0" shrinkToFit="false"/>
      <protection locked="true" hidden="false"/>
    </xf>
    <xf numFmtId="164" fontId="92" fillId="0" borderId="0" xfId="0" applyFont="true" applyBorder="false" applyAlignment="true" applyProtection="false">
      <alignment horizontal="center" vertical="bottom" textRotation="0" wrapText="false" indent="0" shrinkToFit="false"/>
      <protection locked="true" hidden="false"/>
    </xf>
    <xf numFmtId="164" fontId="148" fillId="16" borderId="55" xfId="0" applyFont="true" applyBorder="true" applyAlignment="true" applyProtection="false">
      <alignment horizontal="left" vertical="bottom" textRotation="0" wrapText="false" indent="0" shrinkToFit="false"/>
      <protection locked="true" hidden="false"/>
    </xf>
    <xf numFmtId="198" fontId="92" fillId="0" borderId="64" xfId="0" applyFont="true" applyBorder="true" applyAlignment="true" applyProtection="false">
      <alignment horizontal="center" vertical="bottom" textRotation="0" wrapText="false" indent="0" shrinkToFit="false"/>
      <protection locked="true" hidden="false"/>
    </xf>
    <xf numFmtId="164" fontId="149" fillId="0" borderId="4" xfId="0" applyFont="true" applyBorder="true" applyAlignment="true" applyProtection="false">
      <alignment horizontal="left" vertical="top" textRotation="0" wrapText="true" indent="0" shrinkToFit="false"/>
      <protection locked="true" hidden="false"/>
    </xf>
    <xf numFmtId="164" fontId="92" fillId="0" borderId="0" xfId="0" applyFont="true" applyBorder="false" applyAlignment="false" applyProtection="false">
      <alignment horizontal="general" vertical="bottom" textRotation="0" wrapText="false" indent="0" shrinkToFit="false"/>
      <protection locked="true" hidden="false"/>
    </xf>
    <xf numFmtId="164" fontId="92" fillId="0" borderId="0" xfId="0" applyFont="true" applyBorder="false" applyAlignment="false" applyProtection="false">
      <alignment horizontal="general" vertical="bottom" textRotation="0" wrapText="false" indent="0" shrinkToFit="false"/>
      <protection locked="true" hidden="false"/>
    </xf>
    <xf numFmtId="198" fontId="92" fillId="0" borderId="18" xfId="0" applyFont="true" applyBorder="true" applyAlignment="false" applyProtection="false">
      <alignment horizontal="general" vertical="bottom" textRotation="0" wrapText="false" indent="0" shrinkToFit="false"/>
      <protection locked="true" hidden="false"/>
    </xf>
    <xf numFmtId="164" fontId="92" fillId="0" borderId="111" xfId="0" applyFont="true" applyBorder="true" applyAlignment="false" applyProtection="false">
      <alignment horizontal="general" vertical="bottom" textRotation="0" wrapText="false" indent="0" shrinkToFit="false"/>
      <protection locked="true" hidden="false"/>
    </xf>
    <xf numFmtId="164" fontId="92" fillId="0" borderId="112" xfId="0" applyFont="true" applyBorder="true" applyAlignment="false" applyProtection="false">
      <alignment horizontal="general" vertical="bottom" textRotation="0" wrapText="false" indent="0" shrinkToFit="false"/>
      <protection locked="true" hidden="false"/>
    </xf>
    <xf numFmtId="164" fontId="92" fillId="0" borderId="113" xfId="0" applyFont="true" applyBorder="true" applyAlignment="false" applyProtection="false">
      <alignment horizontal="general" vertical="bottom" textRotation="0" wrapText="false" indent="0" shrinkToFit="false"/>
      <protection locked="true" hidden="false"/>
    </xf>
    <xf numFmtId="164" fontId="149" fillId="0" borderId="60" xfId="0" applyFont="true" applyBorder="true" applyAlignment="true" applyProtection="false">
      <alignment horizontal="left" vertical="bottom" textRotation="0" wrapText="false" indent="0" shrinkToFit="false"/>
      <protection locked="true" hidden="false"/>
    </xf>
    <xf numFmtId="198" fontId="92" fillId="0" borderId="15" xfId="0" applyFont="true" applyBorder="true" applyAlignment="false" applyProtection="false">
      <alignment horizontal="general" vertical="bottom" textRotation="0" wrapText="false" indent="0" shrinkToFit="false"/>
      <protection locked="true" hidden="false"/>
    </xf>
    <xf numFmtId="164" fontId="92" fillId="0" borderId="62" xfId="0" applyFont="true" applyBorder="true" applyAlignment="true" applyProtection="false">
      <alignment horizontal="left" vertical="bottom" textRotation="0" wrapText="true" indent="0" shrinkToFit="false"/>
      <protection locked="true" hidden="false"/>
    </xf>
    <xf numFmtId="164" fontId="149" fillId="0" borderId="62" xfId="0" applyFont="true" applyBorder="true" applyAlignment="true" applyProtection="false">
      <alignment horizontal="left" vertical="bottom" textRotation="0" wrapText="false" indent="0" shrinkToFit="false"/>
      <protection locked="true" hidden="false"/>
    </xf>
    <xf numFmtId="164" fontId="143" fillId="0" borderId="23" xfId="0" applyFont="true" applyBorder="true" applyAlignment="true" applyProtection="false">
      <alignment horizontal="left" vertical="bottom" textRotation="0" wrapText="false" indent="0" shrinkToFit="false"/>
      <protection locked="true" hidden="false"/>
    </xf>
    <xf numFmtId="198" fontId="143" fillId="0" borderId="4"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61" fillId="16" borderId="109" xfId="0" applyFont="true" applyBorder="true" applyAlignment="true" applyProtection="false">
      <alignment horizontal="center" vertical="top" textRotation="0" wrapText="false" indent="0" shrinkToFit="false"/>
      <protection locked="true" hidden="false"/>
    </xf>
    <xf numFmtId="198" fontId="143" fillId="16" borderId="11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3" fontId="60" fillId="0" borderId="0" xfId="81" applyFont="true" applyBorder="true" applyAlignment="false" applyProtection="false">
      <alignment horizontal="general" vertical="bottom" textRotation="0" wrapText="false" indent="0" shrinkToFit="false"/>
      <protection locked="true" hidden="false"/>
    </xf>
    <xf numFmtId="173" fontId="60" fillId="0" borderId="0" xfId="81" applyFont="true" applyBorder="true" applyAlignment="false" applyProtection="false">
      <alignment horizontal="general" vertical="bottom" textRotation="0" wrapText="false" indent="0" shrinkToFit="false"/>
      <protection locked="true" hidden="false"/>
    </xf>
    <xf numFmtId="173" fontId="151" fillId="0" borderId="0" xfId="81" applyFont="true" applyBorder="true" applyAlignment="true" applyProtection="false">
      <alignment horizontal="center" vertical="bottom" textRotation="0" wrapText="false" indent="0" shrinkToFit="false"/>
      <protection locked="true" hidden="false"/>
    </xf>
    <xf numFmtId="173" fontId="59" fillId="0" borderId="0" xfId="81" applyFont="true" applyBorder="true" applyAlignment="false" applyProtection="false">
      <alignment horizontal="general" vertical="bottom" textRotation="0" wrapText="false" indent="0" shrinkToFit="false"/>
      <protection locked="true" hidden="false"/>
    </xf>
    <xf numFmtId="173" fontId="144" fillId="0" borderId="62" xfId="81" applyFont="true" applyBorder="true" applyAlignment="true" applyProtection="false">
      <alignment horizontal="left" vertical="center" textRotation="0" wrapText="false" indent="0" shrinkToFit="false"/>
      <protection locked="true" hidden="false"/>
    </xf>
    <xf numFmtId="173" fontId="63" fillId="16" borderId="114" xfId="81" applyFont="true" applyBorder="true" applyAlignment="true" applyProtection="false">
      <alignment horizontal="center" vertical="bottom" textRotation="0" wrapText="false" indent="0" shrinkToFit="false"/>
      <protection locked="true" hidden="false"/>
    </xf>
    <xf numFmtId="173" fontId="63" fillId="16" borderId="48" xfId="81" applyFont="true" applyBorder="true" applyAlignment="true" applyProtection="false">
      <alignment horizontal="center" vertical="bottom" textRotation="0" wrapText="false" indent="0" shrinkToFit="false"/>
      <protection locked="true" hidden="false"/>
    </xf>
    <xf numFmtId="173" fontId="152" fillId="0" borderId="0" xfId="81" applyFont="true" applyBorder="true" applyAlignment="false" applyProtection="false">
      <alignment horizontal="general" vertical="bottom" textRotation="0" wrapText="false" indent="0" shrinkToFit="false"/>
      <protection locked="true" hidden="false"/>
    </xf>
    <xf numFmtId="164" fontId="87" fillId="16" borderId="98" xfId="83" applyFont="true" applyBorder="true" applyAlignment="true" applyProtection="false">
      <alignment horizontal="left" vertical="top" textRotation="0" wrapText="false" indent="0" shrinkToFit="false"/>
      <protection locked="true" hidden="false"/>
    </xf>
    <xf numFmtId="173" fontId="62" fillId="0" borderId="0" xfId="81" applyFont="true" applyBorder="true" applyAlignment="true" applyProtection="false">
      <alignment horizontal="center" vertical="bottom" textRotation="0" wrapText="false" indent="0" shrinkToFit="false"/>
      <protection locked="true" hidden="false"/>
    </xf>
    <xf numFmtId="173" fontId="59" fillId="0" borderId="0" xfId="81" applyFont="true" applyBorder="true" applyAlignment="true" applyProtection="false">
      <alignment horizontal="center" vertical="bottom" textRotation="0" wrapText="false" indent="0" shrinkToFit="false"/>
      <protection locked="true" hidden="false"/>
    </xf>
    <xf numFmtId="173" fontId="153" fillId="0" borderId="0" xfId="81" applyFont="true" applyBorder="true" applyAlignment="false" applyProtection="false">
      <alignment horizontal="general" vertical="bottom" textRotation="0" wrapText="false" indent="0" shrinkToFit="false"/>
      <protection locked="true" hidden="false"/>
    </xf>
    <xf numFmtId="173" fontId="154" fillId="0" borderId="4" xfId="81" applyFont="true" applyBorder="true" applyAlignment="true" applyProtection="false">
      <alignment horizontal="left" vertical="bottom" textRotation="0" wrapText="false" indent="0" shrinkToFit="false"/>
      <protection locked="true" hidden="false"/>
    </xf>
    <xf numFmtId="173" fontId="60" fillId="0" borderId="31" xfId="81" applyFont="true" applyBorder="true" applyAlignment="false" applyProtection="false">
      <alignment horizontal="general" vertical="bottom" textRotation="0" wrapText="false" indent="0" shrinkToFit="false"/>
      <protection locked="true" hidden="false"/>
    </xf>
    <xf numFmtId="173" fontId="60" fillId="0" borderId="55" xfId="81" applyFont="true" applyBorder="true" applyAlignment="false" applyProtection="false">
      <alignment horizontal="general" vertical="bottom" textRotation="0" wrapText="false" indent="0" shrinkToFit="false"/>
      <protection locked="true" hidden="false"/>
    </xf>
    <xf numFmtId="173" fontId="60" fillId="0" borderId="55" xfId="81" applyFont="true" applyBorder="true" applyAlignment="false" applyProtection="false">
      <alignment horizontal="general" vertical="bottom" textRotation="0" wrapText="false" indent="0" shrinkToFit="false"/>
      <protection locked="true" hidden="false"/>
    </xf>
    <xf numFmtId="173" fontId="59" fillId="0" borderId="62" xfId="81" applyFont="true" applyBorder="true" applyAlignment="true" applyProtection="false">
      <alignment horizontal="left" vertical="bottom" textRotation="0" wrapText="false" indent="0" shrinkToFit="false"/>
      <protection locked="true" hidden="false"/>
    </xf>
    <xf numFmtId="167" fontId="60" fillId="0" borderId="62" xfId="81" applyFont="true" applyBorder="true" applyAlignment="true" applyProtection="false">
      <alignment horizontal="left" vertical="bottom" textRotation="0" wrapText="false" indent="0" shrinkToFit="false"/>
      <protection locked="true" hidden="false"/>
    </xf>
    <xf numFmtId="173" fontId="60" fillId="0" borderId="62" xfId="81" applyFont="true" applyBorder="true" applyAlignment="true" applyProtection="false">
      <alignment horizontal="left" vertical="bottom" textRotation="0" wrapText="false" indent="0" shrinkToFit="false"/>
      <protection locked="true" hidden="false"/>
    </xf>
    <xf numFmtId="173" fontId="155" fillId="0" borderId="62" xfId="81" applyFont="true" applyBorder="true" applyAlignment="true" applyProtection="false">
      <alignment horizontal="left" vertical="bottom" textRotation="0" wrapText="false" indent="0" shrinkToFit="false"/>
      <protection locked="true" hidden="false"/>
    </xf>
    <xf numFmtId="167" fontId="60" fillId="0" borderId="62" xfId="81" applyFont="true" applyBorder="true" applyAlignment="true" applyProtection="false">
      <alignment horizontal="center" vertical="bottom" textRotation="0" wrapText="false" indent="0" shrinkToFit="false"/>
      <protection locked="true" hidden="false"/>
    </xf>
    <xf numFmtId="173" fontId="60" fillId="0" borderId="62" xfId="81" applyFont="true" applyBorder="true" applyAlignment="true" applyProtection="false">
      <alignment horizontal="center" vertical="bottom" textRotation="0" wrapText="false" indent="0" shrinkToFit="false"/>
      <protection locked="true" hidden="false"/>
    </xf>
    <xf numFmtId="173" fontId="59" fillId="0" borderId="98" xfId="81" applyFont="true" applyBorder="true" applyAlignment="true" applyProtection="false">
      <alignment horizontal="left" vertical="bottom" textRotation="0" wrapText="false" indent="0" shrinkToFit="false"/>
      <protection locked="true" hidden="false"/>
    </xf>
    <xf numFmtId="167" fontId="59" fillId="0" borderId="98" xfId="81" applyFont="true" applyBorder="true" applyAlignment="true" applyProtection="false">
      <alignment horizontal="center" vertical="bottom" textRotation="0" wrapText="false" indent="0" shrinkToFit="false"/>
      <protection locked="true" hidden="false"/>
    </xf>
    <xf numFmtId="173" fontId="59" fillId="0" borderId="0" xfId="81" applyFont="true" applyBorder="true" applyAlignment="false" applyProtection="false">
      <alignment horizontal="general" vertical="bottom" textRotation="0" wrapText="false" indent="0" shrinkToFit="false"/>
      <protection locked="true" hidden="false"/>
    </xf>
    <xf numFmtId="167" fontId="59" fillId="0" borderId="0" xfId="81" applyFont="true" applyBorder="true" applyAlignment="false" applyProtection="false">
      <alignment horizontal="general" vertical="bottom" textRotation="0" wrapText="false" indent="0" shrinkToFit="false"/>
      <protection locked="true" hidden="false"/>
    </xf>
    <xf numFmtId="173" fontId="156" fillId="0" borderId="4" xfId="81" applyFont="true" applyBorder="true" applyAlignment="true" applyProtection="false">
      <alignment horizontal="left" vertical="bottom" textRotation="0" wrapText="false" indent="0" shrinkToFit="false"/>
      <protection locked="true" hidden="false"/>
    </xf>
    <xf numFmtId="167" fontId="60" fillId="0" borderId="31" xfId="81" applyFont="true" applyBorder="true" applyAlignment="false" applyProtection="false">
      <alignment horizontal="general" vertical="bottom" textRotation="0" wrapText="false" indent="0" shrinkToFit="false"/>
      <protection locked="true" hidden="false"/>
    </xf>
    <xf numFmtId="167" fontId="60" fillId="0" borderId="55" xfId="81" applyFont="true" applyBorder="true" applyAlignment="false" applyProtection="false">
      <alignment horizontal="general" vertical="bottom" textRotation="0" wrapText="false" indent="0" shrinkToFit="false"/>
      <protection locked="true" hidden="false"/>
    </xf>
    <xf numFmtId="167" fontId="60" fillId="0" borderId="30" xfId="81" applyFont="true" applyBorder="true" applyAlignment="false" applyProtection="false">
      <alignment horizontal="general" vertical="bottom" textRotation="0" wrapText="false" indent="0" shrinkToFit="false"/>
      <protection locked="true" hidden="false"/>
    </xf>
    <xf numFmtId="167" fontId="60" fillId="0" borderId="55" xfId="81" applyFont="true" applyBorder="true" applyAlignment="false" applyProtection="false">
      <alignment horizontal="general" vertical="bottom" textRotation="0" wrapText="false" indent="0" shrinkToFit="false"/>
      <protection locked="true" hidden="false"/>
    </xf>
    <xf numFmtId="173" fontId="157" fillId="0" borderId="62" xfId="81" applyFont="true" applyBorder="true" applyAlignment="true" applyProtection="false">
      <alignment horizontal="general" vertical="bottom" textRotation="0" wrapText="false" indent="0" shrinkToFit="false"/>
      <protection locked="true" hidden="false"/>
    </xf>
    <xf numFmtId="167" fontId="60" fillId="0" borderId="62" xfId="81" applyFont="true" applyBorder="true" applyAlignment="false" applyProtection="false">
      <alignment horizontal="general" vertical="bottom" textRotation="0" wrapText="false" indent="0" shrinkToFit="false"/>
      <protection locked="true" hidden="false"/>
    </xf>
    <xf numFmtId="167" fontId="60" fillId="0" borderId="60" xfId="81" applyFont="true" applyBorder="true" applyAlignment="false" applyProtection="false">
      <alignment horizontal="general" vertical="bottom" textRotation="0" wrapText="false" indent="0" shrinkToFit="false"/>
      <protection locked="true" hidden="false"/>
    </xf>
    <xf numFmtId="167" fontId="60" fillId="0" borderId="62" xfId="81" applyFont="true" applyBorder="true" applyAlignment="false" applyProtection="false">
      <alignment horizontal="general" vertical="bottom" textRotation="0" wrapText="false" indent="0" shrinkToFit="false"/>
      <protection locked="true" hidden="false"/>
    </xf>
    <xf numFmtId="173" fontId="60" fillId="0" borderId="62" xfId="81" applyFont="true" applyBorder="true" applyAlignment="false" applyProtection="false">
      <alignment horizontal="general" vertical="bottom" textRotation="0" wrapText="false" indent="0" shrinkToFit="false"/>
      <protection locked="true" hidden="false"/>
    </xf>
    <xf numFmtId="167" fontId="60" fillId="0" borderId="62" xfId="81" applyFont="true" applyBorder="true" applyAlignment="true" applyProtection="false">
      <alignment horizontal="center" vertical="bottom" textRotation="0" wrapText="false" indent="0" shrinkToFit="false"/>
      <protection locked="true" hidden="false"/>
    </xf>
    <xf numFmtId="167" fontId="60" fillId="0" borderId="60" xfId="81" applyFont="true" applyBorder="true" applyAlignment="true" applyProtection="false">
      <alignment horizontal="center" vertical="bottom" textRotation="0" wrapText="false" indent="0" shrinkToFit="false"/>
      <protection locked="true" hidden="false"/>
    </xf>
    <xf numFmtId="173" fontId="60" fillId="0" borderId="62" xfId="81" applyFont="true" applyBorder="true" applyAlignment="true" applyProtection="false">
      <alignment horizontal="center" vertical="bottom" textRotation="0" wrapText="false" indent="0" shrinkToFit="false"/>
      <protection locked="true" hidden="false"/>
    </xf>
    <xf numFmtId="164" fontId="0" fillId="0" borderId="62" xfId="0" applyFont="false" applyBorder="true" applyAlignment="true" applyProtection="false">
      <alignment horizontal="center" vertical="bottom" textRotation="0" wrapText="false" indent="0" shrinkToFit="false"/>
      <protection locked="true" hidden="false"/>
    </xf>
    <xf numFmtId="173" fontId="60" fillId="0" borderId="62" xfId="81" applyFont="true" applyBorder="true" applyAlignment="false" applyProtection="false">
      <alignment horizontal="general" vertical="bottom" textRotation="0" wrapText="false" indent="0" shrinkToFit="false"/>
      <protection locked="true" hidden="false"/>
    </xf>
    <xf numFmtId="173" fontId="59" fillId="0" borderId="62" xfId="81" applyFont="true" applyBorder="true" applyAlignment="true" applyProtection="false">
      <alignment horizontal="center" vertical="bottom" textRotation="0" wrapText="false" indent="0" shrinkToFit="false"/>
      <protection locked="true" hidden="false"/>
    </xf>
    <xf numFmtId="167" fontId="59" fillId="0" borderId="62" xfId="81" applyFont="true" applyBorder="true" applyAlignment="true" applyProtection="false">
      <alignment horizontal="center" vertical="bottom" textRotation="0" wrapText="false" indent="0" shrinkToFit="false"/>
      <protection locked="true" hidden="false"/>
    </xf>
    <xf numFmtId="167" fontId="59" fillId="0" borderId="60" xfId="81" applyFont="true" applyBorder="true" applyAlignment="true" applyProtection="false">
      <alignment horizontal="center" vertical="bottom" textRotation="0" wrapText="false" indent="0" shrinkToFit="false"/>
      <protection locked="true" hidden="false"/>
    </xf>
    <xf numFmtId="173" fontId="59" fillId="16" borderId="4" xfId="81" applyFont="true" applyBorder="true" applyAlignment="true" applyProtection="false">
      <alignment horizontal="center" vertical="bottom" textRotation="0" wrapText="false" indent="0" shrinkToFit="false"/>
      <protection locked="true" hidden="false"/>
    </xf>
    <xf numFmtId="167" fontId="59" fillId="16" borderId="4" xfId="81" applyFont="true" applyBorder="true" applyAlignment="true" applyProtection="false">
      <alignment horizontal="center" vertical="bottom" textRotation="0" wrapText="false" indent="0" shrinkToFit="false"/>
      <protection locked="true" hidden="false"/>
    </xf>
    <xf numFmtId="167" fontId="59" fillId="16" borderId="18" xfId="81" applyFont="true" applyBorder="true" applyAlignment="true" applyProtection="false">
      <alignment horizontal="center" vertical="bottom" textRotation="0" wrapText="false" indent="0" shrinkToFit="false"/>
      <protection locked="true" hidden="false"/>
    </xf>
    <xf numFmtId="167" fontId="59" fillId="16" borderId="67" xfId="81" applyFont="true" applyBorder="true" applyAlignment="true" applyProtection="false">
      <alignment horizontal="center" vertical="bottom" textRotation="0" wrapText="false" indent="0" shrinkToFit="false"/>
      <protection locked="true" hidden="false"/>
    </xf>
    <xf numFmtId="182" fontId="60" fillId="0" borderId="0" xfId="90" applyFont="true" applyBorder="true" applyAlignment="true" applyProtection="true">
      <alignment horizontal="general" vertical="bottom" textRotation="0" wrapText="false" indent="0" shrinkToFit="false"/>
      <protection locked="true" hidden="false"/>
    </xf>
    <xf numFmtId="167" fontId="60" fillId="0" borderId="0" xfId="81" applyFont="true" applyBorder="true" applyAlignment="false" applyProtection="false">
      <alignment horizontal="general" vertical="bottom" textRotation="0" wrapText="false" indent="0" shrinkToFit="false"/>
      <protection locked="true" hidden="false"/>
    </xf>
    <xf numFmtId="167" fontId="60" fillId="0" borderId="0" xfId="81" applyFont="true" applyBorder="true" applyAlignment="false" applyProtection="false">
      <alignment horizontal="general" vertical="bottom" textRotation="0" wrapText="false" indent="0" shrinkToFit="false"/>
      <protection locked="true" hidden="false"/>
    </xf>
    <xf numFmtId="173" fontId="158" fillId="18" borderId="0" xfId="81" applyFont="true" applyBorder="true" applyAlignment="false" applyProtection="false">
      <alignment horizontal="general" vertical="bottom" textRotation="0" wrapText="false" indent="0" shrinkToFit="false"/>
      <protection locked="true" hidden="false"/>
    </xf>
    <xf numFmtId="167" fontId="158" fillId="18" borderId="0" xfId="81" applyFont="true" applyBorder="true" applyAlignment="false" applyProtection="false">
      <alignment horizontal="general" vertical="bottom" textRotation="0" wrapText="false" indent="0" shrinkToFit="false"/>
      <protection locked="true" hidden="false"/>
    </xf>
    <xf numFmtId="173" fontId="158" fillId="0" borderId="0" xfId="81" applyFont="true" applyBorder="true" applyAlignment="false" applyProtection="false">
      <alignment horizontal="general" vertical="bottom" textRotation="0" wrapText="false" indent="0" shrinkToFit="false"/>
      <protection locked="true" hidden="false"/>
    </xf>
    <xf numFmtId="173" fontId="159" fillId="0" borderId="0" xfId="81" applyFont="true" applyBorder="true" applyAlignment="false" applyProtection="false">
      <alignment horizontal="general" vertical="bottom" textRotation="0" wrapText="false" indent="0" shrinkToFit="false"/>
      <protection locked="true" hidden="false"/>
    </xf>
    <xf numFmtId="167" fontId="159" fillId="0" borderId="0" xfId="81" applyFont="true" applyBorder="true" applyAlignment="false" applyProtection="false">
      <alignment horizontal="general" vertical="bottom" textRotation="0" wrapText="false" indent="0" shrinkToFit="false"/>
      <protection locked="true" hidden="false"/>
    </xf>
    <xf numFmtId="173" fontId="159" fillId="0" borderId="0" xfId="81" applyFont="true" applyBorder="true" applyAlignment="false" applyProtection="false">
      <alignment horizontal="general" vertical="bottom" textRotation="0" wrapText="false" indent="0" shrinkToFit="false"/>
      <protection locked="true" hidden="false"/>
    </xf>
    <xf numFmtId="173" fontId="160" fillId="0" borderId="0" xfId="81" applyFont="true" applyBorder="true" applyAlignment="false" applyProtection="false">
      <alignment horizontal="general" vertical="bottom" textRotation="0" wrapText="false" indent="0" shrinkToFit="false"/>
      <protection locked="true" hidden="false"/>
    </xf>
    <xf numFmtId="173" fontId="160" fillId="0" borderId="0" xfId="81" applyFont="true" applyBorder="true" applyAlignment="false" applyProtection="false">
      <alignment horizontal="general" vertical="bottom" textRotation="0" wrapText="false" indent="0" shrinkToFit="false"/>
      <protection locked="true" hidden="false"/>
    </xf>
    <xf numFmtId="167" fontId="160" fillId="0" borderId="0" xfId="81" applyFont="true" applyBorder="true" applyAlignment="false" applyProtection="false">
      <alignment horizontal="general" vertical="bottom" textRotation="0" wrapText="false" indent="0" shrinkToFit="false"/>
      <protection locked="true" hidden="false"/>
    </xf>
    <xf numFmtId="173" fontId="59" fillId="19" borderId="0" xfId="81" applyFont="true" applyBorder="true" applyAlignment="false" applyProtection="false">
      <alignment horizontal="general" vertical="bottom" textRotation="0" wrapText="false" indent="0" shrinkToFit="false"/>
      <protection locked="true" hidden="false"/>
    </xf>
    <xf numFmtId="167" fontId="59" fillId="19" borderId="0" xfId="81" applyFont="true" applyBorder="true" applyAlignment="false" applyProtection="false">
      <alignment horizontal="general" vertical="bottom" textRotation="0" wrapText="false" indent="0" shrinkToFit="false"/>
      <protection locked="true" hidden="false"/>
    </xf>
    <xf numFmtId="173" fontId="159" fillId="19" borderId="0" xfId="81" applyFont="true" applyBorder="true" applyAlignment="false" applyProtection="false">
      <alignment horizontal="general" vertical="bottom" textRotation="0" wrapText="false" indent="0" shrinkToFit="false"/>
      <protection locked="true" hidden="false"/>
    </xf>
    <xf numFmtId="167" fontId="159" fillId="19" borderId="0" xfId="81" applyFont="true" applyBorder="true" applyAlignment="false" applyProtection="false">
      <alignment horizontal="general" vertical="bottom" textRotation="0" wrapText="false" indent="0" shrinkToFit="false"/>
      <protection locked="true" hidden="false"/>
    </xf>
    <xf numFmtId="173" fontId="158" fillId="0" borderId="0" xfId="81" applyFont="true" applyBorder="true" applyAlignment="false" applyProtection="false">
      <alignment horizontal="general" vertical="bottom" textRotation="0" wrapText="false" indent="0" shrinkToFit="false"/>
      <protection locked="true" hidden="false"/>
    </xf>
    <xf numFmtId="167" fontId="158" fillId="0" borderId="0" xfId="81" applyFont="true" applyBorder="true" applyAlignment="false" applyProtection="false">
      <alignment horizontal="general" vertical="bottom" textRotation="0" wrapText="false" indent="0" shrinkToFit="false"/>
      <protection locked="true" hidden="false"/>
    </xf>
    <xf numFmtId="173" fontId="59" fillId="0" borderId="0" xfId="81" applyFont="true" applyBorder="true" applyAlignment="true" applyProtection="false">
      <alignment horizontal="left" vertical="bottom" textRotation="0" wrapText="false" indent="0" shrinkToFit="false"/>
      <protection locked="true" hidden="false"/>
    </xf>
    <xf numFmtId="173" fontId="59" fillId="6" borderId="0" xfId="81" applyFont="true" applyBorder="true" applyAlignment="false" applyProtection="false">
      <alignment horizontal="general" vertical="bottom" textRotation="0" wrapText="false" indent="0" shrinkToFit="false"/>
      <protection locked="true" hidden="false"/>
    </xf>
    <xf numFmtId="173" fontId="59" fillId="5" borderId="0" xfId="81" applyFont="true" applyBorder="true" applyAlignment="true" applyProtection="false">
      <alignment horizontal="center" vertical="bottom" textRotation="0" wrapText="false" indent="0" shrinkToFit="false"/>
      <protection locked="true" hidden="false"/>
    </xf>
    <xf numFmtId="173" fontId="60" fillId="6" borderId="0" xfId="81" applyFont="true" applyBorder="true" applyAlignment="false" applyProtection="false">
      <alignment horizontal="general" vertical="bottom" textRotation="0" wrapText="false" indent="0" shrinkToFit="false"/>
      <protection locked="true" hidden="false"/>
    </xf>
    <xf numFmtId="173" fontId="159" fillId="0" borderId="0" xfId="81" applyFont="true" applyBorder="true" applyAlignment="true" applyProtection="false">
      <alignment horizontal="left" vertical="bottom" textRotation="0" wrapText="false" indent="0" shrinkToFit="false"/>
      <protection locked="true" hidden="false"/>
    </xf>
    <xf numFmtId="173" fontId="161" fillId="0" borderId="0" xfId="81" applyFont="true" applyBorder="true" applyAlignment="false" applyProtection="false">
      <alignment horizontal="general" vertical="bottom" textRotation="0" wrapText="false" indent="0" shrinkToFit="false"/>
      <protection locked="true" hidden="false"/>
    </xf>
    <xf numFmtId="182" fontId="158" fillId="0" borderId="0" xfId="90" applyFont="true" applyBorder="true" applyAlignment="true" applyProtection="true">
      <alignment horizontal="general" vertical="bottom" textRotation="0" wrapText="false" indent="0" shrinkToFit="false"/>
      <protection locked="true" hidden="false"/>
    </xf>
    <xf numFmtId="182" fontId="160" fillId="0" borderId="0" xfId="90" applyFont="true" applyBorder="true" applyAlignment="true" applyProtection="true">
      <alignment horizontal="general" vertical="bottom" textRotation="0" wrapText="false" indent="0" shrinkToFit="false"/>
      <protection locked="true" hidden="false"/>
    </xf>
    <xf numFmtId="203" fontId="162" fillId="0" borderId="0" xfId="81" applyFont="true" applyBorder="true" applyAlignment="false" applyProtection="false">
      <alignment horizontal="general" vertical="bottom" textRotation="0" wrapText="false" indent="0" shrinkToFit="false"/>
      <protection locked="true" hidden="false"/>
    </xf>
    <xf numFmtId="173" fontId="162" fillId="0" borderId="0" xfId="81" applyFont="true" applyBorder="true" applyAlignment="false" applyProtection="false">
      <alignment horizontal="general" vertical="bottom" textRotation="0" wrapText="false" indent="0" shrinkToFit="false"/>
      <protection locked="true" hidden="false"/>
    </xf>
    <xf numFmtId="173" fontId="162" fillId="0" borderId="0" xfId="81" applyFont="true" applyBorder="true" applyAlignment="false" applyProtection="false">
      <alignment horizontal="general" vertical="bottom" textRotation="0" wrapText="false" indent="0" shrinkToFit="false"/>
      <protection locked="true" hidden="false"/>
    </xf>
    <xf numFmtId="164" fontId="164" fillId="5" borderId="48" xfId="0" applyFont="true" applyBorder="true" applyAlignment="true" applyProtection="false">
      <alignment horizontal="left" vertical="bottom" textRotation="0" wrapText="false" indent="0" shrinkToFit="false"/>
      <protection locked="true" hidden="false"/>
    </xf>
    <xf numFmtId="164" fontId="86" fillId="0" borderId="0" xfId="0" applyFont="true" applyBorder="false" applyAlignment="true" applyProtection="false">
      <alignment horizontal="center" vertical="bottom" textRotation="0" wrapText="false" indent="0" shrinkToFit="false"/>
      <protection locked="true" hidden="false"/>
    </xf>
    <xf numFmtId="164" fontId="74" fillId="16" borderId="32" xfId="0" applyFont="true" applyBorder="true" applyAlignment="true" applyProtection="false">
      <alignment horizontal="left" vertical="bottom" textRotation="0" wrapText="false" indent="0" shrinkToFit="false"/>
      <protection locked="true" hidden="false"/>
    </xf>
    <xf numFmtId="164" fontId="73" fillId="0" borderId="32" xfId="0" applyFont="true" applyBorder="true" applyAlignment="true" applyProtection="false">
      <alignment horizontal="left" vertical="bottom" textRotation="0" wrapText="false" indent="0" shrinkToFit="false"/>
      <protection locked="true" hidden="false"/>
    </xf>
    <xf numFmtId="164" fontId="65" fillId="16" borderId="36" xfId="0" applyFont="true" applyBorder="true" applyAlignment="true" applyProtection="false">
      <alignment horizontal="left" vertical="bottom" textRotation="0" wrapText="false" indent="0" shrinkToFit="false"/>
      <protection locked="true" hidden="false"/>
    </xf>
    <xf numFmtId="164" fontId="65" fillId="16" borderId="36" xfId="0" applyFont="true" applyBorder="true" applyAlignment="true" applyProtection="false">
      <alignment horizontal="center" vertical="bottom" textRotation="0" wrapText="false" indent="0" shrinkToFit="false"/>
      <protection locked="true" hidden="false"/>
    </xf>
    <xf numFmtId="164" fontId="73" fillId="0" borderId="0" xfId="81" applyFont="true" applyBorder="false" applyAlignment="false" applyProtection="false">
      <alignment horizontal="general" vertical="bottom" textRotation="0" wrapText="false" indent="0" shrinkToFit="false"/>
      <protection locked="true" hidden="false"/>
    </xf>
    <xf numFmtId="182" fontId="165" fillId="0" borderId="0" xfId="81" applyFont="true" applyBorder="false" applyAlignment="false" applyProtection="false">
      <alignment horizontal="general" vertical="bottom" textRotation="0" wrapText="false" indent="0" shrinkToFit="false"/>
      <protection locked="true" hidden="false"/>
    </xf>
    <xf numFmtId="164" fontId="73" fillId="0" borderId="115" xfId="81" applyFont="true" applyBorder="true" applyAlignment="true" applyProtection="false">
      <alignment horizontal="general" vertical="bottom" textRotation="0" wrapText="false" indent="0" shrinkToFit="false"/>
      <protection locked="true" hidden="false"/>
    </xf>
    <xf numFmtId="196" fontId="73" fillId="0" borderId="0" xfId="19" applyFont="true" applyBorder="true" applyAlignment="true" applyProtection="true">
      <alignment horizontal="general" vertical="bottom" textRotation="0" wrapText="false" indent="0" shrinkToFit="false"/>
      <protection locked="true" hidden="false"/>
    </xf>
    <xf numFmtId="164" fontId="73" fillId="0" borderId="0" xfId="81" applyFont="true" applyBorder="true" applyAlignment="true" applyProtection="false">
      <alignment horizontal="left" vertical="bottom" textRotation="0" wrapText="false" indent="0" shrinkToFit="false"/>
      <protection locked="true" hidden="false"/>
    </xf>
    <xf numFmtId="204" fontId="77" fillId="0" borderId="0" xfId="0" applyFont="true" applyBorder="true" applyAlignment="false" applyProtection="false">
      <alignment horizontal="general" vertical="bottom" textRotation="0" wrapText="false" indent="0" shrinkToFit="false"/>
      <protection locked="true" hidden="false"/>
    </xf>
    <xf numFmtId="164" fontId="73" fillId="0" borderId="0" xfId="81" applyFont="true" applyBorder="false" applyAlignment="true" applyProtection="false">
      <alignment horizontal="general" vertical="bottom" textRotation="0" wrapText="false" indent="0" shrinkToFit="false"/>
      <protection locked="true" hidden="false"/>
    </xf>
    <xf numFmtId="205" fontId="73" fillId="0" borderId="0" xfId="19" applyFont="true" applyBorder="true" applyAlignment="true" applyProtection="true">
      <alignment horizontal="general" vertical="bottom" textRotation="0" wrapText="false" indent="0" shrinkToFit="false"/>
      <protection locked="true" hidden="false"/>
    </xf>
    <xf numFmtId="167" fontId="77" fillId="0" borderId="0" xfId="0" applyFont="true" applyBorder="true" applyAlignment="false" applyProtection="false">
      <alignment horizontal="general" vertical="bottom" textRotation="0" wrapText="false" indent="0" shrinkToFit="false"/>
      <protection locked="true" hidden="false"/>
    </xf>
    <xf numFmtId="182" fontId="73" fillId="0" borderId="0" xfId="19" applyFont="true" applyBorder="true" applyAlignment="true" applyProtection="true">
      <alignment horizontal="general" vertical="bottom" textRotation="0" wrapText="false" indent="0" shrinkToFit="false"/>
      <protection locked="true" hidden="false"/>
    </xf>
    <xf numFmtId="205" fontId="73" fillId="0" borderId="0" xfId="90" applyFont="true" applyBorder="true" applyAlignment="true" applyProtection="true">
      <alignment horizontal="general" vertical="bottom" textRotation="0" wrapText="false" indent="0" shrinkToFit="false"/>
      <protection locked="true" hidden="false"/>
    </xf>
    <xf numFmtId="167" fontId="73" fillId="0" borderId="0" xfId="81" applyFont="true" applyBorder="false" applyAlignment="false" applyProtection="false">
      <alignment horizontal="general" vertical="bottom" textRotation="0" wrapText="false" indent="0" shrinkToFit="false"/>
      <protection locked="true" hidden="false"/>
    </xf>
    <xf numFmtId="182" fontId="165" fillId="0" borderId="0" xfId="90" applyFont="true" applyBorder="true" applyAlignment="true" applyProtection="true">
      <alignment horizontal="general" vertical="bottom" textRotation="0" wrapText="false" indent="0" shrinkToFit="false"/>
      <protection locked="true" hidden="false"/>
    </xf>
    <xf numFmtId="203" fontId="165" fillId="0" borderId="0" xfId="81" applyFont="true" applyBorder="false" applyAlignment="false" applyProtection="false">
      <alignment horizontal="general" vertical="bottom" textRotation="0" wrapText="false" indent="0" shrinkToFit="false"/>
      <protection locked="true" hidden="false"/>
    </xf>
    <xf numFmtId="164" fontId="73" fillId="0" borderId="0" xfId="81" applyFont="true" applyBorder="true" applyAlignment="false" applyProtection="false">
      <alignment horizontal="general" vertical="bottom" textRotation="0" wrapText="false" indent="0" shrinkToFit="false"/>
      <protection locked="true" hidden="false"/>
    </xf>
    <xf numFmtId="164" fontId="166" fillId="15" borderId="116" xfId="81" applyFont="true" applyBorder="true" applyAlignment="true" applyProtection="false">
      <alignment horizontal="center" vertical="bottom" textRotation="0" wrapText="false" indent="0" shrinkToFit="false"/>
      <protection locked="true" hidden="false"/>
    </xf>
    <xf numFmtId="164" fontId="166" fillId="15" borderId="117" xfId="81" applyFont="true" applyBorder="true" applyAlignment="true" applyProtection="false">
      <alignment horizontal="center" vertical="bottom" textRotation="0" wrapText="false" indent="0" shrinkToFit="false"/>
      <protection locked="true" hidden="false"/>
    </xf>
    <xf numFmtId="164" fontId="166" fillId="15" borderId="118" xfId="81" applyFont="true" applyBorder="true" applyAlignment="true" applyProtection="false">
      <alignment horizontal="general" vertical="bottom" textRotation="0" wrapText="true" indent="0" shrinkToFit="false"/>
      <protection locked="true" hidden="false"/>
    </xf>
    <xf numFmtId="190" fontId="77" fillId="0" borderId="36" xfId="15" applyFont="true" applyBorder="true" applyAlignment="true" applyProtection="true">
      <alignment horizontal="center" vertical="bottom" textRotation="0" wrapText="false" indent="0" shrinkToFit="false"/>
      <protection locked="true" hidden="false"/>
    </xf>
    <xf numFmtId="190" fontId="70" fillId="0" borderId="36" xfId="15" applyFont="true" applyBorder="true" applyAlignment="true" applyProtection="true">
      <alignment horizontal="center" vertical="bottom" textRotation="0" wrapText="false" indent="0" shrinkToFit="false"/>
      <protection locked="true" hidden="false"/>
    </xf>
    <xf numFmtId="164" fontId="73" fillId="0" borderId="0" xfId="81" applyFont="true" applyBorder="false" applyAlignment="true" applyProtection="false">
      <alignment horizontal="left" vertical="bottom" textRotation="0" wrapText="false" indent="1" shrinkToFit="false"/>
      <protection locked="true" hidden="false"/>
    </xf>
    <xf numFmtId="190" fontId="73" fillId="0" borderId="0" xfId="48" applyFont="true" applyBorder="true" applyAlignment="true" applyProtection="true">
      <alignment horizontal="general" vertical="bottom" textRotation="0" wrapText="false" indent="0" shrinkToFit="false"/>
      <protection locked="true" hidden="false"/>
    </xf>
    <xf numFmtId="205" fontId="73" fillId="0" borderId="0" xfId="90" applyFont="true" applyBorder="true" applyAlignment="true" applyProtection="true">
      <alignment horizontal="left" vertical="bottom" textRotation="0" wrapText="false" indent="1" shrinkToFit="false"/>
      <protection locked="true" hidden="false"/>
    </xf>
    <xf numFmtId="190" fontId="73" fillId="0" borderId="0" xfId="81" applyFont="true" applyBorder="true" applyAlignment="false" applyProtection="false">
      <alignment horizontal="general" vertical="bottom" textRotation="0" wrapText="false" indent="0" shrinkToFit="false"/>
      <protection locked="true" hidden="false"/>
    </xf>
    <xf numFmtId="205" fontId="73" fillId="0" borderId="119" xfId="90" applyFont="true" applyBorder="true" applyAlignment="true" applyProtection="true">
      <alignment horizontal="left" vertical="bottom" textRotation="0" wrapText="false" indent="1" shrinkToFit="false"/>
      <protection locked="true" hidden="false"/>
    </xf>
    <xf numFmtId="190" fontId="73" fillId="0" borderId="119" xfId="48" applyFont="true" applyBorder="true" applyAlignment="true" applyProtection="true">
      <alignment horizontal="general" vertical="bottom" textRotation="0" wrapText="false" indent="0" shrinkToFit="false"/>
      <protection locked="true" hidden="false"/>
    </xf>
    <xf numFmtId="190" fontId="73" fillId="0" borderId="119" xfId="81" applyFont="true" applyBorder="true" applyAlignment="false" applyProtection="false">
      <alignment horizontal="general" vertical="bottom" textRotation="0" wrapText="false" indent="0" shrinkToFit="false"/>
      <protection locked="true" hidden="false"/>
    </xf>
    <xf numFmtId="190" fontId="165" fillId="0" borderId="119" xfId="81" applyFont="true" applyBorder="true" applyAlignment="false" applyProtection="false">
      <alignment horizontal="general" vertical="bottom" textRotation="0" wrapText="false" indent="0" shrinkToFit="false"/>
      <protection locked="true" hidden="false"/>
    </xf>
    <xf numFmtId="164" fontId="73" fillId="0" borderId="0" xfId="81" applyFont="true" applyBorder="false" applyAlignment="false" applyProtection="false">
      <alignment horizontal="general" vertical="bottom" textRotation="0" wrapText="false" indent="0" shrinkToFit="false"/>
      <protection locked="true" hidden="false"/>
    </xf>
    <xf numFmtId="190" fontId="165" fillId="0" borderId="0" xfId="0" applyFont="true" applyBorder="false" applyAlignment="false" applyProtection="false">
      <alignment horizontal="general" vertical="bottom" textRotation="0" wrapText="false" indent="0" shrinkToFit="false"/>
      <protection locked="true" hidden="false"/>
    </xf>
    <xf numFmtId="205" fontId="73" fillId="0" borderId="119" xfId="90" applyFont="true" applyBorder="true" applyAlignment="true" applyProtection="true">
      <alignment horizontal="left" vertical="bottom" textRotation="0" wrapText="false" indent="0" shrinkToFit="false"/>
      <protection locked="true" hidden="false"/>
    </xf>
    <xf numFmtId="168" fontId="73" fillId="0" borderId="119" xfId="15" applyFont="true" applyBorder="true" applyAlignment="true" applyProtection="true">
      <alignment horizontal="general" vertical="bottom" textRotation="0" wrapText="false" indent="0" shrinkToFit="false"/>
      <protection locked="true" hidden="false"/>
    </xf>
    <xf numFmtId="164" fontId="65" fillId="0" borderId="0" xfId="81" applyFont="true" applyBorder="false" applyAlignment="false" applyProtection="false">
      <alignment horizontal="general" vertical="bottom" textRotation="0" wrapText="false" indent="0" shrinkToFit="false"/>
      <protection locked="true" hidden="false"/>
    </xf>
    <xf numFmtId="190" fontId="77" fillId="0" borderId="0" xfId="15" applyFont="true" applyBorder="true" applyAlignment="true" applyProtection="true">
      <alignment horizontal="general" vertical="bottom" textRotation="0" wrapText="false" indent="0" shrinkToFit="false"/>
      <protection locked="true" hidden="false"/>
    </xf>
    <xf numFmtId="164" fontId="167" fillId="0" borderId="0" xfId="0" applyFont="true" applyBorder="false" applyAlignment="false" applyProtection="false">
      <alignment horizontal="general" vertical="bottom" textRotation="0" wrapText="false" indent="0" shrinkToFit="false"/>
      <protection locked="true" hidden="false"/>
    </xf>
    <xf numFmtId="182" fontId="73" fillId="0" borderId="0" xfId="90" applyFont="true" applyBorder="true" applyAlignment="true" applyProtection="true">
      <alignment horizontal="general" vertical="bottom" textRotation="0" wrapText="false" indent="0" shrinkToFit="false"/>
      <protection locked="true" hidden="false"/>
    </xf>
    <xf numFmtId="182" fontId="165" fillId="0" borderId="0" xfId="19" applyFont="true" applyBorder="true" applyAlignment="true" applyProtection="true">
      <alignment horizontal="general" vertical="bottom" textRotation="0" wrapText="false" indent="0" shrinkToFit="false"/>
      <protection locked="true" hidden="false"/>
    </xf>
    <xf numFmtId="182" fontId="165" fillId="0" borderId="0" xfId="0" applyFont="true" applyBorder="false" applyAlignment="false" applyProtection="false">
      <alignment horizontal="general" vertical="bottom" textRotation="0" wrapText="false" indent="0" shrinkToFit="false"/>
      <protection locked="true" hidden="false"/>
    </xf>
    <xf numFmtId="164" fontId="73" fillId="0" borderId="0" xfId="81" applyFont="true" applyBorder="true" applyAlignment="true" applyProtection="false">
      <alignment horizontal="left" vertical="bottom" textRotation="0" wrapText="false" indent="1" shrinkToFit="false"/>
      <protection locked="true" hidden="false"/>
    </xf>
    <xf numFmtId="206" fontId="73" fillId="0" borderId="0" xfId="90" applyFont="true" applyBorder="true" applyAlignment="true" applyProtection="true">
      <alignment horizontal="general" vertical="bottom" textRotation="0" wrapText="false" indent="0" shrinkToFit="false"/>
      <protection locked="true" hidden="false"/>
    </xf>
    <xf numFmtId="206" fontId="165" fillId="0" borderId="0" xfId="0" applyFont="true" applyBorder="false" applyAlignment="false" applyProtection="false">
      <alignment horizontal="general" vertical="bottom" textRotation="0" wrapText="false" indent="0" shrinkToFit="false"/>
      <protection locked="true" hidden="false"/>
    </xf>
    <xf numFmtId="164" fontId="165" fillId="0" borderId="0" xfId="0" applyFont="true" applyBorder="false" applyAlignment="false" applyProtection="false">
      <alignment horizontal="general" vertical="bottom" textRotation="0" wrapText="false" indent="0" shrinkToFit="false"/>
      <protection locked="true" hidden="false"/>
    </xf>
    <xf numFmtId="205" fontId="73" fillId="0" borderId="0" xfId="90" applyFont="true" applyBorder="true" applyAlignment="true" applyProtection="true">
      <alignment horizontal="left" vertical="bottom" textRotation="0" wrapText="false" indent="0" shrinkToFit="false"/>
      <protection locked="true" hidden="false"/>
    </xf>
    <xf numFmtId="164" fontId="73" fillId="0" borderId="32" xfId="81" applyFont="true" applyBorder="true" applyAlignment="false" applyProtection="false">
      <alignment horizontal="general" vertical="bottom" textRotation="0" wrapText="false" indent="0" shrinkToFit="false"/>
      <protection locked="true" hidden="false"/>
    </xf>
    <xf numFmtId="164" fontId="75" fillId="15" borderId="36" xfId="0" applyFont="true" applyBorder="true" applyAlignment="true" applyProtection="false">
      <alignment horizontal="left" vertical="bottom" textRotation="0" wrapText="false" indent="0" shrinkToFit="false"/>
      <protection locked="true" hidden="false"/>
    </xf>
    <xf numFmtId="190" fontId="73" fillId="0" borderId="0" xfId="81" applyFont="true" applyBorder="false" applyAlignment="false" applyProtection="false">
      <alignment horizontal="general" vertical="bottom" textRotation="0" wrapText="false" indent="0" shrinkToFit="false"/>
      <protection locked="true" hidden="false"/>
    </xf>
    <xf numFmtId="182" fontId="73" fillId="0" borderId="0" xfId="81" applyFont="true" applyBorder="false" applyAlignment="false" applyProtection="false">
      <alignment horizontal="general" vertical="bottom" textRotation="0" wrapText="false" indent="0" shrinkToFit="false"/>
      <protection locked="true" hidden="false"/>
    </xf>
    <xf numFmtId="191" fontId="65" fillId="0" borderId="0" xfId="0" applyFont="true" applyBorder="true" applyAlignment="false" applyProtection="false">
      <alignment horizontal="general" vertical="bottom" textRotation="0" wrapText="false" indent="0" shrinkToFit="false"/>
      <protection locked="true" hidden="false"/>
    </xf>
    <xf numFmtId="164" fontId="73" fillId="0" borderId="120" xfId="81" applyFont="true" applyBorder="true" applyAlignment="true" applyProtection="false">
      <alignment horizontal="right" vertical="bottom" textRotation="0" wrapText="false" indent="0" shrinkToFit="false"/>
      <protection locked="true" hidden="false"/>
    </xf>
    <xf numFmtId="164" fontId="75" fillId="15" borderId="36" xfId="0" applyFont="true" applyBorder="true" applyAlignment="true" applyProtection="false">
      <alignment horizontal="center" vertical="bottom" textRotation="0" wrapText="false" indent="0" shrinkToFit="false"/>
      <protection locked="true" hidden="false"/>
    </xf>
    <xf numFmtId="164" fontId="65" fillId="0" borderId="121" xfId="81" applyFont="true" applyBorder="true" applyAlignment="true" applyProtection="false">
      <alignment horizontal="right" vertical="bottom" textRotation="0" wrapText="false" indent="0" shrinkToFit="false"/>
      <protection locked="true" hidden="false"/>
    </xf>
    <xf numFmtId="164" fontId="65" fillId="0" borderId="122" xfId="81" applyFont="true" applyBorder="true" applyAlignment="true" applyProtection="false">
      <alignment horizontal="right" vertical="bottom" textRotation="0" wrapText="false" indent="0" shrinkToFit="false"/>
      <protection locked="true" hidden="false"/>
    </xf>
    <xf numFmtId="190" fontId="168" fillId="0" borderId="121" xfId="81" applyFont="true" applyBorder="true" applyAlignment="false" applyProtection="false">
      <alignment horizontal="general" vertical="bottom" textRotation="0" wrapText="false" indent="0" shrinkToFit="false"/>
      <protection locked="true" hidden="false"/>
    </xf>
    <xf numFmtId="182" fontId="65" fillId="0" borderId="121" xfId="81" applyFont="true" applyBorder="true" applyAlignment="true" applyProtection="false">
      <alignment horizontal="center" vertical="bottom" textRotation="0" wrapText="false" indent="0" shrinkToFit="false"/>
      <protection locked="true" hidden="false"/>
    </xf>
    <xf numFmtId="164" fontId="73" fillId="0" borderId="121" xfId="81" applyFont="true" applyBorder="true" applyAlignment="false" applyProtection="false">
      <alignment horizontal="general" vertical="bottom" textRotation="0" wrapText="false" indent="0" shrinkToFit="false"/>
      <protection locked="true" hidden="false"/>
    </xf>
    <xf numFmtId="205" fontId="73" fillId="0" borderId="0" xfId="81" applyFont="true" applyBorder="false" applyAlignment="false" applyProtection="false">
      <alignment horizontal="general" vertical="bottom" textRotation="0" wrapText="false" indent="0" shrinkToFit="false"/>
      <protection locked="true" hidden="false"/>
    </xf>
    <xf numFmtId="190" fontId="73" fillId="0" borderId="120" xfId="81" applyFont="true" applyBorder="true" applyAlignment="false" applyProtection="false">
      <alignment horizontal="general" vertical="bottom" textRotation="0" wrapText="false" indent="0" shrinkToFit="false"/>
      <protection locked="true" hidden="false"/>
    </xf>
    <xf numFmtId="205" fontId="168" fillId="0" borderId="0" xfId="19" applyFont="true" applyBorder="true" applyAlignment="true" applyProtection="true">
      <alignment horizontal="general" vertical="bottom" textRotation="0" wrapText="false" indent="0" shrinkToFit="false"/>
      <protection locked="true" hidden="false"/>
    </xf>
    <xf numFmtId="168" fontId="73" fillId="0" borderId="0" xfId="81" applyFont="true" applyBorder="false" applyAlignment="false" applyProtection="false">
      <alignment horizontal="general" vertical="bottom" textRotation="0" wrapText="false" indent="0" shrinkToFit="false"/>
      <protection locked="true" hidden="false"/>
    </xf>
    <xf numFmtId="207" fontId="75" fillId="15" borderId="0" xfId="0" applyFont="true" applyBorder="true" applyAlignment="false" applyProtection="false">
      <alignment horizontal="general" vertical="bottom" textRotation="0" wrapText="false" indent="0" shrinkToFit="false"/>
      <protection locked="true" hidden="false"/>
    </xf>
    <xf numFmtId="164" fontId="65" fillId="0" borderId="0" xfId="81" applyFont="true" applyBorder="false" applyAlignment="true" applyProtection="false">
      <alignment horizontal="left" vertical="bottom" textRotation="0" wrapText="false" indent="0" shrinkToFit="false"/>
      <protection locked="true" hidden="false"/>
    </xf>
    <xf numFmtId="203" fontId="65" fillId="0" borderId="121" xfId="15" applyFont="true" applyBorder="true" applyAlignment="true" applyProtection="true">
      <alignment horizontal="center" vertical="bottom" textRotation="0" wrapText="false" indent="0" shrinkToFit="false"/>
      <protection locked="true" hidden="false"/>
    </xf>
    <xf numFmtId="164" fontId="73" fillId="0" borderId="121" xfId="15" applyFont="true" applyBorder="true" applyAlignment="true" applyProtection="true">
      <alignment horizontal="center" vertical="bottom" textRotation="0" wrapText="false" indent="0" shrinkToFit="false"/>
      <protection locked="true" hidden="false"/>
    </xf>
    <xf numFmtId="198" fontId="65" fillId="0" borderId="121" xfId="15" applyFont="true" applyBorder="true" applyAlignment="true" applyProtection="true">
      <alignment horizontal="center" vertical="bottom" textRotation="0" wrapText="false" indent="0" shrinkToFit="false"/>
      <protection locked="true" hidden="false"/>
    </xf>
    <xf numFmtId="164" fontId="101" fillId="5" borderId="55" xfId="0" applyFont="true" applyBorder="true" applyAlignment="true" applyProtection="false">
      <alignment horizontal="left" vertical="bottom" textRotation="0" wrapText="false" indent="0" shrinkToFit="false"/>
      <protection locked="true" hidden="false"/>
    </xf>
    <xf numFmtId="164" fontId="169" fillId="0" borderId="23" xfId="0" applyFont="true" applyBorder="true" applyAlignment="true" applyProtection="false">
      <alignment horizontal="center" vertical="bottom" textRotation="0" wrapText="false" indent="0" shrinkToFit="false"/>
      <protection locked="true" hidden="false"/>
    </xf>
    <xf numFmtId="164" fontId="170" fillId="15" borderId="109" xfId="0" applyFont="true" applyBorder="true" applyAlignment="true" applyProtection="false">
      <alignment horizontal="center" vertical="center" textRotation="0" wrapText="false" indent="0" shrinkToFit="false"/>
      <protection locked="true" hidden="false"/>
    </xf>
    <xf numFmtId="164" fontId="68" fillId="0" borderId="4" xfId="0" applyFont="true" applyBorder="true" applyAlignment="true" applyProtection="false">
      <alignment horizontal="center" vertical="bottom" textRotation="0" wrapText="false" indent="0" shrinkToFit="false"/>
      <protection locked="true" hidden="false"/>
    </xf>
    <xf numFmtId="164" fontId="107" fillId="0" borderId="18" xfId="0" applyFont="true" applyBorder="true" applyAlignment="false" applyProtection="false">
      <alignment horizontal="general" vertical="bottom" textRotation="0" wrapText="false" indent="0" shrinkToFit="false"/>
      <protection locked="true" hidden="false"/>
    </xf>
    <xf numFmtId="203" fontId="107" fillId="0" borderId="55" xfId="0" applyFont="true" applyBorder="true" applyAlignment="true" applyProtection="false">
      <alignment horizontal="center" vertical="bottom" textRotation="0" wrapText="false" indent="0" shrinkToFit="false"/>
      <protection locked="true" hidden="false"/>
    </xf>
    <xf numFmtId="173" fontId="107" fillId="0" borderId="62" xfId="0" applyFont="true" applyBorder="true" applyAlignment="true" applyProtection="false">
      <alignment horizontal="center" vertical="bottom" textRotation="0" wrapText="false" indent="0" shrinkToFit="false"/>
      <protection locked="true" hidden="false"/>
    </xf>
    <xf numFmtId="164" fontId="107" fillId="0" borderId="18" xfId="0" applyFont="true" applyBorder="true" applyAlignment="false" applyProtection="false">
      <alignment horizontal="general" vertical="bottom" textRotation="0" wrapText="false" indent="0" shrinkToFit="false"/>
      <protection locked="true" hidden="false"/>
    </xf>
    <xf numFmtId="173" fontId="107" fillId="0" borderId="98" xfId="0" applyFont="true" applyBorder="true" applyAlignment="true" applyProtection="false">
      <alignment horizontal="center" vertical="bottom" textRotation="0" wrapText="false" indent="0" shrinkToFit="false"/>
      <protection locked="true" hidden="false"/>
    </xf>
    <xf numFmtId="203" fontId="107" fillId="0" borderId="98" xfId="0" applyFont="true" applyBorder="true" applyAlignment="true" applyProtection="false">
      <alignment horizontal="center" vertical="bottom" textRotation="0" wrapText="false" indent="0" shrinkToFit="false"/>
      <protection locked="true" hidden="false"/>
    </xf>
    <xf numFmtId="164" fontId="61" fillId="15" borderId="4" xfId="0" applyFont="true" applyBorder="true" applyAlignment="false" applyProtection="false">
      <alignment horizontal="general" vertical="bottom" textRotation="0" wrapText="false" indent="0" shrinkToFit="false"/>
      <protection locked="true" hidden="false"/>
    </xf>
    <xf numFmtId="173" fontId="107" fillId="15" borderId="15" xfId="0" applyFont="true" applyBorder="true" applyAlignment="true" applyProtection="false">
      <alignment horizontal="center" vertical="bottom" textRotation="0" wrapText="false" indent="0" shrinkToFit="false"/>
      <protection locked="true" hidden="false"/>
    </xf>
    <xf numFmtId="173" fontId="107" fillId="15" borderId="23" xfId="0" applyFont="true" applyBorder="true" applyAlignment="true" applyProtection="false">
      <alignment horizontal="center" vertical="bottom" textRotation="0" wrapText="false" indent="0" shrinkToFit="false"/>
      <protection locked="true" hidden="false"/>
    </xf>
    <xf numFmtId="173" fontId="107" fillId="0" borderId="55" xfId="0" applyFont="true" applyBorder="true" applyAlignment="true" applyProtection="false">
      <alignment horizontal="center" vertical="bottom" textRotation="0" wrapText="false" indent="0" shrinkToFit="false"/>
      <protection locked="true" hidden="false"/>
    </xf>
    <xf numFmtId="173" fontId="107" fillId="0" borderId="31" xfId="0" applyFont="true" applyBorder="true" applyAlignment="true" applyProtection="false">
      <alignment horizontal="center" vertical="bottom" textRotation="0" wrapText="false" indent="0" shrinkToFit="false"/>
      <protection locked="true" hidden="false"/>
    </xf>
    <xf numFmtId="173" fontId="107" fillId="0" borderId="61" xfId="0" applyFont="true" applyBorder="true" applyAlignment="true" applyProtection="false">
      <alignment horizontal="center" vertical="bottom" textRotation="0" wrapText="false" indent="0" shrinkToFit="false"/>
      <protection locked="true" hidden="false"/>
    </xf>
    <xf numFmtId="196" fontId="107" fillId="0" borderId="62" xfId="0" applyFont="true" applyBorder="true" applyAlignment="true" applyProtection="false">
      <alignment horizontal="center" vertical="bottom" textRotation="0" wrapText="false" indent="0" shrinkToFit="false"/>
      <protection locked="true" hidden="false"/>
    </xf>
    <xf numFmtId="196" fontId="107" fillId="0" borderId="61" xfId="0" applyFont="true" applyBorder="true" applyAlignment="true" applyProtection="false">
      <alignment horizontal="center" vertical="bottom" textRotation="0" wrapText="false" indent="0" shrinkToFit="false"/>
      <protection locked="true" hidden="false"/>
    </xf>
    <xf numFmtId="208" fontId="107" fillId="0" borderId="62" xfId="0" applyFont="true" applyBorder="true" applyAlignment="true" applyProtection="false">
      <alignment horizontal="center" vertical="bottom" textRotation="0" wrapText="false" indent="0" shrinkToFit="false"/>
      <protection locked="true" hidden="false"/>
    </xf>
    <xf numFmtId="182" fontId="107" fillId="0" borderId="62" xfId="0" applyFont="true" applyBorder="true" applyAlignment="true" applyProtection="false">
      <alignment horizontal="center" vertical="bottom" textRotation="0" wrapText="false" indent="0" shrinkToFit="false"/>
      <protection locked="true" hidden="false"/>
    </xf>
    <xf numFmtId="164" fontId="107" fillId="0" borderId="20" xfId="0" applyFont="true" applyBorder="true" applyAlignment="false" applyProtection="false">
      <alignment horizontal="general" vertical="bottom" textRotation="0" wrapText="false" indent="0" shrinkToFit="false"/>
      <protection locked="true" hidden="false"/>
    </xf>
    <xf numFmtId="164" fontId="61" fillId="15" borderId="123" xfId="0" applyFont="true" applyBorder="true" applyAlignment="false" applyProtection="false">
      <alignment horizontal="general" vertical="bottom" textRotation="0" wrapText="false" indent="0" shrinkToFit="false"/>
      <protection locked="true" hidden="false"/>
    </xf>
    <xf numFmtId="173" fontId="107" fillId="15" borderId="124" xfId="0" applyFont="true" applyBorder="true" applyAlignment="true" applyProtection="false">
      <alignment horizontal="center" vertical="bottom" textRotation="0" wrapText="false" indent="0" shrinkToFit="false"/>
      <protection locked="true" hidden="false"/>
    </xf>
    <xf numFmtId="173" fontId="107" fillId="15" borderId="125" xfId="0" applyFont="true" applyBorder="true" applyAlignment="true" applyProtection="false">
      <alignment horizontal="center" vertical="bottom" textRotation="0" wrapText="false" indent="0" shrinkToFit="false"/>
      <protection locked="true" hidden="false"/>
    </xf>
    <xf numFmtId="164" fontId="171" fillId="0" borderId="0" xfId="0" applyFont="true" applyBorder="true" applyAlignment="false" applyProtection="false">
      <alignment horizontal="general" vertical="bottom" textRotation="0" wrapText="false" indent="0" shrinkToFit="false"/>
      <protection locked="true" hidden="false"/>
    </xf>
    <xf numFmtId="173" fontId="0" fillId="0" borderId="0" xfId="0" applyFont="false" applyBorder="true" applyAlignment="true" applyProtection="false">
      <alignment horizontal="center" vertical="bottom" textRotation="0" wrapText="false" indent="0" shrinkToFit="false"/>
      <protection locked="true" hidden="false"/>
    </xf>
  </cellXfs>
  <cellStyles count="152">
    <cellStyle name="Normal" xfId="0" builtinId="0"/>
    <cellStyle name="Comma" xfId="15" builtinId="3"/>
    <cellStyle name="Comma [0]" xfId="16" builtinId="6"/>
    <cellStyle name="Currency" xfId="17" builtinId="4"/>
    <cellStyle name="Currency [0]" xfId="18" builtinId="7"/>
    <cellStyle name="Percent" xfId="19" builtinId="5"/>
    <cellStyle name=" " xfId="21"/>
    <cellStyle name="=C:\WINNT35\SYSTEM32\COMMAND.COM" xfId="22"/>
    <cellStyle name="_Adani Power EM" xfId="23"/>
    <cellStyle name="_Ashapura - Earnings Model" xfId="24"/>
    <cellStyle name="_belekeri" xfId="25"/>
    <cellStyle name="_Consolidated Model - June 2007_revised figs_Dec07V3" xfId="26"/>
    <cellStyle name="_cost_dre_final_tally_sch5_011" xfId="27"/>
    <cellStyle name="_Five years Projections" xfId="28"/>
    <cellStyle name="_iRONORE" xfId="29"/>
    <cellStyle name="_Patel-em" xfId="30"/>
    <cellStyle name="_Power Trading" xfId="31"/>
    <cellStyle name="_Projections 2012-13 AEL V6" xfId="32"/>
    <cellStyle name="_Snapshot" xfId="33"/>
    <cellStyle name="_TBBOM(~2 (2)" xfId="34"/>
    <cellStyle name="_Tbc_03_2001final" xfId="35"/>
    <cellStyle name="_Valuation V2" xfId="36"/>
    <cellStyle name="_~9736082" xfId="37"/>
    <cellStyle name="Analyst Name" xfId="38"/>
    <cellStyle name="Arial6Bold" xfId="39"/>
    <cellStyle name="Arial8Bold" xfId="40"/>
    <cellStyle name="Arial8Italic" xfId="41"/>
    <cellStyle name="ArialNormal" xfId="42"/>
    <cellStyle name="Blank" xfId="43"/>
    <cellStyle name="Blue" xfId="44"/>
    <cellStyle name="Changeable" xfId="45"/>
    <cellStyle name="Co Name" xfId="46"/>
    <cellStyle name="ColHeading" xfId="47"/>
    <cellStyle name="Comma 2" xfId="48"/>
    <cellStyle name="Company" xfId="49"/>
    <cellStyle name="CoTitle" xfId="50"/>
    <cellStyle name="CurRatio" xfId="51"/>
    <cellStyle name="CUS.Work.Area" xfId="52"/>
    <cellStyle name="Custom - Style1" xfId="53"/>
    <cellStyle name="Custom - Style8" xfId="54"/>
    <cellStyle name="Data   - Style2" xfId="55"/>
    <cellStyle name="DataSheet Style" xfId="56"/>
    <cellStyle name="Date" xfId="57"/>
    <cellStyle name="EsText" xfId="58"/>
    <cellStyle name="Estimate" xfId="59"/>
    <cellStyle name="Euro" xfId="60"/>
    <cellStyle name="Figure" xfId="61"/>
    <cellStyle name="fourdecplace" xfId="62"/>
    <cellStyle name="General" xfId="63"/>
    <cellStyle name="Head - Style2" xfId="64"/>
    <cellStyle name="Head1" xfId="65"/>
    <cellStyle name="Input1dp" xfId="66"/>
    <cellStyle name="InputSheet" xfId="67"/>
    <cellStyle name="Integer" xfId="68"/>
    <cellStyle name="Item" xfId="69"/>
    <cellStyle name="Item1" xfId="70"/>
    <cellStyle name="Item2" xfId="71"/>
    <cellStyle name="Item3" xfId="72"/>
    <cellStyle name="ItemTot" xfId="73"/>
    <cellStyle name="ItemTypeClass" xfId="74"/>
    <cellStyle name="Labels - Style3" xfId="75"/>
    <cellStyle name="LEVERS69" xfId="76"/>
    <cellStyle name="mahesh" xfId="77"/>
    <cellStyle name="MedLine(B)" xfId="78"/>
    <cellStyle name="MedLines(2)" xfId="79"/>
    <cellStyle name="Normal - Style1" xfId="80"/>
    <cellStyle name="Normal 2" xfId="81"/>
    <cellStyle name="Normal 2 2" xfId="82"/>
    <cellStyle name="Normal 3" xfId="83"/>
    <cellStyle name="Normal_RtN Datapage sample" xfId="84"/>
    <cellStyle name="NumGen" xfId="85"/>
    <cellStyle name="NumPcnt(2)" xfId="86"/>
    <cellStyle name="NumTh(0)" xfId="87"/>
    <cellStyle name="NumThRed(2)" xfId="88"/>
    <cellStyle name="ParaHead" xfId="89"/>
    <cellStyle name="Percent 2" xfId="90"/>
    <cellStyle name="Percent 3" xfId="91"/>
    <cellStyle name="PercentChange" xfId="92"/>
    <cellStyle name="ProfileTitle" xfId="93"/>
    <cellStyle name="Ratio" xfId="94"/>
    <cellStyle name="RatioX" xfId="95"/>
    <cellStyle name="Reset  - Style4" xfId="96"/>
    <cellStyle name="Reset  - Style7" xfId="97"/>
    <cellStyle name="Result F1" xfId="98"/>
    <cellStyle name="Result Item" xfId="99"/>
    <cellStyle name="Result Item Total" xfId="100"/>
    <cellStyle name="Result T1" xfId="101"/>
    <cellStyle name="Result T2" xfId="102"/>
    <cellStyle name="Result T3" xfId="103"/>
    <cellStyle name="Result T4" xfId="104"/>
    <cellStyle name="Result Total" xfId="105"/>
    <cellStyle name="Rs Notation" xfId="106"/>
    <cellStyle name="SAPBEXchaText" xfId="107"/>
    <cellStyle name="SAPBEXfilterDrill" xfId="108"/>
    <cellStyle name="SAPBEXfilterItem" xfId="109"/>
    <cellStyle name="SAPBEXheaderItem" xfId="110"/>
    <cellStyle name="SAPBEXheaderText" xfId="111"/>
    <cellStyle name="SAPBEXHLevel0" xfId="112"/>
    <cellStyle name="SAPBEXHLevel1" xfId="113"/>
    <cellStyle name="SAPBEXHLevel2" xfId="114"/>
    <cellStyle name="SAPBEXHLevel3" xfId="115"/>
    <cellStyle name="SAPBEXstdData" xfId="116"/>
    <cellStyle name="SAPBEXstdItem" xfId="117"/>
    <cellStyle name="SAPBEXstdItemX" xfId="118"/>
    <cellStyle name="SAPBEXtitle" xfId="119"/>
    <cellStyle name="ScripFactor" xfId="120"/>
    <cellStyle name="SectionHeading" xfId="121"/>
    <cellStyle name="Standard" xfId="122"/>
    <cellStyle name="Style 1" xfId="123"/>
    <cellStyle name="Style 2" xfId="124"/>
    <cellStyle name="Sub - Style3" xfId="125"/>
    <cellStyle name="SubTot 1" xfId="126"/>
    <cellStyle name="SubTot 2" xfId="127"/>
    <cellStyle name="SubTot 3" xfId="128"/>
    <cellStyle name="SymbolBlue" xfId="129"/>
    <cellStyle name="Table  - Style5" xfId="130"/>
    <cellStyle name="Table  - Style6" xfId="131"/>
    <cellStyle name="Table Footer" xfId="132"/>
    <cellStyle name="Table Header" xfId="133"/>
    <cellStyle name="Thin2Lines(B)" xfId="134"/>
    <cellStyle name="ThinBotRow" xfId="135"/>
    <cellStyle name="ThinLine(B)" xfId="136"/>
    <cellStyle name="ThinLine(BL)" xfId="137"/>
    <cellStyle name="ThinLine(Box)" xfId="138"/>
    <cellStyle name="ThinLine(BR)" xfId="139"/>
    <cellStyle name="ThinLine(LBox)" xfId="140"/>
    <cellStyle name="ThinLine(RBox)" xfId="141"/>
    <cellStyle name="ThinLine(TB)" xfId="142"/>
    <cellStyle name="ThinLine(TL)" xfId="143"/>
    <cellStyle name="ThinLine(TR)" xfId="144"/>
    <cellStyle name="ThinMidRow" xfId="145"/>
    <cellStyle name="ThinTopRow" xfId="146"/>
    <cellStyle name="ThinTotLine" xfId="147"/>
    <cellStyle name="ThinTotLine(Box)" xfId="148"/>
    <cellStyle name="threedecplace" xfId="149"/>
    <cellStyle name="Title  - Style1" xfId="150"/>
    <cellStyle name="Title  - Style6" xfId="151"/>
    <cellStyle name="Title1" xfId="152"/>
    <cellStyle name="Titles" xfId="153"/>
    <cellStyle name="TotCol - Style5" xfId="154"/>
    <cellStyle name="TotCol - Style7" xfId="155"/>
    <cellStyle name="TotRow - Style4" xfId="156"/>
    <cellStyle name="TotRow - Style8" xfId="157"/>
    <cellStyle name="twodecplace" xfId="158"/>
    <cellStyle name="WingdingsBlack" xfId="159"/>
    <cellStyle name="WingdingsRed" xfId="160"/>
    <cellStyle name="WingdingsWhite" xfId="161"/>
    <cellStyle name="YE Num" xfId="162"/>
    <cellStyle name="YE String" xfId="163"/>
    <cellStyle name="Œ…‹æØ‚è [0.00]_GE 3 MINIMUM" xfId="164"/>
    <cellStyle name="Œ…‹æØ‚è_GE 3 MINIMUM" xfId="16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externalLink" Target="externalLinks/externalLink1.xml"/><Relationship Id="rId15" Type="http://schemas.openxmlformats.org/officeDocument/2006/relationships/externalLink" Target="externalLinks/externalLink2.xml"/><Relationship Id="rId16" Type="http://schemas.openxmlformats.org/officeDocument/2006/relationships/externalLink" Target="externalLinks/externalLink3.xml"/><Relationship Id="rId17" Type="http://schemas.openxmlformats.org/officeDocument/2006/relationships/externalLink" Target="externalLinks/externalLink4.xml"/><Relationship Id="rId18" Type="http://schemas.openxmlformats.org/officeDocument/2006/relationships/externalLink" Target="externalLinks/externalLink5.xml"/><Relationship Id="rId19" Type="http://schemas.openxmlformats.org/officeDocument/2006/relationships/externalLink" Target="externalLinks/externalLink6.xml"/><Relationship Id="rId20" Type="http://schemas.openxmlformats.org/officeDocument/2006/relationships/externalLink" Target="externalLinks/externalLink7.xml"/><Relationship Id="rId21" Type="http://schemas.openxmlformats.org/officeDocument/2006/relationships/externalLink" Target="externalLinks/externalLink8.xml"/><Relationship Id="rId22" Type="http://schemas.openxmlformats.org/officeDocument/2006/relationships/externalLink" Target="externalLinks/externalLink9.xml"/><Relationship Id="rId23" Type="http://schemas.openxmlformats.org/officeDocument/2006/relationships/externalLink" Target="externalLinks/externalLink10.xml"/><Relationship Id="rId24" Type="http://schemas.openxmlformats.org/officeDocument/2006/relationships/externalLink" Target="externalLinks/externalLink11.xml"/><Relationship Id="rId25" Type="http://schemas.openxmlformats.org/officeDocument/2006/relationships/externalLink" Target="externalLinks/externalLink12.xml"/><Relationship Id="rId26" Type="http://schemas.openxmlformats.org/officeDocument/2006/relationships/externalLink" Target="externalLinks/externalLink13.xml"/><Relationship Id="rId27" Type="http://schemas.openxmlformats.org/officeDocument/2006/relationships/externalLink" Target="externalLinks/externalLink14.xml"/><Relationship Id="rId28" Type="http://schemas.openxmlformats.org/officeDocument/2006/relationships/externalLink" Target="externalLinks/externalLink15.xml"/><Relationship Id="rId29" Type="http://schemas.openxmlformats.org/officeDocument/2006/relationships/externalLink" Target="externalLinks/externalLink16.xml"/><Relationship Id="rId30" Type="http://schemas.openxmlformats.org/officeDocument/2006/relationships/externalLink" Target="externalLinks/externalLink17.xml"/><Relationship Id="rId31" Type="http://schemas.openxmlformats.org/officeDocument/2006/relationships/externalLink" Target="externalLinks/externalLink18.xml"/><Relationship Id="rId32" Type="http://schemas.openxmlformats.org/officeDocument/2006/relationships/externalLink" Target="externalLinks/externalLink19.xml"/><Relationship Id="rId33" Type="http://schemas.openxmlformats.org/officeDocument/2006/relationships/externalLink" Target="externalLinks/externalLink20.xml"/><Relationship Id="rId34" Type="http://schemas.openxmlformats.org/officeDocument/2006/relationships/externalLink" Target="externalLinks/externalLink21.xml"/><Relationship Id="rId35" Type="http://schemas.openxmlformats.org/officeDocument/2006/relationships/externalLink" Target="externalLinks/externalLink22.xml"/><Relationship Id="rId36" Type="http://schemas.openxmlformats.org/officeDocument/2006/relationships/externalLink" Target="externalLinks/externalLink23.xml"/><Relationship Id="rId37" Type="http://schemas.openxmlformats.org/officeDocument/2006/relationships/externalLink" Target="externalLinks/externalLink24.xml"/><Relationship Id="rId38" Type="http://schemas.openxmlformats.org/officeDocument/2006/relationships/externalLink" Target="externalLinks/externalLink25.xml"/><Relationship Id="rId39" Type="http://schemas.openxmlformats.org/officeDocument/2006/relationships/externalLink" Target="externalLinks/externalLink26.xml"/><Relationship Id="rId40" Type="http://schemas.openxmlformats.org/officeDocument/2006/relationships/externalLink" Target="externalLinks/externalLink27.xml"/><Relationship Id="rId41" Type="http://schemas.openxmlformats.org/officeDocument/2006/relationships/externalLink" Target="externalLinks/externalLink28.xml"/><Relationship Id="rId42" Type="http://schemas.openxmlformats.org/officeDocument/2006/relationships/externalLink" Target="externalLinks/externalLink29.xml"/><Relationship Id="rId43" Type="http://schemas.openxmlformats.org/officeDocument/2006/relationships/externalLink" Target="externalLinks/externalLink30.xml"/><Relationship Id="rId44" Type="http://schemas.openxmlformats.org/officeDocument/2006/relationships/externalLink" Target="externalLinks/externalLink31.xml"/><Relationship Id="rId45" Type="http://schemas.openxmlformats.org/officeDocument/2006/relationships/externalLink" Target="externalLinks/externalLink32.xml"/><Relationship Id="rId46" Type="http://schemas.openxmlformats.org/officeDocument/2006/relationships/externalLink" Target="externalLinks/externalLink33.xml"/><Relationship Id="rId47" Type="http://schemas.openxmlformats.org/officeDocument/2006/relationships/externalLink" Target="externalLinks/externalLink34.xml"/><Relationship Id="rId48" Type="http://schemas.openxmlformats.org/officeDocument/2006/relationships/externalLink" Target="externalLinks/externalLink35.xml"/><Relationship Id="rId49" Type="http://schemas.openxmlformats.org/officeDocument/2006/relationships/externalLink" Target="externalLinks/externalLink36.xml"/><Relationship Id="rId50" Type="http://schemas.openxmlformats.org/officeDocument/2006/relationships/externalLink" Target="externalLinks/externalLink37.xml"/><Relationship Id="rId51" Type="http://schemas.openxmlformats.org/officeDocument/2006/relationships/externalLink" Target="externalLinks/externalLink38.xml"/><Relationship Id="rId52" Type="http://schemas.openxmlformats.org/officeDocument/2006/relationships/externalLink" Target="externalLinks/externalLink39.xml"/><Relationship Id="rId53" Type="http://schemas.openxmlformats.org/officeDocument/2006/relationships/externalLink" Target="externalLinks/externalLink40.xml"/><Relationship Id="rId54" Type="http://schemas.openxmlformats.org/officeDocument/2006/relationships/externalLink" Target="externalLinks/externalLink41.xml"/><Relationship Id="rId55" Type="http://schemas.openxmlformats.org/officeDocument/2006/relationships/externalLink" Target="externalLinks/externalLink42.xml"/><Relationship Id="rId56" Type="http://schemas.openxmlformats.org/officeDocument/2006/relationships/externalLink" Target="externalLinks/externalLink43.xml"/><Relationship Id="rId57" Type="http://schemas.openxmlformats.org/officeDocument/2006/relationships/externalLink" Target="externalLinks/externalLink44.xml"/><Relationship Id="rId58" Type="http://schemas.openxmlformats.org/officeDocument/2006/relationships/externalLink" Target="externalLinks/externalLink45.xml"/><Relationship Id="rId59" Type="http://schemas.openxmlformats.org/officeDocument/2006/relationships/externalLink" Target="externalLinks/externalLink46.xml"/><Relationship Id="rId60" Type="http://schemas.openxmlformats.org/officeDocument/2006/relationships/externalLink" Target="externalLinks/externalLink47.xml"/><Relationship Id="rId6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openxmlformats.org/officeDocument/2006/relationships/chartUserShapes" Target="../drawings/drawing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31383519837233"/>
          <c:y val="0.111864876090267"/>
          <c:w val="0.373804679552391"/>
          <c:h val="0.852831233559463"/>
        </c:manualLayout>
      </c:layout>
      <c:doughnutChart>
        <c:varyColors val="1"/>
        <c:ser>
          <c:idx val="0"/>
          <c:order val="0"/>
          <c:spPr>
            <a:gradFill>
              <a:gsLst>
                <a:gs pos="0">
                  <a:srgbClr val="333399"/>
                </a:gs>
                <a:gs pos="100000">
                  <a:srgbClr val="0066cc"/>
                </a:gs>
              </a:gsLst>
              <a:lin ang="16200000"/>
            </a:gradFill>
            <a:ln w="0">
              <a:noFill/>
            </a:ln>
          </c:spPr>
          <c:explosion val="0"/>
          <c:dPt>
            <c:idx val="0"/>
            <c:spPr>
              <a:gradFill>
                <a:gsLst>
                  <a:gs pos="0">
                    <a:srgbClr val="333399"/>
                  </a:gs>
                  <a:gs pos="100000">
                    <a:srgbClr val="0066cc"/>
                  </a:gs>
                </a:gsLst>
                <a:lin ang="16200000"/>
              </a:gradFill>
              <a:ln w="0">
                <a:noFill/>
              </a:ln>
            </c:spPr>
          </c:dPt>
          <c:dPt>
            <c:idx val="1"/>
            <c:spPr>
              <a:ln w="0">
                <a:noFill/>
              </a:ln>
            </c:spPr>
          </c:dPt>
          <c:dPt>
            <c:idx val="2"/>
            <c:spPr>
              <a:gradFill>
                <a:gsLst>
                  <a:gs pos="0">
                    <a:srgbClr val="808000"/>
                  </a:gs>
                  <a:gs pos="100000">
                    <a:srgbClr val="99cc00"/>
                  </a:gs>
                </a:gsLst>
                <a:lin ang="16200000"/>
              </a:gradFill>
              <a:ln w="0">
                <a:noFill/>
              </a:ln>
            </c:spPr>
          </c:dPt>
          <c:dPt>
            <c:idx val="3"/>
            <c:spPr>
              <a:gradFill>
                <a:gsLst>
                  <a:gs pos="0">
                    <a:srgbClr val="333399"/>
                  </a:gs>
                  <a:gs pos="100000">
                    <a:srgbClr val="666699"/>
                  </a:gs>
                </a:gsLst>
                <a:lin ang="16200000"/>
              </a:gradFill>
              <a:ln w="0">
                <a:noFill/>
              </a:ln>
            </c:spPr>
          </c:dPt>
          <c:dPt>
            <c:idx val="4"/>
            <c:spPr>
              <a:gradFill>
                <a:gsLst>
                  <a:gs pos="0">
                    <a:srgbClr val="008080"/>
                  </a:gs>
                  <a:gs pos="100000">
                    <a:srgbClr val="33cccc"/>
                  </a:gs>
                </a:gsLst>
                <a:lin ang="16200000"/>
              </a:gradFill>
              <a:ln w="0">
                <a:noFill/>
              </a:ln>
            </c:spPr>
          </c:dPt>
          <c:dPt>
            <c:idx val="5"/>
            <c:spPr>
              <a:gradFill>
                <a:gsLst>
                  <a:gs pos="0">
                    <a:srgbClr val="993300"/>
                  </a:gs>
                  <a:gs pos="100000">
                    <a:srgbClr val="ff6600"/>
                  </a:gs>
                </a:gsLst>
                <a:lin ang="16200000"/>
              </a:gradFill>
              <a:ln w="0">
                <a:noFill/>
              </a:ln>
            </c:spPr>
          </c:dPt>
          <c:dPt>
            <c:idx val="6"/>
            <c:spPr>
              <a:gradFill>
                <a:gsLst>
                  <a:gs pos="0">
                    <a:srgbClr val="666699"/>
                  </a:gs>
                  <a:gs pos="100000">
                    <a:srgbClr val="9999ff"/>
                  </a:gs>
                </a:gsLst>
                <a:lin ang="16200000"/>
              </a:gradFill>
              <a:ln w="0">
                <a:noFill/>
              </a:ln>
            </c:spPr>
          </c:dPt>
          <c:dLbls>
            <c:dLbl>
              <c:idx val="0"/>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dLbl>
              <c:idx val="1"/>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dLbl>
              <c:idx val="2"/>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dLbl>
              <c:idx val="3"/>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dLbl>
              <c:idx val="4"/>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1" sz="1000" spc="-1" strike="noStrike">
                      <a:solidFill>
                        <a:srgbClr val="ccffff"/>
                      </a:solidFill>
                      <a:latin typeface="Calibri"/>
                    </a:defRPr>
                  </a:pPr>
                </a:p>
              </c:txPr>
              <c:showLegendKey val="0"/>
              <c:showVal val="1"/>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'COMPANY OVERVIEW'!$A$32:$A$38</c:f>
              <c:strCache>
                <c:ptCount val="7"/>
                <c:pt idx="0">
                  <c:v>Natural Gas Trading</c:v>
                </c:pt>
                <c:pt idx="1">
                  <c:v>Transmission Services - Natural Gas</c:v>
                </c:pt>
                <c:pt idx="2">
                  <c:v>Petrochemicals</c:v>
                </c:pt>
                <c:pt idx="3">
                  <c:v>LPG &amp; Liquid Hydrocarbons</c:v>
                </c:pt>
                <c:pt idx="4">
                  <c:v>Transmission Services - LPG</c:v>
                </c:pt>
                <c:pt idx="5">
                  <c:v>Gailtel</c:v>
                </c:pt>
                <c:pt idx="6">
                  <c:v>Others</c:v>
                </c:pt>
              </c:strCache>
            </c:strRef>
          </c:cat>
          <c:val>
            <c:numRef>
              <c:f>'COMPANY OVERVIEW'!$B$32:$B$38</c:f>
              <c:numCache>
                <c:formatCode>_(* #,##0_);_(* \(#,##0\);_(* \-??_);_(@_)</c:formatCode>
                <c:ptCount val="7"/>
                <c:pt idx="0">
                  <c:v>183084</c:v>
                </c:pt>
                <c:pt idx="1">
                  <c:v>25081</c:v>
                </c:pt>
                <c:pt idx="2">
                  <c:v>27335</c:v>
                </c:pt>
                <c:pt idx="3">
                  <c:v>29900</c:v>
                </c:pt>
                <c:pt idx="4">
                  <c:v>3819</c:v>
                </c:pt>
                <c:pt idx="5">
                  <c:v>243</c:v>
                </c:pt>
                <c:pt idx="6">
                  <c:v>5749</c:v>
                </c:pt>
              </c:numCache>
            </c:numRef>
          </c:val>
        </c:ser>
        <c:firstSliceAng val="0"/>
        <c:holeSize val="50"/>
      </c:doughnutChart>
      <c:spPr>
        <a:noFill/>
        <a:ln w="12600">
          <a:noFill/>
        </a:ln>
      </c:spPr>
    </c:plotArea>
    <c:legend>
      <c:legendPos val="r"/>
      <c:layout>
        <c:manualLayout>
          <c:xMode val="edge"/>
          <c:yMode val="edge"/>
          <c:x val="0.586266531027467"/>
          <c:y val="0.0639623425169597"/>
          <c:w val="0.321210579857579"/>
          <c:h val="0.976879412986294"/>
        </c:manualLayout>
      </c:layout>
      <c:overlay val="0"/>
      <c:spPr>
        <a:noFill/>
        <a:ln w="0">
          <a:noFill/>
        </a:ln>
      </c:spPr>
      <c:txPr>
        <a:bodyPr/>
        <a:lstStyle/>
        <a:p>
          <a:pPr>
            <a:defRPr b="1" sz="1000" spc="-1" strike="noStrike">
              <a:solidFill>
                <a:srgbClr val="ccffff"/>
              </a:solidFill>
              <a:latin typeface="Calibri"/>
            </a:defRPr>
          </a:pPr>
        </a:p>
      </c:txPr>
    </c:legend>
    <c:plotVisOnly val="1"/>
    <c:dispBlanksAs val="zero"/>
  </c:chart>
  <c:spPr>
    <a:solidFill>
      <a:srgbClr val="000000"/>
    </a:solidFill>
    <a:ln w="0">
      <a:noFill/>
    </a:ln>
  </c:spPr>
  <c:userShapes r:id="rId1"/>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hyperlink" Target="http://proschoolonline.com/wp/certificate-programs/financial-modeling/" TargetMode="External"/><Relationship Id="rId2"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2.wmf"/><Relationship Id="rId2" Type="http://schemas.openxmlformats.org/officeDocument/2006/relationships/chart" Target="../charts/chart1.xml"/>
</Relationships>
</file>

<file path=xl/drawings/_rels/drawing5.xml.rels><?xml version="1.0" encoding="UTF-8"?>
<Relationships xmlns="http://schemas.openxmlformats.org/package/2006/relationships"><Relationship Id="rId1" Type="http://schemas.openxmlformats.org/officeDocument/2006/relationships/image" Target="../media/image2.wmf"/>
</Relationships>
</file>

<file path=xl/drawings/_rels/drawing6.xml.rels><?xml version="1.0" encoding="UTF-8"?>
<Relationships xmlns="http://schemas.openxmlformats.org/package/2006/relationships"><Relationship Id="rId1" Type="http://schemas.openxmlformats.org/officeDocument/2006/relationships/image" Target="../media/image2.wmf"/>
</Relationships>
</file>

<file path=xl/drawings/_rels/drawing7.xml.rels><?xml version="1.0" encoding="UTF-8"?>
<Relationships xmlns="http://schemas.openxmlformats.org/package/2006/relationships"><Relationship Id="rId1" Type="http://schemas.openxmlformats.org/officeDocument/2006/relationships/image" Target="../media/image2.wmf"/>
</Relationships>
</file>

<file path=xl/drawings/_rels/drawing8.xml.rels><?xml version="1.0" encoding="UTF-8"?>
<Relationships xmlns="http://schemas.openxmlformats.org/package/2006/relationships"><Relationship Id="rId1" Type="http://schemas.openxmlformats.org/officeDocument/2006/relationships/image" Target="../media/image2.wmf"/>
</Relationships>
</file>

<file path=xl/drawings/_rels/drawing9.xml.rels><?xml version="1.0" encoding="UTF-8"?>
<Relationships xmlns="http://schemas.openxmlformats.org/package/2006/relationships"><Relationship Id="rId1" Type="http://schemas.openxmlformats.org/officeDocument/2006/relationships/image" Target="../media/image2.wmf"/>
</Relationships>
</file>

<file path=xl/drawings/_rels/drawing10.xml.rels><?xml version="1.0" encoding="UTF-8"?>
<Relationships xmlns="http://schemas.openxmlformats.org/package/2006/relationships"><Relationship Id="rId1" Type="http://schemas.openxmlformats.org/officeDocument/2006/relationships/image" Target="../media/image2.w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145800</xdr:colOff>
      <xdr:row>7</xdr:row>
      <xdr:rowOff>95400</xdr:rowOff>
    </xdr:from>
    <xdr:to>
      <xdr:col>6</xdr:col>
      <xdr:colOff>516600</xdr:colOff>
      <xdr:row>11</xdr:row>
      <xdr:rowOff>180720</xdr:rowOff>
    </xdr:to>
    <xdr:pic>
      <xdr:nvPicPr>
        <xdr:cNvPr id="0" name="Picture 1" descr="http://proschoolonline.com/wp/wp-content/uploads/2011/02/proschool.png"/>
        <xdr:cNvPicPr/>
      </xdr:nvPicPr>
      <xdr:blipFill>
        <a:blip r:embed="rId1"/>
        <a:stretch/>
      </xdr:blipFill>
      <xdr:spPr>
        <a:xfrm>
          <a:off x="1580760" y="1943280"/>
          <a:ext cx="3241080" cy="8474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274320</xdr:colOff>
      <xdr:row>19</xdr:row>
      <xdr:rowOff>37800</xdr:rowOff>
    </xdr:from>
    <xdr:to>
      <xdr:col>5</xdr:col>
      <xdr:colOff>651600</xdr:colOff>
      <xdr:row>23</xdr:row>
      <xdr:rowOff>123480</xdr:rowOff>
    </xdr:to>
    <xdr:pic>
      <xdr:nvPicPr>
        <xdr:cNvPr id="1" name="Picture 1" descr="http://proschoolonline.com/wp/wp-content/uploads/2011/02/proschool.png">
          <a:hlinkClick r:id="rId1"/>
        </xdr:cNvPr>
        <xdr:cNvPicPr/>
      </xdr:nvPicPr>
      <xdr:blipFill>
        <a:blip r:embed="rId2"/>
        <a:stretch/>
      </xdr:blipFill>
      <xdr:spPr>
        <a:xfrm>
          <a:off x="1005120" y="3695400"/>
          <a:ext cx="3300840" cy="847800"/>
        </a:xfrm>
        <a:prstGeom prst="rect">
          <a:avLst/>
        </a:prstGeom>
        <a:ln w="0">
          <a:noFill/>
        </a:ln>
      </xdr:spPr>
    </xdr:pic>
    <xdr:clientData/>
  </xdr:twoCellAnchor>
  <xdr:twoCellAnchor editAs="oneCell">
    <xdr:from>
      <xdr:col>2</xdr:col>
      <xdr:colOff>331200</xdr:colOff>
      <xdr:row>16</xdr:row>
      <xdr:rowOff>66960</xdr:rowOff>
    </xdr:from>
    <xdr:to>
      <xdr:col>9</xdr:col>
      <xdr:colOff>240480</xdr:colOff>
      <xdr:row>16</xdr:row>
      <xdr:rowOff>66960</xdr:rowOff>
    </xdr:to>
    <xdr:sp>
      <xdr:nvSpPr>
        <xdr:cNvPr id="2" name="Straight Connector 4"/>
        <xdr:cNvSpPr/>
      </xdr:nvSpPr>
      <xdr:spPr>
        <a:xfrm>
          <a:off x="1792800" y="3153240"/>
          <a:ext cx="5025600" cy="0"/>
        </a:xfrm>
        <a:prstGeom prst="line">
          <a:avLst/>
        </a:prstGeom>
        <a:ln w="9360">
          <a:solidFill>
            <a:srgbClr val="ffcc00"/>
          </a:solidFill>
          <a:miter/>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570600</xdr:colOff>
      <xdr:row>0</xdr:row>
      <xdr:rowOff>66960</xdr:rowOff>
    </xdr:from>
    <xdr:to>
      <xdr:col>3</xdr:col>
      <xdr:colOff>684720</xdr:colOff>
      <xdr:row>2</xdr:row>
      <xdr:rowOff>66240</xdr:rowOff>
    </xdr:to>
    <xdr:pic>
      <xdr:nvPicPr>
        <xdr:cNvPr id="3" name="Picture 1" descr=""/>
        <xdr:cNvPicPr/>
      </xdr:nvPicPr>
      <xdr:blipFill>
        <a:blip r:embed="rId1"/>
        <a:stretch/>
      </xdr:blipFill>
      <xdr:spPr>
        <a:xfrm>
          <a:off x="2135880" y="66960"/>
          <a:ext cx="1631160" cy="570960"/>
        </a:xfrm>
        <a:prstGeom prst="rect">
          <a:avLst/>
        </a:prstGeom>
        <a:ln w="0">
          <a:noFill/>
        </a:ln>
      </xdr:spPr>
    </xdr:pic>
    <xdr:clientData/>
  </xdr:twoCellAnchor>
  <xdr:twoCellAnchor editAs="oneCell">
    <xdr:from>
      <xdr:col>3</xdr:col>
      <xdr:colOff>392400</xdr:colOff>
      <xdr:row>33</xdr:row>
      <xdr:rowOff>57240</xdr:rowOff>
    </xdr:from>
    <xdr:to>
      <xdr:col>13</xdr:col>
      <xdr:colOff>280800</xdr:colOff>
      <xdr:row>45</xdr:row>
      <xdr:rowOff>171360</xdr:rowOff>
    </xdr:to>
    <xdr:graphicFrame>
      <xdr:nvGraphicFramePr>
        <xdr:cNvPr id="4" name="Chart 4"/>
        <xdr:cNvGraphicFramePr/>
      </xdr:nvGraphicFramePr>
      <xdr:xfrm>
        <a:off x="3474720" y="6953400"/>
        <a:ext cx="7077240" cy="2599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0.304272634791455</cdr:x>
      <cdr:y>0.037657483040288</cdr:y>
    </cdr:from>
    <cdr:to>
      <cdr:x>0.3470498474059</cdr:x>
      <cdr:y>0.142876920946975</cdr:y>
    </cdr:to>
    <cdr:cxnSp>
      <cdr:nvCxnSpPr>
        <cdr:cNvPr id="5" name="Straight Arrow Connector 2"/>
        <cdr:cNvCxnSpPr/>
      </cdr:nvCxnSpPr>
      <cdr:spPr>
        <a:xfrm flipV="1">
          <a:off x="2153520" y="97920"/>
          <a:ext cx="303120" cy="273960"/>
        </a:xfrm>
        <a:prstGeom prst="straightConnector1">
          <a:avLst/>
        </a:prstGeom>
        <a:ln w="9360">
          <a:solidFill>
            <a:srgbClr val="99ff33"/>
          </a:solidFill>
          <a:miter/>
          <a:tailEnd len="med" type="arrow" w="med"/>
        </a:ln>
      </cdr:spPr>
    </cdr:cxnSp>
  </cdr:relSizeAnchor>
  <cdr:relSizeAnchor>
    <cdr:from>
      <cdr:x>0.226500508646999</cdr:x>
      <cdr:y>0.039318842586183</cdr:y>
    </cdr:from>
    <cdr:to>
      <cdr:x>0.28677517802645</cdr:x>
      <cdr:y>0.150768378789976</cdr:y>
    </cdr:to>
    <cdr:sp>
      <cdr:nvSpPr>
        <cdr:cNvPr id="6" name="Straight Connector 6"/>
        <cdr:cNvSpPr/>
      </cdr:nvSpPr>
      <cdr:spPr>
        <a:xfrm>
          <a:off x="1603080" y="102240"/>
          <a:ext cx="426600" cy="289800"/>
        </a:xfrm>
        <a:prstGeom prst="line">
          <a:avLst/>
        </a:prstGeom>
        <a:ln w="9360">
          <a:solidFill>
            <a:srgbClr val="99ff33"/>
          </a:solidFill>
          <a:miter/>
        </a:ln>
      </cdr:spPr>
      <cdr:style>
        <a:lnRef idx="0"/>
        <a:fillRef idx="0"/>
        <a:effectRef idx="0"/>
        <a:fontRef idx="minor"/>
      </cdr:style>
    </cdr:sp>
  </cdr:relSizeAnchor>
</c:userShape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33840</xdr:colOff>
      <xdr:row>0</xdr:row>
      <xdr:rowOff>57240</xdr:rowOff>
    </xdr:from>
    <xdr:to>
      <xdr:col>3</xdr:col>
      <xdr:colOff>437760</xdr:colOff>
      <xdr:row>1</xdr:row>
      <xdr:rowOff>199800</xdr:rowOff>
    </xdr:to>
    <xdr:pic>
      <xdr:nvPicPr>
        <xdr:cNvPr id="7" name="Picture 1" descr=""/>
        <xdr:cNvPicPr/>
      </xdr:nvPicPr>
      <xdr:blipFill>
        <a:blip r:embed="rId1"/>
        <a:stretch/>
      </xdr:blipFill>
      <xdr:spPr>
        <a:xfrm>
          <a:off x="2536200" y="57240"/>
          <a:ext cx="1839240" cy="40932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34200</xdr:colOff>
      <xdr:row>0</xdr:row>
      <xdr:rowOff>57240</xdr:rowOff>
    </xdr:from>
    <xdr:to>
      <xdr:col>3</xdr:col>
      <xdr:colOff>446040</xdr:colOff>
      <xdr:row>2</xdr:row>
      <xdr:rowOff>85680</xdr:rowOff>
    </xdr:to>
    <xdr:pic>
      <xdr:nvPicPr>
        <xdr:cNvPr id="8" name="Picture 1" descr=""/>
        <xdr:cNvPicPr/>
      </xdr:nvPicPr>
      <xdr:blipFill>
        <a:blip r:embed="rId1"/>
        <a:stretch/>
      </xdr:blipFill>
      <xdr:spPr>
        <a:xfrm>
          <a:off x="2708280" y="57240"/>
          <a:ext cx="1622160" cy="4474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45360</xdr:colOff>
      <xdr:row>0</xdr:row>
      <xdr:rowOff>47520</xdr:rowOff>
    </xdr:from>
    <xdr:to>
      <xdr:col>3</xdr:col>
      <xdr:colOff>240840</xdr:colOff>
      <xdr:row>0</xdr:row>
      <xdr:rowOff>448560</xdr:rowOff>
    </xdr:to>
    <xdr:pic>
      <xdr:nvPicPr>
        <xdr:cNvPr id="9" name="Picture 1" descr=""/>
        <xdr:cNvPicPr/>
      </xdr:nvPicPr>
      <xdr:blipFill>
        <a:blip r:embed="rId1"/>
        <a:stretch/>
      </xdr:blipFill>
      <xdr:spPr>
        <a:xfrm>
          <a:off x="2582280" y="47520"/>
          <a:ext cx="1611360" cy="4010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216720</xdr:colOff>
      <xdr:row>0</xdr:row>
      <xdr:rowOff>95040</xdr:rowOff>
    </xdr:from>
    <xdr:to>
      <xdr:col>4</xdr:col>
      <xdr:colOff>217440</xdr:colOff>
      <xdr:row>3</xdr:row>
      <xdr:rowOff>47520</xdr:rowOff>
    </xdr:to>
    <xdr:pic>
      <xdr:nvPicPr>
        <xdr:cNvPr id="10" name="Picture 2" descr=""/>
        <xdr:cNvPicPr/>
      </xdr:nvPicPr>
      <xdr:blipFill>
        <a:blip r:embed="rId1"/>
        <a:stretch/>
      </xdr:blipFill>
      <xdr:spPr>
        <a:xfrm>
          <a:off x="3792960" y="95040"/>
          <a:ext cx="1874160" cy="59076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743760</xdr:colOff>
      <xdr:row>1</xdr:row>
      <xdr:rowOff>190800</xdr:rowOff>
    </xdr:to>
    <xdr:pic>
      <xdr:nvPicPr>
        <xdr:cNvPr id="11" name="Picture 1" descr=""/>
        <xdr:cNvPicPr/>
      </xdr:nvPicPr>
      <xdr:blipFill>
        <a:blip r:embed="rId1"/>
        <a:stretch/>
      </xdr:blipFill>
      <xdr:spPr>
        <a:xfrm>
          <a:off x="2765520" y="0"/>
          <a:ext cx="1634400" cy="4384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91440</xdr:colOff>
      <xdr:row>0</xdr:row>
      <xdr:rowOff>0</xdr:rowOff>
    </xdr:from>
    <xdr:to>
      <xdr:col>3</xdr:col>
      <xdr:colOff>503280</xdr:colOff>
      <xdr:row>2</xdr:row>
      <xdr:rowOff>86040</xdr:rowOff>
    </xdr:to>
    <xdr:pic>
      <xdr:nvPicPr>
        <xdr:cNvPr id="12" name="Picture 2" descr=""/>
        <xdr:cNvPicPr/>
      </xdr:nvPicPr>
      <xdr:blipFill>
        <a:blip r:embed="rId1"/>
        <a:stretch/>
      </xdr:blipFill>
      <xdr:spPr>
        <a:xfrm>
          <a:off x="2593800" y="0"/>
          <a:ext cx="1873800" cy="552600"/>
        </a:xfrm>
        <a:prstGeom prst="rect">
          <a:avLst/>
        </a:prstGeom>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file://PIFS/Research%20Group/SUNIL/office_data/Projects/Revenue%20model/FY%2003-04/Business%20Plan/office_data/Projects/Revenue%20model/FY%2003-04/Rev%20model%20main%20-%201.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file://Internet/f/June07_JJ/Documents%20and%20Settings/hiren/Local%20Settings/Temporary%20Internet%20Files/Content.IE5/GG87HUS9/2004-05/Treasury/PCL.xls"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file://Internet/f/June07_JJ/USER/ACCOUNT/PRANAV/COD/CODMARCH/DOCUME~1/kgshah/LOCALS~1/Temp/PCL.xls" TargetMode="External"/>
</Relationships>
</file>

<file path=xl/externalLinks/_rels/externalLink4.xml.rels><?xml version="1.0" encoding="UTF-8"?>
<Relationships xmlns="http://schemas.openxmlformats.org/package/2006/relationships"><Relationship Id="rId1" Type="http://schemas.openxmlformats.org/officeDocument/2006/relationships/externalLinkPath" Target="file://Moslnp/Inquire%20Research/ar/fmcg/company%20itc/ITC%20model.xls" TargetMode="External"/>
</Relationships>
</file>

<file path=xl/externalLinks/_rels/externalLink5.xml.rels><?xml version="1.0" encoding="UTF-8"?>
<Relationships xmlns="http://schemas.openxmlformats.org/package/2006/relationships"><Relationship Id="rId1" Type="http://schemas.openxmlformats.org/officeDocument/2006/relationships/externalLinkPath" Target="file://tanuj/Desktop/WINDOWS/Temporary%20Internet%20Files/Content.IE5/0TGJ0RO5/CIPLA-pl.xls" TargetMode="External"/>
</Relationships>
</file>

<file path=xl/externalLinks/_rels/externalLink6.xml.rels><?xml version="1.0" encoding="UTF-8"?>
<Relationships xmlns="http://schemas.openxmlformats.org/package/2006/relationships"><Relationship Id="rId1" Type="http://schemas.openxmlformats.org/officeDocument/2006/relationships/externalLinkPath" Target="../../ExcelFiles/Budget.xls" TargetMode="External"/>
</Relationships>
</file>

<file path=xl/externalLinks/_rels/externalLink7.xml.rels><?xml version="1.0" encoding="UTF-8"?>
<Relationships xmlns="http://schemas.openxmlformats.org/package/2006/relationships"><Relationship Id="rId1" Type="http://schemas.openxmlformats.org/officeDocument/2006/relationships/externalLinkPath" Target="file://Internet/f/June07_JJ/USER/ACCOUNT/PRANAV/COD/CODMARCH/Ankit%20shah/c/My%20Documents/2004/Treasury/PCL.xls" TargetMode="External"/>
</Relationships>
</file>

<file path=xl/externalLinks/_rels/externalLink8.xml.rels><?xml version="1.0" encoding="UTF-8"?>
<Relationships xmlns="http://schemas.openxmlformats.org/package/2006/relationships"><Relationship Id="rId1" Type="http://schemas.openxmlformats.org/officeDocument/2006/relationships/externalLinkPath" Target="file://PIFS/Research%20Group/TEMP/hll%20askrj.xls" TargetMode="External"/>
</Relationships>
</file>

<file path=xl/externalLinks/_rels/externalLink9.xml.rels><?xml version="1.0" encoding="UTF-8"?>
<Relationships xmlns="http://schemas.openxmlformats.org/package/2006/relationships"><Relationship Id="rId1" Type="http://schemas.openxmlformats.org/officeDocument/2006/relationships/externalLinkPath" Target="file://Internet/f/My%20Documents/70%2525%20stake.xls" TargetMode="External"/>
</Relationships>
</file>

<file path=xl/externalLinks/_rels/externalLink10.xml.rels><?xml version="1.0" encoding="UTF-8"?>
<Relationships xmlns="http://schemas.openxmlformats.org/package/2006/relationships"><Relationship Id="rId1" Type="http://schemas.openxmlformats.org/officeDocument/2006/relationships/externalLinkPath" Target="file://server/Public/Research/fmcg/company%20hll/hll%20model.xls" TargetMode="External"/>
</Relationships>
</file>

<file path=xl/externalLinks/_rels/externalLink11.xml.rels><?xml version="1.0" encoding="UTF-8"?>
<Relationships xmlns="http://schemas.openxmlformats.org/package/2006/relationships"><Relationship Id="rId1" Type="http://schemas.openxmlformats.org/officeDocument/2006/relationships/externalLinkPath" Target="file://Nt4/G/FMCG/company%20sb/sb%20askrj.xls" TargetMode="External"/>
</Relationships>
</file>

<file path=xl/externalLinks/_rels/externalLink12.xml.rels><?xml version="1.0" encoding="UTF-8"?>
<Relationships xmlns="http://schemas.openxmlformats.org/package/2006/relationships"><Relationship Id="rId1" Type="http://schemas.openxmlformats.org/officeDocument/2006/relationships/externalLinkPath" Target="file://IRESHK01D/Projects/GENERAL/TELECOMS/THAILAND/TAC/EM-TAC.xls" TargetMode="External"/>
</Relationships>
</file>

<file path=xl/externalLinks/_rels/externalLink13.xml.rels><?xml version="1.0" encoding="UTF-8"?>
<Relationships xmlns="http://schemas.openxmlformats.org/package/2006/relationships"><Relationship Id="rId1" Type="http://schemas.openxmlformats.org/officeDocument/2006/relationships/externalLinkPath" Target="../../ExcelFiles/Apr.xls" TargetMode="External"/>
</Relationships>
</file>

<file path=xl/externalLinks/_rels/externalLink14.xml.rels><?xml version="1.0" encoding="UTF-8"?>
<Relationships xmlns="http://schemas.openxmlformats.org/package/2006/relationships"><Relationship Id="rId1" Type="http://schemas.openxmlformats.org/officeDocument/2006/relationships/externalLinkPath" Target="file://PIFS/Research%20Group/SUNIL/office_data/Projects/Revenue%20model/FY%2003-04/Business%20Plan/office_data/Projects/Samho%20Hull%20S-150/Proposal%20Analysis.xls" TargetMode="External"/>
</Relationships>
</file>

<file path=xl/externalLinks/_rels/externalLink15.xml.rels><?xml version="1.0" encoding="UTF-8"?>
<Relationships xmlns="http://schemas.openxmlformats.org/package/2006/relationships"><Relationship Id="rId1" Type="http://schemas.openxmlformats.org/officeDocument/2006/relationships/externalLinkPath" Target="file://Satisht/d/My%20Documents/sski/general/fmcg%20market.xls" TargetMode="External"/>
</Relationships>
</file>

<file path=xl/externalLinks/_rels/externalLink16.xml.rels><?xml version="1.0" encoding="UTF-8"?>
<Relationships xmlns="http://schemas.openxmlformats.org/package/2006/relationships"><Relationship Id="rId1" Type="http://schemas.openxmlformats.org/officeDocument/2006/relationships/externalLinkPath" Target="file://PIFS/Research%20Group/Harish/Infosys/infosys-1Q-03-A.xls" TargetMode="External"/>
</Relationships>
</file>

<file path=xl/externalLinks/_rels/externalLink17.xml.rels><?xml version="1.0" encoding="UTF-8"?>
<Relationships xmlns="http://schemas.openxmlformats.org/package/2006/relationships"><Relationship Id="rId1" Type="http://schemas.openxmlformats.org/officeDocument/2006/relationships/externalLinkPath" Target="file://vartharajan/MOSL%20O&amp;G/Varatha/O&amp;G-petrochem/MOSL%20O&amp;G/Oil/BPCL%20consolidated.xls" TargetMode="External"/>
</Relationships>
</file>

<file path=xl/externalLinks/_rels/externalLink18.xml.rels><?xml version="1.0" encoding="UTF-8"?>
<Relationships xmlns="http://schemas.openxmlformats.org/package/2006/relationships"><Relationship Id="rId1" Type="http://schemas.openxmlformats.org/officeDocument/2006/relationships/externalLinkPath" Target="file://server/database/Krishan/Price_data_B&amp;K.xls" TargetMode="External"/>
</Relationships>
</file>

<file path=xl/externalLinks/_rels/externalLink19.xml.rels><?xml version="1.0" encoding="UTF-8"?>
<Relationships xmlns="http://schemas.openxmlformats.org/package/2006/relationships"><Relationship Id="rId1" Type="http://schemas.openxmlformats.org/officeDocument/2006/relationships/externalLinkPath" Target="../../../../../../../../Documents%20and%20Settings/Ankush/Desktop/Financial%20models/Models%20for%20Reference/model%201/model%201/Agri%20Logistics/Business%20Plan/Copy_of_%20FCI_Chennai_silo.xls" TargetMode="External"/>
</Relationships>
</file>

<file path=xl/externalLinks/_rels/externalLink20.xml.rels><?xml version="1.0" encoding="UTF-8"?>
<Relationships xmlns="http://schemas.openxmlformats.org/package/2006/relationships"><Relationship Id="rId1" Type="http://schemas.openxmlformats.org/officeDocument/2006/relationships/externalLinkPath" Target="file://Internet/f/June07_JJ/ACCOUNT/PRANAV/COD/CODDEC/DOCUME~1/kgshah/LOCALS~1/Temp/PCL.xls" TargetMode="External"/>
</Relationships>
</file>

<file path=xl/externalLinks/_rels/externalLink21.xml.rels><?xml version="1.0" encoding="UTF-8"?>
<Relationships xmlns="http://schemas.openxmlformats.org/package/2006/relationships"><Relationship Id="rId1" Type="http://schemas.openxmlformats.org/officeDocument/2006/relationships/externalLinkPath" Target="file://Internet/f/Research/srini/L&amp;t/LART-00.xls" TargetMode="External"/>
</Relationships>
</file>

<file path=xl/externalLinks/_rels/externalLink22.xml.rels><?xml version="1.0" encoding="UTF-8"?>
<Relationships xmlns="http://schemas.openxmlformats.org/package/2006/relationships"><Relationship Id="rId1" Type="http://schemas.openxmlformats.org/officeDocument/2006/relationships/externalLinkPath" Target="../../ExcelFiles/%08DDIC.XLS" TargetMode="External"/>
</Relationships>
</file>

<file path=xl/externalLinks/_rels/externalLink23.xml.rels><?xml version="1.0" encoding="UTF-8"?>
<Relationships xmlns="http://schemas.openxmlformats.org/package/2006/relationships"><Relationship Id="rId1" Type="http://schemas.openxmlformats.org/officeDocument/2006/relationships/externalLinkPath" Target="file://satisht/D/ar/fmcg/company%20itc/ITC%20model.xls" TargetMode="External"/>
</Relationships>
</file>

<file path=xl/externalLinks/_rels/externalLink24.xml.rels><?xml version="1.0" encoding="UTF-8"?>
<Relationships xmlns="http://schemas.openxmlformats.org/package/2006/relationships"><Relationship Id="rId1" Type="http://schemas.openxmlformats.org/officeDocument/2006/relationships/externalLinkPath" Target="../../ExcelFiles/GAEL-12mach_68cr_24INSTALLMENT.xls" TargetMode="External"/>
</Relationships>
</file>

<file path=xl/externalLinks/_rels/externalLink25.xml.rels><?xml version="1.0" encoding="UTF-8"?>
<Relationships xmlns="http://schemas.openxmlformats.org/package/2006/relationships"><Relationship Id="rId1" Type="http://schemas.openxmlformats.org/officeDocument/2006/relationships/externalLinkPath" Target="file://Anand/c/SCI/Latest%20Files_May18/Latest%20Internal/SCI_Char.xls" TargetMode="External"/>
</Relationships>
</file>

<file path=xl/externalLinks/_rels/externalLink26.xml.rels><?xml version="1.0" encoding="UTF-8"?>
<Relationships xmlns="http://schemas.openxmlformats.org/package/2006/relationships"><Relationship Id="rId1" Type="http://schemas.openxmlformats.org/officeDocument/2006/relationships/externalLinkPath" Target="file://IRESHK01D/PROJECTS/GENERAL/TELECOMS/VALUATION/valuation/New%20valuation/WEEKLYxls.xls" TargetMode="External"/>
</Relationships>
</file>

<file path=xl/externalLinks/_rels/externalLink27.xml.rels><?xml version="1.0" encoding="UTF-8"?>
<Relationships xmlns="http://schemas.openxmlformats.org/package/2006/relationships"><Relationship Id="rId1" Type="http://schemas.openxmlformats.org/officeDocument/2006/relationships/externalLinkPath" Target="file://Idiotbox/krutik/Documents%20and%20Settings/sunny/Local%20Settings/Temporary%20Internet%20Files/Content.IE5/4XEJ0PAF/SILOS.xls" TargetMode="External"/>
</Relationships>
</file>

<file path=xl/externalLinks/_rels/externalLink28.xml.rels><?xml version="1.0" encoding="UTF-8"?>
<Relationships xmlns="http://schemas.openxmlformats.org/package/2006/relationships"><Relationship Id="rId1" Type="http://schemas.openxmlformats.org/officeDocument/2006/relationships/externalLinkPath" Target="file://Internet/f/My%20Documents/70%2525%20stake_revised.xls" TargetMode="External"/>
</Relationships>
</file>

<file path=xl/externalLinks/_rels/externalLink29.xml.rels><?xml version="1.0" encoding="UTF-8"?>
<Relationships xmlns="http://schemas.openxmlformats.org/package/2006/relationships"><Relationship Id="rId1" Type="http://schemas.openxmlformats.org/officeDocument/2006/relationships/externalLinkPath" Target="../../../../../../../../S:/GROUP/Publications/EDM%20Project/RNetTemplateTools/ResNetUpdate%201a.xls" TargetMode="External"/>
</Relationships>
</file>

<file path=xl/externalLinks/_rels/externalLink30.xml.rels><?xml version="1.0" encoding="UTF-8"?>
<Relationships xmlns="http://schemas.openxmlformats.org/package/2006/relationships"><Relationship Id="rId1" Type="http://schemas.openxmlformats.org/officeDocument/2006/relationships/externalLinkPath" Target="file://satisht/D/ar/fmcg/company%20hll/hll%20model.xls" TargetMode="External"/>
</Relationships>
</file>

<file path=xl/externalLinks/_rels/externalLink31.xml.rels><?xml version="1.0" encoding="UTF-8"?>
<Relationships xmlns="http://schemas.openxmlformats.org/package/2006/relationships"><Relationship Id="rId1" Type="http://schemas.openxmlformats.org/officeDocument/2006/relationships/externalLinkPath" Target="file://Taher/TAHER_C/TEMP/TAHER/AUTOMAS.XLS" TargetMode="External"/>
</Relationships>
</file>

<file path=xl/externalLinks/_rels/externalLink32.xml.rels><?xml version="1.0" encoding="UTF-8"?>
<Relationships xmlns="http://schemas.openxmlformats.org/package/2006/relationships"><Relationship Id="rId1" Type="http://schemas.openxmlformats.org/officeDocument/2006/relationships/externalLinkPath" Target="../../../../../../../../Documents%20and%20Settings/Ankush/Desktop/Financial%20models/Models%20for%20Reference/model%201/model%201/Agri%20Logistics/Business%20Plan/Combined%20FCI_%20Model_COSTING.xls" TargetMode="External"/>
</Relationships>
</file>

<file path=xl/externalLinks/_rels/externalLink33.xml.rels><?xml version="1.0" encoding="UTF-8"?>
<Relationships xmlns="http://schemas.openxmlformats.org/package/2006/relationships"><Relationship Id="rId1" Type="http://schemas.openxmlformats.org/officeDocument/2006/relationships/externalLinkPath" Target="file://satisht/D/ar/fmcg/company%20britannia/brit%20model.xls" TargetMode="External"/>
</Relationships>
</file>

<file path=xl/externalLinks/_rels/externalLink34.xml.rels><?xml version="1.0" encoding="UTF-8"?>
<Relationships xmlns="http://schemas.openxmlformats.org/package/2006/relationships"><Relationship Id="rId1" Type="http://schemas.openxmlformats.org/officeDocument/2006/relationships/externalLinkPath" Target="file://PIFS/Research%20Group/Finance/Projects/infrastructure/Consolidated%20Model%20-%20June%202007_revised%20figs_Dec07.xls" TargetMode="External"/>
</Relationships>
</file>

<file path=xl/externalLinks/_rels/externalLink35.xml.rels><?xml version="1.0" encoding="UTF-8"?>
<Relationships xmlns="http://schemas.openxmlformats.org/package/2006/relationships"><Relationship Id="rId1" Type="http://schemas.openxmlformats.org/officeDocument/2006/relationships/externalLinkPath" Target="file://Internet/f/June07_JJ/Documents%20and%20Settings/sunny/My%20Documents/budget_ael/budget_new%20era/Budget_Desks_agro.xls" TargetMode="External"/>
</Relationships>
</file>

<file path=xl/externalLinks/_rels/externalLink36.xml.rels><?xml version="1.0" encoding="UTF-8"?>
<Relationships xmlns="http://schemas.openxmlformats.org/package/2006/relationships"><Relationship Id="rId1" Type="http://schemas.openxmlformats.org/officeDocument/2006/relationships/externalLinkPath" Target="../../ExcelFiles/EXP0405.xls" TargetMode="External"/>
</Relationships>
</file>

<file path=xl/externalLinks/_rels/externalLink37.xml.rels><?xml version="1.0" encoding="UTF-8"?>
<Relationships xmlns="http://schemas.openxmlformats.org/package/2006/relationships"><Relationship Id="rId1" Type="http://schemas.openxmlformats.org/officeDocument/2006/relationships/externalLinkPath" Target="file://PIFS/Research%20Group/sat/UTI/fmcg/company%20itc/industry%20data.xls" TargetMode="External"/>
</Relationships>
</file>

<file path=xl/externalLinks/_rels/externalLink38.xml.rels><?xml version="1.0" encoding="UTF-8"?>
<Relationships xmlns="http://schemas.openxmlformats.org/package/2006/relationships"><Relationship Id="rId1" Type="http://schemas.openxmlformats.org/officeDocument/2006/relationships/externalLinkPath" Target="file://PIFS/Research%20Group/Finance/Projects/agrilogistics/AALL_Fin_model_v%204.1.xls" TargetMode="External"/>
</Relationships>
</file>

<file path=xl/externalLinks/_rels/externalLink39.xml.rels><?xml version="1.0" encoding="UTF-8"?>
<Relationships xmlns="http://schemas.openxmlformats.org/package/2006/relationships"><Relationship Id="rId1" Type="http://schemas.openxmlformats.org/officeDocument/2006/relationships/externalLinkPath" Target="file://PIFS/Research%20Group/Rattina/Desktop/AALL/business%20model.xls" TargetMode="External"/>
</Relationships>
</file>

<file path=xl/externalLinks/_rels/externalLink40.xml.rels><?xml version="1.0" encoding="UTF-8"?>
<Relationships xmlns="http://schemas.openxmlformats.org/package/2006/relationships"><Relationship Id="rId1" Type="http://schemas.openxmlformats.org/officeDocument/2006/relationships/externalLinkPath" Target="file://BNPEQU/RESEARCH/1MATHUR/STEEL/TISCO/RYMD.XLS" TargetMode="External"/>
</Relationships>
</file>

<file path=xl/externalLinks/_rels/externalLink41.xml.rels><?xml version="1.0" encoding="UTF-8"?>
<Relationships xmlns="http://schemas.openxmlformats.org/package/2006/relationships"><Relationship Id="rId1" Type="http://schemas.openxmlformats.org/officeDocument/2006/relationships/externalLinkPath" Target="file://Internet/f/DOCUME~1/SIDHAR~1/LOCALS~1/Temp/notes758E9C/Pendrive/Textiles/welspunmoti.xls" TargetMode="External"/>
</Relationships>
</file>

<file path=xl/externalLinks/_rels/externalLink42.xml.rels><?xml version="1.0" encoding="UTF-8"?>
<Relationships xmlns="http://schemas.openxmlformats.org/package/2006/relationships"><Relationship Id="rId1" Type="http://schemas.openxmlformats.org/officeDocument/2006/relationships/externalLinkPath" Target="file://Kewal/2004/2004/Treasury/PCL.xls" TargetMode="External"/>
</Relationships>
</file>

<file path=xl/externalLinks/_rels/externalLink43.xml.rels><?xml version="1.0" encoding="UTF-8"?>
<Relationships xmlns="http://schemas.openxmlformats.org/package/2006/relationships"><Relationship Id="rId1" Type="http://schemas.openxmlformats.org/officeDocument/2006/relationships/externalLinkPath" Target="file://server/Public/My%20Documents/70%2525%20stake.xls" TargetMode="External"/>
</Relationships>
</file>

<file path=xl/externalLinks/_rels/externalLink44.xml.rels><?xml version="1.0" encoding="UTF-8"?>
<Relationships xmlns="http://schemas.openxmlformats.org/package/2006/relationships"><Relationship Id="rId1" Type="http://schemas.openxmlformats.org/officeDocument/2006/relationships/externalLinkPath" Target="file://Abhay/c/USERS/NEELESH/TELECOM/VSNL/VSNL.XLS" TargetMode="External"/>
</Relationships>
</file>

<file path=xl/externalLinks/_rels/externalLink45.xml.rels><?xml version="1.0" encoding="UTF-8"?>
<Relationships xmlns="http://schemas.openxmlformats.org/package/2006/relationships"><Relationship Id="rId1"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Relationships>
</file>

<file path=xl/externalLinks/_rels/externalLink46.xml.rels><?xml version="1.0" encoding="UTF-8"?>
<Relationships xmlns="http://schemas.openxmlformats.org/package/2006/relationships"><Relationship Id="rId1"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Relationships>
</file>

<file path=xl/externalLinks/_rels/externalLink47.xml.rels><?xml version="1.0" encoding="UTF-8"?>
<Relationships xmlns="http://schemas.openxmlformats.org/package/2006/relationships"><Relationship Id="rId1" Type="http://schemas.openxmlformats.org/officeDocument/2006/relationships/externalLinkPath" Target="file://Capita/c/My%20Documents/Project/ITC%20Ltd.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ulses"/>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Pulses"/>
    </sheetNames>
    <sheetDataSet>
      <sheetData sheetId="0"/>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70% stake_revised"/>
      <sheetName val="Financials"/>
    </sheetNames>
    <sheetDataSet>
      <sheetData sheetId="0"/>
      <sheetData sheetId="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TR"/>
    </sheetNames>
    <sheetDataSet>
      <sheetData sheetId="0"/>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Introduction"/>
    </sheetNames>
    <sheetDataSet>
      <sheetData sheetId="0"/>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proschoolonline.com/"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5.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7.xml"/>
</Relationships>
</file>

<file path=xl/worksheets/_rels/sheet7.xml.rels><?xml version="1.0" encoding="UTF-8"?>
<Relationships xmlns="http://schemas.openxmlformats.org/package/2006/relationships"><Relationship Id="rId1" Type="http://schemas.openxmlformats.org/officeDocument/2006/relationships/drawing" Target="../drawings/drawing8.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875" defaultRowHeight="15" zeroHeight="true" outlineLevelRow="0" outlineLevelCol="0"/>
  <cols>
    <col collapsed="false" customWidth="false" hidden="true" outlineLevel="0" max="16384" min="9" style="0" width="8.97"/>
  </cols>
  <sheetData>
    <row r="1" customFormat="false" ht="15" hidden="false" customHeight="false" outlineLevel="0" collapsed="false">
      <c r="A1" s="1"/>
      <c r="B1" s="1"/>
      <c r="C1" s="1"/>
      <c r="D1" s="1"/>
      <c r="E1" s="1"/>
      <c r="F1" s="1"/>
      <c r="G1" s="1"/>
      <c r="H1" s="1"/>
    </row>
    <row r="2" customFormat="false" ht="15" hidden="false" customHeight="false" outlineLevel="0" collapsed="false">
      <c r="A2" s="1"/>
      <c r="B2" s="1"/>
      <c r="C2" s="1"/>
      <c r="D2" s="1"/>
      <c r="E2" s="1"/>
      <c r="F2" s="1"/>
      <c r="G2" s="1"/>
      <c r="H2" s="1"/>
    </row>
    <row r="3" customFormat="false" ht="28.5" hidden="false" customHeight="false" outlineLevel="0" collapsed="false">
      <c r="A3" s="1"/>
      <c r="B3" s="1"/>
      <c r="C3" s="1"/>
      <c r="D3" s="1"/>
      <c r="E3" s="2" t="s">
        <v>0</v>
      </c>
      <c r="F3" s="1"/>
      <c r="G3" s="1"/>
      <c r="H3" s="1"/>
    </row>
    <row r="4" customFormat="false" ht="15" hidden="false" customHeight="false" outlineLevel="0" collapsed="false">
      <c r="A4" s="1"/>
      <c r="B4" s="1"/>
      <c r="C4" s="1"/>
      <c r="D4" s="1"/>
      <c r="E4" s="1"/>
      <c r="F4" s="1"/>
      <c r="G4" s="1"/>
      <c r="H4" s="1"/>
    </row>
    <row r="5" customFormat="false" ht="42" hidden="false" customHeight="false" outlineLevel="0" collapsed="false">
      <c r="A5" s="1"/>
      <c r="B5" s="1"/>
      <c r="C5" s="1"/>
      <c r="D5" s="1"/>
      <c r="E5" s="3" t="s">
        <v>1</v>
      </c>
      <c r="F5" s="1"/>
      <c r="G5" s="1"/>
      <c r="H5" s="1"/>
    </row>
    <row r="6" customFormat="false" ht="15" hidden="false" customHeight="false" outlineLevel="0" collapsed="false">
      <c r="A6" s="1"/>
      <c r="B6" s="1"/>
      <c r="C6" s="1"/>
      <c r="D6" s="1"/>
      <c r="E6" s="4" t="s">
        <v>2</v>
      </c>
      <c r="F6" s="1"/>
      <c r="G6" s="1"/>
      <c r="H6" s="1"/>
    </row>
    <row r="7" customFormat="false" ht="15" hidden="false" customHeight="false" outlineLevel="0" collapsed="false">
      <c r="A7" s="1"/>
      <c r="B7" s="1"/>
      <c r="C7" s="1"/>
      <c r="D7" s="1"/>
      <c r="E7" s="4"/>
      <c r="F7" s="1"/>
      <c r="G7" s="1"/>
      <c r="H7" s="1"/>
    </row>
    <row r="8" customFormat="false" ht="15" hidden="false" customHeight="false" outlineLevel="0" collapsed="false">
      <c r="A8" s="1"/>
      <c r="B8" s="1"/>
      <c r="C8" s="1"/>
      <c r="D8" s="1"/>
      <c r="E8" s="1"/>
      <c r="F8" s="1"/>
      <c r="G8" s="1"/>
      <c r="H8" s="1"/>
    </row>
    <row r="9" customFormat="false" ht="15" hidden="false" customHeight="false" outlineLevel="0" collapsed="false">
      <c r="A9" s="1"/>
      <c r="B9" s="1"/>
      <c r="C9" s="1"/>
      <c r="D9" s="1"/>
      <c r="E9" s="1"/>
      <c r="F9" s="1"/>
      <c r="G9" s="1"/>
      <c r="H9" s="1"/>
    </row>
    <row r="10" customFormat="false" ht="15" hidden="false" customHeight="false" outlineLevel="0" collapsed="false">
      <c r="A10" s="1"/>
      <c r="B10" s="1"/>
      <c r="C10" s="1"/>
      <c r="D10" s="1"/>
      <c r="E10" s="1"/>
      <c r="F10" s="1"/>
      <c r="G10" s="1"/>
      <c r="H10" s="1"/>
    </row>
    <row r="11" customFormat="false" ht="15" hidden="false" customHeight="false" outlineLevel="0" collapsed="false">
      <c r="A11" s="1"/>
      <c r="B11" s="1"/>
      <c r="C11" s="1"/>
      <c r="D11" s="1"/>
      <c r="E11" s="1"/>
      <c r="F11" s="1"/>
      <c r="G11" s="1"/>
      <c r="H11" s="1"/>
    </row>
    <row r="12" customFormat="false" ht="15" hidden="false" customHeight="false" outlineLevel="0" collapsed="false">
      <c r="A12" s="1"/>
      <c r="B12" s="1"/>
      <c r="C12" s="1"/>
      <c r="D12" s="1"/>
      <c r="E12" s="1"/>
      <c r="F12" s="1"/>
      <c r="G12" s="1"/>
      <c r="H12" s="1"/>
    </row>
    <row r="13" customFormat="false" ht="15" hidden="false" customHeight="false" outlineLevel="0" collapsed="false">
      <c r="A13" s="1"/>
      <c r="B13" s="1"/>
      <c r="C13" s="1"/>
      <c r="D13" s="1"/>
      <c r="E13" s="1"/>
      <c r="F13" s="1"/>
      <c r="G13" s="1"/>
      <c r="H13" s="1"/>
    </row>
    <row r="14" customFormat="false" ht="15" hidden="false" customHeight="false" outlineLevel="0" collapsed="false">
      <c r="A14" s="1"/>
      <c r="B14" s="1"/>
      <c r="C14" s="1"/>
      <c r="D14" s="1"/>
      <c r="E14" s="1"/>
      <c r="F14" s="1"/>
      <c r="G14" s="1"/>
      <c r="H14" s="1"/>
    </row>
    <row r="15" customFormat="false" ht="15" hidden="false" customHeight="false" outlineLevel="0" collapsed="false">
      <c r="A15" s="1"/>
      <c r="B15" s="1"/>
      <c r="C15" s="1"/>
      <c r="D15" s="1"/>
      <c r="E15" s="5" t="s">
        <v>3</v>
      </c>
      <c r="F15" s="1"/>
      <c r="G15" s="1"/>
      <c r="H15" s="1"/>
    </row>
    <row r="16" customFormat="false" ht="15" hidden="false" customHeight="false" outlineLevel="0" collapsed="false">
      <c r="A16" s="1"/>
      <c r="B16" s="1"/>
      <c r="C16" s="1"/>
      <c r="D16" s="1"/>
      <c r="E16" s="6" t="s">
        <v>4</v>
      </c>
      <c r="F16" s="1"/>
      <c r="G16" s="1"/>
      <c r="H16" s="1"/>
    </row>
    <row r="17" customFormat="false" ht="15" hidden="false" customHeight="false" outlineLevel="0" collapsed="false">
      <c r="A17" s="1"/>
      <c r="B17" s="1"/>
      <c r="C17" s="1"/>
      <c r="D17" s="1"/>
      <c r="E17" s="6"/>
      <c r="F17" s="1"/>
      <c r="G17" s="1"/>
      <c r="H17" s="1"/>
    </row>
    <row r="18" customFormat="false" ht="15" hidden="false" customHeight="false" outlineLevel="0" collapsed="false">
      <c r="A18" s="1"/>
      <c r="B18" s="1"/>
      <c r="C18" s="1"/>
      <c r="D18" s="1"/>
      <c r="E18" s="6" t="s">
        <v>5</v>
      </c>
      <c r="F18" s="1"/>
      <c r="G18" s="1"/>
      <c r="H18" s="1"/>
    </row>
    <row r="19" customFormat="false" ht="15" hidden="false" customHeight="false" outlineLevel="0" collapsed="false">
      <c r="A19" s="1"/>
      <c r="B19" s="1"/>
      <c r="C19" s="1"/>
      <c r="D19" s="1"/>
      <c r="E19" s="7"/>
      <c r="F19" s="1"/>
      <c r="G19" s="1"/>
      <c r="H19" s="1"/>
    </row>
    <row r="20" customFormat="false" ht="15" hidden="false" customHeight="false" outlineLevel="0" collapsed="false">
      <c r="A20" s="1"/>
      <c r="B20" s="1"/>
      <c r="C20" s="1"/>
      <c r="D20" s="1"/>
      <c r="E20" s="8" t="s">
        <v>6</v>
      </c>
      <c r="F20" s="1"/>
      <c r="G20" s="1"/>
      <c r="H20" s="1"/>
    </row>
    <row r="21" customFormat="false" ht="15" hidden="false" customHeight="false" outlineLevel="0" collapsed="false">
      <c r="A21" s="1"/>
      <c r="B21" s="1"/>
      <c r="C21" s="1"/>
      <c r="D21" s="1"/>
      <c r="E21" s="8" t="s">
        <v>7</v>
      </c>
      <c r="F21" s="1"/>
      <c r="G21" s="1"/>
      <c r="H21" s="1"/>
    </row>
    <row r="22" customFormat="false" ht="15" hidden="false" customHeight="false" outlineLevel="0" collapsed="false">
      <c r="A22" s="1"/>
      <c r="B22" s="1"/>
      <c r="C22" s="1"/>
      <c r="D22" s="1"/>
      <c r="E22" s="8" t="s">
        <v>8</v>
      </c>
      <c r="F22" s="1"/>
      <c r="G22" s="1"/>
      <c r="H22" s="1"/>
    </row>
    <row r="23" customFormat="false" ht="15" hidden="false" customHeight="false" outlineLevel="0" collapsed="false">
      <c r="A23" s="1"/>
      <c r="B23" s="1"/>
      <c r="C23" s="1"/>
      <c r="D23" s="1"/>
      <c r="E23" s="8" t="s">
        <v>9</v>
      </c>
      <c r="F23" s="1"/>
      <c r="G23" s="1"/>
      <c r="H23" s="1"/>
    </row>
    <row r="24" customFormat="false" ht="15" hidden="false" customHeight="false" outlineLevel="0" collapsed="false">
      <c r="A24" s="1"/>
      <c r="B24" s="1"/>
      <c r="C24" s="1"/>
      <c r="D24" s="1"/>
      <c r="E24" s="6" t="s">
        <v>10</v>
      </c>
      <c r="F24" s="1"/>
      <c r="G24" s="1"/>
      <c r="H24" s="1"/>
    </row>
    <row r="25" customFormat="false" ht="15" hidden="false" customHeight="false" outlineLevel="0" collapsed="false">
      <c r="A25" s="1"/>
      <c r="B25" s="1"/>
      <c r="C25" s="1"/>
      <c r="D25" s="1"/>
      <c r="E25" s="8" t="s">
        <v>11</v>
      </c>
      <c r="F25" s="1"/>
      <c r="G25" s="1"/>
      <c r="H25" s="1"/>
    </row>
    <row r="26" customFormat="false" ht="15" hidden="true" customHeight="false" outlineLevel="0" collapsed="false">
      <c r="A26" s="1"/>
      <c r="B26" s="1"/>
      <c r="C26" s="1"/>
      <c r="D26" s="1"/>
      <c r="E26" s="1"/>
      <c r="F26" s="1"/>
      <c r="G26" s="1"/>
      <c r="H26" s="1"/>
    </row>
  </sheetData>
  <sheetProtection sheet="true" password="ccc5" objects="true" scenarios="true"/>
  <hyperlinks>
    <hyperlink ref="E15" r:id="rId1" display="http://proschoolonline.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A28:IV65536"/>
    </sheetView>
  </sheetViews>
  <sheetFormatPr defaultColWidth="9.13671875" defaultRowHeight="15" zeroHeight="true" outlineLevelRow="0" outlineLevelCol="0"/>
  <cols>
    <col collapsed="false" customWidth="false" hidden="false" outlineLevel="0" max="12" min="1" style="1" width="9.13"/>
    <col collapsed="false" customWidth="false" hidden="true" outlineLevel="0" max="257" min="13" style="1" width="9.13"/>
  </cols>
  <sheetData>
    <row r="1" customFormat="false" ht="18" hidden="false" customHeight="false" outlineLevel="0" collapsed="false">
      <c r="A1" s="9" t="s">
        <v>12</v>
      </c>
      <c r="B1" s="10"/>
      <c r="C1" s="10"/>
      <c r="D1" s="10"/>
      <c r="E1" s="10"/>
      <c r="F1" s="10"/>
      <c r="G1" s="10"/>
      <c r="H1" s="10"/>
      <c r="I1" s="10"/>
      <c r="J1" s="10"/>
      <c r="K1" s="10"/>
      <c r="L1" s="11"/>
    </row>
    <row r="2" customFormat="false" ht="15" hidden="false" customHeight="false" outlineLevel="0" collapsed="false">
      <c r="A2" s="12"/>
      <c r="B2" s="12"/>
      <c r="C2" s="12"/>
      <c r="D2" s="12"/>
      <c r="E2" s="12"/>
      <c r="F2" s="12"/>
      <c r="G2" s="12"/>
      <c r="H2" s="12"/>
      <c r="I2" s="12"/>
      <c r="J2" s="12"/>
      <c r="K2" s="12"/>
      <c r="L2" s="13"/>
    </row>
    <row r="3" customFormat="false" ht="15" hidden="false" customHeight="true" outlineLevel="0" collapsed="false">
      <c r="A3" s="14" t="s">
        <v>13</v>
      </c>
      <c r="B3" s="14"/>
      <c r="C3" s="14"/>
      <c r="D3" s="14"/>
      <c r="E3" s="14"/>
      <c r="F3" s="14"/>
      <c r="G3" s="14"/>
      <c r="H3" s="14"/>
      <c r="I3" s="14"/>
      <c r="J3" s="14"/>
      <c r="K3" s="14"/>
      <c r="L3" s="14"/>
    </row>
    <row r="4" customFormat="false" ht="15" hidden="false" customHeight="false" outlineLevel="0" collapsed="false">
      <c r="A4" s="14"/>
      <c r="B4" s="14"/>
      <c r="C4" s="14"/>
      <c r="D4" s="14"/>
      <c r="E4" s="14"/>
      <c r="F4" s="14"/>
      <c r="G4" s="14"/>
      <c r="H4" s="14"/>
      <c r="I4" s="14"/>
      <c r="J4" s="14"/>
      <c r="K4" s="14"/>
      <c r="L4" s="14"/>
    </row>
    <row r="5" customFormat="false" ht="15" hidden="false" customHeight="false" outlineLevel="0" collapsed="false">
      <c r="A5" s="14"/>
      <c r="B5" s="14"/>
      <c r="C5" s="14"/>
      <c r="D5" s="14"/>
      <c r="E5" s="14"/>
      <c r="F5" s="14"/>
      <c r="G5" s="14"/>
      <c r="H5" s="14"/>
      <c r="I5" s="14"/>
      <c r="J5" s="14"/>
      <c r="K5" s="14"/>
      <c r="L5" s="14"/>
    </row>
    <row r="6" customFormat="false" ht="15" hidden="false" customHeight="false" outlineLevel="0" collapsed="false">
      <c r="A6" s="14"/>
      <c r="B6" s="14"/>
      <c r="C6" s="14"/>
      <c r="D6" s="14"/>
      <c r="E6" s="14"/>
      <c r="F6" s="14"/>
      <c r="G6" s="14"/>
      <c r="H6" s="14"/>
      <c r="I6" s="14"/>
      <c r="J6" s="14"/>
      <c r="K6" s="14"/>
      <c r="L6" s="14"/>
    </row>
    <row r="7" customFormat="false" ht="15" hidden="false" customHeight="false" outlineLevel="0" collapsed="false">
      <c r="A7" s="14"/>
      <c r="B7" s="14"/>
      <c r="C7" s="14"/>
      <c r="D7" s="14"/>
      <c r="E7" s="14"/>
      <c r="F7" s="14"/>
      <c r="G7" s="14"/>
      <c r="H7" s="14"/>
      <c r="I7" s="14"/>
      <c r="J7" s="14"/>
      <c r="K7" s="14"/>
      <c r="L7" s="14"/>
    </row>
    <row r="8" customFormat="false" ht="15" hidden="false" customHeight="false" outlineLevel="0" collapsed="false">
      <c r="A8" s="14"/>
      <c r="B8" s="14"/>
      <c r="C8" s="14"/>
      <c r="D8" s="14"/>
      <c r="E8" s="14"/>
      <c r="F8" s="14"/>
      <c r="G8" s="14"/>
      <c r="H8" s="14"/>
      <c r="I8" s="14"/>
      <c r="J8" s="14"/>
      <c r="K8" s="14"/>
      <c r="L8" s="14"/>
    </row>
    <row r="9" customFormat="false" ht="15" hidden="false" customHeight="false" outlineLevel="0" collapsed="false">
      <c r="A9" s="14"/>
      <c r="B9" s="14"/>
      <c r="C9" s="14"/>
      <c r="D9" s="14"/>
      <c r="E9" s="14"/>
      <c r="F9" s="14"/>
      <c r="G9" s="14"/>
      <c r="H9" s="14"/>
      <c r="I9" s="14"/>
      <c r="J9" s="14"/>
      <c r="K9" s="14"/>
      <c r="L9" s="14"/>
    </row>
    <row r="10" customFormat="false" ht="15" hidden="false" customHeight="false" outlineLevel="0" collapsed="false">
      <c r="A10" s="14"/>
      <c r="B10" s="14"/>
      <c r="C10" s="14"/>
      <c r="D10" s="14"/>
      <c r="E10" s="14"/>
      <c r="F10" s="14"/>
      <c r="G10" s="14"/>
      <c r="H10" s="14"/>
      <c r="I10" s="14"/>
      <c r="J10" s="14"/>
      <c r="K10" s="14"/>
      <c r="L10" s="14"/>
    </row>
    <row r="11" customFormat="false" ht="15" hidden="false" customHeight="false" outlineLevel="0" collapsed="false">
      <c r="A11" s="14"/>
      <c r="B11" s="14"/>
      <c r="C11" s="14"/>
      <c r="D11" s="14"/>
      <c r="E11" s="14"/>
      <c r="F11" s="14"/>
      <c r="G11" s="14"/>
      <c r="H11" s="14"/>
      <c r="I11" s="14"/>
      <c r="J11" s="14"/>
      <c r="K11" s="14"/>
      <c r="L11" s="14"/>
    </row>
    <row r="12" customFormat="false" ht="15" hidden="false" customHeight="false" outlineLevel="0" collapsed="false">
      <c r="A12" s="14"/>
      <c r="B12" s="14"/>
      <c r="C12" s="14"/>
      <c r="D12" s="14"/>
      <c r="E12" s="14"/>
      <c r="F12" s="14"/>
      <c r="G12" s="14"/>
      <c r="H12" s="14"/>
      <c r="I12" s="14"/>
      <c r="J12" s="14"/>
      <c r="K12" s="14"/>
      <c r="L12" s="14"/>
    </row>
    <row r="13" customFormat="false" ht="15" hidden="false" customHeight="false" outlineLevel="0" collapsed="false">
      <c r="A13" s="14"/>
      <c r="B13" s="14"/>
      <c r="C13" s="14"/>
      <c r="D13" s="14"/>
      <c r="E13" s="14"/>
      <c r="F13" s="14"/>
      <c r="G13" s="14"/>
      <c r="H13" s="14"/>
      <c r="I13" s="14"/>
      <c r="J13" s="14"/>
      <c r="K13" s="14"/>
      <c r="L13" s="14"/>
    </row>
    <row r="14" customFormat="false" ht="15" hidden="false" customHeight="false" outlineLevel="0" collapsed="false">
      <c r="A14" s="14"/>
      <c r="B14" s="14"/>
      <c r="C14" s="14"/>
      <c r="D14" s="14"/>
      <c r="E14" s="14"/>
      <c r="F14" s="14"/>
      <c r="G14" s="14"/>
      <c r="H14" s="14"/>
      <c r="I14" s="14"/>
      <c r="J14" s="14"/>
      <c r="K14" s="14"/>
      <c r="L14" s="14"/>
    </row>
    <row r="15" customFormat="false" ht="15" hidden="false" customHeight="false" outlineLevel="0" collapsed="false">
      <c r="A15" s="14"/>
      <c r="B15" s="14"/>
      <c r="C15" s="14"/>
      <c r="D15" s="14"/>
      <c r="E15" s="14"/>
      <c r="F15" s="14"/>
      <c r="G15" s="14"/>
      <c r="H15" s="14"/>
      <c r="I15" s="14"/>
      <c r="J15" s="14"/>
      <c r="K15" s="14"/>
      <c r="L15" s="14"/>
    </row>
    <row r="16" customFormat="false" ht="15" hidden="false" customHeight="false" outlineLevel="0" collapsed="false">
      <c r="A16" s="14"/>
      <c r="B16" s="14"/>
      <c r="C16" s="14"/>
      <c r="D16" s="14"/>
      <c r="E16" s="14"/>
      <c r="F16" s="14"/>
      <c r="G16" s="14"/>
      <c r="H16" s="14"/>
      <c r="I16" s="14"/>
      <c r="J16" s="14"/>
      <c r="K16" s="14"/>
      <c r="L16" s="14"/>
    </row>
    <row r="17" customFormat="false" ht="15" hidden="false" customHeight="false" outlineLevel="0" collapsed="false">
      <c r="A17" s="15"/>
      <c r="B17" s="15"/>
      <c r="C17" s="15"/>
      <c r="D17" s="15"/>
      <c r="E17" s="15"/>
      <c r="F17" s="15"/>
      <c r="G17" s="15"/>
      <c r="H17" s="15"/>
      <c r="I17" s="15"/>
      <c r="J17" s="15"/>
      <c r="K17" s="15"/>
      <c r="L17" s="16"/>
    </row>
    <row r="18" customFormat="false" ht="15" hidden="false" customHeight="false" outlineLevel="0" collapsed="false">
      <c r="A18" s="15"/>
      <c r="B18" s="15"/>
      <c r="C18" s="15"/>
      <c r="D18" s="15"/>
      <c r="E18" s="15"/>
      <c r="F18" s="15"/>
      <c r="G18" s="15"/>
      <c r="H18" s="15"/>
      <c r="I18" s="15"/>
      <c r="J18" s="15"/>
      <c r="K18" s="15"/>
      <c r="L18" s="16"/>
    </row>
    <row r="19" customFormat="false" ht="15" hidden="false" customHeight="false" outlineLevel="0" collapsed="false">
      <c r="A19" s="15"/>
      <c r="B19" s="15"/>
      <c r="C19" s="15"/>
      <c r="D19" s="15"/>
      <c r="E19" s="15"/>
      <c r="F19" s="15"/>
      <c r="G19" s="15"/>
      <c r="H19" s="15"/>
      <c r="I19" s="15"/>
      <c r="J19" s="15"/>
      <c r="K19" s="15"/>
      <c r="L19" s="16"/>
    </row>
    <row r="20" customFormat="false" ht="15" hidden="false" customHeight="false" outlineLevel="0" collapsed="false">
      <c r="A20" s="17"/>
      <c r="B20" s="17"/>
      <c r="C20" s="17"/>
      <c r="D20" s="17"/>
      <c r="E20" s="17"/>
      <c r="F20" s="17"/>
      <c r="G20" s="17"/>
      <c r="H20" s="17"/>
      <c r="I20" s="18" t="s">
        <v>6</v>
      </c>
      <c r="K20" s="17"/>
      <c r="L20" s="14"/>
    </row>
    <row r="21" customFormat="false" ht="15" hidden="false" customHeight="false" outlineLevel="0" collapsed="false">
      <c r="A21" s="17"/>
      <c r="B21" s="17"/>
      <c r="C21" s="17"/>
      <c r="D21" s="17"/>
      <c r="E21" s="17"/>
      <c r="F21" s="17"/>
      <c r="G21" s="17"/>
      <c r="H21" s="17"/>
      <c r="I21" s="18" t="s">
        <v>7</v>
      </c>
      <c r="K21" s="17"/>
      <c r="L21" s="14"/>
    </row>
    <row r="22" customFormat="false" ht="15" hidden="false" customHeight="false" outlineLevel="0" collapsed="false">
      <c r="A22" s="12"/>
      <c r="B22" s="12"/>
      <c r="C22" s="12"/>
      <c r="D22" s="12"/>
      <c r="E22" s="12"/>
      <c r="F22" s="12"/>
      <c r="G22" s="12"/>
      <c r="H22" s="12"/>
      <c r="I22" s="18" t="s">
        <v>8</v>
      </c>
      <c r="K22" s="12"/>
      <c r="L22" s="13"/>
    </row>
    <row r="23" customFormat="false" ht="15" hidden="false" customHeight="false" outlineLevel="0" collapsed="false">
      <c r="A23" s="12"/>
      <c r="B23" s="12"/>
      <c r="C23" s="12"/>
      <c r="D23" s="12"/>
      <c r="E23" s="12"/>
      <c r="F23" s="12"/>
      <c r="G23" s="12"/>
      <c r="H23" s="12"/>
      <c r="I23" s="18" t="s">
        <v>9</v>
      </c>
      <c r="K23" s="12"/>
      <c r="L23" s="13"/>
    </row>
    <row r="24" customFormat="false" ht="15" hidden="false" customHeight="false" outlineLevel="0" collapsed="false">
      <c r="A24" s="12"/>
      <c r="B24" s="19"/>
      <c r="C24" s="12"/>
      <c r="D24" s="12"/>
      <c r="E24" s="12"/>
      <c r="F24" s="12"/>
      <c r="G24" s="12"/>
      <c r="H24" s="12"/>
      <c r="I24" s="20" t="s">
        <v>10</v>
      </c>
      <c r="K24" s="12"/>
      <c r="L24" s="13"/>
    </row>
    <row r="25" customFormat="false" ht="15" hidden="false" customHeight="false" outlineLevel="0" collapsed="false">
      <c r="A25" s="12"/>
      <c r="B25" s="12"/>
      <c r="C25" s="12"/>
      <c r="D25" s="12"/>
      <c r="E25" s="12"/>
      <c r="F25" s="12"/>
      <c r="G25" s="12"/>
      <c r="H25" s="12"/>
      <c r="I25" s="18" t="s">
        <v>11</v>
      </c>
      <c r="K25" s="12"/>
      <c r="L25" s="13"/>
    </row>
    <row r="26" customFormat="false" ht="15" hidden="false" customHeight="false" outlineLevel="0" collapsed="false">
      <c r="A26" s="12"/>
      <c r="B26" s="12"/>
      <c r="C26" s="12"/>
      <c r="D26" s="12"/>
      <c r="E26" s="12"/>
      <c r="F26" s="12"/>
      <c r="G26" s="12"/>
      <c r="H26" s="12"/>
      <c r="I26" s="19" t="s">
        <v>14</v>
      </c>
      <c r="J26" s="12"/>
      <c r="K26" s="12"/>
      <c r="L26" s="13"/>
    </row>
    <row r="27" customFormat="false" ht="15.75" hidden="false" customHeight="false" outlineLevel="0" collapsed="false">
      <c r="A27" s="21"/>
      <c r="B27" s="21"/>
      <c r="C27" s="21"/>
      <c r="D27" s="21"/>
      <c r="E27" s="21"/>
      <c r="F27" s="21"/>
      <c r="G27" s="21"/>
      <c r="H27" s="21"/>
      <c r="I27" s="22"/>
      <c r="J27" s="21"/>
      <c r="K27" s="21"/>
      <c r="L27" s="23"/>
    </row>
    <row r="28" customFormat="false" ht="15" hidden="true" customHeight="false" outlineLevel="0" collapsed="false">
      <c r="A28" s="12"/>
      <c r="B28" s="19"/>
      <c r="C28" s="12"/>
      <c r="D28" s="12"/>
      <c r="E28" s="12"/>
      <c r="F28" s="12"/>
      <c r="G28" s="12"/>
      <c r="H28" s="12"/>
      <c r="I28" s="12"/>
      <c r="J28" s="12"/>
      <c r="K28" s="12"/>
      <c r="L28" s="12"/>
    </row>
    <row r="29" customFormat="false" ht="15" hidden="true" customHeight="false" outlineLevel="0" collapsed="false">
      <c r="A29" s="24"/>
      <c r="B29" s="24"/>
      <c r="C29" s="24"/>
      <c r="D29" s="24"/>
      <c r="E29" s="24"/>
      <c r="F29" s="24"/>
      <c r="G29" s="24"/>
      <c r="H29" s="24"/>
      <c r="I29" s="24"/>
      <c r="J29" s="24"/>
      <c r="K29" s="24"/>
      <c r="L29" s="24"/>
    </row>
    <row r="30" customFormat="false" ht="15" hidden="true" customHeight="false" outlineLevel="0" collapsed="false">
      <c r="A30" s="24"/>
      <c r="B30" s="24"/>
      <c r="C30" s="24"/>
      <c r="D30" s="24"/>
      <c r="E30" s="24"/>
      <c r="F30" s="24"/>
      <c r="G30" s="24"/>
      <c r="H30" s="24"/>
      <c r="I30" s="24"/>
      <c r="J30" s="24"/>
      <c r="K30" s="24"/>
      <c r="L30" s="24"/>
    </row>
    <row r="31" customFormat="false" ht="15" hidden="true" customHeight="false" outlineLevel="0" collapsed="false">
      <c r="A31" s="24"/>
      <c r="B31" s="24"/>
      <c r="C31" s="24"/>
      <c r="D31" s="24"/>
      <c r="E31" s="24"/>
      <c r="F31" s="24"/>
      <c r="G31" s="24"/>
      <c r="H31" s="24"/>
      <c r="I31" s="24"/>
      <c r="J31" s="24"/>
      <c r="K31" s="24"/>
      <c r="L31" s="24"/>
    </row>
  </sheetData>
  <sheetProtection sheet="true" password="ccc5" objects="true" scenarios="true"/>
  <mergeCells count="2">
    <mergeCell ref="A3:L16"/>
    <mergeCell ref="A29:L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false"/>
  </sheetPr>
  <dimension ref="A1:AG89"/>
  <sheetViews>
    <sheetView showFormulas="false" showGridLines="false" showRowColHeaders="true" showZeros="true" rightToLeft="false" tabSelected="false" showOutlineSymbols="true" defaultGridColor="true" view="normal" topLeftCell="A13" colorId="64" zoomScale="110" zoomScaleNormal="110" zoomScalePageLayoutView="100" workbookViewId="0">
      <selection pane="topLeft" activeCell="F26" activeCellId="0" sqref="F26"/>
    </sheetView>
  </sheetViews>
  <sheetFormatPr defaultColWidth="8.96875" defaultRowHeight="15" zeroHeight="false" outlineLevelRow="0" outlineLevelCol="0"/>
  <cols>
    <col collapsed="false" customWidth="true" hidden="false" outlineLevel="0" max="1" min="1" style="0" width="19.56"/>
    <col collapsed="false" customWidth="true" hidden="false" outlineLevel="0" max="2" min="2" style="0" width="9.99"/>
    <col collapsed="false" customWidth="true" hidden="false" outlineLevel="0" max="5" min="5" style="0" width="9.13"/>
  </cols>
  <sheetData>
    <row r="1" s="32" customFormat="true" ht="30" hidden="false" customHeight="true" outlineLevel="0" collapsed="false">
      <c r="A1" s="25" t="s">
        <v>15</v>
      </c>
      <c r="B1" s="26"/>
      <c r="C1" s="27"/>
      <c r="D1" s="28"/>
      <c r="E1" s="28"/>
      <c r="F1" s="28"/>
      <c r="G1" s="28"/>
      <c r="H1" s="26"/>
      <c r="I1" s="26"/>
      <c r="J1" s="29"/>
      <c r="K1" s="29"/>
      <c r="L1" s="29"/>
      <c r="M1" s="29"/>
      <c r="N1" s="28"/>
      <c r="O1" s="26"/>
      <c r="P1" s="26"/>
      <c r="Q1" s="28"/>
      <c r="R1" s="28"/>
      <c r="S1" s="30"/>
      <c r="T1" s="27"/>
      <c r="U1" s="30"/>
      <c r="V1" s="30"/>
      <c r="W1" s="26"/>
      <c r="X1" s="28"/>
      <c r="Y1" s="28"/>
      <c r="Z1" s="30"/>
      <c r="AA1" s="27"/>
      <c r="AB1" s="30"/>
      <c r="AC1" s="30"/>
      <c r="AD1" s="27"/>
      <c r="AE1" s="27"/>
      <c r="AF1" s="27"/>
      <c r="AG1" s="31"/>
    </row>
    <row r="2" customFormat="false" ht="15" hidden="false" customHeight="false" outlineLevel="0" collapsed="false">
      <c r="A2" s="33" t="s">
        <v>16</v>
      </c>
    </row>
    <row r="3" customFormat="false" ht="15.75" hidden="false" customHeight="false" outlineLevel="0" collapsed="false">
      <c r="A3" s="34" t="s">
        <v>17</v>
      </c>
      <c r="B3" s="35"/>
      <c r="C3" s="35"/>
      <c r="D3" s="36"/>
      <c r="E3" s="35"/>
      <c r="F3" s="35"/>
      <c r="G3" s="35"/>
      <c r="H3" s="35"/>
      <c r="I3" s="37"/>
      <c r="J3" s="35"/>
      <c r="K3" s="35"/>
      <c r="L3" s="35"/>
      <c r="M3" s="35"/>
      <c r="N3" s="35"/>
      <c r="O3" s="35"/>
      <c r="P3" s="35"/>
    </row>
    <row r="4" customFormat="false" ht="15.75" hidden="false" customHeight="false" outlineLevel="0" collapsed="false">
      <c r="D4" s="38"/>
    </row>
    <row r="5" customFormat="false" ht="15.75" hidden="false" customHeight="false" outlineLevel="0" collapsed="false">
      <c r="A5" s="39" t="s">
        <v>18</v>
      </c>
      <c r="B5" s="39"/>
      <c r="C5" s="40"/>
      <c r="D5" s="38"/>
      <c r="F5" s="41" t="s">
        <v>19</v>
      </c>
      <c r="G5" s="41"/>
      <c r="H5" s="40"/>
      <c r="I5" s="40"/>
      <c r="J5" s="40"/>
      <c r="K5" s="40"/>
      <c r="L5" s="40"/>
      <c r="M5" s="40"/>
      <c r="N5" s="40"/>
      <c r="O5" s="40"/>
      <c r="P5" s="40"/>
    </row>
    <row r="6" customFormat="false" ht="15.75" hidden="false" customHeight="true" outlineLevel="0" collapsed="false">
      <c r="A6" s="42" t="s">
        <v>20</v>
      </c>
      <c r="B6" s="43" t="s">
        <v>21</v>
      </c>
      <c r="C6" s="43"/>
      <c r="D6" s="43"/>
      <c r="F6" s="44" t="s">
        <v>22</v>
      </c>
      <c r="G6" s="44"/>
      <c r="H6" s="44"/>
      <c r="I6" s="44"/>
      <c r="J6" s="44"/>
      <c r="K6" s="44"/>
      <c r="L6" s="44"/>
      <c r="M6" s="44"/>
      <c r="N6" s="44"/>
      <c r="O6" s="44"/>
      <c r="P6" s="44"/>
    </row>
    <row r="7" customFormat="false" ht="15.75" hidden="false" customHeight="false" outlineLevel="0" collapsed="false">
      <c r="A7" s="42" t="s">
        <v>23</v>
      </c>
      <c r="B7" s="43" t="s">
        <v>24</v>
      </c>
      <c r="C7" s="43"/>
      <c r="D7" s="43"/>
      <c r="F7" s="44"/>
      <c r="G7" s="44"/>
      <c r="H7" s="44"/>
      <c r="I7" s="44"/>
      <c r="J7" s="44"/>
      <c r="K7" s="44"/>
      <c r="L7" s="44"/>
      <c r="M7" s="44"/>
      <c r="N7" s="44"/>
      <c r="O7" s="44"/>
      <c r="P7" s="44"/>
    </row>
    <row r="8" customFormat="false" ht="15.75" hidden="false" customHeight="false" outlineLevel="0" collapsed="false">
      <c r="A8" s="42" t="s">
        <v>25</v>
      </c>
      <c r="B8" s="43" t="s">
        <v>26</v>
      </c>
      <c r="C8" s="43"/>
      <c r="D8" s="43"/>
      <c r="F8" s="44"/>
      <c r="G8" s="44"/>
      <c r="H8" s="44"/>
      <c r="I8" s="44"/>
      <c r="J8" s="44"/>
      <c r="K8" s="44"/>
      <c r="L8" s="44"/>
      <c r="M8" s="44"/>
      <c r="N8" s="44"/>
      <c r="O8" s="44"/>
      <c r="P8" s="44"/>
    </row>
    <row r="9" customFormat="false" ht="15.75" hidden="false" customHeight="false" outlineLevel="0" collapsed="false">
      <c r="A9" s="42" t="s">
        <v>27</v>
      </c>
      <c r="B9" s="45" t="s">
        <v>28</v>
      </c>
      <c r="C9" s="45"/>
      <c r="D9" s="45"/>
      <c r="F9" s="44"/>
      <c r="G9" s="44"/>
      <c r="H9" s="44"/>
      <c r="I9" s="44"/>
      <c r="J9" s="44"/>
      <c r="K9" s="44"/>
      <c r="L9" s="44"/>
      <c r="M9" s="44"/>
      <c r="N9" s="44"/>
      <c r="O9" s="44"/>
      <c r="P9" s="44"/>
    </row>
    <row r="10" customFormat="false" ht="15.75" hidden="false" customHeight="false" outlineLevel="0" collapsed="false">
      <c r="A10" s="42" t="s">
        <v>29</v>
      </c>
      <c r="B10" s="46" t="s">
        <v>30</v>
      </c>
      <c r="C10" s="46"/>
      <c r="D10" s="46"/>
      <c r="F10" s="44"/>
      <c r="G10" s="44"/>
      <c r="H10" s="44"/>
      <c r="I10" s="44"/>
      <c r="J10" s="44"/>
      <c r="K10" s="44"/>
      <c r="L10" s="44"/>
      <c r="M10" s="44"/>
      <c r="N10" s="44"/>
      <c r="O10" s="44"/>
      <c r="P10" s="44"/>
    </row>
    <row r="11" customFormat="false" ht="15.75" hidden="false" customHeight="false" outlineLevel="0" collapsed="false">
      <c r="A11" s="42" t="s">
        <v>31</v>
      </c>
      <c r="B11" s="47" t="n">
        <v>5335861</v>
      </c>
      <c r="C11" s="47"/>
      <c r="D11" s="47"/>
      <c r="F11" s="44"/>
      <c r="G11" s="44"/>
      <c r="H11" s="44"/>
      <c r="I11" s="44"/>
      <c r="J11" s="44"/>
      <c r="K11" s="44"/>
      <c r="L11" s="44"/>
      <c r="M11" s="44"/>
      <c r="N11" s="44"/>
      <c r="O11" s="44"/>
      <c r="P11" s="44"/>
    </row>
    <row r="12" customFormat="false" ht="15.75" hidden="false" customHeight="false" outlineLevel="0" collapsed="false">
      <c r="A12" s="42" t="s">
        <v>32</v>
      </c>
      <c r="B12" s="46" t="s">
        <v>33</v>
      </c>
      <c r="C12" s="46"/>
      <c r="D12" s="46"/>
      <c r="F12" s="44"/>
      <c r="G12" s="44"/>
      <c r="H12" s="44"/>
      <c r="I12" s="44"/>
      <c r="J12" s="44"/>
      <c r="K12" s="44"/>
      <c r="L12" s="44"/>
      <c r="M12" s="44"/>
      <c r="N12" s="44"/>
      <c r="O12" s="44"/>
      <c r="P12" s="44"/>
    </row>
    <row r="13" customFormat="false" ht="15.75" hidden="false" customHeight="false" outlineLevel="0" collapsed="false">
      <c r="A13" s="42" t="s">
        <v>34</v>
      </c>
      <c r="B13" s="48" t="n">
        <v>40268</v>
      </c>
      <c r="C13" s="48"/>
      <c r="D13" s="48"/>
      <c r="F13" s="39" t="s">
        <v>35</v>
      </c>
      <c r="G13" s="39"/>
      <c r="H13" s="40"/>
      <c r="I13" s="40"/>
      <c r="J13" s="40"/>
      <c r="K13" s="40"/>
      <c r="L13" s="40"/>
      <c r="M13" s="40"/>
      <c r="N13" s="40"/>
      <c r="O13" s="40"/>
      <c r="P13" s="40"/>
    </row>
    <row r="14" customFormat="false" ht="15.75" hidden="false" customHeight="true" outlineLevel="0" collapsed="false">
      <c r="A14" s="42" t="s">
        <v>36</v>
      </c>
      <c r="B14" s="46" t="s">
        <v>37</v>
      </c>
      <c r="C14" s="46"/>
      <c r="D14" s="46"/>
      <c r="F14" s="44" t="s">
        <v>38</v>
      </c>
      <c r="G14" s="44"/>
      <c r="H14" s="44"/>
      <c r="I14" s="44"/>
      <c r="J14" s="44"/>
      <c r="K14" s="44"/>
      <c r="L14" s="44"/>
      <c r="M14" s="44"/>
      <c r="N14" s="44"/>
      <c r="O14" s="44"/>
      <c r="P14" s="44"/>
    </row>
    <row r="15" customFormat="false" ht="15.75" hidden="false" customHeight="false" outlineLevel="0" collapsed="false">
      <c r="F15" s="44"/>
      <c r="G15" s="44"/>
      <c r="H15" s="44"/>
      <c r="I15" s="44"/>
      <c r="J15" s="44"/>
      <c r="K15" s="44"/>
      <c r="L15" s="44"/>
      <c r="M15" s="44"/>
      <c r="N15" s="44"/>
      <c r="O15" s="44"/>
      <c r="P15" s="44"/>
    </row>
    <row r="16" customFormat="false" ht="15" hidden="false" customHeight="false" outlineLevel="0" collapsed="false">
      <c r="F16" s="49"/>
      <c r="G16" s="49"/>
      <c r="H16" s="49"/>
      <c r="I16" s="49"/>
      <c r="J16" s="49"/>
      <c r="K16" s="49"/>
      <c r="L16" s="49"/>
      <c r="M16" s="49"/>
      <c r="N16" s="49"/>
      <c r="O16" s="49"/>
      <c r="P16" s="49"/>
    </row>
    <row r="17" customFormat="false" ht="15.75" hidden="false" customHeight="false" outlineLevel="0" collapsed="false">
      <c r="A17" s="50" t="s">
        <v>39</v>
      </c>
      <c r="B17" s="50"/>
      <c r="C17" s="51"/>
      <c r="D17" s="51"/>
      <c r="E17" s="51"/>
      <c r="F17" s="51"/>
      <c r="G17" s="51"/>
      <c r="H17" s="51"/>
      <c r="I17" s="51"/>
      <c r="J17" s="51"/>
      <c r="K17" s="40"/>
      <c r="L17" s="40"/>
      <c r="M17" s="40"/>
      <c r="N17" s="40"/>
      <c r="O17" s="40"/>
      <c r="P17" s="40"/>
    </row>
    <row r="18" customFormat="false" ht="17.25" hidden="false" customHeight="false" outlineLevel="0" collapsed="false">
      <c r="A18" s="52" t="s">
        <v>40</v>
      </c>
      <c r="B18" s="53"/>
      <c r="C18" s="54"/>
      <c r="D18" s="54"/>
      <c r="E18" s="54"/>
      <c r="F18" s="54"/>
      <c r="G18" s="54"/>
      <c r="H18" s="54"/>
      <c r="I18" s="54"/>
      <c r="J18" s="54"/>
      <c r="K18" s="55"/>
      <c r="L18" s="55"/>
      <c r="M18" s="55"/>
      <c r="N18" s="55"/>
      <c r="O18" s="55"/>
      <c r="P18" s="55"/>
    </row>
    <row r="19" customFormat="false" ht="15" hidden="false" customHeight="false" outlineLevel="0" collapsed="false">
      <c r="A19" s="56" t="s">
        <v>41</v>
      </c>
      <c r="B19" s="57" t="s">
        <v>42</v>
      </c>
      <c r="C19" s="57" t="s">
        <v>43</v>
      </c>
      <c r="D19" s="57" t="s">
        <v>44</v>
      </c>
      <c r="E19" s="57" t="s">
        <v>45</v>
      </c>
      <c r="F19" s="57" t="s">
        <v>46</v>
      </c>
      <c r="G19" s="57" t="s">
        <v>47</v>
      </c>
      <c r="H19" s="57" t="s">
        <v>48</v>
      </c>
      <c r="I19" s="57" t="s">
        <v>49</v>
      </c>
      <c r="J19" s="57" t="s">
        <v>50</v>
      </c>
      <c r="K19" s="58"/>
      <c r="L19" s="58"/>
      <c r="M19" s="58"/>
      <c r="N19" s="58"/>
      <c r="O19" s="58"/>
      <c r="P19" s="58"/>
    </row>
    <row r="20" customFormat="false" ht="15" hidden="false" customHeight="false" outlineLevel="0" collapsed="false">
      <c r="A20" s="56"/>
      <c r="B20" s="57" t="s">
        <v>51</v>
      </c>
      <c r="C20" s="57" t="s">
        <v>52</v>
      </c>
      <c r="D20" s="57" t="s">
        <v>53</v>
      </c>
      <c r="E20" s="57" t="s">
        <v>54</v>
      </c>
      <c r="F20" s="57" t="s">
        <v>55</v>
      </c>
      <c r="G20" s="57" t="s">
        <v>56</v>
      </c>
      <c r="H20" s="57" t="s">
        <v>57</v>
      </c>
      <c r="I20" s="57" t="s">
        <v>58</v>
      </c>
      <c r="J20" s="57" t="s">
        <v>59</v>
      </c>
      <c r="K20" s="59"/>
      <c r="L20" s="59"/>
      <c r="M20" s="59"/>
      <c r="N20" s="59"/>
      <c r="O20" s="59"/>
      <c r="P20" s="59"/>
    </row>
    <row r="21" customFormat="false" ht="15" hidden="false" customHeight="false" outlineLevel="0" collapsed="false">
      <c r="A21" s="60" t="s">
        <v>60</v>
      </c>
      <c r="C21" s="61" t="n">
        <f aca="false">'INCOME STATEMENT'!H49</f>
        <v>28.2229054573405</v>
      </c>
      <c r="D21" s="61" t="n">
        <f aca="false">'INCOME STATEMENT'!O49</f>
        <v>30.7628451487022</v>
      </c>
      <c r="E21" s="61" t="n">
        <f aca="false">'INCOME STATEMENT'!V49</f>
        <v>22.0239972250252</v>
      </c>
      <c r="F21" s="61" t="n">
        <f aca="false">'INCOME STATEMENT'!AC49</f>
        <v>18.3972707492432</v>
      </c>
      <c r="G21" s="61" t="n">
        <f aca="false">'INCOME STATEMENT'!AD49</f>
        <v>21.1410507063572</v>
      </c>
      <c r="H21" s="61" t="n">
        <f aca="false">'INCOME STATEMENT'!AE49</f>
        <v>29.0955316599395</v>
      </c>
      <c r="I21" s="61" t="n">
        <f aca="false">'INCOME STATEMENT'!AF49</f>
        <v>35.3485273713421</v>
      </c>
      <c r="J21" s="61" t="n">
        <f aca="false">'INCOME STATEMENT'!AG49</f>
        <v>60.6667822906155</v>
      </c>
      <c r="K21" s="62"/>
      <c r="L21" s="62"/>
      <c r="M21" s="62"/>
      <c r="N21" s="62"/>
      <c r="O21" s="62"/>
      <c r="P21" s="62"/>
    </row>
    <row r="22" customFormat="false" ht="15" hidden="false" customHeight="false" outlineLevel="0" collapsed="false">
      <c r="A22" s="63" t="s">
        <v>61</v>
      </c>
      <c r="B22" s="64"/>
      <c r="C22" s="64" t="n">
        <f aca="false">'INCOME STATEMENT'!H21/'INCOME STATEMENT'!H6</f>
        <v>0.186779857894035</v>
      </c>
      <c r="D22" s="64" t="n">
        <f aca="false">'INCOME STATEMENT'!O21/'INCOME STATEMENT'!O6</f>
        <v>0.219302317832987</v>
      </c>
      <c r="E22" s="64" t="n">
        <f aca="false">'INCOME STATEMENT'!V21/'INCOME STATEMENT'!V6</f>
        <v>0.17010087924983</v>
      </c>
      <c r="F22" s="64" t="n">
        <f aca="false">'INCOME STATEMENT'!AC21/'INCOME STATEMENT'!AC6</f>
        <v>0.178836294737592</v>
      </c>
      <c r="G22" s="64" t="n">
        <f aca="false">'INCOME STATEMENT'!AD21/'INCOME STATEMENT'!AD6</f>
        <v>0.135</v>
      </c>
      <c r="H22" s="64" t="n">
        <f aca="false">'INCOME STATEMENT'!AE21/'INCOME STATEMENT'!AE6</f>
        <v>0.133</v>
      </c>
      <c r="I22" s="64" t="n">
        <f aca="false">'INCOME STATEMENT'!AF21/'INCOME STATEMENT'!AF6</f>
        <v>0.113</v>
      </c>
      <c r="J22" s="64" t="n">
        <f aca="false">'INCOME STATEMENT'!AG21/'INCOME STATEMENT'!AG6</f>
        <v>0.131</v>
      </c>
      <c r="K22" s="65"/>
      <c r="L22" s="65"/>
      <c r="M22" s="65"/>
      <c r="N22" s="65"/>
      <c r="O22" s="65"/>
      <c r="P22" s="65"/>
    </row>
    <row r="23" customFormat="false" ht="15" hidden="false" customHeight="false" outlineLevel="0" collapsed="false">
      <c r="A23" s="63" t="s">
        <v>62</v>
      </c>
      <c r="B23" s="64"/>
      <c r="C23" s="64" t="n">
        <f aca="false">'INCOME STATEMENT'!O41/'INCOME STATEMENT'!O6</f>
        <v>0.144459746115658</v>
      </c>
      <c r="D23" s="64" t="n">
        <f aca="false">'INCOME STATEMENT'!V41/'INCOME STATEMENT'!V6</f>
        <v>0.11750108828459</v>
      </c>
      <c r="E23" s="64" t="n">
        <f aca="false">'INCOME STATEMENT'!V41/'INCOME STATEMENT'!V6</f>
        <v>0.11750108828459</v>
      </c>
      <c r="F23" s="64" t="n">
        <f aca="false">'INCOME STATEMENT'!AC41/'INCOME STATEMENT'!AC6</f>
        <v>0.0943983305139114</v>
      </c>
      <c r="G23" s="64" t="n">
        <f aca="false">'INCOME STATEMENT'!AD41/'INCOME STATEMENT'!AD6</f>
        <v>0.0821795095657292</v>
      </c>
      <c r="H23" s="64" t="n">
        <f aca="false">'INCOME STATEMENT'!AE41/'INCOME STATEMENT'!AE6</f>
        <v>0.0837779069797717</v>
      </c>
      <c r="I23" s="64" t="n">
        <f aca="false">'INCOME STATEMENT'!AF41/'INCOME STATEMENT'!AF6</f>
        <v>0.0727020230271958</v>
      </c>
      <c r="J23" s="66" t="n">
        <f aca="false">'INCOME STATEMENT'!AG41/'INCOME STATEMENT'!AG6</f>
        <v>0.0860514421560888</v>
      </c>
      <c r="K23" s="65"/>
      <c r="L23" s="65"/>
      <c r="M23" s="65"/>
      <c r="N23" s="65"/>
      <c r="O23" s="65"/>
      <c r="P23" s="65"/>
    </row>
    <row r="24" customFormat="false" ht="15" hidden="false" customHeight="false" outlineLevel="0" collapsed="false">
      <c r="A24" s="67" t="s">
        <v>63</v>
      </c>
      <c r="B24" s="68"/>
      <c r="C24" s="68" t="n">
        <f aca="false">'Ratio Analysis'!C19</f>
        <v>22.6177624206201</v>
      </c>
      <c r="D24" s="68" t="n">
        <f aca="false">'Ratio Analysis'!D19</f>
        <v>42.4559507352017</v>
      </c>
      <c r="E24" s="68" t="n">
        <f aca="false">'Ratio Analysis'!E19</f>
        <v>40.0505747126437</v>
      </c>
      <c r="F24" s="68" t="n">
        <f aca="false">'Ratio Analysis'!F19</f>
        <v>56.7708057151274</v>
      </c>
      <c r="G24" s="68" t="n">
        <f aca="false">'Ratio Analysis'!G19</f>
        <v>49.3263357372827</v>
      </c>
      <c r="H24" s="68" t="n">
        <f aca="false">'Ratio Analysis'!H19</f>
        <v>79.9887088277221</v>
      </c>
      <c r="I24" s="69" t="n">
        <f aca="false">'Ratio Analysis'!I19</f>
        <v>117.584431126683</v>
      </c>
      <c r="J24" s="70" t="n">
        <f aca="false">'Ratio Analysis'!J19</f>
        <v>188.735720835456</v>
      </c>
      <c r="K24" s="71"/>
      <c r="L24" s="71"/>
      <c r="M24" s="71"/>
      <c r="N24" s="71"/>
      <c r="O24" s="71"/>
      <c r="P24" s="71"/>
    </row>
    <row r="25" customFormat="false" ht="15" hidden="false" customHeight="false" outlineLevel="0" collapsed="false">
      <c r="A25" s="60" t="s">
        <v>64</v>
      </c>
      <c r="B25" s="72"/>
      <c r="D25" s="72"/>
      <c r="E25" s="73" t="n">
        <f aca="false">Valuation!G13/'INCOME STATEMENT'!V6</f>
        <v>2.24618465297917</v>
      </c>
      <c r="F25" s="73" t="n">
        <f aca="false">Valuation!G13/'INCOME STATEMENT'!AC6</f>
        <v>2.16028288064825</v>
      </c>
      <c r="G25" s="74" t="n">
        <f aca="false">Valuation!G13/'INCOME STATEMENT'!AD6</f>
        <v>1.63657791982415</v>
      </c>
      <c r="H25" s="74" t="n">
        <f aca="false">Valuation!G13/'INCOME STATEMENT'!AE6</f>
        <v>1.21227994061048</v>
      </c>
      <c r="I25" s="74" t="n">
        <f aca="false">Valuation!G13/'INCOME STATEMENT'!AF6</f>
        <v>0.865914237396412</v>
      </c>
      <c r="J25" s="75" t="n">
        <f aca="false">Valuation!G13/'INCOME STATEMENT'!AG6</f>
        <v>0.597182266075953</v>
      </c>
      <c r="K25" s="76"/>
      <c r="L25" s="76"/>
      <c r="M25" s="76"/>
      <c r="N25" s="76"/>
      <c r="O25" s="76"/>
      <c r="P25" s="76"/>
    </row>
    <row r="26" customFormat="false" ht="15" hidden="false" customHeight="false" outlineLevel="0" collapsed="false">
      <c r="A26" s="60" t="s">
        <v>65</v>
      </c>
      <c r="B26" s="72"/>
      <c r="C26" s="72"/>
      <c r="D26" s="72"/>
      <c r="E26" s="73" t="n">
        <f aca="false">Valuation!G13/'INCOME STATEMENT'!V21</f>
        <v>13.2050149469254</v>
      </c>
      <c r="F26" s="73" t="n">
        <f aca="false">Valuation!G13/'INCOME STATEMENT'!AC21</f>
        <v>12.0796669592045</v>
      </c>
      <c r="G26" s="74" t="n">
        <f aca="false">Valuation!G13/'INCOME STATEMENT'!AD21</f>
        <v>12.1227994061048</v>
      </c>
      <c r="H26" s="74" t="n">
        <f aca="false">Valuation!G13/'INCOME STATEMENT'!AE21</f>
        <v>9.11488677150741</v>
      </c>
      <c r="I26" s="74" t="n">
        <f aca="false">Valuation!G13/'INCOME STATEMENT'!AF21</f>
        <v>7.6629578530656</v>
      </c>
      <c r="J26" s="74" t="n">
        <f aca="false">Valuation!G13/'INCOME STATEMENT'!AG21</f>
        <v>4.55864325248819</v>
      </c>
      <c r="K26" s="76"/>
      <c r="L26" s="76"/>
      <c r="M26" s="76"/>
      <c r="N26" s="76"/>
      <c r="O26" s="76"/>
      <c r="P26" s="76"/>
    </row>
    <row r="27" customFormat="false" ht="15" hidden="false" customHeight="false" outlineLevel="0" collapsed="false">
      <c r="A27" s="60" t="s">
        <v>66</v>
      </c>
      <c r="B27" s="72"/>
      <c r="C27" s="72"/>
      <c r="D27" s="72"/>
      <c r="E27" s="73" t="n">
        <f aca="false">Valuation!G7/'INCOME STATEMENT'!V49</f>
        <v>19.0996210044028</v>
      </c>
      <c r="F27" s="73" t="n">
        <f aca="false">Valuation!G7/'INCOME STATEMENT'!AC49</f>
        <v>22.8648045535398</v>
      </c>
      <c r="G27" s="74" t="n">
        <f aca="false">Valuation!G7/'INCOME STATEMENT'!AD49</f>
        <v>19.8973081254428</v>
      </c>
      <c r="H27" s="74" t="n">
        <f aca="false">Valuation!G7/'INCOME STATEMENT'!AE49</f>
        <v>14.4575464341549</v>
      </c>
      <c r="I27" s="74" t="n">
        <f aca="false">Valuation!G7/'INCOME STATEMENT'!AF49</f>
        <v>11.9000714112077</v>
      </c>
      <c r="J27" s="74" t="n">
        <f aca="false">Valuation!G7/'INCOME STATEMENT'!AG49</f>
        <v>6.93377799377815</v>
      </c>
      <c r="K27" s="76"/>
      <c r="L27" s="76"/>
      <c r="M27" s="76"/>
      <c r="N27" s="76"/>
      <c r="O27" s="76"/>
      <c r="P27" s="76"/>
    </row>
    <row r="28" customFormat="false" ht="15" hidden="false" customHeight="false" outlineLevel="0" collapsed="false">
      <c r="A28" s="60" t="s">
        <v>67</v>
      </c>
      <c r="B28" s="72"/>
      <c r="C28" s="72"/>
      <c r="D28" s="72"/>
      <c r="E28" s="77" t="n">
        <f aca="false">Valuation!G7/'INCOME STATEMENT'!V6</f>
        <v>0.000176922478386773</v>
      </c>
      <c r="F28" s="77" t="n">
        <f aca="false">Valuation!G7/'INCOME STATEMENT'!AC6</f>
        <v>0.00017015635858516</v>
      </c>
      <c r="G28" s="78" t="n">
        <f aca="false">Valuation!G7/'INCOME STATEMENT'!AD6</f>
        <v>0.000128906330681374</v>
      </c>
      <c r="H28" s="78" t="n">
        <f aca="false">Valuation!G7/'INCOME STATEMENT'!AE6</f>
        <v>9.54861708750917E-005</v>
      </c>
      <c r="I28" s="78" t="n">
        <f aca="false">Valuation!G7/'INCOME STATEMENT'!AF6</f>
        <v>6.82044073034573E-005</v>
      </c>
      <c r="J28" s="79" t="n">
        <f aca="false">Valuation!G7/'INCOME STATEMENT'!AG6</f>
        <v>4.7037524908139E-005</v>
      </c>
      <c r="K28" s="76"/>
      <c r="L28" s="76"/>
      <c r="M28" s="76"/>
      <c r="N28" s="76"/>
      <c r="O28" s="76"/>
      <c r="P28" s="76"/>
    </row>
    <row r="30" customFormat="false" ht="27" hidden="false" customHeight="true" outlineLevel="0" collapsed="false">
      <c r="A30" s="80" t="s">
        <v>68</v>
      </c>
      <c r="B30" s="80"/>
      <c r="C30" s="51"/>
      <c r="D30" s="51"/>
      <c r="E30" s="51"/>
      <c r="F30" s="51"/>
      <c r="G30" s="51"/>
      <c r="H30" s="37"/>
      <c r="I30" s="81"/>
      <c r="J30" s="81"/>
      <c r="K30" s="82"/>
      <c r="L30" s="51"/>
      <c r="M30" s="51"/>
      <c r="N30" s="51"/>
      <c r="O30" s="51"/>
      <c r="P30" s="51"/>
    </row>
    <row r="31" customFormat="false" ht="15.75" hidden="false" customHeight="false" outlineLevel="0" collapsed="false"/>
    <row r="32" customFormat="false" ht="15" hidden="false" customHeight="false" outlineLevel="0" collapsed="false">
      <c r="A32" s="83" t="s">
        <v>69</v>
      </c>
      <c r="B32" s="84" t="n">
        <v>183084</v>
      </c>
      <c r="E32" s="85"/>
      <c r="I32" s="86"/>
      <c r="J32" s="87"/>
    </row>
    <row r="33" customFormat="false" ht="22.5" hidden="false" customHeight="false" outlineLevel="0" collapsed="false">
      <c r="A33" s="88" t="s">
        <v>70</v>
      </c>
      <c r="B33" s="89" t="n">
        <v>25081</v>
      </c>
      <c r="I33" s="86"/>
      <c r="J33" s="87"/>
    </row>
    <row r="34" customFormat="false" ht="14.25" hidden="false" customHeight="true" outlineLevel="0" collapsed="false">
      <c r="A34" s="88" t="s">
        <v>71</v>
      </c>
      <c r="B34" s="89" t="n">
        <v>27335</v>
      </c>
      <c r="I34" s="90"/>
      <c r="J34" s="87"/>
    </row>
    <row r="35" customFormat="false" ht="22.5" hidden="false" customHeight="false" outlineLevel="0" collapsed="false">
      <c r="A35" s="88" t="s">
        <v>72</v>
      </c>
      <c r="B35" s="89" t="n">
        <v>29900</v>
      </c>
      <c r="I35" s="86"/>
      <c r="J35" s="87"/>
    </row>
    <row r="36" customFormat="false" ht="22.5" hidden="false" customHeight="false" outlineLevel="0" collapsed="false">
      <c r="A36" s="88" t="s">
        <v>73</v>
      </c>
      <c r="B36" s="91" t="n">
        <v>3819</v>
      </c>
      <c r="I36" s="92"/>
      <c r="J36" s="93"/>
    </row>
    <row r="37" customFormat="false" ht="15" hidden="false" customHeight="false" outlineLevel="0" collapsed="false">
      <c r="A37" s="88" t="s">
        <v>74</v>
      </c>
      <c r="B37" s="94" t="n">
        <v>243</v>
      </c>
      <c r="I37" s="95"/>
      <c r="J37" s="96"/>
    </row>
    <row r="38" customFormat="false" ht="15.75" hidden="false" customHeight="false" outlineLevel="0" collapsed="false">
      <c r="A38" s="97" t="s">
        <v>75</v>
      </c>
      <c r="B38" s="98" t="n">
        <v>5749</v>
      </c>
    </row>
    <row r="39" customFormat="false" ht="15.75" hidden="false" customHeight="false" outlineLevel="0" collapsed="false">
      <c r="A39" s="99" t="s">
        <v>76</v>
      </c>
      <c r="B39" s="100" t="n">
        <f aca="false">SUM(B32:B38)</f>
        <v>275211</v>
      </c>
    </row>
    <row r="48" customFormat="false" ht="15.75" hidden="false" customHeight="false" outlineLevel="0" collapsed="false">
      <c r="A48" s="101" t="s">
        <v>77</v>
      </c>
      <c r="B48" s="40"/>
      <c r="C48" s="40"/>
      <c r="D48" s="40"/>
      <c r="E48" s="40"/>
      <c r="F48" s="40"/>
      <c r="G48" s="40"/>
      <c r="I48" s="102"/>
      <c r="J48" s="102"/>
      <c r="K48" s="102"/>
      <c r="L48" s="40"/>
      <c r="M48" s="40"/>
      <c r="N48" s="40"/>
      <c r="O48" s="40"/>
      <c r="P48" s="40"/>
      <c r="Q48" s="85"/>
      <c r="R48" s="85"/>
      <c r="S48" s="85"/>
      <c r="T48" s="85"/>
      <c r="U48" s="85"/>
      <c r="V48" s="85"/>
      <c r="W48" s="85"/>
      <c r="X48" s="85"/>
      <c r="Y48" s="85"/>
      <c r="Z48" s="85"/>
      <c r="AA48" s="85"/>
    </row>
    <row r="49" customFormat="false" ht="15" hidden="false" customHeight="false" outlineLevel="0" collapsed="false">
      <c r="B49" s="103" t="s">
        <v>78</v>
      </c>
      <c r="C49" s="104" t="s">
        <v>79</v>
      </c>
      <c r="D49" s="104" t="s">
        <v>80</v>
      </c>
      <c r="E49" s="104" t="s">
        <v>81</v>
      </c>
      <c r="F49" s="104" t="s">
        <v>82</v>
      </c>
      <c r="G49" s="105" t="s">
        <v>83</v>
      </c>
    </row>
    <row r="50" customFormat="false" ht="15" hidden="false" customHeight="false" outlineLevel="0" collapsed="false">
      <c r="A50" s="106" t="s">
        <v>69</v>
      </c>
      <c r="B50" s="107" t="n">
        <v>121198</v>
      </c>
      <c r="C50" s="107" t="n">
        <v>127476</v>
      </c>
      <c r="D50" s="107" t="n">
        <v>183084</v>
      </c>
      <c r="E50" s="107" t="n">
        <v>205054</v>
      </c>
      <c r="F50" s="107" t="n">
        <v>246064</v>
      </c>
      <c r="G50" s="107" t="n">
        <v>295277</v>
      </c>
    </row>
    <row r="51" customFormat="false" ht="22.5" hidden="false" customHeight="false" outlineLevel="0" collapsed="false">
      <c r="A51" s="106" t="s">
        <v>70</v>
      </c>
      <c r="B51" s="107" t="n">
        <v>21155</v>
      </c>
      <c r="C51" s="107" t="n">
        <v>21966</v>
      </c>
      <c r="D51" s="107" t="n">
        <v>25081</v>
      </c>
      <c r="E51" s="107" t="n">
        <v>34862</v>
      </c>
      <c r="F51" s="107" t="n">
        <v>45321</v>
      </c>
      <c r="G51" s="107" t="n">
        <v>61183</v>
      </c>
    </row>
    <row r="52" customFormat="false" ht="15" hidden="false" customHeight="false" outlineLevel="0" collapsed="false">
      <c r="A52" s="106" t="s">
        <v>71</v>
      </c>
      <c r="B52" s="107" t="n">
        <v>25702</v>
      </c>
      <c r="C52" s="107" t="n">
        <v>27031</v>
      </c>
      <c r="D52" s="107" t="n">
        <v>27335</v>
      </c>
      <c r="E52" s="107" t="n">
        <v>29574</v>
      </c>
      <c r="F52" s="107" t="n">
        <v>32531</v>
      </c>
      <c r="G52" s="107" t="n">
        <v>36110</v>
      </c>
    </row>
    <row r="53" customFormat="false" ht="15" hidden="false" customHeight="false" outlineLevel="0" collapsed="false">
      <c r="A53" s="106" t="s">
        <v>72</v>
      </c>
      <c r="B53" s="107" t="n">
        <v>21219</v>
      </c>
      <c r="C53" s="107" t="n">
        <v>26961</v>
      </c>
      <c r="D53" s="107" t="n">
        <v>29900</v>
      </c>
      <c r="E53" s="107" t="n">
        <v>29996</v>
      </c>
      <c r="F53" s="107" t="n">
        <v>35995</v>
      </c>
      <c r="G53" s="107" t="n">
        <v>41395</v>
      </c>
    </row>
    <row r="54" customFormat="false" ht="22.5" hidden="false" customHeight="false" outlineLevel="0" collapsed="false">
      <c r="A54" s="106" t="s">
        <v>73</v>
      </c>
      <c r="B54" s="107" t="n">
        <v>3440</v>
      </c>
      <c r="C54" s="107" t="n">
        <v>3893</v>
      </c>
      <c r="D54" s="107" t="n">
        <v>3819</v>
      </c>
      <c r="E54" s="107" t="n">
        <v>4358</v>
      </c>
      <c r="F54" s="107" t="n">
        <v>5012</v>
      </c>
      <c r="G54" s="107" t="n">
        <v>5814</v>
      </c>
    </row>
    <row r="55" customFormat="false" ht="15" hidden="false" customHeight="false" outlineLevel="0" collapsed="false">
      <c r="A55" s="106" t="s">
        <v>74</v>
      </c>
      <c r="B55" s="107" t="n">
        <v>254</v>
      </c>
      <c r="C55" s="107" t="n">
        <v>286</v>
      </c>
      <c r="D55" s="107" t="n">
        <v>243</v>
      </c>
      <c r="E55" s="107" t="n">
        <v>193</v>
      </c>
      <c r="F55" s="107" t="n">
        <v>222</v>
      </c>
      <c r="G55" s="107" t="n">
        <v>244</v>
      </c>
    </row>
    <row r="56" customFormat="false" ht="15" hidden="false" customHeight="false" outlineLevel="0" collapsed="false">
      <c r="A56" s="106" t="s">
        <v>75</v>
      </c>
      <c r="B56" s="107" t="n">
        <v>5097</v>
      </c>
      <c r="C56" s="107" t="n">
        <v>5068</v>
      </c>
      <c r="D56" s="107" t="n">
        <v>5749</v>
      </c>
      <c r="E56" s="107" t="n">
        <v>402</v>
      </c>
      <c r="F56" s="107" t="n">
        <v>443</v>
      </c>
      <c r="G56" s="107" t="n">
        <v>496</v>
      </c>
    </row>
    <row r="57" customFormat="false" ht="15" hidden="false" customHeight="false" outlineLevel="0" collapsed="false">
      <c r="A57" s="108" t="s">
        <v>76</v>
      </c>
      <c r="B57" s="109" t="n">
        <f aca="false">SUM(B50:B56)</f>
        <v>198065</v>
      </c>
      <c r="C57" s="109" t="n">
        <f aca="false">SUM(C50:C56)</f>
        <v>212681</v>
      </c>
      <c r="D57" s="109" t="n">
        <f aca="false">SUM(D50:D56)</f>
        <v>275211</v>
      </c>
      <c r="E57" s="109" t="n">
        <f aca="false">SUM(E50:E56)</f>
        <v>304439</v>
      </c>
      <c r="F57" s="109" t="n">
        <f aca="false">SUM(F50:F56)</f>
        <v>365588</v>
      </c>
      <c r="G57" s="109" t="n">
        <f aca="false">SUM(G50:G56)</f>
        <v>440519</v>
      </c>
    </row>
    <row r="66" customFormat="false" ht="15.75" hidden="false" customHeight="false" outlineLevel="0" collapsed="false">
      <c r="A66" s="110"/>
      <c r="B66" s="110"/>
      <c r="C66" s="110"/>
      <c r="D66" s="110"/>
      <c r="E66" s="110"/>
      <c r="F66" s="110"/>
      <c r="G66" s="110"/>
      <c r="H66" s="110"/>
      <c r="I66" s="110"/>
      <c r="J66" s="110"/>
      <c r="K66" s="110"/>
      <c r="L66" s="110"/>
      <c r="M66" s="110"/>
      <c r="N66" s="110"/>
      <c r="O66" s="110"/>
      <c r="P66" s="110"/>
    </row>
    <row r="71" customFormat="false" ht="15" hidden="false" customHeight="false" outlineLevel="0" collapsed="false">
      <c r="A71" s="111"/>
      <c r="B71" s="85"/>
      <c r="C71" s="85"/>
      <c r="D71" s="85"/>
      <c r="E71" s="85"/>
      <c r="F71" s="85"/>
      <c r="G71" s="85"/>
      <c r="H71" s="85"/>
      <c r="I71" s="85"/>
      <c r="J71" s="85"/>
      <c r="K71" s="85"/>
      <c r="L71" s="85"/>
      <c r="M71" s="85"/>
      <c r="N71" s="85"/>
    </row>
    <row r="72" customFormat="false" ht="15" hidden="false" customHeight="false" outlineLevel="0" collapsed="false">
      <c r="A72" s="85"/>
      <c r="B72" s="112"/>
      <c r="C72" s="112"/>
      <c r="D72" s="112"/>
      <c r="E72" s="112"/>
      <c r="F72" s="112"/>
      <c r="G72" s="112"/>
      <c r="H72" s="85"/>
      <c r="I72" s="85"/>
      <c r="J72" s="111"/>
      <c r="K72" s="40"/>
      <c r="L72" s="40"/>
      <c r="M72" s="40"/>
      <c r="N72" s="40"/>
    </row>
    <row r="73" customFormat="false" ht="15" hidden="false" customHeight="false" outlineLevel="0" collapsed="false">
      <c r="A73" s="111"/>
      <c r="B73" s="40"/>
      <c r="C73" s="40"/>
      <c r="D73" s="40"/>
      <c r="E73" s="40"/>
      <c r="F73" s="40"/>
      <c r="G73" s="40"/>
      <c r="H73" s="85"/>
      <c r="I73" s="85"/>
      <c r="J73" s="111"/>
      <c r="K73" s="40"/>
      <c r="L73" s="40"/>
      <c r="M73" s="40"/>
      <c r="N73" s="40"/>
    </row>
    <row r="74" customFormat="false" ht="15" hidden="false" customHeight="false" outlineLevel="0" collapsed="false">
      <c r="A74" s="111"/>
      <c r="B74" s="40"/>
      <c r="C74" s="40"/>
      <c r="D74" s="40"/>
      <c r="E74" s="40"/>
      <c r="F74" s="40"/>
      <c r="G74" s="40"/>
      <c r="H74" s="85"/>
      <c r="I74" s="85"/>
      <c r="J74" s="111"/>
      <c r="K74" s="40"/>
      <c r="L74" s="40"/>
      <c r="M74" s="40"/>
      <c r="N74" s="40"/>
    </row>
    <row r="75" customFormat="false" ht="15" hidden="false" customHeight="false" outlineLevel="0" collapsed="false">
      <c r="A75" s="111"/>
      <c r="B75" s="113"/>
      <c r="C75" s="113"/>
      <c r="D75" s="113"/>
      <c r="E75" s="113"/>
      <c r="F75" s="113"/>
      <c r="G75" s="113"/>
      <c r="H75" s="85"/>
      <c r="I75" s="85"/>
      <c r="J75" s="111"/>
      <c r="K75" s="40"/>
      <c r="L75" s="40"/>
      <c r="M75" s="40"/>
      <c r="N75" s="40"/>
    </row>
    <row r="76" customFormat="false" ht="15" hidden="false" customHeight="false" outlineLevel="0" collapsed="false">
      <c r="A76" s="85"/>
      <c r="B76" s="114"/>
      <c r="C76" s="114"/>
      <c r="D76" s="114"/>
      <c r="E76" s="114"/>
      <c r="F76" s="114"/>
      <c r="G76" s="85"/>
      <c r="H76" s="85"/>
      <c r="I76" s="85"/>
      <c r="J76" s="85"/>
      <c r="K76" s="85"/>
      <c r="L76" s="85"/>
      <c r="M76" s="85"/>
      <c r="N76" s="85"/>
    </row>
    <row r="77" customFormat="false" ht="15" hidden="false" customHeight="false" outlineLevel="0" collapsed="false">
      <c r="A77" s="85"/>
      <c r="B77" s="85"/>
      <c r="C77" s="85"/>
      <c r="D77" s="85"/>
      <c r="E77" s="85"/>
      <c r="F77" s="85"/>
      <c r="G77" s="85"/>
      <c r="H77" s="85"/>
      <c r="I77" s="85"/>
      <c r="J77" s="85"/>
      <c r="K77" s="85"/>
      <c r="L77" s="85"/>
      <c r="M77" s="85"/>
      <c r="N77" s="85"/>
    </row>
    <row r="78" customFormat="false" ht="15" hidden="false" customHeight="false" outlineLevel="0" collapsed="false">
      <c r="A78" s="85"/>
      <c r="B78" s="85"/>
      <c r="C78" s="85"/>
      <c r="D78" s="85"/>
      <c r="E78" s="85"/>
      <c r="F78" s="85"/>
      <c r="G78" s="85"/>
      <c r="H78" s="85"/>
      <c r="I78" s="85"/>
      <c r="J78" s="85"/>
      <c r="K78" s="85"/>
      <c r="L78" s="85"/>
      <c r="M78" s="85"/>
      <c r="N78" s="85"/>
    </row>
    <row r="79" customFormat="false" ht="15" hidden="false" customHeight="false" outlineLevel="0" collapsed="false">
      <c r="A79" s="85"/>
      <c r="B79" s="85"/>
      <c r="C79" s="85"/>
      <c r="D79" s="85"/>
      <c r="E79" s="85"/>
      <c r="F79" s="85"/>
      <c r="G79" s="85"/>
      <c r="H79" s="85"/>
      <c r="I79" s="85"/>
      <c r="J79" s="85"/>
      <c r="K79" s="85"/>
      <c r="L79" s="85"/>
      <c r="M79" s="85"/>
      <c r="N79" s="85"/>
    </row>
    <row r="80" customFormat="false" ht="15" hidden="false" customHeight="false" outlineLevel="0" collapsed="false">
      <c r="A80" s="115"/>
      <c r="B80" s="85"/>
      <c r="C80" s="85"/>
      <c r="D80" s="85"/>
      <c r="E80" s="85"/>
      <c r="F80" s="85"/>
      <c r="G80" s="85"/>
      <c r="H80" s="111"/>
      <c r="I80" s="112"/>
      <c r="J80" s="112"/>
      <c r="K80" s="112"/>
      <c r="L80" s="85"/>
      <c r="M80" s="85"/>
      <c r="N80" s="85"/>
    </row>
    <row r="81" customFormat="false" ht="15" hidden="false" customHeight="false" outlineLevel="0" collapsed="false">
      <c r="A81" s="111"/>
      <c r="B81" s="85"/>
      <c r="C81" s="85"/>
      <c r="D81" s="85"/>
      <c r="E81" s="85"/>
      <c r="F81" s="85"/>
      <c r="G81" s="85"/>
      <c r="H81" s="111"/>
      <c r="I81" s="112"/>
      <c r="J81" s="112"/>
      <c r="K81" s="112"/>
      <c r="L81" s="85"/>
      <c r="M81" s="85"/>
      <c r="N81" s="85"/>
    </row>
    <row r="82" customFormat="false" ht="15" hidden="false" customHeight="false" outlineLevel="0" collapsed="false">
      <c r="A82" s="85"/>
      <c r="B82" s="85"/>
      <c r="C82" s="85"/>
      <c r="D82" s="85"/>
      <c r="E82" s="85"/>
      <c r="F82" s="85"/>
      <c r="G82" s="85"/>
      <c r="H82" s="111"/>
      <c r="I82" s="112"/>
      <c r="J82" s="112"/>
      <c r="K82" s="112"/>
      <c r="L82" s="85"/>
      <c r="M82" s="85"/>
      <c r="N82" s="85"/>
    </row>
    <row r="83" customFormat="false" ht="15" hidden="false" customHeight="false" outlineLevel="0" collapsed="false">
      <c r="A83" s="116"/>
      <c r="B83" s="85"/>
      <c r="C83" s="85"/>
      <c r="D83" s="85"/>
      <c r="E83" s="85"/>
      <c r="F83" s="85"/>
      <c r="G83" s="85"/>
      <c r="H83" s="111"/>
      <c r="I83" s="117"/>
      <c r="J83" s="117"/>
      <c r="K83" s="117"/>
      <c r="L83" s="85"/>
      <c r="M83" s="85"/>
      <c r="N83" s="85"/>
    </row>
    <row r="84" customFormat="false" ht="15" hidden="false" customHeight="false" outlineLevel="0" collapsed="false">
      <c r="A84" s="85"/>
      <c r="B84" s="85"/>
      <c r="C84" s="85"/>
      <c r="D84" s="85"/>
      <c r="E84" s="85"/>
      <c r="F84" s="85"/>
      <c r="G84" s="85"/>
      <c r="H84" s="111"/>
      <c r="I84" s="118"/>
      <c r="J84" s="118"/>
      <c r="K84" s="118"/>
      <c r="L84" s="85"/>
      <c r="M84" s="85"/>
      <c r="N84" s="85"/>
    </row>
    <row r="85" customFormat="false" ht="15" hidden="false" customHeight="false" outlineLevel="0" collapsed="false">
      <c r="A85" s="85"/>
      <c r="B85" s="85"/>
      <c r="C85" s="85"/>
      <c r="D85" s="85"/>
      <c r="E85" s="85"/>
      <c r="F85" s="85"/>
      <c r="G85" s="85"/>
      <c r="H85" s="111"/>
      <c r="I85" s="119"/>
      <c r="J85" s="119"/>
      <c r="K85" s="119"/>
      <c r="L85" s="85"/>
      <c r="M85" s="85"/>
      <c r="N85" s="85"/>
    </row>
    <row r="86" customFormat="false" ht="15" hidden="false" customHeight="false" outlineLevel="0" collapsed="false">
      <c r="A86" s="85"/>
      <c r="B86" s="85"/>
      <c r="C86" s="85"/>
      <c r="D86" s="85"/>
      <c r="E86" s="85"/>
      <c r="F86" s="85"/>
      <c r="G86" s="85"/>
      <c r="H86" s="111"/>
      <c r="I86" s="118"/>
      <c r="J86" s="118"/>
      <c r="K86" s="118"/>
      <c r="L86" s="85"/>
      <c r="M86" s="85"/>
      <c r="N86" s="85"/>
    </row>
    <row r="87" customFormat="false" ht="15" hidden="false" customHeight="false" outlineLevel="0" collapsed="false">
      <c r="A87" s="85"/>
      <c r="B87" s="85"/>
      <c r="C87" s="85"/>
      <c r="D87" s="85"/>
      <c r="E87" s="85"/>
      <c r="F87" s="85"/>
      <c r="G87" s="85"/>
      <c r="H87" s="111"/>
      <c r="I87" s="120"/>
      <c r="J87" s="120"/>
      <c r="K87" s="120"/>
      <c r="L87" s="85"/>
      <c r="M87" s="85"/>
      <c r="N87" s="85"/>
    </row>
    <row r="88" customFormat="false" ht="15" hidden="false" customHeight="false" outlineLevel="0" collapsed="false">
      <c r="A88" s="85"/>
      <c r="B88" s="85"/>
      <c r="C88" s="85"/>
      <c r="D88" s="85"/>
      <c r="E88" s="85"/>
      <c r="F88" s="85"/>
      <c r="G88" s="85"/>
      <c r="H88" s="111"/>
      <c r="I88" s="118"/>
      <c r="J88" s="118"/>
      <c r="K88" s="118"/>
      <c r="L88" s="85"/>
      <c r="M88" s="85"/>
      <c r="N88" s="85"/>
    </row>
    <row r="89" customFormat="false" ht="15" hidden="false" customHeight="false" outlineLevel="0" collapsed="false">
      <c r="A89" s="85"/>
      <c r="B89" s="85"/>
      <c r="C89" s="85"/>
      <c r="D89" s="85"/>
      <c r="E89" s="85"/>
      <c r="F89" s="85"/>
      <c r="G89" s="85"/>
      <c r="H89" s="85"/>
      <c r="I89" s="85"/>
      <c r="J89" s="85"/>
      <c r="K89" s="85"/>
      <c r="L89" s="85"/>
      <c r="M89" s="85"/>
      <c r="N89" s="85"/>
    </row>
  </sheetData>
  <mergeCells count="28">
    <mergeCell ref="J1:M1"/>
    <mergeCell ref="A5:B5"/>
    <mergeCell ref="F5:G5"/>
    <mergeCell ref="B6:D6"/>
    <mergeCell ref="F6:P12"/>
    <mergeCell ref="B7:D7"/>
    <mergeCell ref="B8:D8"/>
    <mergeCell ref="B9:D9"/>
    <mergeCell ref="B10:D10"/>
    <mergeCell ref="B11:D11"/>
    <mergeCell ref="B12:D12"/>
    <mergeCell ref="B13:D13"/>
    <mergeCell ref="F13:G13"/>
    <mergeCell ref="B14:D14"/>
    <mergeCell ref="F14:P15"/>
    <mergeCell ref="A17:B17"/>
    <mergeCell ref="A19:A20"/>
    <mergeCell ref="A30:B30"/>
    <mergeCell ref="I30:J30"/>
    <mergeCell ref="I80:K80"/>
    <mergeCell ref="I81:K81"/>
    <mergeCell ref="I82:K82"/>
    <mergeCell ref="I83:K83"/>
    <mergeCell ref="I84:K84"/>
    <mergeCell ref="I85:K85"/>
    <mergeCell ref="I86:K86"/>
    <mergeCell ref="I87:K87"/>
    <mergeCell ref="I88:K8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96875" defaultRowHeight="15" zeroHeight="false" outlineLevelRow="0" outlineLevelCol="0"/>
  <cols>
    <col collapsed="false" customWidth="true" hidden="false" outlineLevel="0" max="1" min="1" style="0" width="31.28"/>
    <col collapsed="false" customWidth="true" hidden="false" outlineLevel="0" max="20" min="20" style="0" width="9.13"/>
    <col collapsed="false" customWidth="true" hidden="false" outlineLevel="0" max="21" min="21" style="0" width="10.56"/>
    <col collapsed="false" customWidth="true" hidden="false" outlineLevel="0" max="22" min="22" style="0" width="10.85"/>
    <col collapsed="false" customWidth="true" hidden="false" outlineLevel="0" max="23" min="23" style="0" width="10.56"/>
    <col collapsed="false" customWidth="true" hidden="false" outlineLevel="0" max="25" min="24" style="0" width="10.99"/>
    <col collapsed="false" customWidth="true" hidden="false" outlineLevel="0" max="29" min="29" style="0" width="10.28"/>
    <col collapsed="false" customWidth="true" hidden="false" outlineLevel="0" max="30" min="30" style="0" width="11.71"/>
    <col collapsed="false" customWidth="true" hidden="false" outlineLevel="0" max="31" min="31" style="0" width="11.99"/>
    <col collapsed="false" customWidth="true" hidden="false" outlineLevel="0" max="32" min="32" style="0" width="11.71"/>
    <col collapsed="false" customWidth="true" hidden="false" outlineLevel="0" max="33" min="33" style="0" width="12.13"/>
  </cols>
  <sheetData>
    <row r="1" customFormat="false" ht="21" hidden="false" customHeight="false" outlineLevel="0" collapsed="false">
      <c r="A1" s="121" t="s">
        <v>15</v>
      </c>
      <c r="B1" s="122"/>
      <c r="C1" s="122"/>
      <c r="D1" s="122"/>
      <c r="E1" s="122"/>
      <c r="F1" s="122"/>
      <c r="G1" s="122"/>
      <c r="H1" s="122"/>
      <c r="I1" s="122"/>
      <c r="J1" s="122"/>
      <c r="K1" s="122"/>
      <c r="L1" s="122"/>
      <c r="M1" s="122"/>
      <c r="N1" s="122"/>
      <c r="O1" s="123"/>
      <c r="P1" s="123"/>
      <c r="Q1" s="123"/>
      <c r="R1" s="123"/>
      <c r="S1" s="123"/>
      <c r="T1" s="123"/>
      <c r="U1" s="123"/>
      <c r="V1" s="123"/>
      <c r="W1" s="123"/>
      <c r="X1" s="123"/>
      <c r="Y1" s="123"/>
    </row>
    <row r="2" customFormat="false" ht="16.5" hidden="false" customHeight="false" outlineLevel="0" collapsed="false">
      <c r="A2" s="124" t="s">
        <v>84</v>
      </c>
      <c r="B2" s="122"/>
      <c r="C2" s="122"/>
      <c r="D2" s="122"/>
      <c r="E2" s="122"/>
      <c r="F2" s="122"/>
      <c r="G2" s="122"/>
      <c r="H2" s="122"/>
      <c r="I2" s="125"/>
      <c r="J2" s="122"/>
      <c r="K2" s="122"/>
      <c r="L2" s="125"/>
      <c r="M2" s="125"/>
      <c r="N2" s="125"/>
      <c r="O2" s="125"/>
      <c r="P2" s="123"/>
      <c r="Q2" s="123"/>
      <c r="R2" s="123"/>
      <c r="S2" s="126" t="s">
        <v>85</v>
      </c>
      <c r="T2" s="123"/>
      <c r="U2" s="123"/>
      <c r="V2" s="123"/>
      <c r="W2" s="123"/>
      <c r="X2" s="123"/>
      <c r="Y2" s="123"/>
    </row>
    <row r="3" customFormat="false" ht="17.25" hidden="false" customHeight="false" outlineLevel="0" collapsed="false">
      <c r="A3" s="127" t="s">
        <v>17</v>
      </c>
      <c r="B3" s="128" t="s">
        <v>78</v>
      </c>
      <c r="C3" s="128"/>
      <c r="D3" s="128"/>
      <c r="E3" s="128"/>
      <c r="F3" s="129"/>
      <c r="G3" s="128" t="s">
        <v>79</v>
      </c>
      <c r="H3" s="128"/>
      <c r="I3" s="128"/>
      <c r="J3" s="128"/>
      <c r="K3" s="129"/>
      <c r="L3" s="130" t="s">
        <v>80</v>
      </c>
      <c r="M3" s="130"/>
      <c r="N3" s="130"/>
      <c r="O3" s="130"/>
      <c r="P3" s="129"/>
      <c r="Q3" s="128" t="s">
        <v>81</v>
      </c>
      <c r="R3" s="128"/>
      <c r="S3" s="128"/>
      <c r="T3" s="128"/>
      <c r="U3" s="129"/>
      <c r="V3" s="129"/>
      <c r="W3" s="111"/>
      <c r="X3" s="111"/>
      <c r="Y3" s="111"/>
    </row>
    <row r="4" customFormat="false" ht="15.75" hidden="false" customHeight="false" outlineLevel="0" collapsed="false">
      <c r="A4" s="123"/>
      <c r="B4" s="131" t="s">
        <v>86</v>
      </c>
      <c r="C4" s="132" t="s">
        <v>87</v>
      </c>
      <c r="D4" s="132" t="s">
        <v>88</v>
      </c>
      <c r="E4" s="132" t="s">
        <v>89</v>
      </c>
      <c r="F4" s="133" t="s">
        <v>90</v>
      </c>
      <c r="G4" s="132" t="s">
        <v>86</v>
      </c>
      <c r="H4" s="132" t="s">
        <v>87</v>
      </c>
      <c r="I4" s="132" t="s">
        <v>88</v>
      </c>
      <c r="J4" s="132" t="s">
        <v>89</v>
      </c>
      <c r="K4" s="133" t="s">
        <v>90</v>
      </c>
      <c r="L4" s="132" t="s">
        <v>86</v>
      </c>
      <c r="M4" s="132" t="s">
        <v>87</v>
      </c>
      <c r="N4" s="132" t="s">
        <v>88</v>
      </c>
      <c r="O4" s="132" t="s">
        <v>89</v>
      </c>
      <c r="P4" s="133" t="s">
        <v>90</v>
      </c>
      <c r="Q4" s="132" t="s">
        <v>86</v>
      </c>
      <c r="R4" s="132" t="s">
        <v>87</v>
      </c>
      <c r="S4" s="132" t="s">
        <v>88</v>
      </c>
      <c r="T4" s="132" t="s">
        <v>89</v>
      </c>
      <c r="U4" s="134" t="s">
        <v>91</v>
      </c>
      <c r="V4" s="134" t="s">
        <v>92</v>
      </c>
      <c r="W4" s="134" t="s">
        <v>93</v>
      </c>
      <c r="X4" s="134" t="s">
        <v>94</v>
      </c>
      <c r="Y4" s="135" t="s">
        <v>95</v>
      </c>
    </row>
    <row r="5" customFormat="false" ht="15.75" hidden="false" customHeight="false" outlineLevel="0" collapsed="false">
      <c r="A5" s="123"/>
      <c r="B5" s="136" t="s">
        <v>96</v>
      </c>
      <c r="C5" s="137" t="s">
        <v>97</v>
      </c>
      <c r="D5" s="137" t="s">
        <v>98</v>
      </c>
      <c r="E5" s="137" t="s">
        <v>99</v>
      </c>
      <c r="F5" s="138" t="s">
        <v>52</v>
      </c>
      <c r="G5" s="137" t="s">
        <v>100</v>
      </c>
      <c r="H5" s="137" t="s">
        <v>101</v>
      </c>
      <c r="I5" s="137" t="s">
        <v>102</v>
      </c>
      <c r="J5" s="137" t="s">
        <v>103</v>
      </c>
      <c r="K5" s="138" t="s">
        <v>104</v>
      </c>
      <c r="L5" s="137" t="s">
        <v>105</v>
      </c>
      <c r="M5" s="137" t="s">
        <v>106</v>
      </c>
      <c r="N5" s="137" t="s">
        <v>107</v>
      </c>
      <c r="O5" s="137" t="s">
        <v>108</v>
      </c>
      <c r="P5" s="138" t="s">
        <v>109</v>
      </c>
      <c r="Q5" s="137" t="s">
        <v>110</v>
      </c>
      <c r="R5" s="137" t="s">
        <v>111</v>
      </c>
      <c r="S5" s="137" t="s">
        <v>112</v>
      </c>
      <c r="T5" s="137" t="s">
        <v>113</v>
      </c>
      <c r="U5" s="138" t="s">
        <v>114</v>
      </c>
      <c r="V5" s="138" t="s">
        <v>56</v>
      </c>
      <c r="W5" s="138" t="s">
        <v>57</v>
      </c>
      <c r="X5" s="139" t="s">
        <v>58</v>
      </c>
      <c r="Y5" s="140" t="s">
        <v>59</v>
      </c>
    </row>
    <row r="6" customFormat="false" ht="15.75" hidden="false" customHeight="false" outlineLevel="0" collapsed="false">
      <c r="A6" s="123"/>
      <c r="B6" s="123"/>
      <c r="C6" s="123"/>
      <c r="D6" s="122"/>
      <c r="E6" s="123"/>
      <c r="F6" s="122"/>
      <c r="G6" s="123"/>
      <c r="H6" s="123"/>
      <c r="I6" s="122"/>
      <c r="J6" s="123"/>
      <c r="K6" s="123"/>
      <c r="L6" s="123"/>
      <c r="M6" s="123"/>
      <c r="N6" s="122"/>
      <c r="O6" s="141"/>
      <c r="P6" s="141"/>
      <c r="Q6" s="141"/>
      <c r="R6" s="141"/>
      <c r="S6" s="142"/>
      <c r="T6" s="141"/>
      <c r="U6" s="141"/>
      <c r="V6" s="141"/>
      <c r="W6" s="123"/>
      <c r="X6" s="123"/>
      <c r="Y6" s="123"/>
    </row>
    <row r="7" customFormat="false" ht="15.75" hidden="false" customHeight="false" outlineLevel="0" collapsed="false">
      <c r="A7" s="143" t="s">
        <v>115</v>
      </c>
      <c r="B7" s="144"/>
      <c r="C7" s="145"/>
      <c r="D7" s="145"/>
      <c r="E7" s="145"/>
      <c r="F7" s="145"/>
      <c r="G7" s="145"/>
      <c r="H7" s="145"/>
      <c r="I7" s="145"/>
      <c r="J7" s="145"/>
      <c r="K7" s="145"/>
      <c r="L7" s="145"/>
      <c r="M7" s="145"/>
      <c r="N7" s="145"/>
      <c r="O7" s="146"/>
      <c r="P7" s="146"/>
      <c r="Q7" s="146"/>
      <c r="R7" s="146"/>
      <c r="S7" s="146"/>
      <c r="T7" s="147"/>
      <c r="U7" s="87"/>
      <c r="V7" s="87"/>
      <c r="W7" s="123"/>
      <c r="X7" s="123"/>
      <c r="Y7" s="123"/>
    </row>
    <row r="8" customFormat="false" ht="12.75" hidden="false" customHeight="true" outlineLevel="0" collapsed="false">
      <c r="A8" s="148" t="s">
        <v>69</v>
      </c>
      <c r="B8" s="149" t="n">
        <v>30766.59</v>
      </c>
      <c r="C8" s="150" t="n">
        <v>29236.8</v>
      </c>
      <c r="D8" s="150" t="n">
        <v>31494.1</v>
      </c>
      <c r="E8" s="151" t="n">
        <v>29700.8</v>
      </c>
      <c r="F8" s="152" t="n">
        <f aca="false">SUM(B8:E8)</f>
        <v>121198.29</v>
      </c>
      <c r="G8" s="153" t="n">
        <v>30067.23</v>
      </c>
      <c r="H8" s="153" t="n">
        <v>32486.93</v>
      </c>
      <c r="I8" s="154" t="n">
        <v>31120.1</v>
      </c>
      <c r="J8" s="153" t="n">
        <v>33801.6</v>
      </c>
      <c r="K8" s="155" t="n">
        <f aca="false">SUM(G8:J8)</f>
        <v>127475.86</v>
      </c>
      <c r="L8" s="156" t="n">
        <v>41192.8</v>
      </c>
      <c r="M8" s="156" t="n">
        <v>44953.8</v>
      </c>
      <c r="N8" s="154" t="n">
        <v>49507.4</v>
      </c>
      <c r="O8" s="156" t="n">
        <v>47429.6</v>
      </c>
      <c r="P8" s="157" t="n">
        <f aca="false">SUM(L8:O8)</f>
        <v>183083.6</v>
      </c>
      <c r="Q8" s="158" t="n">
        <v>46417.1</v>
      </c>
      <c r="R8" s="158" t="n">
        <v>49691.3</v>
      </c>
      <c r="S8" s="159" t="n">
        <v>45274.4</v>
      </c>
      <c r="T8" s="160" t="n">
        <f aca="false">U8-(Q8+R8+S8)</f>
        <v>63670.83</v>
      </c>
      <c r="U8" s="161" t="n">
        <v>205053.63</v>
      </c>
      <c r="V8" s="162" t="n">
        <v>246064</v>
      </c>
      <c r="W8" s="163" t="n">
        <v>295277</v>
      </c>
      <c r="X8" s="163" t="n">
        <v>369097</v>
      </c>
      <c r="Y8" s="163" t="n">
        <v>479825</v>
      </c>
    </row>
    <row r="9" customFormat="false" ht="12.75" hidden="false" customHeight="true" outlineLevel="0" collapsed="false">
      <c r="A9" s="148" t="s">
        <v>70</v>
      </c>
      <c r="B9" s="164" t="n">
        <v>5008.51</v>
      </c>
      <c r="C9" s="165" t="n">
        <v>4971.7</v>
      </c>
      <c r="D9" s="165" t="n">
        <v>6412.5</v>
      </c>
      <c r="E9" s="166" t="n">
        <v>4761.8</v>
      </c>
      <c r="F9" s="167" t="n">
        <f aca="false">SUM(B9:E9)</f>
        <v>21154.51</v>
      </c>
      <c r="G9" s="166" t="n">
        <v>4894.67</v>
      </c>
      <c r="H9" s="166" t="n">
        <v>5288.57</v>
      </c>
      <c r="I9" s="166" t="n">
        <v>6021.6</v>
      </c>
      <c r="J9" s="166" t="n">
        <v>5761.5</v>
      </c>
      <c r="K9" s="167" t="n">
        <f aca="false">SUM(G9:J9)</f>
        <v>21966.34</v>
      </c>
      <c r="L9" s="166" t="n">
        <v>6213.8</v>
      </c>
      <c r="M9" s="166" t="n">
        <v>6215</v>
      </c>
      <c r="N9" s="166" t="n">
        <v>6140.9</v>
      </c>
      <c r="O9" s="156" t="n">
        <v>6511</v>
      </c>
      <c r="P9" s="167" t="n">
        <f aca="false">SUM(L9:O9)</f>
        <v>25080.7</v>
      </c>
      <c r="Q9" s="156" t="n">
        <v>7331.5</v>
      </c>
      <c r="R9" s="166" t="n">
        <v>8429.5</v>
      </c>
      <c r="S9" s="166" t="n">
        <v>8527.8</v>
      </c>
      <c r="T9" s="168" t="n">
        <f aca="false">U9-(Q9+R9+S9)</f>
        <v>10573.2</v>
      </c>
      <c r="U9" s="169" t="n">
        <v>34862</v>
      </c>
      <c r="V9" s="170" t="n">
        <v>45321</v>
      </c>
      <c r="W9" s="171" t="n">
        <v>61183</v>
      </c>
      <c r="X9" s="171" t="n">
        <v>82597</v>
      </c>
      <c r="Y9" s="171" t="n">
        <v>113984</v>
      </c>
    </row>
    <row r="10" customFormat="false" ht="12" hidden="false" customHeight="true" outlineLevel="0" collapsed="false">
      <c r="A10" s="148" t="s">
        <v>71</v>
      </c>
      <c r="B10" s="164" t="n">
        <v>5502.8</v>
      </c>
      <c r="C10" s="165" t="n">
        <v>5455.6</v>
      </c>
      <c r="D10" s="165" t="n">
        <v>7306</v>
      </c>
      <c r="E10" s="166" t="n">
        <v>7437.2</v>
      </c>
      <c r="F10" s="167" t="n">
        <f aca="false">SUM(B10:E10)</f>
        <v>25701.6</v>
      </c>
      <c r="G10" s="166" t="n">
        <v>7783.9</v>
      </c>
      <c r="H10" s="166" t="n">
        <v>6402.2</v>
      </c>
      <c r="I10" s="166" t="n">
        <v>5378.1</v>
      </c>
      <c r="J10" s="166" t="n">
        <v>7467</v>
      </c>
      <c r="K10" s="167" t="n">
        <f aca="false">SUM(G10:J10)</f>
        <v>27031.2</v>
      </c>
      <c r="L10" s="166" t="n">
        <v>8007.9</v>
      </c>
      <c r="M10" s="166" t="n">
        <v>6287.3</v>
      </c>
      <c r="N10" s="166" t="n">
        <v>6226.8</v>
      </c>
      <c r="O10" s="166" t="n">
        <v>6813.3</v>
      </c>
      <c r="P10" s="167" t="n">
        <f aca="false">SUM(L10:O10)</f>
        <v>27335.3</v>
      </c>
      <c r="Q10" s="166" t="n">
        <v>6225.7</v>
      </c>
      <c r="R10" s="166" t="n">
        <v>6156.6</v>
      </c>
      <c r="S10" s="166" t="n">
        <v>7927.1</v>
      </c>
      <c r="T10" s="168" t="n">
        <f aca="false">U10-(Q10+R10+S10)</f>
        <v>9264.6</v>
      </c>
      <c r="U10" s="169" t="n">
        <v>29574</v>
      </c>
      <c r="V10" s="170" t="n">
        <v>32531</v>
      </c>
      <c r="W10" s="171" t="n">
        <v>36110</v>
      </c>
      <c r="X10" s="171" t="n">
        <v>40443</v>
      </c>
      <c r="Y10" s="171" t="n">
        <v>46105</v>
      </c>
    </row>
    <row r="11" customFormat="false" ht="12" hidden="false" customHeight="true" outlineLevel="0" collapsed="false">
      <c r="A11" s="148" t="s">
        <v>72</v>
      </c>
      <c r="B11" s="164" t="n">
        <v>6406.2</v>
      </c>
      <c r="C11" s="165" t="n">
        <v>4219.1</v>
      </c>
      <c r="D11" s="165" t="n">
        <v>6261.1</v>
      </c>
      <c r="E11" s="166" t="n">
        <v>4332.1</v>
      </c>
      <c r="F11" s="167" t="n">
        <f aca="false">SUM(B11:E11)</f>
        <v>21218.5</v>
      </c>
      <c r="G11" s="166" t="n">
        <v>6751.5</v>
      </c>
      <c r="H11" s="166" t="n">
        <v>7033.3</v>
      </c>
      <c r="I11" s="166" t="n">
        <v>5278.3</v>
      </c>
      <c r="J11" s="166" t="n">
        <v>7897.8</v>
      </c>
      <c r="K11" s="167" t="n">
        <f aca="false">SUM(G11:J11)</f>
        <v>26960.9</v>
      </c>
      <c r="L11" s="166" t="n">
        <v>7997</v>
      </c>
      <c r="M11" s="166" t="n">
        <v>10902.1</v>
      </c>
      <c r="N11" s="166" t="n">
        <v>3329.9</v>
      </c>
      <c r="O11" s="166" t="n">
        <v>7671.4</v>
      </c>
      <c r="P11" s="167" t="n">
        <f aca="false">SUM(L11:O11)</f>
        <v>29900.4</v>
      </c>
      <c r="Q11" s="166" t="n">
        <v>6839</v>
      </c>
      <c r="R11" s="166" t="n">
        <v>5150.9</v>
      </c>
      <c r="S11" s="166" t="n">
        <v>7102.6</v>
      </c>
      <c r="T11" s="168" t="n">
        <f aca="false">U11-(Q11+R11+S11)</f>
        <v>10903.5</v>
      </c>
      <c r="U11" s="169" t="n">
        <v>29996</v>
      </c>
      <c r="V11" s="170" t="n">
        <v>35995</v>
      </c>
      <c r="W11" s="171" t="n">
        <v>41395</v>
      </c>
      <c r="X11" s="171" t="n">
        <v>49674</v>
      </c>
      <c r="Y11" s="171" t="n">
        <v>60602</v>
      </c>
    </row>
    <row r="12" customFormat="false" ht="12" hidden="false" customHeight="true" outlineLevel="0" collapsed="false">
      <c r="A12" s="148" t="s">
        <v>73</v>
      </c>
      <c r="B12" s="164" t="n">
        <v>714.9</v>
      </c>
      <c r="C12" s="165" t="n">
        <v>816</v>
      </c>
      <c r="D12" s="165" t="n">
        <v>993.7</v>
      </c>
      <c r="E12" s="166" t="n">
        <v>915</v>
      </c>
      <c r="F12" s="167" t="n">
        <f aca="false">SUM(B12:E12)</f>
        <v>3439.6</v>
      </c>
      <c r="G12" s="166" t="n">
        <v>922.5</v>
      </c>
      <c r="H12" s="166" t="n">
        <v>896</v>
      </c>
      <c r="I12" s="166" t="n">
        <v>995.5</v>
      </c>
      <c r="J12" s="166" t="n">
        <v>1079.1</v>
      </c>
      <c r="K12" s="167" t="n">
        <f aca="false">SUM(G12:J12)</f>
        <v>3893.1</v>
      </c>
      <c r="L12" s="166" t="n">
        <v>855.4</v>
      </c>
      <c r="M12" s="166" t="n">
        <v>905.9</v>
      </c>
      <c r="N12" s="166" t="n">
        <v>1064.9</v>
      </c>
      <c r="O12" s="166" t="n">
        <v>992.4</v>
      </c>
      <c r="P12" s="167" t="n">
        <f aca="false">SUM(L12:O12)</f>
        <v>3818.6</v>
      </c>
      <c r="Q12" s="166" t="n">
        <v>1057.3</v>
      </c>
      <c r="R12" s="166" t="n">
        <v>1029.3</v>
      </c>
      <c r="S12" s="166" t="n">
        <v>1160.6</v>
      </c>
      <c r="T12" s="168" t="n">
        <f aca="false">U12-(Q12+R12+S12)</f>
        <v>1110.8</v>
      </c>
      <c r="U12" s="172" t="n">
        <v>4358</v>
      </c>
      <c r="V12" s="170" t="n">
        <v>5012</v>
      </c>
      <c r="W12" s="171" t="n">
        <v>5814</v>
      </c>
      <c r="X12" s="171" t="n">
        <v>6860</v>
      </c>
      <c r="Y12" s="171" t="n">
        <v>8232</v>
      </c>
    </row>
    <row r="13" customFormat="false" ht="12" hidden="false" customHeight="true" outlineLevel="0" collapsed="false">
      <c r="A13" s="148" t="s">
        <v>74</v>
      </c>
      <c r="B13" s="173" t="n">
        <v>50.8</v>
      </c>
      <c r="C13" s="174" t="n">
        <v>62.7</v>
      </c>
      <c r="D13" s="174" t="n">
        <v>70.7</v>
      </c>
      <c r="E13" s="175" t="n">
        <v>69.4</v>
      </c>
      <c r="F13" s="176" t="n">
        <f aca="false">SUM(B13:E13)</f>
        <v>253.6</v>
      </c>
      <c r="G13" s="175" t="n">
        <v>67.1</v>
      </c>
      <c r="H13" s="175" t="n">
        <v>76.4</v>
      </c>
      <c r="I13" s="175" t="n">
        <v>70.3</v>
      </c>
      <c r="J13" s="175" t="n">
        <v>71.7</v>
      </c>
      <c r="K13" s="177" t="n">
        <f aca="false">SUM(G13:J13)</f>
        <v>285.5</v>
      </c>
      <c r="L13" s="175" t="n">
        <v>65.3</v>
      </c>
      <c r="M13" s="175" t="n">
        <v>65.4</v>
      </c>
      <c r="N13" s="175" t="n">
        <v>63.5</v>
      </c>
      <c r="O13" s="175" t="n">
        <v>49.1</v>
      </c>
      <c r="P13" s="177" t="n">
        <f aca="false">SUM(L13:O13)</f>
        <v>243.3</v>
      </c>
      <c r="Q13" s="175" t="n">
        <v>37.8</v>
      </c>
      <c r="R13" s="175" t="n">
        <v>34.2</v>
      </c>
      <c r="S13" s="175" t="n">
        <v>28.5</v>
      </c>
      <c r="T13" s="168" t="n">
        <f aca="false">U13-(Q13+R13+S13)</f>
        <v>92.5</v>
      </c>
      <c r="U13" s="169" t="n">
        <v>193</v>
      </c>
      <c r="V13" s="170" t="n">
        <v>222</v>
      </c>
      <c r="W13" s="171" t="n">
        <v>244</v>
      </c>
      <c r="X13" s="171" t="n">
        <v>273</v>
      </c>
      <c r="Y13" s="171" t="n">
        <v>309</v>
      </c>
    </row>
    <row r="14" customFormat="false" ht="12.75" hidden="false" customHeight="true" outlineLevel="0" collapsed="false">
      <c r="A14" s="148" t="s">
        <v>75</v>
      </c>
      <c r="B14" s="164" t="n">
        <v>742.1</v>
      </c>
      <c r="C14" s="165" t="n">
        <v>1607</v>
      </c>
      <c r="D14" s="165" t="n">
        <v>1764.2</v>
      </c>
      <c r="E14" s="166" t="n">
        <v>983.8</v>
      </c>
      <c r="F14" s="167" t="n">
        <f aca="false">SUM(B14:E14)</f>
        <v>5097.1</v>
      </c>
      <c r="G14" s="166" t="n">
        <v>806</v>
      </c>
      <c r="H14" s="166" t="n">
        <v>1636.1</v>
      </c>
      <c r="I14" s="166" t="n">
        <v>1571.4</v>
      </c>
      <c r="J14" s="166" t="n">
        <v>1054.6</v>
      </c>
      <c r="K14" s="167" t="n">
        <f aca="false">SUM(G14:J14)</f>
        <v>5068.1</v>
      </c>
      <c r="L14" s="166" t="n">
        <v>1231.1</v>
      </c>
      <c r="M14" s="166" t="n">
        <v>1929.3</v>
      </c>
      <c r="N14" s="166" t="n">
        <v>2526.2</v>
      </c>
      <c r="O14" s="166" t="n">
        <v>62.8</v>
      </c>
      <c r="P14" s="167" t="n">
        <f aca="false">SUM(L14:O14)</f>
        <v>5749.4</v>
      </c>
      <c r="Q14" s="166" t="n">
        <v>100.4</v>
      </c>
      <c r="R14" s="166" t="n">
        <v>142.1</v>
      </c>
      <c r="S14" s="166" t="n">
        <v>136.8</v>
      </c>
      <c r="T14" s="168" t="n">
        <f aca="false">U14-(Q14+R14+S14)</f>
        <v>22.7</v>
      </c>
      <c r="U14" s="169" t="n">
        <v>402</v>
      </c>
      <c r="V14" s="170" t="n">
        <v>443</v>
      </c>
      <c r="W14" s="171" t="n">
        <v>496</v>
      </c>
      <c r="X14" s="171" t="n">
        <v>555</v>
      </c>
      <c r="Y14" s="171" t="n">
        <v>633</v>
      </c>
    </row>
    <row r="15" customFormat="false" ht="15" hidden="false" customHeight="false" outlineLevel="0" collapsed="false">
      <c r="A15" s="178" t="s">
        <v>76</v>
      </c>
      <c r="B15" s="179" t="n">
        <f aca="false">SUM(B8:B14)</f>
        <v>49191.9</v>
      </c>
      <c r="C15" s="180" t="n">
        <f aca="false">SUM(C8:C14)</f>
        <v>46368.9</v>
      </c>
      <c r="D15" s="181" t="n">
        <f aca="false">SUM(D8:D14)</f>
        <v>54302.3</v>
      </c>
      <c r="E15" s="182" t="n">
        <f aca="false">SUM(E8:E14)</f>
        <v>48200.1</v>
      </c>
      <c r="F15" s="183" t="n">
        <f aca="false">F8+F9+F10+F11+F12+F13+F14</f>
        <v>198063.2</v>
      </c>
      <c r="G15" s="182" t="n">
        <f aca="false">SUM(G8:G14)</f>
        <v>51292.9</v>
      </c>
      <c r="H15" s="182" t="n">
        <f aca="false">SUM(H8:H14)</f>
        <v>53819.5</v>
      </c>
      <c r="I15" s="184" t="n">
        <f aca="false">SUM(I8:I14)</f>
        <v>50435.3</v>
      </c>
      <c r="J15" s="185" t="n">
        <f aca="false">SUM(J8:J14)</f>
        <v>57133.3</v>
      </c>
      <c r="K15" s="186" t="n">
        <f aca="false">K8+K9+K10+K11+K12+K13+K14</f>
        <v>212681</v>
      </c>
      <c r="L15" s="187" t="n">
        <f aca="false">SUM(L8:L14)</f>
        <v>65563.3</v>
      </c>
      <c r="M15" s="187" t="n">
        <f aca="false">SUM(M8:M14)</f>
        <v>71258.8</v>
      </c>
      <c r="N15" s="187" t="n">
        <f aca="false">SUM(N8:N14)</f>
        <v>68859.6</v>
      </c>
      <c r="O15" s="188" t="n">
        <f aca="false">SUM(O8:O14)</f>
        <v>69529.6</v>
      </c>
      <c r="P15" s="186" t="n">
        <f aca="false">P8+P9+P10+P11+P12+P13+P14</f>
        <v>275211.3</v>
      </c>
      <c r="Q15" s="189" t="n">
        <f aca="false">SUM(Q8:Q14)</f>
        <v>68008.8</v>
      </c>
      <c r="R15" s="189" t="n">
        <f aca="false">SUM(R8:R14)</f>
        <v>70633.9</v>
      </c>
      <c r="S15" s="189" t="n">
        <f aca="false">SUM(S8:S14)</f>
        <v>70157.8</v>
      </c>
      <c r="T15" s="190" t="n">
        <f aca="false">SUM(T8:T14)</f>
        <v>95638.13</v>
      </c>
      <c r="U15" s="191" t="n">
        <f aca="false">Q15+R15+S15+T15</f>
        <v>304438.63</v>
      </c>
      <c r="V15" s="192" t="n">
        <f aca="false">SUM(V8:V14)</f>
        <v>365588</v>
      </c>
      <c r="W15" s="193" t="n">
        <f aca="false">SUM(W8:W14)</f>
        <v>440519</v>
      </c>
      <c r="X15" s="193" t="n">
        <f aca="false">SUM(X8:X14)</f>
        <v>549499</v>
      </c>
      <c r="Y15" s="193" t="n">
        <f aca="false">SUM(Y8:Y14)</f>
        <v>709690</v>
      </c>
    </row>
    <row r="16" customFormat="false" ht="12.75" hidden="false" customHeight="true" outlineLevel="0" collapsed="false">
      <c r="A16" s="148" t="s">
        <v>116</v>
      </c>
      <c r="B16" s="164" t="n">
        <v>6519.3</v>
      </c>
      <c r="C16" s="165" t="n">
        <v>6513.1</v>
      </c>
      <c r="D16" s="165" t="n">
        <v>7278.5</v>
      </c>
      <c r="E16" s="166" t="n">
        <v>6844.3</v>
      </c>
      <c r="F16" s="167" t="n">
        <f aca="false">SUM(B16:E16)</f>
        <v>27155.2</v>
      </c>
      <c r="G16" s="166" t="n">
        <v>6452.1</v>
      </c>
      <c r="H16" s="166" t="n">
        <v>6724.5</v>
      </c>
      <c r="I16" s="166" t="n">
        <v>5603.8</v>
      </c>
      <c r="J16" s="166" t="n">
        <v>6783.8</v>
      </c>
      <c r="K16" s="167" t="n">
        <v>8245</v>
      </c>
      <c r="L16" s="166" t="n">
        <v>7108.5</v>
      </c>
      <c r="M16" s="166" t="n">
        <v>7676.8</v>
      </c>
      <c r="N16" s="166" t="n">
        <v>8391.5</v>
      </c>
      <c r="O16" s="166" t="n">
        <v>8486.5</v>
      </c>
      <c r="P16" s="167" t="n">
        <f aca="false">SUM(L16:O16)</f>
        <v>31663.3</v>
      </c>
      <c r="Q16" s="166" t="n">
        <v>-7794.6</v>
      </c>
      <c r="R16" s="166" t="n">
        <v>-8612.1</v>
      </c>
      <c r="S16" s="166" t="n">
        <v>-8279.4</v>
      </c>
      <c r="T16" s="168" t="n">
        <v>35175.2</v>
      </c>
      <c r="U16" s="194" t="n">
        <f aca="false">SUM(Q16:T16)</f>
        <v>10489.1</v>
      </c>
      <c r="V16" s="170" t="n">
        <v>26223</v>
      </c>
      <c r="W16" s="171" t="n">
        <v>62935</v>
      </c>
      <c r="X16" s="171" t="n">
        <v>151043</v>
      </c>
      <c r="Y16" s="171" t="n">
        <v>370055</v>
      </c>
    </row>
    <row r="17" customFormat="false" ht="15" hidden="false" customHeight="true" outlineLevel="0" collapsed="false">
      <c r="A17" s="195" t="s">
        <v>117</v>
      </c>
      <c r="B17" s="196" t="n">
        <f aca="false">B15-B16</f>
        <v>42672.6</v>
      </c>
      <c r="C17" s="197" t="n">
        <f aca="false">C15-C16</f>
        <v>39855.8</v>
      </c>
      <c r="D17" s="197" t="n">
        <f aca="false">D15-D16</f>
        <v>47023.8</v>
      </c>
      <c r="E17" s="198" t="n">
        <f aca="false">E15-E16</f>
        <v>41355.8</v>
      </c>
      <c r="F17" s="199" t="n">
        <f aca="false">SUM(B17:E17)</f>
        <v>170908</v>
      </c>
      <c r="G17" s="200" t="n">
        <f aca="false">G15-G16</f>
        <v>44840.8</v>
      </c>
      <c r="H17" s="200" t="n">
        <f aca="false">H15-H16</f>
        <v>47095</v>
      </c>
      <c r="I17" s="200" t="n">
        <f aca="false">I15-I16</f>
        <v>44831.5</v>
      </c>
      <c r="J17" s="198" t="n">
        <f aca="false">J15-J16</f>
        <v>50349.5</v>
      </c>
      <c r="K17" s="201" t="n">
        <f aca="false">K15-K16</f>
        <v>204436</v>
      </c>
      <c r="L17" s="200" t="n">
        <f aca="false">L15-L16</f>
        <v>58454.8</v>
      </c>
      <c r="M17" s="198" t="n">
        <f aca="false">M15-M16</f>
        <v>63582</v>
      </c>
      <c r="N17" s="200" t="n">
        <f aca="false">N15-N16</f>
        <v>60468.1</v>
      </c>
      <c r="O17" s="200" t="n">
        <f aca="false">O15-O16</f>
        <v>61043.1</v>
      </c>
      <c r="P17" s="201" t="n">
        <f aca="false">P15-P16</f>
        <v>243548</v>
      </c>
      <c r="Q17" s="200" t="n">
        <f aca="false">SUM(Q15:Q16)</f>
        <v>60214.2</v>
      </c>
      <c r="R17" s="200" t="n">
        <f aca="false">SUM(R15:R16)</f>
        <v>62021.8</v>
      </c>
      <c r="S17" s="200" t="n">
        <f aca="false">SUM(S15:S16)</f>
        <v>61878.4</v>
      </c>
      <c r="T17" s="202" t="n">
        <f aca="false">T15-T16</f>
        <v>60462.93</v>
      </c>
      <c r="U17" s="203" t="n">
        <f aca="false">U15-U16</f>
        <v>293949.53</v>
      </c>
      <c r="V17" s="204" t="n">
        <f aca="false">V15-V16</f>
        <v>339365</v>
      </c>
      <c r="W17" s="205" t="n">
        <f aca="false">W15-W16</f>
        <v>377584</v>
      </c>
      <c r="X17" s="205" t="n">
        <f aca="false">X15-X16</f>
        <v>398456</v>
      </c>
      <c r="Y17" s="205" t="n">
        <f aca="false">Y15-Y16</f>
        <v>339635</v>
      </c>
    </row>
    <row r="18" customFormat="false" ht="15.75" hidden="false" customHeight="false" outlineLevel="0" collapsed="false">
      <c r="A18" s="206"/>
      <c r="B18" s="206"/>
      <c r="C18" s="206"/>
      <c r="D18" s="207"/>
      <c r="E18" s="206"/>
      <c r="F18" s="207"/>
      <c r="G18" s="207"/>
      <c r="H18" s="207"/>
      <c r="I18" s="207"/>
      <c r="J18" s="206"/>
      <c r="K18" s="206"/>
      <c r="L18" s="207"/>
      <c r="M18" s="207"/>
      <c r="N18" s="207"/>
      <c r="O18" s="208"/>
      <c r="P18" s="208"/>
      <c r="Q18" s="209"/>
      <c r="R18" s="209"/>
      <c r="S18" s="209"/>
      <c r="T18" s="208"/>
      <c r="U18" s="208"/>
      <c r="V18" s="208"/>
      <c r="W18" s="210"/>
      <c r="X18" s="123"/>
      <c r="Y18" s="123"/>
    </row>
    <row r="19" customFormat="false" ht="15" hidden="false" customHeight="false" outlineLevel="0" collapsed="false">
      <c r="A19" s="111"/>
      <c r="B19" s="111"/>
      <c r="C19" s="111"/>
      <c r="D19" s="211"/>
      <c r="E19" s="111"/>
      <c r="F19" s="211"/>
      <c r="G19" s="211"/>
      <c r="H19" s="211"/>
      <c r="I19" s="211"/>
      <c r="J19" s="111"/>
      <c r="K19" s="111"/>
      <c r="L19" s="211"/>
      <c r="M19" s="211"/>
      <c r="N19" s="211"/>
      <c r="O19" s="212"/>
      <c r="P19" s="212"/>
      <c r="Q19" s="213"/>
      <c r="R19" s="213"/>
      <c r="S19" s="213"/>
      <c r="T19" s="212"/>
      <c r="U19" s="212"/>
      <c r="V19" s="212"/>
      <c r="W19" s="210"/>
      <c r="X19" s="123"/>
      <c r="Y19" s="123"/>
    </row>
    <row r="21" customFormat="false" ht="13.5" hidden="false" customHeight="true" outlineLevel="0" collapsed="false"/>
    <row r="22" customFormat="false" ht="20.25" hidden="false" customHeight="true" outlineLevel="0" collapsed="false">
      <c r="A22" s="214" t="s">
        <v>118</v>
      </c>
      <c r="B22" s="215" t="s">
        <v>119</v>
      </c>
      <c r="C22" s="215"/>
      <c r="D22" s="215"/>
      <c r="E22" s="215"/>
      <c r="F22" s="215"/>
      <c r="G22" s="215"/>
      <c r="H22" s="216" t="s">
        <v>120</v>
      </c>
      <c r="I22" s="215" t="s">
        <v>121</v>
      </c>
      <c r="J22" s="215"/>
      <c r="K22" s="215"/>
      <c r="L22" s="215"/>
      <c r="M22" s="215"/>
      <c r="N22" s="215"/>
      <c r="O22" s="216" t="s">
        <v>120</v>
      </c>
      <c r="P22" s="215" t="s">
        <v>122</v>
      </c>
      <c r="Q22" s="215"/>
      <c r="R22" s="215"/>
      <c r="S22" s="215"/>
      <c r="T22" s="215"/>
      <c r="U22" s="215"/>
      <c r="V22" s="216" t="s">
        <v>120</v>
      </c>
      <c r="W22" s="215" t="s">
        <v>123</v>
      </c>
      <c r="X22" s="215"/>
      <c r="Y22" s="215"/>
      <c r="Z22" s="215"/>
      <c r="AA22" s="215"/>
      <c r="AB22" s="215"/>
      <c r="AC22" s="217" t="s">
        <v>124</v>
      </c>
      <c r="AD22" s="218" t="s">
        <v>125</v>
      </c>
      <c r="AE22" s="218" t="s">
        <v>126</v>
      </c>
      <c r="AF22" s="218" t="s">
        <v>127</v>
      </c>
      <c r="AG22" s="218" t="s">
        <v>128</v>
      </c>
    </row>
    <row r="23" customFormat="false" ht="16.5" hidden="false" customHeight="false" outlineLevel="0" collapsed="false">
      <c r="A23" s="219" t="s">
        <v>129</v>
      </c>
      <c r="B23" s="220" t="s">
        <v>130</v>
      </c>
      <c r="C23" s="221" t="s">
        <v>131</v>
      </c>
      <c r="D23" s="222" t="s">
        <v>132</v>
      </c>
      <c r="E23" s="223" t="s">
        <v>133</v>
      </c>
      <c r="F23" s="222" t="s">
        <v>134</v>
      </c>
      <c r="G23" s="224" t="s">
        <v>135</v>
      </c>
      <c r="H23" s="225" t="s">
        <v>136</v>
      </c>
      <c r="I23" s="220" t="s">
        <v>130</v>
      </c>
      <c r="J23" s="226" t="s">
        <v>131</v>
      </c>
      <c r="K23" s="227" t="s">
        <v>132</v>
      </c>
      <c r="L23" s="227" t="s">
        <v>133</v>
      </c>
      <c r="M23" s="227" t="s">
        <v>134</v>
      </c>
      <c r="N23" s="228" t="s">
        <v>135</v>
      </c>
      <c r="O23" s="225" t="s">
        <v>137</v>
      </c>
      <c r="P23" s="229" t="s">
        <v>130</v>
      </c>
      <c r="Q23" s="226" t="s">
        <v>131</v>
      </c>
      <c r="R23" s="227" t="s">
        <v>132</v>
      </c>
      <c r="S23" s="227" t="s">
        <v>133</v>
      </c>
      <c r="T23" s="227" t="s">
        <v>134</v>
      </c>
      <c r="U23" s="228" t="s">
        <v>135</v>
      </c>
      <c r="V23" s="230" t="s">
        <v>138</v>
      </c>
      <c r="W23" s="229" t="s">
        <v>130</v>
      </c>
      <c r="X23" s="226" t="s">
        <v>131</v>
      </c>
      <c r="Y23" s="227" t="s">
        <v>132</v>
      </c>
      <c r="Z23" s="227" t="s">
        <v>133</v>
      </c>
      <c r="AA23" s="227" t="s">
        <v>134</v>
      </c>
      <c r="AB23" s="228" t="s">
        <v>135</v>
      </c>
      <c r="AC23" s="230" t="s">
        <v>139</v>
      </c>
      <c r="AD23" s="231"/>
      <c r="AE23" s="232"/>
      <c r="AF23" s="232"/>
      <c r="AG23" s="233"/>
    </row>
    <row r="24" customFormat="false" ht="14.25" hidden="false" customHeight="true" outlineLevel="0" collapsed="false">
      <c r="A24" s="234"/>
      <c r="B24" s="235" t="s">
        <v>140</v>
      </c>
      <c r="C24" s="236" t="s">
        <v>141</v>
      </c>
      <c r="D24" s="237"/>
      <c r="E24" s="238" t="s">
        <v>142</v>
      </c>
      <c r="F24" s="239"/>
      <c r="G24" s="240" t="s">
        <v>143</v>
      </c>
      <c r="H24" s="241"/>
      <c r="I24" s="235" t="s">
        <v>140</v>
      </c>
      <c r="J24" s="242" t="s">
        <v>141</v>
      </c>
      <c r="K24" s="243"/>
      <c r="L24" s="244" t="s">
        <v>142</v>
      </c>
      <c r="M24" s="244"/>
      <c r="N24" s="245" t="s">
        <v>143</v>
      </c>
      <c r="O24" s="241"/>
      <c r="P24" s="246" t="s">
        <v>140</v>
      </c>
      <c r="Q24" s="242" t="s">
        <v>141</v>
      </c>
      <c r="R24" s="243"/>
      <c r="S24" s="244" t="s">
        <v>142</v>
      </c>
      <c r="T24" s="244"/>
      <c r="U24" s="245" t="s">
        <v>143</v>
      </c>
      <c r="V24" s="247"/>
      <c r="W24" s="246" t="s">
        <v>140</v>
      </c>
      <c r="X24" s="242" t="s">
        <v>141</v>
      </c>
      <c r="Y24" s="243"/>
      <c r="Z24" s="244" t="s">
        <v>142</v>
      </c>
      <c r="AA24" s="244"/>
      <c r="AB24" s="245" t="s">
        <v>143</v>
      </c>
      <c r="AC24" s="248"/>
      <c r="AD24" s="249" t="s">
        <v>144</v>
      </c>
      <c r="AE24" s="250" t="s">
        <v>145</v>
      </c>
      <c r="AF24" s="250" t="s">
        <v>146</v>
      </c>
      <c r="AG24" s="251" t="s">
        <v>147</v>
      </c>
    </row>
    <row r="25" customFormat="false" ht="17.25" hidden="false" customHeight="false" outlineLevel="0" collapsed="false">
      <c r="A25" s="252" t="s">
        <v>148</v>
      </c>
      <c r="B25" s="253" t="n">
        <v>473034</v>
      </c>
      <c r="C25" s="254" t="n">
        <v>435830</v>
      </c>
      <c r="D25" s="253" t="n">
        <f aca="false">B25+C25</f>
        <v>908864</v>
      </c>
      <c r="E25" s="253" t="n">
        <v>510622</v>
      </c>
      <c r="F25" s="253" t="n">
        <f aca="false">D25+E25</f>
        <v>1419486</v>
      </c>
      <c r="G25" s="253" t="n">
        <v>388340</v>
      </c>
      <c r="H25" s="255" t="n">
        <v>1604718</v>
      </c>
      <c r="I25" s="253" t="n">
        <v>424568</v>
      </c>
      <c r="J25" s="253" t="n">
        <v>452890</v>
      </c>
      <c r="K25" s="253" t="n">
        <f aca="false">I25+J25</f>
        <v>877458</v>
      </c>
      <c r="L25" s="253" t="n">
        <v>429833</v>
      </c>
      <c r="M25" s="253" t="n">
        <f aca="false">K25+L25</f>
        <v>1307291</v>
      </c>
      <c r="N25" s="253" t="n">
        <v>493529</v>
      </c>
      <c r="O25" s="255" t="n">
        <f aca="false">M25+N25</f>
        <v>1800820</v>
      </c>
      <c r="P25" s="253" t="n">
        <v>573071</v>
      </c>
      <c r="Q25" s="253" t="n">
        <v>617261</v>
      </c>
      <c r="R25" s="253" t="n">
        <f aca="false">P25+Q25</f>
        <v>1190332</v>
      </c>
      <c r="S25" s="253" t="n">
        <v>581602</v>
      </c>
      <c r="T25" s="253" t="n">
        <f aca="false">R25+S25</f>
        <v>1771934</v>
      </c>
      <c r="U25" s="253" t="n">
        <v>623395</v>
      </c>
      <c r="V25" s="255" t="n">
        <v>2377595</v>
      </c>
      <c r="W25" s="253" t="n">
        <v>604133</v>
      </c>
      <c r="X25" s="253" t="n">
        <v>622434</v>
      </c>
      <c r="Y25" s="253" t="n">
        <f aca="false">W25+X25</f>
        <v>1226567</v>
      </c>
      <c r="Z25" s="253" t="n">
        <v>620571</v>
      </c>
      <c r="AA25" s="253" t="n">
        <f aca="false">Y25+Z25</f>
        <v>1847138</v>
      </c>
      <c r="AB25" s="253" t="n">
        <v>625000</v>
      </c>
      <c r="AC25" s="255" t="n">
        <f aca="false">AA25+AB25</f>
        <v>2472138</v>
      </c>
      <c r="AD25" s="256" t="n">
        <v>3263222.2</v>
      </c>
      <c r="AE25" s="256" t="n">
        <v>4405349.97</v>
      </c>
      <c r="AF25" s="257" t="n">
        <v>6167490</v>
      </c>
      <c r="AG25" s="257" t="n">
        <v>8942860</v>
      </c>
    </row>
    <row r="26" customFormat="false" ht="17.25" hidden="false" customHeight="false" outlineLevel="0" collapsed="false">
      <c r="A26" s="252" t="s">
        <v>149</v>
      </c>
      <c r="B26" s="253" t="n">
        <f aca="false">B27+B28+B29+B30+B31</f>
        <v>405447</v>
      </c>
      <c r="C26" s="253" t="n">
        <f aca="false">C27+C28+C29+C30+C31</f>
        <v>347032</v>
      </c>
      <c r="D26" s="253" t="n">
        <f aca="false">D27+D28+D29+D30+D31</f>
        <v>752479</v>
      </c>
      <c r="E26" s="253" t="n">
        <f aca="false">E27+E28+E29+E30+E31</f>
        <v>412443</v>
      </c>
      <c r="F26" s="253" t="n">
        <f aca="false">F27+F28+F29+F30+F31</f>
        <v>1164922</v>
      </c>
      <c r="G26" s="253" t="n">
        <f aca="false">G27+G28+G29+G30+G31</f>
        <v>359317</v>
      </c>
      <c r="H26" s="255" t="n">
        <f aca="false">H27+H28+H30+H29</f>
        <v>1304989</v>
      </c>
      <c r="I26" s="253" t="n">
        <f aca="false">I27+I28+I30+I29+I61</f>
        <v>171663</v>
      </c>
      <c r="J26" s="253" t="n">
        <f aca="false">J27+J28+J30+J29+J31</f>
        <v>365059</v>
      </c>
      <c r="K26" s="253" t="n">
        <v>39178</v>
      </c>
      <c r="L26" s="253" t="n">
        <f aca="false">L27+L28+L30+L29+L31</f>
        <v>342607</v>
      </c>
      <c r="M26" s="253" t="n">
        <f aca="false">M27+M28+M30+M29+M31</f>
        <v>879329</v>
      </c>
      <c r="N26" s="253" t="n">
        <f aca="false">N27+N28+N30+N29+N31</f>
        <v>377533</v>
      </c>
      <c r="O26" s="255" t="n">
        <f aca="false">O27+O28+O30+O29+O31</f>
        <v>1405896</v>
      </c>
      <c r="P26" s="253" t="n">
        <f aca="false">P27+P28+P30+P29+P31</f>
        <v>433128</v>
      </c>
      <c r="Q26" s="253" t="n">
        <f aca="false">Q27+Q28+U30+Q29+Q31</f>
        <v>482283</v>
      </c>
      <c r="R26" s="253" t="n">
        <f aca="false">R27+R28+R30+R29+R31</f>
        <v>915411</v>
      </c>
      <c r="S26" s="253" t="n">
        <f aca="false">S27+S28+S29+S30+S31</f>
        <v>554568</v>
      </c>
      <c r="T26" s="253" t="n">
        <f aca="false">T27+T28+T30+T29+T31</f>
        <v>1469979</v>
      </c>
      <c r="U26" s="253" t="n">
        <f aca="false">U27+U28+U30+U29+U31</f>
        <v>519212</v>
      </c>
      <c r="V26" s="255" t="n">
        <f aca="false">V27+V28+V30+V29+V31</f>
        <v>1973164</v>
      </c>
      <c r="W26" s="253" t="n">
        <f aca="false">W27+W28+W30+W29+W31</f>
        <v>495592</v>
      </c>
      <c r="X26" s="253" t="n">
        <f aca="false">X27+X28+X30+X29+X31</f>
        <v>518488</v>
      </c>
      <c r="Y26" s="253" t="n">
        <f aca="false">Y27+Y28+Y30+Y29+Y31</f>
        <v>1014080</v>
      </c>
      <c r="Z26" s="253" t="n">
        <f aca="false">Z27+Z28+Z30+Z29+Z31</f>
        <v>493520</v>
      </c>
      <c r="AA26" s="253" t="n">
        <f aca="false">AA27+AA28+AA30+AA29+AA31</f>
        <v>1507600</v>
      </c>
      <c r="AB26" s="253" t="n">
        <f aca="false">AB27+AB28+AB30+AB29+AB31</f>
        <v>522430</v>
      </c>
      <c r="AC26" s="255" t="n">
        <f aca="false">AC27+AC28+AC30+AC29+AC31</f>
        <v>2030030</v>
      </c>
      <c r="AD26" s="256" t="n">
        <f aca="false">AD27+AD28+AD29+AD30+AD31</f>
        <v>2822687</v>
      </c>
      <c r="AE26" s="256" t="n">
        <f aca="false">AE27+AE28+AE29+AE30+AE31</f>
        <v>3819437</v>
      </c>
      <c r="AF26" s="256" t="n">
        <f aca="false">AF27+AF28+AF29+AF30+AF31</f>
        <v>5470563</v>
      </c>
      <c r="AG26" s="256" t="n">
        <f aca="false">AG27+AG28+AG29+AG30+AG31</f>
        <v>7771344</v>
      </c>
    </row>
    <row r="27" customFormat="false" ht="16.5" hidden="false" customHeight="false" outlineLevel="0" collapsed="false">
      <c r="A27" s="258" t="s">
        <v>150</v>
      </c>
      <c r="B27" s="259" t="n">
        <v>13288</v>
      </c>
      <c r="C27" s="259" t="n">
        <v>-27170</v>
      </c>
      <c r="D27" s="259" t="n">
        <f aca="false">B27+C27</f>
        <v>-13882</v>
      </c>
      <c r="E27" s="259" t="n">
        <v>-5883</v>
      </c>
      <c r="F27" s="259" t="n">
        <f aca="false">D27+E27</f>
        <v>-19765</v>
      </c>
      <c r="G27" s="259" t="n">
        <v>28380</v>
      </c>
      <c r="H27" s="260" t="n">
        <v>-7526</v>
      </c>
      <c r="I27" s="259" t="n">
        <v>322</v>
      </c>
      <c r="J27" s="259" t="n">
        <v>-563</v>
      </c>
      <c r="K27" s="259" t="n">
        <f aca="false">I27+J27</f>
        <v>-241</v>
      </c>
      <c r="L27" s="259" t="n">
        <v>5466</v>
      </c>
      <c r="M27" s="259" t="n">
        <f aca="false">K27+L27</f>
        <v>5225</v>
      </c>
      <c r="N27" s="259" t="n">
        <v>-8213</v>
      </c>
      <c r="O27" s="260" t="n">
        <f aca="false">M27+N27</f>
        <v>-2988</v>
      </c>
      <c r="P27" s="259" t="n">
        <v>2858</v>
      </c>
      <c r="Q27" s="259" t="n">
        <v>-7349</v>
      </c>
      <c r="R27" s="259" t="n">
        <f aca="false">P27+Q27</f>
        <v>-4491</v>
      </c>
      <c r="S27" s="259" t="n">
        <v>6256</v>
      </c>
      <c r="T27" s="259" t="n">
        <f aca="false">R27+S27</f>
        <v>1765</v>
      </c>
      <c r="U27" s="259" t="n">
        <v>2265</v>
      </c>
      <c r="V27" s="260" t="n">
        <v>500</v>
      </c>
      <c r="W27" s="259" t="n">
        <v>3839</v>
      </c>
      <c r="X27" s="259" t="n">
        <v>1354</v>
      </c>
      <c r="Y27" s="259" t="n">
        <f aca="false">W27+X27</f>
        <v>5193</v>
      </c>
      <c r="Z27" s="259" t="n">
        <v>849</v>
      </c>
      <c r="AA27" s="259" t="n">
        <f aca="false">Y27+Z27</f>
        <v>6042</v>
      </c>
      <c r="AB27" s="261" t="n">
        <v>1000</v>
      </c>
      <c r="AC27" s="262" t="n">
        <f aca="false">AA27+AB27</f>
        <v>7042</v>
      </c>
      <c r="AD27" s="263" t="n">
        <v>48948</v>
      </c>
      <c r="AE27" s="263" t="n">
        <v>74891</v>
      </c>
      <c r="AF27" s="263" t="n">
        <v>104847</v>
      </c>
      <c r="AG27" s="263" t="n">
        <v>169914</v>
      </c>
    </row>
    <row r="28" customFormat="false" ht="16.5" hidden="false" customHeight="false" outlineLevel="0" collapsed="false">
      <c r="A28" s="264" t="s">
        <v>151</v>
      </c>
      <c r="B28" s="259" t="n">
        <v>356206</v>
      </c>
      <c r="C28" s="259" t="n">
        <v>329333</v>
      </c>
      <c r="D28" s="259" t="n">
        <f aca="false">B28+C28</f>
        <v>685539</v>
      </c>
      <c r="E28" s="259" t="n">
        <v>361270</v>
      </c>
      <c r="F28" s="259" t="n">
        <f aca="false">E28+D28</f>
        <v>1046809</v>
      </c>
      <c r="G28" s="259" t="n">
        <v>278947</v>
      </c>
      <c r="H28" s="260" t="n">
        <v>1121412</v>
      </c>
      <c r="I28" s="259" t="n">
        <v>129390</v>
      </c>
      <c r="J28" s="259" t="n">
        <v>45029</v>
      </c>
      <c r="K28" s="259" t="n">
        <f aca="false">I28+J28</f>
        <v>174419</v>
      </c>
      <c r="L28" s="259" t="n">
        <v>47246</v>
      </c>
      <c r="M28" s="259" t="n">
        <f aca="false">L28+K28</f>
        <v>221665</v>
      </c>
      <c r="N28" s="259" t="n">
        <v>36070</v>
      </c>
      <c r="O28" s="260" t="n">
        <v>1191550</v>
      </c>
      <c r="P28" s="259" t="n">
        <v>49620</v>
      </c>
      <c r="Q28" s="259" t="n">
        <v>55114</v>
      </c>
      <c r="R28" s="259" t="n">
        <f aca="false">P28+Q28</f>
        <v>104734</v>
      </c>
      <c r="S28" s="259" t="n">
        <v>52395</v>
      </c>
      <c r="T28" s="259" t="n">
        <f aca="false">S28+R28</f>
        <v>157129</v>
      </c>
      <c r="U28" s="259" t="n">
        <v>55702</v>
      </c>
      <c r="V28" s="260" t="n">
        <v>212831</v>
      </c>
      <c r="W28" s="259" t="n">
        <v>51644</v>
      </c>
      <c r="X28" s="259" t="n">
        <v>58766</v>
      </c>
      <c r="Y28" s="259" t="n">
        <f aca="false">W28+X28</f>
        <v>110410</v>
      </c>
      <c r="Z28" s="259" t="n">
        <v>55557</v>
      </c>
      <c r="AA28" s="259" t="n">
        <f aca="false">Z28+Y28</f>
        <v>165967</v>
      </c>
      <c r="AB28" s="261" t="n">
        <v>56280</v>
      </c>
      <c r="AC28" s="262" t="n">
        <f aca="false">AA28+AB28</f>
        <v>222247</v>
      </c>
      <c r="AD28" s="263" t="n">
        <v>293690</v>
      </c>
      <c r="AE28" s="263" t="n">
        <v>396481</v>
      </c>
      <c r="AF28" s="263" t="n">
        <v>555074</v>
      </c>
      <c r="AG28" s="263" t="n">
        <v>804857</v>
      </c>
    </row>
    <row r="29" customFormat="false" ht="16.5" hidden="false" customHeight="false" outlineLevel="0" collapsed="false">
      <c r="A29" s="264" t="s">
        <v>152</v>
      </c>
      <c r="B29" s="259" t="n">
        <v>5513</v>
      </c>
      <c r="C29" s="259" t="n">
        <v>9047</v>
      </c>
      <c r="D29" s="259" t="n">
        <f aca="false">B29+C29</f>
        <v>14560</v>
      </c>
      <c r="E29" s="259" t="n">
        <v>6509</v>
      </c>
      <c r="F29" s="259" t="n">
        <f aca="false">E29+D29</f>
        <v>21069</v>
      </c>
      <c r="G29" s="259" t="n">
        <v>8163</v>
      </c>
      <c r="H29" s="260" t="n">
        <f aca="false">F29+G29</f>
        <v>29232</v>
      </c>
      <c r="I29" s="259" t="n">
        <v>6876</v>
      </c>
      <c r="J29" s="259" t="n">
        <v>8239</v>
      </c>
      <c r="K29" s="259" t="n">
        <f aca="false">I29+J29</f>
        <v>15115</v>
      </c>
      <c r="L29" s="259" t="n">
        <v>9854</v>
      </c>
      <c r="M29" s="259" t="n">
        <f aca="false">L29+K29</f>
        <v>24969</v>
      </c>
      <c r="N29" s="259" t="n">
        <v>22032</v>
      </c>
      <c r="O29" s="260" t="n">
        <f aca="false">M29+N29</f>
        <v>47001</v>
      </c>
      <c r="P29" s="259" t="n">
        <v>8663</v>
      </c>
      <c r="Q29" s="259" t="n">
        <v>11802</v>
      </c>
      <c r="R29" s="259" t="n">
        <f aca="false">P29+Q29</f>
        <v>20465</v>
      </c>
      <c r="S29" s="259" t="n">
        <v>32256</v>
      </c>
      <c r="T29" s="259" t="n">
        <f aca="false">S29+R29</f>
        <v>52721</v>
      </c>
      <c r="U29" s="259" t="n">
        <v>4946</v>
      </c>
      <c r="V29" s="260" t="n">
        <f aca="false">T29+U29</f>
        <v>57667</v>
      </c>
      <c r="W29" s="259" t="n">
        <v>13201</v>
      </c>
      <c r="X29" s="259" t="n">
        <v>12685</v>
      </c>
      <c r="Y29" s="259" t="n">
        <f aca="false">W29+X29</f>
        <v>25886</v>
      </c>
      <c r="Z29" s="259" t="n">
        <v>25387</v>
      </c>
      <c r="AA29" s="259" t="n">
        <f aca="false">Z29+Y29</f>
        <v>51273</v>
      </c>
      <c r="AB29" s="259" t="n">
        <v>40150</v>
      </c>
      <c r="AC29" s="260" t="n">
        <f aca="false">AA29+AB29</f>
        <v>91423</v>
      </c>
      <c r="AD29" s="263" t="n">
        <v>195793</v>
      </c>
      <c r="AE29" s="263" t="n">
        <v>308374</v>
      </c>
      <c r="AF29" s="263" t="n">
        <v>431724</v>
      </c>
      <c r="AG29" s="263" t="n">
        <v>626000</v>
      </c>
    </row>
    <row r="30" customFormat="false" ht="16.5" hidden="false" customHeight="false" outlineLevel="0" collapsed="false">
      <c r="A30" s="264" t="s">
        <v>153</v>
      </c>
      <c r="B30" s="259" t="n">
        <v>30440</v>
      </c>
      <c r="C30" s="259" t="n">
        <v>35822</v>
      </c>
      <c r="D30" s="259" t="n">
        <f aca="false">B30+C30</f>
        <v>66262</v>
      </c>
      <c r="E30" s="259" t="n">
        <v>50547</v>
      </c>
      <c r="F30" s="259" t="n">
        <f aca="false">E30+D30</f>
        <v>116809</v>
      </c>
      <c r="G30" s="259" t="n">
        <v>43827</v>
      </c>
      <c r="H30" s="260" t="n">
        <v>161871</v>
      </c>
      <c r="I30" s="259" t="n">
        <v>35075</v>
      </c>
      <c r="J30" s="259" t="n">
        <v>58378</v>
      </c>
      <c r="K30" s="259" t="n">
        <f aca="false">I30+J30</f>
        <v>93453</v>
      </c>
      <c r="L30" s="259" t="n">
        <v>38138</v>
      </c>
      <c r="M30" s="259" t="n">
        <f aca="false">L30+K30</f>
        <v>131591</v>
      </c>
      <c r="N30" s="259" t="n">
        <v>38742</v>
      </c>
      <c r="O30" s="260" t="n">
        <f aca="false">M30+N30</f>
        <v>170333</v>
      </c>
      <c r="P30" s="259" t="n">
        <v>39182</v>
      </c>
      <c r="Q30" s="265" t="n">
        <v>47979</v>
      </c>
      <c r="R30" s="259" t="n">
        <f aca="false">P30+U30</f>
        <v>99658</v>
      </c>
      <c r="S30" s="259" t="n">
        <v>46490</v>
      </c>
      <c r="T30" s="259" t="n">
        <f aca="false">S30+R30</f>
        <v>146148</v>
      </c>
      <c r="U30" s="259" t="n">
        <v>60476</v>
      </c>
      <c r="V30" s="260" t="n">
        <v>194127</v>
      </c>
      <c r="W30" s="259" t="n">
        <v>48476</v>
      </c>
      <c r="X30" s="259" t="n">
        <v>44481</v>
      </c>
      <c r="Y30" s="259" t="n">
        <f aca="false">W30+X30</f>
        <v>92957</v>
      </c>
      <c r="Z30" s="259" t="n">
        <v>40451</v>
      </c>
      <c r="AA30" s="259" t="n">
        <f aca="false">Z30+Y30</f>
        <v>133408</v>
      </c>
      <c r="AB30" s="259" t="n">
        <v>50000</v>
      </c>
      <c r="AC30" s="260" t="n">
        <f aca="false">AA30+AB30</f>
        <v>183408</v>
      </c>
      <c r="AD30" s="263" t="n">
        <v>261058</v>
      </c>
      <c r="AE30" s="263" t="n">
        <v>396481</v>
      </c>
      <c r="AF30" s="263" t="n">
        <v>555074</v>
      </c>
      <c r="AG30" s="263" t="n">
        <v>804857</v>
      </c>
    </row>
    <row r="31" customFormat="false" ht="17.25" hidden="false" customHeight="false" outlineLevel="0" collapsed="false">
      <c r="A31" s="264" t="s">
        <v>154</v>
      </c>
      <c r="B31" s="265" t="n">
        <v>0</v>
      </c>
      <c r="C31" s="265" t="n">
        <v>0</v>
      </c>
      <c r="D31" s="259" t="n">
        <f aca="false">B31+C31</f>
        <v>0</v>
      </c>
      <c r="E31" s="265" t="n">
        <v>0</v>
      </c>
      <c r="F31" s="259" t="n">
        <f aca="false">E31+D31</f>
        <v>0</v>
      </c>
      <c r="G31" s="259"/>
      <c r="H31" s="260" t="n">
        <f aca="false">F31+G31</f>
        <v>0</v>
      </c>
      <c r="I31" s="259" t="n">
        <v>235285</v>
      </c>
      <c r="J31" s="259" t="n">
        <v>253976</v>
      </c>
      <c r="K31" s="259" t="n">
        <f aca="false">I61+J31</f>
        <v>253976</v>
      </c>
      <c r="L31" s="259" t="n">
        <v>241903</v>
      </c>
      <c r="M31" s="259" t="n">
        <f aca="false">L31+K31</f>
        <v>495879</v>
      </c>
      <c r="N31" s="259" t="n">
        <v>288902</v>
      </c>
      <c r="O31" s="260" t="n">
        <v>0</v>
      </c>
      <c r="P31" s="259" t="n">
        <v>332805</v>
      </c>
      <c r="Q31" s="259" t="n">
        <v>362240</v>
      </c>
      <c r="R31" s="259" t="n">
        <f aca="false">P31+Q31</f>
        <v>695045</v>
      </c>
      <c r="S31" s="259" t="n">
        <v>417171</v>
      </c>
      <c r="T31" s="259" t="n">
        <f aca="false">S31+R31</f>
        <v>1112216</v>
      </c>
      <c r="U31" s="259" t="n">
        <v>395823</v>
      </c>
      <c r="V31" s="260" t="n">
        <f aca="false">T31+U31</f>
        <v>1508039</v>
      </c>
      <c r="W31" s="259" t="n">
        <v>378432</v>
      </c>
      <c r="X31" s="259" t="n">
        <v>401202</v>
      </c>
      <c r="Y31" s="259" t="n">
        <f aca="false">W31+X31</f>
        <v>779634</v>
      </c>
      <c r="Z31" s="259" t="n">
        <v>371276</v>
      </c>
      <c r="AA31" s="259" t="n">
        <f aca="false">Z31+Y31</f>
        <v>1150910</v>
      </c>
      <c r="AB31" s="259" t="n">
        <v>375000</v>
      </c>
      <c r="AC31" s="260" t="n">
        <f aca="false">AA31+AB31</f>
        <v>1525910</v>
      </c>
      <c r="AD31" s="263" t="n">
        <v>2023198</v>
      </c>
      <c r="AE31" s="263" t="n">
        <v>2643210</v>
      </c>
      <c r="AF31" s="263" t="n">
        <v>3823844</v>
      </c>
      <c r="AG31" s="263" t="n">
        <v>5365716</v>
      </c>
    </row>
    <row r="32" customFormat="false" ht="17.25" hidden="false" customHeight="false" outlineLevel="0" collapsed="false">
      <c r="A32" s="255" t="s">
        <v>155</v>
      </c>
      <c r="B32" s="253" t="n">
        <f aca="false">B25-B26</f>
        <v>67587</v>
      </c>
      <c r="C32" s="253" t="n">
        <f aca="false">C25-C26</f>
        <v>88798</v>
      </c>
      <c r="D32" s="253" t="n">
        <f aca="false">D25-D26</f>
        <v>156385</v>
      </c>
      <c r="E32" s="253" t="n">
        <f aca="false">E25-E26</f>
        <v>98179</v>
      </c>
      <c r="F32" s="253" t="n">
        <f aca="false">F25-F26</f>
        <v>254564</v>
      </c>
      <c r="G32" s="253" t="n">
        <f aca="false">G25-G26</f>
        <v>29023</v>
      </c>
      <c r="H32" s="255" t="n">
        <f aca="false">H25-H26</f>
        <v>299729</v>
      </c>
      <c r="I32" s="253" t="n">
        <f aca="false">I25-I26</f>
        <v>252905</v>
      </c>
      <c r="J32" s="253" t="n">
        <f aca="false">J25-J26</f>
        <v>87831</v>
      </c>
      <c r="K32" s="253" t="n">
        <f aca="false">L25-K26</f>
        <v>390655</v>
      </c>
      <c r="L32" s="253" t="n">
        <f aca="false">L25-L26</f>
        <v>87226</v>
      </c>
      <c r="M32" s="253" t="n">
        <f aca="false">M25-M26</f>
        <v>427962</v>
      </c>
      <c r="N32" s="253" t="n">
        <f aca="false">N25-N26</f>
        <v>115996</v>
      </c>
      <c r="O32" s="255" t="n">
        <f aca="false">O25-O26</f>
        <v>394924</v>
      </c>
      <c r="P32" s="253" t="n">
        <f aca="false">P25-P26</f>
        <v>139943</v>
      </c>
      <c r="Q32" s="253" t="n">
        <f aca="false">Q25-Q26</f>
        <v>134978</v>
      </c>
      <c r="R32" s="253" t="n">
        <f aca="false">R25-R26</f>
        <v>274921</v>
      </c>
      <c r="S32" s="253" t="n">
        <f aca="false">S25-S26</f>
        <v>27034</v>
      </c>
      <c r="T32" s="253" t="n">
        <f aca="false">T25-T26</f>
        <v>301955</v>
      </c>
      <c r="U32" s="253" t="n">
        <f aca="false">U25-U26</f>
        <v>104183</v>
      </c>
      <c r="V32" s="255" t="n">
        <f aca="false">V25-V26</f>
        <v>404431</v>
      </c>
      <c r="W32" s="253" t="n">
        <f aca="false">W25-W26</f>
        <v>108541</v>
      </c>
      <c r="X32" s="253" t="n">
        <f aca="false">X25-X26</f>
        <v>103946</v>
      </c>
      <c r="Y32" s="253" t="n">
        <f aca="false">Y25-Y26</f>
        <v>212487</v>
      </c>
      <c r="Z32" s="253" t="n">
        <f aca="false">Z25-Z26</f>
        <v>127051</v>
      </c>
      <c r="AA32" s="253" t="n">
        <f aca="false">AA25-AA26</f>
        <v>339538</v>
      </c>
      <c r="AB32" s="253" t="n">
        <f aca="false">AB25-AB26</f>
        <v>102570</v>
      </c>
      <c r="AC32" s="255" t="n">
        <f aca="false">AC25-AC26</f>
        <v>442108</v>
      </c>
      <c r="AD32" s="256" t="n">
        <f aca="false">AD25-AD26</f>
        <v>440535.2</v>
      </c>
      <c r="AE32" s="256" t="n">
        <f aca="false">AE25-AE26</f>
        <v>585912.97</v>
      </c>
      <c r="AF32" s="256" t="n">
        <f aca="false">AF25-AF26</f>
        <v>696927</v>
      </c>
      <c r="AG32" s="256" t="n">
        <f aca="false">AG25-AG26</f>
        <v>1171516</v>
      </c>
    </row>
    <row r="33" customFormat="false" ht="17.25" hidden="false" customHeight="false" outlineLevel="0" collapsed="false">
      <c r="A33" s="252" t="s">
        <v>156</v>
      </c>
      <c r="B33" s="253" t="n">
        <f aca="false">(B32/B25)*100</f>
        <v>14.2879792995852</v>
      </c>
      <c r="C33" s="253" t="n">
        <f aca="false">(C32/C25)*100</f>
        <v>20.3744579308446</v>
      </c>
      <c r="D33" s="253" t="n">
        <f aca="false">(D32/D25)*100</f>
        <v>17.2066447785367</v>
      </c>
      <c r="E33" s="253" t="n">
        <f aca="false">(E32/E25)*100</f>
        <v>19.2273345057596</v>
      </c>
      <c r="F33" s="253" t="n">
        <f aca="false">(F32/F25)*100</f>
        <v>17.9335336875461</v>
      </c>
      <c r="G33" s="253" t="n">
        <f aca="false">(G32/G25)*100</f>
        <v>7.47360560333728</v>
      </c>
      <c r="H33" s="255" t="n">
        <f aca="false">H32/H25*100</f>
        <v>18.6779857894035</v>
      </c>
      <c r="I33" s="253" t="n">
        <f aca="false">(I32/I25)*100</f>
        <v>59.5676075446101</v>
      </c>
      <c r="J33" s="253" t="n">
        <f aca="false">(J32/J25)*100</f>
        <v>19.3934509483539</v>
      </c>
      <c r="K33" s="253" t="n">
        <f aca="false">(K32/L25)*100</f>
        <v>90.8852973131425</v>
      </c>
      <c r="L33" s="253" t="n">
        <f aca="false">(L32/L25)*100</f>
        <v>20.2929975129876</v>
      </c>
      <c r="M33" s="253" t="n">
        <f aca="false">(M32/M25)*100</f>
        <v>32.7365521525047</v>
      </c>
      <c r="N33" s="253" t="n">
        <f aca="false">(N32/N25)*100</f>
        <v>23.5033807537146</v>
      </c>
      <c r="O33" s="255" t="n">
        <f aca="false">O32/O25*100</f>
        <v>21.9302317832987</v>
      </c>
      <c r="P33" s="253" t="n">
        <f aca="false">(P32/P25)*100</f>
        <v>24.4198362855562</v>
      </c>
      <c r="Q33" s="253" t="n">
        <f aca="false">(Q32/Q25)*100</f>
        <v>21.8672490243187</v>
      </c>
      <c r="R33" s="253" t="n">
        <f aca="false">(R32/R25)*100</f>
        <v>23.0961614070696</v>
      </c>
      <c r="S33" s="253" t="n">
        <f aca="false">(S32/S25)*100</f>
        <v>4.64819584526876</v>
      </c>
      <c r="T33" s="253" t="n">
        <f aca="false">(T32/T25)*100</f>
        <v>17.0409845964917</v>
      </c>
      <c r="U33" s="253" t="n">
        <f aca="false">(U32/U25)*100</f>
        <v>16.7121969216949</v>
      </c>
      <c r="V33" s="255" t="n">
        <f aca="false">V32/V25*100</f>
        <v>17.010087924983</v>
      </c>
      <c r="W33" s="253" t="n">
        <f aca="false">(W32/W25)*100</f>
        <v>17.9664080591525</v>
      </c>
      <c r="X33" s="253" t="n">
        <f aca="false">(X32/X25)*100</f>
        <v>16.6999232047093</v>
      </c>
      <c r="Y33" s="253" t="n">
        <f aca="false">(Y32/Y25)*100</f>
        <v>17.3237173346421</v>
      </c>
      <c r="Z33" s="253" t="n">
        <f aca="false">(Z32/Z25)*100</f>
        <v>20.4732415791263</v>
      </c>
      <c r="AA33" s="253" t="n">
        <f aca="false">(AA32/AA25)*100</f>
        <v>18.3818426127339</v>
      </c>
      <c r="AB33" s="253" t="n">
        <f aca="false">(AB32/AB25)*100</f>
        <v>16.4112</v>
      </c>
      <c r="AC33" s="255" t="n">
        <f aca="false">(AC32/AC25)*100</f>
        <v>17.8836294737592</v>
      </c>
      <c r="AD33" s="256" t="n">
        <f aca="false">(AD32/AD25)*100</f>
        <v>13.5000062208452</v>
      </c>
      <c r="AE33" s="256" t="n">
        <f aca="false">(AE32/AE25)*100</f>
        <v>13.3000323241061</v>
      </c>
      <c r="AF33" s="256" t="n">
        <f aca="false">(AF32/AF25)*100</f>
        <v>11.3000102148524</v>
      </c>
      <c r="AG33" s="256" t="n">
        <f aca="false">(AG32/AG25)*100</f>
        <v>13.1000149840208</v>
      </c>
    </row>
    <row r="34" customFormat="false" ht="16.5" hidden="false" customHeight="false" outlineLevel="0" collapsed="false">
      <c r="A34" s="258" t="s">
        <v>157</v>
      </c>
      <c r="B34" s="259" t="n">
        <v>2880</v>
      </c>
      <c r="C34" s="259" t="n">
        <v>2912</v>
      </c>
      <c r="D34" s="259" t="n">
        <f aca="false">B34+C34</f>
        <v>5792</v>
      </c>
      <c r="E34" s="259" t="n">
        <v>2705</v>
      </c>
      <c r="F34" s="259" t="n">
        <f aca="false">D34+E34</f>
        <v>8497</v>
      </c>
      <c r="G34" s="259" t="n">
        <v>2211</v>
      </c>
      <c r="H34" s="260" t="n">
        <f aca="false">F34+G34</f>
        <v>10708</v>
      </c>
      <c r="I34" s="259" t="n">
        <v>2040</v>
      </c>
      <c r="J34" s="259" t="n">
        <v>2009</v>
      </c>
      <c r="K34" s="259" t="n">
        <f aca="false">I34+J34</f>
        <v>4049</v>
      </c>
      <c r="L34" s="259" t="n">
        <v>1955</v>
      </c>
      <c r="M34" s="259" t="n">
        <f aca="false">K34+L34</f>
        <v>6004</v>
      </c>
      <c r="N34" s="259" t="n">
        <v>1953</v>
      </c>
      <c r="O34" s="260" t="n">
        <f aca="false">M34+N34</f>
        <v>7957</v>
      </c>
      <c r="P34" s="259" t="n">
        <v>1902</v>
      </c>
      <c r="Q34" s="259" t="n">
        <v>1890</v>
      </c>
      <c r="R34" s="259" t="n">
        <f aca="false">P34+Q34</f>
        <v>3792</v>
      </c>
      <c r="S34" s="259" t="n">
        <v>1851</v>
      </c>
      <c r="T34" s="259" t="n">
        <f aca="false">R34+S34</f>
        <v>5643</v>
      </c>
      <c r="U34" s="259" t="n">
        <v>3057</v>
      </c>
      <c r="V34" s="260" t="n">
        <f aca="false">T34+U34</f>
        <v>8700</v>
      </c>
      <c r="W34" s="259" t="n">
        <v>1792</v>
      </c>
      <c r="X34" s="259" t="n">
        <v>1785</v>
      </c>
      <c r="Y34" s="259" t="n">
        <f aca="false">W34+X34</f>
        <v>3577</v>
      </c>
      <c r="Z34" s="266" t="n">
        <v>1422</v>
      </c>
      <c r="AA34" s="259" t="n">
        <f aca="false">Y34+Z34</f>
        <v>4999</v>
      </c>
      <c r="AB34" s="259" t="n">
        <v>1790</v>
      </c>
      <c r="AC34" s="260" t="n">
        <f aca="false">AA34+AB34</f>
        <v>6789</v>
      </c>
      <c r="AD34" s="267" t="n">
        <v>7765</v>
      </c>
      <c r="AE34" s="267" t="n">
        <v>6594</v>
      </c>
      <c r="AF34" s="267" t="n">
        <v>5423</v>
      </c>
      <c r="AG34" s="267" t="n">
        <v>5889</v>
      </c>
    </row>
    <row r="35" customFormat="false" ht="17.25" hidden="false" customHeight="false" outlineLevel="0" collapsed="false">
      <c r="A35" s="268" t="s">
        <v>158</v>
      </c>
      <c r="B35" s="259" t="n">
        <v>14081</v>
      </c>
      <c r="C35" s="259" t="n">
        <v>14357</v>
      </c>
      <c r="D35" s="259" t="n">
        <f aca="false">B35+C35</f>
        <v>28438</v>
      </c>
      <c r="E35" s="259" t="n">
        <v>14387</v>
      </c>
      <c r="F35" s="259" t="n">
        <f aca="false">D35+E35</f>
        <v>42825</v>
      </c>
      <c r="G35" s="259" t="n">
        <v>14713</v>
      </c>
      <c r="H35" s="260" t="n">
        <f aca="false">F35+G35</f>
        <v>57538</v>
      </c>
      <c r="I35" s="259" t="n">
        <v>14070</v>
      </c>
      <c r="J35" s="259" t="n">
        <v>14916</v>
      </c>
      <c r="K35" s="259" t="n">
        <f aca="false">I35+J35</f>
        <v>28986</v>
      </c>
      <c r="L35" s="259" t="n">
        <v>13869</v>
      </c>
      <c r="M35" s="259" t="n">
        <f aca="false">K35+L35</f>
        <v>42855</v>
      </c>
      <c r="N35" s="259" t="n">
        <v>14247</v>
      </c>
      <c r="O35" s="260" t="n">
        <f aca="false">M35+N35</f>
        <v>57102</v>
      </c>
      <c r="P35" s="259" t="n">
        <v>14296</v>
      </c>
      <c r="Q35" s="259" t="n">
        <v>13858</v>
      </c>
      <c r="R35" s="259" t="n">
        <f aca="false">P35+Q35</f>
        <v>28154</v>
      </c>
      <c r="S35" s="259" t="n">
        <v>13739</v>
      </c>
      <c r="T35" s="259" t="n">
        <f aca="false">R35+S35</f>
        <v>41893</v>
      </c>
      <c r="U35" s="259" t="n">
        <v>14098</v>
      </c>
      <c r="V35" s="260" t="n">
        <f aca="false">T35+U35</f>
        <v>55991</v>
      </c>
      <c r="W35" s="259" t="n">
        <v>14041</v>
      </c>
      <c r="X35" s="259" t="n">
        <v>14162</v>
      </c>
      <c r="Y35" s="259" t="n">
        <f aca="false">W35+X35</f>
        <v>28203</v>
      </c>
      <c r="Z35" s="259" t="n">
        <v>14091</v>
      </c>
      <c r="AA35" s="259" t="n">
        <f aca="false">Y35+Z35</f>
        <v>42294</v>
      </c>
      <c r="AB35" s="259" t="n">
        <v>14397</v>
      </c>
      <c r="AC35" s="260" t="n">
        <v>56691</v>
      </c>
      <c r="AD35" s="267" t="n">
        <v>57516</v>
      </c>
      <c r="AE35" s="267" t="n">
        <v>58466</v>
      </c>
      <c r="AF35" s="267" t="n">
        <v>59266</v>
      </c>
      <c r="AG35" s="267" t="n">
        <v>60050</v>
      </c>
    </row>
    <row r="36" customFormat="false" ht="17.25" hidden="false" customHeight="false" outlineLevel="0" collapsed="false">
      <c r="A36" s="255" t="s">
        <v>159</v>
      </c>
      <c r="B36" s="253" t="n">
        <f aca="false">B32-(B34+B35)</f>
        <v>50626</v>
      </c>
      <c r="C36" s="253" t="n">
        <f aca="false">C32-(C34+C35)</f>
        <v>71529</v>
      </c>
      <c r="D36" s="253" t="n">
        <f aca="false">D32-(D34+D35)</f>
        <v>122155</v>
      </c>
      <c r="E36" s="253" t="n">
        <f aca="false">E32-(E34+E35)</f>
        <v>81087</v>
      </c>
      <c r="F36" s="253" t="n">
        <f aca="false">F32-(F34+F35)</f>
        <v>203242</v>
      </c>
      <c r="G36" s="253" t="n">
        <f aca="false">G32-(G34+G35)</f>
        <v>12099</v>
      </c>
      <c r="H36" s="255" t="n">
        <f aca="false">H32-(H34+H35)</f>
        <v>231483</v>
      </c>
      <c r="I36" s="253" t="n">
        <f aca="false">I32-(I34+I35)</f>
        <v>236795</v>
      </c>
      <c r="J36" s="253" t="n">
        <f aca="false">J32-(J34+J35)</f>
        <v>70906</v>
      </c>
      <c r="K36" s="253" t="n">
        <f aca="false">K32-(K34+K35)</f>
        <v>357620</v>
      </c>
      <c r="L36" s="253" t="n">
        <f aca="false">L32-(L34+L35)</f>
        <v>71402</v>
      </c>
      <c r="M36" s="253" t="n">
        <f aca="false">M32-(M34+M35)</f>
        <v>379103</v>
      </c>
      <c r="N36" s="253" t="n">
        <f aca="false">N32-(N34+N35)</f>
        <v>99796</v>
      </c>
      <c r="O36" s="255" t="n">
        <f aca="false">O32-(O34+O35)</f>
        <v>329865</v>
      </c>
      <c r="P36" s="253" t="n">
        <f aca="false">P32-(P34+P35)</f>
        <v>123745</v>
      </c>
      <c r="Q36" s="253" t="n">
        <f aca="false">Q32-(Q34+Q35)</f>
        <v>119230</v>
      </c>
      <c r="R36" s="253" t="n">
        <f aca="false">R32-(R34+R35)</f>
        <v>242975</v>
      </c>
      <c r="S36" s="253" t="n">
        <f aca="false">S32-(S34+S35)</f>
        <v>11444</v>
      </c>
      <c r="T36" s="253" t="n">
        <f aca="false">T32-(T34+T35)</f>
        <v>254419</v>
      </c>
      <c r="U36" s="253" t="n">
        <f aca="false">U32-(U34+U35)</f>
        <v>87028</v>
      </c>
      <c r="V36" s="255" t="n">
        <f aca="false">V32-(V34+V35)</f>
        <v>339740</v>
      </c>
      <c r="W36" s="253" t="n">
        <f aca="false">W32-(W34+W35)</f>
        <v>92708</v>
      </c>
      <c r="X36" s="253" t="n">
        <f aca="false">X32-(X34+X35)</f>
        <v>87999</v>
      </c>
      <c r="Y36" s="253" t="n">
        <f aca="false">Y32-(Y34+Y35)</f>
        <v>180707</v>
      </c>
      <c r="Z36" s="253" t="n">
        <f aca="false">Z32-(Z34+Z35)</f>
        <v>111538</v>
      </c>
      <c r="AA36" s="253" t="n">
        <f aca="false">AA32-(AA34+AA35)</f>
        <v>292245</v>
      </c>
      <c r="AB36" s="253" t="n">
        <f aca="false">AB32-(AB34+AB35)</f>
        <v>86383</v>
      </c>
      <c r="AC36" s="255" t="n">
        <f aca="false">AC32-(AC34+AC35)</f>
        <v>378628</v>
      </c>
      <c r="AD36" s="256" t="n">
        <f aca="false">AD32-(AD34+AD35)</f>
        <v>375254.2</v>
      </c>
      <c r="AE36" s="256" t="n">
        <f aca="false">AE32-(AE34+AE35)</f>
        <v>520852.97</v>
      </c>
      <c r="AF36" s="256" t="n">
        <f aca="false">AF32-(AF34+AF35)</f>
        <v>632238</v>
      </c>
      <c r="AG36" s="256" t="n">
        <f aca="false">AG32-(AG34+AG35)</f>
        <v>1105577</v>
      </c>
    </row>
    <row r="37" customFormat="false" ht="17.25" hidden="false" customHeight="false" outlineLevel="0" collapsed="false">
      <c r="A37" s="269" t="s">
        <v>160</v>
      </c>
      <c r="B37" s="259" t="n">
        <v>8006</v>
      </c>
      <c r="C37" s="259" t="n">
        <v>16737</v>
      </c>
      <c r="D37" s="259" t="n">
        <f aca="false">B37+C37</f>
        <v>24743</v>
      </c>
      <c r="E37" s="259" t="n">
        <v>18463</v>
      </c>
      <c r="F37" s="259" t="n">
        <f aca="false">D37+E37</f>
        <v>43206</v>
      </c>
      <c r="G37" s="259" t="n">
        <v>11289</v>
      </c>
      <c r="H37" s="260" t="n">
        <f aca="false">F37+G37</f>
        <v>54495</v>
      </c>
      <c r="I37" s="259" t="n">
        <v>9127</v>
      </c>
      <c r="J37" s="259" t="n">
        <v>18060</v>
      </c>
      <c r="K37" s="259" t="n">
        <f aca="false">I37+J37</f>
        <v>27187</v>
      </c>
      <c r="L37" s="259" t="n">
        <v>18482</v>
      </c>
      <c r="M37" s="259" t="n">
        <f aca="false">K37+L37</f>
        <v>45669</v>
      </c>
      <c r="N37" s="259" t="n">
        <v>9966</v>
      </c>
      <c r="O37" s="260" t="n">
        <f aca="false">M37+N37</f>
        <v>55635</v>
      </c>
      <c r="P37" s="259" t="n">
        <v>11477</v>
      </c>
      <c r="Q37" s="259" t="n">
        <v>4333</v>
      </c>
      <c r="R37" s="259" t="n">
        <f aca="false">P37+Q37</f>
        <v>15810</v>
      </c>
      <c r="S37" s="259" t="n">
        <v>437</v>
      </c>
      <c r="T37" s="259" t="n">
        <f aca="false">R37+S37</f>
        <v>16247</v>
      </c>
      <c r="U37" s="259" t="n">
        <v>12964</v>
      </c>
      <c r="V37" s="260" t="n">
        <f aca="false">61177+18485</f>
        <v>79662</v>
      </c>
      <c r="W37" s="259" t="n">
        <v>1991</v>
      </c>
      <c r="X37" s="259" t="n">
        <v>2216</v>
      </c>
      <c r="Y37" s="259" t="n">
        <f aca="false">W37+X37</f>
        <v>4207</v>
      </c>
      <c r="Z37" s="259" t="n">
        <v>1787</v>
      </c>
      <c r="AA37" s="259" t="n">
        <f aca="false">Y37+Z37</f>
        <v>5994</v>
      </c>
      <c r="AB37" s="261" t="n">
        <v>2000</v>
      </c>
      <c r="AC37" s="262" t="n">
        <f aca="false">AA37+AB37</f>
        <v>7994</v>
      </c>
      <c r="AD37" s="267" t="n">
        <v>25000</v>
      </c>
      <c r="AE37" s="267" t="n">
        <v>30000</v>
      </c>
      <c r="AF37" s="267" t="n">
        <v>37000</v>
      </c>
      <c r="AG37" s="267" t="n">
        <v>43000</v>
      </c>
    </row>
    <row r="38" customFormat="false" ht="17.25" hidden="false" customHeight="false" outlineLevel="0" collapsed="false">
      <c r="A38" s="255" t="s">
        <v>161</v>
      </c>
      <c r="B38" s="253" t="n">
        <f aca="false">B36+B37</f>
        <v>58632</v>
      </c>
      <c r="C38" s="253" t="n">
        <f aca="false">C36+C37</f>
        <v>88266</v>
      </c>
      <c r="D38" s="253" t="n">
        <f aca="false">D36+D37</f>
        <v>146898</v>
      </c>
      <c r="E38" s="253" t="n">
        <f aca="false">E36+E37</f>
        <v>99550</v>
      </c>
      <c r="F38" s="253" t="n">
        <f aca="false">F36+F37</f>
        <v>246448</v>
      </c>
      <c r="G38" s="253" t="n">
        <f aca="false">G36+G37</f>
        <v>23388</v>
      </c>
      <c r="H38" s="255" t="n">
        <f aca="false">H36+H37</f>
        <v>285978</v>
      </c>
      <c r="I38" s="253" t="n">
        <f aca="false">I36+I37</f>
        <v>245922</v>
      </c>
      <c r="J38" s="253" t="n">
        <f aca="false">J36+J37</f>
        <v>88966</v>
      </c>
      <c r="K38" s="253" t="n">
        <f aca="false">K36+K37</f>
        <v>384807</v>
      </c>
      <c r="L38" s="253" t="n">
        <f aca="false">L36+L37</f>
        <v>89884</v>
      </c>
      <c r="M38" s="253" t="n">
        <f aca="false">M36+M37</f>
        <v>424772</v>
      </c>
      <c r="N38" s="253" t="n">
        <f aca="false">N36+N37</f>
        <v>109762</v>
      </c>
      <c r="O38" s="255" t="n">
        <f aca="false">O36+O37</f>
        <v>385500</v>
      </c>
      <c r="P38" s="253" t="n">
        <f aca="false">P36+P37</f>
        <v>135222</v>
      </c>
      <c r="Q38" s="253" t="n">
        <f aca="false">Q36+Q37</f>
        <v>123563</v>
      </c>
      <c r="R38" s="253" t="n">
        <f aca="false">R36+R37</f>
        <v>258785</v>
      </c>
      <c r="S38" s="253" t="n">
        <f aca="false">S36+S37</f>
        <v>11881</v>
      </c>
      <c r="T38" s="253" t="n">
        <f aca="false">T36+T37</f>
        <v>270666</v>
      </c>
      <c r="U38" s="253" t="n">
        <f aca="false">U36+U37</f>
        <v>99992</v>
      </c>
      <c r="V38" s="255" t="n">
        <f aca="false">V36+V37</f>
        <v>419402</v>
      </c>
      <c r="W38" s="253" t="n">
        <f aca="false">W36+W37</f>
        <v>94699</v>
      </c>
      <c r="X38" s="253" t="n">
        <f aca="false">X36+X37</f>
        <v>90215</v>
      </c>
      <c r="Y38" s="253" t="n">
        <f aca="false">Y36+Y37</f>
        <v>184914</v>
      </c>
      <c r="Z38" s="253" t="n">
        <f aca="false">Z36+Z37</f>
        <v>113325</v>
      </c>
      <c r="AA38" s="253" t="n">
        <f aca="false">AA36+AA37</f>
        <v>298239</v>
      </c>
      <c r="AB38" s="253" t="n">
        <f aca="false">AB36+AB37</f>
        <v>88383</v>
      </c>
      <c r="AC38" s="255" t="n">
        <f aca="false">AC36+AC37</f>
        <v>386622</v>
      </c>
      <c r="AD38" s="256" t="n">
        <f aca="false">AD36+AD37</f>
        <v>400254.2</v>
      </c>
      <c r="AE38" s="256" t="n">
        <f aca="false">AE36+AE37</f>
        <v>550852.97</v>
      </c>
      <c r="AF38" s="256" t="n">
        <f aca="false">AF36+AF37</f>
        <v>669238</v>
      </c>
      <c r="AG38" s="256" t="n">
        <f aca="false">AG36+AG37</f>
        <v>1148577</v>
      </c>
    </row>
    <row r="39" customFormat="false" ht="17.25" hidden="false" customHeight="false" outlineLevel="0" collapsed="false">
      <c r="A39" s="269" t="s">
        <v>162</v>
      </c>
      <c r="B39" s="259" t="n">
        <v>0</v>
      </c>
      <c r="C39" s="259" t="n">
        <v>0</v>
      </c>
      <c r="D39" s="259" t="n">
        <v>0</v>
      </c>
      <c r="E39" s="259" t="n">
        <v>0</v>
      </c>
      <c r="F39" s="259" t="n">
        <v>0</v>
      </c>
      <c r="G39" s="259" t="n">
        <v>5540</v>
      </c>
      <c r="H39" s="260" t="n">
        <v>0</v>
      </c>
      <c r="I39" s="259" t="n">
        <v>0</v>
      </c>
      <c r="J39" s="259" t="n">
        <v>0</v>
      </c>
      <c r="K39" s="259" t="n">
        <v>0</v>
      </c>
      <c r="L39" s="259" t="n">
        <v>0</v>
      </c>
      <c r="M39" s="259" t="n">
        <f aca="false">K39+L39</f>
        <v>0</v>
      </c>
      <c r="N39" s="259" t="n">
        <v>0</v>
      </c>
      <c r="O39" s="260" t="n">
        <v>0</v>
      </c>
      <c r="P39" s="261"/>
      <c r="Q39" s="261"/>
      <c r="R39" s="259" t="n">
        <f aca="false">P39+Q39</f>
        <v>0</v>
      </c>
      <c r="S39" s="259"/>
      <c r="T39" s="259" t="n">
        <f aca="false">R39+S39</f>
        <v>0</v>
      </c>
      <c r="U39" s="259"/>
      <c r="V39" s="260" t="n">
        <v>0</v>
      </c>
      <c r="W39" s="261" t="n">
        <v>0</v>
      </c>
      <c r="X39" s="261" t="n">
        <v>0</v>
      </c>
      <c r="Y39" s="261" t="n">
        <f aca="false">W39+X39</f>
        <v>0</v>
      </c>
      <c r="Z39" s="259"/>
      <c r="AA39" s="259" t="n">
        <f aca="false">Y39+Z39</f>
        <v>0</v>
      </c>
      <c r="AB39" s="261"/>
      <c r="AC39" s="262"/>
      <c r="AD39" s="267" t="n">
        <v>0</v>
      </c>
      <c r="AE39" s="267" t="n">
        <v>0</v>
      </c>
      <c r="AF39" s="267" t="n">
        <v>0</v>
      </c>
      <c r="AG39" s="267" t="n">
        <v>0</v>
      </c>
    </row>
    <row r="40" customFormat="false" ht="17.25" hidden="false" customHeight="false" outlineLevel="0" collapsed="false">
      <c r="A40" s="255" t="s">
        <v>163</v>
      </c>
      <c r="B40" s="253" t="n">
        <f aca="false">B38+B39</f>
        <v>58632</v>
      </c>
      <c r="C40" s="253" t="n">
        <f aca="false">C38+C39</f>
        <v>88266</v>
      </c>
      <c r="D40" s="253" t="n">
        <f aca="false">D38+D39</f>
        <v>146898</v>
      </c>
      <c r="E40" s="253" t="n">
        <f aca="false">E38+E39</f>
        <v>99550</v>
      </c>
      <c r="F40" s="253" t="n">
        <f aca="false">F38+F39</f>
        <v>246448</v>
      </c>
      <c r="G40" s="253" t="n">
        <f aca="false">G38+G39</f>
        <v>28928</v>
      </c>
      <c r="H40" s="255" t="n">
        <f aca="false">H38+H39</f>
        <v>285978</v>
      </c>
      <c r="I40" s="253" t="n">
        <f aca="false">I38+I39</f>
        <v>245922</v>
      </c>
      <c r="J40" s="253" t="n">
        <f aca="false">J38+J39</f>
        <v>88966</v>
      </c>
      <c r="K40" s="253" t="n">
        <f aca="false">K38+K39</f>
        <v>384807</v>
      </c>
      <c r="L40" s="253" t="n">
        <f aca="false">L38+L39</f>
        <v>89884</v>
      </c>
      <c r="M40" s="253" t="n">
        <f aca="false">M38+M39</f>
        <v>424772</v>
      </c>
      <c r="N40" s="253" t="n">
        <f aca="false">N38+N39</f>
        <v>109762</v>
      </c>
      <c r="O40" s="255" t="n">
        <f aca="false">O38+O39</f>
        <v>385500</v>
      </c>
      <c r="P40" s="253" t="n">
        <f aca="false">P38-P39</f>
        <v>135222</v>
      </c>
      <c r="Q40" s="253" t="n">
        <f aca="false">Q38-Q39</f>
        <v>123563</v>
      </c>
      <c r="R40" s="253" t="n">
        <f aca="false">R38-R39</f>
        <v>258785</v>
      </c>
      <c r="S40" s="253" t="n">
        <f aca="false">S38-S39</f>
        <v>11881</v>
      </c>
      <c r="T40" s="253" t="n">
        <f aca="false">T38-T39</f>
        <v>270666</v>
      </c>
      <c r="U40" s="253" t="n">
        <f aca="false">U38-U39</f>
        <v>99992</v>
      </c>
      <c r="V40" s="255" t="n">
        <f aca="false">V38-V39</f>
        <v>419402</v>
      </c>
      <c r="W40" s="253" t="n">
        <f aca="false">W38-W39</f>
        <v>94699</v>
      </c>
      <c r="X40" s="253" t="n">
        <f aca="false">X38-X39</f>
        <v>90215</v>
      </c>
      <c r="Y40" s="253" t="n">
        <f aca="false">Y38-Y39</f>
        <v>184914</v>
      </c>
      <c r="Z40" s="253" t="n">
        <f aca="false">Z38-Z39</f>
        <v>113325</v>
      </c>
      <c r="AA40" s="253" t="n">
        <f aca="false">AA38-AA39</f>
        <v>298239</v>
      </c>
      <c r="AB40" s="253" t="n">
        <f aca="false">AB38-AB39</f>
        <v>88383</v>
      </c>
      <c r="AC40" s="255" t="n">
        <f aca="false">AC38-AC39</f>
        <v>386622</v>
      </c>
      <c r="AD40" s="256" t="n">
        <f aca="false">AD38-AD39</f>
        <v>400254.2</v>
      </c>
      <c r="AE40" s="256" t="n">
        <f aca="false">AE38-AE39</f>
        <v>550852.97</v>
      </c>
      <c r="AF40" s="256" t="n">
        <f aca="false">AF38-AF39</f>
        <v>669238</v>
      </c>
      <c r="AG40" s="256" t="n">
        <f aca="false">AG38-AG39</f>
        <v>1148577</v>
      </c>
    </row>
    <row r="41" customFormat="false" ht="16.5" hidden="false" customHeight="false" outlineLevel="0" collapsed="false">
      <c r="A41" s="258" t="s">
        <v>164</v>
      </c>
      <c r="B41" s="259" t="n">
        <v>-26000</v>
      </c>
      <c r="C41" s="259" t="n">
        <v>13539</v>
      </c>
      <c r="D41" s="259" t="n">
        <f aca="false">B41+C41</f>
        <v>-12461</v>
      </c>
      <c r="E41" s="259" t="n">
        <v>-21238</v>
      </c>
      <c r="F41" s="259" t="n">
        <f aca="false">D41+E41</f>
        <v>-33699</v>
      </c>
      <c r="G41" s="259" t="n">
        <v>13466</v>
      </c>
      <c r="H41" s="260" t="n">
        <v>47311</v>
      </c>
      <c r="I41" s="259" t="n">
        <v>27547</v>
      </c>
      <c r="J41" s="259" t="n">
        <v>29708</v>
      </c>
      <c r="K41" s="259" t="n">
        <f aca="false">I41+J41</f>
        <v>57255</v>
      </c>
      <c r="L41" s="259" t="n">
        <v>24150</v>
      </c>
      <c r="M41" s="259" t="n">
        <f aca="false">K41+L41</f>
        <v>81405</v>
      </c>
      <c r="N41" s="259" t="n">
        <v>43093</v>
      </c>
      <c r="O41" s="260" t="n">
        <v>125354</v>
      </c>
      <c r="P41" s="259" t="n">
        <v>44394</v>
      </c>
      <c r="Q41" s="261" t="n">
        <v>48928</v>
      </c>
      <c r="R41" s="259" t="n">
        <f aca="false">P41+Q41</f>
        <v>93322</v>
      </c>
      <c r="S41" s="259" t="n">
        <v>7561</v>
      </c>
      <c r="T41" s="259" t="n">
        <f aca="false">R41+S41</f>
        <v>100883</v>
      </c>
      <c r="U41" s="259" t="n">
        <v>37752</v>
      </c>
      <c r="V41" s="260" t="n">
        <v>140032</v>
      </c>
      <c r="W41" s="259" t="n">
        <v>33982</v>
      </c>
      <c r="X41" s="259" t="n">
        <v>30940</v>
      </c>
      <c r="Y41" s="259" t="n">
        <f aca="false">W41+X41</f>
        <v>64922</v>
      </c>
      <c r="Z41" s="259" t="n">
        <v>37111</v>
      </c>
      <c r="AA41" s="259" t="n">
        <f aca="false">Y41+Z41</f>
        <v>102033</v>
      </c>
      <c r="AB41" s="259" t="n">
        <v>46236.3</v>
      </c>
      <c r="AC41" s="260" t="n">
        <f aca="false">AA41+AB41</f>
        <v>148269.3</v>
      </c>
      <c r="AD41" s="263" t="n">
        <f aca="false">AD40*33%</f>
        <v>132083.886</v>
      </c>
      <c r="AE41" s="263" t="n">
        <f aca="false">AE40*33%</f>
        <v>181781.4801</v>
      </c>
      <c r="AF41" s="263" t="n">
        <f aca="false">AF40*33%</f>
        <v>220848.54</v>
      </c>
      <c r="AG41" s="263" t="n">
        <f aca="false">AG40*33%</f>
        <v>379030.41</v>
      </c>
    </row>
    <row r="42" customFormat="false" ht="16.5" hidden="false" customHeight="false" outlineLevel="0" collapsed="false">
      <c r="A42" s="264" t="s">
        <v>165</v>
      </c>
      <c r="B42" s="259" t="n">
        <v>0</v>
      </c>
      <c r="C42" s="259" t="n">
        <v>0</v>
      </c>
      <c r="D42" s="259" t="n">
        <f aca="false">B42+C42</f>
        <v>0</v>
      </c>
      <c r="E42" s="259" t="n">
        <v>0</v>
      </c>
      <c r="F42" s="259" t="n">
        <f aca="false">D42+E42</f>
        <v>0</v>
      </c>
      <c r="G42" s="259" t="n">
        <v>0</v>
      </c>
      <c r="H42" s="260" t="n">
        <f aca="false">F42+G42</f>
        <v>0</v>
      </c>
      <c r="I42" s="259" t="n">
        <v>514</v>
      </c>
      <c r="J42" s="259" t="n">
        <v>1684</v>
      </c>
      <c r="K42" s="259" t="n">
        <f aca="false">I42+J42</f>
        <v>2198</v>
      </c>
      <c r="L42" s="259" t="n">
        <v>3463</v>
      </c>
      <c r="M42" s="259" t="n">
        <f aca="false">K42+L42</f>
        <v>5661</v>
      </c>
      <c r="N42" s="259" t="n">
        <v>-5760</v>
      </c>
      <c r="O42" s="260" t="n">
        <v>0</v>
      </c>
      <c r="P42" s="259" t="n">
        <v>999</v>
      </c>
      <c r="Q42" s="259" t="n">
        <v>-1156</v>
      </c>
      <c r="R42" s="259" t="n">
        <f aca="false">P42+Q42</f>
        <v>-157</v>
      </c>
      <c r="S42" s="259" t="n">
        <v>1372</v>
      </c>
      <c r="T42" s="259" t="n">
        <f aca="false">R42+S42</f>
        <v>1215</v>
      </c>
      <c r="U42" s="259" t="n">
        <v>591</v>
      </c>
      <c r="V42" s="260" t="n">
        <v>0</v>
      </c>
      <c r="W42" s="259" t="n">
        <v>-865</v>
      </c>
      <c r="X42" s="259" t="n">
        <v>412</v>
      </c>
      <c r="Y42" s="259" t="n">
        <f aca="false">W42+X42</f>
        <v>-453</v>
      </c>
      <c r="Z42" s="259" t="n">
        <v>2720</v>
      </c>
      <c r="AA42" s="259" t="n">
        <f aca="false">Y42+Z42</f>
        <v>2267</v>
      </c>
      <c r="AB42" s="259" t="n">
        <v>2720</v>
      </c>
      <c r="AC42" s="260" t="n">
        <f aca="false">AA42+AB42</f>
        <v>4987</v>
      </c>
      <c r="AD42" s="267" t="n">
        <v>0</v>
      </c>
      <c r="AE42" s="267" t="n">
        <v>0</v>
      </c>
      <c r="AF42" s="267" t="n">
        <v>0</v>
      </c>
      <c r="AG42" s="267" t="n">
        <v>0</v>
      </c>
    </row>
    <row r="43" customFormat="false" ht="17.25" hidden="false" customHeight="false" outlineLevel="0" collapsed="false">
      <c r="A43" s="264" t="s">
        <v>166</v>
      </c>
      <c r="B43" s="259" t="n">
        <v>0</v>
      </c>
      <c r="C43" s="259" t="n">
        <v>0</v>
      </c>
      <c r="D43" s="259" t="n">
        <f aca="false">B43+C43</f>
        <v>0</v>
      </c>
      <c r="E43" s="259" t="n">
        <v>0</v>
      </c>
      <c r="F43" s="259" t="n">
        <f aca="false">D43+E43</f>
        <v>0</v>
      </c>
      <c r="G43" s="259" t="n">
        <v>0</v>
      </c>
      <c r="H43" s="260" t="n">
        <f aca="false">F43+G43</f>
        <v>0</v>
      </c>
      <c r="I43" s="259" t="n">
        <v>-1404</v>
      </c>
      <c r="J43" s="259" t="n">
        <v>320</v>
      </c>
      <c r="K43" s="259" t="n">
        <f aca="false">I43+J43</f>
        <v>-1084</v>
      </c>
      <c r="L43" s="259" t="n">
        <v>139</v>
      </c>
      <c r="M43" s="259" t="n">
        <f aca="false">K43+L43</f>
        <v>-945</v>
      </c>
      <c r="N43" s="259" t="n">
        <v>191</v>
      </c>
      <c r="O43" s="260" t="n">
        <v>0</v>
      </c>
      <c r="P43" s="259" t="n">
        <v>142</v>
      </c>
      <c r="Q43" s="259" t="n">
        <v>169</v>
      </c>
      <c r="R43" s="259" t="n">
        <f aca="false">P43+Q43</f>
        <v>311</v>
      </c>
      <c r="S43" s="259" t="n">
        <v>254</v>
      </c>
      <c r="T43" s="259" t="n">
        <f aca="false">R43+S43</f>
        <v>565</v>
      </c>
      <c r="U43" s="259" t="n">
        <v>208</v>
      </c>
      <c r="V43" s="260" t="n">
        <v>0</v>
      </c>
      <c r="W43" s="259" t="n">
        <v>0</v>
      </c>
      <c r="X43" s="259"/>
      <c r="Y43" s="259" t="n">
        <f aca="false">W43+X43</f>
        <v>0</v>
      </c>
      <c r="Z43" s="259"/>
      <c r="AA43" s="259" t="n">
        <f aca="false">Y43+Z43</f>
        <v>0</v>
      </c>
      <c r="AB43" s="261" t="n">
        <v>0</v>
      </c>
      <c r="AC43" s="262"/>
      <c r="AD43" s="267" t="n">
        <v>0</v>
      </c>
      <c r="AE43" s="267" t="n">
        <v>0</v>
      </c>
      <c r="AF43" s="267" t="n">
        <v>0</v>
      </c>
      <c r="AG43" s="267" t="n">
        <v>0</v>
      </c>
    </row>
    <row r="44" customFormat="false" ht="17.25" hidden="false" customHeight="false" outlineLevel="0" collapsed="false">
      <c r="A44" s="255" t="s">
        <v>167</v>
      </c>
      <c r="B44" s="270" t="n">
        <f aca="false">B40-B41-B42-B43</f>
        <v>84632</v>
      </c>
      <c r="C44" s="270" t="n">
        <f aca="false">C40-C41-C42-C43</f>
        <v>74727</v>
      </c>
      <c r="D44" s="270" t="n">
        <f aca="false">D40-D41-D42-D43</f>
        <v>159359</v>
      </c>
      <c r="E44" s="270" t="n">
        <f aca="false">E40-E41-E42-E43</f>
        <v>120788</v>
      </c>
      <c r="F44" s="270" t="n">
        <f aca="false">F40-F41-F42-F43</f>
        <v>280147</v>
      </c>
      <c r="G44" s="270" t="n">
        <f aca="false">G40-G41-G42-G43</f>
        <v>15462</v>
      </c>
      <c r="H44" s="271" t="n">
        <f aca="false">H40-H41-H42-H43</f>
        <v>238667</v>
      </c>
      <c r="I44" s="270" t="n">
        <f aca="false">I40-I41-I42-I43</f>
        <v>219265</v>
      </c>
      <c r="J44" s="270" t="n">
        <f aca="false">J40-J41-J42-J43</f>
        <v>57254</v>
      </c>
      <c r="K44" s="270" t="n">
        <f aca="false">K40-K41-K42-K43</f>
        <v>326438</v>
      </c>
      <c r="L44" s="270" t="n">
        <f aca="false">L40-L41-L42-L43</f>
        <v>62132</v>
      </c>
      <c r="M44" s="270" t="n">
        <f aca="false">M40-M41-M42-M43</f>
        <v>338651</v>
      </c>
      <c r="N44" s="270" t="n">
        <f aca="false">N40-N41-N42-N43</f>
        <v>72238</v>
      </c>
      <c r="O44" s="271" t="n">
        <f aca="false">O40-O41-O42-O43</f>
        <v>260146</v>
      </c>
      <c r="P44" s="270" t="n">
        <f aca="false">P40-P41-P42-P43</f>
        <v>89687</v>
      </c>
      <c r="Q44" s="270" t="n">
        <f aca="false">Q40-Q41-Q42-Q43</f>
        <v>75622</v>
      </c>
      <c r="R44" s="270" t="n">
        <f aca="false">R40-R41-R42-R43</f>
        <v>165309</v>
      </c>
      <c r="S44" s="270" t="n">
        <f aca="false">S40-S41-S42-S43</f>
        <v>2694</v>
      </c>
      <c r="T44" s="270" t="n">
        <f aca="false">T40-T41-T42-T43</f>
        <v>168003</v>
      </c>
      <c r="U44" s="270" t="n">
        <f aca="false">U40-U41-U42-U43</f>
        <v>61441</v>
      </c>
      <c r="V44" s="271" t="n">
        <f aca="false">V40-V41-V42-V43</f>
        <v>279370</v>
      </c>
      <c r="W44" s="270" t="n">
        <f aca="false">W40-W41-W42-W43</f>
        <v>61582</v>
      </c>
      <c r="X44" s="270" t="n">
        <f aca="false">X40-X41-X42-X43</f>
        <v>58863</v>
      </c>
      <c r="Y44" s="270" t="n">
        <f aca="false">Y40-Y41-Y42-Y43</f>
        <v>120445</v>
      </c>
      <c r="Z44" s="270" t="n">
        <f aca="false">Z40-Z41-Z42-Z43</f>
        <v>73494</v>
      </c>
      <c r="AA44" s="270" t="n">
        <f aca="false">AA40-AA41-AA42-AA43</f>
        <v>193939</v>
      </c>
      <c r="AB44" s="270" t="n">
        <f aca="false">AB40-AB41-AB42-AB43</f>
        <v>39426.7</v>
      </c>
      <c r="AC44" s="271" t="n">
        <f aca="false">AC40-AC41-AC42-AC43</f>
        <v>233365.7</v>
      </c>
      <c r="AD44" s="271" t="n">
        <f aca="false">AD40-AD41-AD42-AD43</f>
        <v>268170.314</v>
      </c>
      <c r="AE44" s="271" t="n">
        <f aca="false">AE40-AE41-AE42-AE43</f>
        <v>369071.4899</v>
      </c>
      <c r="AF44" s="271" t="n">
        <f aca="false">AF40-AF41-AF42-AF43</f>
        <v>448389.46</v>
      </c>
      <c r="AG44" s="271" t="n">
        <f aca="false">AG40-AG41-AG42-AG43</f>
        <v>769546.59</v>
      </c>
    </row>
    <row r="45" customFormat="false" ht="17.25" hidden="false" customHeight="false" outlineLevel="0" collapsed="false">
      <c r="A45" s="255" t="s">
        <v>168</v>
      </c>
      <c r="B45" s="270" t="n">
        <f aca="false">B44</f>
        <v>84632</v>
      </c>
      <c r="C45" s="270" t="n">
        <f aca="false">C44</f>
        <v>74727</v>
      </c>
      <c r="D45" s="270" t="n">
        <f aca="false">D44</f>
        <v>159359</v>
      </c>
      <c r="E45" s="270" t="n">
        <f aca="false">E44</f>
        <v>120788</v>
      </c>
      <c r="F45" s="270" t="n">
        <f aca="false">F44</f>
        <v>280147</v>
      </c>
      <c r="G45" s="270" t="n">
        <f aca="false">G44</f>
        <v>15462</v>
      </c>
      <c r="H45" s="272" t="n">
        <f aca="false">H44</f>
        <v>238667</v>
      </c>
      <c r="I45" s="270" t="n">
        <f aca="false">I44</f>
        <v>219265</v>
      </c>
      <c r="J45" s="270" t="n">
        <f aca="false">J44</f>
        <v>57254</v>
      </c>
      <c r="K45" s="270" t="n">
        <f aca="false">K44</f>
        <v>326438</v>
      </c>
      <c r="L45" s="270" t="n">
        <f aca="false">L44</f>
        <v>62132</v>
      </c>
      <c r="M45" s="270" t="n">
        <f aca="false">M44</f>
        <v>338651</v>
      </c>
      <c r="N45" s="270" t="n">
        <f aca="false">N44</f>
        <v>72238</v>
      </c>
      <c r="O45" s="272" t="n">
        <f aca="false">O44</f>
        <v>260146</v>
      </c>
      <c r="P45" s="270" t="n">
        <f aca="false">P44</f>
        <v>89687</v>
      </c>
      <c r="Q45" s="270" t="n">
        <f aca="false">Q44</f>
        <v>75622</v>
      </c>
      <c r="R45" s="270" t="n">
        <f aca="false">R44</f>
        <v>165309</v>
      </c>
      <c r="S45" s="270" t="n">
        <f aca="false">S44</f>
        <v>2694</v>
      </c>
      <c r="T45" s="270" t="n">
        <f aca="false">T44</f>
        <v>168003</v>
      </c>
      <c r="U45" s="270" t="n">
        <f aca="false">U44</f>
        <v>61441</v>
      </c>
      <c r="V45" s="272" t="n">
        <f aca="false">V44</f>
        <v>279370</v>
      </c>
      <c r="W45" s="270" t="n">
        <f aca="false">W44</f>
        <v>61582</v>
      </c>
      <c r="X45" s="270" t="n">
        <f aca="false">X44</f>
        <v>58863</v>
      </c>
      <c r="Y45" s="270" t="n">
        <f aca="false">Y44</f>
        <v>120445</v>
      </c>
      <c r="Z45" s="270" t="n">
        <f aca="false">Z44</f>
        <v>73494</v>
      </c>
      <c r="AA45" s="270" t="n">
        <f aca="false">AA44</f>
        <v>193939</v>
      </c>
      <c r="AB45" s="270" t="n">
        <f aca="false">AB44</f>
        <v>39426.7</v>
      </c>
      <c r="AC45" s="272" t="n">
        <f aca="false">AC44</f>
        <v>233365.7</v>
      </c>
      <c r="AD45" s="272" t="n">
        <f aca="false">AD44</f>
        <v>268170.314</v>
      </c>
      <c r="AE45" s="272" t="n">
        <f aca="false">AE44</f>
        <v>369071.4899</v>
      </c>
      <c r="AF45" s="272" t="n">
        <f aca="false">AF44</f>
        <v>448389.46</v>
      </c>
      <c r="AG45" s="272" t="n">
        <f aca="false">AG44</f>
        <v>769546.59</v>
      </c>
    </row>
    <row r="46" customFormat="false" ht="17.25" hidden="false" customHeight="false" outlineLevel="0" collapsed="false">
      <c r="A46" s="255" t="s">
        <v>169</v>
      </c>
      <c r="B46" s="270" t="n">
        <v>8456.5</v>
      </c>
      <c r="C46" s="270" t="n">
        <v>8456.5</v>
      </c>
      <c r="D46" s="270" t="n">
        <v>8456.5</v>
      </c>
      <c r="E46" s="270" t="n">
        <v>8456.5</v>
      </c>
      <c r="F46" s="270" t="n">
        <v>8456.5</v>
      </c>
      <c r="G46" s="270" t="n">
        <v>8456.5</v>
      </c>
      <c r="H46" s="272" t="n">
        <v>8456.5</v>
      </c>
      <c r="I46" s="270" t="n">
        <v>8456.5</v>
      </c>
      <c r="J46" s="270" t="n">
        <v>8456.5</v>
      </c>
      <c r="K46" s="270" t="n">
        <v>8456.5</v>
      </c>
      <c r="L46" s="270" t="n">
        <v>8456.5</v>
      </c>
      <c r="M46" s="270" t="n">
        <v>8456.5</v>
      </c>
      <c r="N46" s="270" t="n">
        <v>8456.5</v>
      </c>
      <c r="O46" s="272" t="n">
        <v>8456.5</v>
      </c>
      <c r="P46" s="270" t="n">
        <v>8456.5</v>
      </c>
      <c r="Q46" s="270" t="n">
        <v>8456.5</v>
      </c>
      <c r="R46" s="270" t="n">
        <v>8456.5</v>
      </c>
      <c r="S46" s="270" t="n">
        <v>12684.8</v>
      </c>
      <c r="T46" s="270" t="n">
        <v>12684.8</v>
      </c>
      <c r="U46" s="270" t="n">
        <v>12684.8</v>
      </c>
      <c r="V46" s="272" t="n">
        <v>12684.8</v>
      </c>
      <c r="W46" s="270" t="n">
        <v>12684.8</v>
      </c>
      <c r="X46" s="270" t="n">
        <v>12684.8</v>
      </c>
      <c r="Y46" s="270" t="n">
        <v>12684.8</v>
      </c>
      <c r="Z46" s="270" t="n">
        <v>12684.8</v>
      </c>
      <c r="AA46" s="270" t="n">
        <v>12684.8</v>
      </c>
      <c r="AB46" s="270" t="n">
        <v>12684.8</v>
      </c>
      <c r="AC46" s="272" t="n">
        <v>12684.8</v>
      </c>
      <c r="AD46" s="272" t="n">
        <v>12684.8</v>
      </c>
      <c r="AE46" s="272" t="n">
        <v>12684.8</v>
      </c>
      <c r="AF46" s="272" t="n">
        <v>12684.8</v>
      </c>
      <c r="AG46" s="272" t="n">
        <v>12684.8</v>
      </c>
    </row>
    <row r="47" s="275" customFormat="true" ht="15" hidden="false" customHeight="true" outlineLevel="0" collapsed="false">
      <c r="A47" s="252" t="s">
        <v>170</v>
      </c>
      <c r="B47" s="273" t="n">
        <f aca="false">B46/B45</f>
        <v>0.0999208337271954</v>
      </c>
      <c r="C47" s="273" t="n">
        <f aca="false">C37/C44</f>
        <v>0.223975269982737</v>
      </c>
      <c r="D47" s="273" t="n">
        <f aca="false">D37/D44</f>
        <v>0.155265783545328</v>
      </c>
      <c r="E47" s="273" t="n">
        <f aca="false">E37/E44</f>
        <v>0.152854588204126</v>
      </c>
      <c r="F47" s="273" t="n">
        <f aca="false">F37/F44</f>
        <v>0.154226174115732</v>
      </c>
      <c r="G47" s="273" t="n">
        <f aca="false">G37/G44</f>
        <v>0.73011253395421</v>
      </c>
      <c r="H47" s="274" t="n">
        <f aca="false">H37/H44</f>
        <v>0.228330686688985</v>
      </c>
      <c r="I47" s="273" t="n">
        <f aca="false">I37/I44</f>
        <v>0.041625430415251</v>
      </c>
      <c r="J47" s="273" t="n">
        <f aca="false">J37/J44</f>
        <v>0.315436476054075</v>
      </c>
      <c r="K47" s="273" t="n">
        <f aca="false">K37/K44</f>
        <v>0.0832838088702908</v>
      </c>
      <c r="L47" s="273" t="n">
        <f aca="false">L37/L44</f>
        <v>0.297463464881221</v>
      </c>
      <c r="M47" s="273" t="n">
        <f aca="false">M37/M44</f>
        <v>0.134855647849851</v>
      </c>
      <c r="N47" s="273" t="n">
        <f aca="false">N37/N44</f>
        <v>0.137960630139262</v>
      </c>
      <c r="O47" s="274" t="n">
        <f aca="false">O37/O44</f>
        <v>0.21386067823453</v>
      </c>
      <c r="P47" s="273" t="n">
        <f aca="false">P37/P44</f>
        <v>0.127967263928998</v>
      </c>
      <c r="Q47" s="273" t="n">
        <f aca="false">Q37/Q44</f>
        <v>0.057298140752691</v>
      </c>
      <c r="R47" s="273" t="n">
        <f aca="false">R37/R44</f>
        <v>0.0956390759123823</v>
      </c>
      <c r="S47" s="273" t="n">
        <f aca="false">S37/S44</f>
        <v>0.162212323682257</v>
      </c>
      <c r="T47" s="273" t="n">
        <f aca="false">T37/T44</f>
        <v>0.0967066064296471</v>
      </c>
      <c r="U47" s="273" t="n">
        <f aca="false">U37/U44</f>
        <v>0.210999169935385</v>
      </c>
      <c r="V47" s="274" t="n">
        <f aca="false">V37/V44</f>
        <v>0.285148727494004</v>
      </c>
      <c r="W47" s="273" t="n">
        <f aca="false">W37/W44</f>
        <v>0.032330875905297</v>
      </c>
      <c r="X47" s="273" t="n">
        <f aca="false">X37/X44</f>
        <v>0.0376467390381054</v>
      </c>
      <c r="Y47" s="273" t="n">
        <f aca="false">Y37/Y44</f>
        <v>0.0349288056789406</v>
      </c>
      <c r="Z47" s="273" t="n">
        <f aca="false">Z37/Z44</f>
        <v>0.0243149100606852</v>
      </c>
      <c r="AA47" s="273" t="n">
        <f aca="false">AA37/AA44</f>
        <v>0.0309066252790826</v>
      </c>
      <c r="AB47" s="273" t="n">
        <f aca="false">AB37/AB44</f>
        <v>0.0507270453778785</v>
      </c>
      <c r="AC47" s="274" t="n">
        <f aca="false">AC37/AC44</f>
        <v>0.034255248307699</v>
      </c>
      <c r="AD47" s="274" t="n">
        <f aca="false">AD37/AD44</f>
        <v>0.0932243380227388</v>
      </c>
      <c r="AE47" s="274" t="n">
        <f aca="false">AE37/AE44</f>
        <v>0.0812850648749068</v>
      </c>
      <c r="AF47" s="274" t="n">
        <f aca="false">AF37/AF44</f>
        <v>0.082517550702463</v>
      </c>
      <c r="AG47" s="274" t="n">
        <f aca="false">AG37/AG44</f>
        <v>0.055877058723631</v>
      </c>
      <c r="AH47" s="0"/>
    </row>
    <row r="49" s="277" customFormat="true" ht="15.75" hidden="false" customHeight="false" outlineLevel="0" collapsed="false">
      <c r="A49" s="85"/>
      <c r="B49" s="276"/>
      <c r="C49" s="276"/>
      <c r="D49" s="276"/>
      <c r="E49" s="276"/>
      <c r="F49" s="276"/>
      <c r="G49" s="276"/>
      <c r="H49" s="276"/>
      <c r="I49" s="276"/>
      <c r="J49" s="276"/>
      <c r="K49" s="276"/>
      <c r="L49" s="276"/>
      <c r="M49" s="276"/>
      <c r="N49" s="276"/>
      <c r="O49" s="276"/>
      <c r="P49" s="276"/>
      <c r="Q49" s="276"/>
      <c r="R49" s="276"/>
      <c r="S49" s="276"/>
      <c r="T49" s="276"/>
      <c r="U49" s="276"/>
      <c r="V49" s="276"/>
      <c r="W49" s="276"/>
      <c r="X49" s="276"/>
      <c r="Y49" s="276"/>
      <c r="Z49" s="276"/>
      <c r="AA49" s="276"/>
      <c r="AB49" s="276"/>
      <c r="AC49" s="276"/>
      <c r="AD49" s="276"/>
      <c r="AE49" s="276"/>
      <c r="AF49" s="276"/>
      <c r="AG49" s="276"/>
    </row>
    <row r="50" customFormat="false" ht="15" hidden="false" customHeight="false" outlineLevel="0" collapsed="false">
      <c r="A50" s="278"/>
    </row>
    <row r="51" customFormat="false" ht="15.75" hidden="false" customHeight="false" outlineLevel="0" collapsed="false">
      <c r="A51" s="279" t="s">
        <v>171</v>
      </c>
    </row>
    <row r="52" customFormat="false" ht="15" hidden="false" customHeight="false" outlineLevel="0" collapsed="false">
      <c r="A52" s="280"/>
      <c r="B52" s="281" t="s">
        <v>172</v>
      </c>
      <c r="C52" s="282" t="s">
        <v>173</v>
      </c>
      <c r="D52" s="282" t="s">
        <v>174</v>
      </c>
      <c r="E52" s="282" t="s">
        <v>175</v>
      </c>
      <c r="F52" s="282" t="s">
        <v>176</v>
      </c>
      <c r="G52" s="282" t="s">
        <v>177</v>
      </c>
      <c r="H52" s="282" t="s">
        <v>178</v>
      </c>
      <c r="I52" s="282" t="s">
        <v>179</v>
      </c>
      <c r="J52" s="283" t="s">
        <v>180</v>
      </c>
    </row>
    <row r="53" customFormat="false" ht="15.75" hidden="false" customHeight="false" outlineLevel="0" collapsed="false">
      <c r="A53" s="280"/>
      <c r="B53" s="284" t="s">
        <v>51</v>
      </c>
      <c r="C53" s="285" t="s">
        <v>52</v>
      </c>
      <c r="D53" s="285" t="s">
        <v>53</v>
      </c>
      <c r="E53" s="285" t="s">
        <v>54</v>
      </c>
      <c r="F53" s="285" t="s">
        <v>55</v>
      </c>
      <c r="G53" s="285" t="s">
        <v>56</v>
      </c>
      <c r="H53" s="285" t="s">
        <v>57</v>
      </c>
      <c r="I53" s="285" t="s">
        <v>58</v>
      </c>
      <c r="J53" s="286" t="s">
        <v>59</v>
      </c>
    </row>
    <row r="54" customFormat="false" ht="15.75" hidden="false" customHeight="false" outlineLevel="0" collapsed="false"/>
    <row r="55" customFormat="false" ht="15" hidden="false" customHeight="false" outlineLevel="0" collapsed="false">
      <c r="A55" s="287" t="s">
        <v>181</v>
      </c>
      <c r="B55" s="288" t="n">
        <v>4495.94</v>
      </c>
      <c r="C55" s="288" t="n">
        <v>2660.41</v>
      </c>
      <c r="D55" s="289" t="n">
        <v>4472.99</v>
      </c>
      <c r="E55" s="289" t="n">
        <v>3456.15</v>
      </c>
      <c r="F55" s="288" t="n">
        <v>3500.76</v>
      </c>
      <c r="G55" s="288" t="n">
        <v>3657.75</v>
      </c>
      <c r="H55" s="288" t="n">
        <v>3699</v>
      </c>
      <c r="I55" s="288" t="n">
        <v>3734</v>
      </c>
      <c r="J55" s="290" t="n">
        <v>3800</v>
      </c>
    </row>
    <row r="56" customFormat="false" ht="15" hidden="false" customHeight="false" outlineLevel="0" collapsed="false">
      <c r="A56" s="291" t="s">
        <v>182</v>
      </c>
      <c r="B56" s="292" t="n">
        <v>1784</v>
      </c>
      <c r="C56" s="292" t="n">
        <v>905</v>
      </c>
      <c r="D56" s="292" t="n">
        <v>2256</v>
      </c>
      <c r="E56" s="292" t="n">
        <v>2568</v>
      </c>
      <c r="F56" s="292" t="n">
        <v>115</v>
      </c>
      <c r="G56" s="292" t="n">
        <v>3401</v>
      </c>
      <c r="H56" s="292" t="n">
        <v>1246</v>
      </c>
      <c r="I56" s="292" t="n">
        <v>2577</v>
      </c>
      <c r="J56" s="293"/>
    </row>
    <row r="57" customFormat="false" ht="15" hidden="false" customHeight="false" outlineLevel="0" collapsed="false">
      <c r="A57" s="291" t="s">
        <v>183</v>
      </c>
      <c r="B57" s="294" t="n">
        <v>1916.56</v>
      </c>
      <c r="C57" s="294" t="n">
        <v>1337.85</v>
      </c>
      <c r="D57" s="294" t="n">
        <v>1265.87</v>
      </c>
      <c r="E57" s="294" t="n">
        <v>1200.13</v>
      </c>
      <c r="F57" s="294" t="n">
        <v>1186.33</v>
      </c>
      <c r="G57" s="294" t="n">
        <v>1172.34</v>
      </c>
      <c r="H57" s="294" t="n">
        <v>1154.36</v>
      </c>
      <c r="I57" s="294" t="n">
        <v>1141.82</v>
      </c>
      <c r="J57" s="295" t="n">
        <v>1136.24</v>
      </c>
    </row>
    <row r="58" customFormat="false" ht="15.75" hidden="false" customHeight="false" outlineLevel="0" collapsed="false">
      <c r="A58" s="296" t="s">
        <v>184</v>
      </c>
      <c r="B58" s="297"/>
      <c r="C58" s="297"/>
      <c r="D58" s="297" t="n">
        <v>3209.53</v>
      </c>
      <c r="E58" s="297" t="n">
        <v>4060.03</v>
      </c>
      <c r="F58" s="297" t="n">
        <v>4007.16</v>
      </c>
      <c r="G58" s="297" t="n">
        <v>5062.71</v>
      </c>
      <c r="H58" s="297" t="n">
        <v>6564.27</v>
      </c>
      <c r="I58" s="297" t="n">
        <f aca="false">'Ratio Analysis'!I23</f>
        <v>8803.15443905224</v>
      </c>
      <c r="J58" s="298" t="n">
        <f aca="false">'Ratio Analysis'!J23</f>
        <v>12278.7510984183</v>
      </c>
    </row>
    <row r="61" customFormat="false" ht="15.75" hidden="false" customHeight="false" outlineLevel="0" collapsed="false">
      <c r="A61" s="279" t="s">
        <v>185</v>
      </c>
    </row>
    <row r="62" customFormat="false" ht="15.75" hidden="false" customHeight="false" outlineLevel="0" collapsed="false"/>
    <row r="63" customFormat="false" ht="15" hidden="false" customHeight="false" outlineLevel="0" collapsed="false">
      <c r="A63" s="299" t="s">
        <v>186</v>
      </c>
      <c r="B63" s="300"/>
      <c r="C63" s="301" t="n">
        <f aca="false">'Ratio Analysis'!C13</f>
        <v>18.6779857894035</v>
      </c>
      <c r="D63" s="301" t="n">
        <f aca="false">'Ratio Analysis'!D13</f>
        <v>21.9302317832987</v>
      </c>
      <c r="E63" s="301" t="n">
        <f aca="false">'Ratio Analysis'!E13</f>
        <v>17.010087924983</v>
      </c>
      <c r="F63" s="301" t="n">
        <f aca="false">'Ratio Analysis'!F13</f>
        <v>17.8836294737592</v>
      </c>
      <c r="G63" s="301" t="n">
        <f aca="false">'Ratio Analysis'!G13</f>
        <v>13.5</v>
      </c>
      <c r="H63" s="301" t="n">
        <f aca="false">'Ratio Analysis'!H13</f>
        <v>13.3</v>
      </c>
      <c r="I63" s="301" t="n">
        <f aca="false">'Ratio Analysis'!I13</f>
        <v>11.3</v>
      </c>
      <c r="J63" s="302" t="n">
        <f aca="false">'Ratio Analysis'!J13</f>
        <v>13.1</v>
      </c>
    </row>
    <row r="64" customFormat="false" ht="15" hidden="false" customHeight="false" outlineLevel="0" collapsed="false">
      <c r="A64" s="303" t="s">
        <v>187</v>
      </c>
      <c r="B64" s="304"/>
      <c r="C64" s="305" t="n">
        <f aca="false">'INCOME STATEMENT'!H6/'INCOME STATEMENT'!H10</f>
        <v>1.22967933063037</v>
      </c>
      <c r="D64" s="305" t="n">
        <f aca="false">'INCOME STATEMENT'!O6/'INCOME STATEMENT'!O10</f>
        <v>1.28090555773685</v>
      </c>
      <c r="E64" s="305" t="n">
        <f aca="false">'INCOME STATEMENT'!V6/'INCOME STATEMENT'!V10</f>
        <v>1.20496573016739</v>
      </c>
      <c r="F64" s="305" t="n">
        <f aca="false">'INCOME STATEMENT'!AC6/'INCOME STATEMENT'!AC10</f>
        <v>1.21778397363586</v>
      </c>
      <c r="G64" s="305" t="n">
        <f aca="false">'INCOME STATEMENT'!AD6/'INCOME STATEMENT'!AD10</f>
        <v>1.15606936416185</v>
      </c>
      <c r="H64" s="305" t="n">
        <f aca="false">'INCOME STATEMENT'!AE6/'INCOME STATEMENT'!AE10</f>
        <v>1.15340253748558</v>
      </c>
      <c r="I64" s="305" t="n">
        <f aca="false">'INCOME STATEMENT'!AF6/'INCOME STATEMENT'!AF10</f>
        <v>1.12739571589628</v>
      </c>
      <c r="J64" s="306" t="n">
        <f aca="false">'INCOME STATEMENT'!AG6/'INCOME STATEMENT'!AG10</f>
        <v>1.15074798619102</v>
      </c>
    </row>
    <row r="65" customFormat="false" ht="15" hidden="false" customHeight="false" outlineLevel="0" collapsed="false">
      <c r="A65" s="303" t="s">
        <v>188</v>
      </c>
      <c r="B65" s="304"/>
      <c r="C65" s="307" t="n">
        <f aca="false">'Ratio Analysis'!C14</f>
        <v>14.8728312388843</v>
      </c>
      <c r="D65" s="307" t="n">
        <f aca="false">'Ratio Analysis'!D14</f>
        <v>14.4459746115658</v>
      </c>
      <c r="E65" s="307" t="n">
        <f aca="false">'Ratio Analysis'!E14</f>
        <v>11.750108828459</v>
      </c>
      <c r="F65" s="307" t="n">
        <f aca="false">'Ratio Analysis'!F14</f>
        <v>9.43983305139114</v>
      </c>
      <c r="G65" s="307" t="n">
        <f aca="false">'Ratio Analysis'!G14</f>
        <v>8.21795095657292</v>
      </c>
      <c r="H65" s="307" t="n">
        <f aca="false">'Ratio Analysis'!H14</f>
        <v>8.37779069797717</v>
      </c>
      <c r="I65" s="307" t="n">
        <f aca="false">'Ratio Analysis'!I14</f>
        <v>7.27020230271958</v>
      </c>
      <c r="J65" s="308" t="n">
        <f aca="false">'Ratio Analysis'!J14</f>
        <v>8.60514421560888</v>
      </c>
    </row>
    <row r="66" customFormat="false" ht="15.75" hidden="false" customHeight="false" outlineLevel="0" collapsed="false">
      <c r="A66" s="309" t="s">
        <v>63</v>
      </c>
      <c r="B66" s="310"/>
      <c r="C66" s="311" t="n">
        <f aca="false">'Ratio Analysis'!C19</f>
        <v>22.6177624206201</v>
      </c>
      <c r="D66" s="311" t="n">
        <f aca="false">'Ratio Analysis'!D19</f>
        <v>42.4559507352017</v>
      </c>
      <c r="E66" s="311" t="n">
        <f aca="false">'Ratio Analysis'!E19</f>
        <v>40.0505747126437</v>
      </c>
      <c r="F66" s="311" t="n">
        <f aca="false">'Ratio Analysis'!F19</f>
        <v>56.7708057151274</v>
      </c>
      <c r="G66" s="311" t="n">
        <f aca="false">'Ratio Analysis'!G19</f>
        <v>49.3263357372827</v>
      </c>
      <c r="H66" s="311" t="n">
        <f aca="false">'Ratio Analysis'!H19</f>
        <v>79.9887088277221</v>
      </c>
      <c r="I66" s="311" t="n">
        <f aca="false">'Ratio Analysis'!I19</f>
        <v>117.584431126683</v>
      </c>
      <c r="J66" s="312" t="n">
        <f aca="false">'Ratio Analysis'!J19</f>
        <v>188.735720835456</v>
      </c>
    </row>
  </sheetData>
  <mergeCells count="8">
    <mergeCell ref="B3:E3"/>
    <mergeCell ref="G3:J3"/>
    <mergeCell ref="L3:O3"/>
    <mergeCell ref="Q3:T3"/>
    <mergeCell ref="B22:G22"/>
    <mergeCell ref="I22:N22"/>
    <mergeCell ref="P22:U22"/>
    <mergeCell ref="W22:AB2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7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defaultColWidth="9.13671875" defaultRowHeight="11.25" zeroHeight="false" outlineLevelRow="0" outlineLevelCol="0"/>
  <cols>
    <col collapsed="false" customWidth="true" hidden="false" outlineLevel="0" max="1" min="1" style="123" width="33.42"/>
    <col collapsed="false" customWidth="true" hidden="false" outlineLevel="0" max="4" min="2" style="122" width="7.56"/>
    <col collapsed="false" customWidth="true" hidden="false" outlineLevel="0" max="5" min="5" style="122" width="7.85"/>
    <col collapsed="false" customWidth="true" hidden="false" outlineLevel="0" max="6" min="6" style="313" width="10.99"/>
    <col collapsed="false" customWidth="true" hidden="false" outlineLevel="0" max="9" min="7" style="122" width="7.56"/>
    <col collapsed="false" customWidth="true" hidden="false" outlineLevel="0" max="10" min="10" style="122" width="7.85"/>
    <col collapsed="false" customWidth="true" hidden="false" outlineLevel="0" max="11" min="11" style="122" width="10.99"/>
    <col collapsed="false" customWidth="true" hidden="false" outlineLevel="0" max="12" min="12" style="122" width="7.56"/>
    <col collapsed="false" customWidth="true" hidden="false" outlineLevel="0" max="13" min="13" style="122" width="8.13"/>
    <col collapsed="false" customWidth="true" hidden="false" outlineLevel="0" max="14" min="14" style="122" width="7.56"/>
    <col collapsed="false" customWidth="true" hidden="false" outlineLevel="0" max="15" min="15" style="123" width="7.56"/>
    <col collapsed="false" customWidth="true" hidden="false" outlineLevel="0" max="16" min="16" style="123" width="10.99"/>
    <col collapsed="false" customWidth="true" hidden="false" outlineLevel="0" max="17" min="17" style="123" width="8.71"/>
    <col collapsed="false" customWidth="true" hidden="false" outlineLevel="0" max="18" min="18" style="123" width="8.42"/>
    <col collapsed="false" customWidth="true" hidden="false" outlineLevel="0" max="19" min="19" style="123" width="8.85"/>
    <col collapsed="false" customWidth="true" hidden="false" outlineLevel="0" max="20" min="20" style="123" width="9.42"/>
    <col collapsed="false" customWidth="true" hidden="false" outlineLevel="0" max="21" min="21" style="123" width="10.7"/>
    <col collapsed="false" customWidth="true" hidden="false" outlineLevel="0" max="25" min="22" style="123" width="10.99"/>
    <col collapsed="false" customWidth="true" hidden="false" outlineLevel="0" max="36" min="26" style="123" width="7.14"/>
    <col collapsed="false" customWidth="false" hidden="false" outlineLevel="0" max="257" min="37" style="123" width="9.13"/>
  </cols>
  <sheetData>
    <row r="1" customFormat="false" ht="17.25" hidden="false" customHeight="false" outlineLevel="0" collapsed="false">
      <c r="A1" s="314" t="s">
        <v>15</v>
      </c>
      <c r="F1" s="122"/>
    </row>
    <row r="2" customFormat="false" ht="15.75" hidden="false" customHeight="false" outlineLevel="0" collapsed="false">
      <c r="A2" s="124" t="s">
        <v>84</v>
      </c>
      <c r="F2" s="122"/>
      <c r="I2" s="315" t="s">
        <v>189</v>
      </c>
      <c r="L2" s="315" t="s">
        <v>189</v>
      </c>
      <c r="M2" s="315" t="s">
        <v>189</v>
      </c>
      <c r="N2" s="315" t="s">
        <v>189</v>
      </c>
      <c r="O2" s="315" t="s">
        <v>189</v>
      </c>
      <c r="S2" s="126" t="s">
        <v>85</v>
      </c>
    </row>
    <row r="3" customFormat="false" ht="17.25" hidden="false" customHeight="false" outlineLevel="0" collapsed="false">
      <c r="A3" s="316" t="s">
        <v>190</v>
      </c>
      <c r="B3" s="317" t="s">
        <v>78</v>
      </c>
      <c r="C3" s="317"/>
      <c r="D3" s="317"/>
      <c r="E3" s="317"/>
      <c r="F3" s="129"/>
      <c r="G3" s="317" t="s">
        <v>79</v>
      </c>
      <c r="H3" s="317"/>
      <c r="I3" s="317"/>
      <c r="J3" s="317"/>
      <c r="K3" s="129"/>
      <c r="L3" s="318" t="s">
        <v>80</v>
      </c>
      <c r="M3" s="318"/>
      <c r="N3" s="318"/>
      <c r="O3" s="318"/>
      <c r="P3" s="129"/>
      <c r="Q3" s="317" t="s">
        <v>81</v>
      </c>
      <c r="R3" s="317"/>
      <c r="S3" s="317"/>
      <c r="T3" s="317"/>
      <c r="U3" s="129"/>
      <c r="V3" s="129"/>
      <c r="W3" s="111"/>
      <c r="X3" s="111"/>
      <c r="Y3" s="111"/>
    </row>
    <row r="4" customFormat="false" ht="14.25" hidden="false" customHeight="false" outlineLevel="0" collapsed="false">
      <c r="B4" s="131" t="s">
        <v>86</v>
      </c>
      <c r="C4" s="132" t="s">
        <v>87</v>
      </c>
      <c r="D4" s="132" t="s">
        <v>88</v>
      </c>
      <c r="E4" s="132" t="s">
        <v>89</v>
      </c>
      <c r="F4" s="319" t="s">
        <v>90</v>
      </c>
      <c r="G4" s="132" t="s">
        <v>86</v>
      </c>
      <c r="H4" s="132" t="s">
        <v>87</v>
      </c>
      <c r="I4" s="132" t="s">
        <v>88</v>
      </c>
      <c r="J4" s="132" t="s">
        <v>89</v>
      </c>
      <c r="K4" s="319" t="s">
        <v>90</v>
      </c>
      <c r="L4" s="132" t="s">
        <v>86</v>
      </c>
      <c r="M4" s="132" t="s">
        <v>87</v>
      </c>
      <c r="N4" s="132" t="s">
        <v>88</v>
      </c>
      <c r="O4" s="132" t="s">
        <v>89</v>
      </c>
      <c r="P4" s="319" t="s">
        <v>90</v>
      </c>
      <c r="Q4" s="132" t="s">
        <v>86</v>
      </c>
      <c r="R4" s="132" t="s">
        <v>87</v>
      </c>
      <c r="S4" s="132" t="s">
        <v>88</v>
      </c>
      <c r="T4" s="132" t="s">
        <v>89</v>
      </c>
      <c r="U4" s="319" t="s">
        <v>91</v>
      </c>
      <c r="V4" s="319" t="s">
        <v>92</v>
      </c>
      <c r="W4" s="319" t="s">
        <v>92</v>
      </c>
      <c r="X4" s="319" t="s">
        <v>92</v>
      </c>
      <c r="Y4" s="320" t="s">
        <v>92</v>
      </c>
    </row>
    <row r="5" s="111" customFormat="true" ht="14.25" hidden="false" customHeight="false" outlineLevel="0" collapsed="false">
      <c r="A5" s="123"/>
      <c r="B5" s="136" t="s">
        <v>96</v>
      </c>
      <c r="C5" s="137" t="s">
        <v>97</v>
      </c>
      <c r="D5" s="137" t="s">
        <v>98</v>
      </c>
      <c r="E5" s="137" t="s">
        <v>99</v>
      </c>
      <c r="F5" s="321" t="s">
        <v>52</v>
      </c>
      <c r="G5" s="137" t="s">
        <v>100</v>
      </c>
      <c r="H5" s="137" t="s">
        <v>101</v>
      </c>
      <c r="I5" s="137" t="s">
        <v>102</v>
      </c>
      <c r="J5" s="137" t="s">
        <v>103</v>
      </c>
      <c r="K5" s="321" t="s">
        <v>104</v>
      </c>
      <c r="L5" s="137" t="s">
        <v>105</v>
      </c>
      <c r="M5" s="137" t="s">
        <v>106</v>
      </c>
      <c r="N5" s="137" t="s">
        <v>107</v>
      </c>
      <c r="O5" s="137" t="s">
        <v>108</v>
      </c>
      <c r="P5" s="321" t="s">
        <v>109</v>
      </c>
      <c r="Q5" s="137" t="s">
        <v>110</v>
      </c>
      <c r="R5" s="137" t="s">
        <v>111</v>
      </c>
      <c r="S5" s="137" t="s">
        <v>112</v>
      </c>
      <c r="T5" s="137" t="s">
        <v>113</v>
      </c>
      <c r="U5" s="321" t="s">
        <v>114</v>
      </c>
      <c r="V5" s="321" t="s">
        <v>56</v>
      </c>
      <c r="W5" s="321" t="s">
        <v>57</v>
      </c>
      <c r="X5" s="322" t="s">
        <v>58</v>
      </c>
      <c r="Y5" s="323" t="s">
        <v>59</v>
      </c>
    </row>
    <row r="6" s="111" customFormat="true" ht="12" hidden="false" customHeight="false" outlineLevel="0" collapsed="false">
      <c r="A6" s="123"/>
      <c r="B6" s="123"/>
      <c r="C6" s="123"/>
      <c r="D6" s="122"/>
      <c r="E6" s="123"/>
      <c r="F6" s="122"/>
      <c r="G6" s="123"/>
      <c r="H6" s="123"/>
      <c r="I6" s="122"/>
      <c r="J6" s="123"/>
      <c r="K6" s="123"/>
      <c r="L6" s="123"/>
      <c r="M6" s="123"/>
      <c r="N6" s="122"/>
      <c r="O6" s="141"/>
      <c r="P6" s="141"/>
      <c r="Q6" s="141"/>
      <c r="R6" s="141"/>
      <c r="S6" s="142"/>
      <c r="T6" s="141"/>
      <c r="U6" s="141"/>
      <c r="V6" s="141"/>
      <c r="W6" s="123"/>
      <c r="X6" s="123"/>
      <c r="Y6" s="123"/>
    </row>
    <row r="7" s="111" customFormat="true" ht="13.5" hidden="false" customHeight="false" outlineLevel="0" collapsed="false">
      <c r="A7" s="143" t="s">
        <v>115</v>
      </c>
      <c r="B7" s="144"/>
      <c r="C7" s="145"/>
      <c r="D7" s="145"/>
      <c r="E7" s="145"/>
      <c r="F7" s="145"/>
      <c r="G7" s="145"/>
      <c r="H7" s="145"/>
      <c r="I7" s="145"/>
      <c r="J7" s="145"/>
      <c r="K7" s="145"/>
      <c r="L7" s="145"/>
      <c r="M7" s="145"/>
      <c r="N7" s="145"/>
      <c r="O7" s="146"/>
      <c r="P7" s="146"/>
      <c r="Q7" s="146"/>
      <c r="R7" s="146"/>
      <c r="S7" s="146"/>
      <c r="T7" s="147"/>
      <c r="U7" s="87"/>
      <c r="V7" s="87"/>
      <c r="W7" s="123"/>
      <c r="X7" s="123"/>
      <c r="Y7" s="123"/>
    </row>
    <row r="8" s="111" customFormat="true" ht="12" hidden="false" customHeight="false" outlineLevel="0" collapsed="false">
      <c r="A8" s="148" t="s">
        <v>69</v>
      </c>
      <c r="B8" s="149" t="n">
        <v>30766.59</v>
      </c>
      <c r="C8" s="150" t="n">
        <v>29236.8</v>
      </c>
      <c r="D8" s="150" t="n">
        <v>31494.1</v>
      </c>
      <c r="E8" s="151" t="n">
        <v>29700.8</v>
      </c>
      <c r="F8" s="152" t="n">
        <f aca="false">SUM(B8:E8)</f>
        <v>121198.29</v>
      </c>
      <c r="G8" s="153" t="n">
        <v>30067.23</v>
      </c>
      <c r="H8" s="153" t="n">
        <v>32486.93</v>
      </c>
      <c r="I8" s="154" t="n">
        <v>31120.1</v>
      </c>
      <c r="J8" s="153" t="n">
        <v>33801.6</v>
      </c>
      <c r="K8" s="155" t="n">
        <f aca="false">SUM(G8:J8)</f>
        <v>127475.86</v>
      </c>
      <c r="L8" s="156" t="n">
        <v>41192.8</v>
      </c>
      <c r="M8" s="156" t="n">
        <v>44953.8</v>
      </c>
      <c r="N8" s="154" t="n">
        <v>49507.4</v>
      </c>
      <c r="O8" s="156" t="n">
        <v>47429.6</v>
      </c>
      <c r="P8" s="157" t="n">
        <f aca="false">SUM(L8:O8)</f>
        <v>183083.6</v>
      </c>
      <c r="Q8" s="158" t="n">
        <v>46417.1</v>
      </c>
      <c r="R8" s="158" t="n">
        <v>49691.3</v>
      </c>
      <c r="S8" s="159" t="n">
        <v>45274.4</v>
      </c>
      <c r="T8" s="160" t="n">
        <f aca="false">U8-(Q8+R8+S8)</f>
        <v>63670.832</v>
      </c>
      <c r="U8" s="324" t="n">
        <f aca="false">(U24+1)*P8</f>
        <v>205053.632</v>
      </c>
      <c r="V8" s="325" t="n">
        <f aca="false">(V24+1)*U8</f>
        <v>246064.3584</v>
      </c>
      <c r="W8" s="326" t="n">
        <f aca="false">(W24+1)*V8</f>
        <v>295277.23008</v>
      </c>
      <c r="X8" s="326" t="n">
        <f aca="false">(X24+1)*W8</f>
        <v>369096.5376</v>
      </c>
      <c r="Y8" s="326" t="n">
        <f aca="false">(Y24+1)*X8</f>
        <v>479825.49888</v>
      </c>
    </row>
    <row r="9" s="111" customFormat="true" ht="12" hidden="false" customHeight="false" outlineLevel="0" collapsed="false">
      <c r="A9" s="148" t="s">
        <v>70</v>
      </c>
      <c r="B9" s="164" t="n">
        <v>5008.51</v>
      </c>
      <c r="C9" s="165" t="n">
        <v>4971.7</v>
      </c>
      <c r="D9" s="165" t="n">
        <v>6412.5</v>
      </c>
      <c r="E9" s="166" t="n">
        <v>4761.8</v>
      </c>
      <c r="F9" s="167" t="n">
        <f aca="false">SUM(B9:E9)</f>
        <v>21154.51</v>
      </c>
      <c r="G9" s="166" t="n">
        <v>4894.67</v>
      </c>
      <c r="H9" s="166" t="n">
        <v>5288.57</v>
      </c>
      <c r="I9" s="166" t="n">
        <v>6021.6</v>
      </c>
      <c r="J9" s="166" t="n">
        <v>5761.5</v>
      </c>
      <c r="K9" s="167" t="n">
        <f aca="false">SUM(G9:J9)</f>
        <v>21966.34</v>
      </c>
      <c r="L9" s="166" t="n">
        <v>6213.8</v>
      </c>
      <c r="M9" s="166" t="n">
        <v>6215</v>
      </c>
      <c r="N9" s="166" t="n">
        <v>6140.9</v>
      </c>
      <c r="O9" s="156" t="n">
        <v>6511</v>
      </c>
      <c r="P9" s="167" t="n">
        <f aca="false">SUM(L9:O9)</f>
        <v>25080.7</v>
      </c>
      <c r="Q9" s="156" t="n">
        <v>7331.5</v>
      </c>
      <c r="R9" s="166" t="n">
        <v>8429.5</v>
      </c>
      <c r="S9" s="166" t="n">
        <v>8527.8</v>
      </c>
      <c r="T9" s="168" t="n">
        <f aca="false">U9-(Q9+R9+S9)</f>
        <v>10573.373</v>
      </c>
      <c r="U9" s="327" t="n">
        <f aca="false">(U25+1)*P9</f>
        <v>34862.173</v>
      </c>
      <c r="V9" s="328" t="n">
        <f aca="false">(V25+1)*U9</f>
        <v>45320.8249</v>
      </c>
      <c r="W9" s="329" t="n">
        <f aca="false">(W25+1)*V9</f>
        <v>61183.113615</v>
      </c>
      <c r="X9" s="329" t="n">
        <f aca="false">(X25+1)*W9</f>
        <v>82597.20338025</v>
      </c>
      <c r="Y9" s="329" t="n">
        <f aca="false">(Y25+1)*X9</f>
        <v>113984.140664745</v>
      </c>
    </row>
    <row r="10" s="111" customFormat="true" ht="12" hidden="false" customHeight="false" outlineLevel="0" collapsed="false">
      <c r="A10" s="148" t="s">
        <v>71</v>
      </c>
      <c r="B10" s="164" t="n">
        <v>5502.8</v>
      </c>
      <c r="C10" s="165" t="n">
        <v>5455.6</v>
      </c>
      <c r="D10" s="165" t="n">
        <v>7306</v>
      </c>
      <c r="E10" s="166" t="n">
        <v>7437.2</v>
      </c>
      <c r="F10" s="167" t="n">
        <f aca="false">SUM(B10:E10)</f>
        <v>25701.6</v>
      </c>
      <c r="G10" s="166" t="n">
        <v>7783.9</v>
      </c>
      <c r="H10" s="166" t="n">
        <v>6402.2</v>
      </c>
      <c r="I10" s="166" t="n">
        <v>5378.1</v>
      </c>
      <c r="J10" s="166" t="n">
        <v>7467</v>
      </c>
      <c r="K10" s="167" t="n">
        <f aca="false">SUM(G10:J10)</f>
        <v>27031.2</v>
      </c>
      <c r="L10" s="166" t="n">
        <v>8007.9</v>
      </c>
      <c r="M10" s="166" t="n">
        <v>6287.3</v>
      </c>
      <c r="N10" s="166" t="n">
        <v>6226.8</v>
      </c>
      <c r="O10" s="166" t="n">
        <v>6813.3</v>
      </c>
      <c r="P10" s="167" t="n">
        <f aca="false">SUM(L10:O10)</f>
        <v>27335.3</v>
      </c>
      <c r="Q10" s="166" t="n">
        <v>6225.7</v>
      </c>
      <c r="R10" s="166" t="n">
        <v>6156.6</v>
      </c>
      <c r="S10" s="166" t="n">
        <v>7927.1</v>
      </c>
      <c r="T10" s="168" t="n">
        <f aca="false">U10-(Q10+R10+S10)</f>
        <v>9264.66107</v>
      </c>
      <c r="U10" s="330" t="n">
        <f aca="false">(U26+1)*P10</f>
        <v>29574.06107</v>
      </c>
      <c r="V10" s="328" t="n">
        <f aca="false">(V26+1)*U10</f>
        <v>32531.467177</v>
      </c>
      <c r="W10" s="329" t="n">
        <f aca="false">(W26+1)*V10</f>
        <v>36109.92856647</v>
      </c>
      <c r="X10" s="329" t="n">
        <f aca="false">(X26+1)*W10</f>
        <v>40443.1199944464</v>
      </c>
      <c r="Y10" s="329" t="n">
        <f aca="false">(Y26+1)*X10</f>
        <v>46105.1567936689</v>
      </c>
    </row>
    <row r="11" s="111" customFormat="true" ht="12" hidden="false" customHeight="false" outlineLevel="0" collapsed="false">
      <c r="A11" s="148" t="s">
        <v>72</v>
      </c>
      <c r="B11" s="164" t="n">
        <v>6406.2</v>
      </c>
      <c r="C11" s="165" t="n">
        <v>4219.1</v>
      </c>
      <c r="D11" s="165" t="n">
        <v>6261.1</v>
      </c>
      <c r="E11" s="166" t="n">
        <v>4332.1</v>
      </c>
      <c r="F11" s="167" t="n">
        <f aca="false">SUM(B11:E11)</f>
        <v>21218.5</v>
      </c>
      <c r="G11" s="166" t="n">
        <v>6751.5</v>
      </c>
      <c r="H11" s="166" t="n">
        <v>7033.3</v>
      </c>
      <c r="I11" s="166" t="n">
        <v>5278.3</v>
      </c>
      <c r="J11" s="166" t="n">
        <v>7897.8</v>
      </c>
      <c r="K11" s="167" t="n">
        <f aca="false">SUM(G11:J11)</f>
        <v>26960.9</v>
      </c>
      <c r="L11" s="166" t="n">
        <v>7997</v>
      </c>
      <c r="M11" s="166" t="n">
        <v>10902.1</v>
      </c>
      <c r="N11" s="166" t="n">
        <v>3329.9</v>
      </c>
      <c r="O11" s="166" t="n">
        <v>7671.4</v>
      </c>
      <c r="P11" s="167" t="n">
        <f aca="false">SUM(L11:O11)</f>
        <v>29900.4</v>
      </c>
      <c r="Q11" s="166" t="n">
        <v>6839</v>
      </c>
      <c r="R11" s="166" t="n">
        <v>5150.9</v>
      </c>
      <c r="S11" s="166" t="n">
        <v>7102.6</v>
      </c>
      <c r="T11" s="168" t="n">
        <f aca="false">U11-(Q11+R11+S11)</f>
        <v>10903.58128</v>
      </c>
      <c r="U11" s="330" t="n">
        <f aca="false">(U27+1)*P11</f>
        <v>29996.08128</v>
      </c>
      <c r="V11" s="328" t="n">
        <f aca="false">(V27+1)*U11</f>
        <v>35995.297536</v>
      </c>
      <c r="W11" s="329" t="n">
        <f aca="false">(W27+1)*V11</f>
        <v>41394.5921664</v>
      </c>
      <c r="X11" s="329" t="n">
        <f aca="false">(X27+1)*W11</f>
        <v>49673.51059968</v>
      </c>
      <c r="Y11" s="329" t="n">
        <f aca="false">(Y27+1)*X11</f>
        <v>60601.6829316096</v>
      </c>
    </row>
    <row r="12" s="111" customFormat="true" ht="12" hidden="false" customHeight="false" outlineLevel="0" collapsed="false">
      <c r="A12" s="148" t="s">
        <v>73</v>
      </c>
      <c r="B12" s="164" t="n">
        <v>714.9</v>
      </c>
      <c r="C12" s="165" t="n">
        <v>816</v>
      </c>
      <c r="D12" s="165" t="n">
        <v>993.7</v>
      </c>
      <c r="E12" s="166" t="n">
        <v>915</v>
      </c>
      <c r="F12" s="167" t="n">
        <f aca="false">SUM(B12:E12)</f>
        <v>3439.6</v>
      </c>
      <c r="G12" s="166" t="n">
        <v>922.5</v>
      </c>
      <c r="H12" s="166" t="n">
        <v>896</v>
      </c>
      <c r="I12" s="166" t="n">
        <v>995.5</v>
      </c>
      <c r="J12" s="166" t="n">
        <v>1079.1</v>
      </c>
      <c r="K12" s="167" t="n">
        <f aca="false">SUM(G12:J12)</f>
        <v>3893.1</v>
      </c>
      <c r="L12" s="166" t="n">
        <v>855.4</v>
      </c>
      <c r="M12" s="166" t="n">
        <v>905.9</v>
      </c>
      <c r="N12" s="166" t="n">
        <v>1064.9</v>
      </c>
      <c r="O12" s="166" t="n">
        <v>992.4</v>
      </c>
      <c r="P12" s="167" t="n">
        <f aca="false">SUM(L12:O12)</f>
        <v>3818.6</v>
      </c>
      <c r="Q12" s="166" t="n">
        <v>1057.3</v>
      </c>
      <c r="R12" s="166" t="n">
        <v>1029.3</v>
      </c>
      <c r="S12" s="166" t="n">
        <v>1160.6</v>
      </c>
      <c r="T12" s="168" t="n">
        <f aca="false">U12-(Q12+R12+S12)</f>
        <v>1111.0428</v>
      </c>
      <c r="U12" s="327" t="n">
        <f aca="false">(U28+1)*3819</f>
        <v>4358.2428</v>
      </c>
      <c r="V12" s="328" t="n">
        <f aca="false">(V28+1)*U12</f>
        <v>5011.97922</v>
      </c>
      <c r="W12" s="329" t="n">
        <f aca="false">(W28+1)*V12</f>
        <v>5813.8958952</v>
      </c>
      <c r="X12" s="329" t="n">
        <f aca="false">(X28+1)*W12</f>
        <v>6860.397156336</v>
      </c>
      <c r="Y12" s="329" t="n">
        <f aca="false">(Y28+1)*X12</f>
        <v>8232.4765876032</v>
      </c>
    </row>
    <row r="13" s="111" customFormat="true" ht="12" hidden="false" customHeight="false" outlineLevel="0" collapsed="false">
      <c r="A13" s="148" t="s">
        <v>74</v>
      </c>
      <c r="B13" s="173" t="n">
        <v>50.8</v>
      </c>
      <c r="C13" s="174" t="n">
        <v>62.7</v>
      </c>
      <c r="D13" s="174" t="n">
        <v>70.7</v>
      </c>
      <c r="E13" s="175" t="n">
        <v>69.4</v>
      </c>
      <c r="F13" s="176" t="n">
        <f aca="false">SUM(B13:E13)</f>
        <v>253.6</v>
      </c>
      <c r="G13" s="175" t="n">
        <v>67.1</v>
      </c>
      <c r="H13" s="175" t="n">
        <v>76.4</v>
      </c>
      <c r="I13" s="175" t="n">
        <v>70.3</v>
      </c>
      <c r="J13" s="175" t="n">
        <v>71.7</v>
      </c>
      <c r="K13" s="177" t="n">
        <f aca="false">SUM(G13:J13)</f>
        <v>285.5</v>
      </c>
      <c r="L13" s="175" t="n">
        <v>65.3</v>
      </c>
      <c r="M13" s="175" t="n">
        <v>65.4</v>
      </c>
      <c r="N13" s="175" t="n">
        <v>63.5</v>
      </c>
      <c r="O13" s="175" t="n">
        <v>49.1</v>
      </c>
      <c r="P13" s="177" t="n">
        <f aca="false">SUM(L13:O13)</f>
        <v>243.3</v>
      </c>
      <c r="Q13" s="175" t="n">
        <v>37.8</v>
      </c>
      <c r="R13" s="175" t="n">
        <v>34.2</v>
      </c>
      <c r="S13" s="175" t="n">
        <v>28.5</v>
      </c>
      <c r="T13" s="168" t="n">
        <f aca="false">U13-(Q13+R13+S13)</f>
        <v>92.4369</v>
      </c>
      <c r="U13" s="330" t="n">
        <f aca="false">(U29+1)*P13</f>
        <v>192.9369</v>
      </c>
      <c r="V13" s="328" t="n">
        <f aca="false">(V29+1)*U13</f>
        <v>221.877435</v>
      </c>
      <c r="W13" s="329" t="n">
        <f aca="false">(W29+1)*V13</f>
        <v>244.0651785</v>
      </c>
      <c r="X13" s="329" t="n">
        <f aca="false">(X29+1)*W13</f>
        <v>273.35299992</v>
      </c>
      <c r="Y13" s="329" t="n">
        <f aca="false">(Y29+1)*X13</f>
        <v>308.8888899096</v>
      </c>
    </row>
    <row r="14" s="111" customFormat="true" ht="12" hidden="false" customHeight="false" outlineLevel="0" collapsed="false">
      <c r="A14" s="148" t="s">
        <v>75</v>
      </c>
      <c r="B14" s="164" t="n">
        <v>742.1</v>
      </c>
      <c r="C14" s="165" t="n">
        <v>1607</v>
      </c>
      <c r="D14" s="165" t="n">
        <v>1764.2</v>
      </c>
      <c r="E14" s="166" t="n">
        <v>983.8</v>
      </c>
      <c r="F14" s="167" t="n">
        <f aca="false">SUM(B14:E14)</f>
        <v>5097.1</v>
      </c>
      <c r="G14" s="166" t="n">
        <v>806</v>
      </c>
      <c r="H14" s="166" t="n">
        <v>1636.1</v>
      </c>
      <c r="I14" s="166" t="n">
        <v>1571.4</v>
      </c>
      <c r="J14" s="166" t="n">
        <v>1054.6</v>
      </c>
      <c r="K14" s="167" t="n">
        <f aca="false">SUM(G14:J14)</f>
        <v>5068.1</v>
      </c>
      <c r="L14" s="166" t="n">
        <v>1231.1</v>
      </c>
      <c r="M14" s="166" t="n">
        <v>1929.3</v>
      </c>
      <c r="N14" s="166" t="n">
        <v>2526.2</v>
      </c>
      <c r="O14" s="166" t="n">
        <v>62.8</v>
      </c>
      <c r="P14" s="167" t="n">
        <f aca="false">SUM(L14:O14)</f>
        <v>5749.4</v>
      </c>
      <c r="Q14" s="166" t="n">
        <v>100.4</v>
      </c>
      <c r="R14" s="166" t="n">
        <v>142.1</v>
      </c>
      <c r="S14" s="166" t="n">
        <v>136.8</v>
      </c>
      <c r="T14" s="168" t="n">
        <f aca="false">U14-(Q14+R14+S14)</f>
        <v>23.1579999999997</v>
      </c>
      <c r="U14" s="330" t="n">
        <f aca="false">(U30+1)*P14</f>
        <v>402.458</v>
      </c>
      <c r="V14" s="328" t="n">
        <f aca="false">(V30+1)*U14</f>
        <v>442.7038</v>
      </c>
      <c r="W14" s="329" t="n">
        <f aca="false">(W30+1)*V14</f>
        <v>495.828256</v>
      </c>
      <c r="X14" s="329" t="n">
        <f aca="false">(X30+1)*W14</f>
        <v>555.32764672</v>
      </c>
      <c r="Y14" s="329" t="n">
        <f aca="false">(Y30+1)*X14</f>
        <v>633.0735172608</v>
      </c>
    </row>
    <row r="15" s="111" customFormat="true" ht="12" hidden="false" customHeight="false" outlineLevel="0" collapsed="false">
      <c r="A15" s="178" t="s">
        <v>76</v>
      </c>
      <c r="B15" s="179" t="n">
        <f aca="false">SUM(B8:B14)</f>
        <v>49191.9</v>
      </c>
      <c r="C15" s="180" t="n">
        <f aca="false">SUM(C8:C14)</f>
        <v>46368.9</v>
      </c>
      <c r="D15" s="181" t="n">
        <f aca="false">SUM(D8:D14)</f>
        <v>54302.3</v>
      </c>
      <c r="E15" s="182" t="n">
        <f aca="false">SUM(E8:E14)</f>
        <v>48200.1</v>
      </c>
      <c r="F15" s="183" t="n">
        <f aca="false">F8+F9+F10+F11+F12+F13+F14</f>
        <v>198063.2</v>
      </c>
      <c r="G15" s="182" t="n">
        <f aca="false">SUM(G8:G14)</f>
        <v>51292.9</v>
      </c>
      <c r="H15" s="182" t="n">
        <f aca="false">SUM(H8:H14)</f>
        <v>53819.5</v>
      </c>
      <c r="I15" s="184" t="n">
        <f aca="false">SUM(I8:I14)</f>
        <v>50435.3</v>
      </c>
      <c r="J15" s="185" t="n">
        <f aca="false">SUM(J8:J14)</f>
        <v>57133.3</v>
      </c>
      <c r="K15" s="186" t="n">
        <f aca="false">K8+K9+K10+K11+K12+K13+K14</f>
        <v>212681</v>
      </c>
      <c r="L15" s="187" t="n">
        <f aca="false">SUM(L8:L14)</f>
        <v>65563.3</v>
      </c>
      <c r="M15" s="187" t="n">
        <f aca="false">SUM(M8:M14)</f>
        <v>71258.8</v>
      </c>
      <c r="N15" s="187" t="n">
        <f aca="false">SUM(N8:N14)</f>
        <v>68859.6</v>
      </c>
      <c r="O15" s="188" t="n">
        <f aca="false">SUM(O8:O14)</f>
        <v>69529.6</v>
      </c>
      <c r="P15" s="186" t="n">
        <f aca="false">P8+P9+P10+P11+P12+P13+P14</f>
        <v>275211.3</v>
      </c>
      <c r="Q15" s="189" t="n">
        <f aca="false">SUM(Q8:Q14)</f>
        <v>68008.8</v>
      </c>
      <c r="R15" s="189" t="n">
        <f aca="false">SUM(R8:R14)</f>
        <v>70633.9</v>
      </c>
      <c r="S15" s="189" t="n">
        <f aca="false">SUM(S8:S14)</f>
        <v>70157.8</v>
      </c>
      <c r="T15" s="190" t="n">
        <f aca="false">SUM(T8:T14)</f>
        <v>95639.08505</v>
      </c>
      <c r="U15" s="331" t="n">
        <f aca="false">Q15+R15+S15+T15</f>
        <v>304439.58505</v>
      </c>
      <c r="V15" s="332" t="n">
        <f aca="false">SUM(V8:V14)</f>
        <v>365588.508468</v>
      </c>
      <c r="W15" s="333" t="n">
        <f aca="false">(W31+1)*V15</f>
        <v>440534.15270394</v>
      </c>
      <c r="X15" s="333" t="n">
        <f aca="false">(X31+1)*W15</f>
        <v>549500.27537526</v>
      </c>
      <c r="Y15" s="333" t="n">
        <f aca="false">(Y31+1)*X15</f>
        <v>709690.595652655</v>
      </c>
    </row>
    <row r="16" s="111" customFormat="true" ht="12" hidden="false" customHeight="false" outlineLevel="0" collapsed="false">
      <c r="A16" s="148" t="s">
        <v>116</v>
      </c>
      <c r="B16" s="164" t="n">
        <v>6519.3</v>
      </c>
      <c r="C16" s="165" t="n">
        <v>6513.1</v>
      </c>
      <c r="D16" s="165" t="n">
        <v>7278.5</v>
      </c>
      <c r="E16" s="166" t="n">
        <v>6844.3</v>
      </c>
      <c r="F16" s="167" t="n">
        <f aca="false">SUM(B16:E16)</f>
        <v>27155.2</v>
      </c>
      <c r="G16" s="166" t="n">
        <v>6452.1</v>
      </c>
      <c r="H16" s="166" t="n">
        <v>6724.5</v>
      </c>
      <c r="I16" s="166" t="n">
        <v>5603.8</v>
      </c>
      <c r="J16" s="166" t="n">
        <v>6783.8</v>
      </c>
      <c r="K16" s="167" t="n">
        <v>8245</v>
      </c>
      <c r="L16" s="166" t="n">
        <v>7108.5</v>
      </c>
      <c r="M16" s="166" t="n">
        <v>7676.8</v>
      </c>
      <c r="N16" s="166" t="n">
        <v>8391.5</v>
      </c>
      <c r="O16" s="166" t="n">
        <v>8486.5</v>
      </c>
      <c r="P16" s="167" t="n">
        <f aca="false">SUM(L16:O16)</f>
        <v>31663.3</v>
      </c>
      <c r="Q16" s="166" t="n">
        <v>-7794.6</v>
      </c>
      <c r="R16" s="166" t="n">
        <v>-8612.1</v>
      </c>
      <c r="S16" s="166" t="n">
        <v>-8279.4</v>
      </c>
      <c r="T16" s="168" t="n">
        <v>35175.2</v>
      </c>
      <c r="U16" s="334" t="n">
        <f aca="false">SUM(Q16:T16)</f>
        <v>10489.1</v>
      </c>
      <c r="V16" s="328" t="n">
        <f aca="false">(V32+1)*U16</f>
        <v>26222.75</v>
      </c>
      <c r="W16" s="329" t="n">
        <f aca="false">(W32+1)*V16</f>
        <v>62934.6</v>
      </c>
      <c r="X16" s="329" t="n">
        <f aca="false">(X32+1)*W16</f>
        <v>151043.04</v>
      </c>
      <c r="Y16" s="329" t="n">
        <f aca="false">(Y32+1)*X16</f>
        <v>370055.448</v>
      </c>
    </row>
    <row r="17" s="111" customFormat="true" ht="12.75" hidden="false" customHeight="false" outlineLevel="0" collapsed="false">
      <c r="A17" s="195" t="s">
        <v>117</v>
      </c>
      <c r="B17" s="196" t="n">
        <f aca="false">B15-B16</f>
        <v>42672.6</v>
      </c>
      <c r="C17" s="197" t="n">
        <f aca="false">C15-C16</f>
        <v>39855.8</v>
      </c>
      <c r="D17" s="197" t="n">
        <f aca="false">D15-D16</f>
        <v>47023.8</v>
      </c>
      <c r="E17" s="198" t="n">
        <f aca="false">E15-E16</f>
        <v>41355.8</v>
      </c>
      <c r="F17" s="199" t="n">
        <f aca="false">SUM(B17:E17)</f>
        <v>170908</v>
      </c>
      <c r="G17" s="200" t="n">
        <f aca="false">G15-G16</f>
        <v>44840.8</v>
      </c>
      <c r="H17" s="200" t="n">
        <f aca="false">H15-H16</f>
        <v>47095</v>
      </c>
      <c r="I17" s="200" t="n">
        <f aca="false">I15-I16</f>
        <v>44831.5</v>
      </c>
      <c r="J17" s="198" t="n">
        <f aca="false">J15-J16</f>
        <v>50349.5</v>
      </c>
      <c r="K17" s="201" t="n">
        <f aca="false">K15-K16</f>
        <v>204436</v>
      </c>
      <c r="L17" s="200" t="n">
        <f aca="false">L15-L16</f>
        <v>58454.8</v>
      </c>
      <c r="M17" s="198" t="n">
        <f aca="false">M15-M16</f>
        <v>63582</v>
      </c>
      <c r="N17" s="200" t="n">
        <f aca="false">N15-N16</f>
        <v>60468.1</v>
      </c>
      <c r="O17" s="200" t="n">
        <f aca="false">O15-O16</f>
        <v>61043.1</v>
      </c>
      <c r="P17" s="201" t="n">
        <f aca="false">P15-P16</f>
        <v>243548</v>
      </c>
      <c r="Q17" s="200" t="n">
        <f aca="false">SUM(Q15:Q16)</f>
        <v>60214.2</v>
      </c>
      <c r="R17" s="200" t="n">
        <f aca="false">SUM(R15:R16)</f>
        <v>62021.8</v>
      </c>
      <c r="S17" s="200" t="n">
        <f aca="false">SUM(S15:S16)</f>
        <v>61878.4</v>
      </c>
      <c r="T17" s="202" t="n">
        <f aca="false">T15-T16</f>
        <v>60463.88505</v>
      </c>
      <c r="U17" s="335" t="n">
        <f aca="false">U15-U16</f>
        <v>293950.48505</v>
      </c>
      <c r="V17" s="336" t="n">
        <f aca="false">V15-V16</f>
        <v>339365.758468</v>
      </c>
      <c r="W17" s="337" t="n">
        <f aca="false">W15-W16</f>
        <v>377599.55270394</v>
      </c>
      <c r="X17" s="337" t="n">
        <f aca="false">X15-X16</f>
        <v>398457.23537526</v>
      </c>
      <c r="Y17" s="337" t="n">
        <f aca="false">Y15-Y16</f>
        <v>339635.147652655</v>
      </c>
    </row>
    <row r="18" s="111" customFormat="true" ht="12" hidden="false" customHeight="false" outlineLevel="0" collapsed="false">
      <c r="A18" s="206"/>
      <c r="B18" s="206"/>
      <c r="C18" s="206"/>
      <c r="D18" s="207"/>
      <c r="E18" s="206"/>
      <c r="F18" s="207"/>
      <c r="G18" s="207"/>
      <c r="H18" s="207"/>
      <c r="I18" s="207"/>
      <c r="J18" s="206"/>
      <c r="K18" s="206"/>
      <c r="L18" s="207"/>
      <c r="M18" s="207"/>
      <c r="N18" s="207"/>
      <c r="O18" s="208"/>
      <c r="P18" s="208"/>
      <c r="Q18" s="209"/>
      <c r="R18" s="209"/>
      <c r="S18" s="209"/>
      <c r="T18" s="208"/>
      <c r="U18" s="208"/>
      <c r="V18" s="208"/>
      <c r="W18" s="208"/>
      <c r="X18" s="208"/>
      <c r="Y18" s="208"/>
    </row>
    <row r="19" s="111" customFormat="true" ht="11.25" hidden="false" customHeight="false" outlineLevel="0" collapsed="false">
      <c r="A19" s="123"/>
      <c r="B19" s="338"/>
      <c r="C19" s="338"/>
      <c r="D19" s="339"/>
      <c r="E19" s="338"/>
      <c r="F19" s="339"/>
      <c r="G19" s="338"/>
      <c r="H19" s="338"/>
      <c r="I19" s="339"/>
      <c r="J19" s="338"/>
      <c r="K19" s="338"/>
      <c r="L19" s="338"/>
      <c r="M19" s="338"/>
      <c r="N19" s="339"/>
      <c r="O19" s="338"/>
      <c r="P19" s="338"/>
      <c r="Q19" s="338"/>
      <c r="R19" s="338"/>
      <c r="S19" s="338"/>
      <c r="T19" s="338"/>
      <c r="U19" s="338"/>
      <c r="V19" s="338"/>
      <c r="W19" s="339"/>
      <c r="X19" s="339"/>
      <c r="Y19" s="339"/>
    </row>
    <row r="20" s="111" customFormat="true" ht="11.25" hidden="false" customHeight="false" outlineLevel="0" collapsed="false">
      <c r="A20" s="211"/>
      <c r="B20" s="340"/>
      <c r="C20" s="340"/>
      <c r="D20" s="340"/>
      <c r="E20" s="340"/>
      <c r="F20" s="340"/>
      <c r="G20" s="340"/>
      <c r="H20" s="340"/>
      <c r="I20" s="340"/>
      <c r="J20" s="340"/>
      <c r="K20" s="340"/>
      <c r="L20" s="340"/>
      <c r="M20" s="340"/>
      <c r="N20" s="340"/>
      <c r="O20" s="340"/>
      <c r="P20" s="340"/>
      <c r="Q20" s="340"/>
      <c r="R20" s="340"/>
      <c r="S20" s="340"/>
      <c r="T20" s="340"/>
      <c r="U20" s="340"/>
      <c r="V20" s="340"/>
      <c r="W20" s="340"/>
      <c r="X20" s="340"/>
      <c r="Y20" s="340"/>
    </row>
    <row r="21" s="111" customFormat="true" ht="11.25" hidden="false" customHeight="false" outlineLevel="0" collapsed="false">
      <c r="A21" s="123"/>
      <c r="B21" s="123"/>
      <c r="C21" s="123"/>
      <c r="D21" s="122"/>
      <c r="E21" s="123"/>
      <c r="F21" s="122"/>
      <c r="G21" s="123"/>
      <c r="H21" s="123"/>
      <c r="I21" s="122"/>
      <c r="J21" s="123"/>
      <c r="K21" s="123"/>
      <c r="L21" s="123"/>
      <c r="M21" s="123"/>
      <c r="N21" s="122"/>
      <c r="O21" s="123"/>
      <c r="P21" s="123"/>
      <c r="Q21" s="123"/>
      <c r="R21" s="123"/>
      <c r="S21" s="122"/>
      <c r="T21" s="123"/>
      <c r="U21" s="123"/>
      <c r="V21" s="123"/>
      <c r="W21" s="123"/>
      <c r="X21" s="123"/>
      <c r="Y21" s="123"/>
    </row>
    <row r="22" s="111" customFormat="true" ht="12.75" hidden="false" customHeight="false" outlineLevel="0" collapsed="false">
      <c r="A22" s="341" t="s">
        <v>191</v>
      </c>
      <c r="B22" s="40"/>
      <c r="C22" s="40"/>
      <c r="D22" s="40"/>
      <c r="E22" s="40"/>
      <c r="F22" s="40"/>
      <c r="G22" s="40"/>
      <c r="H22" s="40"/>
      <c r="I22" s="40"/>
      <c r="J22" s="40"/>
      <c r="K22" s="40"/>
      <c r="L22" s="40"/>
      <c r="M22" s="40"/>
      <c r="N22" s="40"/>
      <c r="O22" s="40"/>
      <c r="P22" s="40"/>
      <c r="Q22" s="40"/>
      <c r="R22" s="40"/>
      <c r="S22" s="40"/>
      <c r="T22" s="40"/>
      <c r="U22" s="40"/>
      <c r="V22" s="40"/>
      <c r="W22" s="40"/>
      <c r="X22" s="40"/>
      <c r="Y22" s="40"/>
    </row>
    <row r="23" s="111" customFormat="true" ht="12" hidden="false" customHeight="false" outlineLevel="0" collapsed="false">
      <c r="A23" s="342"/>
      <c r="B23" s="123"/>
      <c r="C23" s="123"/>
      <c r="D23" s="122"/>
      <c r="E23" s="123"/>
      <c r="F23" s="122"/>
      <c r="G23" s="123"/>
      <c r="H23" s="123"/>
      <c r="I23" s="122"/>
      <c r="J23" s="123"/>
      <c r="K23" s="123"/>
      <c r="L23" s="123"/>
      <c r="M23" s="123"/>
      <c r="N23" s="122"/>
      <c r="O23" s="123"/>
      <c r="P23" s="123"/>
      <c r="Q23" s="123"/>
      <c r="R23" s="123"/>
      <c r="S23" s="122"/>
      <c r="T23" s="123"/>
      <c r="U23" s="123"/>
      <c r="V23" s="123"/>
      <c r="W23" s="123"/>
      <c r="X23" s="123"/>
      <c r="Y23" s="123"/>
    </row>
    <row r="24" s="111" customFormat="true" ht="12" hidden="false" customHeight="false" outlineLevel="0" collapsed="false">
      <c r="A24" s="148" t="s">
        <v>69</v>
      </c>
      <c r="B24" s="343"/>
      <c r="C24" s="344"/>
      <c r="D24" s="345"/>
      <c r="E24" s="345"/>
      <c r="F24" s="346"/>
      <c r="G24" s="347" t="n">
        <f aca="false">G8/B8-1</f>
        <v>-0.0227311509010261</v>
      </c>
      <c r="H24" s="347" t="n">
        <f aca="false">H8/C8-1</f>
        <v>0.111165722650906</v>
      </c>
      <c r="I24" s="347" t="n">
        <f aca="false">I8/D8-1</f>
        <v>-0.0118752401243407</v>
      </c>
      <c r="J24" s="347" t="n">
        <f aca="false">J8/E8-1</f>
        <v>0.138070355007273</v>
      </c>
      <c r="K24" s="348" t="n">
        <f aca="false">K8/F8-1</f>
        <v>0.0517958627964139</v>
      </c>
      <c r="L24" s="347" t="n">
        <f aca="false">L8/G8-1</f>
        <v>0.370023111540371</v>
      </c>
      <c r="M24" s="347" t="n">
        <f aca="false">M8/H8-1</f>
        <v>0.383750326669833</v>
      </c>
      <c r="N24" s="347" t="n">
        <f aca="false">N8/I8-1</f>
        <v>0.590849643799345</v>
      </c>
      <c r="O24" s="347" t="n">
        <f aca="false">O8/J8-1</f>
        <v>0.403176181009183</v>
      </c>
      <c r="P24" s="348" t="n">
        <f aca="false">P8/K8-1</f>
        <v>0.436221728568845</v>
      </c>
      <c r="Q24" s="349" t="n">
        <f aca="false">Q8/L8-1</f>
        <v>0.126825561748655</v>
      </c>
      <c r="R24" s="349" t="n">
        <f aca="false">R8/M8-1</f>
        <v>0.105385974044463</v>
      </c>
      <c r="S24" s="349" t="n">
        <f aca="false">S8/N8-1</f>
        <v>-0.0855023693427649</v>
      </c>
      <c r="T24" s="350" t="n">
        <f aca="false">T8/O8-1</f>
        <v>0.342428188304351</v>
      </c>
      <c r="U24" s="351" t="n">
        <v>0.12</v>
      </c>
      <c r="V24" s="351" t="n">
        <v>0.2</v>
      </c>
      <c r="W24" s="351" t="n">
        <v>0.2</v>
      </c>
      <c r="X24" s="351" t="n">
        <v>0.25</v>
      </c>
      <c r="Y24" s="351" t="n">
        <v>0.3</v>
      </c>
    </row>
    <row r="25" s="111" customFormat="true" ht="12" hidden="false" customHeight="false" outlineLevel="0" collapsed="false">
      <c r="A25" s="148" t="s">
        <v>70</v>
      </c>
      <c r="B25" s="352"/>
      <c r="C25" s="113"/>
      <c r="D25" s="113"/>
      <c r="E25" s="113"/>
      <c r="F25" s="353"/>
      <c r="G25" s="354" t="n">
        <f aca="false">G9/B9-1</f>
        <v>-0.0227293147063697</v>
      </c>
      <c r="H25" s="354" t="n">
        <f aca="false">H9/C9-1</f>
        <v>0.0637347386205924</v>
      </c>
      <c r="I25" s="354" t="n">
        <f aca="false">I9/D9-1</f>
        <v>-0.0609590643274853</v>
      </c>
      <c r="J25" s="354" t="n">
        <f aca="false">J9/E9-1</f>
        <v>0.209941618715612</v>
      </c>
      <c r="K25" s="355" t="n">
        <f aca="false">K9/F9-1</f>
        <v>0.0383762138664523</v>
      </c>
      <c r="L25" s="354" t="n">
        <f aca="false">L9/G9-1</f>
        <v>0.269503357734025</v>
      </c>
      <c r="M25" s="354" t="n">
        <f aca="false">M9/H9-1</f>
        <v>0.175175898210669</v>
      </c>
      <c r="N25" s="354" t="n">
        <f aca="false">N9/I9-1</f>
        <v>0.0198120100969841</v>
      </c>
      <c r="O25" s="354" t="n">
        <f aca="false">O9/J9-1</f>
        <v>0.130087650785386</v>
      </c>
      <c r="P25" s="355" t="n">
        <f aca="false">P9/K9-1</f>
        <v>0.141778739653488</v>
      </c>
      <c r="Q25" s="356" t="n">
        <f aca="false">Q9/L9-1</f>
        <v>0.179873829218836</v>
      </c>
      <c r="R25" s="356" t="n">
        <f aca="false">R9/M9-1</f>
        <v>0.356315366049879</v>
      </c>
      <c r="S25" s="356" t="n">
        <f aca="false">S9/N9-1</f>
        <v>0.388688954387793</v>
      </c>
      <c r="T25" s="357" t="n">
        <f aca="false">T9/O9-1</f>
        <v>0.623924589156812</v>
      </c>
      <c r="U25" s="358" t="n">
        <v>0.39</v>
      </c>
      <c r="V25" s="358" t="n">
        <v>0.3</v>
      </c>
      <c r="W25" s="358" t="n">
        <v>0.35</v>
      </c>
      <c r="X25" s="358" t="n">
        <v>0.35</v>
      </c>
      <c r="Y25" s="358" t="n">
        <v>0.38</v>
      </c>
    </row>
    <row r="26" s="111" customFormat="true" ht="12" hidden="false" customHeight="false" outlineLevel="0" collapsed="false">
      <c r="A26" s="148" t="s">
        <v>71</v>
      </c>
      <c r="B26" s="352"/>
      <c r="C26" s="113"/>
      <c r="D26" s="113"/>
      <c r="E26" s="113"/>
      <c r="F26" s="353"/>
      <c r="G26" s="354" t="n">
        <f aca="false">G10/B10-1</f>
        <v>0.414534418841317</v>
      </c>
      <c r="H26" s="354" t="n">
        <f aca="false">H10/C10-1</f>
        <v>0.173509788107632</v>
      </c>
      <c r="I26" s="354" t="n">
        <f aca="false">I10/D10-1</f>
        <v>-0.263879003558719</v>
      </c>
      <c r="J26" s="354" t="n">
        <f aca="false">J10/E10-1</f>
        <v>0.00400688431129992</v>
      </c>
      <c r="K26" s="355" t="n">
        <f aca="false">K10/F10-1</f>
        <v>0.0517321878793537</v>
      </c>
      <c r="L26" s="354" t="n">
        <f aca="false">L10/G10-1</f>
        <v>0.028777348115983</v>
      </c>
      <c r="M26" s="354" t="n">
        <f aca="false">M10/H10-1</f>
        <v>-0.0179469557339664</v>
      </c>
      <c r="N26" s="354" t="n">
        <f aca="false">N10/I10-1</f>
        <v>0.157806660344731</v>
      </c>
      <c r="O26" s="354" t="n">
        <f aca="false">O10/J10-1</f>
        <v>-0.0875451988750502</v>
      </c>
      <c r="P26" s="355" t="n">
        <f aca="false">P10/K10-1</f>
        <v>0.0112499630057119</v>
      </c>
      <c r="Q26" s="356" t="n">
        <f aca="false">Q10/L10-1</f>
        <v>-0.22255522671362</v>
      </c>
      <c r="R26" s="356" t="n">
        <f aca="false">R10/M10-1</f>
        <v>-0.020787937588472</v>
      </c>
      <c r="S26" s="356" t="n">
        <f aca="false">S10/N10-1</f>
        <v>0.27306160467656</v>
      </c>
      <c r="T26" s="357" t="n">
        <f aca="false">T10/O10-1</f>
        <v>0.35979056697929</v>
      </c>
      <c r="U26" s="358" t="n">
        <v>0.0819</v>
      </c>
      <c r="V26" s="358" t="n">
        <v>0.1</v>
      </c>
      <c r="W26" s="358" t="n">
        <v>0.11</v>
      </c>
      <c r="X26" s="358" t="n">
        <v>0.12</v>
      </c>
      <c r="Y26" s="358" t="n">
        <v>0.14</v>
      </c>
    </row>
    <row r="27" s="111" customFormat="true" ht="12" hidden="false" customHeight="false" outlineLevel="0" collapsed="false">
      <c r="A27" s="148" t="s">
        <v>72</v>
      </c>
      <c r="B27" s="352"/>
      <c r="C27" s="113"/>
      <c r="D27" s="113"/>
      <c r="E27" s="113"/>
      <c r="F27" s="353"/>
      <c r="G27" s="354" t="n">
        <f aca="false">G11/B11-1</f>
        <v>0.0539009084948956</v>
      </c>
      <c r="H27" s="354" t="n">
        <f aca="false">H11/C11-1</f>
        <v>0.667014292147614</v>
      </c>
      <c r="I27" s="354" t="n">
        <f aca="false">I11/D11-1</f>
        <v>-0.156969222660555</v>
      </c>
      <c r="J27" s="354" t="n">
        <f aca="false">J11/E11-1</f>
        <v>0.823088109692759</v>
      </c>
      <c r="K27" s="355" t="n">
        <f aca="false">K11/F11-1</f>
        <v>0.270631760020736</v>
      </c>
      <c r="L27" s="354" t="n">
        <f aca="false">L11/G11-1</f>
        <v>0.184477523513293</v>
      </c>
      <c r="M27" s="354" t="n">
        <f aca="false">M11/H11-1</f>
        <v>0.550068957672785</v>
      </c>
      <c r="N27" s="354" t="n">
        <f aca="false">N11/I11-1</f>
        <v>-0.369134001477749</v>
      </c>
      <c r="O27" s="354" t="n">
        <f aca="false">O11/J11-1</f>
        <v>-0.0286662108435262</v>
      </c>
      <c r="P27" s="355" t="n">
        <f aca="false">P11/K11-1</f>
        <v>0.109028259442378</v>
      </c>
      <c r="Q27" s="356" t="n">
        <f aca="false">Q11/L11-1</f>
        <v>-0.144804301613105</v>
      </c>
      <c r="R27" s="356" t="n">
        <f aca="false">R11/M11-1</f>
        <v>-0.52753139303437</v>
      </c>
      <c r="S27" s="356" t="n">
        <f aca="false">S11/N11-1</f>
        <v>1.13297696627526</v>
      </c>
      <c r="T27" s="357" t="n">
        <f aca="false">T11/O11-1</f>
        <v>0.421328737909639</v>
      </c>
      <c r="U27" s="358" t="n">
        <v>0.0032</v>
      </c>
      <c r="V27" s="358" t="n">
        <v>0.2</v>
      </c>
      <c r="W27" s="358" t="n">
        <v>0.15</v>
      </c>
      <c r="X27" s="358" t="n">
        <v>0.2</v>
      </c>
      <c r="Y27" s="358" t="n">
        <v>0.22</v>
      </c>
    </row>
    <row r="28" s="111" customFormat="true" ht="12" hidden="false" customHeight="false" outlineLevel="0" collapsed="false">
      <c r="A28" s="148" t="s">
        <v>73</v>
      </c>
      <c r="B28" s="352"/>
      <c r="C28" s="113"/>
      <c r="D28" s="113"/>
      <c r="E28" s="113"/>
      <c r="F28" s="353"/>
      <c r="G28" s="354" t="n">
        <f aca="false">G12/B12-1</f>
        <v>0.29039026437264</v>
      </c>
      <c r="H28" s="354" t="n">
        <f aca="false">H12/C12-1</f>
        <v>0.0980392156862746</v>
      </c>
      <c r="I28" s="354" t="n">
        <f aca="false">I12/D12-1</f>
        <v>0.00181141189493816</v>
      </c>
      <c r="J28" s="354" t="n">
        <f aca="false">J12/E12-1</f>
        <v>0.179344262295082</v>
      </c>
      <c r="K28" s="355" t="n">
        <f aca="false">K12/F12-1</f>
        <v>0.131846726363531</v>
      </c>
      <c r="L28" s="354" t="n">
        <f aca="false">L12/G12-1</f>
        <v>-0.0727371273712737</v>
      </c>
      <c r="M28" s="354" t="n">
        <f aca="false">M12/H12-1</f>
        <v>0.0110491071428571</v>
      </c>
      <c r="N28" s="354" t="n">
        <f aca="false">N12/I12-1</f>
        <v>0.0697137117026621</v>
      </c>
      <c r="O28" s="354" t="n">
        <f aca="false">O12/J12-1</f>
        <v>-0.0803447317208784</v>
      </c>
      <c r="P28" s="355" t="n">
        <f aca="false">P12/K12-1</f>
        <v>-0.0191364208471398</v>
      </c>
      <c r="Q28" s="356" t="n">
        <f aca="false">Q12/L12-1</f>
        <v>0.236029927519289</v>
      </c>
      <c r="R28" s="356" t="n">
        <f aca="false">R12/M12-1</f>
        <v>0.136218125620929</v>
      </c>
      <c r="S28" s="356" t="n">
        <f aca="false">S12/N12-1</f>
        <v>0.0898675932012394</v>
      </c>
      <c r="T28" s="357" t="n">
        <f aca="false">T12/O12-1</f>
        <v>0.119551390568319</v>
      </c>
      <c r="U28" s="358" t="n">
        <v>0.1412</v>
      </c>
      <c r="V28" s="358" t="n">
        <v>0.15</v>
      </c>
      <c r="W28" s="358" t="n">
        <v>0.16</v>
      </c>
      <c r="X28" s="358" t="n">
        <v>0.18</v>
      </c>
      <c r="Y28" s="358" t="n">
        <v>0.2</v>
      </c>
    </row>
    <row r="29" s="111" customFormat="true" ht="12" hidden="false" customHeight="false" outlineLevel="0" collapsed="false">
      <c r="A29" s="148" t="s">
        <v>74</v>
      </c>
      <c r="B29" s="352"/>
      <c r="C29" s="113"/>
      <c r="D29" s="113"/>
      <c r="E29" s="113"/>
      <c r="F29" s="353"/>
      <c r="G29" s="354" t="n">
        <f aca="false">G13/B13-1</f>
        <v>0.320866141732283</v>
      </c>
      <c r="H29" s="354" t="n">
        <f aca="false">H13/C13-1</f>
        <v>0.218500797448166</v>
      </c>
      <c r="I29" s="354" t="n">
        <f aca="false">I13/D13-1</f>
        <v>-0.00565770862800574</v>
      </c>
      <c r="J29" s="354" t="n">
        <f aca="false">J13/E13-1</f>
        <v>0.0331412103746398</v>
      </c>
      <c r="K29" s="355" t="n">
        <f aca="false">K13/F13-1</f>
        <v>0.125788643533123</v>
      </c>
      <c r="L29" s="354" t="n">
        <f aca="false">L13/G13-1</f>
        <v>-0.0268256333830104</v>
      </c>
      <c r="M29" s="354" t="n">
        <f aca="false">M13/H13-1</f>
        <v>-0.143979057591623</v>
      </c>
      <c r="N29" s="354" t="n">
        <f aca="false">N13/I13-1</f>
        <v>-0.096728307254623</v>
      </c>
      <c r="O29" s="354" t="n">
        <f aca="false">O13/J13-1</f>
        <v>-0.315202231520223</v>
      </c>
      <c r="P29" s="355" t="n">
        <f aca="false">P13/K13-1</f>
        <v>-0.147810858143608</v>
      </c>
      <c r="Q29" s="356" t="n">
        <f aca="false">Q13/L13-1</f>
        <v>-0.421133231240429</v>
      </c>
      <c r="R29" s="356" t="n">
        <f aca="false">R13/M13-1</f>
        <v>-0.477064220183486</v>
      </c>
      <c r="S29" s="356" t="n">
        <f aca="false">S13/N13-1</f>
        <v>-0.551181102362205</v>
      </c>
      <c r="T29" s="357" t="n">
        <f aca="false">T13/O13-1</f>
        <v>0.882625254582485</v>
      </c>
      <c r="U29" s="358" t="n">
        <v>-0.207</v>
      </c>
      <c r="V29" s="358" t="n">
        <v>0.15</v>
      </c>
      <c r="W29" s="358" t="n">
        <v>0.1</v>
      </c>
      <c r="X29" s="358" t="n">
        <v>0.12</v>
      </c>
      <c r="Y29" s="358" t="n">
        <v>0.13</v>
      </c>
    </row>
    <row r="30" s="111" customFormat="true" ht="12" hidden="false" customHeight="false" outlineLevel="0" collapsed="false">
      <c r="A30" s="148" t="s">
        <v>75</v>
      </c>
      <c r="B30" s="352"/>
      <c r="C30" s="113"/>
      <c r="D30" s="113"/>
      <c r="E30" s="113"/>
      <c r="F30" s="353"/>
      <c r="G30" s="354" t="n">
        <f aca="false">G14/B14-1</f>
        <v>0.0861069936666217</v>
      </c>
      <c r="H30" s="354" t="n">
        <f aca="false">H14/C14-1</f>
        <v>0.0181082762912259</v>
      </c>
      <c r="I30" s="354" t="n">
        <f aca="false">I14/D14-1</f>
        <v>-0.109284661602993</v>
      </c>
      <c r="J30" s="354" t="n">
        <f aca="false">J14/E14-1</f>
        <v>0.0719658467168123</v>
      </c>
      <c r="K30" s="355" t="n">
        <f aca="false">K14/F14-1</f>
        <v>-0.00568950972121407</v>
      </c>
      <c r="L30" s="354" t="n">
        <f aca="false">L14/G14-1</f>
        <v>0.52741935483871</v>
      </c>
      <c r="M30" s="354" t="n">
        <f aca="false">M14/H14-1</f>
        <v>0.179206649960271</v>
      </c>
      <c r="N30" s="354" t="n">
        <f aca="false">N14/I14-1</f>
        <v>0.60761104747359</v>
      </c>
      <c r="O30" s="354" t="n">
        <f aca="false">O14/J14-1</f>
        <v>-0.940451355964347</v>
      </c>
      <c r="P30" s="355" t="n">
        <f aca="false">P14/K14-1</f>
        <v>0.134429075985083</v>
      </c>
      <c r="Q30" s="356" t="n">
        <f aca="false">Q14/L14-1</f>
        <v>-0.918446917390951</v>
      </c>
      <c r="R30" s="356" t="n">
        <f aca="false">R14/M14-1</f>
        <v>-0.926346343233297</v>
      </c>
      <c r="S30" s="356" t="n">
        <f aca="false">S14/N14-1</f>
        <v>-0.945847518011242</v>
      </c>
      <c r="T30" s="357" t="n">
        <f aca="false">T14/O14-1</f>
        <v>-0.631242038216566</v>
      </c>
      <c r="U30" s="358" t="n">
        <v>-0.93</v>
      </c>
      <c r="V30" s="358" t="n">
        <v>0.1</v>
      </c>
      <c r="W30" s="358" t="n">
        <v>0.12</v>
      </c>
      <c r="X30" s="358" t="n">
        <v>0.12</v>
      </c>
      <c r="Y30" s="358" t="n">
        <v>0.14</v>
      </c>
    </row>
    <row r="31" s="111" customFormat="true" ht="12" hidden="false" customHeight="false" outlineLevel="0" collapsed="false">
      <c r="A31" s="178" t="s">
        <v>76</v>
      </c>
      <c r="B31" s="359"/>
      <c r="C31" s="360"/>
      <c r="D31" s="360"/>
      <c r="E31" s="360"/>
      <c r="F31" s="361"/>
      <c r="G31" s="362" t="n">
        <f aca="false">G15/B15-1</f>
        <v>0.0427102836036013</v>
      </c>
      <c r="H31" s="362" t="n">
        <f aca="false">H15/C15-1</f>
        <v>0.160680973669852</v>
      </c>
      <c r="I31" s="362" t="n">
        <f aca="false">I15/D15-1</f>
        <v>-0.0712124532478365</v>
      </c>
      <c r="J31" s="362" t="n">
        <f aca="false">J15/E15-1</f>
        <v>0.185335715071131</v>
      </c>
      <c r="K31" s="363" t="n">
        <f aca="false">K15/F15-1</f>
        <v>0.0738037151777815</v>
      </c>
      <c r="L31" s="362" t="n">
        <f aca="false">L15/G15-1</f>
        <v>0.278213943840181</v>
      </c>
      <c r="M31" s="362" t="n">
        <f aca="false">M15/H15-1</f>
        <v>0.324033110675499</v>
      </c>
      <c r="N31" s="362" t="n">
        <f aca="false">N15/I15-1</f>
        <v>0.365305649019635</v>
      </c>
      <c r="O31" s="362" t="n">
        <f aca="false">O15/J15-1</f>
        <v>0.216971538489812</v>
      </c>
      <c r="P31" s="363" t="n">
        <f aca="false">P15/K15-1</f>
        <v>0.294009808116381</v>
      </c>
      <c r="Q31" s="362" t="n">
        <f aca="false">Q15/L15-1</f>
        <v>0.037299830850491</v>
      </c>
      <c r="R31" s="362" t="n">
        <f aca="false">R15/M15-1</f>
        <v>-0.00876944321262774</v>
      </c>
      <c r="S31" s="362" t="n">
        <f aca="false">S15/N15-1</f>
        <v>0.0188528542135011</v>
      </c>
      <c r="T31" s="364" t="n">
        <f aca="false">T15/O15-1</f>
        <v>0.375516111843014</v>
      </c>
      <c r="U31" s="365" t="n">
        <v>0.0245</v>
      </c>
      <c r="V31" s="365" t="n">
        <v>0.11</v>
      </c>
      <c r="W31" s="365" t="n">
        <v>0.205</v>
      </c>
      <c r="X31" s="365" t="n">
        <v>0.24735</v>
      </c>
      <c r="Y31" s="365" t="n">
        <v>0.29152</v>
      </c>
    </row>
    <row r="32" s="111" customFormat="true" ht="12" hidden="false" customHeight="false" outlineLevel="0" collapsed="false">
      <c r="A32" s="148" t="s">
        <v>116</v>
      </c>
      <c r="B32" s="352"/>
      <c r="C32" s="113"/>
      <c r="D32" s="113"/>
      <c r="E32" s="113"/>
      <c r="F32" s="353"/>
      <c r="G32" s="354" t="n">
        <f aca="false">G16/B16-1</f>
        <v>-0.0103078551378215</v>
      </c>
      <c r="H32" s="354" t="n">
        <f aca="false">H16/C16-1</f>
        <v>0.0324576622499271</v>
      </c>
      <c r="I32" s="354" t="n">
        <f aca="false">I16/D16-1</f>
        <v>-0.230088617160129</v>
      </c>
      <c r="J32" s="354" t="n">
        <f aca="false">J16/E16-1</f>
        <v>-0.00883947226158999</v>
      </c>
      <c r="K32" s="355" t="n">
        <f aca="false">K16/F16-1</f>
        <v>-0.696374911619137</v>
      </c>
      <c r="L32" s="354" t="n">
        <f aca="false">L16/G16-1</f>
        <v>0.101734319058911</v>
      </c>
      <c r="M32" s="354" t="n">
        <f aca="false">M16/H16-1</f>
        <v>0.141616477061492</v>
      </c>
      <c r="N32" s="354" t="n">
        <f aca="false">N16/I16-1</f>
        <v>0.49746600521075</v>
      </c>
      <c r="O32" s="354" t="n">
        <f aca="false">O16/J16-1</f>
        <v>0.250995017541791</v>
      </c>
      <c r="P32" s="355" t="n">
        <f aca="false">P16/K16-1</f>
        <v>2.84030321406913</v>
      </c>
      <c r="Q32" s="356" t="n">
        <f aca="false">Q16/L16-1</f>
        <v>-2.09651825279595</v>
      </c>
      <c r="R32" s="356" t="n">
        <f aca="false">R16/M16-1</f>
        <v>-2.12183461859108</v>
      </c>
      <c r="S32" s="356" t="n">
        <f aca="false">S16/N16-1</f>
        <v>-1.98664124411607</v>
      </c>
      <c r="T32" s="357" t="n">
        <f aca="false">T16/O16-1</f>
        <v>3.14484180757674</v>
      </c>
      <c r="U32" s="366" t="n">
        <v>0.9</v>
      </c>
      <c r="V32" s="358" t="n">
        <v>1.5</v>
      </c>
      <c r="W32" s="358" t="n">
        <v>1.4</v>
      </c>
      <c r="X32" s="358" t="n">
        <v>1.4</v>
      </c>
      <c r="Y32" s="358" t="n">
        <v>1.45</v>
      </c>
    </row>
    <row r="33" s="111" customFormat="true" ht="12.75" hidden="false" customHeight="false" outlineLevel="0" collapsed="false">
      <c r="A33" s="195" t="s">
        <v>117</v>
      </c>
      <c r="B33" s="367"/>
      <c r="C33" s="368"/>
      <c r="D33" s="368"/>
      <c r="E33" s="368"/>
      <c r="F33" s="369"/>
      <c r="G33" s="370" t="n">
        <f aca="false">G17/B17-1</f>
        <v>0.0508101217174488</v>
      </c>
      <c r="H33" s="370" t="n">
        <f aca="false">H17/C17-1</f>
        <v>0.181634793430316</v>
      </c>
      <c r="I33" s="370" t="n">
        <f aca="false">I17/D17-1</f>
        <v>-0.0466210727333818</v>
      </c>
      <c r="J33" s="370" t="n">
        <f aca="false">J17/E17-1</f>
        <v>0.21747130994927</v>
      </c>
      <c r="K33" s="371" t="n">
        <f aca="false">K17/F17-1</f>
        <v>0.196175720270555</v>
      </c>
      <c r="L33" s="370" t="n">
        <f aca="false">L17/G17-1</f>
        <v>0.303607428948636</v>
      </c>
      <c r="M33" s="370" t="n">
        <f aca="false">M17/H17-1</f>
        <v>0.350079626287292</v>
      </c>
      <c r="N33" s="370" t="n">
        <f aca="false">N17/I17-1</f>
        <v>0.348786009836834</v>
      </c>
      <c r="O33" s="370" t="n">
        <f aca="false">O17/J17-1</f>
        <v>0.212387411990189</v>
      </c>
      <c r="P33" s="371" t="n">
        <f aca="false">P17/K17-1</f>
        <v>0.191316597859477</v>
      </c>
      <c r="Q33" s="370" t="n">
        <f aca="false">Q17/L17-1</f>
        <v>0.0300984692446129</v>
      </c>
      <c r="R33" s="370" t="n">
        <f aca="false">R17/M17-1</f>
        <v>-0.0245383913686262</v>
      </c>
      <c r="S33" s="370" t="n">
        <f aca="false">S17/N17-1</f>
        <v>0.0233230414053029</v>
      </c>
      <c r="T33" s="372" t="n">
        <f aca="false">T17/O17-1</f>
        <v>-0.00948862279274754</v>
      </c>
      <c r="U33" s="373" t="n">
        <f aca="false">U17/P17-1</f>
        <v>0.20695092979618</v>
      </c>
      <c r="V33" s="373" t="n">
        <f aca="false">V17/U17-1</f>
        <v>0.15449973967648</v>
      </c>
      <c r="W33" s="373" t="n">
        <f aca="false">W17/V17-1</f>
        <v>0.112662498445745</v>
      </c>
      <c r="X33" s="373" t="n">
        <f aca="false">X17/W17-1</f>
        <v>0.0552375725075955</v>
      </c>
      <c r="Y33" s="373" t="n">
        <f aca="false">Y17/X17-1</f>
        <v>-0.147624594311123</v>
      </c>
    </row>
    <row r="34" s="111" customFormat="true" ht="12" hidden="false" customHeight="false" outlineLevel="0" collapsed="false">
      <c r="B34" s="374"/>
      <c r="C34" s="374"/>
      <c r="D34" s="374"/>
      <c r="E34" s="374"/>
      <c r="F34" s="374"/>
      <c r="G34" s="374"/>
      <c r="H34" s="374"/>
      <c r="I34" s="374"/>
      <c r="J34" s="374"/>
      <c r="K34" s="374"/>
      <c r="L34" s="374"/>
      <c r="M34" s="374"/>
      <c r="N34" s="374"/>
      <c r="O34" s="374"/>
      <c r="P34" s="374"/>
      <c r="Q34" s="374"/>
      <c r="R34" s="374"/>
      <c r="S34" s="374"/>
      <c r="T34" s="374"/>
      <c r="U34" s="375"/>
      <c r="V34" s="374"/>
      <c r="W34" s="376"/>
      <c r="X34" s="376"/>
      <c r="Y34" s="376"/>
    </row>
    <row r="35" s="111" customFormat="true" ht="26.25" hidden="false" customHeight="false" outlineLevel="0" collapsed="false">
      <c r="A35" s="377" t="s">
        <v>192</v>
      </c>
      <c r="B35" s="51"/>
      <c r="C35" s="51"/>
      <c r="D35" s="51"/>
      <c r="E35" s="51"/>
      <c r="F35" s="51"/>
      <c r="G35" s="51"/>
      <c r="H35" s="51"/>
      <c r="I35" s="51"/>
      <c r="J35" s="51"/>
      <c r="K35" s="51"/>
      <c r="L35" s="51"/>
      <c r="M35" s="51"/>
      <c r="N35" s="51"/>
      <c r="O35" s="51"/>
      <c r="P35" s="51"/>
      <c r="Q35" s="51"/>
      <c r="R35" s="51"/>
      <c r="S35" s="51"/>
      <c r="T35" s="51"/>
      <c r="U35" s="40"/>
      <c r="V35" s="40"/>
      <c r="W35" s="40"/>
      <c r="X35" s="40"/>
      <c r="Y35" s="40"/>
    </row>
    <row r="36" s="111" customFormat="true" ht="12" hidden="false" customHeight="false" outlineLevel="0" collapsed="false">
      <c r="A36" s="378"/>
      <c r="B36" s="123"/>
      <c r="C36" s="123"/>
      <c r="D36" s="122"/>
      <c r="E36" s="123"/>
      <c r="F36" s="313"/>
      <c r="G36" s="122"/>
      <c r="H36" s="122"/>
      <c r="I36" s="122"/>
      <c r="J36" s="122"/>
      <c r="K36" s="313"/>
      <c r="L36" s="123"/>
      <c r="M36" s="123"/>
      <c r="N36" s="122"/>
      <c r="O36" s="123"/>
      <c r="P36" s="313"/>
      <c r="Q36" s="123"/>
      <c r="R36" s="123"/>
      <c r="S36" s="122"/>
      <c r="T36" s="123"/>
      <c r="U36" s="379"/>
      <c r="V36" s="380"/>
      <c r="W36" s="380"/>
      <c r="X36" s="380"/>
      <c r="Y36" s="380"/>
    </row>
    <row r="37" s="111" customFormat="true" ht="12" hidden="false" customHeight="false" outlineLevel="0" collapsed="false">
      <c r="A37" s="148" t="s">
        <v>69</v>
      </c>
      <c r="B37" s="123"/>
      <c r="C37" s="123"/>
      <c r="D37" s="122"/>
      <c r="E37" s="123"/>
      <c r="F37" s="313"/>
      <c r="G37" s="381" t="n">
        <f aca="false">G8/G17</f>
        <v>0.670532862928404</v>
      </c>
      <c r="H37" s="381" t="n">
        <f aca="false">H8/H17</f>
        <v>0.689816965707612</v>
      </c>
      <c r="I37" s="381" t="n">
        <f aca="false">I8/I17</f>
        <v>0.694157010137961</v>
      </c>
      <c r="J37" s="381" t="n">
        <f aca="false">J8/J17</f>
        <v>0.67133933802719</v>
      </c>
      <c r="K37" s="382" t="n">
        <f aca="false">K8/K17</f>
        <v>0.623548983544973</v>
      </c>
      <c r="L37" s="381" t="n">
        <f aca="false">L8/L17</f>
        <v>0.704694909571156</v>
      </c>
      <c r="M37" s="381" t="n">
        <f aca="false">M8/M17</f>
        <v>0.707020854958951</v>
      </c>
      <c r="N37" s="381" t="n">
        <f aca="false">N8/N17</f>
        <v>0.818735829305039</v>
      </c>
      <c r="O37" s="381" t="n">
        <f aca="false">O8/O17</f>
        <v>0.776985441434003</v>
      </c>
      <c r="P37" s="382" t="n">
        <f aca="false">P8/P17</f>
        <v>0.751735181565852</v>
      </c>
      <c r="Q37" s="381" t="n">
        <f aca="false">Q8/Q17</f>
        <v>0.770866340497756</v>
      </c>
      <c r="R37" s="381" t="n">
        <f aca="false">R8/R17</f>
        <v>0.801190871596761</v>
      </c>
      <c r="S37" s="381" t="n">
        <f aca="false">S8/S17</f>
        <v>0.731667270000517</v>
      </c>
      <c r="T37" s="383" t="n">
        <f aca="false">T8/T17</f>
        <v>1.05303904880323</v>
      </c>
      <c r="U37" s="384" t="n">
        <f aca="false">U8/U17</f>
        <v>0.697578818300371</v>
      </c>
      <c r="V37" s="384" t="n">
        <f aca="false">V8/V17</f>
        <v>0.725071260903897</v>
      </c>
      <c r="W37" s="384" t="n">
        <f aca="false">W8/W17</f>
        <v>0.781985116151646</v>
      </c>
      <c r="X37" s="384" t="n">
        <f aca="false">X8/X17</f>
        <v>0.926314055390139</v>
      </c>
      <c r="Y37" s="384" t="n">
        <f aca="false">Y8/Y17</f>
        <v>1.41276750123258</v>
      </c>
    </row>
    <row r="38" s="111" customFormat="true" ht="12" hidden="false" customHeight="false" outlineLevel="0" collapsed="false">
      <c r="A38" s="148" t="s">
        <v>70</v>
      </c>
      <c r="B38" s="113"/>
      <c r="C38" s="113"/>
      <c r="D38" s="113"/>
      <c r="E38" s="113"/>
      <c r="F38" s="353"/>
      <c r="G38" s="354" t="n">
        <f aca="false">G9/G17</f>
        <v>0.109156616295873</v>
      </c>
      <c r="H38" s="354" t="n">
        <f aca="false">H9/H17</f>
        <v>0.112295785115193</v>
      </c>
      <c r="I38" s="354" t="n">
        <f aca="false">I9/I17</f>
        <v>0.134316273156151</v>
      </c>
      <c r="J38" s="354" t="n">
        <f aca="false">J9/J17</f>
        <v>0.114430133367759</v>
      </c>
      <c r="K38" s="355" t="n">
        <f aca="false">K9/K17</f>
        <v>0.107448492437731</v>
      </c>
      <c r="L38" s="354" t="n">
        <f aca="false">L9/L17</f>
        <v>0.106300936792188</v>
      </c>
      <c r="M38" s="354" t="n">
        <f aca="false">M9/M17</f>
        <v>0.0977477902551037</v>
      </c>
      <c r="N38" s="354" t="n">
        <f aca="false">N9/N17</f>
        <v>0.101556027062203</v>
      </c>
      <c r="O38" s="354" t="n">
        <f aca="false">O9/O17</f>
        <v>0.106662341853543</v>
      </c>
      <c r="P38" s="355" t="n">
        <f aca="false">P9/P17</f>
        <v>0.102980521293544</v>
      </c>
      <c r="Q38" s="354" t="n">
        <f aca="false">Q9/Q17</f>
        <v>0.121756994197382</v>
      </c>
      <c r="R38" s="354" t="n">
        <f aca="false">R9/R17</f>
        <v>0.135911889045465</v>
      </c>
      <c r="S38" s="354" t="n">
        <f aca="false">S9/S17</f>
        <v>0.137815457413249</v>
      </c>
      <c r="T38" s="354" t="n">
        <f aca="false">T9/T17</f>
        <v>0.174870883524214</v>
      </c>
      <c r="U38" s="358" t="n">
        <f aca="false">U9/U17</f>
        <v>0.118598793922963</v>
      </c>
      <c r="V38" s="358" t="n">
        <f aca="false">V9/V17</f>
        <v>0.13354566207443</v>
      </c>
      <c r="W38" s="358" t="n">
        <f aca="false">W9/W17</f>
        <v>0.162031742826166</v>
      </c>
      <c r="X38" s="358" t="n">
        <f aca="false">X9/X17</f>
        <v>0.207292517357506</v>
      </c>
      <c r="Y38" s="358" t="n">
        <f aca="false">Y9/Y17</f>
        <v>0.335607611439899</v>
      </c>
    </row>
    <row r="39" s="111" customFormat="true" ht="12" hidden="false" customHeight="false" outlineLevel="0" collapsed="false">
      <c r="A39" s="148" t="s">
        <v>71</v>
      </c>
      <c r="B39" s="113"/>
      <c r="C39" s="113"/>
      <c r="D39" s="113"/>
      <c r="E39" s="113"/>
      <c r="F39" s="353"/>
      <c r="G39" s="354" t="n">
        <f aca="false">G10/G17</f>
        <v>0.173589677258211</v>
      </c>
      <c r="H39" s="354" t="n">
        <f aca="false">H10/H17</f>
        <v>0.135942244399618</v>
      </c>
      <c r="I39" s="354" t="n">
        <f aca="false">I10/I17</f>
        <v>0.119962526348661</v>
      </c>
      <c r="J39" s="354" t="n">
        <f aca="false">J10/J17</f>
        <v>0.148303359516976</v>
      </c>
      <c r="K39" s="355" t="n">
        <f aca="false">K10/K17</f>
        <v>0.132223287483613</v>
      </c>
      <c r="L39" s="354" t="n">
        <f aca="false">L10/L17</f>
        <v>0.136993027091017</v>
      </c>
      <c r="M39" s="354" t="n">
        <f aca="false">M10/M17</f>
        <v>0.0988849045327294</v>
      </c>
      <c r="N39" s="354" t="n">
        <f aca="false">N10/N17</f>
        <v>0.102976610808013</v>
      </c>
      <c r="O39" s="354" t="n">
        <f aca="false">O10/O17</f>
        <v>0.1116145805177</v>
      </c>
      <c r="P39" s="355" t="n">
        <f aca="false">P10/P17</f>
        <v>0.112237834020398</v>
      </c>
      <c r="Q39" s="354" t="n">
        <f aca="false">Q10/Q17</f>
        <v>0.103392555244444</v>
      </c>
      <c r="R39" s="354" t="n">
        <f aca="false">R10/R17</f>
        <v>0.0992650971110158</v>
      </c>
      <c r="S39" s="354" t="n">
        <f aca="false">S10/S17</f>
        <v>0.128107708020893</v>
      </c>
      <c r="T39" s="354" t="n">
        <f aca="false">T10/T17</f>
        <v>0.153226360865477</v>
      </c>
      <c r="U39" s="358" t="n">
        <f aca="false">U10/U17</f>
        <v>0.100608988840313</v>
      </c>
      <c r="V39" s="358" t="n">
        <f aca="false">V10/V17</f>
        <v>0.0958596038794748</v>
      </c>
      <c r="W39" s="358" t="n">
        <f aca="false">W10/W17</f>
        <v>0.0956302207136942</v>
      </c>
      <c r="X39" s="358" t="n">
        <f aca="false">X10/X17</f>
        <v>0.101499273708401</v>
      </c>
      <c r="Y39" s="358" t="n">
        <f aca="false">Y10/Y17</f>
        <v>0.135749074005794</v>
      </c>
    </row>
    <row r="40" s="111" customFormat="true" ht="12" hidden="false" customHeight="false" outlineLevel="0" collapsed="false">
      <c r="A40" s="148" t="s">
        <v>72</v>
      </c>
      <c r="B40" s="113"/>
      <c r="C40" s="113"/>
      <c r="D40" s="113"/>
      <c r="E40" s="113"/>
      <c r="F40" s="353"/>
      <c r="G40" s="354" t="n">
        <f aca="false">G11/G17</f>
        <v>0.15056600239068</v>
      </c>
      <c r="H40" s="354" t="n">
        <f aca="false">H11/H17</f>
        <v>0.149342817708886</v>
      </c>
      <c r="I40" s="354" t="n">
        <f aca="false">I11/I17</f>
        <v>0.117736413013172</v>
      </c>
      <c r="J40" s="354" t="n">
        <f aca="false">J11/J17</f>
        <v>0.156859551733384</v>
      </c>
      <c r="K40" s="355" t="n">
        <f aca="false">K11/K17</f>
        <v>0.131879414584515</v>
      </c>
      <c r="L40" s="354" t="n">
        <f aca="false">L11/L17</f>
        <v>0.136806558229606</v>
      </c>
      <c r="M40" s="354" t="n">
        <f aca="false">M11/M17</f>
        <v>0.171465194551917</v>
      </c>
      <c r="N40" s="354" t="n">
        <f aca="false">N11/N17</f>
        <v>0.0550687056481021</v>
      </c>
      <c r="O40" s="354" t="n">
        <f aca="false">O11/O17</f>
        <v>0.125671861356976</v>
      </c>
      <c r="P40" s="355" t="n">
        <f aca="false">P11/P17</f>
        <v>0.12277004943584</v>
      </c>
      <c r="Q40" s="354" t="n">
        <f aca="false">Q11/Q17</f>
        <v>0.113577860371806</v>
      </c>
      <c r="R40" s="354" t="n">
        <f aca="false">R11/R17</f>
        <v>0.0830498308659213</v>
      </c>
      <c r="S40" s="354" t="n">
        <f aca="false">S11/S17</f>
        <v>0.114783187671304</v>
      </c>
      <c r="T40" s="354" t="n">
        <f aca="false">T11/T17</f>
        <v>0.180332131668076</v>
      </c>
      <c r="U40" s="358" t="n">
        <f aca="false">U11/U17</f>
        <v>0.102044673526896</v>
      </c>
      <c r="V40" s="358" t="n">
        <f aca="false">V11/V17</f>
        <v>0.106066380115937</v>
      </c>
      <c r="W40" s="358" t="n">
        <f aca="false">W11/W17</f>
        <v>0.109625638775202</v>
      </c>
      <c r="X40" s="358" t="n">
        <f aca="false">X11/X17</f>
        <v>0.124664596824044</v>
      </c>
      <c r="Y40" s="358" t="n">
        <f aca="false">Y11/Y17</f>
        <v>0.178431718125908</v>
      </c>
    </row>
    <row r="41" s="111" customFormat="true" ht="12" hidden="false" customHeight="false" outlineLevel="0" collapsed="false">
      <c r="A41" s="148" t="s">
        <v>73</v>
      </c>
      <c r="B41" s="113"/>
      <c r="C41" s="113"/>
      <c r="D41" s="113"/>
      <c r="E41" s="113"/>
      <c r="F41" s="353"/>
      <c r="G41" s="354" t="n">
        <f aca="false">G12/G17</f>
        <v>0.0205727819307416</v>
      </c>
      <c r="H41" s="354" t="n">
        <f aca="false">H12/H17</f>
        <v>0.0190253742435503</v>
      </c>
      <c r="I41" s="354" t="n">
        <f aca="false">I12/I17</f>
        <v>0.0222053689927841</v>
      </c>
      <c r="J41" s="354" t="n">
        <f aca="false">J12/J17</f>
        <v>0.0214321889988977</v>
      </c>
      <c r="K41" s="355" t="n">
        <f aca="false">K12/K17</f>
        <v>0.0190431235203193</v>
      </c>
      <c r="L41" s="354" t="n">
        <f aca="false">L12/L17</f>
        <v>0.0146335288120052</v>
      </c>
      <c r="M41" s="354" t="n">
        <f aca="false">M12/M17</f>
        <v>0.0142477430719386</v>
      </c>
      <c r="N41" s="354" t="n">
        <f aca="false">N12/N17</f>
        <v>0.0176109386602192</v>
      </c>
      <c r="O41" s="354" t="n">
        <f aca="false">O12/O17</f>
        <v>0.0162573656973515</v>
      </c>
      <c r="P41" s="355" t="n">
        <f aca="false">P12/P17</f>
        <v>0.0156790447878858</v>
      </c>
      <c r="Q41" s="354" t="n">
        <f aca="false">Q12/Q17</f>
        <v>0.0175589811041249</v>
      </c>
      <c r="R41" s="354" t="n">
        <f aca="false">R12/R17</f>
        <v>0.0165957776136778</v>
      </c>
      <c r="S41" s="354" t="n">
        <f aca="false">S12/S17</f>
        <v>0.0187561410766924</v>
      </c>
      <c r="T41" s="354" t="n">
        <f aca="false">T12/T17</f>
        <v>0.0183753127851648</v>
      </c>
      <c r="U41" s="358"/>
      <c r="V41" s="358" t="n">
        <f aca="false">V12/V17</f>
        <v>0.0147686650610409</v>
      </c>
      <c r="W41" s="358" t="n">
        <f aca="false">W12/W17</f>
        <v>0.0153969883003501</v>
      </c>
      <c r="X41" s="358" t="n">
        <f aca="false">X12/X17</f>
        <v>0.0172173988756284</v>
      </c>
      <c r="Y41" s="358" t="n">
        <f aca="false">Y12/Y17</f>
        <v>0.0242391773775503</v>
      </c>
    </row>
    <row r="42" s="111" customFormat="true" ht="12" hidden="false" customHeight="false" outlineLevel="0" collapsed="false">
      <c r="A42" s="148" t="s">
        <v>74</v>
      </c>
      <c r="B42" s="113"/>
      <c r="C42" s="113"/>
      <c r="D42" s="113"/>
      <c r="E42" s="113"/>
      <c r="F42" s="353"/>
      <c r="G42" s="354" t="n">
        <f aca="false">G13/G17</f>
        <v>0.00149640505967779</v>
      </c>
      <c r="H42" s="354" t="n">
        <f aca="false">H13/H17</f>
        <v>0.00162225289308844</v>
      </c>
      <c r="I42" s="354" t="n">
        <f aca="false">I13/I17</f>
        <v>0.00156809386257431</v>
      </c>
      <c r="J42" s="354" t="n">
        <f aca="false">J13/J17</f>
        <v>0.00142404591902601</v>
      </c>
      <c r="K42" s="355" t="n">
        <f aca="false">K13/K17</f>
        <v>0.00139652507386175</v>
      </c>
      <c r="L42" s="354" t="n">
        <f aca="false">L13/L17</f>
        <v>0.00111710244496603</v>
      </c>
      <c r="M42" s="354" t="n">
        <f aca="false">M13/M17</f>
        <v>0.00102859299801831</v>
      </c>
      <c r="N42" s="354" t="n">
        <f aca="false">N13/N17</f>
        <v>0.00105014048729826</v>
      </c>
      <c r="O42" s="354" t="n">
        <f aca="false">O13/O17</f>
        <v>0.00080434971356304</v>
      </c>
      <c r="P42" s="355" t="n">
        <f aca="false">P13/P17</f>
        <v>0.000998981720235847</v>
      </c>
      <c r="Q42" s="354" t="n">
        <f aca="false">Q13/Q17</f>
        <v>0.000627758900724414</v>
      </c>
      <c r="R42" s="354" t="n">
        <f aca="false">R13/R17</f>
        <v>0.00055141901718428</v>
      </c>
      <c r="S42" s="354" t="n">
        <f aca="false">S13/S17</f>
        <v>0.000460580751926359</v>
      </c>
      <c r="T42" s="354" t="n">
        <f aca="false">T13/T17</f>
        <v>0.0015287952456836</v>
      </c>
      <c r="U42" s="358" t="n">
        <f aca="false">U13/U17</f>
        <v>0.000656358501899332</v>
      </c>
      <c r="V42" s="358" t="n">
        <f aca="false">V13/V17</f>
        <v>0.000653800300895476</v>
      </c>
      <c r="W42" s="358" t="n">
        <f aca="false">W13/W17</f>
        <v>0.000646359818893539</v>
      </c>
      <c r="X42" s="358" t="n">
        <f aca="false">X13/X17</f>
        <v>0.000686028450863896</v>
      </c>
      <c r="Y42" s="358" t="n">
        <f aca="false">Y13/Y17</f>
        <v>0.00090947268574659</v>
      </c>
    </row>
    <row r="43" s="111" customFormat="true" ht="12" hidden="false" customHeight="false" outlineLevel="0" collapsed="false">
      <c r="A43" s="148" t="s">
        <v>75</v>
      </c>
      <c r="B43" s="123"/>
      <c r="C43" s="123"/>
      <c r="D43" s="122"/>
      <c r="E43" s="123"/>
      <c r="F43" s="313"/>
      <c r="G43" s="381" t="n">
        <f aca="false">G14/G17</f>
        <v>0.0179747016110328</v>
      </c>
      <c r="H43" s="381" t="n">
        <f aca="false">H14/H17</f>
        <v>0.0347404183034292</v>
      </c>
      <c r="I43" s="381" t="n">
        <f aca="false">I14/I17</f>
        <v>0.0350512474487804</v>
      </c>
      <c r="J43" s="381" t="n">
        <f aca="false">J14/J17</f>
        <v>0.0209455903236378</v>
      </c>
      <c r="K43" s="382" t="n">
        <f aca="false">K14/K17</f>
        <v>0.0247906435265804</v>
      </c>
      <c r="L43" s="381" t="n">
        <f aca="false">L14/L17</f>
        <v>0.021060716998433</v>
      </c>
      <c r="M43" s="381" t="n">
        <f aca="false">M14/M17</f>
        <v>0.0303434934415401</v>
      </c>
      <c r="N43" s="381" t="n">
        <f aca="false">N14/N17</f>
        <v>0.0417773999844546</v>
      </c>
      <c r="O43" s="381" t="n">
        <f aca="false">O14/O17</f>
        <v>0.00102878130370181</v>
      </c>
      <c r="P43" s="382" t="n">
        <f aca="false">P14/P17</f>
        <v>0.0236068454678339</v>
      </c>
      <c r="Q43" s="381" t="n">
        <f aca="false">Q14/Q17</f>
        <v>0.00166738078393469</v>
      </c>
      <c r="R43" s="381" t="n">
        <f aca="false">R14/R17</f>
        <v>0.00229112989303761</v>
      </c>
      <c r="S43" s="381" t="n">
        <f aca="false">S14/S17</f>
        <v>0.00221078760924652</v>
      </c>
      <c r="T43" s="383" t="n">
        <f aca="false">T14/T17</f>
        <v>0.000383005491308562</v>
      </c>
      <c r="U43" s="384" t="n">
        <f aca="false">U14/U17</f>
        <v>0.00136913534921211</v>
      </c>
      <c r="V43" s="384" t="n">
        <f aca="false">V14/V17</f>
        <v>0.00130450344194564</v>
      </c>
      <c r="W43" s="384" t="n">
        <f aca="false">W14/W17</f>
        <v>0.0013131060469999</v>
      </c>
      <c r="X43" s="384" t="n">
        <f aca="false">X14/X17</f>
        <v>0.00139369447312709</v>
      </c>
      <c r="Y43" s="384" t="n">
        <f aca="false">Y14/Y17</f>
        <v>0.00186398116224486</v>
      </c>
    </row>
    <row r="44" s="385" customFormat="true" ht="12" hidden="false" customHeight="false" outlineLevel="0" collapsed="false">
      <c r="A44" s="178" t="s">
        <v>76</v>
      </c>
      <c r="B44" s="360"/>
      <c r="C44" s="360"/>
      <c r="D44" s="360"/>
      <c r="E44" s="360"/>
      <c r="F44" s="361"/>
      <c r="G44" s="362" t="n">
        <f aca="false">G15/G17</f>
        <v>1.14388904747462</v>
      </c>
      <c r="H44" s="362" t="n">
        <f aca="false">H15/H17</f>
        <v>1.14278585837138</v>
      </c>
      <c r="I44" s="362" t="n">
        <f aca="false">I15/I17</f>
        <v>1.12499693296008</v>
      </c>
      <c r="J44" s="362" t="n">
        <f aca="false">J15/J17</f>
        <v>1.13473420788687</v>
      </c>
      <c r="K44" s="363" t="n">
        <f aca="false">K15/K17</f>
        <v>1.04033047017159</v>
      </c>
      <c r="L44" s="362" t="n">
        <f aca="false">L15/L17</f>
        <v>1.12160677993937</v>
      </c>
      <c r="M44" s="362" t="n">
        <f aca="false">M15/M17</f>
        <v>1.1207385738102</v>
      </c>
      <c r="N44" s="362" t="n">
        <f aca="false">N15/N17</f>
        <v>1.13877565195533</v>
      </c>
      <c r="O44" s="362" t="n">
        <f aca="false">O15/O17</f>
        <v>1.13902472187684</v>
      </c>
      <c r="P44" s="363" t="n">
        <f aca="false">P15/P17</f>
        <v>1.13000845829159</v>
      </c>
      <c r="Q44" s="362" t="n">
        <f aca="false">Q15/Q17</f>
        <v>1.12944787110017</v>
      </c>
      <c r="R44" s="362" t="n">
        <f aca="false">R15/R17</f>
        <v>1.13885601514306</v>
      </c>
      <c r="S44" s="362" t="n">
        <f aca="false">S15/S17</f>
        <v>1.13380113254383</v>
      </c>
      <c r="T44" s="362" t="n">
        <f aca="false">T15/T17</f>
        <v>1.58175553838316</v>
      </c>
      <c r="U44" s="365" t="n">
        <f aca="false">U15/U17</f>
        <v>1.03568322058804</v>
      </c>
      <c r="V44" s="365" t="n">
        <f aca="false">V15/V17</f>
        <v>1.07726987577762</v>
      </c>
      <c r="W44" s="365" t="n">
        <f aca="false">W15/W17</f>
        <v>1.16667021862005</v>
      </c>
      <c r="X44" s="365" t="n">
        <f aca="false">X15/X17</f>
        <v>1.37906963806982</v>
      </c>
      <c r="Y44" s="365" t="n">
        <f aca="false">Y15/Y17</f>
        <v>2.08956758615117</v>
      </c>
    </row>
    <row r="45" s="111" customFormat="true" ht="12" hidden="false" customHeight="false" outlineLevel="0" collapsed="false">
      <c r="A45" s="148" t="s">
        <v>116</v>
      </c>
      <c r="B45" s="113"/>
      <c r="C45" s="113"/>
      <c r="D45" s="113"/>
      <c r="E45" s="113"/>
      <c r="F45" s="353"/>
      <c r="G45" s="354" t="n">
        <f aca="false">G16/G17</f>
        <v>0.143889047474621</v>
      </c>
      <c r="H45" s="354" t="n">
        <f aca="false">H16/H17</f>
        <v>0.142785858371377</v>
      </c>
      <c r="I45" s="354" t="n">
        <f aca="false">I16/I17</f>
        <v>0.124996932960084</v>
      </c>
      <c r="J45" s="354" t="n">
        <f aca="false">J16/J17</f>
        <v>0.134734207886871</v>
      </c>
      <c r="K45" s="355" t="n">
        <f aca="false">K16/K17</f>
        <v>0.040330470171594</v>
      </c>
      <c r="L45" s="354" t="n">
        <f aca="false">L16/L17</f>
        <v>0.121606779939372</v>
      </c>
      <c r="M45" s="354" t="n">
        <f aca="false">M16/M17</f>
        <v>0.120738573810198</v>
      </c>
      <c r="N45" s="354" t="n">
        <f aca="false">N16/N17</f>
        <v>0.138775651955329</v>
      </c>
      <c r="O45" s="354" t="n">
        <f aca="false">O16/O17</f>
        <v>0.139024721876838</v>
      </c>
      <c r="P45" s="355" t="n">
        <f aca="false">P16/P17</f>
        <v>0.130008458291589</v>
      </c>
      <c r="Q45" s="354" t="n">
        <f aca="false">Q16/Q17</f>
        <v>-0.129447871100172</v>
      </c>
      <c r="R45" s="354" t="n">
        <f aca="false">R16/R17</f>
        <v>-0.138856015143063</v>
      </c>
      <c r="S45" s="354" t="n">
        <f aca="false">S16/S17</f>
        <v>-0.133801132543828</v>
      </c>
      <c r="T45" s="354" t="n">
        <f aca="false">T16/T17</f>
        <v>0.581755538383156</v>
      </c>
      <c r="U45" s="358" t="n">
        <f aca="false">U16/U17</f>
        <v>0.0356832205880383</v>
      </c>
      <c r="V45" s="358" t="n">
        <f aca="false">V16/V17</f>
        <v>0.0772698757776195</v>
      </c>
      <c r="W45" s="358" t="n">
        <f aca="false">W16/W17</f>
        <v>0.166670218620053</v>
      </c>
      <c r="X45" s="358" t="n">
        <f aca="false">X16/X17</f>
        <v>0.379069638069818</v>
      </c>
      <c r="Y45" s="358" t="n">
        <f aca="false">Y16/Y17</f>
        <v>1.08956758615117</v>
      </c>
    </row>
    <row r="46" s="385" customFormat="true" ht="12.75" hidden="false" customHeight="false" outlineLevel="0" collapsed="false">
      <c r="A46" s="178" t="s">
        <v>117</v>
      </c>
      <c r="B46" s="360"/>
      <c r="C46" s="360"/>
      <c r="D46" s="360"/>
      <c r="E46" s="360"/>
      <c r="F46" s="361"/>
      <c r="G46" s="362" t="n">
        <f aca="false">G17/G17</f>
        <v>1</v>
      </c>
      <c r="H46" s="362" t="n">
        <f aca="false">H17/H17</f>
        <v>1</v>
      </c>
      <c r="I46" s="362" t="n">
        <f aca="false">I17/I17</f>
        <v>1</v>
      </c>
      <c r="J46" s="362" t="n">
        <f aca="false">J17/J17</f>
        <v>1</v>
      </c>
      <c r="K46" s="363" t="n">
        <f aca="false">K17/K17</f>
        <v>1</v>
      </c>
      <c r="L46" s="386" t="n">
        <f aca="false">L17/L17</f>
        <v>1</v>
      </c>
      <c r="M46" s="386" t="n">
        <f aca="false">M17/M17</f>
        <v>1</v>
      </c>
      <c r="N46" s="386" t="n">
        <f aca="false">N17/N17</f>
        <v>1</v>
      </c>
      <c r="O46" s="386" t="n">
        <f aca="false">O17/O17</f>
        <v>1</v>
      </c>
      <c r="P46" s="387" t="n">
        <f aca="false">P17/P17</f>
        <v>1</v>
      </c>
      <c r="Q46" s="362" t="n">
        <f aca="false">Q17/Q17</f>
        <v>1</v>
      </c>
      <c r="R46" s="362" t="n">
        <f aca="false">R17/R17</f>
        <v>1</v>
      </c>
      <c r="S46" s="362" t="n">
        <f aca="false">S17/S17</f>
        <v>1</v>
      </c>
      <c r="T46" s="362" t="n">
        <f aca="false">T17/T17</f>
        <v>1</v>
      </c>
      <c r="U46" s="373" t="n">
        <f aca="false">U17/U17</f>
        <v>1</v>
      </c>
      <c r="V46" s="373" t="n">
        <f aca="false">V17/V17</f>
        <v>1</v>
      </c>
      <c r="W46" s="373" t="n">
        <f aca="false">W17/W17</f>
        <v>1</v>
      </c>
      <c r="X46" s="373" t="n">
        <f aca="false">X17/X17</f>
        <v>1</v>
      </c>
      <c r="Y46" s="373" t="n">
        <f aca="false">Y17/Y17</f>
        <v>1</v>
      </c>
    </row>
    <row r="47" s="111" customFormat="true" ht="12" hidden="false" customHeight="false" outlineLevel="0" collapsed="false">
      <c r="A47" s="388"/>
      <c r="B47" s="206"/>
      <c r="C47" s="206"/>
      <c r="D47" s="207"/>
      <c r="E47" s="206"/>
      <c r="F47" s="389"/>
      <c r="G47" s="206"/>
      <c r="H47" s="206"/>
      <c r="I47" s="207"/>
      <c r="J47" s="206"/>
      <c r="K47" s="389"/>
      <c r="L47" s="206"/>
      <c r="M47" s="206"/>
      <c r="N47" s="207"/>
      <c r="O47" s="206"/>
      <c r="P47" s="389"/>
      <c r="Q47" s="206"/>
      <c r="R47" s="206"/>
      <c r="S47" s="207"/>
      <c r="T47" s="206"/>
      <c r="U47" s="206"/>
      <c r="V47" s="206"/>
      <c r="W47" s="207"/>
      <c r="X47" s="207"/>
      <c r="Y47" s="207"/>
    </row>
    <row r="48" s="111" customFormat="true" ht="11.25" hidden="false" customHeight="false" outlineLevel="0" collapsed="false">
      <c r="A48" s="123"/>
      <c r="B48" s="122"/>
      <c r="C48" s="122"/>
      <c r="D48" s="122"/>
      <c r="E48" s="122"/>
      <c r="F48" s="122"/>
      <c r="G48" s="122"/>
      <c r="H48" s="122"/>
      <c r="I48" s="122"/>
      <c r="J48" s="122"/>
      <c r="K48" s="122"/>
      <c r="L48" s="122"/>
      <c r="M48" s="122"/>
      <c r="N48" s="122"/>
      <c r="O48" s="123"/>
      <c r="P48" s="123"/>
      <c r="Q48" s="123"/>
      <c r="R48" s="123"/>
      <c r="S48" s="123"/>
      <c r="T48" s="123"/>
      <c r="U48" s="123"/>
      <c r="V48" s="123"/>
      <c r="W48" s="123"/>
      <c r="X48" s="123"/>
      <c r="Y48" s="123"/>
    </row>
    <row r="49" s="111" customFormat="true" ht="12" hidden="false" customHeight="false" outlineLevel="0" collapsed="false">
      <c r="A49" s="123"/>
      <c r="B49" s="122"/>
      <c r="C49" s="122"/>
      <c r="D49" s="122"/>
      <c r="E49" s="122"/>
      <c r="F49" s="122"/>
      <c r="G49" s="122"/>
      <c r="H49" s="122"/>
      <c r="I49" s="122"/>
      <c r="J49" s="122"/>
      <c r="K49" s="122"/>
      <c r="L49" s="122"/>
      <c r="M49" s="122"/>
      <c r="N49" s="122"/>
      <c r="O49" s="123"/>
      <c r="P49" s="123"/>
      <c r="Q49" s="123"/>
      <c r="R49" s="123"/>
      <c r="S49" s="123"/>
      <c r="T49" s="123"/>
      <c r="V49" s="123"/>
      <c r="W49" s="123"/>
      <c r="X49" s="123"/>
      <c r="Y49" s="123"/>
    </row>
    <row r="50" s="111" customFormat="true" ht="13.5" hidden="false" customHeight="false" outlineLevel="0" collapsed="false">
      <c r="A50" s="143" t="s">
        <v>193</v>
      </c>
      <c r="B50" s="122"/>
      <c r="C50" s="122"/>
      <c r="D50" s="122"/>
      <c r="E50" s="122"/>
      <c r="F50" s="122"/>
      <c r="G50" s="122"/>
      <c r="H50" s="122"/>
      <c r="I50" s="122"/>
      <c r="J50" s="122"/>
      <c r="K50" s="122"/>
      <c r="L50" s="122"/>
      <c r="M50" s="122"/>
      <c r="N50" s="122"/>
      <c r="O50" s="123"/>
      <c r="P50" s="123"/>
      <c r="Q50" s="123"/>
      <c r="R50" s="123"/>
      <c r="S50" s="123"/>
      <c r="T50" s="123"/>
      <c r="U50" s="123"/>
      <c r="V50" s="123"/>
      <c r="W50" s="123"/>
      <c r="X50" s="123"/>
      <c r="Y50" s="123"/>
    </row>
    <row r="51" s="111" customFormat="true" ht="12" hidden="false" customHeight="false" outlineLevel="0" collapsed="false">
      <c r="A51" s="390" t="s">
        <v>69</v>
      </c>
      <c r="B51" s="391" t="n">
        <v>48171</v>
      </c>
      <c r="C51" s="392" t="n">
        <v>6135</v>
      </c>
      <c r="D51" s="392" t="n">
        <v>5634</v>
      </c>
      <c r="E51" s="392" t="n">
        <v>4924</v>
      </c>
      <c r="F51" s="393" t="n">
        <f aca="false">SUM(C51:E51)</f>
        <v>16693</v>
      </c>
      <c r="G51" s="394" t="n">
        <v>39304</v>
      </c>
      <c r="H51" s="394" t="n">
        <v>46584</v>
      </c>
      <c r="I51" s="395" t="n">
        <v>402.3</v>
      </c>
      <c r="J51" s="396" t="n">
        <v>6915</v>
      </c>
      <c r="K51" s="397" t="n">
        <f aca="false">G51+H51+I51+I52+J52+J51</f>
        <v>134898.3</v>
      </c>
      <c r="L51" s="392" t="n">
        <v>947.5</v>
      </c>
      <c r="M51" s="392" t="n">
        <v>1113.4</v>
      </c>
      <c r="N51" s="392" t="n">
        <v>823.1</v>
      </c>
      <c r="O51" s="398" t="n">
        <v>592</v>
      </c>
      <c r="P51" s="393" t="n">
        <f aca="false">SUM(L51:O51)</f>
        <v>3476</v>
      </c>
      <c r="Q51" s="398" t="n">
        <v>1062.6</v>
      </c>
      <c r="R51" s="398" t="n">
        <v>1104.7</v>
      </c>
      <c r="S51" s="392" t="n">
        <v>1179.2</v>
      </c>
      <c r="T51" s="399" t="n">
        <v>1286.7</v>
      </c>
      <c r="U51" s="380" t="n">
        <f aca="false">SUM(Q51:T51)</f>
        <v>4633.2</v>
      </c>
      <c r="V51" s="380" t="n">
        <v>5104</v>
      </c>
      <c r="W51" s="380" t="n">
        <v>5673</v>
      </c>
      <c r="X51" s="380" t="n">
        <v>6123</v>
      </c>
      <c r="Y51" s="380" t="n">
        <v>6700</v>
      </c>
    </row>
    <row r="52" s="111" customFormat="true" ht="12.75" hidden="false" customHeight="false" outlineLevel="0" collapsed="false">
      <c r="A52" s="148" t="s">
        <v>70</v>
      </c>
      <c r="B52" s="391"/>
      <c r="C52" s="400" t="n">
        <v>32948</v>
      </c>
      <c r="D52" s="400" t="n">
        <v>45477</v>
      </c>
      <c r="E52" s="400" t="n">
        <v>27674</v>
      </c>
      <c r="F52" s="401" t="n">
        <f aca="false">SUM(C52:E52)</f>
        <v>106099</v>
      </c>
      <c r="G52" s="394"/>
      <c r="H52" s="394"/>
      <c r="I52" s="402" t="n">
        <v>4141</v>
      </c>
      <c r="J52" s="403" t="n">
        <v>37552</v>
      </c>
      <c r="K52" s="397"/>
      <c r="L52" s="400" t="n">
        <v>4337</v>
      </c>
      <c r="M52" s="400" t="n">
        <v>3952.7</v>
      </c>
      <c r="N52" s="400" t="n">
        <v>3590.7</v>
      </c>
      <c r="O52" s="404" t="n">
        <v>4342.3</v>
      </c>
      <c r="P52" s="401" t="n">
        <f aca="false">SUM(L52:O52)</f>
        <v>16222.7</v>
      </c>
      <c r="Q52" s="404" t="n">
        <v>5221.8</v>
      </c>
      <c r="R52" s="404" t="n">
        <v>6156.9</v>
      </c>
      <c r="S52" s="400" t="n">
        <v>5924.2</v>
      </c>
      <c r="T52" s="405" t="n">
        <v>6824.2</v>
      </c>
      <c r="U52" s="406" t="n">
        <f aca="false">SUM(Q52:T52)</f>
        <v>24127.1</v>
      </c>
      <c r="V52" s="406" t="n">
        <v>27754</v>
      </c>
      <c r="W52" s="406" t="n">
        <v>30124</v>
      </c>
      <c r="X52" s="406" t="n">
        <v>33125</v>
      </c>
      <c r="Y52" s="406" t="n">
        <v>36055</v>
      </c>
    </row>
    <row r="53" s="111" customFormat="true" ht="12" hidden="false" customHeight="false" outlineLevel="0" collapsed="false">
      <c r="A53" s="148" t="s">
        <v>71</v>
      </c>
      <c r="B53" s="407" t="n">
        <v>20205</v>
      </c>
      <c r="C53" s="400" t="n">
        <v>17425</v>
      </c>
      <c r="D53" s="400" t="n">
        <v>27745</v>
      </c>
      <c r="E53" s="400" t="n">
        <v>30076</v>
      </c>
      <c r="F53" s="401" t="n">
        <f aca="false">SUM(C53:E53)</f>
        <v>75246</v>
      </c>
      <c r="G53" s="400" t="n">
        <v>34305</v>
      </c>
      <c r="H53" s="400" t="n">
        <v>31953</v>
      </c>
      <c r="I53" s="400" t="n">
        <v>2288.2</v>
      </c>
      <c r="J53" s="400" t="n">
        <v>36283</v>
      </c>
      <c r="K53" s="401" t="n">
        <f aca="false">SUM(G53:J53)</f>
        <v>104829.2</v>
      </c>
      <c r="L53" s="400" t="n">
        <v>4395.1</v>
      </c>
      <c r="M53" s="400" t="n">
        <v>3287.7</v>
      </c>
      <c r="N53" s="400" t="n">
        <v>1296.5</v>
      </c>
      <c r="O53" s="404" t="n">
        <v>3275</v>
      </c>
      <c r="P53" s="401" t="n">
        <f aca="false">SUM(L53:O53)</f>
        <v>12254.3</v>
      </c>
      <c r="Q53" s="404" t="n">
        <v>2643.2</v>
      </c>
      <c r="R53" s="404" t="n">
        <v>2753.2</v>
      </c>
      <c r="S53" s="400" t="n">
        <v>3413.8</v>
      </c>
      <c r="T53" s="405" t="n">
        <v>4415.8</v>
      </c>
      <c r="U53" s="406" t="n">
        <f aca="false">SUM(Q53:T53)</f>
        <v>13226</v>
      </c>
      <c r="V53" s="406" t="n">
        <v>15346</v>
      </c>
      <c r="W53" s="406" t="n">
        <v>17683</v>
      </c>
      <c r="X53" s="406" t="n">
        <v>19986</v>
      </c>
      <c r="Y53" s="406" t="n">
        <v>23441</v>
      </c>
    </row>
    <row r="54" s="111" customFormat="true" ht="12" hidden="false" customHeight="false" outlineLevel="0" collapsed="false">
      <c r="A54" s="148" t="s">
        <v>72</v>
      </c>
      <c r="B54" s="407" t="n">
        <v>13940</v>
      </c>
      <c r="C54" s="400" t="n">
        <v>-5454</v>
      </c>
      <c r="D54" s="400" t="n">
        <v>9048</v>
      </c>
      <c r="E54" s="400" t="n">
        <v>-7319</v>
      </c>
      <c r="F54" s="401" t="n">
        <f aca="false">SUM(C54:E54)</f>
        <v>-3725</v>
      </c>
      <c r="G54" s="400" t="n">
        <v>19855</v>
      </c>
      <c r="H54" s="400" t="n">
        <v>22338</v>
      </c>
      <c r="I54" s="400" t="n">
        <v>1252</v>
      </c>
      <c r="J54" s="400" t="n">
        <v>35330</v>
      </c>
      <c r="K54" s="401" t="n">
        <f aca="false">SUM(G54:J54)</f>
        <v>78775</v>
      </c>
      <c r="L54" s="400" t="n">
        <v>3178.2</v>
      </c>
      <c r="M54" s="400" t="n">
        <v>5751</v>
      </c>
      <c r="N54" s="400" t="n">
        <v>-2473</v>
      </c>
      <c r="O54" s="404" t="n">
        <v>2239.7</v>
      </c>
      <c r="P54" s="401" t="n">
        <f aca="false">SUM(L54:O54)</f>
        <v>8695.9</v>
      </c>
      <c r="Q54" s="404" t="n">
        <v>1500</v>
      </c>
      <c r="R54" s="404" t="n">
        <v>-731.1</v>
      </c>
      <c r="S54" s="400" t="n">
        <v>1251.9</v>
      </c>
      <c r="T54" s="405" t="n">
        <v>2051.9</v>
      </c>
      <c r="U54" s="406" t="n">
        <f aca="false">SUM(Q54:T54)</f>
        <v>4072.7</v>
      </c>
      <c r="V54" s="406" t="n">
        <v>6526</v>
      </c>
      <c r="W54" s="406" t="n">
        <v>8588</v>
      </c>
      <c r="X54" s="406" t="n">
        <v>9989</v>
      </c>
      <c r="Y54" s="406" t="n">
        <v>11230</v>
      </c>
    </row>
    <row r="55" s="111" customFormat="true" ht="12" hidden="false" customHeight="false" outlineLevel="0" collapsed="false">
      <c r="A55" s="148" t="s">
        <v>73</v>
      </c>
      <c r="B55" s="407" t="n">
        <v>3681</v>
      </c>
      <c r="C55" s="400" t="n">
        <v>4490</v>
      </c>
      <c r="D55" s="400" t="n">
        <v>6026</v>
      </c>
      <c r="E55" s="400" t="n">
        <v>4866</v>
      </c>
      <c r="F55" s="401" t="n">
        <f aca="false">SUM(C55:E55)</f>
        <v>15382</v>
      </c>
      <c r="G55" s="400" t="n">
        <v>5450</v>
      </c>
      <c r="H55" s="400" t="n">
        <v>5212</v>
      </c>
      <c r="I55" s="400" t="n">
        <v>564.5</v>
      </c>
      <c r="J55" s="400" t="n">
        <v>6877</v>
      </c>
      <c r="K55" s="401" t="n">
        <f aca="false">SUM(G55:J55)</f>
        <v>18103.5</v>
      </c>
      <c r="L55" s="400" t="n">
        <v>467.5</v>
      </c>
      <c r="M55" s="400" t="n">
        <v>539.4</v>
      </c>
      <c r="N55" s="400" t="n">
        <v>615</v>
      </c>
      <c r="O55" s="404" t="n">
        <v>639.5</v>
      </c>
      <c r="P55" s="401" t="n">
        <f aca="false">SUM(L55:O55)</f>
        <v>2261.4</v>
      </c>
      <c r="Q55" s="404" t="n">
        <v>682.4</v>
      </c>
      <c r="R55" s="404" t="n">
        <v>589.2</v>
      </c>
      <c r="S55" s="400" t="n">
        <v>638.5</v>
      </c>
      <c r="T55" s="408" t="n">
        <v>733.5</v>
      </c>
      <c r="U55" s="406" t="n">
        <f aca="false">SUM(Q55:T55)</f>
        <v>2643.6</v>
      </c>
      <c r="V55" s="406" t="n">
        <v>3000</v>
      </c>
      <c r="W55" s="406" t="n">
        <v>3456</v>
      </c>
      <c r="X55" s="406" t="n">
        <v>3887</v>
      </c>
      <c r="Y55" s="406" t="n">
        <v>4200</v>
      </c>
    </row>
    <row r="56" s="111" customFormat="true" ht="12" hidden="false" customHeight="false" outlineLevel="0" collapsed="false">
      <c r="A56" s="148" t="s">
        <v>74</v>
      </c>
      <c r="B56" s="407" t="n">
        <v>-3</v>
      </c>
      <c r="C56" s="400" t="n">
        <v>41</v>
      </c>
      <c r="D56" s="400" t="n">
        <v>5</v>
      </c>
      <c r="E56" s="400" t="n">
        <v>54</v>
      </c>
      <c r="F56" s="401" t="n">
        <f aca="false">SUM(C56:E56)</f>
        <v>100</v>
      </c>
      <c r="G56" s="400" t="n">
        <v>51</v>
      </c>
      <c r="H56" s="400" t="n">
        <v>138</v>
      </c>
      <c r="I56" s="400" t="n">
        <v>8.2</v>
      </c>
      <c r="J56" s="400" t="n">
        <v>40</v>
      </c>
      <c r="K56" s="401" t="n">
        <f aca="false">SUM(G56:J56)</f>
        <v>237.2</v>
      </c>
      <c r="L56" s="400" t="n">
        <v>12.7</v>
      </c>
      <c r="M56" s="400" t="n">
        <v>-46</v>
      </c>
      <c r="N56" s="400" t="n">
        <v>9</v>
      </c>
      <c r="O56" s="404" t="n">
        <v>-16.9</v>
      </c>
      <c r="P56" s="401" t="n">
        <f aca="false">SUM(L56:O56)</f>
        <v>-41.2</v>
      </c>
      <c r="Q56" s="404" t="n">
        <v>-10.8</v>
      </c>
      <c r="R56" s="404" t="n">
        <v>-21.4</v>
      </c>
      <c r="S56" s="400" t="n">
        <v>-39.4</v>
      </c>
      <c r="T56" s="408" t="n">
        <v>-40</v>
      </c>
      <c r="U56" s="406" t="n">
        <f aca="false">SUM(Q56:T56)</f>
        <v>-111.6</v>
      </c>
      <c r="V56" s="406" t="n">
        <v>-265</v>
      </c>
      <c r="W56" s="406" t="n">
        <v>-230</v>
      </c>
      <c r="X56" s="406" t="n">
        <v>-254</v>
      </c>
      <c r="Y56" s="406" t="n">
        <v>-109</v>
      </c>
    </row>
    <row r="57" s="111" customFormat="true" ht="12" hidden="false" customHeight="false" outlineLevel="0" collapsed="false">
      <c r="A57" s="148" t="s">
        <v>75</v>
      </c>
      <c r="B57" s="407" t="n">
        <v>0</v>
      </c>
      <c r="C57" s="400" t="n">
        <v>0</v>
      </c>
      <c r="D57" s="400" t="n">
        <v>0</v>
      </c>
      <c r="E57" s="400" t="n">
        <v>0</v>
      </c>
      <c r="F57" s="401" t="n">
        <f aca="false">SUM(B57:E57)</f>
        <v>0</v>
      </c>
      <c r="G57" s="400" t="n">
        <v>0</v>
      </c>
      <c r="H57" s="400" t="n">
        <v>-15250</v>
      </c>
      <c r="I57" s="400" t="n">
        <v>527.7</v>
      </c>
      <c r="J57" s="400" t="n">
        <v>-11282</v>
      </c>
      <c r="K57" s="401" t="n">
        <f aca="false">SUM(G57:J57)</f>
        <v>-26004.3</v>
      </c>
      <c r="L57" s="400" t="n">
        <v>374.4</v>
      </c>
      <c r="M57" s="400" t="n">
        <v>619.4</v>
      </c>
      <c r="N57" s="400" t="n">
        <v>-223.9</v>
      </c>
      <c r="O57" s="404" t="n">
        <v>-1649.7</v>
      </c>
      <c r="P57" s="401" t="n">
        <f aca="false">SUM(L57:O57)</f>
        <v>-879.8</v>
      </c>
      <c r="Q57" s="404" t="n">
        <v>-1169.9</v>
      </c>
      <c r="R57" s="404" t="n">
        <v>-280.1</v>
      </c>
      <c r="S57" s="400" t="n">
        <v>-109.5</v>
      </c>
      <c r="T57" s="408" t="n">
        <v>-100</v>
      </c>
      <c r="U57" s="406" t="n">
        <f aca="false">SUM(Q57:T57)</f>
        <v>-1659.5</v>
      </c>
      <c r="V57" s="406" t="n">
        <v>100</v>
      </c>
      <c r="W57" s="406" t="n">
        <v>380</v>
      </c>
      <c r="X57" s="406" t="n">
        <v>-215</v>
      </c>
      <c r="Y57" s="406" t="n">
        <v>-104</v>
      </c>
    </row>
    <row r="58" s="111" customFormat="true" ht="12" hidden="false" customHeight="false" outlineLevel="0" collapsed="false">
      <c r="A58" s="178" t="s">
        <v>76</v>
      </c>
      <c r="B58" s="409" t="n">
        <f aca="false">SUM(B51:B57)</f>
        <v>85994</v>
      </c>
      <c r="C58" s="410" t="n">
        <f aca="false">SUM(C51:C57)</f>
        <v>55585</v>
      </c>
      <c r="D58" s="410" t="n">
        <f aca="false">SUM(D51:D57)</f>
        <v>93935</v>
      </c>
      <c r="E58" s="410" t="n">
        <f aca="false">SUM(E51:E57)</f>
        <v>60275</v>
      </c>
      <c r="F58" s="411" t="n">
        <f aca="false">F51+F52+F53+F54+F55+F56+F57</f>
        <v>209795</v>
      </c>
      <c r="G58" s="410" t="n">
        <f aca="false">SUM(G53:G57)</f>
        <v>59661</v>
      </c>
      <c r="H58" s="410" t="n">
        <f aca="false">SUM(H51:H57)</f>
        <v>90975</v>
      </c>
      <c r="I58" s="410" t="n">
        <f aca="false">SUM(I51:I57)</f>
        <v>9183.9</v>
      </c>
      <c r="J58" s="410" t="n">
        <f aca="false">SUM(J51:J57)</f>
        <v>111715</v>
      </c>
      <c r="K58" s="411" t="n">
        <f aca="false">K51+K53+K54+K55+K56+K57</f>
        <v>310838.9</v>
      </c>
      <c r="L58" s="410" t="n">
        <f aca="false">SUM(L51:L57)</f>
        <v>13712.4</v>
      </c>
      <c r="M58" s="410" t="n">
        <f aca="false">SUM(M51:M57)</f>
        <v>15217.6</v>
      </c>
      <c r="N58" s="410" t="n">
        <f aca="false">SUM(N51:N57)</f>
        <v>3637.4</v>
      </c>
      <c r="O58" s="412" t="n">
        <f aca="false">SUM(O51:O57)</f>
        <v>9421.9</v>
      </c>
      <c r="P58" s="411" t="n">
        <f aca="false">P51+P52+P53+P54+P55+P56+P57</f>
        <v>41989.3</v>
      </c>
      <c r="Q58" s="412" t="n">
        <f aca="false">SUM(Q51:Q57)</f>
        <v>9929.3</v>
      </c>
      <c r="R58" s="412" t="n">
        <f aca="false">SUM(R51:R57)</f>
        <v>9571.4</v>
      </c>
      <c r="S58" s="410" t="n">
        <f aca="false">SUM(S51:S57)</f>
        <v>12258.7</v>
      </c>
      <c r="T58" s="413" t="n">
        <f aca="false">SUM(T51:T57)</f>
        <v>15172.1</v>
      </c>
      <c r="U58" s="414" t="n">
        <f aca="false">U51+U52+U53+U54+U55+U56+U57</f>
        <v>46931.5</v>
      </c>
      <c r="V58" s="414" t="n">
        <f aca="false">SUM(V51:V57)</f>
        <v>57565</v>
      </c>
      <c r="W58" s="414" t="n">
        <f aca="false">SUM(W51:W57)</f>
        <v>65674</v>
      </c>
      <c r="X58" s="414" t="n">
        <f aca="false">SUM(X51:X57)</f>
        <v>72641</v>
      </c>
      <c r="Y58" s="414" t="n">
        <f aca="false">SUM(Y51:Y57)</f>
        <v>81413</v>
      </c>
    </row>
    <row r="59" s="111" customFormat="true" ht="12" hidden="false" customHeight="false" outlineLevel="0" collapsed="false">
      <c r="A59" s="148" t="s">
        <v>157</v>
      </c>
      <c r="B59" s="407" t="n">
        <v>2880</v>
      </c>
      <c r="C59" s="400" t="n">
        <v>2912</v>
      </c>
      <c r="D59" s="400" t="n">
        <v>2705</v>
      </c>
      <c r="E59" s="400" t="n">
        <v>2211</v>
      </c>
      <c r="F59" s="401" t="n">
        <f aca="false">SUM(B59:E59)</f>
        <v>10708</v>
      </c>
      <c r="G59" s="400" t="n">
        <v>2040</v>
      </c>
      <c r="H59" s="400" t="n">
        <v>2009</v>
      </c>
      <c r="I59" s="400" t="n">
        <v>-195.5</v>
      </c>
      <c r="J59" s="400" t="n">
        <v>1953</v>
      </c>
      <c r="K59" s="401" t="n">
        <f aca="false">SUM(G59:J59)</f>
        <v>5806.5</v>
      </c>
      <c r="L59" s="400" t="n">
        <v>-190.2</v>
      </c>
      <c r="M59" s="400" t="n">
        <v>-189</v>
      </c>
      <c r="N59" s="400" t="n">
        <v>-185.1</v>
      </c>
      <c r="O59" s="404" t="n">
        <v>-305.7</v>
      </c>
      <c r="P59" s="401" t="n">
        <f aca="false">SUM(L59:O59)</f>
        <v>-870</v>
      </c>
      <c r="Q59" s="404" t="n">
        <v>-179.2</v>
      </c>
      <c r="R59" s="404" t="n">
        <v>-178.5</v>
      </c>
      <c r="S59" s="400" t="n">
        <v>-142.2</v>
      </c>
      <c r="T59" s="408" t="n">
        <v>-125</v>
      </c>
      <c r="U59" s="406" t="n">
        <f aca="false">SUM(Q59:T59)</f>
        <v>-624.9</v>
      </c>
      <c r="V59" s="406" t="n">
        <v>-500</v>
      </c>
      <c r="W59" s="406" t="n">
        <v>-534</v>
      </c>
      <c r="X59" s="406" t="n">
        <v>-676</v>
      </c>
      <c r="Y59" s="406" t="n">
        <v>555</v>
      </c>
    </row>
    <row r="60" s="111" customFormat="true" ht="22.5" hidden="false" customHeight="false" outlineLevel="0" collapsed="false">
      <c r="A60" s="148" t="s">
        <v>194</v>
      </c>
      <c r="B60" s="407" t="n">
        <v>-2094</v>
      </c>
      <c r="C60" s="400" t="n">
        <v>-5706</v>
      </c>
      <c r="D60" s="400" t="n">
        <v>3446</v>
      </c>
      <c r="E60" s="400" t="n">
        <v>3457</v>
      </c>
      <c r="F60" s="401" t="n">
        <f aca="false">SUM(B60:E60)</f>
        <v>-897</v>
      </c>
      <c r="G60" s="400" t="n">
        <v>37</v>
      </c>
      <c r="H60" s="400" t="n">
        <v>0</v>
      </c>
      <c r="I60" s="400" t="n">
        <v>0</v>
      </c>
      <c r="J60" s="400" t="n">
        <v>0</v>
      </c>
      <c r="K60" s="401" t="n">
        <f aca="false">SUM(G60:J60)</f>
        <v>37</v>
      </c>
      <c r="L60" s="400" t="n">
        <v>0</v>
      </c>
      <c r="M60" s="400" t="n">
        <v>0</v>
      </c>
      <c r="N60" s="400" t="n">
        <v>0</v>
      </c>
      <c r="O60" s="404" t="n">
        <v>920.9</v>
      </c>
      <c r="P60" s="401" t="n">
        <f aca="false">SUM(L60:O60)</f>
        <v>920.9</v>
      </c>
      <c r="Q60" s="404" t="n">
        <v>120</v>
      </c>
      <c r="R60" s="404" t="n">
        <v>874.6</v>
      </c>
      <c r="S60" s="400" t="n">
        <v>436.1</v>
      </c>
      <c r="T60" s="415" t="n">
        <v>500</v>
      </c>
      <c r="U60" s="406" t="n">
        <f aca="false">SUM(Q60:T60)</f>
        <v>1930.7</v>
      </c>
      <c r="V60" s="406" t="n">
        <v>1267</v>
      </c>
      <c r="W60" s="406" t="n">
        <v>1568</v>
      </c>
      <c r="X60" s="406" t="n">
        <v>1838</v>
      </c>
      <c r="Y60" s="406" t="n">
        <v>2050</v>
      </c>
    </row>
    <row r="61" s="111" customFormat="true" ht="12.75" hidden="false" customHeight="false" outlineLevel="0" collapsed="false">
      <c r="A61" s="195" t="s">
        <v>195</v>
      </c>
      <c r="B61" s="416" t="n">
        <f aca="false">B58-B59-B60</f>
        <v>85208</v>
      </c>
      <c r="C61" s="417" t="n">
        <f aca="false">C58-C59-C60</f>
        <v>58379</v>
      </c>
      <c r="D61" s="417" t="n">
        <f aca="false">D58-D59-D60</f>
        <v>87784</v>
      </c>
      <c r="E61" s="417" t="n">
        <f aca="false">E58-E59-E60</f>
        <v>54607</v>
      </c>
      <c r="F61" s="418" t="n">
        <f aca="false">F58-F59-F60</f>
        <v>199984</v>
      </c>
      <c r="G61" s="417" t="n">
        <f aca="false">G58-G59-G60</f>
        <v>57584</v>
      </c>
      <c r="H61" s="417" t="n">
        <f aca="false">H58-H59-H60</f>
        <v>88966</v>
      </c>
      <c r="I61" s="417" t="n">
        <f aca="false">SUM(I58:I60)</f>
        <v>8988.4</v>
      </c>
      <c r="J61" s="417" t="n">
        <f aca="false">J58-J59-J60</f>
        <v>109762</v>
      </c>
      <c r="K61" s="418" t="n">
        <f aca="false">SUM(G61:J61)</f>
        <v>265300.4</v>
      </c>
      <c r="L61" s="417" t="n">
        <f aca="false">SUM(L59:L60)</f>
        <v>-190.2</v>
      </c>
      <c r="M61" s="417" t="n">
        <f aca="false">SUM(M58:M60)</f>
        <v>15028.6</v>
      </c>
      <c r="N61" s="417" t="n">
        <f aca="false">SUM(N58:N60)</f>
        <v>3452.3</v>
      </c>
      <c r="O61" s="419" t="n">
        <f aca="false">SUM(O58:O60)</f>
        <v>10037.1</v>
      </c>
      <c r="P61" s="418" t="n">
        <f aca="false">P58+P59+P60</f>
        <v>42040.2</v>
      </c>
      <c r="Q61" s="419" t="n">
        <f aca="false">Q58+Q59-Q60</f>
        <v>9630.1</v>
      </c>
      <c r="R61" s="419" t="n">
        <f aca="false">R58+R59-R60</f>
        <v>8518.3</v>
      </c>
      <c r="S61" s="417" t="n">
        <f aca="false">SUM(S58:S60)</f>
        <v>12552.6</v>
      </c>
      <c r="T61" s="420" t="n">
        <f aca="false">SUM(T58:T60)</f>
        <v>15547.1</v>
      </c>
      <c r="U61" s="421" t="n">
        <f aca="false">U58+U59+U60</f>
        <v>48237.3</v>
      </c>
      <c r="V61" s="421" t="n">
        <f aca="false">V58+V59+V60</f>
        <v>58332</v>
      </c>
      <c r="W61" s="421" t="n">
        <f aca="false">W58+W59+W60</f>
        <v>66708</v>
      </c>
      <c r="X61" s="421" t="n">
        <f aca="false">X58+X59+X60</f>
        <v>73803</v>
      </c>
      <c r="Y61" s="421" t="n">
        <f aca="false">Y58+Y59+Y60</f>
        <v>84018</v>
      </c>
    </row>
    <row r="62" s="111" customFormat="true" ht="11.25" hidden="false" customHeight="false" outlineLevel="0" collapsed="false">
      <c r="A62" s="123"/>
      <c r="B62" s="122"/>
      <c r="C62" s="122"/>
      <c r="D62" s="122"/>
      <c r="E62" s="122"/>
      <c r="F62" s="122"/>
      <c r="G62" s="122"/>
      <c r="H62" s="122"/>
      <c r="I62" s="122"/>
      <c r="J62" s="122"/>
      <c r="K62" s="122"/>
      <c r="L62" s="122"/>
      <c r="M62" s="122"/>
      <c r="N62" s="122"/>
      <c r="O62" s="123"/>
      <c r="P62" s="123"/>
      <c r="Q62" s="123"/>
      <c r="R62" s="123"/>
      <c r="S62" s="122"/>
      <c r="T62" s="123"/>
      <c r="U62" s="123"/>
      <c r="V62" s="123"/>
      <c r="W62" s="123"/>
      <c r="X62" s="123"/>
      <c r="Y62" s="123"/>
    </row>
    <row r="63" s="111" customFormat="true" ht="12" hidden="false" customHeight="false" outlineLevel="0" collapsed="false">
      <c r="A63" s="123"/>
      <c r="B63" s="122"/>
      <c r="C63" s="122"/>
      <c r="D63" s="122"/>
      <c r="E63" s="122"/>
      <c r="F63" s="122"/>
      <c r="G63" s="122"/>
      <c r="H63" s="122"/>
      <c r="I63" s="122"/>
      <c r="J63" s="122"/>
      <c r="K63" s="122"/>
      <c r="L63" s="122"/>
      <c r="M63" s="122"/>
      <c r="N63" s="122"/>
      <c r="O63" s="123"/>
      <c r="P63" s="123"/>
      <c r="Q63" s="123"/>
      <c r="R63" s="123"/>
      <c r="S63" s="122"/>
      <c r="T63" s="123"/>
      <c r="U63" s="123"/>
      <c r="V63" s="123"/>
      <c r="W63" s="123"/>
      <c r="X63" s="123"/>
      <c r="Y63" s="123"/>
    </row>
    <row r="64" s="111" customFormat="true" ht="13.5" hidden="false" customHeight="false" outlineLevel="0" collapsed="false">
      <c r="A64" s="143" t="s">
        <v>196</v>
      </c>
      <c r="B64" s="122"/>
      <c r="C64" s="122"/>
      <c r="D64" s="122"/>
      <c r="E64" s="122"/>
      <c r="F64" s="122"/>
      <c r="G64" s="122"/>
      <c r="H64" s="122"/>
      <c r="I64" s="122"/>
      <c r="J64" s="122"/>
      <c r="K64" s="122"/>
      <c r="L64" s="122"/>
      <c r="M64" s="122"/>
      <c r="N64" s="122"/>
      <c r="O64" s="123"/>
      <c r="P64" s="123"/>
      <c r="Q64" s="123"/>
      <c r="R64" s="123"/>
      <c r="S64" s="122"/>
      <c r="T64" s="123"/>
      <c r="U64" s="123"/>
      <c r="V64" s="123"/>
      <c r="W64" s="123"/>
      <c r="X64" s="123"/>
      <c r="Y64" s="123"/>
    </row>
    <row r="65" s="111" customFormat="true" ht="12" hidden="false" customHeight="false" outlineLevel="0" collapsed="false">
      <c r="A65" s="422" t="s">
        <v>69</v>
      </c>
      <c r="B65" s="423" t="n">
        <v>314687</v>
      </c>
      <c r="C65" s="345" t="n">
        <v>0</v>
      </c>
      <c r="D65" s="345" t="n">
        <v>356823</v>
      </c>
      <c r="E65" s="345" t="n">
        <v>0</v>
      </c>
      <c r="F65" s="346" t="n">
        <f aca="false">SUM(B65:E65)</f>
        <v>671510</v>
      </c>
      <c r="G65" s="345" t="n">
        <v>457797</v>
      </c>
      <c r="H65" s="345" t="n">
        <v>520280</v>
      </c>
      <c r="I65" s="345" t="n">
        <v>0</v>
      </c>
      <c r="J65" s="345" t="n">
        <v>0</v>
      </c>
      <c r="K65" s="346" t="n">
        <f aca="false">SUM(G65:J65)</f>
        <v>978077</v>
      </c>
      <c r="L65" s="345" t="n">
        <v>0</v>
      </c>
      <c r="M65" s="345" t="n">
        <v>0</v>
      </c>
      <c r="N65" s="345" t="n">
        <v>60216.6</v>
      </c>
      <c r="O65" s="344" t="n">
        <v>67949</v>
      </c>
      <c r="P65" s="346" t="n">
        <f aca="false">SUM(L65:O65)</f>
        <v>128165.6</v>
      </c>
      <c r="Q65" s="344" t="n">
        <v>0</v>
      </c>
      <c r="R65" s="344" t="n">
        <v>0</v>
      </c>
      <c r="S65" s="424" t="n">
        <v>17144.8</v>
      </c>
      <c r="T65" s="425" t="n">
        <v>19887</v>
      </c>
      <c r="U65" s="379" t="n">
        <f aca="false">SUM(Q65:T65)</f>
        <v>37031.8</v>
      </c>
      <c r="V65" s="211"/>
      <c r="W65" s="211"/>
      <c r="X65" s="211"/>
      <c r="Y65" s="211"/>
    </row>
    <row r="66" s="111" customFormat="true" ht="12" hidden="false" customHeight="false" outlineLevel="0" collapsed="false">
      <c r="A66" s="426" t="s">
        <v>71</v>
      </c>
      <c r="B66" s="427" t="n">
        <v>194855</v>
      </c>
      <c r="C66" s="211" t="n">
        <v>193493</v>
      </c>
      <c r="D66" s="211" t="n">
        <v>190702</v>
      </c>
      <c r="E66" s="211" t="n">
        <v>191284</v>
      </c>
      <c r="F66" s="428" t="n">
        <f aca="false">SUM(B66:E66)</f>
        <v>770334</v>
      </c>
      <c r="G66" s="211" t="n">
        <v>182821</v>
      </c>
      <c r="H66" s="211" t="n">
        <v>183124</v>
      </c>
      <c r="I66" s="211" t="n">
        <v>20330.5</v>
      </c>
      <c r="J66" s="211" t="n">
        <v>200207</v>
      </c>
      <c r="K66" s="428" t="n">
        <f aca="false">SUM(G66:J66)</f>
        <v>586482.5</v>
      </c>
      <c r="L66" s="211" t="n">
        <v>18856.4</v>
      </c>
      <c r="M66" s="211" t="n">
        <v>19512.3</v>
      </c>
      <c r="N66" s="211" t="n">
        <v>18433.1</v>
      </c>
      <c r="O66" s="111" t="n">
        <v>19918.3</v>
      </c>
      <c r="P66" s="428" t="n">
        <f aca="false">SUM(L66:O66)</f>
        <v>76720.1</v>
      </c>
      <c r="Q66" s="111" t="n">
        <v>18737.9</v>
      </c>
      <c r="R66" s="111" t="n">
        <v>18359.4</v>
      </c>
      <c r="S66" s="429" t="n">
        <v>9274.3</v>
      </c>
      <c r="T66" s="430" t="n">
        <v>10987</v>
      </c>
      <c r="U66" s="379" t="n">
        <f aca="false">SUM(Q66:T66)</f>
        <v>57358.6</v>
      </c>
      <c r="V66" s="211"/>
      <c r="W66" s="211"/>
      <c r="X66" s="211"/>
      <c r="Y66" s="211"/>
    </row>
    <row r="67" s="111" customFormat="true" ht="12" hidden="false" customHeight="false" outlineLevel="0" collapsed="false">
      <c r="A67" s="426" t="s">
        <v>72</v>
      </c>
      <c r="B67" s="427" t="n">
        <v>113110</v>
      </c>
      <c r="C67" s="211" t="n">
        <v>100718</v>
      </c>
      <c r="D67" s="211" t="n">
        <v>102180</v>
      </c>
      <c r="E67" s="211" t="n">
        <v>89700</v>
      </c>
      <c r="F67" s="428" t="n">
        <f aca="false">SUM(B67:E67)</f>
        <v>405708</v>
      </c>
      <c r="G67" s="211" t="n">
        <v>101411</v>
      </c>
      <c r="H67" s="211" t="n">
        <v>108037</v>
      </c>
      <c r="I67" s="211" t="n">
        <v>9357.1</v>
      </c>
      <c r="J67" s="211" t="n">
        <v>103522</v>
      </c>
      <c r="K67" s="428" t="n">
        <f aca="false">SUM(G67:J67)</f>
        <v>322327.1</v>
      </c>
      <c r="L67" s="211" t="n">
        <v>11581</v>
      </c>
      <c r="M67" s="211" t="n">
        <v>11593.5</v>
      </c>
      <c r="N67" s="211" t="n">
        <v>7791.2</v>
      </c>
      <c r="O67" s="111" t="n">
        <v>12155.6</v>
      </c>
      <c r="P67" s="428" t="n">
        <f aca="false">SUM(L67:O67)</f>
        <v>43121.3</v>
      </c>
      <c r="Q67" s="111" t="n">
        <v>10886.3</v>
      </c>
      <c r="R67" s="111" t="n">
        <v>7302.7</v>
      </c>
      <c r="S67" s="429" t="n">
        <v>176.2</v>
      </c>
      <c r="T67" s="430" t="n">
        <v>6785</v>
      </c>
      <c r="U67" s="379" t="n">
        <f aca="false">SUM(Q67:T67)</f>
        <v>25150.2</v>
      </c>
      <c r="V67" s="211"/>
      <c r="W67" s="211"/>
      <c r="X67" s="211"/>
      <c r="Y67" s="211"/>
    </row>
    <row r="68" s="111" customFormat="true" ht="12" hidden="false" customHeight="false" outlineLevel="0" collapsed="false">
      <c r="A68" s="426" t="s">
        <v>70</v>
      </c>
      <c r="B68" s="427" t="n">
        <v>0</v>
      </c>
      <c r="C68" s="211" t="n">
        <v>348145</v>
      </c>
      <c r="D68" s="211" t="n">
        <v>0</v>
      </c>
      <c r="E68" s="211" t="n">
        <v>370113</v>
      </c>
      <c r="F68" s="428" t="n">
        <f aca="false">SUM(B68:E68)</f>
        <v>718258</v>
      </c>
      <c r="G68" s="211" t="n">
        <v>0</v>
      </c>
      <c r="H68" s="211" t="n">
        <v>0</v>
      </c>
      <c r="I68" s="211" t="n">
        <v>52394.8</v>
      </c>
      <c r="J68" s="211" t="n">
        <v>541615</v>
      </c>
      <c r="K68" s="428" t="n">
        <f aca="false">SUM(G68:J68)</f>
        <v>594009.8</v>
      </c>
      <c r="L68" s="211" t="n">
        <v>56944.6</v>
      </c>
      <c r="M68" s="211" t="n">
        <v>57307.7</v>
      </c>
      <c r="N68" s="211" t="n">
        <v>0</v>
      </c>
      <c r="O68" s="111" t="n">
        <v>0</v>
      </c>
      <c r="P68" s="428" t="n">
        <f aca="false">SUM(L68:O68)</f>
        <v>114252.3</v>
      </c>
      <c r="Q68" s="111" t="n">
        <v>61582.8</v>
      </c>
      <c r="R68" s="111" t="n">
        <v>66150.5</v>
      </c>
      <c r="S68" s="429" t="n">
        <v>66245</v>
      </c>
      <c r="T68" s="430" t="n">
        <v>67543</v>
      </c>
      <c r="U68" s="379" t="n">
        <f aca="false">SUM(Q68:T68)</f>
        <v>261521.3</v>
      </c>
      <c r="V68" s="211"/>
      <c r="W68" s="211"/>
      <c r="X68" s="211"/>
      <c r="Y68" s="211"/>
    </row>
    <row r="69" s="111" customFormat="true" ht="12" hidden="false" customHeight="false" outlineLevel="0" collapsed="false">
      <c r="A69" s="426" t="s">
        <v>75</v>
      </c>
      <c r="B69" s="427" t="n">
        <v>0</v>
      </c>
      <c r="C69" s="211" t="n">
        <v>0</v>
      </c>
      <c r="D69" s="211" t="n">
        <v>0</v>
      </c>
      <c r="E69" s="211" t="n">
        <v>0</v>
      </c>
      <c r="F69" s="428" t="n">
        <f aca="false">SUM(B69:E69)</f>
        <v>0</v>
      </c>
      <c r="G69" s="211" t="n">
        <v>0</v>
      </c>
      <c r="H69" s="211" t="n">
        <v>385851</v>
      </c>
      <c r="I69" s="211" t="n">
        <v>0</v>
      </c>
      <c r="J69" s="211" t="n">
        <v>380383</v>
      </c>
      <c r="K69" s="428" t="n">
        <f aca="false">SUM(G69:J69)</f>
        <v>766234</v>
      </c>
      <c r="L69" s="211" t="n">
        <v>67516.8</v>
      </c>
      <c r="M69" s="211" t="n">
        <v>76518.4</v>
      </c>
      <c r="N69" s="211" t="n">
        <v>81004.4</v>
      </c>
      <c r="O69" s="111" t="n">
        <v>-1042.3</v>
      </c>
      <c r="P69" s="428" t="n">
        <f aca="false">SUM(L69:O69)</f>
        <v>223997.3</v>
      </c>
      <c r="Q69" s="111" t="n">
        <v>-938.9</v>
      </c>
      <c r="R69" s="111" t="n">
        <v>-792.8</v>
      </c>
      <c r="S69" s="429" t="n">
        <v>94070.9</v>
      </c>
      <c r="T69" s="431" t="n">
        <v>77755</v>
      </c>
      <c r="U69" s="379" t="n">
        <f aca="false">SUM(Q69:T69)</f>
        <v>170094.2</v>
      </c>
      <c r="V69" s="211"/>
      <c r="W69" s="211"/>
      <c r="X69" s="211"/>
      <c r="Y69" s="211"/>
    </row>
    <row r="70" s="111" customFormat="true" ht="12" hidden="false" customHeight="false" outlineLevel="0" collapsed="false">
      <c r="A70" s="426" t="s">
        <v>73</v>
      </c>
      <c r="B70" s="427" t="n">
        <v>109001</v>
      </c>
      <c r="C70" s="211" t="n">
        <v>107365</v>
      </c>
      <c r="D70" s="211" t="n">
        <v>106716</v>
      </c>
      <c r="E70" s="211" t="n">
        <v>105095</v>
      </c>
      <c r="F70" s="428" t="n">
        <f aca="false">SUM(B70:E70)</f>
        <v>428177</v>
      </c>
      <c r="G70" s="211" t="n">
        <v>102776</v>
      </c>
      <c r="H70" s="211" t="n">
        <v>101090</v>
      </c>
      <c r="I70" s="211" t="n">
        <v>9966.6</v>
      </c>
      <c r="J70" s="211" t="n">
        <v>98831</v>
      </c>
      <c r="K70" s="428" t="n">
        <f aca="false">SUM(G70:J70)</f>
        <v>312663.6</v>
      </c>
      <c r="L70" s="211" t="n">
        <v>9526.5</v>
      </c>
      <c r="M70" s="211" t="n">
        <v>9510.3</v>
      </c>
      <c r="N70" s="211" t="n">
        <v>9408.8</v>
      </c>
      <c r="O70" s="111" t="n">
        <v>9526.3</v>
      </c>
      <c r="P70" s="428" t="n">
        <f aca="false">SUM(L70:O70)</f>
        <v>37971.9</v>
      </c>
      <c r="Q70" s="111" t="n">
        <v>8934.1</v>
      </c>
      <c r="R70" s="111" t="n">
        <v>8935.2</v>
      </c>
      <c r="S70" s="429" t="n">
        <v>8507.4</v>
      </c>
      <c r="T70" s="430" t="n">
        <v>8655</v>
      </c>
      <c r="U70" s="379" t="n">
        <f aca="false">SUM(Q70:T70)</f>
        <v>35031.7</v>
      </c>
      <c r="V70" s="211"/>
      <c r="W70" s="211"/>
      <c r="X70" s="211"/>
      <c r="Y70" s="211"/>
    </row>
    <row r="71" s="111" customFormat="true" ht="12" hidden="false" customHeight="false" outlineLevel="0" collapsed="false">
      <c r="A71" s="426" t="s">
        <v>74</v>
      </c>
      <c r="B71" s="427" t="n">
        <v>3055</v>
      </c>
      <c r="C71" s="211" t="n">
        <v>3078</v>
      </c>
      <c r="D71" s="211" t="n">
        <v>2934</v>
      </c>
      <c r="E71" s="211" t="n">
        <v>4745</v>
      </c>
      <c r="F71" s="428" t="n">
        <f aca="false">SUM(B71:E71)</f>
        <v>13812</v>
      </c>
      <c r="G71" s="211" t="n">
        <v>4427</v>
      </c>
      <c r="H71" s="211" t="n">
        <v>4335</v>
      </c>
      <c r="I71" s="211" t="n">
        <v>406.9</v>
      </c>
      <c r="J71" s="211" t="n">
        <v>3732</v>
      </c>
      <c r="K71" s="428" t="n">
        <f aca="false">SUM(G71:J71)</f>
        <v>12900.9</v>
      </c>
      <c r="L71" s="211" t="n">
        <v>358.7</v>
      </c>
      <c r="M71" s="211" t="n">
        <v>279</v>
      </c>
      <c r="N71" s="211" t="n">
        <v>301.3</v>
      </c>
      <c r="O71" s="111" t="n">
        <v>301.7</v>
      </c>
      <c r="P71" s="428" t="n">
        <f aca="false">SUM(L71:O71)</f>
        <v>1240.7</v>
      </c>
      <c r="Q71" s="111" t="n">
        <v>259</v>
      </c>
      <c r="R71" s="111" t="n">
        <v>238.2</v>
      </c>
      <c r="S71" s="429" t="n">
        <v>-860.7</v>
      </c>
      <c r="T71" s="432" t="n">
        <v>250</v>
      </c>
      <c r="U71" s="379" t="n">
        <f aca="false">SUM(Q71:T71)</f>
        <v>-113.5</v>
      </c>
      <c r="V71" s="211"/>
      <c r="W71" s="211"/>
      <c r="X71" s="211"/>
      <c r="Y71" s="211"/>
    </row>
    <row r="72" s="111" customFormat="true" ht="12" hidden="false" customHeight="false" outlineLevel="0" collapsed="false">
      <c r="A72" s="433" t="s">
        <v>76</v>
      </c>
      <c r="B72" s="434" t="n">
        <f aca="false">SUM(B65:B71)</f>
        <v>734708</v>
      </c>
      <c r="C72" s="435" t="n">
        <f aca="false">SUM(C66:C71)</f>
        <v>752799</v>
      </c>
      <c r="D72" s="435" t="n">
        <f aca="false">SUM(D65:D71)</f>
        <v>759355</v>
      </c>
      <c r="E72" s="435" t="n">
        <f aca="false">SUM(E65:E71)</f>
        <v>760937</v>
      </c>
      <c r="F72" s="436" t="n">
        <f aca="false">F65+F66+F67+F68+F69+F70+F71</f>
        <v>3007799</v>
      </c>
      <c r="G72" s="435" t="n">
        <f aca="false">SUM(G65:G71)</f>
        <v>849232</v>
      </c>
      <c r="H72" s="435" t="n">
        <f aca="false">SUM(H65:H71)</f>
        <v>1302717</v>
      </c>
      <c r="I72" s="435" t="n">
        <f aca="false">SUM(I65:I71)</f>
        <v>92455.9</v>
      </c>
      <c r="J72" s="435" t="n">
        <f aca="false">SUM(J65:J71)</f>
        <v>1328290</v>
      </c>
      <c r="K72" s="436" t="n">
        <f aca="false">K65+K66+K67+K68+K69+K70+K71</f>
        <v>3572694.9</v>
      </c>
      <c r="L72" s="435" t="n">
        <f aca="false">SUM(L66:L71)</f>
        <v>164784</v>
      </c>
      <c r="M72" s="435" t="n">
        <f aca="false">SUM(M66:M71)</f>
        <v>174721.2</v>
      </c>
      <c r="N72" s="435" t="n">
        <f aca="false">SUM(N65:N71)</f>
        <v>177155.4</v>
      </c>
      <c r="O72" s="385" t="n">
        <f aca="false">SUM(O65:O71)</f>
        <v>108808.6</v>
      </c>
      <c r="P72" s="436" t="n">
        <f aca="false">P65+P66+P67+P68+P69+P70+P71</f>
        <v>625469.2</v>
      </c>
      <c r="Q72" s="385" t="n">
        <f aca="false">SUM(Q65:Q71)</f>
        <v>99461.2</v>
      </c>
      <c r="R72" s="385" t="n">
        <f aca="false">SUM(R65:R71)</f>
        <v>100193.2</v>
      </c>
      <c r="S72" s="437" t="n">
        <f aca="false">SUM(S65:S71)</f>
        <v>194557.9</v>
      </c>
      <c r="T72" s="430" t="n">
        <f aca="false">SUM(T65:T71)</f>
        <v>191862</v>
      </c>
      <c r="U72" s="379" t="n">
        <f aca="false">SUM(Q72:T72)</f>
        <v>586074.3</v>
      </c>
      <c r="V72" s="211"/>
      <c r="W72" s="211"/>
      <c r="X72" s="211"/>
      <c r="Y72" s="211"/>
    </row>
    <row r="73" s="111" customFormat="true" ht="11.25" hidden="false" customHeight="false" outlineLevel="0" collapsed="false">
      <c r="A73" s="426" t="s">
        <v>197</v>
      </c>
      <c r="B73" s="427" t="n">
        <v>0</v>
      </c>
      <c r="C73" s="211" t="n">
        <v>0</v>
      </c>
      <c r="D73" s="211" t="n">
        <v>0</v>
      </c>
      <c r="E73" s="211" t="n">
        <v>0</v>
      </c>
      <c r="F73" s="428" t="n">
        <f aca="false">SUM(B73:E73)</f>
        <v>0</v>
      </c>
      <c r="G73" s="211" t="n">
        <v>0</v>
      </c>
      <c r="H73" s="211" t="n">
        <v>0</v>
      </c>
      <c r="I73" s="211" t="n">
        <v>41099.5</v>
      </c>
      <c r="J73" s="211" t="n">
        <v>0</v>
      </c>
      <c r="K73" s="428" t="n">
        <f aca="false">SUM(G73:J73)</f>
        <v>41099.5</v>
      </c>
      <c r="L73" s="211" t="n">
        <v>0</v>
      </c>
      <c r="M73" s="211" t="n">
        <v>0</v>
      </c>
      <c r="N73" s="211" t="n">
        <v>0</v>
      </c>
      <c r="O73" s="111" t="n">
        <v>64148.3</v>
      </c>
      <c r="P73" s="428" t="n">
        <f aca="false">SUM(L73:O73)</f>
        <v>64148.3</v>
      </c>
      <c r="Q73" s="111" t="n">
        <v>79778.5</v>
      </c>
      <c r="R73" s="111" t="n">
        <v>87698.3</v>
      </c>
      <c r="S73" s="429" t="n">
        <v>0</v>
      </c>
      <c r="T73" s="438" t="n">
        <v>0</v>
      </c>
      <c r="U73" s="379" t="n">
        <f aca="false">SUM(Q73:T73)</f>
        <v>167476.8</v>
      </c>
      <c r="V73" s="211"/>
      <c r="W73" s="211"/>
      <c r="X73" s="211"/>
      <c r="Y73" s="211"/>
    </row>
    <row r="74" s="111" customFormat="true" ht="12" hidden="false" customHeight="false" outlineLevel="0" collapsed="false">
      <c r="A74" s="439" t="s">
        <v>76</v>
      </c>
      <c r="B74" s="434" t="n">
        <f aca="false">SUM(B72:B73)</f>
        <v>734708</v>
      </c>
      <c r="C74" s="435" t="n">
        <f aca="false">SUM(C72:C73)</f>
        <v>752799</v>
      </c>
      <c r="D74" s="435" t="n">
        <f aca="false">SUM(D72:D73)</f>
        <v>759355</v>
      </c>
      <c r="E74" s="435" t="n">
        <f aca="false">SUM(E72:E73)</f>
        <v>760937</v>
      </c>
      <c r="F74" s="436" t="n">
        <f aca="false">B74+C74+D74+E74</f>
        <v>3007799</v>
      </c>
      <c r="G74" s="435" t="n">
        <f aca="false">G72+G73</f>
        <v>849232</v>
      </c>
      <c r="H74" s="435" t="n">
        <f aca="false">SUM(H72:H73)</f>
        <v>1302717</v>
      </c>
      <c r="I74" s="435" t="n">
        <f aca="false">SUM(I72:I73)</f>
        <v>133555.4</v>
      </c>
      <c r="J74" s="435" t="n">
        <f aca="false">SUM(J72:J73)</f>
        <v>1328290</v>
      </c>
      <c r="K74" s="436" t="n">
        <f aca="false">K72+K73</f>
        <v>3613794.4</v>
      </c>
      <c r="L74" s="435" t="n">
        <f aca="false">SUM(L72:L73)</f>
        <v>164784</v>
      </c>
      <c r="M74" s="435" t="n">
        <f aca="false">SUM(M72:M73)</f>
        <v>174721.2</v>
      </c>
      <c r="N74" s="435" t="n">
        <f aca="false">SUM(N72:N73)</f>
        <v>177155.4</v>
      </c>
      <c r="O74" s="385" t="n">
        <f aca="false">SUM(O72:O73)</f>
        <v>172956.9</v>
      </c>
      <c r="P74" s="436" t="n">
        <f aca="false">P72+P73</f>
        <v>689617.5</v>
      </c>
      <c r="Q74" s="385" t="n">
        <f aca="false">SUM(Q72:Q73)</f>
        <v>179239.7</v>
      </c>
      <c r="R74" s="385" t="n">
        <f aca="false">SUM(R72:R73)</f>
        <v>187891.5</v>
      </c>
      <c r="S74" s="437" t="n">
        <f aca="false">SUM(S72:S73)</f>
        <v>194557.9</v>
      </c>
      <c r="T74" s="440" t="n">
        <f aca="false">SUM(T72:T73)</f>
        <v>191862</v>
      </c>
      <c r="U74" s="441" t="n">
        <f aca="false">SUM(U72:U73)</f>
        <v>753551.1</v>
      </c>
      <c r="V74" s="442" t="n">
        <v>763900</v>
      </c>
      <c r="W74" s="442" t="n">
        <v>163850</v>
      </c>
      <c r="X74" s="442" t="n">
        <v>148640</v>
      </c>
      <c r="Y74" s="442" t="n">
        <v>458000</v>
      </c>
    </row>
    <row r="75" s="111" customFormat="true" ht="11.25" hidden="false" customHeight="false" outlineLevel="0" collapsed="false">
      <c r="A75" s="123"/>
      <c r="B75" s="427"/>
      <c r="C75" s="211"/>
      <c r="D75" s="211"/>
      <c r="E75" s="211"/>
      <c r="F75" s="428"/>
      <c r="G75" s="211"/>
      <c r="H75" s="211"/>
      <c r="I75" s="211"/>
      <c r="J75" s="211"/>
      <c r="K75" s="428"/>
      <c r="L75" s="211"/>
      <c r="M75" s="211"/>
      <c r="N75" s="211"/>
      <c r="P75" s="428"/>
      <c r="S75" s="429"/>
      <c r="T75" s="443"/>
      <c r="U75" s="444"/>
      <c r="V75" s="211"/>
      <c r="W75" s="211"/>
      <c r="X75" s="211"/>
      <c r="Y75" s="211"/>
    </row>
    <row r="76" s="111" customFormat="true" ht="15.75" hidden="false" customHeight="false" outlineLevel="0" collapsed="false">
      <c r="A76" s="445"/>
      <c r="B76" s="446"/>
      <c r="C76" s="447"/>
      <c r="D76" s="447"/>
      <c r="E76" s="447"/>
      <c r="F76" s="448"/>
      <c r="G76" s="447"/>
      <c r="H76" s="447"/>
      <c r="I76" s="447"/>
      <c r="J76" s="447"/>
      <c r="K76" s="448"/>
      <c r="L76" s="447"/>
      <c r="M76" s="447"/>
      <c r="N76" s="447"/>
      <c r="O76" s="449"/>
      <c r="P76" s="448"/>
      <c r="Q76" s="449"/>
      <c r="R76" s="449"/>
      <c r="S76" s="450"/>
      <c r="T76" s="451"/>
      <c r="U76" s="452"/>
      <c r="V76" s="211"/>
      <c r="W76" s="211"/>
      <c r="X76" s="211"/>
      <c r="Y76" s="211"/>
    </row>
    <row r="77" s="111" customFormat="true" ht="11.25" hidden="false" customHeight="false" outlineLevel="0" collapsed="false">
      <c r="A77" s="123"/>
      <c r="B77" s="122"/>
      <c r="C77" s="122"/>
      <c r="D77" s="122"/>
      <c r="E77" s="122"/>
      <c r="F77" s="122"/>
      <c r="G77" s="122"/>
      <c r="H77" s="122"/>
      <c r="I77" s="122"/>
      <c r="J77" s="122"/>
      <c r="K77" s="122"/>
      <c r="L77" s="122"/>
      <c r="M77" s="122"/>
      <c r="N77" s="122"/>
      <c r="O77" s="123"/>
      <c r="P77" s="123"/>
      <c r="Q77" s="123"/>
      <c r="R77" s="123"/>
      <c r="S77" s="123"/>
      <c r="T77" s="123"/>
      <c r="U77" s="123"/>
      <c r="V77" s="123"/>
      <c r="W77" s="123"/>
      <c r="X77" s="123"/>
      <c r="Y77" s="123"/>
    </row>
    <row r="78" customFormat="false" ht="12.75" hidden="false" customHeight="false" outlineLevel="0" collapsed="false">
      <c r="A78" s="29"/>
      <c r="F78" s="122"/>
    </row>
    <row r="79" customFormat="false" ht="11.25" hidden="false" customHeight="false" outlineLevel="0" collapsed="false">
      <c r="F79" s="122"/>
    </row>
    <row r="80" customFormat="false" ht="11.25" hidden="false" customHeight="false" outlineLevel="0" collapsed="false">
      <c r="F80" s="122"/>
    </row>
    <row r="81" customFormat="false" ht="11.25" hidden="false" customHeight="false" outlineLevel="0" collapsed="false">
      <c r="F81" s="122"/>
    </row>
    <row r="82" customFormat="false" ht="11.25" hidden="false" customHeight="false" outlineLevel="0" collapsed="false">
      <c r="F82" s="122"/>
    </row>
    <row r="83" customFormat="false" ht="11.25" hidden="false" customHeight="false" outlineLevel="0" collapsed="false">
      <c r="F83" s="122"/>
    </row>
    <row r="84" customFormat="false" ht="11.25" hidden="false" customHeight="false" outlineLevel="0" collapsed="false">
      <c r="F84" s="122"/>
    </row>
    <row r="85" customFormat="false" ht="11.25" hidden="false" customHeight="false" outlineLevel="0" collapsed="false">
      <c r="F85" s="122"/>
    </row>
    <row r="86" customFormat="false" ht="11.25" hidden="false" customHeight="false" outlineLevel="0" collapsed="false">
      <c r="F86" s="122"/>
    </row>
    <row r="87" customFormat="false" ht="11.25" hidden="false" customHeight="false" outlineLevel="0" collapsed="false">
      <c r="F87" s="122"/>
    </row>
    <row r="88" customFormat="false" ht="11.25" hidden="false" customHeight="false" outlineLevel="0" collapsed="false">
      <c r="F88" s="122"/>
    </row>
    <row r="89" customFormat="false" ht="11.25" hidden="false" customHeight="false" outlineLevel="0" collapsed="false">
      <c r="F89" s="122"/>
    </row>
    <row r="90" customFormat="false" ht="11.25" hidden="false" customHeight="false" outlineLevel="0" collapsed="false">
      <c r="F90" s="122"/>
    </row>
    <row r="91" customFormat="false" ht="11.25" hidden="false" customHeight="false" outlineLevel="0" collapsed="false">
      <c r="F91" s="122"/>
    </row>
    <row r="92" customFormat="false" ht="11.25" hidden="false" customHeight="false" outlineLevel="0" collapsed="false">
      <c r="F92" s="122"/>
    </row>
    <row r="93" customFormat="false" ht="11.25" hidden="false" customHeight="false" outlineLevel="0" collapsed="false">
      <c r="F93" s="122"/>
    </row>
    <row r="94" customFormat="false" ht="11.25" hidden="false" customHeight="false" outlineLevel="0" collapsed="false">
      <c r="F94" s="122"/>
    </row>
    <row r="95" customFormat="false" ht="11.25" hidden="false" customHeight="false" outlineLevel="0" collapsed="false">
      <c r="F95" s="122"/>
    </row>
    <row r="96" customFormat="false" ht="11.25" hidden="false" customHeight="false" outlineLevel="0" collapsed="false">
      <c r="F96" s="122"/>
    </row>
    <row r="97" customFormat="false" ht="11.25" hidden="false" customHeight="false" outlineLevel="0" collapsed="false">
      <c r="F97" s="122"/>
    </row>
    <row r="98" customFormat="false" ht="11.25" hidden="false" customHeight="false" outlineLevel="0" collapsed="false">
      <c r="F98" s="122"/>
    </row>
    <row r="99" customFormat="false" ht="11.25" hidden="false" customHeight="false" outlineLevel="0" collapsed="false">
      <c r="F99" s="122"/>
    </row>
    <row r="100" customFormat="false" ht="11.25" hidden="false" customHeight="false" outlineLevel="0" collapsed="false">
      <c r="F100" s="122"/>
    </row>
    <row r="101" customFormat="false" ht="11.25" hidden="false" customHeight="false" outlineLevel="0" collapsed="false">
      <c r="F101" s="122"/>
    </row>
    <row r="102" customFormat="false" ht="11.25" hidden="false" customHeight="false" outlineLevel="0" collapsed="false">
      <c r="F102" s="122"/>
    </row>
    <row r="103" customFormat="false" ht="11.25" hidden="false" customHeight="false" outlineLevel="0" collapsed="false">
      <c r="F103" s="122"/>
    </row>
    <row r="104" customFormat="false" ht="11.25" hidden="false" customHeight="false" outlineLevel="0" collapsed="false">
      <c r="F104" s="122"/>
    </row>
    <row r="105" customFormat="false" ht="11.25" hidden="false" customHeight="false" outlineLevel="0" collapsed="false">
      <c r="F105" s="122"/>
    </row>
    <row r="106" customFormat="false" ht="11.25" hidden="false" customHeight="false" outlineLevel="0" collapsed="false">
      <c r="F106" s="122"/>
    </row>
    <row r="107" customFormat="false" ht="11.25" hidden="false" customHeight="false" outlineLevel="0" collapsed="false">
      <c r="F107" s="122"/>
    </row>
    <row r="108" customFormat="false" ht="11.25" hidden="false" customHeight="false" outlineLevel="0" collapsed="false">
      <c r="F108" s="122"/>
    </row>
    <row r="109" customFormat="false" ht="11.25" hidden="false" customHeight="false" outlineLevel="0" collapsed="false">
      <c r="F109" s="122"/>
    </row>
    <row r="110" customFormat="false" ht="11.25" hidden="false" customHeight="false" outlineLevel="0" collapsed="false">
      <c r="F110" s="122"/>
    </row>
    <row r="111" customFormat="false" ht="11.25" hidden="false" customHeight="false" outlineLevel="0" collapsed="false">
      <c r="F111" s="122"/>
    </row>
    <row r="112" customFormat="false" ht="11.25" hidden="false" customHeight="false" outlineLevel="0" collapsed="false">
      <c r="F112" s="122"/>
    </row>
    <row r="113" customFormat="false" ht="11.25" hidden="false" customHeight="false" outlineLevel="0" collapsed="false">
      <c r="F113" s="122"/>
    </row>
    <row r="114" customFormat="false" ht="11.25" hidden="false" customHeight="false" outlineLevel="0" collapsed="false">
      <c r="F114" s="122"/>
    </row>
    <row r="115" customFormat="false" ht="11.25" hidden="false" customHeight="false" outlineLevel="0" collapsed="false">
      <c r="F115" s="122"/>
    </row>
    <row r="116" customFormat="false" ht="11.25" hidden="false" customHeight="false" outlineLevel="0" collapsed="false">
      <c r="F116" s="122"/>
    </row>
    <row r="117" customFormat="false" ht="11.25" hidden="false" customHeight="false" outlineLevel="0" collapsed="false">
      <c r="F117" s="122"/>
    </row>
    <row r="118" customFormat="false" ht="11.25" hidden="false" customHeight="false" outlineLevel="0" collapsed="false">
      <c r="F118" s="122"/>
    </row>
    <row r="119" customFormat="false" ht="11.25" hidden="false" customHeight="false" outlineLevel="0" collapsed="false">
      <c r="F119" s="122"/>
    </row>
    <row r="120" customFormat="false" ht="11.25" hidden="false" customHeight="false" outlineLevel="0" collapsed="false">
      <c r="F120" s="122"/>
    </row>
    <row r="121" customFormat="false" ht="11.25" hidden="false" customHeight="false" outlineLevel="0" collapsed="false">
      <c r="F121" s="122"/>
    </row>
    <row r="122" customFormat="false" ht="11.25" hidden="false" customHeight="false" outlineLevel="0" collapsed="false">
      <c r="F122" s="122"/>
    </row>
    <row r="123" customFormat="false" ht="11.25" hidden="false" customHeight="false" outlineLevel="0" collapsed="false">
      <c r="F123" s="122"/>
    </row>
    <row r="124" customFormat="false" ht="11.25" hidden="false" customHeight="false" outlineLevel="0" collapsed="false">
      <c r="F124" s="122"/>
    </row>
    <row r="125" customFormat="false" ht="11.25" hidden="false" customHeight="false" outlineLevel="0" collapsed="false">
      <c r="F125" s="122"/>
    </row>
    <row r="126" customFormat="false" ht="11.25" hidden="false" customHeight="false" outlineLevel="0" collapsed="false">
      <c r="F126" s="122"/>
    </row>
    <row r="127" customFormat="false" ht="11.25" hidden="false" customHeight="false" outlineLevel="0" collapsed="false">
      <c r="F127" s="122"/>
    </row>
    <row r="128" customFormat="false" ht="11.25" hidden="false" customHeight="false" outlineLevel="0" collapsed="false">
      <c r="F128" s="122"/>
    </row>
    <row r="129" customFormat="false" ht="11.25" hidden="false" customHeight="false" outlineLevel="0" collapsed="false">
      <c r="F129" s="122"/>
    </row>
    <row r="130" customFormat="false" ht="11.25" hidden="false" customHeight="false" outlineLevel="0" collapsed="false">
      <c r="F130" s="122"/>
    </row>
    <row r="131" customFormat="false" ht="11.25" hidden="false" customHeight="false" outlineLevel="0" collapsed="false">
      <c r="F131" s="122"/>
    </row>
    <row r="132" customFormat="false" ht="11.25" hidden="false" customHeight="false" outlineLevel="0" collapsed="false">
      <c r="F132" s="122"/>
    </row>
    <row r="133" customFormat="false" ht="11.25" hidden="false" customHeight="false" outlineLevel="0" collapsed="false">
      <c r="F133" s="122"/>
    </row>
    <row r="134" customFormat="false" ht="11.25" hidden="false" customHeight="false" outlineLevel="0" collapsed="false">
      <c r="F134" s="122"/>
    </row>
    <row r="135" customFormat="false" ht="11.25" hidden="false" customHeight="false" outlineLevel="0" collapsed="false">
      <c r="F135" s="122"/>
    </row>
    <row r="136" customFormat="false" ht="11.25" hidden="false" customHeight="false" outlineLevel="0" collapsed="false">
      <c r="F136" s="122"/>
    </row>
    <row r="137" customFormat="false" ht="11.25" hidden="false" customHeight="false" outlineLevel="0" collapsed="false">
      <c r="F137" s="122"/>
    </row>
    <row r="138" customFormat="false" ht="11.25" hidden="false" customHeight="false" outlineLevel="0" collapsed="false">
      <c r="F138" s="122"/>
    </row>
    <row r="139" customFormat="false" ht="11.25" hidden="false" customHeight="false" outlineLevel="0" collapsed="false">
      <c r="F139" s="122"/>
    </row>
    <row r="140" customFormat="false" ht="11.25" hidden="false" customHeight="false" outlineLevel="0" collapsed="false">
      <c r="F140" s="122"/>
    </row>
    <row r="141" customFormat="false" ht="11.25" hidden="false" customHeight="false" outlineLevel="0" collapsed="false">
      <c r="F141" s="122"/>
    </row>
    <row r="142" customFormat="false" ht="11.25" hidden="false" customHeight="false" outlineLevel="0" collapsed="false">
      <c r="F142" s="122"/>
    </row>
    <row r="143" customFormat="false" ht="11.25" hidden="false" customHeight="false" outlineLevel="0" collapsed="false">
      <c r="F143" s="122"/>
    </row>
    <row r="144" customFormat="false" ht="11.25" hidden="false" customHeight="false" outlineLevel="0" collapsed="false">
      <c r="F144" s="122"/>
    </row>
    <row r="145" customFormat="false" ht="11.25" hidden="false" customHeight="false" outlineLevel="0" collapsed="false">
      <c r="F145" s="122"/>
    </row>
    <row r="146" customFormat="false" ht="11.25" hidden="false" customHeight="false" outlineLevel="0" collapsed="false">
      <c r="F146" s="122"/>
    </row>
    <row r="147" customFormat="false" ht="11.25" hidden="false" customHeight="false" outlineLevel="0" collapsed="false">
      <c r="F147" s="122"/>
    </row>
    <row r="148" customFormat="false" ht="11.25" hidden="false" customHeight="false" outlineLevel="0" collapsed="false">
      <c r="F148" s="122"/>
    </row>
    <row r="149" customFormat="false" ht="11.25" hidden="false" customHeight="false" outlineLevel="0" collapsed="false">
      <c r="F149" s="122"/>
    </row>
    <row r="150" customFormat="false" ht="11.25" hidden="false" customHeight="false" outlineLevel="0" collapsed="false">
      <c r="F150" s="122"/>
    </row>
    <row r="151" customFormat="false" ht="11.25" hidden="false" customHeight="false" outlineLevel="0" collapsed="false">
      <c r="F151" s="122"/>
    </row>
    <row r="152" customFormat="false" ht="11.25" hidden="false" customHeight="false" outlineLevel="0" collapsed="false">
      <c r="F152" s="122"/>
    </row>
    <row r="153" customFormat="false" ht="11.25" hidden="false" customHeight="false" outlineLevel="0" collapsed="false">
      <c r="F153" s="122"/>
    </row>
    <row r="154" customFormat="false" ht="11.25" hidden="false" customHeight="false" outlineLevel="0" collapsed="false">
      <c r="F154" s="122"/>
    </row>
    <row r="155" customFormat="false" ht="11.25" hidden="false" customHeight="false" outlineLevel="0" collapsed="false">
      <c r="F155" s="122"/>
    </row>
    <row r="156" customFormat="false" ht="11.25" hidden="false" customHeight="false" outlineLevel="0" collapsed="false">
      <c r="F156" s="122"/>
    </row>
    <row r="157" customFormat="false" ht="11.25" hidden="false" customHeight="false" outlineLevel="0" collapsed="false">
      <c r="F157" s="122"/>
    </row>
    <row r="158" customFormat="false" ht="11.25" hidden="false" customHeight="false" outlineLevel="0" collapsed="false">
      <c r="F158" s="122"/>
    </row>
    <row r="159" customFormat="false" ht="11.25" hidden="false" customHeight="false" outlineLevel="0" collapsed="false">
      <c r="F159" s="122"/>
    </row>
    <row r="160" customFormat="false" ht="11.25" hidden="false" customHeight="false" outlineLevel="0" collapsed="false">
      <c r="F160" s="122"/>
    </row>
    <row r="161" customFormat="false" ht="11.25" hidden="false" customHeight="false" outlineLevel="0" collapsed="false">
      <c r="F161" s="122"/>
    </row>
    <row r="162" customFormat="false" ht="11.25" hidden="false" customHeight="false" outlineLevel="0" collapsed="false">
      <c r="F162" s="122"/>
    </row>
    <row r="163" customFormat="false" ht="11.25" hidden="false" customHeight="false" outlineLevel="0" collapsed="false">
      <c r="F163" s="122"/>
    </row>
    <row r="164" customFormat="false" ht="11.25" hidden="false" customHeight="false" outlineLevel="0" collapsed="false">
      <c r="F164" s="122"/>
    </row>
    <row r="165" customFormat="false" ht="11.25" hidden="false" customHeight="false" outlineLevel="0" collapsed="false">
      <c r="F165" s="122"/>
    </row>
    <row r="166" customFormat="false" ht="11.25" hidden="false" customHeight="false" outlineLevel="0" collapsed="false">
      <c r="F166" s="122"/>
    </row>
    <row r="167" customFormat="false" ht="11.25" hidden="false" customHeight="false" outlineLevel="0" collapsed="false">
      <c r="F167" s="122"/>
    </row>
    <row r="168" customFormat="false" ht="11.25" hidden="false" customHeight="false" outlineLevel="0" collapsed="false">
      <c r="F168" s="122"/>
    </row>
    <row r="169" customFormat="false" ht="11.25" hidden="false" customHeight="false" outlineLevel="0" collapsed="false">
      <c r="F169" s="122"/>
    </row>
    <row r="170" customFormat="false" ht="11.25" hidden="false" customHeight="false" outlineLevel="0" collapsed="false">
      <c r="F170" s="122"/>
    </row>
    <row r="171" customFormat="false" ht="11.25" hidden="false" customHeight="false" outlineLevel="0" collapsed="false">
      <c r="F171" s="122"/>
    </row>
    <row r="172" customFormat="false" ht="11.25" hidden="false" customHeight="false" outlineLevel="0" collapsed="false">
      <c r="F172" s="122"/>
    </row>
    <row r="173" customFormat="false" ht="11.25" hidden="false" customHeight="false" outlineLevel="0" collapsed="false">
      <c r="F173" s="122"/>
    </row>
    <row r="174" customFormat="false" ht="11.25" hidden="false" customHeight="false" outlineLevel="0" collapsed="false">
      <c r="F174" s="122"/>
    </row>
    <row r="175" customFormat="false" ht="11.25" hidden="false" customHeight="false" outlineLevel="0" collapsed="false">
      <c r="F175" s="122"/>
    </row>
    <row r="176" customFormat="false" ht="11.25" hidden="false" customHeight="false" outlineLevel="0" collapsed="false">
      <c r="F176" s="122"/>
    </row>
    <row r="177" customFormat="false" ht="11.25" hidden="false" customHeight="false" outlineLevel="0" collapsed="false">
      <c r="F177" s="122"/>
    </row>
    <row r="178" customFormat="false" ht="11.25" hidden="false" customHeight="false" outlineLevel="0" collapsed="false">
      <c r="F178" s="122"/>
    </row>
    <row r="179" customFormat="false" ht="11.25" hidden="false" customHeight="false" outlineLevel="0" collapsed="false">
      <c r="F179" s="122"/>
    </row>
    <row r="180" customFormat="false" ht="11.25" hidden="false" customHeight="false" outlineLevel="0" collapsed="false">
      <c r="F180" s="122"/>
    </row>
    <row r="181" customFormat="false" ht="11.25" hidden="false" customHeight="false" outlineLevel="0" collapsed="false">
      <c r="F181" s="122"/>
    </row>
    <row r="182" customFormat="false" ht="11.25" hidden="false" customHeight="false" outlineLevel="0" collapsed="false">
      <c r="F182" s="122"/>
    </row>
    <row r="183" customFormat="false" ht="11.25" hidden="false" customHeight="false" outlineLevel="0" collapsed="false">
      <c r="F183" s="122"/>
    </row>
    <row r="184" customFormat="false" ht="11.25" hidden="false" customHeight="false" outlineLevel="0" collapsed="false">
      <c r="F184" s="122"/>
    </row>
    <row r="185" customFormat="false" ht="11.25" hidden="false" customHeight="false" outlineLevel="0" collapsed="false">
      <c r="F185" s="122"/>
    </row>
    <row r="186" customFormat="false" ht="11.25" hidden="false" customHeight="false" outlineLevel="0" collapsed="false">
      <c r="F186" s="122"/>
    </row>
    <row r="187" customFormat="false" ht="11.25" hidden="false" customHeight="false" outlineLevel="0" collapsed="false">
      <c r="F187" s="122"/>
    </row>
    <row r="188" customFormat="false" ht="11.25" hidden="false" customHeight="false" outlineLevel="0" collapsed="false">
      <c r="F188" s="122"/>
    </row>
    <row r="189" customFormat="false" ht="11.25" hidden="false" customHeight="false" outlineLevel="0" collapsed="false">
      <c r="F189" s="122"/>
    </row>
    <row r="190" customFormat="false" ht="11.25" hidden="false" customHeight="false" outlineLevel="0" collapsed="false">
      <c r="F190" s="122"/>
    </row>
    <row r="191" customFormat="false" ht="11.25" hidden="false" customHeight="false" outlineLevel="0" collapsed="false">
      <c r="F191" s="122"/>
    </row>
    <row r="192" customFormat="false" ht="11.25" hidden="false" customHeight="false" outlineLevel="0" collapsed="false">
      <c r="F192" s="122"/>
    </row>
    <row r="193" customFormat="false" ht="11.25" hidden="false" customHeight="false" outlineLevel="0" collapsed="false">
      <c r="F193" s="122"/>
    </row>
    <row r="194" customFormat="false" ht="11.25" hidden="false" customHeight="false" outlineLevel="0" collapsed="false">
      <c r="F194" s="122"/>
    </row>
    <row r="195" customFormat="false" ht="11.25" hidden="false" customHeight="false" outlineLevel="0" collapsed="false">
      <c r="F195" s="122"/>
    </row>
    <row r="196" customFormat="false" ht="11.25" hidden="false" customHeight="false" outlineLevel="0" collapsed="false">
      <c r="F196" s="122"/>
    </row>
    <row r="197" customFormat="false" ht="11.25" hidden="false" customHeight="false" outlineLevel="0" collapsed="false">
      <c r="F197" s="122"/>
    </row>
    <row r="198" customFormat="false" ht="11.25" hidden="false" customHeight="false" outlineLevel="0" collapsed="false">
      <c r="F198" s="122"/>
    </row>
    <row r="199" customFormat="false" ht="11.25" hidden="false" customHeight="false" outlineLevel="0" collapsed="false">
      <c r="F199" s="122"/>
    </row>
    <row r="200" customFormat="false" ht="11.25" hidden="false" customHeight="false" outlineLevel="0" collapsed="false">
      <c r="F200" s="122"/>
    </row>
    <row r="201" customFormat="false" ht="11.25" hidden="false" customHeight="false" outlineLevel="0" collapsed="false">
      <c r="F201" s="122"/>
    </row>
    <row r="202" customFormat="false" ht="11.25" hidden="false" customHeight="false" outlineLevel="0" collapsed="false">
      <c r="F202" s="122"/>
    </row>
    <row r="203" customFormat="false" ht="11.25" hidden="false" customHeight="false" outlineLevel="0" collapsed="false">
      <c r="F203" s="122"/>
    </row>
    <row r="204" customFormat="false" ht="11.25" hidden="false" customHeight="false" outlineLevel="0" collapsed="false">
      <c r="F204" s="122"/>
    </row>
    <row r="205" customFormat="false" ht="11.25" hidden="false" customHeight="false" outlineLevel="0" collapsed="false">
      <c r="F205" s="122"/>
    </row>
    <row r="206" customFormat="false" ht="11.25" hidden="false" customHeight="false" outlineLevel="0" collapsed="false">
      <c r="F206" s="122"/>
    </row>
    <row r="207" customFormat="false" ht="11.25" hidden="false" customHeight="false" outlineLevel="0" collapsed="false">
      <c r="F207" s="122"/>
    </row>
    <row r="208" customFormat="false" ht="11.25" hidden="false" customHeight="false" outlineLevel="0" collapsed="false">
      <c r="F208" s="122"/>
    </row>
    <row r="209" customFormat="false" ht="11.25" hidden="false" customHeight="false" outlineLevel="0" collapsed="false">
      <c r="F209" s="122"/>
    </row>
    <row r="210" customFormat="false" ht="11.25" hidden="false" customHeight="false" outlineLevel="0" collapsed="false">
      <c r="F210" s="122"/>
    </row>
    <row r="211" customFormat="false" ht="11.25" hidden="false" customHeight="false" outlineLevel="0" collapsed="false">
      <c r="F211" s="122"/>
    </row>
    <row r="212" customFormat="false" ht="11.25" hidden="false" customHeight="false" outlineLevel="0" collapsed="false">
      <c r="F212" s="122"/>
    </row>
    <row r="213" customFormat="false" ht="11.25" hidden="false" customHeight="false" outlineLevel="0" collapsed="false">
      <c r="F213" s="122"/>
    </row>
    <row r="214" customFormat="false" ht="11.25" hidden="false" customHeight="false" outlineLevel="0" collapsed="false">
      <c r="F214" s="122"/>
    </row>
    <row r="215" customFormat="false" ht="11.25" hidden="false" customHeight="false" outlineLevel="0" collapsed="false">
      <c r="F215" s="122"/>
    </row>
    <row r="216" customFormat="false" ht="11.25" hidden="false" customHeight="false" outlineLevel="0" collapsed="false">
      <c r="F216" s="122"/>
    </row>
    <row r="217" customFormat="false" ht="11.25" hidden="false" customHeight="false" outlineLevel="0" collapsed="false">
      <c r="F217" s="122"/>
    </row>
    <row r="218" customFormat="false" ht="11.25" hidden="false" customHeight="false" outlineLevel="0" collapsed="false">
      <c r="F218" s="122"/>
    </row>
    <row r="219" customFormat="false" ht="11.25" hidden="false" customHeight="false" outlineLevel="0" collapsed="false">
      <c r="F219" s="122"/>
    </row>
    <row r="220" customFormat="false" ht="11.25" hidden="false" customHeight="false" outlineLevel="0" collapsed="false">
      <c r="F220" s="122"/>
    </row>
    <row r="221" customFormat="false" ht="11.25" hidden="false" customHeight="false" outlineLevel="0" collapsed="false">
      <c r="F221" s="122"/>
    </row>
    <row r="222" customFormat="false" ht="11.25" hidden="false" customHeight="false" outlineLevel="0" collapsed="false">
      <c r="F222" s="122"/>
    </row>
    <row r="223" customFormat="false" ht="11.25" hidden="false" customHeight="false" outlineLevel="0" collapsed="false">
      <c r="F223" s="122"/>
    </row>
    <row r="224" customFormat="false" ht="11.25" hidden="false" customHeight="false" outlineLevel="0" collapsed="false">
      <c r="F224" s="122"/>
    </row>
    <row r="225" customFormat="false" ht="11.25" hidden="false" customHeight="false" outlineLevel="0" collapsed="false">
      <c r="F225" s="122"/>
    </row>
    <row r="226" customFormat="false" ht="11.25" hidden="false" customHeight="false" outlineLevel="0" collapsed="false">
      <c r="F226" s="122"/>
    </row>
    <row r="227" customFormat="false" ht="11.25" hidden="false" customHeight="false" outlineLevel="0" collapsed="false">
      <c r="F227" s="122"/>
    </row>
    <row r="228" customFormat="false" ht="11.25" hidden="false" customHeight="false" outlineLevel="0" collapsed="false">
      <c r="F228" s="122"/>
    </row>
    <row r="229" customFormat="false" ht="11.25" hidden="false" customHeight="false" outlineLevel="0" collapsed="false">
      <c r="F229" s="122"/>
    </row>
    <row r="230" customFormat="false" ht="11.25" hidden="false" customHeight="false" outlineLevel="0" collapsed="false">
      <c r="F230" s="122"/>
    </row>
    <row r="231" customFormat="false" ht="11.25" hidden="false" customHeight="false" outlineLevel="0" collapsed="false">
      <c r="F231" s="122"/>
    </row>
    <row r="232" customFormat="false" ht="11.25" hidden="false" customHeight="false" outlineLevel="0" collapsed="false">
      <c r="F232" s="122"/>
    </row>
    <row r="233" customFormat="false" ht="11.25" hidden="false" customHeight="false" outlineLevel="0" collapsed="false">
      <c r="F233" s="122"/>
    </row>
    <row r="234" customFormat="false" ht="11.25" hidden="false" customHeight="false" outlineLevel="0" collapsed="false">
      <c r="F234" s="122"/>
    </row>
    <row r="235" customFormat="false" ht="11.25" hidden="false" customHeight="false" outlineLevel="0" collapsed="false">
      <c r="F235" s="122"/>
    </row>
    <row r="236" customFormat="false" ht="11.25" hidden="false" customHeight="false" outlineLevel="0" collapsed="false">
      <c r="F236" s="122"/>
    </row>
    <row r="237" customFormat="false" ht="11.25" hidden="false" customHeight="false" outlineLevel="0" collapsed="false">
      <c r="F237" s="122"/>
    </row>
    <row r="238" customFormat="false" ht="11.25" hidden="false" customHeight="false" outlineLevel="0" collapsed="false">
      <c r="F238" s="122"/>
    </row>
    <row r="239" customFormat="false" ht="11.25" hidden="false" customHeight="false" outlineLevel="0" collapsed="false">
      <c r="F239" s="122"/>
    </row>
    <row r="240" customFormat="false" ht="11.25" hidden="false" customHeight="false" outlineLevel="0" collapsed="false">
      <c r="F240" s="122"/>
    </row>
    <row r="241" customFormat="false" ht="11.25" hidden="false" customHeight="false" outlineLevel="0" collapsed="false">
      <c r="F241" s="122"/>
    </row>
    <row r="242" customFormat="false" ht="11.25" hidden="false" customHeight="false" outlineLevel="0" collapsed="false">
      <c r="F242" s="122"/>
    </row>
    <row r="243" customFormat="false" ht="11.25" hidden="false" customHeight="false" outlineLevel="0" collapsed="false">
      <c r="F243" s="122"/>
    </row>
    <row r="244" customFormat="false" ht="11.25" hidden="false" customHeight="false" outlineLevel="0" collapsed="false">
      <c r="F244" s="122"/>
    </row>
    <row r="245" customFormat="false" ht="11.25" hidden="false" customHeight="false" outlineLevel="0" collapsed="false">
      <c r="F245" s="122"/>
    </row>
    <row r="246" customFormat="false" ht="11.25" hidden="false" customHeight="false" outlineLevel="0" collapsed="false">
      <c r="F246" s="122"/>
    </row>
    <row r="247" customFormat="false" ht="11.25" hidden="false" customHeight="false" outlineLevel="0" collapsed="false">
      <c r="F247" s="122"/>
    </row>
    <row r="248" customFormat="false" ht="11.25" hidden="false" customHeight="false" outlineLevel="0" collapsed="false">
      <c r="F248" s="122"/>
    </row>
    <row r="249" customFormat="false" ht="11.25" hidden="false" customHeight="false" outlineLevel="0" collapsed="false">
      <c r="F249" s="122"/>
    </row>
    <row r="250" customFormat="false" ht="11.25" hidden="false" customHeight="false" outlineLevel="0" collapsed="false">
      <c r="F250" s="122"/>
    </row>
    <row r="251" customFormat="false" ht="11.25" hidden="false" customHeight="false" outlineLevel="0" collapsed="false">
      <c r="F251" s="122"/>
    </row>
    <row r="252" customFormat="false" ht="11.25" hidden="false" customHeight="false" outlineLevel="0" collapsed="false">
      <c r="F252" s="122"/>
    </row>
    <row r="253" customFormat="false" ht="11.25" hidden="false" customHeight="false" outlineLevel="0" collapsed="false">
      <c r="F253" s="122"/>
    </row>
    <row r="254" customFormat="false" ht="11.25" hidden="false" customHeight="false" outlineLevel="0" collapsed="false">
      <c r="F254" s="122"/>
    </row>
    <row r="255" customFormat="false" ht="11.25" hidden="false" customHeight="false" outlineLevel="0" collapsed="false">
      <c r="F255" s="122"/>
    </row>
    <row r="256" customFormat="false" ht="11.25" hidden="false" customHeight="false" outlineLevel="0" collapsed="false">
      <c r="F256" s="122"/>
    </row>
    <row r="257" customFormat="false" ht="11.25" hidden="false" customHeight="false" outlineLevel="0" collapsed="false">
      <c r="F257" s="122"/>
    </row>
    <row r="258" customFormat="false" ht="11.25" hidden="false" customHeight="false" outlineLevel="0" collapsed="false">
      <c r="F258" s="122"/>
    </row>
    <row r="259" customFormat="false" ht="11.25" hidden="false" customHeight="false" outlineLevel="0" collapsed="false">
      <c r="F259" s="122"/>
    </row>
    <row r="260" customFormat="false" ht="11.25" hidden="false" customHeight="false" outlineLevel="0" collapsed="false">
      <c r="F260" s="122"/>
    </row>
    <row r="261" customFormat="false" ht="11.25" hidden="false" customHeight="false" outlineLevel="0" collapsed="false">
      <c r="F261" s="122"/>
    </row>
    <row r="262" customFormat="false" ht="11.25" hidden="false" customHeight="false" outlineLevel="0" collapsed="false">
      <c r="F262" s="122"/>
    </row>
    <row r="263" customFormat="false" ht="11.25" hidden="false" customHeight="false" outlineLevel="0" collapsed="false">
      <c r="F263" s="122"/>
    </row>
    <row r="264" customFormat="false" ht="11.25" hidden="false" customHeight="false" outlineLevel="0" collapsed="false">
      <c r="F264" s="122"/>
    </row>
    <row r="265" customFormat="false" ht="11.25" hidden="false" customHeight="false" outlineLevel="0" collapsed="false">
      <c r="F265" s="122"/>
    </row>
    <row r="266" customFormat="false" ht="11.25" hidden="false" customHeight="false" outlineLevel="0" collapsed="false">
      <c r="F266" s="122"/>
    </row>
    <row r="267" customFormat="false" ht="11.25" hidden="false" customHeight="false" outlineLevel="0" collapsed="false">
      <c r="F267" s="122"/>
    </row>
    <row r="268" customFormat="false" ht="11.25" hidden="false" customHeight="false" outlineLevel="0" collapsed="false">
      <c r="F268" s="122"/>
    </row>
    <row r="269" customFormat="false" ht="11.25" hidden="false" customHeight="false" outlineLevel="0" collapsed="false">
      <c r="F269" s="122"/>
    </row>
    <row r="270" customFormat="false" ht="11.25" hidden="false" customHeight="false" outlineLevel="0" collapsed="false">
      <c r="F270" s="122"/>
    </row>
    <row r="271" customFormat="false" ht="11.25" hidden="false" customHeight="false" outlineLevel="0" collapsed="false">
      <c r="F271" s="122"/>
    </row>
    <row r="272" customFormat="false" ht="11.25" hidden="false" customHeight="false" outlineLevel="0" collapsed="false">
      <c r="F272" s="122"/>
    </row>
    <row r="273" customFormat="false" ht="11.25" hidden="false" customHeight="false" outlineLevel="0" collapsed="false">
      <c r="F273" s="122"/>
    </row>
    <row r="274" customFormat="false" ht="11.25" hidden="false" customHeight="false" outlineLevel="0" collapsed="false">
      <c r="F274" s="122"/>
    </row>
    <row r="275" customFormat="false" ht="11.25" hidden="false" customHeight="false" outlineLevel="0" collapsed="false">
      <c r="F275" s="122"/>
    </row>
    <row r="276" customFormat="false" ht="11.25" hidden="false" customHeight="false" outlineLevel="0" collapsed="false">
      <c r="F276" s="122"/>
    </row>
    <row r="277" customFormat="false" ht="11.25" hidden="false" customHeight="false" outlineLevel="0" collapsed="false">
      <c r="F277" s="122"/>
    </row>
    <row r="278" customFormat="false" ht="11.25" hidden="false" customHeight="false" outlineLevel="0" collapsed="false">
      <c r="F278" s="122"/>
    </row>
    <row r="279" customFormat="false" ht="11.25" hidden="false" customHeight="false" outlineLevel="0" collapsed="false">
      <c r="F279" s="122"/>
    </row>
    <row r="280" customFormat="false" ht="11.25" hidden="false" customHeight="false" outlineLevel="0" collapsed="false">
      <c r="F280" s="122"/>
    </row>
    <row r="281" customFormat="false" ht="11.25" hidden="false" customHeight="false" outlineLevel="0" collapsed="false">
      <c r="F281" s="122"/>
    </row>
    <row r="282" customFormat="false" ht="11.25" hidden="false" customHeight="false" outlineLevel="0" collapsed="false">
      <c r="F282" s="122"/>
    </row>
    <row r="283" customFormat="false" ht="11.25" hidden="false" customHeight="false" outlineLevel="0" collapsed="false">
      <c r="F283" s="122"/>
    </row>
    <row r="284" customFormat="false" ht="11.25" hidden="false" customHeight="false" outlineLevel="0" collapsed="false">
      <c r="F284" s="122"/>
    </row>
    <row r="285" customFormat="false" ht="11.25" hidden="false" customHeight="false" outlineLevel="0" collapsed="false">
      <c r="F285" s="122"/>
    </row>
    <row r="286" customFormat="false" ht="11.25" hidden="false" customHeight="false" outlineLevel="0" collapsed="false">
      <c r="F286" s="122"/>
    </row>
    <row r="287" customFormat="false" ht="11.25" hidden="false" customHeight="false" outlineLevel="0" collapsed="false">
      <c r="F287" s="122"/>
    </row>
    <row r="288" customFormat="false" ht="11.25" hidden="false" customHeight="false" outlineLevel="0" collapsed="false">
      <c r="F288" s="122"/>
    </row>
    <row r="289" customFormat="false" ht="11.25" hidden="false" customHeight="false" outlineLevel="0" collapsed="false">
      <c r="F289" s="122"/>
    </row>
    <row r="290" customFormat="false" ht="11.25" hidden="false" customHeight="false" outlineLevel="0" collapsed="false">
      <c r="F290" s="122"/>
    </row>
    <row r="291" customFormat="false" ht="11.25" hidden="false" customHeight="false" outlineLevel="0" collapsed="false">
      <c r="F291" s="122"/>
    </row>
    <row r="292" customFormat="false" ht="11.25" hidden="false" customHeight="false" outlineLevel="0" collapsed="false">
      <c r="F292" s="122"/>
    </row>
    <row r="293" customFormat="false" ht="11.25" hidden="false" customHeight="false" outlineLevel="0" collapsed="false">
      <c r="F293" s="122"/>
    </row>
    <row r="294" customFormat="false" ht="11.25" hidden="false" customHeight="false" outlineLevel="0" collapsed="false">
      <c r="F294" s="122"/>
    </row>
    <row r="295" customFormat="false" ht="11.25" hidden="false" customHeight="false" outlineLevel="0" collapsed="false">
      <c r="F295" s="122"/>
    </row>
    <row r="296" customFormat="false" ht="11.25" hidden="false" customHeight="false" outlineLevel="0" collapsed="false">
      <c r="F296" s="122"/>
    </row>
    <row r="297" customFormat="false" ht="11.25" hidden="false" customHeight="false" outlineLevel="0" collapsed="false">
      <c r="F297" s="122"/>
    </row>
    <row r="298" customFormat="false" ht="11.25" hidden="false" customHeight="false" outlineLevel="0" collapsed="false">
      <c r="F298" s="122"/>
    </row>
    <row r="299" customFormat="false" ht="11.25" hidden="false" customHeight="false" outlineLevel="0" collapsed="false">
      <c r="F299" s="122"/>
    </row>
    <row r="300" customFormat="false" ht="11.25" hidden="false" customHeight="false" outlineLevel="0" collapsed="false">
      <c r="F300" s="122"/>
    </row>
    <row r="301" customFormat="false" ht="11.25" hidden="false" customHeight="false" outlineLevel="0" collapsed="false">
      <c r="F301" s="122"/>
    </row>
    <row r="302" customFormat="false" ht="11.25" hidden="false" customHeight="false" outlineLevel="0" collapsed="false">
      <c r="F302" s="122"/>
    </row>
    <row r="303" customFormat="false" ht="11.25" hidden="false" customHeight="false" outlineLevel="0" collapsed="false">
      <c r="F303" s="122"/>
    </row>
    <row r="304" customFormat="false" ht="11.25" hidden="false" customHeight="false" outlineLevel="0" collapsed="false">
      <c r="F304" s="122"/>
    </row>
    <row r="305" customFormat="false" ht="11.25" hidden="false" customHeight="false" outlineLevel="0" collapsed="false">
      <c r="F305" s="122"/>
    </row>
    <row r="306" customFormat="false" ht="11.25" hidden="false" customHeight="false" outlineLevel="0" collapsed="false">
      <c r="F306" s="122"/>
    </row>
    <row r="307" customFormat="false" ht="11.25" hidden="false" customHeight="false" outlineLevel="0" collapsed="false">
      <c r="F307" s="122"/>
    </row>
    <row r="308" customFormat="false" ht="11.25" hidden="false" customHeight="false" outlineLevel="0" collapsed="false">
      <c r="F308" s="122"/>
    </row>
    <row r="309" customFormat="false" ht="11.25" hidden="false" customHeight="false" outlineLevel="0" collapsed="false">
      <c r="F309" s="122"/>
    </row>
    <row r="310" customFormat="false" ht="11.25" hidden="false" customHeight="false" outlineLevel="0" collapsed="false">
      <c r="F310" s="122"/>
    </row>
    <row r="311" customFormat="false" ht="11.25" hidden="false" customHeight="false" outlineLevel="0" collapsed="false">
      <c r="F311" s="122"/>
    </row>
    <row r="312" customFormat="false" ht="11.25" hidden="false" customHeight="false" outlineLevel="0" collapsed="false">
      <c r="F312" s="122"/>
    </row>
    <row r="313" customFormat="false" ht="11.25" hidden="false" customHeight="false" outlineLevel="0" collapsed="false">
      <c r="F313" s="122"/>
    </row>
    <row r="314" customFormat="false" ht="11.25" hidden="false" customHeight="false" outlineLevel="0" collapsed="false">
      <c r="F314" s="122"/>
    </row>
    <row r="315" customFormat="false" ht="11.25" hidden="false" customHeight="false" outlineLevel="0" collapsed="false">
      <c r="F315" s="122"/>
    </row>
    <row r="316" customFormat="false" ht="11.25" hidden="false" customHeight="false" outlineLevel="0" collapsed="false">
      <c r="F316" s="122"/>
    </row>
    <row r="317" customFormat="false" ht="11.25" hidden="false" customHeight="false" outlineLevel="0" collapsed="false">
      <c r="F317" s="122"/>
    </row>
    <row r="318" customFormat="false" ht="11.25" hidden="false" customHeight="false" outlineLevel="0" collapsed="false">
      <c r="F318" s="122"/>
    </row>
    <row r="319" customFormat="false" ht="11.25" hidden="false" customHeight="false" outlineLevel="0" collapsed="false">
      <c r="F319" s="122"/>
    </row>
    <row r="320" customFormat="false" ht="11.25" hidden="false" customHeight="false" outlineLevel="0" collapsed="false">
      <c r="F320" s="122"/>
    </row>
    <row r="321" customFormat="false" ht="11.25" hidden="false" customHeight="false" outlineLevel="0" collapsed="false">
      <c r="F321" s="122"/>
    </row>
    <row r="322" customFormat="false" ht="11.25" hidden="false" customHeight="false" outlineLevel="0" collapsed="false">
      <c r="F322" s="122"/>
    </row>
    <row r="323" customFormat="false" ht="11.25" hidden="false" customHeight="false" outlineLevel="0" collapsed="false">
      <c r="F323" s="122"/>
    </row>
    <row r="324" customFormat="false" ht="11.25" hidden="false" customHeight="false" outlineLevel="0" collapsed="false">
      <c r="F324" s="122"/>
    </row>
    <row r="325" customFormat="false" ht="11.25" hidden="false" customHeight="false" outlineLevel="0" collapsed="false">
      <c r="F325" s="122"/>
    </row>
    <row r="326" customFormat="false" ht="11.25" hidden="false" customHeight="false" outlineLevel="0" collapsed="false">
      <c r="F326" s="122"/>
    </row>
    <row r="327" customFormat="false" ht="11.25" hidden="false" customHeight="false" outlineLevel="0" collapsed="false">
      <c r="F327" s="122"/>
    </row>
    <row r="328" customFormat="false" ht="11.25" hidden="false" customHeight="false" outlineLevel="0" collapsed="false">
      <c r="F328" s="122"/>
    </row>
    <row r="329" customFormat="false" ht="11.25" hidden="false" customHeight="false" outlineLevel="0" collapsed="false">
      <c r="F329" s="122"/>
    </row>
    <row r="330" customFormat="false" ht="11.25" hidden="false" customHeight="false" outlineLevel="0" collapsed="false">
      <c r="F330" s="122"/>
    </row>
    <row r="331" customFormat="false" ht="11.25" hidden="false" customHeight="false" outlineLevel="0" collapsed="false">
      <c r="F331" s="122"/>
    </row>
    <row r="332" customFormat="false" ht="11.25" hidden="false" customHeight="false" outlineLevel="0" collapsed="false">
      <c r="F332" s="122"/>
    </row>
    <row r="333" customFormat="false" ht="11.25" hidden="false" customHeight="false" outlineLevel="0" collapsed="false">
      <c r="F333" s="122"/>
    </row>
    <row r="334" customFormat="false" ht="11.25" hidden="false" customHeight="false" outlineLevel="0" collapsed="false">
      <c r="F334" s="122"/>
    </row>
    <row r="335" customFormat="false" ht="11.25" hidden="false" customHeight="false" outlineLevel="0" collapsed="false">
      <c r="F335" s="122"/>
    </row>
    <row r="336" customFormat="false" ht="11.25" hidden="false" customHeight="false" outlineLevel="0" collapsed="false">
      <c r="F336" s="122"/>
    </row>
    <row r="337" customFormat="false" ht="11.25" hidden="false" customHeight="false" outlineLevel="0" collapsed="false">
      <c r="F337" s="122"/>
    </row>
    <row r="338" customFormat="false" ht="11.25" hidden="false" customHeight="false" outlineLevel="0" collapsed="false">
      <c r="F338" s="122"/>
    </row>
    <row r="339" customFormat="false" ht="11.25" hidden="false" customHeight="false" outlineLevel="0" collapsed="false">
      <c r="F339" s="122"/>
    </row>
    <row r="340" customFormat="false" ht="11.25" hidden="false" customHeight="false" outlineLevel="0" collapsed="false">
      <c r="F340" s="122"/>
    </row>
    <row r="341" customFormat="false" ht="11.25" hidden="false" customHeight="false" outlineLevel="0" collapsed="false">
      <c r="F341" s="122"/>
    </row>
    <row r="342" customFormat="false" ht="11.25" hidden="false" customHeight="false" outlineLevel="0" collapsed="false">
      <c r="F342" s="122"/>
    </row>
    <row r="343" customFormat="false" ht="11.25" hidden="false" customHeight="false" outlineLevel="0" collapsed="false">
      <c r="F343" s="122"/>
    </row>
    <row r="344" customFormat="false" ht="11.25" hidden="false" customHeight="false" outlineLevel="0" collapsed="false">
      <c r="F344" s="122"/>
    </row>
    <row r="345" customFormat="false" ht="11.25" hidden="false" customHeight="false" outlineLevel="0" collapsed="false">
      <c r="F345" s="122"/>
    </row>
    <row r="346" customFormat="false" ht="11.25" hidden="false" customHeight="false" outlineLevel="0" collapsed="false">
      <c r="F346" s="122"/>
    </row>
    <row r="347" customFormat="false" ht="11.25" hidden="false" customHeight="false" outlineLevel="0" collapsed="false">
      <c r="F347" s="122"/>
    </row>
    <row r="348" customFormat="false" ht="11.25" hidden="false" customHeight="false" outlineLevel="0" collapsed="false">
      <c r="F348" s="122"/>
    </row>
    <row r="349" customFormat="false" ht="11.25" hidden="false" customHeight="false" outlineLevel="0" collapsed="false">
      <c r="F349" s="122"/>
    </row>
    <row r="350" customFormat="false" ht="11.25" hidden="false" customHeight="false" outlineLevel="0" collapsed="false">
      <c r="F350" s="122"/>
    </row>
    <row r="351" customFormat="false" ht="11.25" hidden="false" customHeight="false" outlineLevel="0" collapsed="false">
      <c r="F351" s="122"/>
    </row>
    <row r="352" customFormat="false" ht="11.25" hidden="false" customHeight="false" outlineLevel="0" collapsed="false">
      <c r="F352" s="122"/>
    </row>
    <row r="353" customFormat="false" ht="11.25" hidden="false" customHeight="false" outlineLevel="0" collapsed="false">
      <c r="F353" s="122"/>
    </row>
    <row r="354" customFormat="false" ht="11.25" hidden="false" customHeight="false" outlineLevel="0" collapsed="false">
      <c r="F354" s="122"/>
    </row>
    <row r="355" customFormat="false" ht="11.25" hidden="false" customHeight="false" outlineLevel="0" collapsed="false">
      <c r="F355" s="122"/>
    </row>
    <row r="356" customFormat="false" ht="11.25" hidden="false" customHeight="false" outlineLevel="0" collapsed="false">
      <c r="F356" s="122"/>
    </row>
    <row r="357" customFormat="false" ht="11.25" hidden="false" customHeight="false" outlineLevel="0" collapsed="false">
      <c r="F357" s="122"/>
    </row>
    <row r="358" customFormat="false" ht="11.25" hidden="false" customHeight="false" outlineLevel="0" collapsed="false">
      <c r="F358" s="122"/>
    </row>
    <row r="359" customFormat="false" ht="11.25" hidden="false" customHeight="false" outlineLevel="0" collapsed="false">
      <c r="F359" s="122"/>
    </row>
    <row r="360" customFormat="false" ht="11.25" hidden="false" customHeight="false" outlineLevel="0" collapsed="false">
      <c r="F360" s="122"/>
    </row>
    <row r="361" customFormat="false" ht="11.25" hidden="false" customHeight="false" outlineLevel="0" collapsed="false">
      <c r="F361" s="122"/>
    </row>
    <row r="362" customFormat="false" ht="11.25" hidden="false" customHeight="false" outlineLevel="0" collapsed="false">
      <c r="F362" s="122"/>
    </row>
    <row r="363" customFormat="false" ht="11.25" hidden="false" customHeight="false" outlineLevel="0" collapsed="false">
      <c r="F363" s="122"/>
    </row>
    <row r="364" customFormat="false" ht="11.25" hidden="false" customHeight="false" outlineLevel="0" collapsed="false">
      <c r="F364" s="122"/>
    </row>
    <row r="365" customFormat="false" ht="11.25" hidden="false" customHeight="false" outlineLevel="0" collapsed="false">
      <c r="F365" s="122"/>
    </row>
    <row r="366" customFormat="false" ht="11.25" hidden="false" customHeight="false" outlineLevel="0" collapsed="false">
      <c r="F366" s="122"/>
    </row>
    <row r="367" customFormat="false" ht="11.25" hidden="false" customHeight="false" outlineLevel="0" collapsed="false">
      <c r="F367" s="122"/>
    </row>
    <row r="368" customFormat="false" ht="11.25" hidden="false" customHeight="false" outlineLevel="0" collapsed="false">
      <c r="F368" s="122"/>
    </row>
    <row r="369" customFormat="false" ht="11.25" hidden="false" customHeight="false" outlineLevel="0" collapsed="false">
      <c r="F369" s="122"/>
    </row>
    <row r="370" customFormat="false" ht="11.25" hidden="false" customHeight="false" outlineLevel="0" collapsed="false">
      <c r="F370" s="122"/>
    </row>
    <row r="371" customFormat="false" ht="11.25" hidden="false" customHeight="false" outlineLevel="0" collapsed="false">
      <c r="F371" s="122"/>
    </row>
    <row r="372" customFormat="false" ht="11.25" hidden="false" customHeight="false" outlineLevel="0" collapsed="false">
      <c r="F372" s="122"/>
    </row>
    <row r="373" customFormat="false" ht="11.25" hidden="false" customHeight="false" outlineLevel="0" collapsed="false">
      <c r="F373" s="122"/>
    </row>
    <row r="374" customFormat="false" ht="11.25" hidden="false" customHeight="false" outlineLevel="0" collapsed="false">
      <c r="F374" s="122"/>
    </row>
    <row r="375" customFormat="false" ht="11.25" hidden="false" customHeight="false" outlineLevel="0" collapsed="false">
      <c r="F375" s="122"/>
    </row>
    <row r="376" customFormat="false" ht="11.25" hidden="false" customHeight="false" outlineLevel="0" collapsed="false">
      <c r="F376" s="122"/>
    </row>
    <row r="377" customFormat="false" ht="11.25" hidden="false" customHeight="false" outlineLevel="0" collapsed="false">
      <c r="F377" s="122"/>
    </row>
    <row r="378" customFormat="false" ht="11.25" hidden="false" customHeight="false" outlineLevel="0" collapsed="false">
      <c r="F378" s="122"/>
    </row>
    <row r="379" customFormat="false" ht="11.25" hidden="false" customHeight="false" outlineLevel="0" collapsed="false">
      <c r="F379" s="122"/>
    </row>
    <row r="380" customFormat="false" ht="11.25" hidden="false" customHeight="false" outlineLevel="0" collapsed="false">
      <c r="F380" s="122"/>
    </row>
    <row r="381" customFormat="false" ht="11.25" hidden="false" customHeight="false" outlineLevel="0" collapsed="false">
      <c r="F381" s="122"/>
    </row>
    <row r="382" customFormat="false" ht="11.25" hidden="false" customHeight="false" outlineLevel="0" collapsed="false">
      <c r="F382" s="122"/>
    </row>
    <row r="383" customFormat="false" ht="11.25" hidden="false" customHeight="false" outlineLevel="0" collapsed="false">
      <c r="F383" s="122"/>
    </row>
    <row r="384" customFormat="false" ht="11.25" hidden="false" customHeight="false" outlineLevel="0" collapsed="false">
      <c r="F384" s="122"/>
    </row>
    <row r="385" customFormat="false" ht="11.25" hidden="false" customHeight="false" outlineLevel="0" collapsed="false">
      <c r="F385" s="122"/>
    </row>
    <row r="386" customFormat="false" ht="11.25" hidden="false" customHeight="false" outlineLevel="0" collapsed="false">
      <c r="F386" s="122"/>
    </row>
    <row r="387" customFormat="false" ht="11.25" hidden="false" customHeight="false" outlineLevel="0" collapsed="false">
      <c r="F387" s="122"/>
    </row>
    <row r="388" customFormat="false" ht="11.25" hidden="false" customHeight="false" outlineLevel="0" collapsed="false">
      <c r="F388" s="122"/>
    </row>
    <row r="389" customFormat="false" ht="11.25" hidden="false" customHeight="false" outlineLevel="0" collapsed="false">
      <c r="F389" s="122"/>
    </row>
    <row r="390" customFormat="false" ht="11.25" hidden="false" customHeight="false" outlineLevel="0" collapsed="false">
      <c r="F390" s="122"/>
    </row>
    <row r="391" customFormat="false" ht="11.25" hidden="false" customHeight="false" outlineLevel="0" collapsed="false">
      <c r="F391" s="122"/>
    </row>
    <row r="392" customFormat="false" ht="11.25" hidden="false" customHeight="false" outlineLevel="0" collapsed="false">
      <c r="F392" s="122"/>
    </row>
    <row r="393" customFormat="false" ht="11.25" hidden="false" customHeight="false" outlineLevel="0" collapsed="false">
      <c r="F393" s="122"/>
    </row>
    <row r="394" customFormat="false" ht="11.25" hidden="false" customHeight="false" outlineLevel="0" collapsed="false">
      <c r="F394" s="122"/>
    </row>
    <row r="395" customFormat="false" ht="11.25" hidden="false" customHeight="false" outlineLevel="0" collapsed="false">
      <c r="F395" s="122"/>
    </row>
    <row r="396" customFormat="false" ht="11.25" hidden="false" customHeight="false" outlineLevel="0" collapsed="false">
      <c r="F396" s="122"/>
    </row>
    <row r="397" customFormat="false" ht="11.25" hidden="false" customHeight="false" outlineLevel="0" collapsed="false">
      <c r="F397" s="122"/>
    </row>
    <row r="398" customFormat="false" ht="11.25" hidden="false" customHeight="false" outlineLevel="0" collapsed="false">
      <c r="F398" s="122"/>
    </row>
    <row r="399" customFormat="false" ht="11.25" hidden="false" customHeight="false" outlineLevel="0" collapsed="false">
      <c r="F399" s="122"/>
    </row>
    <row r="400" customFormat="false" ht="11.25" hidden="false" customHeight="false" outlineLevel="0" collapsed="false">
      <c r="F400" s="122"/>
    </row>
    <row r="401" customFormat="false" ht="11.25" hidden="false" customHeight="false" outlineLevel="0" collapsed="false">
      <c r="F401" s="122"/>
    </row>
    <row r="402" customFormat="false" ht="11.25" hidden="false" customHeight="false" outlineLevel="0" collapsed="false">
      <c r="F402" s="122"/>
    </row>
    <row r="403" customFormat="false" ht="11.25" hidden="false" customHeight="false" outlineLevel="0" collapsed="false">
      <c r="F403" s="122"/>
    </row>
    <row r="404" customFormat="false" ht="11.25" hidden="false" customHeight="false" outlineLevel="0" collapsed="false">
      <c r="F404" s="122"/>
    </row>
    <row r="405" customFormat="false" ht="11.25" hidden="false" customHeight="false" outlineLevel="0" collapsed="false">
      <c r="F405" s="122"/>
    </row>
    <row r="406" customFormat="false" ht="11.25" hidden="false" customHeight="false" outlineLevel="0" collapsed="false">
      <c r="F406" s="122"/>
    </row>
    <row r="407" customFormat="false" ht="11.25" hidden="false" customHeight="false" outlineLevel="0" collapsed="false">
      <c r="F407" s="122"/>
    </row>
    <row r="408" customFormat="false" ht="11.25" hidden="false" customHeight="false" outlineLevel="0" collapsed="false">
      <c r="F408" s="122"/>
    </row>
    <row r="409" customFormat="false" ht="11.25" hidden="false" customHeight="false" outlineLevel="0" collapsed="false">
      <c r="F409" s="122"/>
    </row>
    <row r="410" customFormat="false" ht="11.25" hidden="false" customHeight="false" outlineLevel="0" collapsed="false">
      <c r="F410" s="122"/>
    </row>
    <row r="411" customFormat="false" ht="11.25" hidden="false" customHeight="false" outlineLevel="0" collapsed="false">
      <c r="F411" s="122"/>
    </row>
    <row r="412" customFormat="false" ht="11.25" hidden="false" customHeight="false" outlineLevel="0" collapsed="false">
      <c r="F412" s="122"/>
    </row>
    <row r="413" customFormat="false" ht="11.25" hidden="false" customHeight="false" outlineLevel="0" collapsed="false">
      <c r="F413" s="122"/>
    </row>
    <row r="414" customFormat="false" ht="11.25" hidden="false" customHeight="false" outlineLevel="0" collapsed="false">
      <c r="F414" s="122"/>
    </row>
    <row r="415" customFormat="false" ht="11.25" hidden="false" customHeight="false" outlineLevel="0" collapsed="false">
      <c r="F415" s="122"/>
    </row>
    <row r="416" customFormat="false" ht="11.25" hidden="false" customHeight="false" outlineLevel="0" collapsed="false">
      <c r="F416" s="122"/>
    </row>
    <row r="417" customFormat="false" ht="11.25" hidden="false" customHeight="false" outlineLevel="0" collapsed="false">
      <c r="F417" s="122"/>
    </row>
    <row r="418" customFormat="false" ht="11.25" hidden="false" customHeight="false" outlineLevel="0" collapsed="false">
      <c r="F418" s="122"/>
    </row>
    <row r="419" customFormat="false" ht="11.25" hidden="false" customHeight="false" outlineLevel="0" collapsed="false">
      <c r="F419" s="122"/>
    </row>
    <row r="420" customFormat="false" ht="11.25" hidden="false" customHeight="false" outlineLevel="0" collapsed="false">
      <c r="F420" s="122"/>
    </row>
    <row r="421" customFormat="false" ht="11.25" hidden="false" customHeight="false" outlineLevel="0" collapsed="false">
      <c r="F421" s="122"/>
    </row>
    <row r="422" customFormat="false" ht="11.25" hidden="false" customHeight="false" outlineLevel="0" collapsed="false">
      <c r="F422" s="122"/>
    </row>
    <row r="423" customFormat="false" ht="11.25" hidden="false" customHeight="false" outlineLevel="0" collapsed="false">
      <c r="F423" s="122"/>
    </row>
    <row r="424" customFormat="false" ht="11.25" hidden="false" customHeight="false" outlineLevel="0" collapsed="false">
      <c r="F424" s="122"/>
    </row>
    <row r="425" customFormat="false" ht="11.25" hidden="false" customHeight="false" outlineLevel="0" collapsed="false">
      <c r="F425" s="122"/>
    </row>
    <row r="426" customFormat="false" ht="11.25" hidden="false" customHeight="false" outlineLevel="0" collapsed="false">
      <c r="F426" s="122"/>
    </row>
    <row r="427" customFormat="false" ht="11.25" hidden="false" customHeight="false" outlineLevel="0" collapsed="false">
      <c r="F427" s="122"/>
    </row>
    <row r="428" customFormat="false" ht="11.25" hidden="false" customHeight="false" outlineLevel="0" collapsed="false">
      <c r="F428" s="122"/>
    </row>
    <row r="429" customFormat="false" ht="11.25" hidden="false" customHeight="false" outlineLevel="0" collapsed="false">
      <c r="F429" s="122"/>
    </row>
    <row r="430" customFormat="false" ht="11.25" hidden="false" customHeight="false" outlineLevel="0" collapsed="false">
      <c r="F430" s="122"/>
    </row>
    <row r="431" customFormat="false" ht="11.25" hidden="false" customHeight="false" outlineLevel="0" collapsed="false">
      <c r="F431" s="122"/>
    </row>
    <row r="432" customFormat="false" ht="11.25" hidden="false" customHeight="false" outlineLevel="0" collapsed="false">
      <c r="F432" s="122"/>
    </row>
    <row r="433" customFormat="false" ht="11.25" hidden="false" customHeight="false" outlineLevel="0" collapsed="false">
      <c r="F433" s="122"/>
    </row>
    <row r="434" customFormat="false" ht="11.25" hidden="false" customHeight="false" outlineLevel="0" collapsed="false">
      <c r="F434" s="122"/>
    </row>
    <row r="435" customFormat="false" ht="11.25" hidden="false" customHeight="false" outlineLevel="0" collapsed="false">
      <c r="F435" s="122"/>
    </row>
    <row r="436" customFormat="false" ht="11.25" hidden="false" customHeight="false" outlineLevel="0" collapsed="false">
      <c r="F436" s="122"/>
    </row>
    <row r="437" customFormat="false" ht="11.25" hidden="false" customHeight="false" outlineLevel="0" collapsed="false">
      <c r="F437" s="122"/>
    </row>
    <row r="438" customFormat="false" ht="11.25" hidden="false" customHeight="false" outlineLevel="0" collapsed="false">
      <c r="F438" s="122"/>
    </row>
    <row r="439" customFormat="false" ht="11.25" hidden="false" customHeight="false" outlineLevel="0" collapsed="false">
      <c r="F439" s="122"/>
    </row>
    <row r="440" customFormat="false" ht="11.25" hidden="false" customHeight="false" outlineLevel="0" collapsed="false">
      <c r="F440" s="122"/>
    </row>
    <row r="441" customFormat="false" ht="11.25" hidden="false" customHeight="false" outlineLevel="0" collapsed="false">
      <c r="F441" s="122"/>
    </row>
    <row r="442" customFormat="false" ht="11.25" hidden="false" customHeight="false" outlineLevel="0" collapsed="false">
      <c r="F442" s="122"/>
    </row>
    <row r="443" customFormat="false" ht="11.25" hidden="false" customHeight="false" outlineLevel="0" collapsed="false">
      <c r="F443" s="122"/>
    </row>
    <row r="444" customFormat="false" ht="11.25" hidden="false" customHeight="false" outlineLevel="0" collapsed="false">
      <c r="F444" s="122"/>
    </row>
    <row r="445" customFormat="false" ht="11.25" hidden="false" customHeight="false" outlineLevel="0" collapsed="false">
      <c r="F445" s="122"/>
    </row>
    <row r="446" customFormat="false" ht="11.25" hidden="false" customHeight="false" outlineLevel="0" collapsed="false">
      <c r="F446" s="122"/>
    </row>
    <row r="447" customFormat="false" ht="11.25" hidden="false" customHeight="false" outlineLevel="0" collapsed="false">
      <c r="F447" s="122"/>
    </row>
    <row r="448" customFormat="false" ht="11.25" hidden="false" customHeight="false" outlineLevel="0" collapsed="false">
      <c r="F448" s="122"/>
    </row>
    <row r="449" customFormat="false" ht="11.25" hidden="false" customHeight="false" outlineLevel="0" collapsed="false">
      <c r="F449" s="122"/>
    </row>
    <row r="450" customFormat="false" ht="11.25" hidden="false" customHeight="false" outlineLevel="0" collapsed="false">
      <c r="F450" s="122"/>
    </row>
    <row r="451" customFormat="false" ht="11.25" hidden="false" customHeight="false" outlineLevel="0" collapsed="false">
      <c r="F451" s="122"/>
    </row>
    <row r="452" customFormat="false" ht="11.25" hidden="false" customHeight="false" outlineLevel="0" collapsed="false">
      <c r="F452" s="122"/>
    </row>
    <row r="453" customFormat="false" ht="11.25" hidden="false" customHeight="false" outlineLevel="0" collapsed="false">
      <c r="F453" s="122"/>
    </row>
    <row r="454" customFormat="false" ht="11.25" hidden="false" customHeight="false" outlineLevel="0" collapsed="false">
      <c r="F454" s="122"/>
    </row>
    <row r="455" customFormat="false" ht="11.25" hidden="false" customHeight="false" outlineLevel="0" collapsed="false">
      <c r="F455" s="122"/>
    </row>
    <row r="456" customFormat="false" ht="11.25" hidden="false" customHeight="false" outlineLevel="0" collapsed="false">
      <c r="F456" s="122"/>
    </row>
    <row r="457" customFormat="false" ht="11.25" hidden="false" customHeight="false" outlineLevel="0" collapsed="false">
      <c r="F457" s="122"/>
    </row>
    <row r="458" customFormat="false" ht="11.25" hidden="false" customHeight="false" outlineLevel="0" collapsed="false">
      <c r="F458" s="122"/>
    </row>
    <row r="459" customFormat="false" ht="11.25" hidden="false" customHeight="false" outlineLevel="0" collapsed="false">
      <c r="F459" s="122"/>
    </row>
    <row r="460" customFormat="false" ht="11.25" hidden="false" customHeight="false" outlineLevel="0" collapsed="false">
      <c r="F460" s="122"/>
    </row>
    <row r="461" customFormat="false" ht="11.25" hidden="false" customHeight="false" outlineLevel="0" collapsed="false">
      <c r="F461" s="122"/>
    </row>
    <row r="462" customFormat="false" ht="11.25" hidden="false" customHeight="false" outlineLevel="0" collapsed="false">
      <c r="F462" s="122"/>
    </row>
    <row r="463" customFormat="false" ht="11.25" hidden="false" customHeight="false" outlineLevel="0" collapsed="false">
      <c r="F463" s="122"/>
    </row>
    <row r="464" customFormat="false" ht="11.25" hidden="false" customHeight="false" outlineLevel="0" collapsed="false">
      <c r="F464" s="122"/>
    </row>
    <row r="465" customFormat="false" ht="11.25" hidden="false" customHeight="false" outlineLevel="0" collapsed="false">
      <c r="F465" s="122"/>
    </row>
    <row r="466" customFormat="false" ht="11.25" hidden="false" customHeight="false" outlineLevel="0" collapsed="false">
      <c r="F466" s="122"/>
    </row>
    <row r="467" customFormat="false" ht="11.25" hidden="false" customHeight="false" outlineLevel="0" collapsed="false">
      <c r="F467" s="122"/>
    </row>
    <row r="468" customFormat="false" ht="11.25" hidden="false" customHeight="false" outlineLevel="0" collapsed="false">
      <c r="F468" s="122"/>
    </row>
    <row r="469" customFormat="false" ht="11.25" hidden="false" customHeight="false" outlineLevel="0" collapsed="false">
      <c r="F469" s="122"/>
    </row>
    <row r="470" customFormat="false" ht="11.25" hidden="false" customHeight="false" outlineLevel="0" collapsed="false">
      <c r="F470" s="122"/>
    </row>
    <row r="471" customFormat="false" ht="11.25" hidden="false" customHeight="false" outlineLevel="0" collapsed="false">
      <c r="F471" s="122"/>
    </row>
    <row r="472" customFormat="false" ht="11.25" hidden="false" customHeight="false" outlineLevel="0" collapsed="false">
      <c r="F472" s="122"/>
    </row>
    <row r="473" customFormat="false" ht="11.25" hidden="false" customHeight="false" outlineLevel="0" collapsed="false">
      <c r="F473" s="122"/>
    </row>
    <row r="474" customFormat="false" ht="11.25" hidden="false" customHeight="false" outlineLevel="0" collapsed="false">
      <c r="F474" s="122"/>
    </row>
    <row r="475" customFormat="false" ht="11.25" hidden="false" customHeight="false" outlineLevel="0" collapsed="false">
      <c r="F475" s="122"/>
    </row>
    <row r="476" customFormat="false" ht="11.25" hidden="false" customHeight="false" outlineLevel="0" collapsed="false">
      <c r="F476" s="122"/>
    </row>
    <row r="477" customFormat="false" ht="11.25" hidden="false" customHeight="false" outlineLevel="0" collapsed="false">
      <c r="F477" s="122"/>
    </row>
    <row r="478" customFormat="false" ht="11.25" hidden="false" customHeight="false" outlineLevel="0" collapsed="false">
      <c r="F478" s="122"/>
    </row>
    <row r="479" customFormat="false" ht="11.25" hidden="false" customHeight="false" outlineLevel="0" collapsed="false">
      <c r="F479" s="122"/>
    </row>
    <row r="480" customFormat="false" ht="11.25" hidden="false" customHeight="false" outlineLevel="0" collapsed="false">
      <c r="F480" s="122"/>
    </row>
    <row r="481" customFormat="false" ht="11.25" hidden="false" customHeight="false" outlineLevel="0" collapsed="false">
      <c r="F481" s="122"/>
    </row>
    <row r="482" customFormat="false" ht="11.25" hidden="false" customHeight="false" outlineLevel="0" collapsed="false">
      <c r="F482" s="122"/>
    </row>
    <row r="483" customFormat="false" ht="11.25" hidden="false" customHeight="false" outlineLevel="0" collapsed="false">
      <c r="F483" s="122"/>
    </row>
    <row r="484" customFormat="false" ht="11.25" hidden="false" customHeight="false" outlineLevel="0" collapsed="false">
      <c r="F484" s="122"/>
    </row>
    <row r="485" customFormat="false" ht="11.25" hidden="false" customHeight="false" outlineLevel="0" collapsed="false">
      <c r="F485" s="122"/>
    </row>
    <row r="486" customFormat="false" ht="11.25" hidden="false" customHeight="false" outlineLevel="0" collapsed="false">
      <c r="F486" s="122"/>
    </row>
    <row r="487" customFormat="false" ht="11.25" hidden="false" customHeight="false" outlineLevel="0" collapsed="false">
      <c r="F487" s="122"/>
    </row>
    <row r="488" customFormat="false" ht="11.25" hidden="false" customHeight="false" outlineLevel="0" collapsed="false">
      <c r="F488" s="122"/>
    </row>
    <row r="489" customFormat="false" ht="11.25" hidden="false" customHeight="false" outlineLevel="0" collapsed="false">
      <c r="F489" s="122"/>
    </row>
    <row r="490" customFormat="false" ht="11.25" hidden="false" customHeight="false" outlineLevel="0" collapsed="false">
      <c r="F490" s="122"/>
    </row>
    <row r="491" customFormat="false" ht="11.25" hidden="false" customHeight="false" outlineLevel="0" collapsed="false">
      <c r="F491" s="122"/>
    </row>
    <row r="492" customFormat="false" ht="11.25" hidden="false" customHeight="false" outlineLevel="0" collapsed="false">
      <c r="F492" s="122"/>
    </row>
    <row r="493" customFormat="false" ht="11.25" hidden="false" customHeight="false" outlineLevel="0" collapsed="false">
      <c r="F493" s="122"/>
    </row>
    <row r="494" customFormat="false" ht="11.25" hidden="false" customHeight="false" outlineLevel="0" collapsed="false">
      <c r="F494" s="122"/>
    </row>
    <row r="495" customFormat="false" ht="11.25" hidden="false" customHeight="false" outlineLevel="0" collapsed="false">
      <c r="F495" s="122"/>
    </row>
    <row r="496" customFormat="false" ht="11.25" hidden="false" customHeight="false" outlineLevel="0" collapsed="false">
      <c r="F496" s="122"/>
    </row>
    <row r="497" customFormat="false" ht="11.25" hidden="false" customHeight="false" outlineLevel="0" collapsed="false">
      <c r="F497" s="122"/>
    </row>
    <row r="498" customFormat="false" ht="11.25" hidden="false" customHeight="false" outlineLevel="0" collapsed="false">
      <c r="F498" s="122"/>
    </row>
    <row r="499" customFormat="false" ht="11.25" hidden="false" customHeight="false" outlineLevel="0" collapsed="false">
      <c r="F499" s="122"/>
    </row>
    <row r="500" customFormat="false" ht="11.25" hidden="false" customHeight="false" outlineLevel="0" collapsed="false">
      <c r="F500" s="122"/>
    </row>
    <row r="501" customFormat="false" ht="11.25" hidden="false" customHeight="false" outlineLevel="0" collapsed="false">
      <c r="F501" s="122"/>
    </row>
    <row r="502" customFormat="false" ht="11.25" hidden="false" customHeight="false" outlineLevel="0" collapsed="false">
      <c r="F502" s="122"/>
    </row>
    <row r="503" customFormat="false" ht="11.25" hidden="false" customHeight="false" outlineLevel="0" collapsed="false">
      <c r="F503" s="122"/>
    </row>
    <row r="504" customFormat="false" ht="11.25" hidden="false" customHeight="false" outlineLevel="0" collapsed="false">
      <c r="F504" s="122"/>
    </row>
    <row r="505" customFormat="false" ht="11.25" hidden="false" customHeight="false" outlineLevel="0" collapsed="false">
      <c r="F505" s="122"/>
    </row>
    <row r="506" customFormat="false" ht="11.25" hidden="false" customHeight="false" outlineLevel="0" collapsed="false">
      <c r="F506" s="122"/>
    </row>
    <row r="507" customFormat="false" ht="11.25" hidden="false" customHeight="false" outlineLevel="0" collapsed="false">
      <c r="F507" s="122"/>
    </row>
    <row r="508" customFormat="false" ht="11.25" hidden="false" customHeight="false" outlineLevel="0" collapsed="false">
      <c r="F508" s="122"/>
    </row>
    <row r="509" customFormat="false" ht="11.25" hidden="false" customHeight="false" outlineLevel="0" collapsed="false">
      <c r="F509" s="122"/>
    </row>
    <row r="510" customFormat="false" ht="11.25" hidden="false" customHeight="false" outlineLevel="0" collapsed="false">
      <c r="F510" s="122"/>
    </row>
    <row r="511" customFormat="false" ht="11.25" hidden="false" customHeight="false" outlineLevel="0" collapsed="false">
      <c r="F511" s="122"/>
    </row>
    <row r="512" customFormat="false" ht="11.25" hidden="false" customHeight="false" outlineLevel="0" collapsed="false">
      <c r="F512" s="122"/>
    </row>
    <row r="513" customFormat="false" ht="11.25" hidden="false" customHeight="false" outlineLevel="0" collapsed="false">
      <c r="F513" s="122"/>
    </row>
    <row r="514" customFormat="false" ht="11.25" hidden="false" customHeight="false" outlineLevel="0" collapsed="false">
      <c r="F514" s="122"/>
    </row>
    <row r="515" customFormat="false" ht="11.25" hidden="false" customHeight="false" outlineLevel="0" collapsed="false">
      <c r="F515" s="122"/>
    </row>
    <row r="516" customFormat="false" ht="11.25" hidden="false" customHeight="false" outlineLevel="0" collapsed="false">
      <c r="F516" s="122"/>
    </row>
    <row r="517" customFormat="false" ht="11.25" hidden="false" customHeight="false" outlineLevel="0" collapsed="false">
      <c r="F517" s="122"/>
    </row>
    <row r="518" customFormat="false" ht="11.25" hidden="false" customHeight="false" outlineLevel="0" collapsed="false">
      <c r="F518" s="122"/>
    </row>
    <row r="519" customFormat="false" ht="11.25" hidden="false" customHeight="false" outlineLevel="0" collapsed="false">
      <c r="F519" s="122"/>
    </row>
    <row r="520" customFormat="false" ht="11.25" hidden="false" customHeight="false" outlineLevel="0" collapsed="false">
      <c r="F520" s="122"/>
    </row>
    <row r="521" customFormat="false" ht="11.25" hidden="false" customHeight="false" outlineLevel="0" collapsed="false">
      <c r="F521" s="122"/>
    </row>
    <row r="522" customFormat="false" ht="11.25" hidden="false" customHeight="false" outlineLevel="0" collapsed="false">
      <c r="F522" s="122"/>
    </row>
    <row r="523" customFormat="false" ht="11.25" hidden="false" customHeight="false" outlineLevel="0" collapsed="false">
      <c r="F523" s="122"/>
    </row>
    <row r="524" customFormat="false" ht="11.25" hidden="false" customHeight="false" outlineLevel="0" collapsed="false">
      <c r="F524" s="122"/>
    </row>
    <row r="525" customFormat="false" ht="11.25" hidden="false" customHeight="false" outlineLevel="0" collapsed="false">
      <c r="F525" s="122"/>
    </row>
    <row r="526" customFormat="false" ht="11.25" hidden="false" customHeight="false" outlineLevel="0" collapsed="false">
      <c r="F526" s="122"/>
    </row>
    <row r="527" customFormat="false" ht="11.25" hidden="false" customHeight="false" outlineLevel="0" collapsed="false">
      <c r="F527" s="122"/>
    </row>
    <row r="528" customFormat="false" ht="11.25" hidden="false" customHeight="false" outlineLevel="0" collapsed="false">
      <c r="F528" s="122"/>
    </row>
    <row r="529" customFormat="false" ht="11.25" hidden="false" customHeight="false" outlineLevel="0" collapsed="false">
      <c r="F529" s="122"/>
    </row>
    <row r="530" customFormat="false" ht="11.25" hidden="false" customHeight="false" outlineLevel="0" collapsed="false">
      <c r="F530" s="122"/>
    </row>
    <row r="531" customFormat="false" ht="11.25" hidden="false" customHeight="false" outlineLevel="0" collapsed="false">
      <c r="F531" s="122"/>
    </row>
    <row r="532" customFormat="false" ht="11.25" hidden="false" customHeight="false" outlineLevel="0" collapsed="false">
      <c r="F532" s="122"/>
    </row>
    <row r="533" customFormat="false" ht="11.25" hidden="false" customHeight="false" outlineLevel="0" collapsed="false">
      <c r="F533" s="122"/>
    </row>
    <row r="534" customFormat="false" ht="11.25" hidden="false" customHeight="false" outlineLevel="0" collapsed="false">
      <c r="F534" s="122"/>
    </row>
    <row r="535" customFormat="false" ht="11.25" hidden="false" customHeight="false" outlineLevel="0" collapsed="false">
      <c r="F535" s="122"/>
    </row>
    <row r="536" customFormat="false" ht="11.25" hidden="false" customHeight="false" outlineLevel="0" collapsed="false">
      <c r="F536" s="122"/>
    </row>
    <row r="537" customFormat="false" ht="11.25" hidden="false" customHeight="false" outlineLevel="0" collapsed="false">
      <c r="F537" s="122"/>
    </row>
    <row r="538" customFormat="false" ht="11.25" hidden="false" customHeight="false" outlineLevel="0" collapsed="false">
      <c r="F538" s="122"/>
    </row>
    <row r="539" customFormat="false" ht="11.25" hidden="false" customHeight="false" outlineLevel="0" collapsed="false">
      <c r="F539" s="122"/>
    </row>
    <row r="540" customFormat="false" ht="11.25" hidden="false" customHeight="false" outlineLevel="0" collapsed="false">
      <c r="F540" s="122"/>
    </row>
    <row r="541" customFormat="false" ht="11.25" hidden="false" customHeight="false" outlineLevel="0" collapsed="false">
      <c r="F541" s="122"/>
    </row>
    <row r="542" customFormat="false" ht="11.25" hidden="false" customHeight="false" outlineLevel="0" collapsed="false">
      <c r="F542" s="122"/>
    </row>
    <row r="543" customFormat="false" ht="11.25" hidden="false" customHeight="false" outlineLevel="0" collapsed="false">
      <c r="F543" s="122"/>
    </row>
    <row r="544" customFormat="false" ht="11.25" hidden="false" customHeight="false" outlineLevel="0" collapsed="false">
      <c r="F544" s="122"/>
    </row>
    <row r="545" customFormat="false" ht="11.25" hidden="false" customHeight="false" outlineLevel="0" collapsed="false">
      <c r="F545" s="122"/>
    </row>
    <row r="546" customFormat="false" ht="11.25" hidden="false" customHeight="false" outlineLevel="0" collapsed="false">
      <c r="F546" s="122"/>
    </row>
    <row r="547" customFormat="false" ht="11.25" hidden="false" customHeight="false" outlineLevel="0" collapsed="false">
      <c r="F547" s="122"/>
    </row>
    <row r="548" customFormat="false" ht="11.25" hidden="false" customHeight="false" outlineLevel="0" collapsed="false">
      <c r="F548" s="122"/>
    </row>
    <row r="549" customFormat="false" ht="11.25" hidden="false" customHeight="false" outlineLevel="0" collapsed="false">
      <c r="F549" s="122"/>
    </row>
    <row r="550" customFormat="false" ht="11.25" hidden="false" customHeight="false" outlineLevel="0" collapsed="false">
      <c r="F550" s="122"/>
    </row>
    <row r="551" customFormat="false" ht="11.25" hidden="false" customHeight="false" outlineLevel="0" collapsed="false">
      <c r="F551" s="122"/>
    </row>
    <row r="552" customFormat="false" ht="11.25" hidden="false" customHeight="false" outlineLevel="0" collapsed="false">
      <c r="F552" s="122"/>
    </row>
    <row r="553" customFormat="false" ht="11.25" hidden="false" customHeight="false" outlineLevel="0" collapsed="false">
      <c r="F553" s="122"/>
    </row>
    <row r="554" customFormat="false" ht="11.25" hidden="false" customHeight="false" outlineLevel="0" collapsed="false">
      <c r="F554" s="122"/>
    </row>
    <row r="555" customFormat="false" ht="11.25" hidden="false" customHeight="false" outlineLevel="0" collapsed="false">
      <c r="F555" s="122"/>
    </row>
    <row r="556" customFormat="false" ht="11.25" hidden="false" customHeight="false" outlineLevel="0" collapsed="false">
      <c r="F556" s="122"/>
    </row>
    <row r="557" customFormat="false" ht="11.25" hidden="false" customHeight="false" outlineLevel="0" collapsed="false">
      <c r="F557" s="122"/>
    </row>
    <row r="558" customFormat="false" ht="11.25" hidden="false" customHeight="false" outlineLevel="0" collapsed="false">
      <c r="F558" s="122"/>
    </row>
    <row r="559" customFormat="false" ht="11.25" hidden="false" customHeight="false" outlineLevel="0" collapsed="false">
      <c r="F559" s="122"/>
    </row>
    <row r="560" customFormat="false" ht="11.25" hidden="false" customHeight="false" outlineLevel="0" collapsed="false">
      <c r="F560" s="122"/>
    </row>
    <row r="561" customFormat="false" ht="11.25" hidden="false" customHeight="false" outlineLevel="0" collapsed="false">
      <c r="F561" s="122"/>
    </row>
    <row r="562" customFormat="false" ht="11.25" hidden="false" customHeight="false" outlineLevel="0" collapsed="false">
      <c r="F562" s="122"/>
    </row>
    <row r="563" customFormat="false" ht="11.25" hidden="false" customHeight="false" outlineLevel="0" collapsed="false">
      <c r="F563" s="122"/>
    </row>
    <row r="564" customFormat="false" ht="11.25" hidden="false" customHeight="false" outlineLevel="0" collapsed="false">
      <c r="F564" s="122"/>
    </row>
    <row r="565" customFormat="false" ht="11.25" hidden="false" customHeight="false" outlineLevel="0" collapsed="false">
      <c r="F565" s="122"/>
    </row>
    <row r="566" customFormat="false" ht="11.25" hidden="false" customHeight="false" outlineLevel="0" collapsed="false">
      <c r="F566" s="122"/>
    </row>
    <row r="567" customFormat="false" ht="11.25" hidden="false" customHeight="false" outlineLevel="0" collapsed="false">
      <c r="F567" s="122"/>
    </row>
    <row r="568" customFormat="false" ht="11.25" hidden="false" customHeight="false" outlineLevel="0" collapsed="false">
      <c r="F568" s="122"/>
    </row>
    <row r="569" customFormat="false" ht="11.25" hidden="false" customHeight="false" outlineLevel="0" collapsed="false">
      <c r="F569" s="122"/>
    </row>
    <row r="570" customFormat="false" ht="11.25" hidden="false" customHeight="false" outlineLevel="0" collapsed="false">
      <c r="F570" s="122"/>
    </row>
    <row r="571" customFormat="false" ht="11.25" hidden="false" customHeight="false" outlineLevel="0" collapsed="false">
      <c r="F571" s="122"/>
    </row>
    <row r="572" customFormat="false" ht="11.25" hidden="false" customHeight="false" outlineLevel="0" collapsed="false">
      <c r="F572" s="122"/>
    </row>
    <row r="573" customFormat="false" ht="11.25" hidden="false" customHeight="false" outlineLevel="0" collapsed="false">
      <c r="F573" s="122"/>
    </row>
    <row r="574" customFormat="false" ht="11.25" hidden="false" customHeight="false" outlineLevel="0" collapsed="false">
      <c r="F574" s="122"/>
    </row>
    <row r="575" customFormat="false" ht="11.25" hidden="false" customHeight="false" outlineLevel="0" collapsed="false">
      <c r="F575" s="122"/>
    </row>
    <row r="576" customFormat="false" ht="11.25" hidden="false" customHeight="false" outlineLevel="0" collapsed="false">
      <c r="F576" s="122"/>
    </row>
    <row r="577" customFormat="false" ht="11.25" hidden="false" customHeight="false" outlineLevel="0" collapsed="false">
      <c r="F577" s="122"/>
    </row>
    <row r="578" customFormat="false" ht="11.25" hidden="false" customHeight="false" outlineLevel="0" collapsed="false">
      <c r="F578" s="122"/>
    </row>
    <row r="579" customFormat="false" ht="11.25" hidden="false" customHeight="false" outlineLevel="0" collapsed="false">
      <c r="F579" s="122"/>
    </row>
    <row r="580" customFormat="false" ht="11.25" hidden="false" customHeight="false" outlineLevel="0" collapsed="false">
      <c r="F580" s="122"/>
    </row>
    <row r="581" customFormat="false" ht="11.25" hidden="false" customHeight="false" outlineLevel="0" collapsed="false">
      <c r="F581" s="122"/>
    </row>
    <row r="582" customFormat="false" ht="11.25" hidden="false" customHeight="false" outlineLevel="0" collapsed="false">
      <c r="F582" s="122"/>
    </row>
    <row r="583" customFormat="false" ht="11.25" hidden="false" customHeight="false" outlineLevel="0" collapsed="false">
      <c r="F583" s="122"/>
    </row>
    <row r="584" customFormat="false" ht="11.25" hidden="false" customHeight="false" outlineLevel="0" collapsed="false">
      <c r="F584" s="122"/>
    </row>
    <row r="585" customFormat="false" ht="11.25" hidden="false" customHeight="false" outlineLevel="0" collapsed="false">
      <c r="F585" s="122"/>
    </row>
    <row r="586" customFormat="false" ht="11.25" hidden="false" customHeight="false" outlineLevel="0" collapsed="false">
      <c r="F586" s="122"/>
    </row>
    <row r="587" customFormat="false" ht="11.25" hidden="false" customHeight="false" outlineLevel="0" collapsed="false">
      <c r="F587" s="122"/>
    </row>
    <row r="588" customFormat="false" ht="11.25" hidden="false" customHeight="false" outlineLevel="0" collapsed="false">
      <c r="F588" s="122"/>
    </row>
    <row r="589" customFormat="false" ht="11.25" hidden="false" customHeight="false" outlineLevel="0" collapsed="false">
      <c r="F589" s="122"/>
    </row>
    <row r="590" customFormat="false" ht="11.25" hidden="false" customHeight="false" outlineLevel="0" collapsed="false">
      <c r="F590" s="122"/>
    </row>
    <row r="591" customFormat="false" ht="11.25" hidden="false" customHeight="false" outlineLevel="0" collapsed="false">
      <c r="F591" s="122"/>
    </row>
    <row r="592" customFormat="false" ht="11.25" hidden="false" customHeight="false" outlineLevel="0" collapsed="false">
      <c r="F592" s="122"/>
    </row>
    <row r="593" customFormat="false" ht="11.25" hidden="false" customHeight="false" outlineLevel="0" collapsed="false">
      <c r="F593" s="122"/>
    </row>
    <row r="594" customFormat="false" ht="11.25" hidden="false" customHeight="false" outlineLevel="0" collapsed="false">
      <c r="F594" s="122"/>
    </row>
    <row r="595" customFormat="false" ht="11.25" hidden="false" customHeight="false" outlineLevel="0" collapsed="false">
      <c r="F595" s="122"/>
    </row>
    <row r="596" customFormat="false" ht="11.25" hidden="false" customHeight="false" outlineLevel="0" collapsed="false">
      <c r="F596" s="122"/>
    </row>
    <row r="597" customFormat="false" ht="11.25" hidden="false" customHeight="false" outlineLevel="0" collapsed="false">
      <c r="F597" s="122"/>
    </row>
    <row r="598" customFormat="false" ht="11.25" hidden="false" customHeight="false" outlineLevel="0" collapsed="false">
      <c r="F598" s="122"/>
    </row>
    <row r="599" customFormat="false" ht="11.25" hidden="false" customHeight="false" outlineLevel="0" collapsed="false">
      <c r="F599" s="122"/>
    </row>
    <row r="600" customFormat="false" ht="11.25" hidden="false" customHeight="false" outlineLevel="0" collapsed="false">
      <c r="F600" s="122"/>
    </row>
    <row r="601" customFormat="false" ht="11.25" hidden="false" customHeight="false" outlineLevel="0" collapsed="false">
      <c r="F601" s="122"/>
    </row>
    <row r="602" customFormat="false" ht="11.25" hidden="false" customHeight="false" outlineLevel="0" collapsed="false">
      <c r="F602" s="122"/>
    </row>
    <row r="603" customFormat="false" ht="11.25" hidden="false" customHeight="false" outlineLevel="0" collapsed="false">
      <c r="F603" s="122"/>
    </row>
    <row r="604" customFormat="false" ht="11.25" hidden="false" customHeight="false" outlineLevel="0" collapsed="false">
      <c r="F604" s="122"/>
    </row>
    <row r="605" customFormat="false" ht="11.25" hidden="false" customHeight="false" outlineLevel="0" collapsed="false">
      <c r="F605" s="122"/>
    </row>
    <row r="606" customFormat="false" ht="11.25" hidden="false" customHeight="false" outlineLevel="0" collapsed="false">
      <c r="F606" s="122"/>
    </row>
    <row r="607" customFormat="false" ht="11.25" hidden="false" customHeight="false" outlineLevel="0" collapsed="false">
      <c r="F607" s="122"/>
    </row>
    <row r="608" customFormat="false" ht="11.25" hidden="false" customHeight="false" outlineLevel="0" collapsed="false">
      <c r="F608" s="122"/>
    </row>
    <row r="609" customFormat="false" ht="11.25" hidden="false" customHeight="false" outlineLevel="0" collapsed="false">
      <c r="F609" s="122"/>
    </row>
    <row r="610" customFormat="false" ht="11.25" hidden="false" customHeight="false" outlineLevel="0" collapsed="false">
      <c r="F610" s="122"/>
    </row>
    <row r="611" customFormat="false" ht="11.25" hidden="false" customHeight="false" outlineLevel="0" collapsed="false">
      <c r="F611" s="122"/>
    </row>
    <row r="612" customFormat="false" ht="11.25" hidden="false" customHeight="false" outlineLevel="0" collapsed="false">
      <c r="F612" s="122"/>
    </row>
    <row r="613" customFormat="false" ht="11.25" hidden="false" customHeight="false" outlineLevel="0" collapsed="false">
      <c r="F613" s="122"/>
    </row>
    <row r="614" customFormat="false" ht="11.25" hidden="false" customHeight="false" outlineLevel="0" collapsed="false">
      <c r="F614" s="122"/>
    </row>
    <row r="615" customFormat="false" ht="11.25" hidden="false" customHeight="false" outlineLevel="0" collapsed="false">
      <c r="F615" s="122"/>
    </row>
    <row r="616" customFormat="false" ht="11.25" hidden="false" customHeight="false" outlineLevel="0" collapsed="false">
      <c r="F616" s="122"/>
    </row>
    <row r="617" customFormat="false" ht="11.25" hidden="false" customHeight="false" outlineLevel="0" collapsed="false">
      <c r="F617" s="122"/>
    </row>
    <row r="618" customFormat="false" ht="11.25" hidden="false" customHeight="false" outlineLevel="0" collapsed="false">
      <c r="F618" s="122"/>
    </row>
    <row r="619" customFormat="false" ht="11.25" hidden="false" customHeight="false" outlineLevel="0" collapsed="false">
      <c r="F619" s="122"/>
    </row>
    <row r="620" customFormat="false" ht="11.25" hidden="false" customHeight="false" outlineLevel="0" collapsed="false">
      <c r="F620" s="122"/>
    </row>
    <row r="621" customFormat="false" ht="11.25" hidden="false" customHeight="false" outlineLevel="0" collapsed="false">
      <c r="F621" s="122"/>
    </row>
    <row r="622" customFormat="false" ht="11.25" hidden="false" customHeight="false" outlineLevel="0" collapsed="false">
      <c r="F622" s="122"/>
    </row>
    <row r="623" customFormat="false" ht="11.25" hidden="false" customHeight="false" outlineLevel="0" collapsed="false">
      <c r="F623" s="122"/>
    </row>
    <row r="624" customFormat="false" ht="11.25" hidden="false" customHeight="false" outlineLevel="0" collapsed="false">
      <c r="F624" s="122"/>
    </row>
    <row r="625" customFormat="false" ht="11.25" hidden="false" customHeight="false" outlineLevel="0" collapsed="false">
      <c r="F625" s="122"/>
    </row>
    <row r="626" customFormat="false" ht="11.25" hidden="false" customHeight="false" outlineLevel="0" collapsed="false">
      <c r="F626" s="122"/>
    </row>
    <row r="627" customFormat="false" ht="11.25" hidden="false" customHeight="false" outlineLevel="0" collapsed="false">
      <c r="F627" s="122"/>
    </row>
    <row r="628" customFormat="false" ht="11.25" hidden="false" customHeight="false" outlineLevel="0" collapsed="false">
      <c r="F628" s="122"/>
    </row>
    <row r="629" customFormat="false" ht="11.25" hidden="false" customHeight="false" outlineLevel="0" collapsed="false">
      <c r="F629" s="122"/>
    </row>
    <row r="630" customFormat="false" ht="11.25" hidden="false" customHeight="false" outlineLevel="0" collapsed="false">
      <c r="F630" s="122"/>
    </row>
    <row r="631" customFormat="false" ht="11.25" hidden="false" customHeight="false" outlineLevel="0" collapsed="false">
      <c r="F631" s="122"/>
    </row>
    <row r="632" customFormat="false" ht="11.25" hidden="false" customHeight="false" outlineLevel="0" collapsed="false">
      <c r="F632" s="122"/>
    </row>
    <row r="633" customFormat="false" ht="11.25" hidden="false" customHeight="false" outlineLevel="0" collapsed="false">
      <c r="F633" s="122"/>
    </row>
    <row r="634" customFormat="false" ht="11.25" hidden="false" customHeight="false" outlineLevel="0" collapsed="false">
      <c r="F634" s="122"/>
    </row>
    <row r="635" customFormat="false" ht="11.25" hidden="false" customHeight="false" outlineLevel="0" collapsed="false">
      <c r="F635" s="122"/>
    </row>
    <row r="636" customFormat="false" ht="11.25" hidden="false" customHeight="false" outlineLevel="0" collapsed="false">
      <c r="F636" s="122"/>
    </row>
    <row r="637" customFormat="false" ht="11.25" hidden="false" customHeight="false" outlineLevel="0" collapsed="false">
      <c r="F637" s="122"/>
    </row>
    <row r="638" customFormat="false" ht="11.25" hidden="false" customHeight="false" outlineLevel="0" collapsed="false">
      <c r="F638" s="122"/>
    </row>
    <row r="639" customFormat="false" ht="11.25" hidden="false" customHeight="false" outlineLevel="0" collapsed="false">
      <c r="F639" s="122"/>
    </row>
    <row r="640" customFormat="false" ht="11.25" hidden="false" customHeight="false" outlineLevel="0" collapsed="false">
      <c r="F640" s="122"/>
    </row>
    <row r="641" customFormat="false" ht="11.25" hidden="false" customHeight="false" outlineLevel="0" collapsed="false">
      <c r="F641" s="122"/>
    </row>
    <row r="642" customFormat="false" ht="11.25" hidden="false" customHeight="false" outlineLevel="0" collapsed="false">
      <c r="F642" s="122"/>
    </row>
    <row r="643" customFormat="false" ht="11.25" hidden="false" customHeight="false" outlineLevel="0" collapsed="false">
      <c r="F643" s="122"/>
    </row>
    <row r="644" customFormat="false" ht="11.25" hidden="false" customHeight="false" outlineLevel="0" collapsed="false">
      <c r="F644" s="122"/>
    </row>
    <row r="645" customFormat="false" ht="11.25" hidden="false" customHeight="false" outlineLevel="0" collapsed="false">
      <c r="F645" s="122"/>
    </row>
    <row r="646" customFormat="false" ht="11.25" hidden="false" customHeight="false" outlineLevel="0" collapsed="false">
      <c r="F646" s="122"/>
    </row>
    <row r="647" customFormat="false" ht="11.25" hidden="false" customHeight="false" outlineLevel="0" collapsed="false">
      <c r="F647" s="122"/>
    </row>
    <row r="648" customFormat="false" ht="11.25" hidden="false" customHeight="false" outlineLevel="0" collapsed="false">
      <c r="F648" s="122"/>
    </row>
    <row r="649" customFormat="false" ht="11.25" hidden="false" customHeight="false" outlineLevel="0" collapsed="false">
      <c r="F649" s="122"/>
    </row>
    <row r="650" customFormat="false" ht="11.25" hidden="false" customHeight="false" outlineLevel="0" collapsed="false">
      <c r="F650" s="122"/>
    </row>
    <row r="651" customFormat="false" ht="11.25" hidden="false" customHeight="false" outlineLevel="0" collapsed="false">
      <c r="F651" s="122"/>
    </row>
    <row r="652" customFormat="false" ht="11.25" hidden="false" customHeight="false" outlineLevel="0" collapsed="false">
      <c r="F652" s="122"/>
    </row>
    <row r="653" customFormat="false" ht="11.25" hidden="false" customHeight="false" outlineLevel="0" collapsed="false">
      <c r="F653" s="122"/>
    </row>
    <row r="654" customFormat="false" ht="11.25" hidden="false" customHeight="false" outlineLevel="0" collapsed="false">
      <c r="F654" s="122"/>
    </row>
    <row r="655" customFormat="false" ht="11.25" hidden="false" customHeight="false" outlineLevel="0" collapsed="false">
      <c r="F655" s="122"/>
    </row>
    <row r="656" customFormat="false" ht="11.25" hidden="false" customHeight="false" outlineLevel="0" collapsed="false">
      <c r="F656" s="122"/>
    </row>
    <row r="657" customFormat="false" ht="11.25" hidden="false" customHeight="false" outlineLevel="0" collapsed="false">
      <c r="F657" s="122"/>
    </row>
    <row r="658" customFormat="false" ht="11.25" hidden="false" customHeight="false" outlineLevel="0" collapsed="false">
      <c r="F658" s="122"/>
    </row>
    <row r="659" customFormat="false" ht="11.25" hidden="false" customHeight="false" outlineLevel="0" collapsed="false">
      <c r="F659" s="122"/>
    </row>
    <row r="660" customFormat="false" ht="11.25" hidden="false" customHeight="false" outlineLevel="0" collapsed="false">
      <c r="F660" s="122"/>
    </row>
    <row r="661" customFormat="false" ht="11.25" hidden="false" customHeight="false" outlineLevel="0" collapsed="false">
      <c r="F661" s="122"/>
    </row>
    <row r="662" customFormat="false" ht="11.25" hidden="false" customHeight="false" outlineLevel="0" collapsed="false">
      <c r="F662" s="122"/>
    </row>
    <row r="663" customFormat="false" ht="11.25" hidden="false" customHeight="false" outlineLevel="0" collapsed="false">
      <c r="F663" s="122"/>
    </row>
    <row r="664" customFormat="false" ht="11.25" hidden="false" customHeight="false" outlineLevel="0" collapsed="false">
      <c r="F664" s="122"/>
    </row>
    <row r="665" customFormat="false" ht="11.25" hidden="false" customHeight="false" outlineLevel="0" collapsed="false">
      <c r="F665" s="122"/>
    </row>
    <row r="666" customFormat="false" ht="11.25" hidden="false" customHeight="false" outlineLevel="0" collapsed="false">
      <c r="F666" s="122"/>
    </row>
    <row r="667" customFormat="false" ht="11.25" hidden="false" customHeight="false" outlineLevel="0" collapsed="false">
      <c r="F667" s="122"/>
    </row>
    <row r="668" customFormat="false" ht="11.25" hidden="false" customHeight="false" outlineLevel="0" collapsed="false">
      <c r="F668" s="122"/>
    </row>
    <row r="669" customFormat="false" ht="11.25" hidden="false" customHeight="false" outlineLevel="0" collapsed="false">
      <c r="F669" s="122"/>
    </row>
    <row r="670" customFormat="false" ht="11.25" hidden="false" customHeight="false" outlineLevel="0" collapsed="false">
      <c r="F670" s="122"/>
    </row>
    <row r="671" customFormat="false" ht="11.25" hidden="false" customHeight="false" outlineLevel="0" collapsed="false">
      <c r="F671" s="122"/>
    </row>
    <row r="672" customFormat="false" ht="11.25" hidden="false" customHeight="false" outlineLevel="0" collapsed="false">
      <c r="F672" s="122"/>
    </row>
    <row r="673" customFormat="false" ht="11.25" hidden="false" customHeight="false" outlineLevel="0" collapsed="false">
      <c r="F673" s="122"/>
    </row>
    <row r="674" customFormat="false" ht="11.25" hidden="false" customHeight="false" outlineLevel="0" collapsed="false">
      <c r="F674" s="122"/>
    </row>
    <row r="675" customFormat="false" ht="11.25" hidden="false" customHeight="false" outlineLevel="0" collapsed="false">
      <c r="F675" s="122"/>
    </row>
    <row r="676" customFormat="false" ht="11.25" hidden="false" customHeight="false" outlineLevel="0" collapsed="false">
      <c r="F676" s="122"/>
    </row>
    <row r="677" customFormat="false" ht="11.25" hidden="false" customHeight="false" outlineLevel="0" collapsed="false">
      <c r="F677" s="122"/>
    </row>
    <row r="678" customFormat="false" ht="11.25" hidden="false" customHeight="false" outlineLevel="0" collapsed="false">
      <c r="F678" s="122"/>
    </row>
    <row r="679" customFormat="false" ht="11.25" hidden="false" customHeight="false" outlineLevel="0" collapsed="false">
      <c r="F679" s="122"/>
    </row>
    <row r="680" customFormat="false" ht="11.25" hidden="false" customHeight="false" outlineLevel="0" collapsed="false">
      <c r="F680" s="122"/>
    </row>
    <row r="681" customFormat="false" ht="11.25" hidden="false" customHeight="false" outlineLevel="0" collapsed="false">
      <c r="F681" s="122"/>
    </row>
    <row r="682" customFormat="false" ht="11.25" hidden="false" customHeight="false" outlineLevel="0" collapsed="false">
      <c r="F682" s="122"/>
    </row>
    <row r="683" customFormat="false" ht="11.25" hidden="false" customHeight="false" outlineLevel="0" collapsed="false">
      <c r="F683" s="122"/>
    </row>
    <row r="684" customFormat="false" ht="11.25" hidden="false" customHeight="false" outlineLevel="0" collapsed="false">
      <c r="F684" s="122"/>
    </row>
    <row r="685" customFormat="false" ht="11.25" hidden="false" customHeight="false" outlineLevel="0" collapsed="false">
      <c r="F685" s="122"/>
    </row>
    <row r="686" customFormat="false" ht="11.25" hidden="false" customHeight="false" outlineLevel="0" collapsed="false">
      <c r="F686" s="122"/>
    </row>
    <row r="687" customFormat="false" ht="11.25" hidden="false" customHeight="false" outlineLevel="0" collapsed="false">
      <c r="F687" s="122"/>
    </row>
    <row r="688" customFormat="false" ht="11.25" hidden="false" customHeight="false" outlineLevel="0" collapsed="false">
      <c r="F688" s="122"/>
    </row>
    <row r="689" customFormat="false" ht="11.25" hidden="false" customHeight="false" outlineLevel="0" collapsed="false">
      <c r="F689" s="122"/>
    </row>
    <row r="690" customFormat="false" ht="11.25" hidden="false" customHeight="false" outlineLevel="0" collapsed="false">
      <c r="F690" s="122"/>
    </row>
    <row r="691" customFormat="false" ht="11.25" hidden="false" customHeight="false" outlineLevel="0" collapsed="false">
      <c r="F691" s="122"/>
    </row>
    <row r="692" customFormat="false" ht="11.25" hidden="false" customHeight="false" outlineLevel="0" collapsed="false">
      <c r="F692" s="122"/>
    </row>
    <row r="693" customFormat="false" ht="11.25" hidden="false" customHeight="false" outlineLevel="0" collapsed="false">
      <c r="F693" s="122"/>
    </row>
    <row r="694" customFormat="false" ht="11.25" hidden="false" customHeight="false" outlineLevel="0" collapsed="false">
      <c r="F694" s="122"/>
    </row>
    <row r="695" customFormat="false" ht="11.25" hidden="false" customHeight="false" outlineLevel="0" collapsed="false">
      <c r="F695" s="122"/>
    </row>
    <row r="696" customFormat="false" ht="11.25" hidden="false" customHeight="false" outlineLevel="0" collapsed="false">
      <c r="F696" s="122"/>
    </row>
    <row r="697" customFormat="false" ht="11.25" hidden="false" customHeight="false" outlineLevel="0" collapsed="false">
      <c r="F697" s="122"/>
    </row>
    <row r="698" customFormat="false" ht="11.25" hidden="false" customHeight="false" outlineLevel="0" collapsed="false">
      <c r="F698" s="122"/>
    </row>
    <row r="699" customFormat="false" ht="11.25" hidden="false" customHeight="false" outlineLevel="0" collapsed="false">
      <c r="F699" s="122"/>
    </row>
    <row r="700" customFormat="false" ht="11.25" hidden="false" customHeight="false" outlineLevel="0" collapsed="false">
      <c r="F700" s="122"/>
    </row>
    <row r="701" customFormat="false" ht="11.25" hidden="false" customHeight="false" outlineLevel="0" collapsed="false">
      <c r="F701" s="122"/>
    </row>
    <row r="702" customFormat="false" ht="11.25" hidden="false" customHeight="false" outlineLevel="0" collapsed="false">
      <c r="F702" s="122"/>
    </row>
    <row r="703" customFormat="false" ht="11.25" hidden="false" customHeight="false" outlineLevel="0" collapsed="false">
      <c r="F703" s="122"/>
    </row>
    <row r="704" customFormat="false" ht="11.25" hidden="false" customHeight="false" outlineLevel="0" collapsed="false">
      <c r="F704" s="122"/>
    </row>
    <row r="705" customFormat="false" ht="11.25" hidden="false" customHeight="false" outlineLevel="0" collapsed="false">
      <c r="F705" s="122"/>
    </row>
    <row r="706" customFormat="false" ht="11.25" hidden="false" customHeight="false" outlineLevel="0" collapsed="false">
      <c r="F706" s="122"/>
    </row>
    <row r="707" customFormat="false" ht="11.25" hidden="false" customHeight="false" outlineLevel="0" collapsed="false">
      <c r="F707" s="122"/>
    </row>
    <row r="708" customFormat="false" ht="11.25" hidden="false" customHeight="false" outlineLevel="0" collapsed="false">
      <c r="F708" s="122"/>
    </row>
    <row r="709" customFormat="false" ht="11.25" hidden="false" customHeight="false" outlineLevel="0" collapsed="false">
      <c r="F709" s="122"/>
    </row>
    <row r="710" customFormat="false" ht="11.25" hidden="false" customHeight="false" outlineLevel="0" collapsed="false">
      <c r="F710" s="122"/>
    </row>
    <row r="711" customFormat="false" ht="11.25" hidden="false" customHeight="false" outlineLevel="0" collapsed="false">
      <c r="F711" s="122"/>
    </row>
    <row r="712" customFormat="false" ht="11.25" hidden="false" customHeight="false" outlineLevel="0" collapsed="false">
      <c r="F712" s="122"/>
    </row>
    <row r="713" customFormat="false" ht="11.25" hidden="false" customHeight="false" outlineLevel="0" collapsed="false">
      <c r="F713" s="122"/>
    </row>
    <row r="714" customFormat="false" ht="11.25" hidden="false" customHeight="false" outlineLevel="0" collapsed="false">
      <c r="F714" s="122"/>
    </row>
    <row r="715" customFormat="false" ht="11.25" hidden="false" customHeight="false" outlineLevel="0" collapsed="false">
      <c r="F715" s="122"/>
    </row>
    <row r="716" customFormat="false" ht="11.25" hidden="false" customHeight="false" outlineLevel="0" collapsed="false">
      <c r="F716" s="122"/>
    </row>
    <row r="717" customFormat="false" ht="11.25" hidden="false" customHeight="false" outlineLevel="0" collapsed="false">
      <c r="F717" s="122"/>
    </row>
    <row r="718" customFormat="false" ht="11.25" hidden="false" customHeight="false" outlineLevel="0" collapsed="false">
      <c r="F718" s="122"/>
    </row>
    <row r="719" customFormat="false" ht="11.25" hidden="false" customHeight="false" outlineLevel="0" collapsed="false">
      <c r="F719" s="122"/>
    </row>
    <row r="720" customFormat="false" ht="11.25" hidden="false" customHeight="false" outlineLevel="0" collapsed="false">
      <c r="F720" s="122"/>
    </row>
    <row r="721" customFormat="false" ht="11.25" hidden="false" customHeight="false" outlineLevel="0" collapsed="false">
      <c r="F721" s="122"/>
    </row>
    <row r="722" customFormat="false" ht="11.25" hidden="false" customHeight="false" outlineLevel="0" collapsed="false">
      <c r="F722" s="122"/>
    </row>
    <row r="723" customFormat="false" ht="11.25" hidden="false" customHeight="false" outlineLevel="0" collapsed="false">
      <c r="F723" s="122"/>
    </row>
    <row r="724" customFormat="false" ht="11.25" hidden="false" customHeight="false" outlineLevel="0" collapsed="false">
      <c r="F724" s="122"/>
    </row>
    <row r="725" customFormat="false" ht="11.25" hidden="false" customHeight="false" outlineLevel="0" collapsed="false">
      <c r="F725" s="122"/>
    </row>
    <row r="726" customFormat="false" ht="11.25" hidden="false" customHeight="false" outlineLevel="0" collapsed="false">
      <c r="F726" s="122"/>
    </row>
    <row r="727" customFormat="false" ht="11.25" hidden="false" customHeight="false" outlineLevel="0" collapsed="false">
      <c r="F727" s="122"/>
    </row>
    <row r="728" customFormat="false" ht="11.25" hidden="false" customHeight="false" outlineLevel="0" collapsed="false">
      <c r="F728" s="122"/>
    </row>
    <row r="729" customFormat="false" ht="11.25" hidden="false" customHeight="false" outlineLevel="0" collapsed="false">
      <c r="F729" s="122"/>
    </row>
    <row r="730" customFormat="false" ht="11.25" hidden="false" customHeight="false" outlineLevel="0" collapsed="false">
      <c r="F730" s="122"/>
    </row>
    <row r="731" customFormat="false" ht="11.25" hidden="false" customHeight="false" outlineLevel="0" collapsed="false">
      <c r="F731" s="122"/>
    </row>
    <row r="732" customFormat="false" ht="11.25" hidden="false" customHeight="false" outlineLevel="0" collapsed="false">
      <c r="F732" s="122"/>
    </row>
    <row r="733" customFormat="false" ht="11.25" hidden="false" customHeight="false" outlineLevel="0" collapsed="false">
      <c r="F733" s="122"/>
    </row>
    <row r="734" customFormat="false" ht="11.25" hidden="false" customHeight="false" outlineLevel="0" collapsed="false">
      <c r="F734" s="122"/>
    </row>
    <row r="735" customFormat="false" ht="11.25" hidden="false" customHeight="false" outlineLevel="0" collapsed="false">
      <c r="F735" s="122"/>
    </row>
    <row r="736" customFormat="false" ht="11.25" hidden="false" customHeight="false" outlineLevel="0" collapsed="false">
      <c r="F736" s="122"/>
    </row>
    <row r="737" customFormat="false" ht="11.25" hidden="false" customHeight="false" outlineLevel="0" collapsed="false">
      <c r="F737" s="122"/>
    </row>
    <row r="738" customFormat="false" ht="11.25" hidden="false" customHeight="false" outlineLevel="0" collapsed="false">
      <c r="F738" s="122"/>
    </row>
    <row r="739" customFormat="false" ht="11.25" hidden="false" customHeight="false" outlineLevel="0" collapsed="false">
      <c r="F739" s="122"/>
    </row>
    <row r="740" customFormat="false" ht="11.25" hidden="false" customHeight="false" outlineLevel="0" collapsed="false">
      <c r="F740" s="122"/>
    </row>
    <row r="741" customFormat="false" ht="11.25" hidden="false" customHeight="false" outlineLevel="0" collapsed="false">
      <c r="F741" s="122"/>
    </row>
    <row r="742" customFormat="false" ht="11.25" hidden="false" customHeight="false" outlineLevel="0" collapsed="false">
      <c r="F742" s="122"/>
    </row>
    <row r="743" customFormat="false" ht="11.25" hidden="false" customHeight="false" outlineLevel="0" collapsed="false">
      <c r="F743" s="122"/>
    </row>
    <row r="744" customFormat="false" ht="11.25" hidden="false" customHeight="false" outlineLevel="0" collapsed="false">
      <c r="F744" s="122"/>
    </row>
    <row r="745" customFormat="false" ht="11.25" hidden="false" customHeight="false" outlineLevel="0" collapsed="false">
      <c r="F745" s="122"/>
    </row>
    <row r="746" customFormat="false" ht="11.25" hidden="false" customHeight="false" outlineLevel="0" collapsed="false">
      <c r="F746" s="122"/>
    </row>
    <row r="747" customFormat="false" ht="11.25" hidden="false" customHeight="false" outlineLevel="0" collapsed="false">
      <c r="F747" s="122"/>
    </row>
    <row r="748" customFormat="false" ht="11.25" hidden="false" customHeight="false" outlineLevel="0" collapsed="false">
      <c r="F748" s="122"/>
    </row>
    <row r="749" customFormat="false" ht="11.25" hidden="false" customHeight="false" outlineLevel="0" collapsed="false">
      <c r="F749" s="122"/>
    </row>
    <row r="750" customFormat="false" ht="11.25" hidden="false" customHeight="false" outlineLevel="0" collapsed="false">
      <c r="F750" s="122"/>
    </row>
    <row r="751" customFormat="false" ht="11.25" hidden="false" customHeight="false" outlineLevel="0" collapsed="false">
      <c r="F751" s="122"/>
    </row>
    <row r="752" customFormat="false" ht="11.25" hidden="false" customHeight="false" outlineLevel="0" collapsed="false">
      <c r="F752" s="122"/>
    </row>
    <row r="753" customFormat="false" ht="11.25" hidden="false" customHeight="false" outlineLevel="0" collapsed="false">
      <c r="F753" s="122"/>
    </row>
    <row r="754" customFormat="false" ht="11.25" hidden="false" customHeight="false" outlineLevel="0" collapsed="false">
      <c r="F754" s="122"/>
    </row>
    <row r="755" customFormat="false" ht="11.25" hidden="false" customHeight="false" outlineLevel="0" collapsed="false">
      <c r="F755" s="122"/>
    </row>
    <row r="756" customFormat="false" ht="11.25" hidden="false" customHeight="false" outlineLevel="0" collapsed="false">
      <c r="F756" s="122"/>
    </row>
    <row r="757" customFormat="false" ht="11.25" hidden="false" customHeight="false" outlineLevel="0" collapsed="false">
      <c r="F757" s="122"/>
    </row>
    <row r="758" customFormat="false" ht="11.25" hidden="false" customHeight="false" outlineLevel="0" collapsed="false">
      <c r="F758" s="122"/>
    </row>
    <row r="759" customFormat="false" ht="11.25" hidden="false" customHeight="false" outlineLevel="0" collapsed="false">
      <c r="F759" s="122"/>
    </row>
    <row r="760" customFormat="false" ht="11.25" hidden="false" customHeight="false" outlineLevel="0" collapsed="false">
      <c r="F760" s="122"/>
    </row>
    <row r="761" customFormat="false" ht="11.25" hidden="false" customHeight="false" outlineLevel="0" collapsed="false">
      <c r="F761" s="122"/>
    </row>
    <row r="762" customFormat="false" ht="11.25" hidden="false" customHeight="false" outlineLevel="0" collapsed="false">
      <c r="F762" s="122"/>
    </row>
    <row r="763" customFormat="false" ht="11.25" hidden="false" customHeight="false" outlineLevel="0" collapsed="false">
      <c r="F763" s="122"/>
    </row>
    <row r="764" customFormat="false" ht="11.25" hidden="false" customHeight="false" outlineLevel="0" collapsed="false">
      <c r="F764" s="122"/>
    </row>
    <row r="765" customFormat="false" ht="11.25" hidden="false" customHeight="false" outlineLevel="0" collapsed="false">
      <c r="F765" s="122"/>
    </row>
    <row r="766" customFormat="false" ht="11.25" hidden="false" customHeight="false" outlineLevel="0" collapsed="false">
      <c r="F766" s="122"/>
    </row>
    <row r="767" customFormat="false" ht="11.25" hidden="false" customHeight="false" outlineLevel="0" collapsed="false">
      <c r="F767" s="122"/>
    </row>
    <row r="768" customFormat="false" ht="11.25" hidden="false" customHeight="false" outlineLevel="0" collapsed="false">
      <c r="F768" s="122"/>
    </row>
    <row r="769" customFormat="false" ht="11.25" hidden="false" customHeight="false" outlineLevel="0" collapsed="false">
      <c r="F769" s="122"/>
    </row>
    <row r="770" customFormat="false" ht="11.25" hidden="false" customHeight="false" outlineLevel="0" collapsed="false">
      <c r="F770" s="122"/>
    </row>
    <row r="771" customFormat="false" ht="11.25" hidden="false" customHeight="false" outlineLevel="0" collapsed="false">
      <c r="F771" s="122"/>
    </row>
    <row r="772" customFormat="false" ht="11.25" hidden="false" customHeight="false" outlineLevel="0" collapsed="false">
      <c r="F772" s="122"/>
    </row>
    <row r="773" customFormat="false" ht="11.25" hidden="false" customHeight="false" outlineLevel="0" collapsed="false">
      <c r="F773" s="122"/>
    </row>
    <row r="774" customFormat="false" ht="11.25" hidden="false" customHeight="false" outlineLevel="0" collapsed="false">
      <c r="F774" s="122"/>
    </row>
    <row r="775" customFormat="false" ht="11.25" hidden="false" customHeight="false" outlineLevel="0" collapsed="false">
      <c r="F775" s="122"/>
    </row>
    <row r="776" customFormat="false" ht="11.25" hidden="false" customHeight="false" outlineLevel="0" collapsed="false">
      <c r="F776" s="122"/>
    </row>
    <row r="777" customFormat="false" ht="11.25" hidden="false" customHeight="false" outlineLevel="0" collapsed="false">
      <c r="F777" s="122"/>
    </row>
    <row r="778" customFormat="false" ht="11.25" hidden="false" customHeight="false" outlineLevel="0" collapsed="false">
      <c r="F778" s="122"/>
    </row>
    <row r="779" customFormat="false" ht="11.25" hidden="false" customHeight="false" outlineLevel="0" collapsed="false">
      <c r="F779" s="122"/>
    </row>
    <row r="780" customFormat="false" ht="11.25" hidden="false" customHeight="false" outlineLevel="0" collapsed="false">
      <c r="F780" s="122"/>
    </row>
    <row r="781" customFormat="false" ht="11.25" hidden="false" customHeight="false" outlineLevel="0" collapsed="false">
      <c r="F781" s="122"/>
    </row>
    <row r="782" customFormat="false" ht="11.25" hidden="false" customHeight="false" outlineLevel="0" collapsed="false">
      <c r="F782" s="122"/>
    </row>
    <row r="783" customFormat="false" ht="11.25" hidden="false" customHeight="false" outlineLevel="0" collapsed="false">
      <c r="F783" s="122"/>
    </row>
    <row r="784" customFormat="false" ht="11.25" hidden="false" customHeight="false" outlineLevel="0" collapsed="false">
      <c r="F784" s="122"/>
    </row>
    <row r="785" customFormat="false" ht="11.25" hidden="false" customHeight="false" outlineLevel="0" collapsed="false">
      <c r="F785" s="122"/>
    </row>
    <row r="786" customFormat="false" ht="11.25" hidden="false" customHeight="false" outlineLevel="0" collapsed="false">
      <c r="F786" s="122"/>
    </row>
    <row r="787" customFormat="false" ht="11.25" hidden="false" customHeight="false" outlineLevel="0" collapsed="false">
      <c r="F787" s="122"/>
    </row>
    <row r="788" customFormat="false" ht="11.25" hidden="false" customHeight="false" outlineLevel="0" collapsed="false">
      <c r="F788" s="122"/>
    </row>
    <row r="789" customFormat="false" ht="11.25" hidden="false" customHeight="false" outlineLevel="0" collapsed="false">
      <c r="F789" s="122"/>
    </row>
    <row r="790" customFormat="false" ht="11.25" hidden="false" customHeight="false" outlineLevel="0" collapsed="false">
      <c r="F790" s="122"/>
    </row>
    <row r="791" customFormat="false" ht="11.25" hidden="false" customHeight="false" outlineLevel="0" collapsed="false">
      <c r="F791" s="122"/>
    </row>
    <row r="792" customFormat="false" ht="11.25" hidden="false" customHeight="false" outlineLevel="0" collapsed="false">
      <c r="F792" s="122"/>
    </row>
    <row r="793" customFormat="false" ht="11.25" hidden="false" customHeight="false" outlineLevel="0" collapsed="false">
      <c r="F793" s="122"/>
    </row>
    <row r="794" customFormat="false" ht="11.25" hidden="false" customHeight="false" outlineLevel="0" collapsed="false">
      <c r="F794" s="122"/>
    </row>
    <row r="795" customFormat="false" ht="11.25" hidden="false" customHeight="false" outlineLevel="0" collapsed="false">
      <c r="F795" s="122"/>
    </row>
    <row r="796" customFormat="false" ht="11.25" hidden="false" customHeight="false" outlineLevel="0" collapsed="false">
      <c r="F796" s="122"/>
    </row>
    <row r="797" customFormat="false" ht="11.25" hidden="false" customHeight="false" outlineLevel="0" collapsed="false">
      <c r="F797" s="122"/>
    </row>
    <row r="798" customFormat="false" ht="11.25" hidden="false" customHeight="false" outlineLevel="0" collapsed="false">
      <c r="F798" s="122"/>
    </row>
    <row r="799" customFormat="false" ht="11.25" hidden="false" customHeight="false" outlineLevel="0" collapsed="false">
      <c r="F799" s="122"/>
    </row>
    <row r="800" customFormat="false" ht="11.25" hidden="false" customHeight="false" outlineLevel="0" collapsed="false">
      <c r="F800" s="122"/>
    </row>
    <row r="801" customFormat="false" ht="11.25" hidden="false" customHeight="false" outlineLevel="0" collapsed="false">
      <c r="F801" s="122"/>
    </row>
    <row r="802" customFormat="false" ht="11.25" hidden="false" customHeight="false" outlineLevel="0" collapsed="false">
      <c r="F802" s="122"/>
    </row>
    <row r="803" customFormat="false" ht="11.25" hidden="false" customHeight="false" outlineLevel="0" collapsed="false">
      <c r="F803" s="122"/>
    </row>
    <row r="804" customFormat="false" ht="11.25" hidden="false" customHeight="false" outlineLevel="0" collapsed="false">
      <c r="F804" s="122"/>
    </row>
    <row r="805" customFormat="false" ht="11.25" hidden="false" customHeight="false" outlineLevel="0" collapsed="false">
      <c r="F805" s="122"/>
    </row>
    <row r="806" customFormat="false" ht="11.25" hidden="false" customHeight="false" outlineLevel="0" collapsed="false">
      <c r="F806" s="122"/>
    </row>
    <row r="807" customFormat="false" ht="11.25" hidden="false" customHeight="false" outlineLevel="0" collapsed="false">
      <c r="F807" s="122"/>
    </row>
    <row r="808" customFormat="false" ht="11.25" hidden="false" customHeight="false" outlineLevel="0" collapsed="false">
      <c r="F808" s="122"/>
    </row>
    <row r="809" customFormat="false" ht="11.25" hidden="false" customHeight="false" outlineLevel="0" collapsed="false">
      <c r="F809" s="122"/>
    </row>
    <row r="810" customFormat="false" ht="11.25" hidden="false" customHeight="false" outlineLevel="0" collapsed="false">
      <c r="F810" s="122"/>
    </row>
    <row r="811" customFormat="false" ht="11.25" hidden="false" customHeight="false" outlineLevel="0" collapsed="false">
      <c r="F811" s="122"/>
    </row>
    <row r="812" customFormat="false" ht="11.25" hidden="false" customHeight="false" outlineLevel="0" collapsed="false">
      <c r="F812" s="122"/>
    </row>
    <row r="813" customFormat="false" ht="11.25" hidden="false" customHeight="false" outlineLevel="0" collapsed="false">
      <c r="F813" s="122"/>
    </row>
    <row r="814" customFormat="false" ht="11.25" hidden="false" customHeight="false" outlineLevel="0" collapsed="false">
      <c r="F814" s="122"/>
    </row>
    <row r="815" customFormat="false" ht="11.25" hidden="false" customHeight="false" outlineLevel="0" collapsed="false">
      <c r="F815" s="122"/>
    </row>
    <row r="816" customFormat="false" ht="11.25" hidden="false" customHeight="false" outlineLevel="0" collapsed="false">
      <c r="F816" s="122"/>
    </row>
    <row r="817" customFormat="false" ht="11.25" hidden="false" customHeight="false" outlineLevel="0" collapsed="false">
      <c r="F817" s="122"/>
    </row>
    <row r="818" customFormat="false" ht="11.25" hidden="false" customHeight="false" outlineLevel="0" collapsed="false">
      <c r="F818" s="122"/>
    </row>
    <row r="819" customFormat="false" ht="11.25" hidden="false" customHeight="false" outlineLevel="0" collapsed="false">
      <c r="F819" s="122"/>
    </row>
    <row r="820" customFormat="false" ht="11.25" hidden="false" customHeight="false" outlineLevel="0" collapsed="false">
      <c r="F820" s="122"/>
    </row>
    <row r="821" customFormat="false" ht="11.25" hidden="false" customHeight="false" outlineLevel="0" collapsed="false">
      <c r="F821" s="122"/>
    </row>
    <row r="822" customFormat="false" ht="11.25" hidden="false" customHeight="false" outlineLevel="0" collapsed="false">
      <c r="F822" s="122"/>
    </row>
    <row r="823" customFormat="false" ht="11.25" hidden="false" customHeight="false" outlineLevel="0" collapsed="false">
      <c r="F823" s="122"/>
    </row>
    <row r="824" customFormat="false" ht="11.25" hidden="false" customHeight="false" outlineLevel="0" collapsed="false">
      <c r="F824" s="122"/>
    </row>
    <row r="825" customFormat="false" ht="11.25" hidden="false" customHeight="false" outlineLevel="0" collapsed="false">
      <c r="F825" s="122"/>
    </row>
    <row r="826" customFormat="false" ht="11.25" hidden="false" customHeight="false" outlineLevel="0" collapsed="false">
      <c r="F826" s="122"/>
    </row>
    <row r="827" customFormat="false" ht="11.25" hidden="false" customHeight="false" outlineLevel="0" collapsed="false">
      <c r="F827" s="122"/>
    </row>
    <row r="828" customFormat="false" ht="11.25" hidden="false" customHeight="false" outlineLevel="0" collapsed="false">
      <c r="F828" s="122"/>
    </row>
    <row r="829" customFormat="false" ht="11.25" hidden="false" customHeight="false" outlineLevel="0" collapsed="false">
      <c r="F829" s="122"/>
    </row>
    <row r="830" customFormat="false" ht="11.25" hidden="false" customHeight="false" outlineLevel="0" collapsed="false">
      <c r="F830" s="122"/>
    </row>
    <row r="831" customFormat="false" ht="11.25" hidden="false" customHeight="false" outlineLevel="0" collapsed="false">
      <c r="F831" s="122"/>
    </row>
    <row r="832" customFormat="false" ht="11.25" hidden="false" customHeight="false" outlineLevel="0" collapsed="false">
      <c r="F832" s="122"/>
    </row>
    <row r="833" customFormat="false" ht="11.25" hidden="false" customHeight="false" outlineLevel="0" collapsed="false">
      <c r="F833" s="122"/>
    </row>
    <row r="834" customFormat="false" ht="11.25" hidden="false" customHeight="false" outlineLevel="0" collapsed="false">
      <c r="F834" s="122"/>
    </row>
    <row r="835" customFormat="false" ht="11.25" hidden="false" customHeight="false" outlineLevel="0" collapsed="false">
      <c r="F835" s="122"/>
    </row>
    <row r="836" customFormat="false" ht="11.25" hidden="false" customHeight="false" outlineLevel="0" collapsed="false">
      <c r="F836" s="122"/>
    </row>
    <row r="837" customFormat="false" ht="11.25" hidden="false" customHeight="false" outlineLevel="0" collapsed="false">
      <c r="F837" s="122"/>
    </row>
    <row r="838" customFormat="false" ht="11.25" hidden="false" customHeight="false" outlineLevel="0" collapsed="false">
      <c r="F838" s="122"/>
    </row>
    <row r="839" customFormat="false" ht="11.25" hidden="false" customHeight="false" outlineLevel="0" collapsed="false">
      <c r="F839" s="122"/>
    </row>
    <row r="840" customFormat="false" ht="11.25" hidden="false" customHeight="false" outlineLevel="0" collapsed="false">
      <c r="F840" s="122"/>
    </row>
    <row r="841" customFormat="false" ht="11.25" hidden="false" customHeight="false" outlineLevel="0" collapsed="false">
      <c r="F841" s="122"/>
    </row>
    <row r="842" customFormat="false" ht="11.25" hidden="false" customHeight="false" outlineLevel="0" collapsed="false">
      <c r="F842" s="122"/>
    </row>
    <row r="843" customFormat="false" ht="11.25" hidden="false" customHeight="false" outlineLevel="0" collapsed="false">
      <c r="F843" s="122"/>
    </row>
    <row r="844" customFormat="false" ht="11.25" hidden="false" customHeight="false" outlineLevel="0" collapsed="false">
      <c r="F844" s="122"/>
    </row>
    <row r="845" customFormat="false" ht="11.25" hidden="false" customHeight="false" outlineLevel="0" collapsed="false">
      <c r="F845" s="122"/>
    </row>
    <row r="846" customFormat="false" ht="11.25" hidden="false" customHeight="false" outlineLevel="0" collapsed="false">
      <c r="F846" s="122"/>
    </row>
    <row r="847" customFormat="false" ht="11.25" hidden="false" customHeight="false" outlineLevel="0" collapsed="false">
      <c r="F847" s="122"/>
    </row>
    <row r="848" customFormat="false" ht="11.25" hidden="false" customHeight="false" outlineLevel="0" collapsed="false">
      <c r="F848" s="122"/>
    </row>
    <row r="849" customFormat="false" ht="11.25" hidden="false" customHeight="false" outlineLevel="0" collapsed="false">
      <c r="F849" s="122"/>
    </row>
    <row r="850" customFormat="false" ht="11.25" hidden="false" customHeight="false" outlineLevel="0" collapsed="false">
      <c r="F850" s="122"/>
    </row>
    <row r="851" customFormat="false" ht="11.25" hidden="false" customHeight="false" outlineLevel="0" collapsed="false">
      <c r="F851" s="122"/>
    </row>
    <row r="852" customFormat="false" ht="11.25" hidden="false" customHeight="false" outlineLevel="0" collapsed="false">
      <c r="F852" s="122"/>
    </row>
    <row r="853" customFormat="false" ht="11.25" hidden="false" customHeight="false" outlineLevel="0" collapsed="false">
      <c r="F853" s="122"/>
    </row>
    <row r="854" customFormat="false" ht="11.25" hidden="false" customHeight="false" outlineLevel="0" collapsed="false">
      <c r="F854" s="122"/>
    </row>
    <row r="855" customFormat="false" ht="11.25" hidden="false" customHeight="false" outlineLevel="0" collapsed="false">
      <c r="F855" s="122"/>
    </row>
    <row r="856" customFormat="false" ht="11.25" hidden="false" customHeight="false" outlineLevel="0" collapsed="false">
      <c r="F856" s="122"/>
    </row>
    <row r="857" customFormat="false" ht="11.25" hidden="false" customHeight="false" outlineLevel="0" collapsed="false">
      <c r="F857" s="122"/>
    </row>
    <row r="858" customFormat="false" ht="11.25" hidden="false" customHeight="false" outlineLevel="0" collapsed="false">
      <c r="F858" s="122"/>
    </row>
    <row r="859" customFormat="false" ht="11.25" hidden="false" customHeight="false" outlineLevel="0" collapsed="false">
      <c r="F859" s="122"/>
    </row>
    <row r="860" customFormat="false" ht="11.25" hidden="false" customHeight="false" outlineLevel="0" collapsed="false">
      <c r="F860" s="122"/>
    </row>
    <row r="861" customFormat="false" ht="11.25" hidden="false" customHeight="false" outlineLevel="0" collapsed="false">
      <c r="F861" s="122"/>
    </row>
    <row r="862" customFormat="false" ht="11.25" hidden="false" customHeight="false" outlineLevel="0" collapsed="false">
      <c r="F862" s="122"/>
    </row>
    <row r="863" customFormat="false" ht="11.25" hidden="false" customHeight="false" outlineLevel="0" collapsed="false">
      <c r="F863" s="122"/>
    </row>
    <row r="864" customFormat="false" ht="11.25" hidden="false" customHeight="false" outlineLevel="0" collapsed="false">
      <c r="F864" s="122"/>
    </row>
    <row r="865" customFormat="false" ht="11.25" hidden="false" customHeight="false" outlineLevel="0" collapsed="false">
      <c r="F865" s="122"/>
    </row>
    <row r="866" customFormat="false" ht="11.25" hidden="false" customHeight="false" outlineLevel="0" collapsed="false">
      <c r="F866" s="122"/>
    </row>
    <row r="867" customFormat="false" ht="11.25" hidden="false" customHeight="false" outlineLevel="0" collapsed="false">
      <c r="F867" s="122"/>
    </row>
    <row r="868" customFormat="false" ht="11.25" hidden="false" customHeight="false" outlineLevel="0" collapsed="false">
      <c r="F868" s="122"/>
    </row>
    <row r="869" customFormat="false" ht="11.25" hidden="false" customHeight="false" outlineLevel="0" collapsed="false">
      <c r="F869" s="122"/>
    </row>
    <row r="870" customFormat="false" ht="11.25" hidden="false" customHeight="false" outlineLevel="0" collapsed="false">
      <c r="F870" s="122"/>
    </row>
    <row r="871" customFormat="false" ht="11.25" hidden="false" customHeight="false" outlineLevel="0" collapsed="false">
      <c r="F871" s="122"/>
    </row>
    <row r="872" customFormat="false" ht="11.25" hidden="false" customHeight="false" outlineLevel="0" collapsed="false">
      <c r="F872" s="122"/>
    </row>
    <row r="873" customFormat="false" ht="11.25" hidden="false" customHeight="false" outlineLevel="0" collapsed="false">
      <c r="F873" s="122"/>
    </row>
    <row r="874" customFormat="false" ht="11.25" hidden="false" customHeight="false" outlineLevel="0" collapsed="false">
      <c r="F874" s="122"/>
    </row>
    <row r="875" customFormat="false" ht="11.25" hidden="false" customHeight="false" outlineLevel="0" collapsed="false">
      <c r="F875" s="122"/>
    </row>
    <row r="876" customFormat="false" ht="11.25" hidden="false" customHeight="false" outlineLevel="0" collapsed="false">
      <c r="F876" s="122"/>
    </row>
    <row r="877" customFormat="false" ht="11.25" hidden="false" customHeight="false" outlineLevel="0" collapsed="false">
      <c r="F877" s="122"/>
    </row>
    <row r="878" customFormat="false" ht="11.25" hidden="false" customHeight="false" outlineLevel="0" collapsed="false">
      <c r="F878" s="122"/>
    </row>
    <row r="879" customFormat="false" ht="11.25" hidden="false" customHeight="false" outlineLevel="0" collapsed="false">
      <c r="F879" s="122"/>
    </row>
    <row r="880" customFormat="false" ht="11.25" hidden="false" customHeight="false" outlineLevel="0" collapsed="false">
      <c r="F880" s="122"/>
    </row>
    <row r="881" customFormat="false" ht="11.25" hidden="false" customHeight="false" outlineLevel="0" collapsed="false">
      <c r="F881" s="122"/>
    </row>
    <row r="882" customFormat="false" ht="11.25" hidden="false" customHeight="false" outlineLevel="0" collapsed="false">
      <c r="F882" s="122"/>
    </row>
    <row r="883" customFormat="false" ht="11.25" hidden="false" customHeight="false" outlineLevel="0" collapsed="false">
      <c r="F883" s="122"/>
    </row>
    <row r="884" customFormat="false" ht="11.25" hidden="false" customHeight="false" outlineLevel="0" collapsed="false">
      <c r="F884" s="122"/>
    </row>
    <row r="885" customFormat="false" ht="11.25" hidden="false" customHeight="false" outlineLevel="0" collapsed="false">
      <c r="F885" s="122"/>
    </row>
    <row r="886" customFormat="false" ht="11.25" hidden="false" customHeight="false" outlineLevel="0" collapsed="false">
      <c r="F886" s="122"/>
    </row>
    <row r="887" customFormat="false" ht="11.25" hidden="false" customHeight="false" outlineLevel="0" collapsed="false">
      <c r="F887" s="122"/>
    </row>
    <row r="888" customFormat="false" ht="11.25" hidden="false" customHeight="false" outlineLevel="0" collapsed="false">
      <c r="F888" s="122"/>
    </row>
    <row r="889" customFormat="false" ht="11.25" hidden="false" customHeight="false" outlineLevel="0" collapsed="false">
      <c r="F889" s="122"/>
    </row>
    <row r="890" customFormat="false" ht="11.25" hidden="false" customHeight="false" outlineLevel="0" collapsed="false">
      <c r="F890" s="122"/>
    </row>
    <row r="891" customFormat="false" ht="11.25" hidden="false" customHeight="false" outlineLevel="0" collapsed="false">
      <c r="F891" s="122"/>
    </row>
    <row r="892" customFormat="false" ht="11.25" hidden="false" customHeight="false" outlineLevel="0" collapsed="false">
      <c r="F892" s="122"/>
    </row>
    <row r="893" customFormat="false" ht="11.25" hidden="false" customHeight="false" outlineLevel="0" collapsed="false">
      <c r="F893" s="122"/>
    </row>
    <row r="894" customFormat="false" ht="11.25" hidden="false" customHeight="false" outlineLevel="0" collapsed="false">
      <c r="F894" s="122"/>
    </row>
    <row r="895" customFormat="false" ht="11.25" hidden="false" customHeight="false" outlineLevel="0" collapsed="false">
      <c r="F895" s="122"/>
    </row>
    <row r="896" customFormat="false" ht="11.25" hidden="false" customHeight="false" outlineLevel="0" collapsed="false">
      <c r="F896" s="122"/>
    </row>
    <row r="897" customFormat="false" ht="11.25" hidden="false" customHeight="false" outlineLevel="0" collapsed="false">
      <c r="F897" s="122"/>
    </row>
    <row r="898" customFormat="false" ht="11.25" hidden="false" customHeight="false" outlineLevel="0" collapsed="false">
      <c r="F898" s="122"/>
    </row>
    <row r="899" customFormat="false" ht="11.25" hidden="false" customHeight="false" outlineLevel="0" collapsed="false">
      <c r="F899" s="122"/>
    </row>
    <row r="900" customFormat="false" ht="11.25" hidden="false" customHeight="false" outlineLevel="0" collapsed="false">
      <c r="F900" s="122"/>
    </row>
    <row r="901" customFormat="false" ht="11.25" hidden="false" customHeight="false" outlineLevel="0" collapsed="false">
      <c r="F901" s="122"/>
    </row>
    <row r="902" customFormat="false" ht="11.25" hidden="false" customHeight="false" outlineLevel="0" collapsed="false">
      <c r="F902" s="122"/>
    </row>
    <row r="903" customFormat="false" ht="11.25" hidden="false" customHeight="false" outlineLevel="0" collapsed="false">
      <c r="F903" s="122"/>
    </row>
    <row r="904" customFormat="false" ht="11.25" hidden="false" customHeight="false" outlineLevel="0" collapsed="false">
      <c r="F904" s="122"/>
    </row>
    <row r="905" customFormat="false" ht="11.25" hidden="false" customHeight="false" outlineLevel="0" collapsed="false">
      <c r="F905" s="122"/>
    </row>
    <row r="906" customFormat="false" ht="11.25" hidden="false" customHeight="false" outlineLevel="0" collapsed="false">
      <c r="F906" s="122"/>
    </row>
    <row r="907" customFormat="false" ht="11.25" hidden="false" customHeight="false" outlineLevel="0" collapsed="false">
      <c r="F907" s="122"/>
    </row>
    <row r="908" customFormat="false" ht="11.25" hidden="false" customHeight="false" outlineLevel="0" collapsed="false">
      <c r="F908" s="122"/>
    </row>
    <row r="909" customFormat="false" ht="11.25" hidden="false" customHeight="false" outlineLevel="0" collapsed="false">
      <c r="F909" s="122"/>
    </row>
    <row r="910" customFormat="false" ht="11.25" hidden="false" customHeight="false" outlineLevel="0" collapsed="false">
      <c r="F910" s="122"/>
    </row>
    <row r="911" customFormat="false" ht="11.25" hidden="false" customHeight="false" outlineLevel="0" collapsed="false">
      <c r="F911" s="122"/>
    </row>
    <row r="912" customFormat="false" ht="11.25" hidden="false" customHeight="false" outlineLevel="0" collapsed="false">
      <c r="F912" s="122"/>
    </row>
    <row r="913" customFormat="false" ht="11.25" hidden="false" customHeight="false" outlineLevel="0" collapsed="false">
      <c r="F913" s="122"/>
    </row>
    <row r="914" customFormat="false" ht="11.25" hidden="false" customHeight="false" outlineLevel="0" collapsed="false">
      <c r="F914" s="122"/>
    </row>
    <row r="915" customFormat="false" ht="11.25" hidden="false" customHeight="false" outlineLevel="0" collapsed="false">
      <c r="F915" s="122"/>
    </row>
    <row r="916" customFormat="false" ht="11.25" hidden="false" customHeight="false" outlineLevel="0" collapsed="false">
      <c r="F916" s="122"/>
    </row>
    <row r="917" customFormat="false" ht="11.25" hidden="false" customHeight="false" outlineLevel="0" collapsed="false">
      <c r="F917" s="122"/>
    </row>
    <row r="918" customFormat="false" ht="11.25" hidden="false" customHeight="false" outlineLevel="0" collapsed="false">
      <c r="F918" s="122"/>
    </row>
    <row r="919" customFormat="false" ht="11.25" hidden="false" customHeight="false" outlineLevel="0" collapsed="false">
      <c r="F919" s="122"/>
    </row>
    <row r="920" customFormat="false" ht="11.25" hidden="false" customHeight="false" outlineLevel="0" collapsed="false">
      <c r="F920" s="122"/>
    </row>
    <row r="921" customFormat="false" ht="11.25" hidden="false" customHeight="false" outlineLevel="0" collapsed="false">
      <c r="F921" s="122"/>
    </row>
    <row r="922" customFormat="false" ht="11.25" hidden="false" customHeight="false" outlineLevel="0" collapsed="false">
      <c r="F922" s="122"/>
    </row>
    <row r="923" customFormat="false" ht="11.25" hidden="false" customHeight="false" outlineLevel="0" collapsed="false">
      <c r="F923" s="122"/>
    </row>
    <row r="924" customFormat="false" ht="11.25" hidden="false" customHeight="false" outlineLevel="0" collapsed="false">
      <c r="F924" s="122"/>
    </row>
    <row r="925" customFormat="false" ht="11.25" hidden="false" customHeight="false" outlineLevel="0" collapsed="false">
      <c r="F925" s="122"/>
    </row>
    <row r="926" customFormat="false" ht="11.25" hidden="false" customHeight="false" outlineLevel="0" collapsed="false">
      <c r="F926" s="122"/>
    </row>
    <row r="927" customFormat="false" ht="11.25" hidden="false" customHeight="false" outlineLevel="0" collapsed="false">
      <c r="F927" s="122"/>
    </row>
    <row r="928" customFormat="false" ht="11.25" hidden="false" customHeight="false" outlineLevel="0" collapsed="false">
      <c r="F928" s="122"/>
    </row>
    <row r="929" customFormat="false" ht="11.25" hidden="false" customHeight="false" outlineLevel="0" collapsed="false">
      <c r="F929" s="122"/>
    </row>
    <row r="930" customFormat="false" ht="11.25" hidden="false" customHeight="false" outlineLevel="0" collapsed="false">
      <c r="F930" s="122"/>
    </row>
    <row r="931" customFormat="false" ht="11.25" hidden="false" customHeight="false" outlineLevel="0" collapsed="false">
      <c r="F931" s="122"/>
    </row>
    <row r="932" customFormat="false" ht="11.25" hidden="false" customHeight="false" outlineLevel="0" collapsed="false">
      <c r="F932" s="122"/>
    </row>
    <row r="933" customFormat="false" ht="11.25" hidden="false" customHeight="false" outlineLevel="0" collapsed="false">
      <c r="F933" s="122"/>
    </row>
    <row r="934" customFormat="false" ht="11.25" hidden="false" customHeight="false" outlineLevel="0" collapsed="false">
      <c r="F934" s="122"/>
    </row>
    <row r="935" customFormat="false" ht="11.25" hidden="false" customHeight="false" outlineLevel="0" collapsed="false">
      <c r="F935" s="122"/>
    </row>
    <row r="936" customFormat="false" ht="11.25" hidden="false" customHeight="false" outlineLevel="0" collapsed="false">
      <c r="F936" s="122"/>
    </row>
    <row r="937" customFormat="false" ht="11.25" hidden="false" customHeight="false" outlineLevel="0" collapsed="false">
      <c r="F937" s="122"/>
    </row>
    <row r="938" customFormat="false" ht="11.25" hidden="false" customHeight="false" outlineLevel="0" collapsed="false">
      <c r="F938" s="122"/>
    </row>
    <row r="939" customFormat="false" ht="11.25" hidden="false" customHeight="false" outlineLevel="0" collapsed="false">
      <c r="F939" s="122"/>
    </row>
    <row r="940" customFormat="false" ht="11.25" hidden="false" customHeight="false" outlineLevel="0" collapsed="false">
      <c r="F940" s="122"/>
    </row>
    <row r="941" customFormat="false" ht="11.25" hidden="false" customHeight="false" outlineLevel="0" collapsed="false">
      <c r="F941" s="122"/>
    </row>
    <row r="942" customFormat="false" ht="11.25" hidden="false" customHeight="false" outlineLevel="0" collapsed="false">
      <c r="F942" s="122"/>
    </row>
    <row r="943" customFormat="false" ht="11.25" hidden="false" customHeight="false" outlineLevel="0" collapsed="false">
      <c r="F943" s="122"/>
    </row>
    <row r="944" customFormat="false" ht="11.25" hidden="false" customHeight="false" outlineLevel="0" collapsed="false">
      <c r="F944" s="122"/>
    </row>
    <row r="945" customFormat="false" ht="11.25" hidden="false" customHeight="false" outlineLevel="0" collapsed="false">
      <c r="F945" s="122"/>
    </row>
    <row r="946" customFormat="false" ht="11.25" hidden="false" customHeight="false" outlineLevel="0" collapsed="false">
      <c r="F946" s="122"/>
    </row>
    <row r="947" customFormat="false" ht="11.25" hidden="false" customHeight="false" outlineLevel="0" collapsed="false">
      <c r="F947" s="122"/>
    </row>
    <row r="948" customFormat="false" ht="11.25" hidden="false" customHeight="false" outlineLevel="0" collapsed="false">
      <c r="F948" s="122"/>
    </row>
    <row r="949" customFormat="false" ht="11.25" hidden="false" customHeight="false" outlineLevel="0" collapsed="false">
      <c r="F949" s="122"/>
    </row>
    <row r="950" customFormat="false" ht="11.25" hidden="false" customHeight="false" outlineLevel="0" collapsed="false">
      <c r="F950" s="122"/>
    </row>
    <row r="951" customFormat="false" ht="11.25" hidden="false" customHeight="false" outlineLevel="0" collapsed="false">
      <c r="F951" s="122"/>
    </row>
    <row r="952" customFormat="false" ht="11.25" hidden="false" customHeight="false" outlineLevel="0" collapsed="false">
      <c r="F952" s="122"/>
    </row>
    <row r="953" customFormat="false" ht="11.25" hidden="false" customHeight="false" outlineLevel="0" collapsed="false">
      <c r="F953" s="122"/>
    </row>
    <row r="954" customFormat="false" ht="11.25" hidden="false" customHeight="false" outlineLevel="0" collapsed="false">
      <c r="F954" s="122"/>
    </row>
    <row r="955" customFormat="false" ht="11.25" hidden="false" customHeight="false" outlineLevel="0" collapsed="false">
      <c r="F955" s="122"/>
    </row>
    <row r="956" customFormat="false" ht="11.25" hidden="false" customHeight="false" outlineLevel="0" collapsed="false">
      <c r="F956" s="122"/>
    </row>
    <row r="957" customFormat="false" ht="11.25" hidden="false" customHeight="false" outlineLevel="0" collapsed="false">
      <c r="F957" s="122"/>
    </row>
    <row r="958" customFormat="false" ht="11.25" hidden="false" customHeight="false" outlineLevel="0" collapsed="false">
      <c r="F958" s="122"/>
    </row>
    <row r="959" customFormat="false" ht="11.25" hidden="false" customHeight="false" outlineLevel="0" collapsed="false">
      <c r="F959" s="122"/>
    </row>
    <row r="960" customFormat="false" ht="11.25" hidden="false" customHeight="false" outlineLevel="0" collapsed="false">
      <c r="F960" s="122"/>
    </row>
    <row r="961" customFormat="false" ht="11.25" hidden="false" customHeight="false" outlineLevel="0" collapsed="false">
      <c r="F961" s="122"/>
    </row>
    <row r="962" customFormat="false" ht="11.25" hidden="false" customHeight="false" outlineLevel="0" collapsed="false">
      <c r="F962" s="122"/>
    </row>
    <row r="963" customFormat="false" ht="11.25" hidden="false" customHeight="false" outlineLevel="0" collapsed="false">
      <c r="F963" s="122"/>
    </row>
    <row r="964" customFormat="false" ht="11.25" hidden="false" customHeight="false" outlineLevel="0" collapsed="false">
      <c r="F964" s="122"/>
    </row>
    <row r="965" customFormat="false" ht="11.25" hidden="false" customHeight="false" outlineLevel="0" collapsed="false">
      <c r="F965" s="122"/>
    </row>
    <row r="966" customFormat="false" ht="11.25" hidden="false" customHeight="false" outlineLevel="0" collapsed="false">
      <c r="F966" s="122"/>
    </row>
    <row r="967" customFormat="false" ht="11.25" hidden="false" customHeight="false" outlineLevel="0" collapsed="false">
      <c r="F967" s="122"/>
    </row>
    <row r="968" customFormat="false" ht="11.25" hidden="false" customHeight="false" outlineLevel="0" collapsed="false">
      <c r="F968" s="122"/>
    </row>
    <row r="969" customFormat="false" ht="11.25" hidden="false" customHeight="false" outlineLevel="0" collapsed="false">
      <c r="F969" s="122"/>
    </row>
    <row r="970" customFormat="false" ht="11.25" hidden="false" customHeight="false" outlineLevel="0" collapsed="false">
      <c r="F970" s="122"/>
    </row>
    <row r="971" customFormat="false" ht="11.25" hidden="false" customHeight="false" outlineLevel="0" collapsed="false">
      <c r="F971" s="122"/>
    </row>
    <row r="972" customFormat="false" ht="11.25" hidden="false" customHeight="false" outlineLevel="0" collapsed="false">
      <c r="F972" s="122"/>
    </row>
    <row r="973" customFormat="false" ht="11.25" hidden="false" customHeight="false" outlineLevel="0" collapsed="false">
      <c r="F973" s="122"/>
    </row>
    <row r="974" customFormat="false" ht="11.25" hidden="false" customHeight="false" outlineLevel="0" collapsed="false">
      <c r="F974" s="122"/>
    </row>
    <row r="975" customFormat="false" ht="11.25" hidden="false" customHeight="false" outlineLevel="0" collapsed="false">
      <c r="F975" s="122"/>
    </row>
    <row r="976" customFormat="false" ht="11.25" hidden="false" customHeight="false" outlineLevel="0" collapsed="false">
      <c r="F976" s="122"/>
    </row>
    <row r="977" customFormat="false" ht="11.25" hidden="false" customHeight="false" outlineLevel="0" collapsed="false">
      <c r="F977" s="122"/>
    </row>
    <row r="978" customFormat="false" ht="11.25" hidden="false" customHeight="false" outlineLevel="0" collapsed="false">
      <c r="F978" s="122"/>
    </row>
    <row r="979" customFormat="false" ht="11.25" hidden="false" customHeight="false" outlineLevel="0" collapsed="false">
      <c r="F979" s="122"/>
    </row>
    <row r="980" customFormat="false" ht="11.25" hidden="false" customHeight="false" outlineLevel="0" collapsed="false">
      <c r="F980" s="122"/>
    </row>
    <row r="981" customFormat="false" ht="11.25" hidden="false" customHeight="false" outlineLevel="0" collapsed="false">
      <c r="F981" s="122"/>
    </row>
    <row r="982" customFormat="false" ht="11.25" hidden="false" customHeight="false" outlineLevel="0" collapsed="false">
      <c r="F982" s="122"/>
    </row>
    <row r="983" customFormat="false" ht="11.25" hidden="false" customHeight="false" outlineLevel="0" collapsed="false">
      <c r="F983" s="122"/>
    </row>
    <row r="984" customFormat="false" ht="11.25" hidden="false" customHeight="false" outlineLevel="0" collapsed="false">
      <c r="F984" s="122"/>
    </row>
    <row r="985" customFormat="false" ht="11.25" hidden="false" customHeight="false" outlineLevel="0" collapsed="false">
      <c r="F985" s="122"/>
    </row>
    <row r="986" customFormat="false" ht="11.25" hidden="false" customHeight="false" outlineLevel="0" collapsed="false">
      <c r="F986" s="122"/>
    </row>
    <row r="987" customFormat="false" ht="11.25" hidden="false" customHeight="false" outlineLevel="0" collapsed="false">
      <c r="F987" s="122"/>
    </row>
    <row r="988" customFormat="false" ht="11.25" hidden="false" customHeight="false" outlineLevel="0" collapsed="false">
      <c r="F988" s="122"/>
    </row>
    <row r="989" customFormat="false" ht="11.25" hidden="false" customHeight="false" outlineLevel="0" collapsed="false">
      <c r="F989" s="122"/>
    </row>
    <row r="990" customFormat="false" ht="11.25" hidden="false" customHeight="false" outlineLevel="0" collapsed="false">
      <c r="F990" s="122"/>
    </row>
    <row r="991" customFormat="false" ht="11.25" hidden="false" customHeight="false" outlineLevel="0" collapsed="false">
      <c r="F991" s="122"/>
    </row>
    <row r="992" customFormat="false" ht="11.25" hidden="false" customHeight="false" outlineLevel="0" collapsed="false">
      <c r="F992" s="122"/>
    </row>
    <row r="993" customFormat="false" ht="11.25" hidden="false" customHeight="false" outlineLevel="0" collapsed="false">
      <c r="F993" s="122"/>
    </row>
    <row r="994" customFormat="false" ht="11.25" hidden="false" customHeight="false" outlineLevel="0" collapsed="false">
      <c r="F994" s="122"/>
    </row>
    <row r="995" customFormat="false" ht="11.25" hidden="false" customHeight="false" outlineLevel="0" collapsed="false">
      <c r="F995" s="122"/>
    </row>
    <row r="996" customFormat="false" ht="11.25" hidden="false" customHeight="false" outlineLevel="0" collapsed="false">
      <c r="F996" s="122"/>
    </row>
    <row r="997" customFormat="false" ht="11.25" hidden="false" customHeight="false" outlineLevel="0" collapsed="false">
      <c r="F997" s="122"/>
    </row>
    <row r="998" customFormat="false" ht="11.25" hidden="false" customHeight="false" outlineLevel="0" collapsed="false">
      <c r="F998" s="122"/>
    </row>
    <row r="999" customFormat="false" ht="11.25" hidden="false" customHeight="false" outlineLevel="0" collapsed="false">
      <c r="F999" s="122"/>
    </row>
    <row r="1000" customFormat="false" ht="11.25" hidden="false" customHeight="false" outlineLevel="0" collapsed="false">
      <c r="F1000" s="122"/>
    </row>
    <row r="1001" customFormat="false" ht="11.25" hidden="false" customHeight="false" outlineLevel="0" collapsed="false">
      <c r="F1001" s="122"/>
    </row>
    <row r="1002" customFormat="false" ht="11.25" hidden="false" customHeight="false" outlineLevel="0" collapsed="false">
      <c r="F1002" s="122"/>
    </row>
    <row r="1003" customFormat="false" ht="11.25" hidden="false" customHeight="false" outlineLevel="0" collapsed="false">
      <c r="F1003" s="122"/>
    </row>
    <row r="1004" customFormat="false" ht="11.25" hidden="false" customHeight="false" outlineLevel="0" collapsed="false">
      <c r="F1004" s="122"/>
    </row>
    <row r="1005" customFormat="false" ht="11.25" hidden="false" customHeight="false" outlineLevel="0" collapsed="false">
      <c r="F1005" s="122"/>
    </row>
    <row r="1006" customFormat="false" ht="11.25" hidden="false" customHeight="false" outlineLevel="0" collapsed="false">
      <c r="F1006" s="122"/>
    </row>
    <row r="1007" customFormat="false" ht="11.25" hidden="false" customHeight="false" outlineLevel="0" collapsed="false">
      <c r="F1007" s="122"/>
    </row>
    <row r="1008" customFormat="false" ht="11.25" hidden="false" customHeight="false" outlineLevel="0" collapsed="false">
      <c r="F1008" s="122"/>
    </row>
    <row r="1009" customFormat="false" ht="11.25" hidden="false" customHeight="false" outlineLevel="0" collapsed="false">
      <c r="F1009" s="122"/>
    </row>
    <row r="1010" customFormat="false" ht="11.25" hidden="false" customHeight="false" outlineLevel="0" collapsed="false">
      <c r="F1010" s="122"/>
    </row>
    <row r="1011" customFormat="false" ht="11.25" hidden="false" customHeight="false" outlineLevel="0" collapsed="false">
      <c r="F1011" s="122"/>
    </row>
    <row r="1012" customFormat="false" ht="11.25" hidden="false" customHeight="false" outlineLevel="0" collapsed="false">
      <c r="F1012" s="122"/>
    </row>
    <row r="1013" customFormat="false" ht="11.25" hidden="false" customHeight="false" outlineLevel="0" collapsed="false">
      <c r="F1013" s="122"/>
    </row>
    <row r="1014" customFormat="false" ht="11.25" hidden="false" customHeight="false" outlineLevel="0" collapsed="false">
      <c r="F1014" s="122"/>
    </row>
    <row r="1015" customFormat="false" ht="11.25" hidden="false" customHeight="false" outlineLevel="0" collapsed="false">
      <c r="F1015" s="122"/>
    </row>
    <row r="1016" customFormat="false" ht="11.25" hidden="false" customHeight="false" outlineLevel="0" collapsed="false">
      <c r="F1016" s="122"/>
    </row>
    <row r="1017" customFormat="false" ht="11.25" hidden="false" customHeight="false" outlineLevel="0" collapsed="false">
      <c r="F1017" s="122"/>
    </row>
    <row r="1018" customFormat="false" ht="11.25" hidden="false" customHeight="false" outlineLevel="0" collapsed="false">
      <c r="F1018" s="122"/>
    </row>
    <row r="1019" customFormat="false" ht="11.25" hidden="false" customHeight="false" outlineLevel="0" collapsed="false">
      <c r="F1019" s="122"/>
    </row>
    <row r="1020" customFormat="false" ht="11.25" hidden="false" customHeight="false" outlineLevel="0" collapsed="false">
      <c r="F1020" s="122"/>
    </row>
    <row r="1021" customFormat="false" ht="11.25" hidden="false" customHeight="false" outlineLevel="0" collapsed="false">
      <c r="F1021" s="122"/>
    </row>
    <row r="1022" customFormat="false" ht="11.25" hidden="false" customHeight="false" outlineLevel="0" collapsed="false">
      <c r="F1022" s="122"/>
    </row>
    <row r="1023" customFormat="false" ht="11.25" hidden="false" customHeight="false" outlineLevel="0" collapsed="false">
      <c r="F1023" s="122"/>
    </row>
    <row r="1024" customFormat="false" ht="11.25" hidden="false" customHeight="false" outlineLevel="0" collapsed="false">
      <c r="F1024" s="122"/>
    </row>
    <row r="1025" customFormat="false" ht="11.25" hidden="false" customHeight="false" outlineLevel="0" collapsed="false">
      <c r="F1025" s="122"/>
    </row>
    <row r="1026" customFormat="false" ht="11.25" hidden="false" customHeight="false" outlineLevel="0" collapsed="false">
      <c r="F1026" s="122"/>
    </row>
    <row r="1027" customFormat="false" ht="11.25" hidden="false" customHeight="false" outlineLevel="0" collapsed="false">
      <c r="F1027" s="122"/>
    </row>
    <row r="1028" customFormat="false" ht="11.25" hidden="false" customHeight="false" outlineLevel="0" collapsed="false">
      <c r="F1028" s="122"/>
    </row>
    <row r="1029" customFormat="false" ht="11.25" hidden="false" customHeight="false" outlineLevel="0" collapsed="false">
      <c r="F1029" s="122"/>
    </row>
    <row r="1030" customFormat="false" ht="11.25" hidden="false" customHeight="false" outlineLevel="0" collapsed="false">
      <c r="F1030" s="122"/>
    </row>
    <row r="1031" customFormat="false" ht="11.25" hidden="false" customHeight="false" outlineLevel="0" collapsed="false">
      <c r="F1031" s="122"/>
    </row>
    <row r="1032" customFormat="false" ht="11.25" hidden="false" customHeight="false" outlineLevel="0" collapsed="false">
      <c r="F1032" s="122"/>
    </row>
    <row r="1033" customFormat="false" ht="11.25" hidden="false" customHeight="false" outlineLevel="0" collapsed="false">
      <c r="F1033" s="122"/>
    </row>
    <row r="1034" customFormat="false" ht="11.25" hidden="false" customHeight="false" outlineLevel="0" collapsed="false">
      <c r="F1034" s="122"/>
    </row>
    <row r="1035" customFormat="false" ht="11.25" hidden="false" customHeight="false" outlineLevel="0" collapsed="false">
      <c r="F1035" s="122"/>
    </row>
    <row r="1036" customFormat="false" ht="11.25" hidden="false" customHeight="false" outlineLevel="0" collapsed="false">
      <c r="F1036" s="122"/>
    </row>
    <row r="1037" customFormat="false" ht="11.25" hidden="false" customHeight="false" outlineLevel="0" collapsed="false">
      <c r="F1037" s="122"/>
    </row>
    <row r="1038" customFormat="false" ht="11.25" hidden="false" customHeight="false" outlineLevel="0" collapsed="false">
      <c r="F1038" s="122"/>
    </row>
    <row r="1039" customFormat="false" ht="11.25" hidden="false" customHeight="false" outlineLevel="0" collapsed="false">
      <c r="F1039" s="122"/>
    </row>
    <row r="1040" customFormat="false" ht="11.25" hidden="false" customHeight="false" outlineLevel="0" collapsed="false">
      <c r="F1040" s="122"/>
    </row>
    <row r="1041" customFormat="false" ht="11.25" hidden="false" customHeight="false" outlineLevel="0" collapsed="false">
      <c r="F1041" s="122"/>
    </row>
    <row r="1042" customFormat="false" ht="11.25" hidden="false" customHeight="false" outlineLevel="0" collapsed="false">
      <c r="F1042" s="122"/>
    </row>
    <row r="1043" customFormat="false" ht="11.25" hidden="false" customHeight="false" outlineLevel="0" collapsed="false">
      <c r="F1043" s="122"/>
    </row>
    <row r="1044" customFormat="false" ht="11.25" hidden="false" customHeight="false" outlineLevel="0" collapsed="false">
      <c r="F1044" s="122"/>
    </row>
    <row r="1045" customFormat="false" ht="11.25" hidden="false" customHeight="false" outlineLevel="0" collapsed="false">
      <c r="F1045" s="122"/>
    </row>
    <row r="1046" customFormat="false" ht="11.25" hidden="false" customHeight="false" outlineLevel="0" collapsed="false">
      <c r="F1046" s="122"/>
    </row>
    <row r="1047" customFormat="false" ht="11.25" hidden="false" customHeight="false" outlineLevel="0" collapsed="false">
      <c r="F1047" s="122"/>
    </row>
    <row r="1048" customFormat="false" ht="11.25" hidden="false" customHeight="false" outlineLevel="0" collapsed="false">
      <c r="F1048" s="122"/>
    </row>
    <row r="1049" customFormat="false" ht="11.25" hidden="false" customHeight="false" outlineLevel="0" collapsed="false">
      <c r="F1049" s="122"/>
    </row>
    <row r="1050" customFormat="false" ht="11.25" hidden="false" customHeight="false" outlineLevel="0" collapsed="false">
      <c r="F1050" s="122"/>
    </row>
    <row r="1051" customFormat="false" ht="11.25" hidden="false" customHeight="false" outlineLevel="0" collapsed="false">
      <c r="F1051" s="122"/>
    </row>
    <row r="1052" customFormat="false" ht="11.25" hidden="false" customHeight="false" outlineLevel="0" collapsed="false">
      <c r="F1052" s="122"/>
    </row>
    <row r="1053" customFormat="false" ht="11.25" hidden="false" customHeight="false" outlineLevel="0" collapsed="false">
      <c r="F1053" s="122"/>
    </row>
    <row r="1054" customFormat="false" ht="11.25" hidden="false" customHeight="false" outlineLevel="0" collapsed="false">
      <c r="F1054" s="122"/>
    </row>
    <row r="1055" customFormat="false" ht="11.25" hidden="false" customHeight="false" outlineLevel="0" collapsed="false">
      <c r="F1055" s="122"/>
    </row>
    <row r="1056" customFormat="false" ht="11.25" hidden="false" customHeight="false" outlineLevel="0" collapsed="false">
      <c r="F1056" s="122"/>
    </row>
    <row r="1057" customFormat="false" ht="11.25" hidden="false" customHeight="false" outlineLevel="0" collapsed="false">
      <c r="F1057" s="122"/>
    </row>
    <row r="1058" customFormat="false" ht="11.25" hidden="false" customHeight="false" outlineLevel="0" collapsed="false">
      <c r="F1058" s="122"/>
    </row>
    <row r="1059" customFormat="false" ht="11.25" hidden="false" customHeight="false" outlineLevel="0" collapsed="false">
      <c r="F1059" s="122"/>
    </row>
    <row r="1060" customFormat="false" ht="11.25" hidden="false" customHeight="false" outlineLevel="0" collapsed="false">
      <c r="F1060" s="122"/>
    </row>
    <row r="1061" customFormat="false" ht="11.25" hidden="false" customHeight="false" outlineLevel="0" collapsed="false">
      <c r="F1061" s="122"/>
    </row>
    <row r="1062" customFormat="false" ht="11.25" hidden="false" customHeight="false" outlineLevel="0" collapsed="false">
      <c r="F1062" s="122"/>
    </row>
    <row r="1063" customFormat="false" ht="11.25" hidden="false" customHeight="false" outlineLevel="0" collapsed="false">
      <c r="F1063" s="122"/>
    </row>
    <row r="1064" customFormat="false" ht="11.25" hidden="false" customHeight="false" outlineLevel="0" collapsed="false">
      <c r="F1064" s="122"/>
    </row>
    <row r="1065" customFormat="false" ht="11.25" hidden="false" customHeight="false" outlineLevel="0" collapsed="false">
      <c r="F1065" s="122"/>
    </row>
    <row r="1066" customFormat="false" ht="11.25" hidden="false" customHeight="false" outlineLevel="0" collapsed="false">
      <c r="F1066" s="122"/>
    </row>
    <row r="1067" customFormat="false" ht="11.25" hidden="false" customHeight="false" outlineLevel="0" collapsed="false">
      <c r="F1067" s="122"/>
    </row>
    <row r="1068" customFormat="false" ht="11.25" hidden="false" customHeight="false" outlineLevel="0" collapsed="false">
      <c r="F1068" s="122"/>
    </row>
    <row r="1069" customFormat="false" ht="11.25" hidden="false" customHeight="false" outlineLevel="0" collapsed="false">
      <c r="F1069" s="122"/>
    </row>
    <row r="1070" customFormat="false" ht="11.25" hidden="false" customHeight="false" outlineLevel="0" collapsed="false">
      <c r="F1070" s="122"/>
    </row>
    <row r="1071" customFormat="false" ht="11.25" hidden="false" customHeight="false" outlineLevel="0" collapsed="false">
      <c r="F1071" s="122"/>
    </row>
    <row r="1072" customFormat="false" ht="11.25" hidden="false" customHeight="false" outlineLevel="0" collapsed="false">
      <c r="F1072" s="122"/>
    </row>
    <row r="1073" customFormat="false" ht="11.25" hidden="false" customHeight="false" outlineLevel="0" collapsed="false">
      <c r="F1073" s="122"/>
    </row>
    <row r="1074" customFormat="false" ht="11.25" hidden="false" customHeight="false" outlineLevel="0" collapsed="false">
      <c r="F1074" s="122"/>
    </row>
    <row r="1075" customFormat="false" ht="11.25" hidden="false" customHeight="false" outlineLevel="0" collapsed="false">
      <c r="F1075" s="122"/>
    </row>
    <row r="1076" customFormat="false" ht="11.25" hidden="false" customHeight="false" outlineLevel="0" collapsed="false">
      <c r="F1076" s="122"/>
    </row>
  </sheetData>
  <mergeCells count="8">
    <mergeCell ref="B3:E3"/>
    <mergeCell ref="G3:J3"/>
    <mergeCell ref="L3:O3"/>
    <mergeCell ref="Q3:T3"/>
    <mergeCell ref="B51:B52"/>
    <mergeCell ref="G51:G52"/>
    <mergeCell ref="H51:H52"/>
    <mergeCell ref="K51:K5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6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defaultColWidth="9.13671875" defaultRowHeight="15" zeroHeight="false" outlineLevelRow="0" outlineLevelCol="0"/>
  <cols>
    <col collapsed="false" customWidth="true" hidden="false" outlineLevel="0" max="1" min="1" style="453" width="31.71"/>
    <col collapsed="false" customWidth="true" hidden="false" outlineLevel="0" max="6" min="2" style="453" width="8.85"/>
    <col collapsed="false" customWidth="true" hidden="false" outlineLevel="0" max="7" min="7" style="453" width="9.28"/>
    <col collapsed="false" customWidth="true" hidden="false" outlineLevel="0" max="8" min="8" style="454" width="8.85"/>
    <col collapsed="false" customWidth="true" hidden="false" outlineLevel="0" max="11" min="9" style="453" width="8.85"/>
    <col collapsed="false" customWidth="true" hidden="false" outlineLevel="0" max="12" min="12" style="453" width="9.42"/>
    <col collapsed="false" customWidth="true" hidden="false" outlineLevel="0" max="13" min="13" style="453" width="9.85"/>
    <col collapsed="false" customWidth="true" hidden="false" outlineLevel="0" max="14" min="14" style="453" width="9.56"/>
    <col collapsed="false" customWidth="true" hidden="false" outlineLevel="0" max="15" min="15" style="454" width="9.42"/>
    <col collapsed="false" customWidth="false" hidden="false" outlineLevel="0" max="17" min="16" style="265" width="9.13"/>
    <col collapsed="false" customWidth="true" hidden="false" outlineLevel="0" max="18" min="18" style="265" width="10.13"/>
    <col collapsed="false" customWidth="false" hidden="false" outlineLevel="0" max="19" min="19" style="265" width="9.13"/>
    <col collapsed="false" customWidth="true" hidden="false" outlineLevel="0" max="20" min="20" style="265" width="10.42"/>
    <col collapsed="false" customWidth="false" hidden="false" outlineLevel="0" max="21" min="21" style="265" width="9.13"/>
    <col collapsed="false" customWidth="true" hidden="false" outlineLevel="0" max="22" min="22" style="265" width="9.71"/>
    <col collapsed="false" customWidth="false" hidden="false" outlineLevel="0" max="24" min="23" style="265" width="9.13"/>
    <col collapsed="false" customWidth="true" hidden="false" outlineLevel="0" max="25" min="25" style="265" width="10.13"/>
    <col collapsed="false" customWidth="false" hidden="false" outlineLevel="0" max="26" min="26" style="265" width="9.13"/>
    <col collapsed="false" customWidth="true" hidden="false" outlineLevel="0" max="27" min="27" style="265" width="10.42"/>
    <col collapsed="false" customWidth="false" hidden="false" outlineLevel="0" max="28" min="28" style="265" width="9.13"/>
    <col collapsed="false" customWidth="true" hidden="false" outlineLevel="0" max="29" min="29" style="265" width="10.85"/>
    <col collapsed="false" customWidth="true" hidden="false" outlineLevel="0" max="30" min="30" style="265" width="12.13"/>
    <col collapsed="false" customWidth="true" hidden="false" outlineLevel="0" max="33" min="31" style="265" width="11.56"/>
    <col collapsed="false" customWidth="false" hidden="false" outlineLevel="0" max="257" min="34" style="265" width="9.13"/>
  </cols>
  <sheetData>
    <row r="1" s="32" customFormat="true" ht="36.75" hidden="false" customHeight="true" outlineLevel="0" collapsed="false">
      <c r="A1" s="455" t="s">
        <v>15</v>
      </c>
      <c r="B1" s="26"/>
      <c r="C1" s="27"/>
      <c r="D1" s="28"/>
      <c r="E1" s="28"/>
      <c r="F1" s="28"/>
      <c r="G1" s="28"/>
      <c r="H1" s="26"/>
      <c r="I1" s="26"/>
      <c r="J1" s="456"/>
      <c r="K1" s="456"/>
      <c r="L1" s="456"/>
      <c r="M1" s="456"/>
      <c r="N1" s="28"/>
      <c r="O1" s="26"/>
      <c r="P1" s="26"/>
      <c r="Q1" s="28"/>
      <c r="R1" s="28"/>
      <c r="S1" s="30"/>
      <c r="T1" s="27"/>
      <c r="U1" s="30"/>
      <c r="V1" s="30"/>
      <c r="W1" s="26"/>
      <c r="X1" s="28"/>
      <c r="Y1" s="28"/>
      <c r="Z1" s="30"/>
      <c r="AA1" s="27"/>
      <c r="AB1" s="30"/>
      <c r="AC1" s="30"/>
      <c r="AD1" s="27"/>
      <c r="AE1" s="27"/>
      <c r="AF1" s="27"/>
      <c r="AG1" s="31"/>
    </row>
    <row r="2" s="32" customFormat="true" ht="15.75" hidden="false" customHeight="true" outlineLevel="0" collapsed="false">
      <c r="A2" s="457"/>
      <c r="B2" s="458"/>
      <c r="D2" s="459"/>
      <c r="E2" s="459"/>
      <c r="F2" s="459"/>
      <c r="G2" s="459"/>
      <c r="H2" s="458"/>
      <c r="I2" s="458"/>
      <c r="J2" s="29"/>
      <c r="K2" s="29"/>
      <c r="L2" s="29"/>
      <c r="M2" s="29"/>
      <c r="N2" s="459"/>
      <c r="O2" s="458"/>
      <c r="P2" s="458"/>
      <c r="Q2" s="459"/>
      <c r="R2" s="459"/>
      <c r="S2" s="460"/>
      <c r="U2" s="460"/>
      <c r="V2" s="460"/>
      <c r="W2" s="458"/>
      <c r="X2" s="459"/>
      <c r="Y2" s="459"/>
      <c r="Z2" s="460"/>
      <c r="AB2" s="460"/>
      <c r="AC2" s="460"/>
    </row>
    <row r="3" customFormat="false" ht="25.5" hidden="false" customHeight="true" outlineLevel="0" collapsed="false">
      <c r="A3" s="461" t="s">
        <v>198</v>
      </c>
      <c r="B3" s="462" t="s">
        <v>119</v>
      </c>
      <c r="C3" s="462"/>
      <c r="D3" s="462"/>
      <c r="E3" s="462"/>
      <c r="F3" s="462"/>
      <c r="G3" s="462"/>
      <c r="H3" s="216" t="s">
        <v>120</v>
      </c>
      <c r="I3" s="462" t="s">
        <v>121</v>
      </c>
      <c r="J3" s="462"/>
      <c r="K3" s="462"/>
      <c r="L3" s="462"/>
      <c r="M3" s="462"/>
      <c r="N3" s="462"/>
      <c r="O3" s="216" t="s">
        <v>120</v>
      </c>
      <c r="P3" s="215" t="s">
        <v>122</v>
      </c>
      <c r="Q3" s="215"/>
      <c r="R3" s="215"/>
      <c r="S3" s="215"/>
      <c r="T3" s="215"/>
      <c r="U3" s="215"/>
      <c r="V3" s="216" t="s">
        <v>120</v>
      </c>
      <c r="W3" s="215" t="s">
        <v>123</v>
      </c>
      <c r="X3" s="215"/>
      <c r="Y3" s="215"/>
      <c r="Z3" s="215"/>
      <c r="AA3" s="215"/>
      <c r="AB3" s="215"/>
      <c r="AC3" s="216" t="s">
        <v>124</v>
      </c>
      <c r="AD3" s="463" t="s">
        <v>125</v>
      </c>
      <c r="AE3" s="463" t="s">
        <v>126</v>
      </c>
      <c r="AF3" s="463" t="s">
        <v>127</v>
      </c>
      <c r="AG3" s="463" t="s">
        <v>128</v>
      </c>
    </row>
    <row r="4" s="473" customFormat="true" ht="20.25" hidden="false" customHeight="true" outlineLevel="0" collapsed="false">
      <c r="A4" s="464" t="s">
        <v>129</v>
      </c>
      <c r="B4" s="465" t="s">
        <v>130</v>
      </c>
      <c r="C4" s="466" t="s">
        <v>131</v>
      </c>
      <c r="D4" s="467" t="s">
        <v>132</v>
      </c>
      <c r="E4" s="467" t="s">
        <v>133</v>
      </c>
      <c r="F4" s="467" t="s">
        <v>134</v>
      </c>
      <c r="G4" s="468" t="s">
        <v>135</v>
      </c>
      <c r="H4" s="225" t="s">
        <v>136</v>
      </c>
      <c r="I4" s="469" t="s">
        <v>130</v>
      </c>
      <c r="J4" s="466" t="s">
        <v>131</v>
      </c>
      <c r="K4" s="467" t="s">
        <v>132</v>
      </c>
      <c r="L4" s="467" t="s">
        <v>133</v>
      </c>
      <c r="M4" s="467" t="s">
        <v>134</v>
      </c>
      <c r="N4" s="468" t="s">
        <v>135</v>
      </c>
      <c r="O4" s="225" t="s">
        <v>137</v>
      </c>
      <c r="P4" s="465" t="s">
        <v>130</v>
      </c>
      <c r="Q4" s="466" t="s">
        <v>131</v>
      </c>
      <c r="R4" s="467" t="s">
        <v>132</v>
      </c>
      <c r="S4" s="467" t="s">
        <v>133</v>
      </c>
      <c r="T4" s="467" t="s">
        <v>134</v>
      </c>
      <c r="U4" s="468" t="s">
        <v>135</v>
      </c>
      <c r="V4" s="230" t="s">
        <v>138</v>
      </c>
      <c r="W4" s="465" t="s">
        <v>130</v>
      </c>
      <c r="X4" s="466" t="s">
        <v>131</v>
      </c>
      <c r="Y4" s="467" t="s">
        <v>132</v>
      </c>
      <c r="Z4" s="467" t="s">
        <v>133</v>
      </c>
      <c r="AA4" s="467" t="s">
        <v>134</v>
      </c>
      <c r="AB4" s="468" t="s">
        <v>135</v>
      </c>
      <c r="AC4" s="230" t="s">
        <v>139</v>
      </c>
      <c r="AD4" s="470"/>
      <c r="AE4" s="471"/>
      <c r="AF4" s="471"/>
      <c r="AG4" s="472"/>
    </row>
    <row r="5" s="484" customFormat="true" ht="19.5" hidden="false" customHeight="true" outlineLevel="0" collapsed="false">
      <c r="A5" s="474"/>
      <c r="B5" s="475" t="s">
        <v>140</v>
      </c>
      <c r="C5" s="476" t="s">
        <v>199</v>
      </c>
      <c r="D5" s="477"/>
      <c r="E5" s="478" t="s">
        <v>142</v>
      </c>
      <c r="F5" s="479"/>
      <c r="G5" s="480" t="s">
        <v>143</v>
      </c>
      <c r="H5" s="481"/>
      <c r="I5" s="475" t="s">
        <v>140</v>
      </c>
      <c r="J5" s="476" t="s">
        <v>141</v>
      </c>
      <c r="K5" s="477"/>
      <c r="L5" s="479" t="s">
        <v>142</v>
      </c>
      <c r="M5" s="479"/>
      <c r="N5" s="480" t="s">
        <v>143</v>
      </c>
      <c r="O5" s="481"/>
      <c r="P5" s="475" t="s">
        <v>140</v>
      </c>
      <c r="Q5" s="476" t="s">
        <v>141</v>
      </c>
      <c r="R5" s="477"/>
      <c r="S5" s="479" t="s">
        <v>142</v>
      </c>
      <c r="T5" s="479"/>
      <c r="U5" s="480" t="s">
        <v>143</v>
      </c>
      <c r="V5" s="481"/>
      <c r="W5" s="475" t="s">
        <v>140</v>
      </c>
      <c r="X5" s="476" t="s">
        <v>141</v>
      </c>
      <c r="Y5" s="477"/>
      <c r="Z5" s="479" t="s">
        <v>142</v>
      </c>
      <c r="AA5" s="479"/>
      <c r="AB5" s="480" t="s">
        <v>143</v>
      </c>
      <c r="AC5" s="482"/>
      <c r="AD5" s="483" t="s">
        <v>200</v>
      </c>
      <c r="AE5" s="483" t="s">
        <v>200</v>
      </c>
      <c r="AF5" s="483" t="s">
        <v>200</v>
      </c>
      <c r="AG5" s="483" t="s">
        <v>200</v>
      </c>
    </row>
    <row r="6" s="275" customFormat="true" ht="15" hidden="false" customHeight="true" outlineLevel="0" collapsed="false">
      <c r="A6" s="485" t="s">
        <v>148</v>
      </c>
      <c r="B6" s="486" t="n">
        <v>473034</v>
      </c>
      <c r="C6" s="487" t="n">
        <v>435830</v>
      </c>
      <c r="D6" s="486" t="n">
        <f aca="false">B6+C6</f>
        <v>908864</v>
      </c>
      <c r="E6" s="486" t="n">
        <v>510622</v>
      </c>
      <c r="F6" s="486" t="n">
        <f aca="false">D6+E6</f>
        <v>1419486</v>
      </c>
      <c r="G6" s="486" t="n">
        <v>388340</v>
      </c>
      <c r="H6" s="488" t="n">
        <v>1604718</v>
      </c>
      <c r="I6" s="486" t="n">
        <v>424568</v>
      </c>
      <c r="J6" s="486" t="n">
        <v>452890</v>
      </c>
      <c r="K6" s="486" t="n">
        <f aca="false">I6+J6</f>
        <v>877458</v>
      </c>
      <c r="L6" s="486" t="n">
        <v>429833</v>
      </c>
      <c r="M6" s="486" t="n">
        <f aca="false">K6+L6</f>
        <v>1307291</v>
      </c>
      <c r="N6" s="486" t="n">
        <v>493529</v>
      </c>
      <c r="O6" s="488" t="n">
        <f aca="false">M6+N6</f>
        <v>1800820</v>
      </c>
      <c r="P6" s="486" t="n">
        <v>573071</v>
      </c>
      <c r="Q6" s="486" t="n">
        <v>617261</v>
      </c>
      <c r="R6" s="486" t="n">
        <f aca="false">P6+Q6</f>
        <v>1190332</v>
      </c>
      <c r="S6" s="486" t="n">
        <v>581602</v>
      </c>
      <c r="T6" s="486" t="n">
        <f aca="false">R6+S6</f>
        <v>1771934</v>
      </c>
      <c r="U6" s="486" t="n">
        <v>623395</v>
      </c>
      <c r="V6" s="488" t="n">
        <v>2377595</v>
      </c>
      <c r="W6" s="486" t="n">
        <v>604133</v>
      </c>
      <c r="X6" s="486" t="n">
        <v>622434</v>
      </c>
      <c r="Y6" s="486" t="n">
        <f aca="false">W6+X6</f>
        <v>1226567</v>
      </c>
      <c r="Z6" s="486" t="n">
        <v>620571</v>
      </c>
      <c r="AA6" s="486" t="n">
        <f aca="false">Y6+Z6</f>
        <v>1847138</v>
      </c>
      <c r="AB6" s="486" t="n">
        <v>625000</v>
      </c>
      <c r="AC6" s="488" t="n">
        <f aca="false">AA6+AB6</f>
        <v>2472138</v>
      </c>
      <c r="AD6" s="486" t="n">
        <v>3263222.2</v>
      </c>
      <c r="AE6" s="486" t="n">
        <v>4405349.97</v>
      </c>
      <c r="AF6" s="489" t="n">
        <v>6167490</v>
      </c>
      <c r="AG6" s="489" t="n">
        <v>8942860</v>
      </c>
    </row>
    <row r="7" s="496" customFormat="true" ht="15" hidden="false" customHeight="true" outlineLevel="0" collapsed="false">
      <c r="A7" s="490" t="s">
        <v>201</v>
      </c>
      <c r="B7" s="491" t="n">
        <f aca="false">B6/$H6*100</f>
        <v>29.4777026243863</v>
      </c>
      <c r="C7" s="491" t="n">
        <f aca="false">C6/$H6*100</f>
        <v>27.1592890464244</v>
      </c>
      <c r="D7" s="491" t="n">
        <f aca="false">D6/$H6*100</f>
        <v>56.6369916708107</v>
      </c>
      <c r="E7" s="491" t="n">
        <f aca="false">E6/$H6*100</f>
        <v>31.8200456404178</v>
      </c>
      <c r="F7" s="491" t="n">
        <f aca="false">F6/$H6*100</f>
        <v>88.4570373112285</v>
      </c>
      <c r="G7" s="491" t="n">
        <f aca="false">G6/$H6*100</f>
        <v>24.1998905726738</v>
      </c>
      <c r="H7" s="492" t="n">
        <f aca="false">F7+G7</f>
        <v>112.656927883902</v>
      </c>
      <c r="I7" s="491" t="n">
        <f aca="false">I6/O6*100</f>
        <v>23.5763707644295</v>
      </c>
      <c r="J7" s="491" t="n">
        <f aca="false">J6/$O6*100</f>
        <v>25.1490987439056</v>
      </c>
      <c r="K7" s="491" t="n">
        <f aca="false">K6/$O6*100</f>
        <v>48.7254695083351</v>
      </c>
      <c r="L7" s="491" t="n">
        <f aca="false">L6/$O6*100</f>
        <v>23.8687375751047</v>
      </c>
      <c r="M7" s="491" t="n">
        <f aca="false">M6/$O6*100</f>
        <v>72.5942070834398</v>
      </c>
      <c r="N7" s="491" t="n">
        <f aca="false">N6/$O6*100</f>
        <v>27.4057929165602</v>
      </c>
      <c r="O7" s="492" t="n">
        <f aca="false">M7+N7</f>
        <v>100</v>
      </c>
      <c r="P7" s="491" t="n">
        <f aca="false">P6/$V6*100</f>
        <v>24.1029695974293</v>
      </c>
      <c r="Q7" s="491" t="n">
        <f aca="false">Q6/$V6*100</f>
        <v>25.9615704104358</v>
      </c>
      <c r="R7" s="491" t="n">
        <f aca="false">R6/$V6*100</f>
        <v>50.0645400078651</v>
      </c>
      <c r="S7" s="491" t="n">
        <f aca="false">S6/$V6*100</f>
        <v>24.4617775525268</v>
      </c>
      <c r="T7" s="491" t="n">
        <f aca="false">T6/$V6*100</f>
        <v>74.5263175603919</v>
      </c>
      <c r="U7" s="491" t="n">
        <f aca="false">U6/$V6*100</f>
        <v>26.2195622046648</v>
      </c>
      <c r="V7" s="492" t="n">
        <f aca="false">T7+U7</f>
        <v>100.745879765057</v>
      </c>
      <c r="W7" s="491" t="n">
        <f aca="false">W6/$AC6*100</f>
        <v>24.437672977803</v>
      </c>
      <c r="X7" s="491" t="n">
        <f aca="false">X6/$AC6*100</f>
        <v>25.1779633661228</v>
      </c>
      <c r="Y7" s="491" t="n">
        <f aca="false">Y6/$AC6*100</f>
        <v>49.6156363439258</v>
      </c>
      <c r="Z7" s="491" t="n">
        <f aca="false">Z6/$AC6*100</f>
        <v>25.1026034954359</v>
      </c>
      <c r="AA7" s="491" t="n">
        <f aca="false">AA6/$AC6*100</f>
        <v>74.7182398393617</v>
      </c>
      <c r="AB7" s="491" t="n">
        <f aca="false">AB6/$AC6*100</f>
        <v>25.2817601606383</v>
      </c>
      <c r="AC7" s="493" t="n">
        <f aca="false">AA7+AB7</f>
        <v>100</v>
      </c>
      <c r="AD7" s="494"/>
      <c r="AE7" s="494"/>
      <c r="AF7" s="495"/>
      <c r="AG7" s="495"/>
    </row>
    <row r="8" s="496" customFormat="true" ht="15" hidden="false" customHeight="true" outlineLevel="0" collapsed="false">
      <c r="A8" s="497" t="s">
        <v>202</v>
      </c>
      <c r="B8" s="491"/>
      <c r="C8" s="491"/>
      <c r="D8" s="491"/>
      <c r="E8" s="491"/>
      <c r="F8" s="491"/>
      <c r="G8" s="491"/>
      <c r="H8" s="492" t="e">
        <f aca="false">(H6/#REF!-1)*100</f>
        <v>#REF!</v>
      </c>
      <c r="I8" s="491" t="n">
        <f aca="false">(I6/B6-1)*100</f>
        <v>-10.245775145127</v>
      </c>
      <c r="J8" s="491" t="n">
        <f aca="false">(J6/C6-1)*100</f>
        <v>3.91437028199069</v>
      </c>
      <c r="K8" s="491" t="n">
        <f aca="false">(L6/D6-1)*100</f>
        <v>-52.7065655587635</v>
      </c>
      <c r="L8" s="491" t="n">
        <f aca="false">L6/E6-1*100</f>
        <v>-99.1582168414209</v>
      </c>
      <c r="M8" s="491" t="n">
        <f aca="false">(M6/F6-1)*100</f>
        <v>-7.90391733345732</v>
      </c>
      <c r="N8" s="491" t="n">
        <f aca="false">(N6/G6-1)*100</f>
        <v>27.0868311273626</v>
      </c>
      <c r="O8" s="493" t="n">
        <f aca="false">(O6/H6-1)*100</f>
        <v>12.220340271624</v>
      </c>
      <c r="P8" s="491" t="n">
        <f aca="false">(P6/I6-1)*100</f>
        <v>34.977435887773</v>
      </c>
      <c r="Q8" s="491" t="n">
        <f aca="false">(Q6/J6-1)*100</f>
        <v>36.2938020269823</v>
      </c>
      <c r="R8" s="491" t="n">
        <f aca="false">(R6/L6-1)*100</f>
        <v>176.928946823534</v>
      </c>
      <c r="S8" s="491" t="n">
        <f aca="false">(S6/L6-1)*100</f>
        <v>35.3088292429851</v>
      </c>
      <c r="T8" s="491" t="n">
        <f aca="false">(T6/M6-1)*100</f>
        <v>35.5424308742277</v>
      </c>
      <c r="U8" s="491" t="n">
        <f aca="false">(U6/N6-1)*100</f>
        <v>26.3137525859676</v>
      </c>
      <c r="V8" s="492" t="n">
        <f aca="false">(V6/O6-1)*100</f>
        <v>32.0284648104752</v>
      </c>
      <c r="W8" s="491" t="n">
        <f aca="false">(W6/P6-1)*100</f>
        <v>5.42027078669136</v>
      </c>
      <c r="X8" s="491" t="n">
        <f aca="false">(X6/Q6-1)*100</f>
        <v>0.838057158965166</v>
      </c>
      <c r="Y8" s="491" t="n">
        <f aca="false">(Y6/R6-1)*100</f>
        <v>3.04410870244605</v>
      </c>
      <c r="Z8" s="491" t="n">
        <f aca="false">(Z6/S6-1)*100</f>
        <v>6.70028645018415</v>
      </c>
      <c r="AA8" s="491" t="n">
        <f aca="false">(AA6/T6-1)*100</f>
        <v>4.24417613748593</v>
      </c>
      <c r="AB8" s="498" t="n">
        <f aca="false">(AB6/U6-1)*100</f>
        <v>0.257461160259553</v>
      </c>
      <c r="AC8" s="493" t="n">
        <f aca="false">(AC6/V6-1)*100</f>
        <v>3.97641314016894</v>
      </c>
      <c r="AD8" s="499" t="n">
        <f aca="false">(AD6/AC6-1)*100</f>
        <v>32.0000016180327</v>
      </c>
      <c r="AE8" s="499" t="n">
        <f aca="false">(AE6/AD6-1)*100</f>
        <v>35</v>
      </c>
      <c r="AF8" s="499" t="n">
        <f aca="false">(AF6/AE6-1)*100</f>
        <v>40.0000009533862</v>
      </c>
      <c r="AG8" s="499" t="n">
        <f aca="false">(AG6/AF6-1)*100</f>
        <v>44.9999918929743</v>
      </c>
    </row>
    <row r="9" s="496" customFormat="true" ht="15" hidden="false" customHeight="true" outlineLevel="0" collapsed="false">
      <c r="A9" s="500" t="s">
        <v>203</v>
      </c>
      <c r="B9" s="491"/>
      <c r="C9" s="491" t="n">
        <f aca="false">(C6/B6-1)*100</f>
        <v>-7.86497376509934</v>
      </c>
      <c r="D9" s="491"/>
      <c r="E9" s="491" t="n">
        <f aca="false">(E6/C6-1)*100</f>
        <v>17.1608195856182</v>
      </c>
      <c r="F9" s="491"/>
      <c r="G9" s="491" t="n">
        <f aca="false">(G6/E6-1)*100</f>
        <v>-23.9476559960205</v>
      </c>
      <c r="H9" s="492"/>
      <c r="I9" s="491" t="n">
        <f aca="false">(I6/G6-1)*100</f>
        <v>9.3289385589947</v>
      </c>
      <c r="J9" s="491" t="n">
        <f aca="false">(J6/I6-1)*100</f>
        <v>6.67078065233366</v>
      </c>
      <c r="K9" s="491"/>
      <c r="L9" s="491" t="n">
        <f aca="false">(L6/J6-1)*100</f>
        <v>-5.09108171962287</v>
      </c>
      <c r="M9" s="491"/>
      <c r="N9" s="491" t="n">
        <f aca="false">(N6/L6-1)*100</f>
        <v>14.8187784558189</v>
      </c>
      <c r="O9" s="492"/>
      <c r="P9" s="491" t="n">
        <f aca="false">(P6/N6-1)*100</f>
        <v>16.1169860332422</v>
      </c>
      <c r="Q9" s="491" t="n">
        <f aca="false">(Q6/P6-1)*100</f>
        <v>7.71108640988638</v>
      </c>
      <c r="R9" s="491"/>
      <c r="S9" s="491" t="n">
        <f aca="false">(S6/Q6-1)*100</f>
        <v>-5.77697278784826</v>
      </c>
      <c r="T9" s="491"/>
      <c r="U9" s="491" t="n">
        <f aca="false">(U6/S6-1)*100</f>
        <v>7.18584186436773</v>
      </c>
      <c r="V9" s="492"/>
      <c r="W9" s="491" t="n">
        <f aca="false">(W6/U6-1)*100</f>
        <v>-3.08985474699027</v>
      </c>
      <c r="X9" s="491" t="n">
        <f aca="false">(X6/W6-1)*100</f>
        <v>3.02929983960485</v>
      </c>
      <c r="Y9" s="491"/>
      <c r="Z9" s="491" t="n">
        <f aca="false">(Z6/X6-1)*100</f>
        <v>-0.299308842383284</v>
      </c>
      <c r="AA9" s="491"/>
      <c r="AB9" s="498" t="n">
        <f aca="false">(AB6/Z6-1)*100</f>
        <v>0.713697546292047</v>
      </c>
      <c r="AC9" s="501"/>
      <c r="AD9" s="495"/>
      <c r="AE9" s="495"/>
      <c r="AF9" s="495"/>
      <c r="AG9" s="495"/>
    </row>
    <row r="10" s="275" customFormat="true" ht="15" hidden="false" customHeight="true" outlineLevel="0" collapsed="false">
      <c r="A10" s="502" t="s">
        <v>149</v>
      </c>
      <c r="B10" s="503" t="n">
        <f aca="false">B11+B13+B15+B17+B19</f>
        <v>405447</v>
      </c>
      <c r="C10" s="503" t="n">
        <f aca="false">C11+C13+C15+C17+C19</f>
        <v>347032</v>
      </c>
      <c r="D10" s="503" t="n">
        <f aca="false">D11+D13+D15+D17+D19</f>
        <v>752479</v>
      </c>
      <c r="E10" s="503" t="n">
        <f aca="false">E11+E13+E15+E17+E19</f>
        <v>412443</v>
      </c>
      <c r="F10" s="503" t="n">
        <f aca="false">F11+F13+F15+F17+F19</f>
        <v>1164922</v>
      </c>
      <c r="G10" s="503" t="n">
        <f aca="false">G11+G13+G15+G17+G19</f>
        <v>359317</v>
      </c>
      <c r="H10" s="504" t="n">
        <f aca="false">H11+H13+H17+H15</f>
        <v>1304989</v>
      </c>
      <c r="I10" s="503" t="n">
        <f aca="false">I11+I13+I17+I15+I51</f>
        <v>171663</v>
      </c>
      <c r="J10" s="503" t="n">
        <f aca="false">J11+J13+J17+J15+J19</f>
        <v>365059</v>
      </c>
      <c r="K10" s="503" t="n">
        <v>39178</v>
      </c>
      <c r="L10" s="503" t="n">
        <f aca="false">L11+L13+L17+L15+L19</f>
        <v>342607</v>
      </c>
      <c r="M10" s="503" t="n">
        <f aca="false">M11+M13+M17+M15+M19</f>
        <v>879329</v>
      </c>
      <c r="N10" s="503" t="n">
        <f aca="false">N11+N13+N17+N15+N19</f>
        <v>377533</v>
      </c>
      <c r="O10" s="504" t="n">
        <f aca="false">O11+O13+O17+O15+O19</f>
        <v>1405896</v>
      </c>
      <c r="P10" s="503" t="n">
        <f aca="false">P11+P13+P17+P15+P19</f>
        <v>433128</v>
      </c>
      <c r="Q10" s="503" t="n">
        <f aca="false">Q11+Q13+U17+Q15+Q19</f>
        <v>482283</v>
      </c>
      <c r="R10" s="503" t="n">
        <f aca="false">R11+R13+R17+R15+R19</f>
        <v>915411</v>
      </c>
      <c r="S10" s="503" t="n">
        <f aca="false">S11+S13+S15+S17+S19</f>
        <v>554568</v>
      </c>
      <c r="T10" s="503" t="n">
        <f aca="false">T11+T13+T17+T15+T19</f>
        <v>1469979</v>
      </c>
      <c r="U10" s="503" t="n">
        <f aca="false">U11+U13+U17+U15+U19</f>
        <v>519212</v>
      </c>
      <c r="V10" s="504" t="n">
        <f aca="false">V11+V13+V17+V15+V19</f>
        <v>1973164</v>
      </c>
      <c r="W10" s="503" t="n">
        <f aca="false">W11+W13+W17+W15+W19</f>
        <v>495592</v>
      </c>
      <c r="X10" s="503" t="n">
        <f aca="false">X11+X13+X17+X15+X19</f>
        <v>518488</v>
      </c>
      <c r="Y10" s="503" t="n">
        <f aca="false">Y11+Y13+Y17+Y15+Y19</f>
        <v>1014080</v>
      </c>
      <c r="Z10" s="503" t="n">
        <f aca="false">Z11+Z13+Z17+Z15+Z19</f>
        <v>493520</v>
      </c>
      <c r="AA10" s="503" t="n">
        <f aca="false">AA11+AA13+AA17+AA15+AA19</f>
        <v>1507600</v>
      </c>
      <c r="AB10" s="503" t="n">
        <f aca="false">AB11+AB13+AB17+AB15+AB19</f>
        <v>522430</v>
      </c>
      <c r="AC10" s="504" t="n">
        <f aca="false">AC11+AC13+AC17+AC15+AC19</f>
        <v>2030030</v>
      </c>
      <c r="AD10" s="503" t="n">
        <f aca="false">AD11+AD13+AD15+AD17+AD19</f>
        <v>2822687.203</v>
      </c>
      <c r="AE10" s="503" t="n">
        <f aca="false">AE11+AE13+AE15+AE17+AE19</f>
        <v>3819438.42399</v>
      </c>
      <c r="AF10" s="503" t="n">
        <f aca="false">AF11+AF13+AF15+AF17+AF19</f>
        <v>5470563.63</v>
      </c>
      <c r="AG10" s="503" t="n">
        <f aca="false">AG11+AG13+AG15+AG17+AG19</f>
        <v>7771345.34</v>
      </c>
    </row>
    <row r="11" customFormat="false" ht="15" hidden="false" customHeight="true" outlineLevel="0" collapsed="false">
      <c r="A11" s="505" t="s">
        <v>150</v>
      </c>
      <c r="B11" s="506" t="n">
        <v>13288</v>
      </c>
      <c r="C11" s="506" t="n">
        <v>-27170</v>
      </c>
      <c r="D11" s="506" t="n">
        <f aca="false">B11+C11</f>
        <v>-13882</v>
      </c>
      <c r="E11" s="506" t="n">
        <v>-5883</v>
      </c>
      <c r="F11" s="506" t="n">
        <f aca="false">D11+E11</f>
        <v>-19765</v>
      </c>
      <c r="G11" s="507" t="n">
        <v>28380</v>
      </c>
      <c r="H11" s="508" t="n">
        <v>-7526</v>
      </c>
      <c r="I11" s="506" t="n">
        <v>322</v>
      </c>
      <c r="J11" s="506" t="n">
        <v>-563</v>
      </c>
      <c r="K11" s="506" t="n">
        <f aca="false">I11+J11</f>
        <v>-241</v>
      </c>
      <c r="L11" s="506" t="n">
        <v>5466</v>
      </c>
      <c r="M11" s="506" t="n">
        <f aca="false">K11+L11</f>
        <v>5225</v>
      </c>
      <c r="N11" s="506" t="n">
        <v>-8213</v>
      </c>
      <c r="O11" s="508" t="n">
        <f aca="false">M11+N11</f>
        <v>-2988</v>
      </c>
      <c r="P11" s="506" t="n">
        <v>2858</v>
      </c>
      <c r="Q11" s="506" t="n">
        <v>-7349</v>
      </c>
      <c r="R11" s="506" t="n">
        <f aca="false">P11+Q11</f>
        <v>-4491</v>
      </c>
      <c r="S11" s="506" t="n">
        <v>6256</v>
      </c>
      <c r="T11" s="506" t="n">
        <f aca="false">R11+S11</f>
        <v>1765</v>
      </c>
      <c r="U11" s="506" t="n">
        <v>2265</v>
      </c>
      <c r="V11" s="508" t="n">
        <v>500</v>
      </c>
      <c r="W11" s="506" t="n">
        <v>3839</v>
      </c>
      <c r="X11" s="506" t="n">
        <v>1354</v>
      </c>
      <c r="Y11" s="506" t="n">
        <f aca="false">W11+X11</f>
        <v>5193</v>
      </c>
      <c r="Z11" s="506" t="n">
        <v>849</v>
      </c>
      <c r="AA11" s="506" t="n">
        <f aca="false">Y11+Z11</f>
        <v>6042</v>
      </c>
      <c r="AB11" s="509" t="n">
        <v>1000</v>
      </c>
      <c r="AC11" s="510" t="n">
        <f aca="false">AA11+AB11</f>
        <v>7042</v>
      </c>
      <c r="AD11" s="511" t="n">
        <f aca="false">AD6*AD12%</f>
        <v>48948.333</v>
      </c>
      <c r="AE11" s="511" t="n">
        <f aca="false">AE6*AE12%</f>
        <v>74890.94949</v>
      </c>
      <c r="AF11" s="511" t="n">
        <f aca="false">AF6*AF12%</f>
        <v>104847.33</v>
      </c>
      <c r="AG11" s="511" t="n">
        <f aca="false">AG6*AG12%</f>
        <v>169914.34</v>
      </c>
    </row>
    <row r="12" s="496" customFormat="true" ht="15" hidden="false" customHeight="true" outlineLevel="0" collapsed="false">
      <c r="A12" s="512" t="s">
        <v>204</v>
      </c>
      <c r="B12" s="491" t="n">
        <f aca="false">B11/B$6%</f>
        <v>2.80910040293087</v>
      </c>
      <c r="C12" s="491" t="n">
        <f aca="false">C11/C$6%</f>
        <v>-6.23408209623018</v>
      </c>
      <c r="D12" s="491" t="n">
        <f aca="false">D11/D$6%</f>
        <v>-1.52740123934934</v>
      </c>
      <c r="E12" s="491" t="n">
        <f aca="false">E11/E$6%</f>
        <v>-1.15212427196635</v>
      </c>
      <c r="F12" s="491" t="n">
        <f aca="false">F11/F$6%</f>
        <v>-1.39240541999005</v>
      </c>
      <c r="G12" s="491" t="n">
        <f aca="false">G11/G$6%</f>
        <v>7.30802904671165</v>
      </c>
      <c r="H12" s="492" t="n">
        <f aca="false">H11/H$6%</f>
        <v>-0.468992059664066</v>
      </c>
      <c r="I12" s="491" t="n">
        <f aca="false">I11/I$6%</f>
        <v>0.0758417968381979</v>
      </c>
      <c r="J12" s="491" t="n">
        <f aca="false">J11/J$6%</f>
        <v>-0.124312747024664</v>
      </c>
      <c r="K12" s="491" t="n">
        <f aca="false">K11/L$6%</f>
        <v>-0.0560682869858759</v>
      </c>
      <c r="L12" s="491" t="n">
        <f aca="false">L11/L6%</f>
        <v>1.27165666665891</v>
      </c>
      <c r="M12" s="491" t="n">
        <f aca="false">M11/M$6%</f>
        <v>0.399681478722029</v>
      </c>
      <c r="N12" s="491" t="n">
        <f aca="false">N11/N$6%</f>
        <v>-1.66413726447686</v>
      </c>
      <c r="O12" s="492" t="n">
        <f aca="false">O11/O$6%</f>
        <v>-0.165924412212214</v>
      </c>
      <c r="P12" s="491" t="n">
        <f aca="false">P11/P$6%</f>
        <v>0.498716563916164</v>
      </c>
      <c r="Q12" s="491" t="n">
        <f aca="false">Q11/Q$6%</f>
        <v>-1.19058226584864</v>
      </c>
      <c r="R12" s="513" t="n">
        <f aca="false">R11/R$6%</f>
        <v>-0.37728969732814</v>
      </c>
      <c r="S12" s="491" t="n">
        <f aca="false">S11/S$6%</f>
        <v>1.07564967108091</v>
      </c>
      <c r="T12" s="498" t="n">
        <f aca="false">T11/T$6%</f>
        <v>0.0996086761696542</v>
      </c>
      <c r="U12" s="513" t="n">
        <f aca="false">U11/U$6%</f>
        <v>0.363333039244781</v>
      </c>
      <c r="V12" s="492" t="n">
        <f aca="false">V11/V$6%</f>
        <v>0.0210296539149855</v>
      </c>
      <c r="W12" s="491" t="n">
        <f aca="false">(W11/W6)*100</f>
        <v>0.635456099898532</v>
      </c>
      <c r="X12" s="498" t="n">
        <f aca="false">X11/X$6%</f>
        <v>0.217533103911419</v>
      </c>
      <c r="Y12" s="498" t="n">
        <f aca="false">Y11/Y$6%</f>
        <v>0.42337679066859</v>
      </c>
      <c r="Z12" s="498" t="n">
        <f aca="false">Z11/Z$6%</f>
        <v>0.136809486746883</v>
      </c>
      <c r="AA12" s="498" t="n">
        <f aca="false">AA11/AA$6%</f>
        <v>0.327100628106833</v>
      </c>
      <c r="AB12" s="498" t="n">
        <f aca="false">AB11/AB$6%</f>
        <v>0.16</v>
      </c>
      <c r="AC12" s="493" t="n">
        <f aca="false">AC11/AC$6%</f>
        <v>0.284854648081944</v>
      </c>
      <c r="AD12" s="499" t="n">
        <v>1.5</v>
      </c>
      <c r="AE12" s="499" t="n">
        <v>1.7</v>
      </c>
      <c r="AF12" s="499" t="n">
        <v>1.7</v>
      </c>
      <c r="AG12" s="499" t="n">
        <v>1.9</v>
      </c>
    </row>
    <row r="13" customFormat="false" ht="15" hidden="false" customHeight="true" outlineLevel="0" collapsed="false">
      <c r="A13" s="514" t="s">
        <v>151</v>
      </c>
      <c r="B13" s="506" t="n">
        <v>356206</v>
      </c>
      <c r="C13" s="506" t="n">
        <v>329333</v>
      </c>
      <c r="D13" s="506" t="n">
        <f aca="false">B13+C13</f>
        <v>685539</v>
      </c>
      <c r="E13" s="506" t="n">
        <v>361270</v>
      </c>
      <c r="F13" s="506" t="n">
        <f aca="false">E13+D13</f>
        <v>1046809</v>
      </c>
      <c r="G13" s="506" t="n">
        <v>278947</v>
      </c>
      <c r="H13" s="508" t="n">
        <v>1121412</v>
      </c>
      <c r="I13" s="506" t="n">
        <v>129390</v>
      </c>
      <c r="J13" s="506" t="n">
        <v>45029</v>
      </c>
      <c r="K13" s="506" t="n">
        <f aca="false">I13+J13</f>
        <v>174419</v>
      </c>
      <c r="L13" s="506" t="n">
        <v>47246</v>
      </c>
      <c r="M13" s="506" t="n">
        <f aca="false">L13+K13</f>
        <v>221665</v>
      </c>
      <c r="N13" s="506" t="n">
        <v>36070</v>
      </c>
      <c r="O13" s="508" t="n">
        <v>1191550</v>
      </c>
      <c r="P13" s="506" t="n">
        <v>49620</v>
      </c>
      <c r="Q13" s="506" t="n">
        <v>55114</v>
      </c>
      <c r="R13" s="506" t="n">
        <f aca="false">P13+Q13</f>
        <v>104734</v>
      </c>
      <c r="S13" s="506" t="n">
        <v>52395</v>
      </c>
      <c r="T13" s="506" t="n">
        <f aca="false">S13+R13</f>
        <v>157129</v>
      </c>
      <c r="U13" s="506" t="n">
        <v>55702</v>
      </c>
      <c r="V13" s="508" t="n">
        <v>212831</v>
      </c>
      <c r="W13" s="506" t="n">
        <v>51644</v>
      </c>
      <c r="X13" s="506" t="n">
        <v>58766</v>
      </c>
      <c r="Y13" s="506" t="n">
        <f aca="false">W13+X13</f>
        <v>110410</v>
      </c>
      <c r="Z13" s="506" t="n">
        <v>55557</v>
      </c>
      <c r="AA13" s="506" t="n">
        <f aca="false">Z13+Y13</f>
        <v>165967</v>
      </c>
      <c r="AB13" s="509" t="n">
        <v>56280</v>
      </c>
      <c r="AC13" s="510" t="n">
        <f aca="false">AA13+AB13</f>
        <v>222247</v>
      </c>
      <c r="AD13" s="511" t="n">
        <f aca="false">AD6*AD14%</f>
        <v>293689.998</v>
      </c>
      <c r="AE13" s="511" t="n">
        <f aca="false">AE6*AE14%</f>
        <v>396481.4973</v>
      </c>
      <c r="AF13" s="511" t="n">
        <f aca="false">AF6*AF14%</f>
        <v>555074.1</v>
      </c>
      <c r="AG13" s="511" t="n">
        <f aca="false">AG6*AG14%</f>
        <v>804857.4</v>
      </c>
    </row>
    <row r="14" s="496" customFormat="true" ht="15" hidden="false" customHeight="true" outlineLevel="0" collapsed="false">
      <c r="A14" s="512" t="s">
        <v>204</v>
      </c>
      <c r="B14" s="491" t="n">
        <f aca="false">B13/B$6%</f>
        <v>75.3024095519561</v>
      </c>
      <c r="C14" s="491" t="n">
        <f aca="false">C13/C$6%</f>
        <v>75.5645549870362</v>
      </c>
      <c r="D14" s="491" t="n">
        <f aca="false">D13/D$6%</f>
        <v>75.4281168579678</v>
      </c>
      <c r="E14" s="491" t="n">
        <f aca="false">E13/E$6%</f>
        <v>70.7509664683465</v>
      </c>
      <c r="F14" s="491" t="n">
        <f aca="false">F13/F$6%</f>
        <v>73.7456375054069</v>
      </c>
      <c r="G14" s="491" t="n">
        <f aca="false">G13/G$6%</f>
        <v>71.8306123500026</v>
      </c>
      <c r="H14" s="492" t="n">
        <f aca="false">H13/H$6%</f>
        <v>69.8821849072547</v>
      </c>
      <c r="I14" s="491" t="n">
        <f aca="false">I13/I$6%</f>
        <v>30.4756835183057</v>
      </c>
      <c r="J14" s="491" t="n">
        <f aca="false">J13/J$6%</f>
        <v>9.9425909161165</v>
      </c>
      <c r="K14" s="491" t="n">
        <f aca="false">K13/L$6%</f>
        <v>40.5783176256825</v>
      </c>
      <c r="L14" s="491" t="n">
        <f aca="false">L13/L6%</f>
        <v>10.9917107341689</v>
      </c>
      <c r="M14" s="491" t="n">
        <f aca="false">M13/M$6%</f>
        <v>16.9560564556782</v>
      </c>
      <c r="N14" s="491" t="n">
        <f aca="false">N13/N$6%</f>
        <v>7.30858774256427</v>
      </c>
      <c r="O14" s="492" t="n">
        <f aca="false">O13/O$6%</f>
        <v>66.1670794415877</v>
      </c>
      <c r="P14" s="491" t="n">
        <f aca="false">P13/P$6%</f>
        <v>8.65861298163753</v>
      </c>
      <c r="Q14" s="491" t="n">
        <f aca="false">Q13/Q$6%</f>
        <v>8.92879997278299</v>
      </c>
      <c r="R14" s="491" t="n">
        <f aca="false">R13/R$6%</f>
        <v>8.79872170117245</v>
      </c>
      <c r="S14" s="491" t="n">
        <f aca="false">S13/S$6%</f>
        <v>9.00873793418867</v>
      </c>
      <c r="T14" s="491" t="n">
        <f aca="false">T13/T$6%</f>
        <v>8.86765534156464</v>
      </c>
      <c r="U14" s="491" t="n">
        <f aca="false">U13/U$6%</f>
        <v>8.93526576247804</v>
      </c>
      <c r="V14" s="492" t="n">
        <f aca="false">V13/V$6%</f>
        <v>8.95152454476057</v>
      </c>
      <c r="W14" s="491" t="n">
        <f aca="false">W13/W$6%</f>
        <v>8.54844876873139</v>
      </c>
      <c r="X14" s="491" t="n">
        <f aca="false">X13/X$6%</f>
        <v>9.44132229280534</v>
      </c>
      <c r="Y14" s="491" t="n">
        <f aca="false">Y13/Y$6%</f>
        <v>9.00154659305199</v>
      </c>
      <c r="Z14" s="491" t="n">
        <f aca="false">Z13/Z$6%</f>
        <v>8.95256143132696</v>
      </c>
      <c r="AA14" s="491" t="n">
        <f aca="false">AA13/AA$6%</f>
        <v>8.98508936527753</v>
      </c>
      <c r="AB14" s="491" t="n">
        <f aca="false">AB13/AB$6%</f>
        <v>9.0048</v>
      </c>
      <c r="AC14" s="493" t="n">
        <f aca="false">AC13/AC$6%</f>
        <v>8.9900725606742</v>
      </c>
      <c r="AD14" s="515" t="n">
        <v>9</v>
      </c>
      <c r="AE14" s="515" t="n">
        <v>9</v>
      </c>
      <c r="AF14" s="515" t="n">
        <v>9</v>
      </c>
      <c r="AG14" s="515" t="n">
        <v>9</v>
      </c>
    </row>
    <row r="15" customFormat="false" ht="15" hidden="false" customHeight="true" outlineLevel="0" collapsed="false">
      <c r="A15" s="514" t="s">
        <v>152</v>
      </c>
      <c r="B15" s="506" t="n">
        <v>5513</v>
      </c>
      <c r="C15" s="506" t="n">
        <v>9047</v>
      </c>
      <c r="D15" s="506" t="n">
        <f aca="false">B15+C15</f>
        <v>14560</v>
      </c>
      <c r="E15" s="506" t="n">
        <v>6509</v>
      </c>
      <c r="F15" s="506" t="n">
        <f aca="false">E15+D15</f>
        <v>21069</v>
      </c>
      <c r="G15" s="506" t="n">
        <v>8163</v>
      </c>
      <c r="H15" s="508" t="n">
        <f aca="false">F15+G15</f>
        <v>29232</v>
      </c>
      <c r="I15" s="506" t="n">
        <v>6876</v>
      </c>
      <c r="J15" s="506" t="n">
        <v>8239</v>
      </c>
      <c r="K15" s="506" t="n">
        <f aca="false">I15+J15</f>
        <v>15115</v>
      </c>
      <c r="L15" s="506" t="n">
        <v>9854</v>
      </c>
      <c r="M15" s="506" t="n">
        <f aca="false">L15+K15</f>
        <v>24969</v>
      </c>
      <c r="N15" s="506" t="n">
        <v>22032</v>
      </c>
      <c r="O15" s="508" t="n">
        <f aca="false">M15+N15</f>
        <v>47001</v>
      </c>
      <c r="P15" s="506" t="n">
        <v>8663</v>
      </c>
      <c r="Q15" s="506" t="n">
        <v>11802</v>
      </c>
      <c r="R15" s="506" t="n">
        <f aca="false">P15+Q15</f>
        <v>20465</v>
      </c>
      <c r="S15" s="506" t="n">
        <v>32256</v>
      </c>
      <c r="T15" s="506" t="n">
        <f aca="false">S15+R15</f>
        <v>52721</v>
      </c>
      <c r="U15" s="506" t="n">
        <v>4946</v>
      </c>
      <c r="V15" s="508" t="n">
        <f aca="false">T15+U15</f>
        <v>57667</v>
      </c>
      <c r="W15" s="506" t="n">
        <v>13201</v>
      </c>
      <c r="X15" s="506" t="n">
        <v>12685</v>
      </c>
      <c r="Y15" s="506" t="n">
        <f aca="false">W15+X15</f>
        <v>25886</v>
      </c>
      <c r="Z15" s="506" t="n">
        <v>25387</v>
      </c>
      <c r="AA15" s="506" t="n">
        <f aca="false">Z15+Y15</f>
        <v>51273</v>
      </c>
      <c r="AB15" s="516" t="n">
        <v>40150</v>
      </c>
      <c r="AC15" s="508" t="n">
        <f aca="false">AA15+AB15</f>
        <v>91423</v>
      </c>
      <c r="AD15" s="511" t="n">
        <f aca="false">AD6*AD16%</f>
        <v>195793.332</v>
      </c>
      <c r="AE15" s="511" t="n">
        <f aca="false">AE6*AE16%</f>
        <v>308374.4979</v>
      </c>
      <c r="AF15" s="511" t="n">
        <f aca="false">AF6*AF16%</f>
        <v>431724.3</v>
      </c>
      <c r="AG15" s="511" t="n">
        <f aca="false">AG6*AG16%</f>
        <v>626000.2</v>
      </c>
    </row>
    <row r="16" s="496" customFormat="true" ht="15" hidden="false" customHeight="true" outlineLevel="0" collapsed="false">
      <c r="A16" s="512" t="s">
        <v>204</v>
      </c>
      <c r="B16" s="491" t="n">
        <f aca="false">B15/B$6%</f>
        <v>1.16545533724849</v>
      </c>
      <c r="C16" s="491" t="n">
        <f aca="false">C15/C$6%</f>
        <v>2.07580937521511</v>
      </c>
      <c r="D16" s="491" t="n">
        <f aca="false">D15/D$6%</f>
        <v>1.60199985916485</v>
      </c>
      <c r="E16" s="491" t="n">
        <f aca="false">E15/E$6%</f>
        <v>1.27471985147526</v>
      </c>
      <c r="F16" s="491" t="n">
        <f aca="false">F15/F$6%</f>
        <v>1.48426965817204</v>
      </c>
      <c r="G16" s="491" t="n">
        <f aca="false">G15/G$6%</f>
        <v>2.10202399958799</v>
      </c>
      <c r="H16" s="492" t="n">
        <f aca="false">H15/H$6%</f>
        <v>1.82162847304012</v>
      </c>
      <c r="I16" s="491" t="n">
        <f aca="false">I15/I$6%</f>
        <v>1.61952855608524</v>
      </c>
      <c r="J16" s="491" t="n">
        <f aca="false">J15/J$6%</f>
        <v>1.81920554660072</v>
      </c>
      <c r="K16" s="491" t="n">
        <f aca="false">K15/L$6%</f>
        <v>3.5164819825374</v>
      </c>
      <c r="L16" s="491" t="n">
        <f aca="false">L15/L6%</f>
        <v>2.29251825709054</v>
      </c>
      <c r="M16" s="491" t="n">
        <f aca="false">M15/M$6%</f>
        <v>1.90998025688236</v>
      </c>
      <c r="N16" s="491" t="n">
        <f aca="false">N15/N$6%</f>
        <v>4.46417535747646</v>
      </c>
      <c r="O16" s="492" t="n">
        <f aca="false">O15/O$6%</f>
        <v>2.60997767683611</v>
      </c>
      <c r="P16" s="491" t="n">
        <f aca="false">P15/P$6%</f>
        <v>1.51168005360592</v>
      </c>
      <c r="Q16" s="491" t="n">
        <f aca="false">Q15/Q$6%</f>
        <v>1.91199508797737</v>
      </c>
      <c r="R16" s="491" t="n">
        <f aca="false">R15/R$6%</f>
        <v>1.71926823776896</v>
      </c>
      <c r="S16" s="491" t="n">
        <f aca="false">S15/S$6%</f>
        <v>5.54606070818188</v>
      </c>
      <c r="T16" s="491" t="n">
        <f aca="false">T15/T$6%</f>
        <v>2.97533655316733</v>
      </c>
      <c r="U16" s="491" t="n">
        <f aca="false">U15/U$6%</f>
        <v>0.79339744463783</v>
      </c>
      <c r="V16" s="492" t="n">
        <f aca="false">V15/V$6%</f>
        <v>2.42543410463094</v>
      </c>
      <c r="W16" s="491" t="n">
        <f aca="false">W15/W$6%</f>
        <v>2.18511486709052</v>
      </c>
      <c r="X16" s="491" t="n">
        <f aca="false">X15/X$6%</f>
        <v>2.03796707763393</v>
      </c>
      <c r="Y16" s="491" t="n">
        <f aca="false">Y15/Y$6%</f>
        <v>2.11044321264146</v>
      </c>
      <c r="Z16" s="513" t="n">
        <f aca="false">Z15/Z$6%</f>
        <v>4.09090982337235</v>
      </c>
      <c r="AA16" s="491" t="n">
        <f aca="false">AA15/AA$6%</f>
        <v>2.77580776314493</v>
      </c>
      <c r="AB16" s="491" t="n">
        <f aca="false">AB15/AB$6%</f>
        <v>6.424</v>
      </c>
      <c r="AC16" s="492" t="n">
        <f aca="false">AC15/AC$6%</f>
        <v>3.69813497466565</v>
      </c>
      <c r="AD16" s="517" t="n">
        <v>6</v>
      </c>
      <c r="AE16" s="517" t="n">
        <v>7</v>
      </c>
      <c r="AF16" s="517" t="n">
        <v>7</v>
      </c>
      <c r="AG16" s="517" t="n">
        <v>7</v>
      </c>
    </row>
    <row r="17" customFormat="false" ht="15" hidden="false" customHeight="true" outlineLevel="0" collapsed="false">
      <c r="A17" s="514" t="s">
        <v>153</v>
      </c>
      <c r="B17" s="506" t="n">
        <v>30440</v>
      </c>
      <c r="C17" s="506" t="n">
        <v>35822</v>
      </c>
      <c r="D17" s="506" t="n">
        <f aca="false">B17+C17</f>
        <v>66262</v>
      </c>
      <c r="E17" s="506" t="n">
        <v>50547</v>
      </c>
      <c r="F17" s="506" t="n">
        <f aca="false">E17+D17</f>
        <v>116809</v>
      </c>
      <c r="G17" s="506" t="n">
        <v>43827</v>
      </c>
      <c r="H17" s="508" t="n">
        <v>161871</v>
      </c>
      <c r="I17" s="506" t="n">
        <v>35075</v>
      </c>
      <c r="J17" s="506" t="n">
        <v>58378</v>
      </c>
      <c r="K17" s="506" t="n">
        <f aca="false">I17+J17</f>
        <v>93453</v>
      </c>
      <c r="L17" s="506" t="n">
        <v>38138</v>
      </c>
      <c r="M17" s="506" t="n">
        <f aca="false">L17+K17</f>
        <v>131591</v>
      </c>
      <c r="N17" s="506" t="n">
        <v>38742</v>
      </c>
      <c r="O17" s="508" t="n">
        <f aca="false">M17+N17</f>
        <v>170333</v>
      </c>
      <c r="P17" s="506" t="n">
        <v>39182</v>
      </c>
      <c r="Q17" s="518" t="n">
        <v>47979</v>
      </c>
      <c r="R17" s="506" t="n">
        <f aca="false">P17+U17</f>
        <v>99658</v>
      </c>
      <c r="S17" s="506" t="n">
        <v>46490</v>
      </c>
      <c r="T17" s="506" t="n">
        <f aca="false">S17+R17</f>
        <v>146148</v>
      </c>
      <c r="U17" s="506" t="n">
        <v>60476</v>
      </c>
      <c r="V17" s="508" t="n">
        <v>194127</v>
      </c>
      <c r="W17" s="506" t="n">
        <v>48476</v>
      </c>
      <c r="X17" s="506" t="n">
        <v>44481</v>
      </c>
      <c r="Y17" s="506" t="n">
        <f aca="false">W17+X17</f>
        <v>92957</v>
      </c>
      <c r="Z17" s="506" t="n">
        <v>40451</v>
      </c>
      <c r="AA17" s="506" t="n">
        <f aca="false">Z17+Y17</f>
        <v>133408</v>
      </c>
      <c r="AB17" s="516" t="n">
        <v>50000</v>
      </c>
      <c r="AC17" s="508" t="n">
        <f aca="false">AA17+AB17</f>
        <v>183408</v>
      </c>
      <c r="AD17" s="511" t="n">
        <f aca="false">AD6*AD18%</f>
        <v>261057.776</v>
      </c>
      <c r="AE17" s="511" t="n">
        <f aca="false">AE6*AE18%</f>
        <v>396481.4973</v>
      </c>
      <c r="AF17" s="511" t="n">
        <f aca="false">AF6*AF18%</f>
        <v>555074.1</v>
      </c>
      <c r="AG17" s="511" t="n">
        <f aca="false">AG6*AG18%</f>
        <v>804857.4</v>
      </c>
    </row>
    <row r="18" s="496" customFormat="true" ht="15" hidden="false" customHeight="true" outlineLevel="0" collapsed="false">
      <c r="A18" s="512" t="s">
        <v>204</v>
      </c>
      <c r="B18" s="491" t="n">
        <f aca="false">B17/B$6%</f>
        <v>6.43505540827932</v>
      </c>
      <c r="C18" s="491" t="n">
        <f aca="false">C17/C$6%</f>
        <v>8.21925980313425</v>
      </c>
      <c r="D18" s="491" t="n">
        <f aca="false">D17/D$6%</f>
        <v>7.29063974368002</v>
      </c>
      <c r="E18" s="491" t="n">
        <f aca="false">E17/E$6%</f>
        <v>9.899103446385</v>
      </c>
      <c r="F18" s="491" t="n">
        <f aca="false">F17/F$6%</f>
        <v>8.22896456886507</v>
      </c>
      <c r="G18" s="491" t="n">
        <f aca="false">G17/G$6%</f>
        <v>11.2857290003605</v>
      </c>
      <c r="H18" s="492" t="n">
        <f aca="false">H17/H$6%</f>
        <v>10.0871928899657</v>
      </c>
      <c r="I18" s="491" t="n">
        <f aca="false">I17/I$6%</f>
        <v>8.26133858416084</v>
      </c>
      <c r="J18" s="491" t="n">
        <f aca="false">J17/J$6%</f>
        <v>12.8901057651968</v>
      </c>
      <c r="K18" s="491" t="n">
        <f aca="false">K17/L$6%</f>
        <v>21.7416996833654</v>
      </c>
      <c r="L18" s="491" t="n">
        <f aca="false">L17/L6%</f>
        <v>8.87274825339143</v>
      </c>
      <c r="M18" s="491" t="n">
        <f aca="false">M17/M$6%</f>
        <v>10.065930232825</v>
      </c>
      <c r="N18" s="491" t="n">
        <f aca="false">N17/N$6%</f>
        <v>7.84999463050804</v>
      </c>
      <c r="O18" s="492" t="n">
        <f aca="false">O17/O$6%</f>
        <v>9.45863551048967</v>
      </c>
      <c r="P18" s="491" t="n">
        <f aca="false">P17/P$6%</f>
        <v>6.83719818312216</v>
      </c>
      <c r="Q18" s="491" t="n">
        <f aca="false">U17/Q$6%</f>
        <v>9.79747627016773</v>
      </c>
      <c r="R18" s="491" t="n">
        <f aca="false">R17/R$6%</f>
        <v>8.37228605128653</v>
      </c>
      <c r="S18" s="491" t="n">
        <f aca="false">S17/S$6%</f>
        <v>7.99343881210862</v>
      </c>
      <c r="T18" s="491" t="n">
        <f aca="false">T17/T$6%</f>
        <v>8.24793699991083</v>
      </c>
      <c r="U18" s="491" t="n">
        <f aca="false">U17/U6%</f>
        <v>9.70107235380457</v>
      </c>
      <c r="V18" s="492" t="n">
        <f aca="false">V17/V$6%</f>
        <v>8.16484725110879</v>
      </c>
      <c r="W18" s="491" t="n">
        <f aca="false">W17/W$6%</f>
        <v>8.02406092698131</v>
      </c>
      <c r="X18" s="491" t="n">
        <f aca="false">X17/X$6%</f>
        <v>7.14629984865865</v>
      </c>
      <c r="Y18" s="491" t="n">
        <f aca="false">Y17/Y$6%</f>
        <v>7.57863206820337</v>
      </c>
      <c r="Z18" s="491" t="n">
        <f aca="false">Z17/Z$6%</f>
        <v>6.5183516471121</v>
      </c>
      <c r="AA18" s="491" t="n">
        <f aca="false">AA17/AA$6%</f>
        <v>7.22241651679517</v>
      </c>
      <c r="AB18" s="491" t="n">
        <f aca="false">AB17/AB$6%</f>
        <v>8</v>
      </c>
      <c r="AC18" s="492" t="n">
        <f aca="false">AC17/AC$6%</f>
        <v>7.41900330806775</v>
      </c>
      <c r="AD18" s="517" t="n">
        <v>8</v>
      </c>
      <c r="AE18" s="517" t="n">
        <v>9</v>
      </c>
      <c r="AF18" s="517" t="n">
        <v>9</v>
      </c>
      <c r="AG18" s="517" t="n">
        <v>9</v>
      </c>
    </row>
    <row r="19" customFormat="false" ht="15" hidden="false" customHeight="true" outlineLevel="0" collapsed="false">
      <c r="A19" s="514" t="s">
        <v>154</v>
      </c>
      <c r="B19" s="519" t="n">
        <v>0</v>
      </c>
      <c r="C19" s="519" t="n">
        <v>0</v>
      </c>
      <c r="D19" s="506" t="n">
        <f aca="false">B19+C19</f>
        <v>0</v>
      </c>
      <c r="E19" s="519" t="n">
        <v>0</v>
      </c>
      <c r="F19" s="506" t="n">
        <f aca="false">E19+D19</f>
        <v>0</v>
      </c>
      <c r="G19" s="506"/>
      <c r="H19" s="508" t="n">
        <f aca="false">F19+G19</f>
        <v>0</v>
      </c>
      <c r="I19" s="506" t="n">
        <v>235285</v>
      </c>
      <c r="J19" s="506" t="n">
        <v>253976</v>
      </c>
      <c r="K19" s="506" t="n">
        <f aca="false">I51+J19</f>
        <v>253976</v>
      </c>
      <c r="L19" s="506" t="n">
        <v>241903</v>
      </c>
      <c r="M19" s="506" t="n">
        <f aca="false">L19+K19</f>
        <v>495879</v>
      </c>
      <c r="N19" s="506" t="n">
        <v>288902</v>
      </c>
      <c r="O19" s="508" t="n">
        <v>0</v>
      </c>
      <c r="P19" s="506" t="n">
        <v>332805</v>
      </c>
      <c r="Q19" s="506" t="n">
        <v>362240</v>
      </c>
      <c r="R19" s="506" t="n">
        <f aca="false">P19+Q19</f>
        <v>695045</v>
      </c>
      <c r="S19" s="506" t="n">
        <v>417171</v>
      </c>
      <c r="T19" s="506" t="n">
        <f aca="false">S19+R19</f>
        <v>1112216</v>
      </c>
      <c r="U19" s="506" t="n">
        <v>395823</v>
      </c>
      <c r="V19" s="508" t="n">
        <f aca="false">T19+U19</f>
        <v>1508039</v>
      </c>
      <c r="W19" s="506" t="n">
        <v>378432</v>
      </c>
      <c r="X19" s="506" t="n">
        <v>401202</v>
      </c>
      <c r="Y19" s="506" t="n">
        <f aca="false">W19+X19</f>
        <v>779634</v>
      </c>
      <c r="Z19" s="506" t="n">
        <v>371276</v>
      </c>
      <c r="AA19" s="506" t="n">
        <f aca="false">Z19+Y19</f>
        <v>1150910</v>
      </c>
      <c r="AB19" s="516" t="n">
        <v>375000</v>
      </c>
      <c r="AC19" s="508" t="n">
        <f aca="false">AA19+AB19</f>
        <v>1525910</v>
      </c>
      <c r="AD19" s="511" t="n">
        <f aca="false">AD6*AD20%</f>
        <v>2023197.764</v>
      </c>
      <c r="AE19" s="511" t="n">
        <f aca="false">AE6*AE20%</f>
        <v>2643209.982</v>
      </c>
      <c r="AF19" s="511" t="n">
        <f aca="false">AF6*AF20%</f>
        <v>3823843.8</v>
      </c>
      <c r="AG19" s="511" t="n">
        <f aca="false">AG6*AG20%</f>
        <v>5365716</v>
      </c>
    </row>
    <row r="20" s="496" customFormat="true" ht="15" hidden="false" customHeight="true" outlineLevel="0" collapsed="false">
      <c r="A20" s="520" t="s">
        <v>204</v>
      </c>
      <c r="B20" s="491" t="n">
        <f aca="false">B51/B$6%</f>
        <v>0</v>
      </c>
      <c r="C20" s="491" t="n">
        <f aca="false">C51/C$6%</f>
        <v>0</v>
      </c>
      <c r="D20" s="491" t="n">
        <f aca="false">D19/D$6%</f>
        <v>0</v>
      </c>
      <c r="E20" s="491" t="n">
        <f aca="false">E51/E$6%</f>
        <v>0</v>
      </c>
      <c r="F20" s="491" t="n">
        <f aca="false">F19/F$6%</f>
        <v>0</v>
      </c>
      <c r="G20" s="491" t="n">
        <f aca="false">G19/G$6%</f>
        <v>0</v>
      </c>
      <c r="H20" s="492" t="n">
        <f aca="false">H19/H$6%</f>
        <v>0</v>
      </c>
      <c r="I20" s="491" t="n">
        <f aca="false">I51/I$6%</f>
        <v>0</v>
      </c>
      <c r="J20" s="491" t="n">
        <f aca="false">J19/J$6%</f>
        <v>56.0789595707567</v>
      </c>
      <c r="K20" s="491" t="n">
        <f aca="false">K19/L$6%</f>
        <v>59.087133840352</v>
      </c>
      <c r="L20" s="491" t="n">
        <f aca="false">L19/L6%</f>
        <v>56.2783685757027</v>
      </c>
      <c r="M20" s="491" t="n">
        <f aca="false">M19/M$6%</f>
        <v>37.9317994233878</v>
      </c>
      <c r="N20" s="491" t="n">
        <f aca="false">N19/N$6%</f>
        <v>58.5379987802135</v>
      </c>
      <c r="O20" s="492" t="n">
        <f aca="false">O19/O$6%</f>
        <v>0</v>
      </c>
      <c r="P20" s="491" t="n">
        <f aca="false">P19/P$6%</f>
        <v>58.073955932162</v>
      </c>
      <c r="Q20" s="491" t="n">
        <f aca="false">Q19/Q$6%</f>
        <v>58.6850619106018</v>
      </c>
      <c r="R20" s="491" t="n">
        <f aca="false">R19/R$6%</f>
        <v>58.3908523000306</v>
      </c>
      <c r="S20" s="491" t="n">
        <f aca="false">S19/S$6%</f>
        <v>71.7279170291712</v>
      </c>
      <c r="T20" s="491" t="n">
        <f aca="false">T19/T$6%</f>
        <v>62.7684778326958</v>
      </c>
      <c r="U20" s="491" t="n">
        <f aca="false">U19/U$6%</f>
        <v>63.4947344781399</v>
      </c>
      <c r="V20" s="492" t="n">
        <f aca="false">V19/V$6%</f>
        <v>63.4270765206017</v>
      </c>
      <c r="W20" s="491" t="n">
        <f aca="false">W19/W$6%</f>
        <v>62.6405112781457</v>
      </c>
      <c r="X20" s="491" t="n">
        <f aca="false">X19/X$6%</f>
        <v>64.4569544722814</v>
      </c>
      <c r="Y20" s="491" t="n">
        <f aca="false">Y19/Y$6%</f>
        <v>63.5622840007925</v>
      </c>
      <c r="Z20" s="491" t="n">
        <f aca="false">Z19/Z$6%</f>
        <v>59.8281260323154</v>
      </c>
      <c r="AA20" s="491" t="n">
        <f aca="false">AA19/AA$6%</f>
        <v>62.3077431139417</v>
      </c>
      <c r="AB20" s="491" t="n">
        <f aca="false">AB19/AB$6%</f>
        <v>60</v>
      </c>
      <c r="AC20" s="492" t="n">
        <f aca="false">AC19/AC$6%</f>
        <v>61.7243050347513</v>
      </c>
      <c r="AD20" s="517" t="n">
        <v>62</v>
      </c>
      <c r="AE20" s="517" t="n">
        <v>60</v>
      </c>
      <c r="AF20" s="517" t="n">
        <v>62</v>
      </c>
      <c r="AG20" s="517" t="n">
        <v>60</v>
      </c>
    </row>
    <row r="21" s="524" customFormat="true" ht="15" hidden="false" customHeight="true" outlineLevel="0" collapsed="false">
      <c r="A21" s="521" t="s">
        <v>155</v>
      </c>
      <c r="B21" s="522" t="n">
        <f aca="false">B6-B10</f>
        <v>67587</v>
      </c>
      <c r="C21" s="522" t="n">
        <f aca="false">C6-C10</f>
        <v>88798</v>
      </c>
      <c r="D21" s="522" t="n">
        <f aca="false">D6-D10</f>
        <v>156385</v>
      </c>
      <c r="E21" s="522" t="n">
        <f aca="false">E6-E10</f>
        <v>98179</v>
      </c>
      <c r="F21" s="522" t="n">
        <f aca="false">F6-F10</f>
        <v>254564</v>
      </c>
      <c r="G21" s="522" t="n">
        <f aca="false">G6-G10</f>
        <v>29023</v>
      </c>
      <c r="H21" s="523" t="n">
        <f aca="false">H6-H10</f>
        <v>299729</v>
      </c>
      <c r="I21" s="522" t="n">
        <f aca="false">I6-I10</f>
        <v>252905</v>
      </c>
      <c r="J21" s="522" t="n">
        <f aca="false">J6-J10</f>
        <v>87831</v>
      </c>
      <c r="K21" s="522" t="n">
        <f aca="false">L6-K10</f>
        <v>390655</v>
      </c>
      <c r="L21" s="522" t="n">
        <f aca="false">L6-L10</f>
        <v>87226</v>
      </c>
      <c r="M21" s="522" t="n">
        <f aca="false">M6-M10</f>
        <v>427962</v>
      </c>
      <c r="N21" s="522" t="n">
        <f aca="false">N6-N10</f>
        <v>115996</v>
      </c>
      <c r="O21" s="523" t="n">
        <f aca="false">O6-O10</f>
        <v>394924</v>
      </c>
      <c r="P21" s="522" t="n">
        <f aca="false">P6-P10</f>
        <v>139943</v>
      </c>
      <c r="Q21" s="522" t="n">
        <f aca="false">Q6-Q10</f>
        <v>134978</v>
      </c>
      <c r="R21" s="522" t="n">
        <f aca="false">R6-R10</f>
        <v>274921</v>
      </c>
      <c r="S21" s="522" t="n">
        <f aca="false">S6-S10</f>
        <v>27034</v>
      </c>
      <c r="T21" s="522" t="n">
        <f aca="false">T6-T10</f>
        <v>301955</v>
      </c>
      <c r="U21" s="522" t="n">
        <f aca="false">U6-U10</f>
        <v>104183</v>
      </c>
      <c r="V21" s="523" t="n">
        <f aca="false">V6-V10</f>
        <v>404431</v>
      </c>
      <c r="W21" s="522" t="n">
        <f aca="false">W6-W10</f>
        <v>108541</v>
      </c>
      <c r="X21" s="522" t="n">
        <f aca="false">X6-X10</f>
        <v>103946</v>
      </c>
      <c r="Y21" s="522" t="n">
        <f aca="false">Y6-Y10</f>
        <v>212487</v>
      </c>
      <c r="Z21" s="522" t="n">
        <f aca="false">Z6-Z10</f>
        <v>127051</v>
      </c>
      <c r="AA21" s="522" t="n">
        <f aca="false">AA6-AA10</f>
        <v>339538</v>
      </c>
      <c r="AB21" s="522" t="n">
        <f aca="false">AB6-AB10</f>
        <v>102570</v>
      </c>
      <c r="AC21" s="523" t="n">
        <f aca="false">AC6-AC10</f>
        <v>442108</v>
      </c>
      <c r="AD21" s="523" t="n">
        <f aca="false">AD6-AD10</f>
        <v>440534.997</v>
      </c>
      <c r="AE21" s="523" t="n">
        <f aca="false">AE6-AE10</f>
        <v>585911.54601</v>
      </c>
      <c r="AF21" s="523" t="n">
        <f aca="false">AF6-AF10</f>
        <v>696926.37</v>
      </c>
      <c r="AG21" s="523" t="n">
        <f aca="false">AG6-AG10</f>
        <v>1171514.66</v>
      </c>
    </row>
    <row r="22" s="496" customFormat="true" ht="15" hidden="false" customHeight="true" outlineLevel="0" collapsed="false">
      <c r="A22" s="490" t="s">
        <v>205</v>
      </c>
      <c r="B22" s="491" t="n">
        <f aca="false">B21/$H21*100</f>
        <v>22.5493695972028</v>
      </c>
      <c r="C22" s="491" t="n">
        <f aca="false">C21/$H21*100</f>
        <v>29.6260955730009</v>
      </c>
      <c r="D22" s="491" t="n">
        <f aca="false">D21/$H21*100</f>
        <v>52.1754651702038</v>
      </c>
      <c r="E22" s="491" t="n">
        <f aca="false">E21/$H21*100</f>
        <v>32.7559228503081</v>
      </c>
      <c r="F22" s="491" t="n">
        <f aca="false">F21/$H21*100</f>
        <v>84.9313880205119</v>
      </c>
      <c r="G22" s="491" t="n">
        <f aca="false">G21/$H21*100</f>
        <v>9.68308038261229</v>
      </c>
      <c r="H22" s="492" t="n">
        <f aca="false">F22+G22</f>
        <v>94.6144684031242</v>
      </c>
      <c r="I22" s="491" t="n">
        <f aca="false">I21/$O21*100</f>
        <v>64.0389036877982</v>
      </c>
      <c r="J22" s="491" t="n">
        <f aca="false">J21/$O21*100</f>
        <v>22.2399752863842</v>
      </c>
      <c r="K22" s="491" t="n">
        <f aca="false">K21/$O21*100</f>
        <v>98.9190325227132</v>
      </c>
      <c r="L22" s="491" t="n">
        <f aca="false">L21/$O21*100</f>
        <v>22.0867812541147</v>
      </c>
      <c r="M22" s="491" t="n">
        <f aca="false">M21/$O21*100</f>
        <v>108.365660228297</v>
      </c>
      <c r="N22" s="491" t="n">
        <f aca="false">N21/$O21*100</f>
        <v>29.3717272184015</v>
      </c>
      <c r="O22" s="492" t="n">
        <f aca="false">M22+N22</f>
        <v>137.737387446699</v>
      </c>
      <c r="P22" s="491" t="n">
        <f aca="false">P21/$V21*100</f>
        <v>34.6024414547846</v>
      </c>
      <c r="Q22" s="491" t="n">
        <f aca="false">Q21/$V21*100</f>
        <v>33.374790755407</v>
      </c>
      <c r="R22" s="491" t="n">
        <f aca="false">R21/$V21*100</f>
        <v>67.9772322101916</v>
      </c>
      <c r="S22" s="491" t="n">
        <f aca="false">S21/$V21*100</f>
        <v>6.68445297220045</v>
      </c>
      <c r="T22" s="491" t="n">
        <f aca="false">T21/$V21*100</f>
        <v>74.6616851823921</v>
      </c>
      <c r="U22" s="491" t="n">
        <f aca="false">U21/$V21*100</f>
        <v>25.7603892876659</v>
      </c>
      <c r="V22" s="492" t="n">
        <f aca="false">T22+U22</f>
        <v>100.422074470058</v>
      </c>
      <c r="W22" s="491" t="n">
        <f aca="false">W21/$AC21*100</f>
        <v>24.5507884951188</v>
      </c>
      <c r="X22" s="491" t="n">
        <f aca="false">X21/$AC21*100</f>
        <v>23.5114496910257</v>
      </c>
      <c r="Y22" s="491" t="n">
        <f aca="false">Y21/$AC21*100</f>
        <v>48.0622381861446</v>
      </c>
      <c r="Z22" s="491" t="n">
        <f aca="false">Z21/$AC21*100</f>
        <v>28.7375482913677</v>
      </c>
      <c r="AA22" s="491" t="n">
        <f aca="false">AA21/$AC21*100</f>
        <v>76.7997864775123</v>
      </c>
      <c r="AB22" s="491" t="n">
        <f aca="false">AB21/$AC21*100</f>
        <v>23.2002135224877</v>
      </c>
      <c r="AC22" s="493" t="n">
        <f aca="false">AA22+AB22</f>
        <v>100</v>
      </c>
      <c r="AD22" s="525"/>
      <c r="AE22" s="525"/>
      <c r="AF22" s="525"/>
      <c r="AG22" s="525"/>
    </row>
    <row r="23" s="496" customFormat="true" ht="15" hidden="false" customHeight="true" outlineLevel="0" collapsed="false">
      <c r="A23" s="497" t="s">
        <v>202</v>
      </c>
      <c r="B23" s="491"/>
      <c r="C23" s="491"/>
      <c r="D23" s="491"/>
      <c r="E23" s="491"/>
      <c r="F23" s="491"/>
      <c r="G23" s="491"/>
      <c r="H23" s="492"/>
      <c r="I23" s="491" t="n">
        <f aca="false">(I21/B21-1)*100</f>
        <v>274.191782443369</v>
      </c>
      <c r="J23" s="491" t="n">
        <f aca="false">(J21/C21-1)*100</f>
        <v>-1.08898849073177</v>
      </c>
      <c r="K23" s="491" t="n">
        <f aca="false">(K21/D21-1)*100</f>
        <v>149.803369888416</v>
      </c>
      <c r="L23" s="491" t="n">
        <f aca="false">(L21/E21-1)*100</f>
        <v>-11.1561535562595</v>
      </c>
      <c r="M23" s="491" t="n">
        <f aca="false">(M21/F21-1)*100</f>
        <v>68.1156801433039</v>
      </c>
      <c r="N23" s="491" t="n">
        <f aca="false">(N21/G21-1)*100</f>
        <v>299.669227853771</v>
      </c>
      <c r="O23" s="492" t="n">
        <f aca="false">(O21/H21-1)*100</f>
        <v>31.760356855693</v>
      </c>
      <c r="P23" s="491" t="n">
        <f aca="false">(P21/I21-1)*100</f>
        <v>-44.6657835946304</v>
      </c>
      <c r="Q23" s="491" t="n">
        <f aca="false">(Q21/J21-1)*100</f>
        <v>53.6792248750441</v>
      </c>
      <c r="R23" s="491" t="n">
        <f aca="false">(R21/K21-1)*100</f>
        <v>-29.6256287517119</v>
      </c>
      <c r="S23" s="491" t="n">
        <f aca="false">(S21/L21-1)*100</f>
        <v>-69.0069474697911</v>
      </c>
      <c r="T23" s="491" t="n">
        <f aca="false">(T21/M21-1)*100</f>
        <v>-29.4435019931676</v>
      </c>
      <c r="U23" s="491" t="n">
        <f aca="false">(U21/N21-1)*100</f>
        <v>-10.1839718610987</v>
      </c>
      <c r="V23" s="492" t="n">
        <f aca="false">(V21/O21-1)*100</f>
        <v>2.40729861948121</v>
      </c>
      <c r="W23" s="491" t="n">
        <f aca="false">(W21/P21-1)*100</f>
        <v>-22.439135933916</v>
      </c>
      <c r="X23" s="491" t="n">
        <f aca="false">(X21/Q21-1)*100</f>
        <v>-22.99041325253</v>
      </c>
      <c r="Y23" s="491" t="n">
        <f aca="false">(Y21/R21-1)*100</f>
        <v>-22.7097966324872</v>
      </c>
      <c r="Z23" s="491" t="n">
        <f aca="false">(Z21/S21-1)*100</f>
        <v>369.967448398313</v>
      </c>
      <c r="AA23" s="491" t="n">
        <f aca="false">(AA21/T21-1)*100</f>
        <v>12.4465566061168</v>
      </c>
      <c r="AB23" s="498" t="n">
        <f aca="false">(AB21/U21-1)*100</f>
        <v>-1.54823723640133</v>
      </c>
      <c r="AC23" s="493" t="n">
        <f aca="false">(AC21/V21-1)*100</f>
        <v>9.31605144017149</v>
      </c>
      <c r="AD23" s="494" t="n">
        <f aca="false">((AD21/AC21)-1)*100</f>
        <v>-0.355796095071803</v>
      </c>
      <c r="AE23" s="494" t="n">
        <f aca="false">((AE21/AD21)-1)*100</f>
        <v>32.9999999999999</v>
      </c>
      <c r="AF23" s="494" t="n">
        <f aca="false">((AF21/AE21)-1)*100</f>
        <v>18.9473692310726</v>
      </c>
      <c r="AG23" s="494" t="n">
        <f aca="false">((AG21/AF21)-1)*100</f>
        <v>68.097335734333</v>
      </c>
    </row>
    <row r="24" s="496" customFormat="true" ht="15" hidden="false" customHeight="true" outlineLevel="0" collapsed="false">
      <c r="A24" s="500" t="s">
        <v>203</v>
      </c>
      <c r="B24" s="491"/>
      <c r="C24" s="491" t="n">
        <f aca="false">(C21/B21-1)*100</f>
        <v>31.383254176099</v>
      </c>
      <c r="D24" s="491"/>
      <c r="E24" s="491" t="n">
        <f aca="false">(E21/C21-1)*100</f>
        <v>10.5644271267371</v>
      </c>
      <c r="F24" s="491"/>
      <c r="G24" s="491" t="n">
        <f aca="false">(G21/E21-1)*100</f>
        <v>-70.4386885179112</v>
      </c>
      <c r="H24" s="492"/>
      <c r="I24" s="491" t="n">
        <f aca="false">(I21/G21-1)*100</f>
        <v>771.395100437584</v>
      </c>
      <c r="J24" s="491" t="n">
        <f aca="false">(J21/I21-1)*100</f>
        <v>-65.2711492457642</v>
      </c>
      <c r="K24" s="491"/>
      <c r="L24" s="491" t="n">
        <f aca="false">(L21/J21-1)*100</f>
        <v>-0.688822852979021</v>
      </c>
      <c r="M24" s="491"/>
      <c r="N24" s="491" t="n">
        <f aca="false">(N21/L21-1)*100</f>
        <v>32.9832848004036</v>
      </c>
      <c r="O24" s="492"/>
      <c r="P24" s="491" t="n">
        <f aca="false">(P21/N21-1)*100</f>
        <v>20.6446774026691</v>
      </c>
      <c r="Q24" s="491" t="n">
        <f aca="false">(Q21/P21-1)*100</f>
        <v>-3.54787306260406</v>
      </c>
      <c r="R24" s="491"/>
      <c r="S24" s="491" t="n">
        <f aca="false">(S21/Q21-1)*100</f>
        <v>-79.9715509194091</v>
      </c>
      <c r="T24" s="491"/>
      <c r="U24" s="491" t="n">
        <f aca="false">(U21/S21-1)*100</f>
        <v>285.377672560479</v>
      </c>
      <c r="V24" s="492"/>
      <c r="W24" s="491" t="n">
        <f aca="false">(W21/U21-1)*100</f>
        <v>4.18302410182083</v>
      </c>
      <c r="X24" s="491" t="n">
        <f aca="false">(X21/W21-1)*100</f>
        <v>-4.23342331469214</v>
      </c>
      <c r="Y24" s="491"/>
      <c r="Z24" s="491" t="n">
        <f aca="false">(Z21/X21-1)*100</f>
        <v>22.2278875570008</v>
      </c>
      <c r="AA24" s="491"/>
      <c r="AB24" s="498" t="n">
        <f aca="false">(AB21/Z21-1)*100</f>
        <v>-19.2686401523798</v>
      </c>
      <c r="AC24" s="493"/>
      <c r="AD24" s="495"/>
      <c r="AE24" s="495"/>
      <c r="AF24" s="495"/>
      <c r="AG24" s="495"/>
    </row>
    <row r="25" s="275" customFormat="true" ht="15" hidden="false" customHeight="true" outlineLevel="0" collapsed="false">
      <c r="A25" s="526" t="s">
        <v>156</v>
      </c>
      <c r="B25" s="527" t="n">
        <f aca="false">(B21/B6)*100</f>
        <v>14.2879792995852</v>
      </c>
      <c r="C25" s="527" t="n">
        <f aca="false">(C21/C6)*100</f>
        <v>20.3744579308446</v>
      </c>
      <c r="D25" s="527" t="n">
        <f aca="false">(D21/D6)*100</f>
        <v>17.2066447785367</v>
      </c>
      <c r="E25" s="527" t="n">
        <f aca="false">(E21/E6)*100</f>
        <v>19.2273345057596</v>
      </c>
      <c r="F25" s="527" t="n">
        <f aca="false">(F21/F6)*100</f>
        <v>17.9335336875461</v>
      </c>
      <c r="G25" s="527" t="n">
        <f aca="false">(G21/G6)*100</f>
        <v>7.47360560333728</v>
      </c>
      <c r="H25" s="523" t="n">
        <f aca="false">H21/H6*100</f>
        <v>18.6779857894035</v>
      </c>
      <c r="I25" s="527" t="n">
        <f aca="false">(I21/I6)*100</f>
        <v>59.5676075446101</v>
      </c>
      <c r="J25" s="527" t="n">
        <f aca="false">(J21/J6)*100</f>
        <v>19.3934509483539</v>
      </c>
      <c r="K25" s="527" t="n">
        <f aca="false">(K21/L6)*100</f>
        <v>90.8852973131425</v>
      </c>
      <c r="L25" s="527" t="n">
        <f aca="false">(L21/L6)*100</f>
        <v>20.2929975129876</v>
      </c>
      <c r="M25" s="527" t="n">
        <f aca="false">(M21/M6)*100</f>
        <v>32.7365521525047</v>
      </c>
      <c r="N25" s="527" t="n">
        <f aca="false">(N21/N6)*100</f>
        <v>23.5033807537146</v>
      </c>
      <c r="O25" s="523" t="n">
        <f aca="false">O21/O6*100</f>
        <v>21.9302317832987</v>
      </c>
      <c r="P25" s="527" t="n">
        <f aca="false">(P21/P6)*100</f>
        <v>24.4198362855562</v>
      </c>
      <c r="Q25" s="527" t="n">
        <f aca="false">(Q21/Q6)*100</f>
        <v>21.8672490243187</v>
      </c>
      <c r="R25" s="527" t="n">
        <f aca="false">(R21/R6)*100</f>
        <v>23.0961614070696</v>
      </c>
      <c r="S25" s="527" t="n">
        <f aca="false">(S21/S6)*100</f>
        <v>4.64819584526876</v>
      </c>
      <c r="T25" s="527" t="n">
        <f aca="false">(T21/T6)*100</f>
        <v>17.0409845964917</v>
      </c>
      <c r="U25" s="527" t="n">
        <f aca="false">(U21/U6)*100</f>
        <v>16.7121969216949</v>
      </c>
      <c r="V25" s="523" t="n">
        <f aca="false">V21/V6*100</f>
        <v>17.010087924983</v>
      </c>
      <c r="W25" s="527" t="n">
        <f aca="false">(W21/W6)*100</f>
        <v>17.9664080591525</v>
      </c>
      <c r="X25" s="527" t="n">
        <f aca="false">(X21/X6)*100</f>
        <v>16.6999232047093</v>
      </c>
      <c r="Y25" s="527" t="n">
        <f aca="false">(Y21/Y6)*100</f>
        <v>17.3237173346421</v>
      </c>
      <c r="Z25" s="527" t="n">
        <f aca="false">(Z21/Z6)*100</f>
        <v>20.4732415791263</v>
      </c>
      <c r="AA25" s="527" t="n">
        <f aca="false">(AA21/AA6)*100</f>
        <v>18.3818426127339</v>
      </c>
      <c r="AB25" s="527" t="n">
        <f aca="false">(AB21/AB6)*100</f>
        <v>16.4112</v>
      </c>
      <c r="AC25" s="523" t="n">
        <f aca="false">(AC21/AC6)*100</f>
        <v>17.8836294737592</v>
      </c>
      <c r="AD25" s="528" t="n">
        <f aca="false">(AD21/AD6)*100</f>
        <v>13.5</v>
      </c>
      <c r="AE25" s="528" t="n">
        <f aca="false">(AE21/AE6)*100</f>
        <v>13.3</v>
      </c>
      <c r="AF25" s="528" t="n">
        <f aca="false">(AF21/AF6)*100</f>
        <v>11.3</v>
      </c>
      <c r="AG25" s="528" t="n">
        <f aca="false">(AG21/AG6)*100</f>
        <v>13.1</v>
      </c>
    </row>
    <row r="26" customFormat="false" ht="15" hidden="false" customHeight="true" outlineLevel="0" collapsed="false">
      <c r="A26" s="505" t="s">
        <v>157</v>
      </c>
      <c r="B26" s="506" t="n">
        <v>2880</v>
      </c>
      <c r="C26" s="506" t="n">
        <v>2912</v>
      </c>
      <c r="D26" s="506" t="n">
        <f aca="false">B26+C26</f>
        <v>5792</v>
      </c>
      <c r="E26" s="506" t="n">
        <v>2705</v>
      </c>
      <c r="F26" s="506" t="n">
        <f aca="false">D26+E26</f>
        <v>8497</v>
      </c>
      <c r="G26" s="506" t="n">
        <v>2211</v>
      </c>
      <c r="H26" s="508" t="n">
        <f aca="false">F26+G26</f>
        <v>10708</v>
      </c>
      <c r="I26" s="506" t="n">
        <v>2040</v>
      </c>
      <c r="J26" s="506" t="n">
        <v>2009</v>
      </c>
      <c r="K26" s="506" t="n">
        <f aca="false">I26+J26</f>
        <v>4049</v>
      </c>
      <c r="L26" s="506" t="n">
        <v>1955</v>
      </c>
      <c r="M26" s="506" t="n">
        <f aca="false">K26+L26</f>
        <v>6004</v>
      </c>
      <c r="N26" s="506" t="n">
        <v>1953</v>
      </c>
      <c r="O26" s="508" t="n">
        <f aca="false">M26+N26</f>
        <v>7957</v>
      </c>
      <c r="P26" s="506" t="n">
        <v>1902</v>
      </c>
      <c r="Q26" s="506" t="n">
        <v>1890</v>
      </c>
      <c r="R26" s="506" t="n">
        <f aca="false">P26+Q26</f>
        <v>3792</v>
      </c>
      <c r="S26" s="506" t="n">
        <v>1851</v>
      </c>
      <c r="T26" s="506" t="n">
        <f aca="false">R26+S26</f>
        <v>5643</v>
      </c>
      <c r="U26" s="506" t="n">
        <v>3057</v>
      </c>
      <c r="V26" s="508" t="n">
        <f aca="false">T26+U26</f>
        <v>8700</v>
      </c>
      <c r="W26" s="506" t="n">
        <v>1792</v>
      </c>
      <c r="X26" s="506" t="n">
        <v>1785</v>
      </c>
      <c r="Y26" s="506" t="n">
        <f aca="false">W26+X26</f>
        <v>3577</v>
      </c>
      <c r="Z26" s="529" t="n">
        <v>1422</v>
      </c>
      <c r="AA26" s="506" t="n">
        <f aca="false">Y26+Z26</f>
        <v>4999</v>
      </c>
      <c r="AB26" s="516" t="n">
        <v>1790</v>
      </c>
      <c r="AC26" s="508" t="n">
        <f aca="false">AA26+AB26</f>
        <v>6789</v>
      </c>
      <c r="AD26" s="530" t="n">
        <v>7765</v>
      </c>
      <c r="AE26" s="530" t="n">
        <v>6594</v>
      </c>
      <c r="AF26" s="530" t="n">
        <v>5423</v>
      </c>
      <c r="AG26" s="530" t="n">
        <v>5889</v>
      </c>
    </row>
    <row r="27" customFormat="false" ht="15" hidden="false" customHeight="true" outlineLevel="0" collapsed="false">
      <c r="A27" s="531" t="s">
        <v>158</v>
      </c>
      <c r="B27" s="506" t="n">
        <v>14081</v>
      </c>
      <c r="C27" s="506" t="n">
        <v>14357</v>
      </c>
      <c r="D27" s="506" t="n">
        <f aca="false">B27+C27</f>
        <v>28438</v>
      </c>
      <c r="E27" s="506" t="n">
        <v>14387</v>
      </c>
      <c r="F27" s="506" t="n">
        <f aca="false">D27+E27</f>
        <v>42825</v>
      </c>
      <c r="G27" s="506" t="n">
        <v>14713</v>
      </c>
      <c r="H27" s="508" t="n">
        <f aca="false">F27+G27</f>
        <v>57538</v>
      </c>
      <c r="I27" s="506" t="n">
        <v>14070</v>
      </c>
      <c r="J27" s="506" t="n">
        <v>14916</v>
      </c>
      <c r="K27" s="506" t="n">
        <f aca="false">I27+J27</f>
        <v>28986</v>
      </c>
      <c r="L27" s="506" t="n">
        <v>13869</v>
      </c>
      <c r="M27" s="506" t="n">
        <f aca="false">K27+L27</f>
        <v>42855</v>
      </c>
      <c r="N27" s="506" t="n">
        <v>14247</v>
      </c>
      <c r="O27" s="508" t="n">
        <f aca="false">M27+N27</f>
        <v>57102</v>
      </c>
      <c r="P27" s="506" t="n">
        <v>14296</v>
      </c>
      <c r="Q27" s="506" t="n">
        <v>13858</v>
      </c>
      <c r="R27" s="506" t="n">
        <f aca="false">P27+Q27</f>
        <v>28154</v>
      </c>
      <c r="S27" s="506" t="n">
        <v>13739</v>
      </c>
      <c r="T27" s="506" t="n">
        <f aca="false">R27+S27</f>
        <v>41893</v>
      </c>
      <c r="U27" s="506" t="n">
        <v>14098</v>
      </c>
      <c r="V27" s="508" t="n">
        <f aca="false">T27+U27</f>
        <v>55991</v>
      </c>
      <c r="W27" s="506" t="n">
        <v>14041</v>
      </c>
      <c r="X27" s="506" t="n">
        <v>14162</v>
      </c>
      <c r="Y27" s="506" t="n">
        <f aca="false">W27+X27</f>
        <v>28203</v>
      </c>
      <c r="Z27" s="506" t="n">
        <v>14091</v>
      </c>
      <c r="AA27" s="506" t="n">
        <f aca="false">Y27+Z27</f>
        <v>42294</v>
      </c>
      <c r="AB27" s="516" t="n">
        <v>14397</v>
      </c>
      <c r="AC27" s="508" t="n">
        <v>56691</v>
      </c>
      <c r="AD27" s="530" t="n">
        <v>57516</v>
      </c>
      <c r="AE27" s="530" t="n">
        <v>58466</v>
      </c>
      <c r="AF27" s="530" t="n">
        <v>59266</v>
      </c>
      <c r="AG27" s="530" t="n">
        <v>60050</v>
      </c>
    </row>
    <row r="28" s="524" customFormat="true" ht="15" hidden="false" customHeight="true" outlineLevel="0" collapsed="false">
      <c r="A28" s="532" t="s">
        <v>159</v>
      </c>
      <c r="B28" s="527" t="n">
        <f aca="false">B21-(B26+B27)</f>
        <v>50626</v>
      </c>
      <c r="C28" s="527" t="n">
        <f aca="false">C21-(C26+C27)</f>
        <v>71529</v>
      </c>
      <c r="D28" s="527" t="n">
        <f aca="false">D21-(D26+D27)</f>
        <v>122155</v>
      </c>
      <c r="E28" s="527" t="n">
        <f aca="false">E21-(E26+E27)</f>
        <v>81087</v>
      </c>
      <c r="F28" s="527" t="n">
        <f aca="false">F21-(F26+F27)</f>
        <v>203242</v>
      </c>
      <c r="G28" s="527" t="n">
        <f aca="false">G21-(G26+G27)</f>
        <v>12099</v>
      </c>
      <c r="H28" s="523" t="n">
        <f aca="false">H21-(H26+H27)</f>
        <v>231483</v>
      </c>
      <c r="I28" s="527" t="n">
        <f aca="false">I21-(I26+I27)</f>
        <v>236795</v>
      </c>
      <c r="J28" s="527" t="n">
        <f aca="false">J21-(J26+J27)</f>
        <v>70906</v>
      </c>
      <c r="K28" s="527" t="n">
        <f aca="false">K21-(K26+K27)</f>
        <v>357620</v>
      </c>
      <c r="L28" s="527" t="n">
        <f aca="false">L21-(L26+L27)</f>
        <v>71402</v>
      </c>
      <c r="M28" s="527" t="n">
        <f aca="false">M21-(M26+M27)</f>
        <v>379103</v>
      </c>
      <c r="N28" s="527" t="n">
        <f aca="false">N21-(N26+N27)</f>
        <v>99796</v>
      </c>
      <c r="O28" s="523" t="n">
        <f aca="false">O21-(O26+O27)</f>
        <v>329865</v>
      </c>
      <c r="P28" s="527" t="n">
        <f aca="false">P21-(P26+P27)</f>
        <v>123745</v>
      </c>
      <c r="Q28" s="527" t="n">
        <f aca="false">Q21-(Q26+Q27)</f>
        <v>119230</v>
      </c>
      <c r="R28" s="527" t="n">
        <f aca="false">R21-(R26+R27)</f>
        <v>242975</v>
      </c>
      <c r="S28" s="527" t="n">
        <f aca="false">S21-(S26+S27)</f>
        <v>11444</v>
      </c>
      <c r="T28" s="527" t="n">
        <f aca="false">T21-(T26+T27)</f>
        <v>254419</v>
      </c>
      <c r="U28" s="527" t="n">
        <f aca="false">U21-(U26+U27)</f>
        <v>87028</v>
      </c>
      <c r="V28" s="523" t="n">
        <f aca="false">V21-(V26+V27)</f>
        <v>339740</v>
      </c>
      <c r="W28" s="527" t="n">
        <f aca="false">W21-(W26+W27)</f>
        <v>92708</v>
      </c>
      <c r="X28" s="527" t="n">
        <f aca="false">X21-(X26+X27)</f>
        <v>87999</v>
      </c>
      <c r="Y28" s="527" t="n">
        <f aca="false">Y21-(Y26+Y27)</f>
        <v>180707</v>
      </c>
      <c r="Z28" s="527" t="n">
        <f aca="false">Z21-(Z26+Z27)</f>
        <v>111538</v>
      </c>
      <c r="AA28" s="527" t="n">
        <f aca="false">AA21-(AA26+AA27)</f>
        <v>292245</v>
      </c>
      <c r="AB28" s="527" t="n">
        <f aca="false">AB21-(AB26+AB27)</f>
        <v>86383</v>
      </c>
      <c r="AC28" s="523" t="n">
        <f aca="false">AC21-(AC26+AC27)</f>
        <v>378628</v>
      </c>
      <c r="AD28" s="533" t="n">
        <f aca="false">AD21-(AD26+AD27)</f>
        <v>375253.997</v>
      </c>
      <c r="AE28" s="533" t="n">
        <f aca="false">AE21-(AE26+AE27)</f>
        <v>520851.54601</v>
      </c>
      <c r="AF28" s="533" t="n">
        <f aca="false">AF21-(AF26+AF27)</f>
        <v>632237.37</v>
      </c>
      <c r="AG28" s="533" t="n">
        <f aca="false">AG21-(AG26+AG27)</f>
        <v>1105575.66</v>
      </c>
    </row>
    <row r="29" customFormat="false" ht="15" hidden="false" customHeight="true" outlineLevel="0" collapsed="false">
      <c r="A29" s="534" t="s">
        <v>160</v>
      </c>
      <c r="B29" s="506" t="n">
        <v>8006</v>
      </c>
      <c r="C29" s="506" t="n">
        <v>16737</v>
      </c>
      <c r="D29" s="506" t="n">
        <f aca="false">B29+C29</f>
        <v>24743</v>
      </c>
      <c r="E29" s="506" t="n">
        <v>18463</v>
      </c>
      <c r="F29" s="506" t="n">
        <f aca="false">D29+E29</f>
        <v>43206</v>
      </c>
      <c r="G29" s="506" t="n">
        <v>11289</v>
      </c>
      <c r="H29" s="508" t="n">
        <f aca="false">F29+G29</f>
        <v>54495</v>
      </c>
      <c r="I29" s="506" t="n">
        <v>9127</v>
      </c>
      <c r="J29" s="506" t="n">
        <v>18060</v>
      </c>
      <c r="K29" s="506" t="n">
        <f aca="false">I29+J29</f>
        <v>27187</v>
      </c>
      <c r="L29" s="506" t="n">
        <v>18482</v>
      </c>
      <c r="M29" s="506" t="n">
        <f aca="false">K29+L29</f>
        <v>45669</v>
      </c>
      <c r="N29" s="506" t="n">
        <v>9966</v>
      </c>
      <c r="O29" s="508" t="n">
        <f aca="false">M29+N29</f>
        <v>55635</v>
      </c>
      <c r="P29" s="506" t="n">
        <v>11477</v>
      </c>
      <c r="Q29" s="506" t="n">
        <v>4333</v>
      </c>
      <c r="R29" s="506" t="n">
        <f aca="false">P29+Q29</f>
        <v>15810</v>
      </c>
      <c r="S29" s="506" t="n">
        <v>437</v>
      </c>
      <c r="T29" s="506" t="n">
        <f aca="false">R29+S29</f>
        <v>16247</v>
      </c>
      <c r="U29" s="506" t="n">
        <v>12964</v>
      </c>
      <c r="V29" s="508" t="n">
        <f aca="false">61177+18485</f>
        <v>79662</v>
      </c>
      <c r="W29" s="506" t="n">
        <v>1991</v>
      </c>
      <c r="X29" s="506" t="n">
        <v>2216</v>
      </c>
      <c r="Y29" s="506" t="n">
        <f aca="false">W29+X29</f>
        <v>4207</v>
      </c>
      <c r="Z29" s="506" t="n">
        <v>1787</v>
      </c>
      <c r="AA29" s="506" t="n">
        <f aca="false">Y29+Z29</f>
        <v>5994</v>
      </c>
      <c r="AB29" s="509" t="n">
        <v>2000</v>
      </c>
      <c r="AC29" s="510" t="n">
        <f aca="false">AA29+AB29</f>
        <v>7994</v>
      </c>
      <c r="AD29" s="530" t="n">
        <v>25000</v>
      </c>
      <c r="AE29" s="530" t="n">
        <v>30000</v>
      </c>
      <c r="AF29" s="530" t="n">
        <v>37000</v>
      </c>
      <c r="AG29" s="530" t="n">
        <v>43000</v>
      </c>
    </row>
    <row r="30" s="275" customFormat="true" ht="15" hidden="false" customHeight="true" outlineLevel="0" collapsed="false">
      <c r="A30" s="532" t="s">
        <v>161</v>
      </c>
      <c r="B30" s="527" t="n">
        <f aca="false">B28+B29</f>
        <v>58632</v>
      </c>
      <c r="C30" s="527" t="n">
        <f aca="false">C28+C29</f>
        <v>88266</v>
      </c>
      <c r="D30" s="527" t="n">
        <f aca="false">D28+D29</f>
        <v>146898</v>
      </c>
      <c r="E30" s="527" t="n">
        <f aca="false">E28+E29</f>
        <v>99550</v>
      </c>
      <c r="F30" s="527" t="n">
        <f aca="false">F28+F29</f>
        <v>246448</v>
      </c>
      <c r="G30" s="527" t="n">
        <f aca="false">G28+G29</f>
        <v>23388</v>
      </c>
      <c r="H30" s="523" t="n">
        <f aca="false">H28+H29</f>
        <v>285978</v>
      </c>
      <c r="I30" s="527" t="n">
        <f aca="false">I28+I29</f>
        <v>245922</v>
      </c>
      <c r="J30" s="527" t="n">
        <f aca="false">J28+J29</f>
        <v>88966</v>
      </c>
      <c r="K30" s="527" t="n">
        <f aca="false">K28+K29</f>
        <v>384807</v>
      </c>
      <c r="L30" s="527" t="n">
        <f aca="false">L28+L29</f>
        <v>89884</v>
      </c>
      <c r="M30" s="527" t="n">
        <f aca="false">M28+M29</f>
        <v>424772</v>
      </c>
      <c r="N30" s="527" t="n">
        <f aca="false">N28+N29</f>
        <v>109762</v>
      </c>
      <c r="O30" s="523" t="n">
        <f aca="false">O28+O29</f>
        <v>385500</v>
      </c>
      <c r="P30" s="527" t="n">
        <f aca="false">P28+P29</f>
        <v>135222</v>
      </c>
      <c r="Q30" s="527" t="n">
        <f aca="false">Q28+Q29</f>
        <v>123563</v>
      </c>
      <c r="R30" s="527" t="n">
        <f aca="false">R28+R29</f>
        <v>258785</v>
      </c>
      <c r="S30" s="527" t="n">
        <f aca="false">S28+S29</f>
        <v>11881</v>
      </c>
      <c r="T30" s="527" t="n">
        <f aca="false">T28+T29</f>
        <v>270666</v>
      </c>
      <c r="U30" s="527" t="n">
        <f aca="false">U28+U29</f>
        <v>99992</v>
      </c>
      <c r="V30" s="523" t="n">
        <f aca="false">V28+V29</f>
        <v>419402</v>
      </c>
      <c r="W30" s="527" t="n">
        <f aca="false">W28+W29</f>
        <v>94699</v>
      </c>
      <c r="X30" s="527" t="n">
        <f aca="false">X28+X29</f>
        <v>90215</v>
      </c>
      <c r="Y30" s="527" t="n">
        <f aca="false">Y28+Y29</f>
        <v>184914</v>
      </c>
      <c r="Z30" s="527" t="n">
        <f aca="false">Z28+Z29</f>
        <v>113325</v>
      </c>
      <c r="AA30" s="527" t="n">
        <f aca="false">AA28+AA29</f>
        <v>298239</v>
      </c>
      <c r="AB30" s="527" t="n">
        <f aca="false">AB28+AB29</f>
        <v>88383</v>
      </c>
      <c r="AC30" s="523" t="n">
        <f aca="false">AC28+AC29</f>
        <v>386622</v>
      </c>
      <c r="AD30" s="533" t="n">
        <f aca="false">AD28+AD29</f>
        <v>400253.997</v>
      </c>
      <c r="AE30" s="533" t="n">
        <f aca="false">AE28+AE29</f>
        <v>550851.54601</v>
      </c>
      <c r="AF30" s="533" t="n">
        <f aca="false">AF28+AF29</f>
        <v>669237.37</v>
      </c>
      <c r="AG30" s="533" t="n">
        <f aca="false">AG28+AG29</f>
        <v>1148575.66</v>
      </c>
    </row>
    <row r="31" customFormat="false" ht="15" hidden="false" customHeight="true" outlineLevel="0" collapsed="false">
      <c r="A31" s="534" t="s">
        <v>162</v>
      </c>
      <c r="B31" s="506" t="n">
        <v>0</v>
      </c>
      <c r="C31" s="506" t="n">
        <v>0</v>
      </c>
      <c r="D31" s="506" t="n">
        <v>0</v>
      </c>
      <c r="E31" s="506" t="n">
        <v>0</v>
      </c>
      <c r="F31" s="506" t="n">
        <v>0</v>
      </c>
      <c r="G31" s="519"/>
      <c r="H31" s="508" t="n">
        <v>0</v>
      </c>
      <c r="I31" s="506" t="n">
        <v>0</v>
      </c>
      <c r="J31" s="506" t="n">
        <v>0</v>
      </c>
      <c r="K31" s="506" t="n">
        <v>0</v>
      </c>
      <c r="L31" s="506" t="n">
        <v>0</v>
      </c>
      <c r="M31" s="506" t="n">
        <f aca="false">K31+L31</f>
        <v>0</v>
      </c>
      <c r="N31" s="506" t="n">
        <v>0</v>
      </c>
      <c r="O31" s="508" t="n">
        <v>0</v>
      </c>
      <c r="P31" s="535"/>
      <c r="Q31" s="535"/>
      <c r="R31" s="506" t="n">
        <f aca="false">P31+Q31</f>
        <v>0</v>
      </c>
      <c r="S31" s="506"/>
      <c r="T31" s="506" t="n">
        <f aca="false">R31+S31</f>
        <v>0</v>
      </c>
      <c r="U31" s="506"/>
      <c r="V31" s="508" t="n">
        <v>0</v>
      </c>
      <c r="W31" s="535" t="n">
        <v>0</v>
      </c>
      <c r="X31" s="535" t="n">
        <v>0</v>
      </c>
      <c r="Y31" s="535" t="n">
        <f aca="false">W31+X31</f>
        <v>0</v>
      </c>
      <c r="Z31" s="506"/>
      <c r="AA31" s="506" t="n">
        <f aca="false">Y31+Z31</f>
        <v>0</v>
      </c>
      <c r="AB31" s="536"/>
      <c r="AC31" s="510"/>
      <c r="AD31" s="537" t="n">
        <v>0</v>
      </c>
      <c r="AE31" s="537" t="n">
        <v>0</v>
      </c>
      <c r="AF31" s="537" t="n">
        <v>0</v>
      </c>
      <c r="AG31" s="537" t="n">
        <v>0</v>
      </c>
    </row>
    <row r="32" s="524" customFormat="true" ht="15" hidden="false" customHeight="true" outlineLevel="0" collapsed="false">
      <c r="A32" s="532" t="s">
        <v>163</v>
      </c>
      <c r="B32" s="527" t="n">
        <f aca="false">B30+B31</f>
        <v>58632</v>
      </c>
      <c r="C32" s="527" t="n">
        <f aca="false">C30+C31</f>
        <v>88266</v>
      </c>
      <c r="D32" s="527" t="n">
        <f aca="false">D30+D31</f>
        <v>146898</v>
      </c>
      <c r="E32" s="527" t="n">
        <f aca="false">E30+E31</f>
        <v>99550</v>
      </c>
      <c r="F32" s="527" t="n">
        <f aca="false">F30+F31</f>
        <v>246448</v>
      </c>
      <c r="G32" s="527" t="n">
        <f aca="false">G30+G51</f>
        <v>23388</v>
      </c>
      <c r="H32" s="523" t="n">
        <f aca="false">H30+H31</f>
        <v>285978</v>
      </c>
      <c r="I32" s="527" t="n">
        <f aca="false">I30+I31</f>
        <v>245922</v>
      </c>
      <c r="J32" s="527" t="n">
        <f aca="false">J30+J31</f>
        <v>88966</v>
      </c>
      <c r="K32" s="527" t="n">
        <f aca="false">K30+K31</f>
        <v>384807</v>
      </c>
      <c r="L32" s="527" t="n">
        <f aca="false">L30+L31</f>
        <v>89884</v>
      </c>
      <c r="M32" s="527" t="n">
        <f aca="false">M30+M31</f>
        <v>424772</v>
      </c>
      <c r="N32" s="527" t="n">
        <f aca="false">N30+N31</f>
        <v>109762</v>
      </c>
      <c r="O32" s="523" t="n">
        <f aca="false">O30+O31</f>
        <v>385500</v>
      </c>
      <c r="P32" s="527" t="n">
        <f aca="false">P30-P31</f>
        <v>135222</v>
      </c>
      <c r="Q32" s="527" t="n">
        <f aca="false">Q30-Q31</f>
        <v>123563</v>
      </c>
      <c r="R32" s="527" t="n">
        <f aca="false">R30-R31</f>
        <v>258785</v>
      </c>
      <c r="S32" s="527" t="n">
        <f aca="false">S30-S31</f>
        <v>11881</v>
      </c>
      <c r="T32" s="527" t="n">
        <f aca="false">T30-T31</f>
        <v>270666</v>
      </c>
      <c r="U32" s="527" t="n">
        <f aca="false">U30-U31</f>
        <v>99992</v>
      </c>
      <c r="V32" s="523" t="n">
        <f aca="false">V30-V31</f>
        <v>419402</v>
      </c>
      <c r="W32" s="527" t="n">
        <f aca="false">W30-W31</f>
        <v>94699</v>
      </c>
      <c r="X32" s="527" t="n">
        <f aca="false">X30-X31</f>
        <v>90215</v>
      </c>
      <c r="Y32" s="527" t="n">
        <f aca="false">Y30-Y31</f>
        <v>184914</v>
      </c>
      <c r="Z32" s="527" t="n">
        <f aca="false">Z30-Z31</f>
        <v>113325</v>
      </c>
      <c r="AA32" s="527" t="n">
        <f aca="false">AA30-AA31</f>
        <v>298239</v>
      </c>
      <c r="AB32" s="527" t="n">
        <f aca="false">AB30-AB31</f>
        <v>88383</v>
      </c>
      <c r="AC32" s="523" t="n">
        <f aca="false">AC30-AC31</f>
        <v>386622</v>
      </c>
      <c r="AD32" s="533" t="n">
        <f aca="false">AD30-AD31</f>
        <v>400253.997</v>
      </c>
      <c r="AE32" s="533" t="n">
        <f aca="false">AE30-AE31</f>
        <v>550851.54601</v>
      </c>
      <c r="AF32" s="533" t="n">
        <f aca="false">AF30-AF31</f>
        <v>669237.37</v>
      </c>
      <c r="AG32" s="533" t="n">
        <f aca="false">AG30-AG31</f>
        <v>1148575.66</v>
      </c>
    </row>
    <row r="33" customFormat="false" ht="15" hidden="false" customHeight="true" outlineLevel="0" collapsed="false">
      <c r="A33" s="538" t="s">
        <v>164</v>
      </c>
      <c r="B33" s="507" t="n">
        <v>-26000</v>
      </c>
      <c r="C33" s="507" t="n">
        <v>13539</v>
      </c>
      <c r="D33" s="507" t="n">
        <f aca="false">B33+C33</f>
        <v>-12461</v>
      </c>
      <c r="E33" s="507" t="n">
        <v>-21238</v>
      </c>
      <c r="F33" s="507" t="n">
        <f aca="false">D33+E33</f>
        <v>-33699</v>
      </c>
      <c r="G33" s="507" t="n">
        <v>13466</v>
      </c>
      <c r="H33" s="508" t="n">
        <v>47311</v>
      </c>
      <c r="I33" s="507" t="n">
        <v>27547</v>
      </c>
      <c r="J33" s="507" t="n">
        <v>29708</v>
      </c>
      <c r="K33" s="507" t="n">
        <f aca="false">I33+J33</f>
        <v>57255</v>
      </c>
      <c r="L33" s="507" t="n">
        <v>24150</v>
      </c>
      <c r="M33" s="507" t="n">
        <f aca="false">K33+L33</f>
        <v>81405</v>
      </c>
      <c r="N33" s="507" t="n">
        <v>43093</v>
      </c>
      <c r="O33" s="508" t="n">
        <v>125354</v>
      </c>
      <c r="P33" s="507" t="n">
        <v>44394</v>
      </c>
      <c r="Q33" s="536" t="n">
        <v>48928</v>
      </c>
      <c r="R33" s="506" t="n">
        <f aca="false">P33+Q33</f>
        <v>93322</v>
      </c>
      <c r="S33" s="507" t="n">
        <v>7561</v>
      </c>
      <c r="T33" s="506" t="n">
        <f aca="false">R33+S33</f>
        <v>100883</v>
      </c>
      <c r="U33" s="507" t="n">
        <v>37752</v>
      </c>
      <c r="V33" s="508" t="n">
        <v>140032</v>
      </c>
      <c r="W33" s="507" t="n">
        <v>33982</v>
      </c>
      <c r="X33" s="507" t="n">
        <v>30940</v>
      </c>
      <c r="Y33" s="506" t="n">
        <f aca="false">W33+X33</f>
        <v>64922</v>
      </c>
      <c r="Z33" s="507" t="n">
        <v>37111</v>
      </c>
      <c r="AA33" s="506" t="n">
        <f aca="false">Y33+Z33</f>
        <v>102033</v>
      </c>
      <c r="AB33" s="516" t="n">
        <v>46236.3</v>
      </c>
      <c r="AC33" s="508" t="n">
        <f aca="false">AA33+AB33</f>
        <v>148269.3</v>
      </c>
      <c r="AD33" s="539" t="n">
        <f aca="false">AD32*33%</f>
        <v>132083.81901</v>
      </c>
      <c r="AE33" s="539" t="n">
        <f aca="false">AE32*33%</f>
        <v>181781.0101833</v>
      </c>
      <c r="AF33" s="539" t="n">
        <f aca="false">AF32*33%</f>
        <v>220848.3321</v>
      </c>
      <c r="AG33" s="539" t="n">
        <f aca="false">AG32*33%</f>
        <v>379029.9678</v>
      </c>
    </row>
    <row r="34" customFormat="false" ht="15" hidden="false" customHeight="true" outlineLevel="0" collapsed="false">
      <c r="A34" s="540" t="s">
        <v>165</v>
      </c>
      <c r="B34" s="507" t="n">
        <v>0</v>
      </c>
      <c r="C34" s="507" t="n">
        <v>0</v>
      </c>
      <c r="D34" s="507" t="n">
        <f aca="false">B34+C34</f>
        <v>0</v>
      </c>
      <c r="E34" s="507" t="n">
        <v>0</v>
      </c>
      <c r="F34" s="507" t="n">
        <f aca="false">D34+E34</f>
        <v>0</v>
      </c>
      <c r="G34" s="507" t="n">
        <v>0</v>
      </c>
      <c r="H34" s="508" t="n">
        <f aca="false">F34+G34</f>
        <v>0</v>
      </c>
      <c r="I34" s="506" t="n">
        <v>514</v>
      </c>
      <c r="J34" s="506" t="n">
        <v>1684</v>
      </c>
      <c r="K34" s="506" t="n">
        <f aca="false">I34+J34</f>
        <v>2198</v>
      </c>
      <c r="L34" s="506" t="n">
        <v>3463</v>
      </c>
      <c r="M34" s="506" t="n">
        <f aca="false">K34+L34</f>
        <v>5661</v>
      </c>
      <c r="N34" s="507" t="n">
        <v>-5760</v>
      </c>
      <c r="O34" s="508" t="n">
        <v>0</v>
      </c>
      <c r="P34" s="506" t="n">
        <v>999</v>
      </c>
      <c r="Q34" s="506" t="n">
        <v>-1156</v>
      </c>
      <c r="R34" s="506" t="n">
        <f aca="false">P34+Q34</f>
        <v>-157</v>
      </c>
      <c r="S34" s="506" t="n">
        <v>1372</v>
      </c>
      <c r="T34" s="506" t="n">
        <f aca="false">R34+S34</f>
        <v>1215</v>
      </c>
      <c r="U34" s="506" t="n">
        <v>591</v>
      </c>
      <c r="V34" s="508" t="n">
        <v>0</v>
      </c>
      <c r="W34" s="506" t="n">
        <v>-865</v>
      </c>
      <c r="X34" s="506" t="n">
        <v>412</v>
      </c>
      <c r="Y34" s="506" t="n">
        <f aca="false">W34+X34</f>
        <v>-453</v>
      </c>
      <c r="Z34" s="506" t="n">
        <v>2720</v>
      </c>
      <c r="AA34" s="506" t="n">
        <f aca="false">Y34+Z34</f>
        <v>2267</v>
      </c>
      <c r="AB34" s="516" t="n">
        <v>2720</v>
      </c>
      <c r="AC34" s="508" t="n">
        <f aca="false">AA34+AB34</f>
        <v>4987</v>
      </c>
      <c r="AD34" s="537" t="n">
        <v>0</v>
      </c>
      <c r="AE34" s="537" t="n">
        <v>0</v>
      </c>
      <c r="AF34" s="537" t="n">
        <v>0</v>
      </c>
      <c r="AG34" s="537" t="n">
        <v>0</v>
      </c>
    </row>
    <row r="35" customFormat="false" ht="15" hidden="false" customHeight="true" outlineLevel="0" collapsed="false">
      <c r="A35" s="540" t="s">
        <v>166</v>
      </c>
      <c r="B35" s="507" t="n">
        <v>0</v>
      </c>
      <c r="C35" s="507" t="n">
        <v>0</v>
      </c>
      <c r="D35" s="507" t="n">
        <f aca="false">B35+C35</f>
        <v>0</v>
      </c>
      <c r="E35" s="507" t="n">
        <v>0</v>
      </c>
      <c r="F35" s="507" t="n">
        <f aca="false">D35+E35</f>
        <v>0</v>
      </c>
      <c r="G35" s="507" t="n">
        <v>0</v>
      </c>
      <c r="H35" s="508" t="n">
        <f aca="false">F35+G35</f>
        <v>0</v>
      </c>
      <c r="I35" s="507" t="n">
        <v>-1404</v>
      </c>
      <c r="J35" s="506" t="n">
        <v>320</v>
      </c>
      <c r="K35" s="506" t="n">
        <f aca="false">I35+J35</f>
        <v>-1084</v>
      </c>
      <c r="L35" s="506" t="n">
        <v>139</v>
      </c>
      <c r="M35" s="506" t="n">
        <f aca="false">K35+L35</f>
        <v>-945</v>
      </c>
      <c r="N35" s="506" t="n">
        <v>191</v>
      </c>
      <c r="O35" s="508" t="n">
        <v>0</v>
      </c>
      <c r="P35" s="506" t="n">
        <v>142</v>
      </c>
      <c r="Q35" s="506" t="n">
        <v>169</v>
      </c>
      <c r="R35" s="506" t="n">
        <f aca="false">P35+Q35</f>
        <v>311</v>
      </c>
      <c r="S35" s="506" t="n">
        <v>254</v>
      </c>
      <c r="T35" s="506" t="n">
        <f aca="false">R35+S35</f>
        <v>565</v>
      </c>
      <c r="U35" s="506" t="n">
        <v>208</v>
      </c>
      <c r="V35" s="508" t="n">
        <v>0</v>
      </c>
      <c r="W35" s="506" t="n">
        <v>0</v>
      </c>
      <c r="X35" s="506"/>
      <c r="Y35" s="506" t="n">
        <f aca="false">W35+X35</f>
        <v>0</v>
      </c>
      <c r="Z35" s="506"/>
      <c r="AA35" s="506" t="n">
        <f aca="false">Y35+Z35</f>
        <v>0</v>
      </c>
      <c r="AB35" s="536" t="n">
        <v>0</v>
      </c>
      <c r="AC35" s="510"/>
      <c r="AD35" s="537" t="n">
        <v>0</v>
      </c>
      <c r="AE35" s="537" t="n">
        <v>0</v>
      </c>
      <c r="AF35" s="537" t="n">
        <v>0</v>
      </c>
      <c r="AG35" s="537" t="n">
        <v>0</v>
      </c>
    </row>
    <row r="36" s="547" customFormat="true" ht="15" hidden="false" customHeight="true" outlineLevel="0" collapsed="false">
      <c r="A36" s="541" t="s">
        <v>206</v>
      </c>
      <c r="B36" s="542" t="n">
        <f aca="false">B33/B32%</f>
        <v>-44.3443853185974</v>
      </c>
      <c r="C36" s="542" t="n">
        <f aca="false">C33/C32%</f>
        <v>15.3388620759976</v>
      </c>
      <c r="D36" s="542" t="n">
        <f aca="false">D33/D32%</f>
        <v>-8.4827567427739</v>
      </c>
      <c r="E36" s="542" t="n">
        <f aca="false">E33/E32%</f>
        <v>-21.334003013561</v>
      </c>
      <c r="F36" s="542" t="n">
        <f aca="false">F33/F32%</f>
        <v>-13.673878465234</v>
      </c>
      <c r="G36" s="542" t="n">
        <f aca="false">G33/G32%</f>
        <v>57.576534975201</v>
      </c>
      <c r="H36" s="543" t="n">
        <f aca="false">H33/H32%</f>
        <v>16.5435802754058</v>
      </c>
      <c r="I36" s="542" t="n">
        <f aca="false">I33/I32%</f>
        <v>11.2015191808785</v>
      </c>
      <c r="J36" s="542" t="n">
        <f aca="false">J33/J32%</f>
        <v>33.3925319785086</v>
      </c>
      <c r="K36" s="542" t="n">
        <f aca="false">K33/K32%</f>
        <v>14.878887338328</v>
      </c>
      <c r="L36" s="542" t="n">
        <f aca="false">L33/L32%</f>
        <v>26.8679631525077</v>
      </c>
      <c r="M36" s="542" t="n">
        <f aca="false">M33/M32%</f>
        <v>19.1643987833473</v>
      </c>
      <c r="N36" s="542" t="n">
        <f aca="false">N33/N32%</f>
        <v>39.2603997740566</v>
      </c>
      <c r="O36" s="543" t="n">
        <f aca="false">O33/O32%</f>
        <v>32.5172503242542</v>
      </c>
      <c r="P36" s="542" t="n">
        <f aca="false">P33/P32%</f>
        <v>32.8304565825088</v>
      </c>
      <c r="Q36" s="542" t="n">
        <f aca="false">Q33/Q32%</f>
        <v>39.5976141725274</v>
      </c>
      <c r="R36" s="542" t="n">
        <f aca="false">R33/R32%</f>
        <v>36.0615955329714</v>
      </c>
      <c r="S36" s="542" t="n">
        <f aca="false">S33/S32%</f>
        <v>63.6394242908846</v>
      </c>
      <c r="T36" s="542" t="n">
        <f aca="false">T33/T32%</f>
        <v>37.2721361382664</v>
      </c>
      <c r="U36" s="542" t="n">
        <f aca="false">U33/U32%</f>
        <v>37.7550204016321</v>
      </c>
      <c r="V36" s="543" t="n">
        <f aca="false">V33/V32%</f>
        <v>33.3884912327552</v>
      </c>
      <c r="W36" s="542" t="n">
        <f aca="false">W33/W32%</f>
        <v>35.8842226422666</v>
      </c>
      <c r="X36" s="542" t="n">
        <f aca="false">X33/X32%</f>
        <v>34.295848805631</v>
      </c>
      <c r="Y36" s="542" t="n">
        <f aca="false">Y33/Y32%</f>
        <v>35.1092940502071</v>
      </c>
      <c r="Z36" s="542" t="n">
        <f aca="false">Z33/Z32%</f>
        <v>32.7474078976395</v>
      </c>
      <c r="AA36" s="542" t="n">
        <f aca="false">AA33/AA32%</f>
        <v>34.2118234033778</v>
      </c>
      <c r="AB36" s="544" t="n">
        <f aca="false">AB33/AB32%</f>
        <v>52.3135670886935</v>
      </c>
      <c r="AC36" s="545" t="n">
        <f aca="false">AC33/AC32%</f>
        <v>38.3499386998153</v>
      </c>
      <c r="AD36" s="546" t="n">
        <f aca="false">AD33/AD32%</f>
        <v>33</v>
      </c>
      <c r="AE36" s="546" t="n">
        <f aca="false">AE33/AE32%</f>
        <v>33</v>
      </c>
      <c r="AF36" s="546" t="n">
        <f aca="false">AF33/AF32%</f>
        <v>33</v>
      </c>
      <c r="AG36" s="546" t="n">
        <f aca="false">AG33/AG32%</f>
        <v>33</v>
      </c>
    </row>
    <row r="37" s="550" customFormat="true" ht="15" hidden="false" customHeight="true" outlineLevel="0" collapsed="false">
      <c r="A37" s="548" t="s">
        <v>207</v>
      </c>
      <c r="B37" s="542" t="n">
        <f aca="false">((B33+B34+B35)/B32)*100</f>
        <v>-44.3443853185974</v>
      </c>
      <c r="C37" s="542" t="n">
        <f aca="false">((C33+C34+C35)/C32)*100</f>
        <v>15.3388620759976</v>
      </c>
      <c r="D37" s="542" t="n">
        <f aca="false">((D33+D34+D35)/D32)*100</f>
        <v>-8.4827567427739</v>
      </c>
      <c r="E37" s="542" t="n">
        <f aca="false">((E33+E34+E35)/E32)*100</f>
        <v>-21.334003013561</v>
      </c>
      <c r="F37" s="542" t="n">
        <f aca="false">((F33+F34+F35)/F32)*100</f>
        <v>-13.673878465234</v>
      </c>
      <c r="G37" s="542" t="n">
        <f aca="false">((G33+G34+G35)/G32)*100</f>
        <v>57.576534975201</v>
      </c>
      <c r="H37" s="543" t="n">
        <f aca="false">((H33+H34+H35)/H32)*100</f>
        <v>16.5435802754058</v>
      </c>
      <c r="I37" s="542" t="n">
        <f aca="false">((I33+I34+I35)/I32)*100</f>
        <v>10.839615813144</v>
      </c>
      <c r="J37" s="542" t="n">
        <f aca="false">((J33+J34+J35)/J32)*100</f>
        <v>35.6450778949262</v>
      </c>
      <c r="K37" s="542" t="n">
        <f aca="false">((K33+K34+K35)/K32)*100</f>
        <v>15.1683831115338</v>
      </c>
      <c r="L37" s="542" t="n">
        <f aca="false">((L33+L34+L35)/L32)*100</f>
        <v>30.8753504516933</v>
      </c>
      <c r="M37" s="542" t="n">
        <f aca="false">((M33+M34+M35)/M32)*100</f>
        <v>20.2746414547098</v>
      </c>
      <c r="N37" s="542" t="n">
        <f aca="false">((N33+N34+N35)/N32)*100</f>
        <v>34.1866948488548</v>
      </c>
      <c r="O37" s="543" t="n">
        <f aca="false">((O33+O34+O35)/O32)*100</f>
        <v>32.5172503242542</v>
      </c>
      <c r="P37" s="542" t="n">
        <f aca="false">((P33+P34+P35)/P32)*100</f>
        <v>33.6742541894071</v>
      </c>
      <c r="Q37" s="542" t="n">
        <f aca="false">((Q33+Q34+Q35)/Q32)*100</f>
        <v>38.7988313653764</v>
      </c>
      <c r="R37" s="542" t="n">
        <f aca="false">((R33+R34+R35)/R32)*100</f>
        <v>36.1211043916765</v>
      </c>
      <c r="S37" s="542" t="n">
        <f aca="false">((S33+S34+S35)/S32)*100</f>
        <v>77.3251409813989</v>
      </c>
      <c r="T37" s="542" t="n">
        <f aca="false">((T33+T34+T35)/T32)*100</f>
        <v>37.9297732260424</v>
      </c>
      <c r="U37" s="542" t="n">
        <f aca="false">((U33+U34+U35)/U32)*100</f>
        <v>38.5540843267461</v>
      </c>
      <c r="V37" s="543" t="n">
        <f aca="false">((V33+V34+V35)/V32)*100</f>
        <v>33.3884912327552</v>
      </c>
      <c r="W37" s="542" t="n">
        <f aca="false">((W33+W34+W35)/W32)*100</f>
        <v>34.9708022260003</v>
      </c>
      <c r="X37" s="542" t="n">
        <f aca="false">((X33+X34+X35)/X32)*100</f>
        <v>34.7525356093776</v>
      </c>
      <c r="Y37" s="542" t="n">
        <f aca="false">((Y33+Y34+Y35)/Y32)*100</f>
        <v>34.8643153033302</v>
      </c>
      <c r="Z37" s="542" t="n">
        <f aca="false">((Z33+Z34+Z35)/Z32)*100</f>
        <v>35.1475843812045</v>
      </c>
      <c r="AA37" s="542" t="n">
        <f aca="false">((AA33+AA34+AA35)/AA32)*100</f>
        <v>34.9719520250537</v>
      </c>
      <c r="AB37" s="542" t="n">
        <f aca="false">((AB33+AB34+AB35)/AB32)*100</f>
        <v>55.3910819954064</v>
      </c>
      <c r="AC37" s="543" t="n">
        <f aca="false">((AC33+AC34+AC35)/AC32)*100</f>
        <v>39.6398290837045</v>
      </c>
      <c r="AD37" s="549" t="n">
        <f aca="false">((AD33+AD34+AD35)/AD32)*100</f>
        <v>33</v>
      </c>
      <c r="AE37" s="549" t="n">
        <f aca="false">((AE33+AE34+AE35)/AE32)*100</f>
        <v>33</v>
      </c>
      <c r="AF37" s="549" t="n">
        <f aca="false">((AF33+AF34+AF35)/AF32)*100</f>
        <v>33</v>
      </c>
      <c r="AG37" s="549" t="n">
        <f aca="false">((AG33+AG34+AG35)/AG32)*100</f>
        <v>33</v>
      </c>
    </row>
    <row r="38" s="524" customFormat="true" ht="15" hidden="false" customHeight="true" outlineLevel="0" collapsed="false">
      <c r="A38" s="532" t="s">
        <v>167</v>
      </c>
      <c r="B38" s="527" t="n">
        <f aca="false">B32-B33-B34-B35</f>
        <v>84632</v>
      </c>
      <c r="C38" s="527" t="n">
        <f aca="false">C32-C33-C34-C35</f>
        <v>74727</v>
      </c>
      <c r="D38" s="527" t="n">
        <f aca="false">D32-D33-D34-D35</f>
        <v>159359</v>
      </c>
      <c r="E38" s="527" t="n">
        <f aca="false">E32-E33-E34-E35</f>
        <v>120788</v>
      </c>
      <c r="F38" s="527" t="n">
        <f aca="false">F32-F33-F34-F35</f>
        <v>280147</v>
      </c>
      <c r="G38" s="527" t="n">
        <f aca="false">G32-G33-G34-G35</f>
        <v>9922</v>
      </c>
      <c r="H38" s="523" t="n">
        <f aca="false">H32-H33-H34-H35</f>
        <v>238667</v>
      </c>
      <c r="I38" s="527" t="n">
        <f aca="false">I32-I33-I34-I35</f>
        <v>219265</v>
      </c>
      <c r="J38" s="527" t="n">
        <f aca="false">J32-J33-J34-J35</f>
        <v>57254</v>
      </c>
      <c r="K38" s="527" t="n">
        <f aca="false">K32-K33-K34-K35</f>
        <v>326438</v>
      </c>
      <c r="L38" s="527" t="n">
        <f aca="false">L32-L33-L34-L35</f>
        <v>62132</v>
      </c>
      <c r="M38" s="527" t="n">
        <f aca="false">M32-M33-M34-M35</f>
        <v>338651</v>
      </c>
      <c r="N38" s="527" t="n">
        <f aca="false">N32-N33-N34-N35</f>
        <v>72238</v>
      </c>
      <c r="O38" s="523" t="n">
        <f aca="false">O32-O33-O34-O35</f>
        <v>260146</v>
      </c>
      <c r="P38" s="527" t="n">
        <f aca="false">P32-P33-P34-P35</f>
        <v>89687</v>
      </c>
      <c r="Q38" s="527" t="n">
        <f aca="false">Q32-Q33-Q34-Q35</f>
        <v>75622</v>
      </c>
      <c r="R38" s="527" t="n">
        <f aca="false">R32-R33-R34-R35</f>
        <v>165309</v>
      </c>
      <c r="S38" s="527" t="n">
        <f aca="false">S32-S33-S34-S35</f>
        <v>2694</v>
      </c>
      <c r="T38" s="527" t="n">
        <f aca="false">T32-T33-T34-T35</f>
        <v>168003</v>
      </c>
      <c r="U38" s="527" t="n">
        <f aca="false">U32-U33-U34-U35</f>
        <v>61441</v>
      </c>
      <c r="V38" s="523" t="n">
        <f aca="false">V32-V33-V34-V35</f>
        <v>279370</v>
      </c>
      <c r="W38" s="527" t="n">
        <f aca="false">W32-W33-W34-W35</f>
        <v>61582</v>
      </c>
      <c r="X38" s="527" t="n">
        <f aca="false">X32-X33-X34-X35</f>
        <v>58863</v>
      </c>
      <c r="Y38" s="527" t="n">
        <f aca="false">Y32-Y33-Y34-Y35</f>
        <v>120445</v>
      </c>
      <c r="Z38" s="527" t="n">
        <f aca="false">Z32-Z33-Z34-Z35</f>
        <v>73494</v>
      </c>
      <c r="AA38" s="527" t="n">
        <f aca="false">AA32-AA33-AA34-AA35</f>
        <v>193939</v>
      </c>
      <c r="AB38" s="527" t="n">
        <f aca="false">AB32-AB33-AB34-AB35</f>
        <v>39426.7</v>
      </c>
      <c r="AC38" s="523" t="n">
        <f aca="false">AC32-AC33-AC34-AC35</f>
        <v>233365.7</v>
      </c>
      <c r="AD38" s="533" t="n">
        <f aca="false">AD32-AD33-AD34-AD35</f>
        <v>268170.17799</v>
      </c>
      <c r="AE38" s="533" t="n">
        <f aca="false">AE32-AE33-AE34-AE35</f>
        <v>369070.5358267</v>
      </c>
      <c r="AF38" s="533" t="n">
        <f aca="false">AF32-AF33-AF34-AF35</f>
        <v>448389.0379</v>
      </c>
      <c r="AG38" s="533" t="n">
        <f aca="false">AG32-AG33-AG34-AG35</f>
        <v>769545.6922</v>
      </c>
    </row>
    <row r="39" s="259" customFormat="true" ht="15" hidden="false" customHeight="true" outlineLevel="0" collapsed="false">
      <c r="A39" s="551" t="s">
        <v>208</v>
      </c>
      <c r="B39" s="507" t="n">
        <v>0</v>
      </c>
      <c r="C39" s="507" t="n">
        <v>0</v>
      </c>
      <c r="D39" s="507" t="n">
        <f aca="false">B39+C39</f>
        <v>0</v>
      </c>
      <c r="E39" s="507" t="n">
        <v>0</v>
      </c>
      <c r="F39" s="507" t="n">
        <v>0</v>
      </c>
      <c r="G39" s="507" t="n">
        <v>0</v>
      </c>
      <c r="H39" s="508" t="n">
        <f aca="false">F39+G39</f>
        <v>0</v>
      </c>
      <c r="I39" s="507" t="n">
        <v>0</v>
      </c>
      <c r="J39" s="507" t="n">
        <v>0</v>
      </c>
      <c r="K39" s="507" t="n">
        <v>0</v>
      </c>
      <c r="L39" s="507" t="n">
        <v>0</v>
      </c>
      <c r="M39" s="507" t="n">
        <v>0</v>
      </c>
      <c r="N39" s="507" t="n">
        <v>0</v>
      </c>
      <c r="O39" s="508" t="n">
        <v>0</v>
      </c>
      <c r="P39" s="507" t="n">
        <v>0</v>
      </c>
      <c r="Q39" s="507" t="n">
        <v>-2672.5</v>
      </c>
      <c r="R39" s="507" t="n">
        <v>0</v>
      </c>
      <c r="S39" s="507" t="n">
        <v>0</v>
      </c>
      <c r="T39" s="507" t="n">
        <v>0</v>
      </c>
      <c r="U39" s="507" t="n">
        <v>0</v>
      </c>
      <c r="V39" s="508" t="n">
        <v>0</v>
      </c>
      <c r="W39" s="507" t="n">
        <v>0</v>
      </c>
      <c r="X39" s="507" t="n">
        <v>0</v>
      </c>
      <c r="Y39" s="507" t="n">
        <v>0</v>
      </c>
      <c r="Z39" s="507" t="n">
        <v>0</v>
      </c>
      <c r="AA39" s="507" t="n">
        <v>0</v>
      </c>
      <c r="AB39" s="536"/>
      <c r="AC39" s="508" t="n">
        <v>0</v>
      </c>
      <c r="AD39" s="552" t="n">
        <v>0</v>
      </c>
      <c r="AE39" s="552" t="n">
        <v>0</v>
      </c>
      <c r="AF39" s="552" t="n">
        <v>0</v>
      </c>
      <c r="AG39" s="552" t="n">
        <v>0</v>
      </c>
    </row>
    <row r="40" s="259" customFormat="true" ht="15" hidden="false" customHeight="true" outlineLevel="0" collapsed="false">
      <c r="A40" s="553" t="s">
        <v>209</v>
      </c>
      <c r="B40" s="507" t="n">
        <v>0</v>
      </c>
      <c r="C40" s="507" t="n">
        <v>0</v>
      </c>
      <c r="D40" s="507" t="n">
        <f aca="false">B40+C40</f>
        <v>0</v>
      </c>
      <c r="E40" s="507" t="n">
        <v>0</v>
      </c>
      <c r="F40" s="507" t="n">
        <v>0</v>
      </c>
      <c r="G40" s="507" t="n">
        <v>0</v>
      </c>
      <c r="H40" s="508" t="n">
        <v>0</v>
      </c>
      <c r="I40" s="507" t="n">
        <v>0</v>
      </c>
      <c r="J40" s="507" t="n">
        <v>0</v>
      </c>
      <c r="K40" s="507" t="n">
        <v>0</v>
      </c>
      <c r="L40" s="507" t="n">
        <v>0</v>
      </c>
      <c r="M40" s="507" t="n">
        <v>0</v>
      </c>
      <c r="N40" s="507" t="n">
        <v>0</v>
      </c>
      <c r="O40" s="508" t="n">
        <v>0</v>
      </c>
      <c r="P40" s="507" t="n">
        <v>0</v>
      </c>
      <c r="Q40" s="507" t="n">
        <v>0</v>
      </c>
      <c r="R40" s="507" t="n">
        <v>0</v>
      </c>
      <c r="S40" s="507" t="n">
        <v>0</v>
      </c>
      <c r="T40" s="507" t="n">
        <v>0</v>
      </c>
      <c r="U40" s="507" t="n">
        <v>0</v>
      </c>
      <c r="V40" s="508" t="n">
        <v>0</v>
      </c>
      <c r="W40" s="507" t="n">
        <v>0</v>
      </c>
      <c r="X40" s="507" t="n">
        <v>0</v>
      </c>
      <c r="Y40" s="507" t="n">
        <v>0</v>
      </c>
      <c r="Z40" s="507" t="n">
        <v>0</v>
      </c>
      <c r="AA40" s="507" t="n">
        <v>0</v>
      </c>
      <c r="AB40" s="536"/>
      <c r="AC40" s="508" t="n">
        <v>0</v>
      </c>
      <c r="AD40" s="552" t="n">
        <v>0</v>
      </c>
      <c r="AE40" s="552" t="n">
        <v>0</v>
      </c>
      <c r="AF40" s="552" t="n">
        <v>0</v>
      </c>
      <c r="AG40" s="552" t="n">
        <v>0</v>
      </c>
    </row>
    <row r="41" s="524" customFormat="true" ht="15" hidden="false" customHeight="true" outlineLevel="0" collapsed="false">
      <c r="A41" s="554" t="s">
        <v>210</v>
      </c>
      <c r="B41" s="555" t="n">
        <f aca="false">B38-B39-B40</f>
        <v>84632</v>
      </c>
      <c r="C41" s="555" t="n">
        <f aca="false">C38-C39-C40</f>
        <v>74727</v>
      </c>
      <c r="D41" s="555" t="n">
        <f aca="false">D38-D39-D40</f>
        <v>159359</v>
      </c>
      <c r="E41" s="555" t="n">
        <f aca="false">E38-E39-E40</f>
        <v>120788</v>
      </c>
      <c r="F41" s="555" t="n">
        <f aca="false">F38-F39-F40</f>
        <v>280147</v>
      </c>
      <c r="G41" s="555" t="n">
        <f aca="false">G38-G39-G40</f>
        <v>9922</v>
      </c>
      <c r="H41" s="523" t="n">
        <f aca="false">H38-H39-H40</f>
        <v>238667</v>
      </c>
      <c r="I41" s="555" t="n">
        <f aca="false">I38-I39-I40</f>
        <v>219265</v>
      </c>
      <c r="J41" s="555" t="n">
        <f aca="false">J38-J39-J40</f>
        <v>57254</v>
      </c>
      <c r="K41" s="555" t="n">
        <f aca="false">K38-K39-K40</f>
        <v>326438</v>
      </c>
      <c r="L41" s="555" t="n">
        <f aca="false">L38-L39-L40</f>
        <v>62132</v>
      </c>
      <c r="M41" s="555" t="n">
        <f aca="false">M38-M39-M40</f>
        <v>338651</v>
      </c>
      <c r="N41" s="555" t="n">
        <f aca="false">N38-N39-N40</f>
        <v>72238</v>
      </c>
      <c r="O41" s="523" t="n">
        <f aca="false">O38-O39-O40</f>
        <v>260146</v>
      </c>
      <c r="P41" s="555" t="n">
        <f aca="false">P38-P39-P40</f>
        <v>89687</v>
      </c>
      <c r="Q41" s="555" t="n">
        <f aca="false">Q38-Q39-Q40</f>
        <v>78294.5</v>
      </c>
      <c r="R41" s="555" t="n">
        <f aca="false">R38-R39-R40</f>
        <v>165309</v>
      </c>
      <c r="S41" s="555" t="n">
        <f aca="false">S38-S39-S40</f>
        <v>2694</v>
      </c>
      <c r="T41" s="555" t="n">
        <f aca="false">T38-T39-T40</f>
        <v>168003</v>
      </c>
      <c r="U41" s="555" t="n">
        <f aca="false">U38-U39-U40</f>
        <v>61441</v>
      </c>
      <c r="V41" s="523" t="n">
        <f aca="false">V38-V39-V40</f>
        <v>279370</v>
      </c>
      <c r="W41" s="555" t="n">
        <f aca="false">W38-W39-W40</f>
        <v>61582</v>
      </c>
      <c r="X41" s="555" t="n">
        <f aca="false">X38-X39-X40</f>
        <v>58863</v>
      </c>
      <c r="Y41" s="555" t="n">
        <f aca="false">Y38-Y39-Y40</f>
        <v>120445</v>
      </c>
      <c r="Z41" s="555" t="n">
        <f aca="false">Z38-Z39-Z40</f>
        <v>73494</v>
      </c>
      <c r="AA41" s="555" t="n">
        <f aca="false">AA38-AA39-AA40</f>
        <v>193939</v>
      </c>
      <c r="AB41" s="555" t="n">
        <f aca="false">AB38-AB39-AB40</f>
        <v>39426.7</v>
      </c>
      <c r="AC41" s="556" t="n">
        <f aca="false">AA41+AB41</f>
        <v>233365.7</v>
      </c>
      <c r="AD41" s="523" t="n">
        <v>268170</v>
      </c>
      <c r="AE41" s="523" t="n">
        <v>369071</v>
      </c>
      <c r="AF41" s="523" t="n">
        <v>448389</v>
      </c>
      <c r="AG41" s="523" t="n">
        <v>769546</v>
      </c>
    </row>
    <row r="42" s="496" customFormat="true" ht="15" hidden="false" customHeight="true" outlineLevel="0" collapsed="false">
      <c r="A42" s="490" t="s">
        <v>201</v>
      </c>
      <c r="B42" s="491" t="n">
        <f aca="false">B38/$H38*100</f>
        <v>35.4602856699921</v>
      </c>
      <c r="C42" s="491" t="n">
        <f aca="false">C38/$H38*100</f>
        <v>31.310151801464</v>
      </c>
      <c r="D42" s="491" t="n">
        <f aca="false">D38/$H38*100</f>
        <v>66.7704374714561</v>
      </c>
      <c r="E42" s="491" t="n">
        <f aca="false">E38/$H38*100</f>
        <v>50.6094265231473</v>
      </c>
      <c r="F42" s="491" t="n">
        <f aca="false">F38/$H38*100</f>
        <v>117.379863994603</v>
      </c>
      <c r="G42" s="491" t="n">
        <f aca="false">G38/$H38*100</f>
        <v>4.15725676360787</v>
      </c>
      <c r="H42" s="492" t="n">
        <f aca="false">F42+G42</f>
        <v>121.537120758211</v>
      </c>
      <c r="I42" s="491" t="n">
        <f aca="false">I41/$O41*100</f>
        <v>84.2853628347159</v>
      </c>
      <c r="J42" s="491" t="n">
        <f aca="false">J41/$O41*100</f>
        <v>22.0084106617053</v>
      </c>
      <c r="K42" s="491" t="n">
        <f aca="false">K41/$O41*100</f>
        <v>125.482613609281</v>
      </c>
      <c r="L42" s="491" t="n">
        <f aca="false">L41/$O41*100</f>
        <v>23.8835115665818</v>
      </c>
      <c r="M42" s="491" t="n">
        <f aca="false">M41/$O41*100</f>
        <v>130.177285063003</v>
      </c>
      <c r="N42" s="491" t="n">
        <f aca="false">N41/$O41*100</f>
        <v>27.7682532116581</v>
      </c>
      <c r="O42" s="492" t="n">
        <f aca="false">M42+N42</f>
        <v>157.945538274661</v>
      </c>
      <c r="P42" s="491" t="n">
        <f aca="false">P38/$V38*100</f>
        <v>32.1033038622615</v>
      </c>
      <c r="Q42" s="491" t="n">
        <f aca="false">Q38/$V38*100</f>
        <v>27.0687618570355</v>
      </c>
      <c r="R42" s="491" t="n">
        <f aca="false">R38/$V38*100</f>
        <v>59.172065719297</v>
      </c>
      <c r="S42" s="491" t="n">
        <f aca="false">S38/$V38*100</f>
        <v>0.964312560403766</v>
      </c>
      <c r="T42" s="491" t="n">
        <f aca="false">T38/$V38*100</f>
        <v>60.1363782797008</v>
      </c>
      <c r="U42" s="491" t="n">
        <f aca="false">U38/$V38*100</f>
        <v>21.99269785589</v>
      </c>
      <c r="V42" s="492" t="n">
        <f aca="false">T42+U42</f>
        <v>82.1290761355908</v>
      </c>
      <c r="W42" s="491" t="n">
        <f aca="false">W41/$AC41*100</f>
        <v>26.3886252349853</v>
      </c>
      <c r="X42" s="491" t="n">
        <f aca="false">X41/$AC41*100</f>
        <v>25.2235011400561</v>
      </c>
      <c r="Y42" s="491" t="n">
        <f aca="false">Y41/$AC41*100</f>
        <v>51.6121263750414</v>
      </c>
      <c r="Z42" s="491" t="n">
        <f aca="false">Z41/$AC41*100</f>
        <v>31.493060034101</v>
      </c>
      <c r="AA42" s="491" t="n">
        <f aca="false">AA41/$AC41*100</f>
        <v>83.1051864091424</v>
      </c>
      <c r="AB42" s="491" t="n">
        <f aca="false">AB41/$AC41*100</f>
        <v>16.8948135908576</v>
      </c>
      <c r="AC42" s="493" t="n">
        <f aca="false">AA42+AB42</f>
        <v>100</v>
      </c>
      <c r="AD42" s="495"/>
      <c r="AE42" s="495"/>
      <c r="AF42" s="495"/>
      <c r="AG42" s="495"/>
    </row>
    <row r="43" s="496" customFormat="true" ht="15" hidden="false" customHeight="true" outlineLevel="0" collapsed="false">
      <c r="A43" s="497" t="s">
        <v>202</v>
      </c>
      <c r="B43" s="491" t="e">
        <f aca="false">(B38/#REF!-1)*100</f>
        <v>#REF!</v>
      </c>
      <c r="C43" s="491" t="e">
        <f aca="false">(C38/#REF!-1)*100</f>
        <v>#REF!</v>
      </c>
      <c r="D43" s="491" t="e">
        <f aca="false">(D38/#REF!-1)*100</f>
        <v>#REF!</v>
      </c>
      <c r="E43" s="491" t="e">
        <f aca="false">(E38/#REF!-1)*100</f>
        <v>#REF!</v>
      </c>
      <c r="F43" s="491" t="e">
        <f aca="false">(F38/#REF!-1)*100</f>
        <v>#REF!</v>
      </c>
      <c r="G43" s="491" t="e">
        <f aca="false">(G38/#REF!-1)*100</f>
        <v>#REF!</v>
      </c>
      <c r="H43" s="492" t="e">
        <f aca="false">(H38/#REF!-1)*100</f>
        <v>#REF!</v>
      </c>
      <c r="I43" s="491" t="n">
        <f aca="false">(I38/B38-1)*100</f>
        <v>159.080489649305</v>
      </c>
      <c r="J43" s="491" t="n">
        <f aca="false">(J38/C38-1)*100</f>
        <v>-23.3824454347157</v>
      </c>
      <c r="K43" s="491" t="n">
        <f aca="false">(K38/D38-1)*100</f>
        <v>104.844407909186</v>
      </c>
      <c r="L43" s="491" t="n">
        <f aca="false">(L38/E38-1)*100</f>
        <v>-48.5611153425837</v>
      </c>
      <c r="M43" s="491" t="n">
        <f aca="false">(M38/F38-1)*100</f>
        <v>20.8833219702513</v>
      </c>
      <c r="N43" s="491" t="n">
        <f aca="false">(N38/G38-1)*100</f>
        <v>628.058859100988</v>
      </c>
      <c r="O43" s="492" t="n">
        <f aca="false">(O38/H38-1)*100</f>
        <v>8.99956843635694</v>
      </c>
      <c r="P43" s="491" t="n">
        <f aca="false">(P38/I38-1)*100</f>
        <v>-59.0965270334983</v>
      </c>
      <c r="Q43" s="491" t="n">
        <f aca="false">(Q38/J38-1)*100</f>
        <v>32.0816012854997</v>
      </c>
      <c r="R43" s="491" t="n">
        <f aca="false">(R38/K38-1)*100</f>
        <v>-49.3597559107702</v>
      </c>
      <c r="S43" s="491" t="n">
        <f aca="false">(S38/L38-1)*100</f>
        <v>-95.6640700444216</v>
      </c>
      <c r="T43" s="491" t="n">
        <f aca="false">(T38/M38-1)*100</f>
        <v>-50.3905200338992</v>
      </c>
      <c r="U43" s="491" t="n">
        <f aca="false">(U38/N38-1)*100</f>
        <v>-14.9464270882361</v>
      </c>
      <c r="V43" s="492" t="n">
        <f aca="false">(V38/O38-1)*100</f>
        <v>7.38969655501143</v>
      </c>
      <c r="W43" s="491" t="n">
        <f aca="false">(W38/P38-1)*100</f>
        <v>-31.3367600655613</v>
      </c>
      <c r="X43" s="491" t="n">
        <f aca="false">(X38/Q38-1)*100</f>
        <v>-22.1615402925075</v>
      </c>
      <c r="Y43" s="491" t="n">
        <f aca="false">(Y38/R38-1)*100</f>
        <v>-27.1394781893303</v>
      </c>
      <c r="Z43" s="491" t="n">
        <f aca="false">(Z38/S38-1)*100</f>
        <v>2628.06236080178</v>
      </c>
      <c r="AA43" s="491" t="n">
        <f aca="false">(AA38/T38-1)*100</f>
        <v>15.4378195627459</v>
      </c>
      <c r="AB43" s="498" t="n">
        <f aca="false">(AB38/U38-1)*100</f>
        <v>-35.8299832359499</v>
      </c>
      <c r="AC43" s="493" t="n">
        <f aca="false">(AC38/V38-1)*100</f>
        <v>-16.4671582489172</v>
      </c>
      <c r="AD43" s="494" t="n">
        <f aca="false">AD41/AC41%</f>
        <v>114.914059778279</v>
      </c>
      <c r="AE43" s="494" t="n">
        <f aca="false">AE41/AD41%</f>
        <v>137.625759779245</v>
      </c>
      <c r="AF43" s="494" t="n">
        <f aca="false">AF41/AE41%</f>
        <v>121.491257779668</v>
      </c>
      <c r="AG43" s="494" t="n">
        <f aca="false">AG41/AF41%</f>
        <v>171.624638427794</v>
      </c>
    </row>
    <row r="44" s="496" customFormat="true" ht="15" hidden="false" customHeight="true" outlineLevel="0" collapsed="false">
      <c r="A44" s="500" t="s">
        <v>203</v>
      </c>
      <c r="B44" s="491" t="e">
        <f aca="false">(B38/#REF!-1)*100</f>
        <v>#REF!</v>
      </c>
      <c r="C44" s="491" t="n">
        <f aca="false">(C38/B38-1)*100</f>
        <v>-11.7036109273088</v>
      </c>
      <c r="D44" s="491"/>
      <c r="E44" s="491" t="n">
        <f aca="false">(E38/C38-1)*100</f>
        <v>61.6390327458616</v>
      </c>
      <c r="F44" s="491"/>
      <c r="G44" s="491" t="n">
        <f aca="false">(G38/E38-1)*100</f>
        <v>-91.7856078418386</v>
      </c>
      <c r="H44" s="492"/>
      <c r="I44" s="491" t="n">
        <f aca="false">(I38/G38-1)*100</f>
        <v>2109.88711953235</v>
      </c>
      <c r="J44" s="491" t="n">
        <f aca="false">(J38/I38-1)*100</f>
        <v>-73.888217453766</v>
      </c>
      <c r="K44" s="491"/>
      <c r="L44" s="491" t="n">
        <f aca="false">(L38/J38-1)*100</f>
        <v>8.51992873860341</v>
      </c>
      <c r="M44" s="491"/>
      <c r="N44" s="491" t="n">
        <f aca="false">(N38/L38-1)*100</f>
        <v>16.2653705015129</v>
      </c>
      <c r="O44" s="493"/>
      <c r="P44" s="491" t="n">
        <f aca="false">(P38/N38-1)*100</f>
        <v>24.1548769345774</v>
      </c>
      <c r="Q44" s="491" t="n">
        <f aca="false">(Q38/P38-1)*100</f>
        <v>-15.6823173927102</v>
      </c>
      <c r="R44" s="491"/>
      <c r="S44" s="491" t="n">
        <f aca="false">(S38/Q38-1)*100</f>
        <v>-96.4375446298696</v>
      </c>
      <c r="T44" s="491"/>
      <c r="U44" s="491" t="n">
        <f aca="false">(U38/S38-1)*100</f>
        <v>2180.66072754269</v>
      </c>
      <c r="V44" s="492"/>
      <c r="W44" s="491" t="n">
        <f aca="false">(W38/U38-1)*100</f>
        <v>0.22948845233639</v>
      </c>
      <c r="X44" s="491" t="n">
        <f aca="false">(X38/W38-1)*100</f>
        <v>-4.41525120976909</v>
      </c>
      <c r="Y44" s="491"/>
      <c r="Z44" s="491" t="n">
        <f aca="false">(Z38/X38-1)*100</f>
        <v>24.8560216095</v>
      </c>
      <c r="AA44" s="491"/>
      <c r="AB44" s="498" t="n">
        <f aca="false">(AB38/Z38-1)*100</f>
        <v>-46.3538520151305</v>
      </c>
      <c r="AC44" s="493"/>
      <c r="AD44" s="495"/>
      <c r="AE44" s="495"/>
      <c r="AF44" s="495"/>
      <c r="AG44" s="495"/>
    </row>
    <row r="45" s="275" customFormat="true" ht="15" hidden="false" customHeight="true" outlineLevel="0" collapsed="false">
      <c r="A45" s="526" t="s">
        <v>211</v>
      </c>
      <c r="B45" s="527" t="n">
        <f aca="false">(B41/B6)*100</f>
        <v>17.8913143664092</v>
      </c>
      <c r="C45" s="527" t="n">
        <f aca="false">(C41/C6)*100</f>
        <v>17.1459055136177</v>
      </c>
      <c r="D45" s="527" t="n">
        <f aca="false">(D41/D6)*100</f>
        <v>17.5338664530667</v>
      </c>
      <c r="E45" s="527" t="n">
        <f aca="false">(E41/E6)*100</f>
        <v>23.6550716577037</v>
      </c>
      <c r="F45" s="527" t="n">
        <f aca="false">(F41/F6)*100</f>
        <v>19.7358057775843</v>
      </c>
      <c r="G45" s="527" t="n">
        <f aca="false">(G41/G6)*100</f>
        <v>2.55497759695113</v>
      </c>
      <c r="H45" s="523" t="n">
        <f aca="false">(H41/H6)*100</f>
        <v>14.8728312388843</v>
      </c>
      <c r="I45" s="527" t="n">
        <f aca="false">(I41/I6)*100</f>
        <v>51.6442595767934</v>
      </c>
      <c r="J45" s="527" t="n">
        <f aca="false">(J41/J6)*100</f>
        <v>12.6419218794851</v>
      </c>
      <c r="K45" s="527" t="n">
        <f aca="false">(K41/L6)*100</f>
        <v>75.9453089920969</v>
      </c>
      <c r="L45" s="527" t="n">
        <f aca="false">(L41/L6)*100</f>
        <v>14.454916211645</v>
      </c>
      <c r="M45" s="527" t="n">
        <f aca="false">(M41/M6)*100</f>
        <v>25.9047908996543</v>
      </c>
      <c r="N45" s="527" t="n">
        <f aca="false">(N41/N6)*100</f>
        <v>14.6370324742822</v>
      </c>
      <c r="O45" s="523" t="n">
        <f aca="false">(O41/O6)*100</f>
        <v>14.4459746115658</v>
      </c>
      <c r="P45" s="527" t="n">
        <f aca="false">(P41/P6)*100</f>
        <v>15.6502422910948</v>
      </c>
      <c r="Q45" s="527" t="n">
        <f aca="false">(Q41/Q6)*100</f>
        <v>12.6841805978346</v>
      </c>
      <c r="R45" s="527" t="n">
        <f aca="false">(R41/R6)*100</f>
        <v>13.8876380707231</v>
      </c>
      <c r="S45" s="527" t="n">
        <f aca="false">(S41/S6)*100</f>
        <v>0.463203358998078</v>
      </c>
      <c r="T45" s="527" t="n">
        <f aca="false">(T41/T6)*100</f>
        <v>9.48133508358664</v>
      </c>
      <c r="U45" s="527" t="n">
        <f aca="false">(U41/U6)*100</f>
        <v>9.85586987383601</v>
      </c>
      <c r="V45" s="523" t="n">
        <f aca="false">(V41/V6)*100</f>
        <v>11.750108828459</v>
      </c>
      <c r="W45" s="527" t="n">
        <f aca="false">(W41/W6)*100</f>
        <v>10.1934507798779</v>
      </c>
      <c r="X45" s="527" t="n">
        <f aca="false">(X41/X6)*100</f>
        <v>9.45690627440018</v>
      </c>
      <c r="Y45" s="527" t="n">
        <f aca="false">(Y41/Y6)*100</f>
        <v>9.81968371886738</v>
      </c>
      <c r="Z45" s="527" t="n">
        <f aca="false">(Z41/Z6)*100</f>
        <v>11.8429639799475</v>
      </c>
      <c r="AA45" s="527" t="n">
        <f aca="false">(AA41/AA6)*100</f>
        <v>10.4994320944077</v>
      </c>
      <c r="AB45" s="527" t="n">
        <f aca="false">(AB41/AB6)*100</f>
        <v>6.308272</v>
      </c>
      <c r="AC45" s="523" t="n">
        <f aca="false">(AC41/AC6)*100</f>
        <v>9.43983305139114</v>
      </c>
      <c r="AD45" s="557" t="n">
        <f aca="false">(AD41/AD6)*100</f>
        <v>8.21795095657292</v>
      </c>
      <c r="AE45" s="557" t="n">
        <f aca="false">(AE41/AE6)*100</f>
        <v>8.37779069797717</v>
      </c>
      <c r="AF45" s="557" t="n">
        <f aca="false">(AF41/AF6)*100</f>
        <v>7.27020230271958</v>
      </c>
      <c r="AG45" s="557" t="n">
        <f aca="false">(AG41/AG6)*100</f>
        <v>8.60514421560888</v>
      </c>
    </row>
    <row r="46" s="562" customFormat="true" ht="15" hidden="false" customHeight="true" outlineLevel="0" collapsed="false">
      <c r="A46" s="558"/>
      <c r="B46" s="559"/>
      <c r="C46" s="559"/>
      <c r="D46" s="559"/>
      <c r="E46" s="559"/>
      <c r="F46" s="559"/>
      <c r="G46" s="559"/>
      <c r="H46" s="560"/>
      <c r="I46" s="559"/>
      <c r="J46" s="559"/>
      <c r="K46" s="559"/>
      <c r="L46" s="559"/>
      <c r="M46" s="559"/>
      <c r="N46" s="559"/>
      <c r="O46" s="560"/>
      <c r="P46" s="559"/>
      <c r="Q46" s="559"/>
      <c r="R46" s="559"/>
      <c r="S46" s="559"/>
      <c r="T46" s="559"/>
      <c r="U46" s="559"/>
      <c r="V46" s="560"/>
      <c r="W46" s="559"/>
      <c r="X46" s="559"/>
      <c r="Y46" s="559"/>
      <c r="Z46" s="559"/>
      <c r="AA46" s="559"/>
      <c r="AB46" s="559"/>
      <c r="AC46" s="560"/>
      <c r="AD46" s="561"/>
      <c r="AE46" s="561"/>
      <c r="AF46" s="561"/>
      <c r="AG46" s="561"/>
    </row>
    <row r="47" s="259" customFormat="true" ht="15" hidden="false" customHeight="true" outlineLevel="0" collapsed="false">
      <c r="A47" s="563" t="s">
        <v>212</v>
      </c>
      <c r="B47" s="535" t="n">
        <v>84565</v>
      </c>
      <c r="C47" s="535" t="n">
        <f aca="false">B47</f>
        <v>84565</v>
      </c>
      <c r="D47" s="535" t="n">
        <f aca="false">C47</f>
        <v>84565</v>
      </c>
      <c r="E47" s="535" t="n">
        <f aca="false">D47</f>
        <v>84565</v>
      </c>
      <c r="F47" s="535" t="n">
        <f aca="false">E47</f>
        <v>84565</v>
      </c>
      <c r="G47" s="535" t="n">
        <f aca="false">F47</f>
        <v>84565</v>
      </c>
      <c r="H47" s="510" t="n">
        <f aca="false">G47</f>
        <v>84565</v>
      </c>
      <c r="I47" s="535" t="n">
        <f aca="false">H47</f>
        <v>84565</v>
      </c>
      <c r="J47" s="535" t="n">
        <f aca="false">I47</f>
        <v>84565</v>
      </c>
      <c r="K47" s="535" t="n">
        <f aca="false">J47</f>
        <v>84565</v>
      </c>
      <c r="L47" s="535" t="n">
        <f aca="false">K47</f>
        <v>84565</v>
      </c>
      <c r="M47" s="535" t="n">
        <f aca="false">L47</f>
        <v>84565</v>
      </c>
      <c r="N47" s="535" t="n">
        <f aca="false">M47</f>
        <v>84565</v>
      </c>
      <c r="O47" s="564" t="n">
        <f aca="false">N47</f>
        <v>84565</v>
      </c>
      <c r="P47" s="535" t="n">
        <f aca="false">N47</f>
        <v>84565</v>
      </c>
      <c r="Q47" s="535" t="n">
        <f aca="false">P47</f>
        <v>84565</v>
      </c>
      <c r="R47" s="535" t="n">
        <f aca="false">Q47</f>
        <v>84565</v>
      </c>
      <c r="S47" s="535" t="n">
        <v>126848</v>
      </c>
      <c r="T47" s="535" t="n">
        <f aca="false">S47</f>
        <v>126848</v>
      </c>
      <c r="U47" s="535" t="n">
        <f aca="false">T47</f>
        <v>126848</v>
      </c>
      <c r="V47" s="510" t="n">
        <f aca="false">U47</f>
        <v>126848</v>
      </c>
      <c r="W47" s="536" t="n">
        <f aca="false">V47</f>
        <v>126848</v>
      </c>
      <c r="X47" s="535" t="n">
        <f aca="false">W47</f>
        <v>126848</v>
      </c>
      <c r="Y47" s="535" t="n">
        <f aca="false">X47</f>
        <v>126848</v>
      </c>
      <c r="Z47" s="535" t="n">
        <f aca="false">Y47</f>
        <v>126848</v>
      </c>
      <c r="AA47" s="535" t="n">
        <f aca="false">Z47</f>
        <v>126848</v>
      </c>
      <c r="AB47" s="536" t="n">
        <f aca="false">AA47</f>
        <v>126848</v>
      </c>
      <c r="AC47" s="510" t="n">
        <f aca="false">AB47</f>
        <v>126848</v>
      </c>
      <c r="AD47" s="565" t="n">
        <f aca="false">AC47</f>
        <v>126848</v>
      </c>
      <c r="AE47" s="565" t="n">
        <f aca="false">AD47</f>
        <v>126848</v>
      </c>
      <c r="AF47" s="565" t="n">
        <f aca="false">AE47</f>
        <v>126848</v>
      </c>
      <c r="AG47" s="565" t="n">
        <f aca="false">AF47</f>
        <v>126848</v>
      </c>
    </row>
    <row r="48" s="259" customFormat="true" ht="15" hidden="false" customHeight="true" outlineLevel="0" collapsed="false">
      <c r="A48" s="566" t="s">
        <v>213</v>
      </c>
      <c r="B48" s="535" t="n">
        <f aca="false">B47/10</f>
        <v>8456.5</v>
      </c>
      <c r="C48" s="535" t="n">
        <f aca="false">C47/10</f>
        <v>8456.5</v>
      </c>
      <c r="D48" s="535" t="n">
        <f aca="false">D47/10</f>
        <v>8456.5</v>
      </c>
      <c r="E48" s="535" t="n">
        <f aca="false">E47/10.52</f>
        <v>8038.49809885932</v>
      </c>
      <c r="F48" s="535" t="n">
        <f aca="false">F47/10</f>
        <v>8456.5</v>
      </c>
      <c r="G48" s="535" t="n">
        <f aca="false">G47/10</f>
        <v>8456.5</v>
      </c>
      <c r="H48" s="510" t="n">
        <f aca="false">H47/10</f>
        <v>8456.5</v>
      </c>
      <c r="I48" s="535" t="n">
        <f aca="false">I47/10</f>
        <v>8456.5</v>
      </c>
      <c r="J48" s="535" t="n">
        <f aca="false">J47/10</f>
        <v>8456.5</v>
      </c>
      <c r="K48" s="535" t="n">
        <f aca="false">K47/10</f>
        <v>8456.5</v>
      </c>
      <c r="L48" s="535" t="n">
        <f aca="false">L47/10</f>
        <v>8456.5</v>
      </c>
      <c r="M48" s="535" t="n">
        <f aca="false">M47/1</f>
        <v>84565</v>
      </c>
      <c r="N48" s="535" t="n">
        <f aca="false">N47/10</f>
        <v>8456.5</v>
      </c>
      <c r="O48" s="510" t="n">
        <f aca="false">O47/10</f>
        <v>8456.5</v>
      </c>
      <c r="P48" s="535" t="n">
        <f aca="false">P47/10</f>
        <v>8456.5</v>
      </c>
      <c r="Q48" s="535" t="n">
        <f aca="false">Q47/10</f>
        <v>8456.5</v>
      </c>
      <c r="R48" s="535" t="n">
        <f aca="false">R47/10</f>
        <v>8456.5</v>
      </c>
      <c r="S48" s="535" t="n">
        <f aca="false">S47/10</f>
        <v>12684.8</v>
      </c>
      <c r="T48" s="535" t="n">
        <f aca="false">T47/10</f>
        <v>12684.8</v>
      </c>
      <c r="U48" s="535" t="n">
        <f aca="false">U47/10</f>
        <v>12684.8</v>
      </c>
      <c r="V48" s="510" t="n">
        <f aca="false">V47/10</f>
        <v>12684.8</v>
      </c>
      <c r="W48" s="536" t="n">
        <f aca="false">W47/10</f>
        <v>12684.8</v>
      </c>
      <c r="X48" s="535" t="n">
        <f aca="false">X47/10</f>
        <v>12684.8</v>
      </c>
      <c r="Y48" s="535" t="n">
        <f aca="false">Y47/10</f>
        <v>12684.8</v>
      </c>
      <c r="Z48" s="535" t="n">
        <f aca="false">Z47/10</f>
        <v>12684.8</v>
      </c>
      <c r="AA48" s="535" t="n">
        <f aca="false">AA47/10</f>
        <v>12684.8</v>
      </c>
      <c r="AB48" s="536" t="n">
        <f aca="false">AB47/10</f>
        <v>12684.8</v>
      </c>
      <c r="AC48" s="510" t="n">
        <f aca="false">AC47/10</f>
        <v>12684.8</v>
      </c>
      <c r="AD48" s="565" t="n">
        <f aca="false">AD47/10</f>
        <v>12684.8</v>
      </c>
      <c r="AE48" s="565" t="n">
        <f aca="false">AE47/10</f>
        <v>12684.8</v>
      </c>
      <c r="AF48" s="565" t="n">
        <f aca="false">AF47/10</f>
        <v>12684.8</v>
      </c>
      <c r="AG48" s="565" t="n">
        <f aca="false">AG47/10</f>
        <v>12684.8</v>
      </c>
    </row>
    <row r="49" s="275" customFormat="true" ht="15" hidden="false" customHeight="true" outlineLevel="0" collapsed="false">
      <c r="A49" s="526" t="s">
        <v>170</v>
      </c>
      <c r="B49" s="567" t="n">
        <f aca="false">B41/B48</f>
        <v>10.0079228995447</v>
      </c>
      <c r="C49" s="567" t="n">
        <f aca="false">C41/C48</f>
        <v>8.83663454147697</v>
      </c>
      <c r="D49" s="567" t="n">
        <f aca="false">D41/D48</f>
        <v>18.8445574410217</v>
      </c>
      <c r="E49" s="567" t="n">
        <f aca="false">E41/E48</f>
        <v>15.0261900313368</v>
      </c>
      <c r="F49" s="567" t="n">
        <f aca="false">F41/F48</f>
        <v>33.1280080411518</v>
      </c>
      <c r="G49" s="567" t="n">
        <f aca="false">G41/G48</f>
        <v>1.17329864601194</v>
      </c>
      <c r="H49" s="556" t="n">
        <f aca="false">H41/H48</f>
        <v>28.2229054573405</v>
      </c>
      <c r="I49" s="567" t="n">
        <f aca="false">I41/I48</f>
        <v>25.9285756518654</v>
      </c>
      <c r="J49" s="567" t="n">
        <f aca="false">J41/J48</f>
        <v>6.77041329155088</v>
      </c>
      <c r="K49" s="567" t="n">
        <f aca="false">K41/K48</f>
        <v>38.6020221131674</v>
      </c>
      <c r="L49" s="567" t="n">
        <f aca="false">L41/L48</f>
        <v>7.34724767929995</v>
      </c>
      <c r="M49" s="567" t="n">
        <f aca="false">M41/M48</f>
        <v>4.00462366227163</v>
      </c>
      <c r="N49" s="567" t="n">
        <f aca="false">N41/N48</f>
        <v>8.54230473600189</v>
      </c>
      <c r="O49" s="556" t="n">
        <f aca="false">O41/O48</f>
        <v>30.7628451487022</v>
      </c>
      <c r="P49" s="567" t="n">
        <f aca="false">P41/P48</f>
        <v>10.6056879323597</v>
      </c>
      <c r="Q49" s="567" t="n">
        <f aca="false">Q41/Q48</f>
        <v>9.25849937917578</v>
      </c>
      <c r="R49" s="567" t="n">
        <f aca="false">R41/R48</f>
        <v>19.5481582214864</v>
      </c>
      <c r="S49" s="567" t="n">
        <f aca="false">S41/S48</f>
        <v>0.212380171543895</v>
      </c>
      <c r="T49" s="567" t="n">
        <f aca="false">T41/T48</f>
        <v>13.244434283552</v>
      </c>
      <c r="U49" s="567" t="n">
        <f aca="false">U41/U48</f>
        <v>4.84367116548941</v>
      </c>
      <c r="V49" s="556" t="n">
        <f aca="false">V41/V48</f>
        <v>22.0239972250252</v>
      </c>
      <c r="W49" s="567" t="n">
        <f aca="false">W41/W48</f>
        <v>4.85478683148335</v>
      </c>
      <c r="X49" s="567" t="n">
        <f aca="false">X41/X48</f>
        <v>4.64043579717457</v>
      </c>
      <c r="Y49" s="567" t="n">
        <f aca="false">Y41/Y48</f>
        <v>9.49522262865792</v>
      </c>
      <c r="Z49" s="567" t="n">
        <f aca="false">Z41/Z48</f>
        <v>5.79386352169526</v>
      </c>
      <c r="AA49" s="567" t="n">
        <f aca="false">AA41/AA48</f>
        <v>15.2890861503532</v>
      </c>
      <c r="AB49" s="567" t="n">
        <f aca="false">AB41/AB48</f>
        <v>3.10818459889001</v>
      </c>
      <c r="AC49" s="556" t="n">
        <f aca="false">AC41/AC48</f>
        <v>18.3972707492432</v>
      </c>
      <c r="AD49" s="568" t="n">
        <f aca="false">AD41/AD48</f>
        <v>21.1410507063572</v>
      </c>
      <c r="AE49" s="568" t="n">
        <f aca="false">AE41/AE48</f>
        <v>29.0955316599395</v>
      </c>
      <c r="AF49" s="568" t="n">
        <f aca="false">AF41/AF48</f>
        <v>35.3485273713421</v>
      </c>
      <c r="AG49" s="568" t="n">
        <f aca="false">AG41/AG48</f>
        <v>60.6667822906155</v>
      </c>
    </row>
    <row r="50" customFormat="false" ht="15" hidden="false" customHeight="true" outlineLevel="0" collapsed="false">
      <c r="A50" s="569"/>
      <c r="B50" s="570"/>
      <c r="C50" s="570"/>
      <c r="D50" s="570"/>
      <c r="E50" s="570"/>
      <c r="F50" s="570"/>
      <c r="G50" s="570"/>
      <c r="H50" s="571"/>
      <c r="I50" s="570"/>
      <c r="J50" s="570"/>
      <c r="K50" s="570"/>
      <c r="L50" s="570"/>
      <c r="M50" s="570"/>
      <c r="N50" s="570"/>
      <c r="O50" s="572"/>
      <c r="P50" s="573"/>
      <c r="Q50" s="573"/>
      <c r="R50" s="573"/>
      <c r="S50" s="574"/>
      <c r="T50" s="573"/>
      <c r="U50" s="573"/>
      <c r="V50" s="573"/>
      <c r="W50" s="575"/>
      <c r="X50" s="576"/>
      <c r="Y50" s="573"/>
      <c r="Z50" s="576"/>
      <c r="AA50" s="573"/>
      <c r="AB50" s="573"/>
      <c r="AC50" s="573"/>
      <c r="AD50" s="573"/>
      <c r="AE50" s="573"/>
      <c r="AF50" s="573"/>
      <c r="AG50" s="577"/>
    </row>
    <row r="51" customFormat="false" ht="15" hidden="false" customHeight="true" outlineLevel="0" collapsed="false">
      <c r="A51" s="578"/>
      <c r="B51" s="259"/>
      <c r="C51" s="259"/>
      <c r="D51" s="579"/>
      <c r="E51" s="259"/>
      <c r="F51" s="580"/>
      <c r="G51" s="259"/>
      <c r="H51" s="581"/>
      <c r="I51" s="582"/>
      <c r="J51" s="580"/>
      <c r="K51" s="580"/>
      <c r="L51" s="580"/>
      <c r="M51" s="580"/>
      <c r="N51" s="580"/>
      <c r="O51" s="581"/>
      <c r="P51" s="579"/>
      <c r="Q51" s="579"/>
      <c r="R51" s="579"/>
      <c r="S51" s="579"/>
      <c r="T51" s="579"/>
      <c r="U51" s="579"/>
      <c r="V51" s="579"/>
      <c r="W51" s="579"/>
      <c r="X51" s="579"/>
      <c r="Y51" s="579"/>
      <c r="Z51" s="579"/>
      <c r="AA51" s="579"/>
      <c r="AB51" s="579"/>
      <c r="AC51" s="579"/>
      <c r="AD51" s="579"/>
      <c r="AE51" s="579"/>
      <c r="AF51" s="579"/>
      <c r="AG51" s="583"/>
    </row>
    <row r="52" customFormat="false" ht="15" hidden="false" customHeight="true" outlineLevel="0" collapsed="false">
      <c r="O52" s="453"/>
    </row>
    <row r="53" customFormat="false" ht="15" hidden="false" customHeight="true" outlineLevel="0" collapsed="false">
      <c r="O53" s="453"/>
    </row>
    <row r="56" customFormat="false" ht="15" hidden="false" customHeight="true" outlineLevel="0" collapsed="false">
      <c r="V56" s="584"/>
    </row>
    <row r="66" customFormat="false" ht="15" hidden="false" customHeight="true" outlineLevel="0" collapsed="false">
      <c r="W66" s="265" t="n">
        <f aca="false">81-58</f>
        <v>23</v>
      </c>
    </row>
  </sheetData>
  <mergeCells count="5">
    <mergeCell ref="J1:M1"/>
    <mergeCell ref="B3:G3"/>
    <mergeCell ref="I3:N3"/>
    <mergeCell ref="P3:U3"/>
    <mergeCell ref="W3:AB3"/>
  </mergeCells>
  <printOptions headings="false" gridLines="false" gridLinesSet="true" horizontalCentered="false" verticalCentered="false"/>
  <pageMargins left="1.14027777777778" right="0.75" top="0.759722222222222" bottom="0.729861111111111"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5"/>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A8" activeCellId="0" sqref="A8"/>
    </sheetView>
  </sheetViews>
  <sheetFormatPr defaultColWidth="9.13671875" defaultRowHeight="12.75" zeroHeight="false" outlineLevelRow="0" outlineLevelCol="0"/>
  <cols>
    <col collapsed="false" customWidth="true" hidden="false" outlineLevel="0" max="1" min="1" style="585" width="32.99"/>
    <col collapsed="false" customWidth="true" hidden="false" outlineLevel="0" max="3" min="2" style="586" width="11.71"/>
    <col collapsed="false" customWidth="true" hidden="false" outlineLevel="0" max="5" min="4" style="587" width="11.71"/>
    <col collapsed="false" customWidth="true" hidden="false" outlineLevel="0" max="9" min="6" style="586" width="11.71"/>
    <col collapsed="false" customWidth="false" hidden="false" outlineLevel="0" max="257" min="10" style="586" width="9.13"/>
  </cols>
  <sheetData>
    <row r="1" customFormat="false" ht="18.75" hidden="false" customHeight="true" outlineLevel="0" collapsed="false">
      <c r="A1" s="588" t="s">
        <v>214</v>
      </c>
      <c r="B1" s="54"/>
      <c r="C1" s="54"/>
      <c r="D1" s="54"/>
      <c r="E1" s="54"/>
      <c r="F1" s="589"/>
      <c r="G1" s="589"/>
      <c r="H1" s="589"/>
      <c r="I1" s="54"/>
    </row>
    <row r="2" customFormat="false" ht="17.25" hidden="false" customHeight="false" outlineLevel="0" collapsed="false">
      <c r="A2" s="590" t="s">
        <v>215</v>
      </c>
      <c r="B2" s="54"/>
      <c r="C2" s="54"/>
      <c r="D2" s="54"/>
      <c r="E2" s="54"/>
      <c r="F2" s="589"/>
      <c r="G2" s="589"/>
      <c r="H2" s="589"/>
      <c r="I2" s="54"/>
    </row>
    <row r="3" customFormat="false" ht="14.25" hidden="false" customHeight="true" outlineLevel="0" collapsed="false">
      <c r="A3" s="591" t="s">
        <v>40</v>
      </c>
      <c r="B3" s="54"/>
      <c r="C3" s="54"/>
      <c r="D3" s="54"/>
      <c r="E3" s="54"/>
      <c r="F3" s="54"/>
      <c r="G3" s="54"/>
      <c r="H3" s="54"/>
      <c r="I3" s="54"/>
    </row>
    <row r="4" customFormat="false" ht="13.5" hidden="false" customHeight="false" outlineLevel="0" collapsed="false">
      <c r="A4" s="592" t="s">
        <v>215</v>
      </c>
      <c r="B4" s="593" t="s">
        <v>90</v>
      </c>
      <c r="C4" s="593" t="s">
        <v>216</v>
      </c>
      <c r="D4" s="593" t="s">
        <v>217</v>
      </c>
      <c r="E4" s="593" t="s">
        <v>218</v>
      </c>
      <c r="F4" s="593" t="s">
        <v>219</v>
      </c>
      <c r="G4" s="593" t="s">
        <v>220</v>
      </c>
      <c r="H4" s="593" t="s">
        <v>221</v>
      </c>
      <c r="I4" s="593" t="s">
        <v>222</v>
      </c>
    </row>
    <row r="5" s="587" customFormat="true" ht="14.25" hidden="false" customHeight="false" outlineLevel="0" collapsed="false">
      <c r="A5" s="592"/>
      <c r="B5" s="593" t="s">
        <v>52</v>
      </c>
      <c r="C5" s="593" t="s">
        <v>53</v>
      </c>
      <c r="D5" s="593" t="s">
        <v>54</v>
      </c>
      <c r="E5" s="593" t="s">
        <v>55</v>
      </c>
      <c r="F5" s="593" t="s">
        <v>56</v>
      </c>
      <c r="G5" s="593" t="s">
        <v>57</v>
      </c>
      <c r="H5" s="593" t="s">
        <v>58</v>
      </c>
      <c r="I5" s="593" t="s">
        <v>59</v>
      </c>
    </row>
    <row r="6" customFormat="false" ht="12.75" hidden="false" customHeight="false" outlineLevel="0" collapsed="false">
      <c r="B6" s="594"/>
      <c r="F6" s="587"/>
    </row>
    <row r="7" customFormat="false" ht="13.5" hidden="false" customHeight="false" outlineLevel="0" collapsed="false">
      <c r="A7" s="595" t="s">
        <v>223</v>
      </c>
      <c r="B7" s="596"/>
      <c r="C7" s="597"/>
      <c r="F7" s="587"/>
    </row>
    <row r="8" customFormat="false" ht="12.75" hidden="false" customHeight="false" outlineLevel="0" collapsed="false">
      <c r="A8" s="598" t="s">
        <v>224</v>
      </c>
      <c r="B8" s="599" t="n">
        <f aca="false">'INCOME STATEMENT'!H32</f>
        <v>285978</v>
      </c>
      <c r="C8" s="599" t="n">
        <f aca="false">'INCOME STATEMENT'!O32</f>
        <v>385500</v>
      </c>
      <c r="D8" s="599" t="n">
        <f aca="false">'INCOME STATEMENT'!V32</f>
        <v>419402</v>
      </c>
      <c r="E8" s="600" t="n">
        <f aca="false">'INCOME STATEMENT'!AC32</f>
        <v>386622</v>
      </c>
      <c r="F8" s="600" t="n">
        <f aca="false">'INCOME STATEMENT'!AE32</f>
        <v>550851.54601</v>
      </c>
      <c r="G8" s="600" t="n">
        <f aca="false">'INCOME STATEMENT'!AF32</f>
        <v>669237.37</v>
      </c>
      <c r="H8" s="600" t="n">
        <f aca="false">'INCOME STATEMENT'!AG32</f>
        <v>1148575.66</v>
      </c>
      <c r="I8" s="600" t="n">
        <f aca="false">'INCOME STATEMENT'!AH32</f>
        <v>0</v>
      </c>
    </row>
    <row r="9" customFormat="false" ht="12.75" hidden="false" customHeight="false" outlineLevel="0" collapsed="false">
      <c r="A9" s="601" t="s">
        <v>225</v>
      </c>
      <c r="B9" s="602" t="n">
        <f aca="false">'INCOME STATEMENT'!H33-'INCOME STATEMENT'!H34</f>
        <v>47311</v>
      </c>
      <c r="C9" s="602" t="n">
        <f aca="false">'INCOME STATEMENT'!O33-'INCOME STATEMENT'!O34</f>
        <v>125354</v>
      </c>
      <c r="D9" s="602" t="n">
        <f aca="false">'INCOME STATEMENT'!V33-'INCOME STATEMENT'!V34</f>
        <v>140032</v>
      </c>
      <c r="E9" s="603" t="n">
        <f aca="false">'INCOME STATEMENT'!AC33-'INCOME STATEMENT'!AC34</f>
        <v>143282.3</v>
      </c>
      <c r="F9" s="603" t="n">
        <f aca="false">'INCOME STATEMENT'!AE33-'INCOME STATEMENT'!AE34</f>
        <v>181781.0101833</v>
      </c>
      <c r="G9" s="603" t="n">
        <f aca="false">'INCOME STATEMENT'!AF33-'INCOME STATEMENT'!AF34</f>
        <v>220848.3321</v>
      </c>
      <c r="H9" s="603" t="n">
        <f aca="false">'INCOME STATEMENT'!AG33-'INCOME STATEMENT'!AG34</f>
        <v>379029.9678</v>
      </c>
      <c r="I9" s="603" t="n">
        <f aca="false">'INCOME STATEMENT'!AH33-'INCOME STATEMENT'!AH34</f>
        <v>0</v>
      </c>
    </row>
    <row r="10" customFormat="false" ht="12.75" hidden="false" customHeight="false" outlineLevel="0" collapsed="false">
      <c r="A10" s="604" t="s">
        <v>226</v>
      </c>
      <c r="B10" s="605" t="n">
        <f aca="false">B8-B9</f>
        <v>238667</v>
      </c>
      <c r="C10" s="605" t="n">
        <f aca="false">C8-C9</f>
        <v>260146</v>
      </c>
      <c r="D10" s="605" t="n">
        <f aca="false">D8-D9</f>
        <v>279370</v>
      </c>
      <c r="E10" s="605" t="n">
        <f aca="false">E8-E9</f>
        <v>243339.7</v>
      </c>
      <c r="F10" s="605" t="n">
        <f aca="false">F8-F9</f>
        <v>369070.5358267</v>
      </c>
      <c r="G10" s="605" t="n">
        <f aca="false">G8-G9</f>
        <v>448389.0379</v>
      </c>
      <c r="H10" s="605" t="n">
        <f aca="false">H8-H9</f>
        <v>769545.6922</v>
      </c>
      <c r="I10" s="605" t="n">
        <f aca="false">I8-I9</f>
        <v>0</v>
      </c>
    </row>
    <row r="11" customFormat="false" ht="12.75" hidden="false" customHeight="false" outlineLevel="0" collapsed="false">
      <c r="A11" s="606" t="s">
        <v>158</v>
      </c>
      <c r="B11" s="607" t="n">
        <f aca="false">'INCOME STATEMENT'!H27</f>
        <v>57538</v>
      </c>
      <c r="C11" s="603" t="n">
        <f aca="false">'INCOME STATEMENT'!O27</f>
        <v>57102</v>
      </c>
      <c r="D11" s="603" t="n">
        <f aca="false">'INCOME STATEMENT'!V27</f>
        <v>55991</v>
      </c>
      <c r="E11" s="603" t="n">
        <f aca="false">'INCOME STATEMENT'!AC27</f>
        <v>56691</v>
      </c>
      <c r="F11" s="603" t="n">
        <f aca="false">'INCOME STATEMENT'!AD27</f>
        <v>57516</v>
      </c>
      <c r="G11" s="603" t="n">
        <f aca="false">'INCOME STATEMENT'!AE27</f>
        <v>58466</v>
      </c>
      <c r="H11" s="603" t="n">
        <f aca="false">'INCOME STATEMENT'!AF27</f>
        <v>59266</v>
      </c>
      <c r="I11" s="603" t="n">
        <f aca="false">'INCOME STATEMENT'!AG27</f>
        <v>60050</v>
      </c>
    </row>
    <row r="12" customFormat="false" ht="12.75" hidden="false" customHeight="false" outlineLevel="0" collapsed="false">
      <c r="A12" s="604" t="s">
        <v>227</v>
      </c>
      <c r="B12" s="605" t="n">
        <f aca="false">B10+B11</f>
        <v>296205</v>
      </c>
      <c r="C12" s="605" t="n">
        <f aca="false">C10+C11</f>
        <v>317248</v>
      </c>
      <c r="D12" s="605" t="n">
        <f aca="false">D10+D11</f>
        <v>335361</v>
      </c>
      <c r="E12" s="605" t="n">
        <f aca="false">E10+E11</f>
        <v>300030.7</v>
      </c>
      <c r="F12" s="605" t="n">
        <f aca="false">F10+F11</f>
        <v>426586.5358267</v>
      </c>
      <c r="G12" s="605" t="n">
        <f aca="false">G10+G11</f>
        <v>506855.0379</v>
      </c>
      <c r="H12" s="605" t="n">
        <f aca="false">H10+H11</f>
        <v>828811.6922</v>
      </c>
      <c r="I12" s="605" t="n">
        <f aca="false">I10+I11</f>
        <v>60050</v>
      </c>
    </row>
    <row r="13" customFormat="false" ht="12.75" hidden="false" customHeight="false" outlineLevel="0" collapsed="false">
      <c r="A13" s="606" t="s">
        <v>228</v>
      </c>
      <c r="B13" s="603" t="n">
        <f aca="false">(BALANCESHEET!C28-BALANCESHEET!B28)+(BALANCESHEET!C31-BALANCESHEET!B31)</f>
        <v>1784.43</v>
      </c>
      <c r="C13" s="603" t="n">
        <f aca="false">(BALANCESHEET!D28-BALANCESHEET!C28)+(BALANCESHEET!D31-BALANCESHEET!C31)</f>
        <v>905.020000000001</v>
      </c>
      <c r="D13" s="603" t="n">
        <f aca="false">(BALANCESHEET!E28-BALANCESHEET!D28)+(BALANCESHEET!E31-BALANCESHEET!D31)</f>
        <v>2255.79</v>
      </c>
      <c r="E13" s="603" t="n">
        <f aca="false">(BALANCESHEET!F28-BALANCESHEET!E28)+(BALANCESHEET!F31-BALANCESHEET!E31)</f>
        <v>2568.35</v>
      </c>
      <c r="F13" s="603" t="n">
        <f aca="false">(BALANCESHEET!G28-BALANCESHEET!F28)+(BALANCESHEET!G31-BALANCESHEET!F31)</f>
        <v>114.790000000001</v>
      </c>
      <c r="G13" s="603" t="n">
        <f aca="false">(BALANCESHEET!H28-BALANCESHEET!G28)+(BALANCESHEET!H31-BALANCESHEET!G31)</f>
        <v>3401.48</v>
      </c>
      <c r="H13" s="603" t="n">
        <f aca="false">(BALANCESHEET!I28-BALANCESHEET!H28)+(BALANCESHEET!I31-BALANCESHEET!H31)</f>
        <v>1246.27</v>
      </c>
      <c r="I13" s="603" t="n">
        <f aca="false">(BALANCESHEET!J28-BALANCESHEET!I28)+(BALANCESHEET!J31-BALANCESHEET!I31)</f>
        <v>2576.7</v>
      </c>
    </row>
    <row r="14" customFormat="false" ht="12.75" hidden="false" customHeight="false" outlineLevel="0" collapsed="false">
      <c r="A14" s="604" t="s">
        <v>229</v>
      </c>
      <c r="B14" s="605" t="n">
        <f aca="false">B12-B13</f>
        <v>294420.57</v>
      </c>
      <c r="C14" s="605" t="n">
        <f aca="false">C12-C13</f>
        <v>316342.98</v>
      </c>
      <c r="D14" s="605" t="n">
        <f aca="false">D12-D13</f>
        <v>333105.21</v>
      </c>
      <c r="E14" s="605" t="n">
        <f aca="false">E12-E13</f>
        <v>297462.35</v>
      </c>
      <c r="F14" s="605" t="n">
        <f aca="false">F12-F13</f>
        <v>426471.7458267</v>
      </c>
      <c r="G14" s="605" t="n">
        <f aca="false">G12-G13</f>
        <v>503453.5579</v>
      </c>
      <c r="H14" s="605" t="n">
        <f aca="false">H12-H13</f>
        <v>827565.4222</v>
      </c>
      <c r="I14" s="605" t="n">
        <f aca="false">I12-I13</f>
        <v>57473.3</v>
      </c>
    </row>
    <row r="15" s="610" customFormat="true" ht="12.75" hidden="false" customHeight="false" outlineLevel="0" collapsed="false">
      <c r="A15" s="604" t="s">
        <v>230</v>
      </c>
      <c r="B15" s="608" t="n">
        <v>5170.94305159166</v>
      </c>
      <c r="C15" s="608" t="n">
        <v>3703.97927552141</v>
      </c>
      <c r="D15" s="608" t="n">
        <v>3918.88482352941</v>
      </c>
      <c r="E15" s="608" t="n">
        <v>3499.55705882353</v>
      </c>
      <c r="F15" s="608"/>
      <c r="G15" s="609"/>
      <c r="H15" s="609"/>
      <c r="I15" s="609"/>
    </row>
    <row r="16" customFormat="false" ht="12.75" hidden="false" customHeight="false" outlineLevel="0" collapsed="false">
      <c r="A16" s="606" t="s">
        <v>231</v>
      </c>
      <c r="B16" s="603" t="n">
        <v>0</v>
      </c>
      <c r="C16" s="603" t="n">
        <v>0</v>
      </c>
      <c r="D16" s="603" t="n">
        <v>0</v>
      </c>
      <c r="E16" s="603" t="n">
        <v>0</v>
      </c>
      <c r="F16" s="603"/>
      <c r="G16" s="611"/>
      <c r="H16" s="611"/>
      <c r="I16" s="611"/>
    </row>
    <row r="17" customFormat="false" ht="12.75" hidden="false" customHeight="false" outlineLevel="0" collapsed="false">
      <c r="A17" s="606" t="s">
        <v>232</v>
      </c>
      <c r="B17" s="603" t="n">
        <f aca="false">BALANCESHEET!C9-BALANCESHEET!B9</f>
        <v>0</v>
      </c>
      <c r="C17" s="603" t="n">
        <f aca="false">BALANCESHEET!D9-BALANCESHEET!C9</f>
        <v>0</v>
      </c>
      <c r="D17" s="603" t="n">
        <f aca="false">BALANCESHEET!E9-BALANCESHEET!D9</f>
        <v>422.83</v>
      </c>
      <c r="E17" s="603" t="n">
        <f aca="false">BALANCESHEET!F9-BALANCESHEET!E9</f>
        <v>0</v>
      </c>
      <c r="F17" s="603" t="n">
        <f aca="false">BALANCESHEET!G9-BALANCESHEET!F9</f>
        <v>0</v>
      </c>
      <c r="G17" s="603" t="n">
        <f aca="false">BALANCESHEET!H9-BALANCESHEET!G9</f>
        <v>0</v>
      </c>
      <c r="H17" s="603" t="n">
        <f aca="false">BALANCESHEET!I9-BALANCESHEET!H9</f>
        <v>0</v>
      </c>
      <c r="I17" s="603" t="n">
        <f aca="false">BALANCESHEET!J9-BALANCESHEET!I9</f>
        <v>0</v>
      </c>
    </row>
    <row r="18" customFormat="false" ht="12.75" hidden="false" customHeight="false" outlineLevel="0" collapsed="false">
      <c r="A18" s="606" t="s">
        <v>233</v>
      </c>
      <c r="B18" s="612"/>
      <c r="C18" s="612"/>
      <c r="D18" s="612"/>
      <c r="E18" s="612"/>
      <c r="F18" s="612"/>
      <c r="G18" s="612"/>
      <c r="H18" s="612"/>
      <c r="I18" s="612"/>
    </row>
    <row r="19" customFormat="false" ht="12.75" hidden="false" customHeight="false" outlineLevel="0" collapsed="false">
      <c r="A19" s="606" t="s">
        <v>234</v>
      </c>
      <c r="B19" s="603" t="n">
        <f aca="false">BALANCESHEET!C33-BALANCESHEET!B33</f>
        <v>513.48</v>
      </c>
      <c r="C19" s="603" t="n">
        <f aca="false">BALANCESHEET!D33-BALANCESHEET!C33</f>
        <v>0.0399999999999636</v>
      </c>
      <c r="D19" s="603" t="n">
        <f aca="false">BALANCESHEET!E33-BALANCESHEET!D33</f>
        <v>-3.56999999999994</v>
      </c>
      <c r="E19" s="603" t="n">
        <f aca="false">BALANCESHEET!F33-BALANCESHEET!E33</f>
        <v>103.36</v>
      </c>
      <c r="F19" s="603" t="n">
        <f aca="false">BALANCESHEET!G33-BALANCESHEET!F33</f>
        <v>82.4699999999998</v>
      </c>
      <c r="G19" s="603" t="n">
        <f aca="false">BALANCESHEET!H33-BALANCESHEET!G33</f>
        <v>65.1000000000001</v>
      </c>
      <c r="H19" s="603" t="n">
        <f aca="false">BALANCESHEET!I33-BALANCESHEET!H33</f>
        <v>56.0899999999999</v>
      </c>
      <c r="I19" s="603" t="n">
        <f aca="false">BALANCESHEET!J33-BALANCESHEET!I33</f>
        <v>84.23</v>
      </c>
    </row>
    <row r="20" s="587" customFormat="true" ht="12.75" hidden="false" customHeight="false" outlineLevel="0" collapsed="false">
      <c r="A20" s="606" t="s">
        <v>235</v>
      </c>
      <c r="B20" s="603" t="n">
        <f aca="false">(BALANCESHEET!C37+BALANCESHEET!C38+BALANCESHEET!C40+BALANCESHEET!C41-BALANCESHEET!C43)-(BALANCESHEET!B37+BALANCESHEET!B38+BALANCESHEET!B40+BALANCESHEET!B41-BALANCESHEET!B43)</f>
        <v>1455.16</v>
      </c>
      <c r="C20" s="603" t="n">
        <f aca="false">(BALANCESHEET!D37+BALANCESHEET!D38+BALANCESHEET!D40+BALANCESHEET!D41-BALANCESHEET!D43)-(BALANCESHEET!C37+BALANCESHEET!C38+BALANCESHEET!C40+BALANCESHEET!C41-BALANCESHEET!C43)</f>
        <v>-656.120000000001</v>
      </c>
      <c r="D20" s="603" t="n">
        <f aca="false">(BALANCESHEET!E37+BALANCESHEET!E38+BALANCESHEET!E40+BALANCESHEET!E41-BALANCESHEET!E43)-(BALANCESHEET!D37+BALANCESHEET!D38+BALANCESHEET!D40+BALANCESHEET!D41-BALANCESHEET!D43)</f>
        <v>749.119999999999</v>
      </c>
      <c r="E20" s="603" t="n">
        <f aca="false">(BALANCESHEET!F37+BALANCESHEET!F38+BALANCESHEET!F40+BALANCESHEET!F41-BALANCESHEET!F43)-(BALANCESHEET!E37+BALANCESHEET!E38+BALANCESHEET!E40+BALANCESHEET!E41-BALANCESHEET!E43)</f>
        <v>1699.74</v>
      </c>
      <c r="F20" s="603" t="n">
        <f aca="false">(BALANCESHEET!G37+BALANCESHEET!G38+BALANCESHEET!G40+BALANCESHEET!G41-BALANCESHEET!G43)-(BALANCESHEET!F37+BALANCESHEET!F38+BALANCESHEET!F40+BALANCESHEET!F41-BALANCESHEET!F43)</f>
        <v>718.730000000001</v>
      </c>
      <c r="G20" s="603" t="n">
        <f aca="false">(BALANCESHEET!H37+BALANCESHEET!H38+BALANCESHEET!H40+BALANCESHEET!H41-BALANCESHEET!H43)-(BALANCESHEET!G37+BALANCESHEET!G38+BALANCESHEET!G40+BALANCESHEET!G41-BALANCESHEET!G43)</f>
        <v>-2765.15</v>
      </c>
      <c r="H20" s="603" t="n">
        <f aca="false">(BALANCESHEET!I37+BALANCESHEET!I38+BALANCESHEET!I40+BALANCESHEET!I41-BALANCESHEET!I43)-(BALANCESHEET!H37+BALANCESHEET!H38+BALANCESHEET!H40+BALANCESHEET!H41-BALANCESHEET!H43)</f>
        <v>452.37</v>
      </c>
      <c r="I20" s="603" t="n">
        <f aca="false">(BALANCESHEET!J37+BALANCESHEET!J38+BALANCESHEET!J40+BALANCESHEET!J41-BALANCESHEET!J43)-(BALANCESHEET!I37+BALANCESHEET!I38+BALANCESHEET!I40+BALANCESHEET!I41-BALANCESHEET!I43)</f>
        <v>-1092.52</v>
      </c>
    </row>
    <row r="21" customFormat="false" ht="12.75" hidden="false" customHeight="false" outlineLevel="0" collapsed="false">
      <c r="A21" s="606" t="s">
        <v>236</v>
      </c>
      <c r="B21" s="603" t="n">
        <f aca="false">BALANCESHEET!C19-BALANCESHEET!B19</f>
        <v>-578.71</v>
      </c>
      <c r="C21" s="603" t="n">
        <f aca="false">BALANCESHEET!D19-BALANCESHEET!C19</f>
        <v>-71.98</v>
      </c>
      <c r="D21" s="603" t="n">
        <f aca="false">BALANCESHEET!E19-BALANCESHEET!D19</f>
        <v>-65.7399999999998</v>
      </c>
      <c r="E21" s="603" t="n">
        <f aca="false">BALANCESHEET!F19-BALANCESHEET!E19</f>
        <v>-13.8000000000002</v>
      </c>
      <c r="F21" s="603" t="n">
        <f aca="false">BALANCESHEET!G19-BALANCESHEET!F19</f>
        <v>-13.99</v>
      </c>
      <c r="G21" s="603" t="n">
        <f aca="false">BALANCESHEET!H19-BALANCESHEET!G19</f>
        <v>-17.98</v>
      </c>
      <c r="H21" s="603" t="n">
        <f aca="false">BALANCESHEET!I19-BALANCESHEET!H19</f>
        <v>-12.54</v>
      </c>
      <c r="I21" s="603" t="n">
        <f aca="false">BALANCESHEET!J19-BALANCESHEET!I19</f>
        <v>-5.57999999999993</v>
      </c>
    </row>
    <row r="22" customFormat="false" ht="12.75" hidden="false" customHeight="false" outlineLevel="0" collapsed="false">
      <c r="A22" s="606" t="s">
        <v>237</v>
      </c>
      <c r="B22" s="603" t="n">
        <v>4495.94</v>
      </c>
      <c r="C22" s="603" t="n">
        <v>2260.41</v>
      </c>
      <c r="D22" s="603" t="n">
        <v>4472.99</v>
      </c>
      <c r="E22" s="603" t="n">
        <f aca="false">D24</f>
        <v>3456.15</v>
      </c>
      <c r="F22" s="613" t="n">
        <v>3500.76</v>
      </c>
      <c r="G22" s="611" t="n">
        <v>3657.75</v>
      </c>
      <c r="H22" s="611" t="n">
        <v>3699</v>
      </c>
      <c r="I22" s="611" t="n">
        <v>3734</v>
      </c>
    </row>
    <row r="23" s="615" customFormat="true" ht="12.75" hidden="false" customHeight="false" outlineLevel="0" collapsed="false">
      <c r="A23" s="604" t="s">
        <v>238</v>
      </c>
      <c r="B23" s="614" t="n">
        <f aca="false">B14-B16+B17-B19-B20+B18+B21</f>
        <v>291873.22</v>
      </c>
      <c r="C23" s="614" t="n">
        <f aca="false">(C14-C16)+(C17-C19)-(B20+C18+C21)</f>
        <v>314959.76</v>
      </c>
      <c r="D23" s="614" t="n">
        <f aca="false">(D14-D16)+(D17-D19)-(C20+D18+D21)</f>
        <v>334253.47</v>
      </c>
      <c r="E23" s="614" t="n">
        <f aca="false">E14-E16+E17-E19-D20+E18+E21</f>
        <v>296596.07</v>
      </c>
      <c r="F23" s="614" t="n">
        <f aca="false">F14-F16+F17-F19-E20+F18+F21</f>
        <v>424675.5458267</v>
      </c>
      <c r="G23" s="614" t="n">
        <f aca="false">G14-G16+G17-G19-F20+G18+G21</f>
        <v>502651.7479</v>
      </c>
      <c r="H23" s="614" t="n">
        <f aca="false">H14-H16+H17-H19-G20+H18+H21</f>
        <v>830261.9422</v>
      </c>
      <c r="I23" s="614" t="n">
        <f aca="false">I14-I16+I17-I19-H20+I18+I21</f>
        <v>56931.12</v>
      </c>
    </row>
    <row r="24" customFormat="false" ht="13.5" hidden="false" customHeight="false" outlineLevel="0" collapsed="false">
      <c r="A24" s="616" t="s">
        <v>239</v>
      </c>
      <c r="B24" s="617" t="n">
        <v>2660.39</v>
      </c>
      <c r="C24" s="617" t="n">
        <v>4472.99</v>
      </c>
      <c r="D24" s="618" t="n">
        <v>3456.15</v>
      </c>
      <c r="E24" s="618" t="n">
        <f aca="false">E22+E23</f>
        <v>300052.22</v>
      </c>
      <c r="F24" s="618" t="n">
        <f aca="false">F22+F23</f>
        <v>428176.3058267</v>
      </c>
      <c r="G24" s="618" t="n">
        <f aca="false">G22+G23</f>
        <v>506309.4979</v>
      </c>
      <c r="H24" s="618" t="n">
        <f aca="false">H22+H23</f>
        <v>833960.9422</v>
      </c>
      <c r="I24" s="618" t="n">
        <f aca="false">I22+I23</f>
        <v>60665.12</v>
      </c>
    </row>
    <row r="25" customFormat="false" ht="12.75" hidden="false" customHeight="false" outlineLevel="0" collapsed="false">
      <c r="B25" s="596"/>
      <c r="C25" s="597"/>
      <c r="F25" s="587"/>
    </row>
    <row r="26" customFormat="false" ht="12.75" hidden="false" customHeight="false" outlineLevel="0" collapsed="false">
      <c r="A26" s="619"/>
      <c r="B26" s="596"/>
      <c r="C26" s="597"/>
    </row>
    <row r="27" s="620" customFormat="true" ht="13.5" hidden="false" customHeight="false" outlineLevel="0" collapsed="false">
      <c r="A27" s="585"/>
      <c r="C27" s="621"/>
      <c r="D27" s="622"/>
      <c r="E27" s="622"/>
    </row>
    <row r="28" s="623" customFormat="true" ht="13.5" hidden="false" customHeight="false" outlineLevel="0" collapsed="false">
      <c r="A28" s="585"/>
      <c r="C28" s="624"/>
      <c r="D28" s="625"/>
      <c r="E28" s="625"/>
    </row>
    <row r="29" s="623" customFormat="true" ht="13.5" hidden="false" customHeight="false" outlineLevel="0" collapsed="false">
      <c r="A29" s="585"/>
      <c r="C29" s="624"/>
      <c r="D29" s="625"/>
      <c r="E29" s="625"/>
    </row>
    <row r="30" s="623" customFormat="true" ht="13.5" hidden="false" customHeight="false" outlineLevel="0" collapsed="false">
      <c r="A30" s="585"/>
      <c r="C30" s="624"/>
      <c r="D30" s="625"/>
      <c r="E30" s="625"/>
    </row>
    <row r="31" customFormat="false" ht="27" hidden="false" customHeight="true" outlineLevel="0" collapsed="false">
      <c r="A31" s="0"/>
      <c r="B31" s="0"/>
      <c r="C31" s="0"/>
      <c r="D31" s="0"/>
      <c r="E31" s="0"/>
      <c r="F31" s="0"/>
      <c r="G31" s="0"/>
      <c r="H31" s="0"/>
      <c r="I31" s="0"/>
      <c r="J31" s="0"/>
      <c r="K31" s="0"/>
      <c r="L31" s="0"/>
      <c r="M31" s="0"/>
      <c r="N31" s="0"/>
      <c r="O31" s="0"/>
      <c r="P31" s="0"/>
      <c r="Q31" s="0"/>
      <c r="R31" s="0"/>
      <c r="S31" s="0"/>
      <c r="T31" s="0"/>
      <c r="U31" s="0"/>
      <c r="V31" s="0"/>
      <c r="W31" s="0"/>
      <c r="X31" s="0"/>
      <c r="Y31" s="0"/>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5" hidden="false" customHeight="false" outlineLevel="0" collapsed="false">
      <c r="A32" s="0"/>
      <c r="B32" s="0"/>
      <c r="C32" s="0"/>
      <c r="D32" s="0"/>
      <c r="E32" s="0"/>
      <c r="F32" s="0"/>
      <c r="G32" s="0"/>
      <c r="H32" s="0"/>
      <c r="I32" s="0"/>
      <c r="J32" s="0"/>
      <c r="K32" s="0"/>
      <c r="L32" s="0"/>
      <c r="M32" s="0"/>
      <c r="N32" s="0"/>
      <c r="O32" s="0"/>
      <c r="P32" s="0"/>
      <c r="Q32" s="0"/>
      <c r="R32" s="0"/>
      <c r="S32" s="0"/>
      <c r="T32" s="0"/>
      <c r="U32" s="0"/>
      <c r="V32" s="0"/>
      <c r="W32" s="0"/>
      <c r="X32" s="0"/>
      <c r="Y32" s="0"/>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5" hidden="false" customHeight="false" outlineLevel="0" collapsed="false">
      <c r="A33" s="0"/>
      <c r="B33" s="0"/>
      <c r="C33" s="0"/>
      <c r="D33" s="0"/>
      <c r="E33" s="0"/>
      <c r="F33" s="0"/>
      <c r="G33" s="0"/>
      <c r="H33" s="0"/>
      <c r="I33" s="0"/>
      <c r="J33" s="0"/>
      <c r="K33" s="0"/>
      <c r="L33" s="0"/>
      <c r="M33" s="0"/>
      <c r="N33" s="0"/>
      <c r="O33" s="0"/>
      <c r="P33" s="0"/>
      <c r="Q33" s="0"/>
      <c r="R33" s="0"/>
      <c r="S33" s="0"/>
      <c r="T33" s="0"/>
      <c r="U33" s="0"/>
      <c r="V33" s="0"/>
      <c r="W33" s="0"/>
      <c r="X33" s="0"/>
      <c r="Y33" s="0"/>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9.5" hidden="false" customHeight="true" outlineLevel="0" collapsed="false">
      <c r="A34" s="0"/>
      <c r="B34" s="0"/>
      <c r="C34" s="0"/>
      <c r="D34" s="0"/>
      <c r="E34" s="0"/>
      <c r="F34" s="0"/>
      <c r="G34" s="0"/>
      <c r="H34" s="0"/>
      <c r="I34" s="0"/>
      <c r="J34" s="0"/>
      <c r="K34" s="0"/>
      <c r="L34" s="0"/>
      <c r="M34" s="0"/>
      <c r="N34" s="0"/>
      <c r="O34" s="0"/>
      <c r="P34" s="0"/>
      <c r="Q34" s="0"/>
      <c r="R34" s="0"/>
      <c r="S34" s="0"/>
      <c r="T34" s="0"/>
      <c r="U34" s="0"/>
      <c r="V34" s="0"/>
      <c r="W34" s="0"/>
      <c r="X34" s="0"/>
      <c r="Y34" s="0"/>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5" hidden="false" customHeight="false" outlineLevel="0" collapsed="false">
      <c r="A35" s="0"/>
      <c r="B35" s="0"/>
      <c r="C35" s="0"/>
      <c r="D35" s="0"/>
      <c r="E35" s="0"/>
      <c r="F35" s="0"/>
      <c r="G35" s="0"/>
      <c r="H35" s="0"/>
      <c r="I35" s="0"/>
      <c r="J35" s="0"/>
      <c r="K35" s="0"/>
      <c r="L35" s="0"/>
      <c r="M35" s="0"/>
      <c r="N35" s="0"/>
      <c r="O35" s="0"/>
      <c r="P35" s="0"/>
      <c r="Q35" s="0"/>
      <c r="R35" s="0"/>
      <c r="S35" s="0"/>
      <c r="T35" s="0"/>
      <c r="U35" s="0"/>
      <c r="V35" s="0"/>
      <c r="W35" s="0"/>
      <c r="X35" s="0"/>
      <c r="Y35" s="0"/>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s="610" customFormat="true" ht="12.75" hidden="false" customHeight="false" outlineLevel="0" collapsed="false">
      <c r="A36" s="585"/>
      <c r="B36" s="615"/>
      <c r="C36" s="626"/>
      <c r="D36" s="627"/>
      <c r="E36" s="627"/>
    </row>
    <row r="37" customFormat="false" ht="12.75" hidden="false" customHeight="false" outlineLevel="0" collapsed="false">
      <c r="B37" s="596"/>
      <c r="C37" s="597"/>
    </row>
    <row r="38" customFormat="false" ht="12.75" hidden="false" customHeight="false" outlineLevel="0" collapsed="false">
      <c r="B38" s="596"/>
      <c r="C38" s="597"/>
    </row>
    <row r="39" customFormat="false" ht="12.75" hidden="false" customHeight="false" outlineLevel="0" collapsed="false">
      <c r="B39" s="596"/>
      <c r="C39" s="597"/>
    </row>
    <row r="40" customFormat="false" ht="12.75" hidden="false" customHeight="false" outlineLevel="0" collapsed="false">
      <c r="B40" s="596"/>
      <c r="C40" s="597"/>
    </row>
    <row r="41" customFormat="false" ht="12.75" hidden="false" customHeight="false" outlineLevel="0" collapsed="false">
      <c r="B41" s="596"/>
      <c r="C41" s="597"/>
    </row>
    <row r="42" customFormat="false" ht="12.75" hidden="false" customHeight="false" outlineLevel="0" collapsed="false">
      <c r="B42" s="596"/>
      <c r="C42" s="597"/>
    </row>
    <row r="43" customFormat="false" ht="12.75" hidden="false" customHeight="false" outlineLevel="0" collapsed="false">
      <c r="B43" s="596"/>
      <c r="C43" s="597"/>
    </row>
    <row r="44" customFormat="false" ht="12.75" hidden="false" customHeight="false" outlineLevel="0" collapsed="false">
      <c r="C44" s="597"/>
    </row>
    <row r="45" customFormat="false" ht="12.75" hidden="false" customHeight="false" outlineLevel="0" collapsed="false">
      <c r="C45" s="597"/>
    </row>
    <row r="46" s="610" customFormat="true" ht="12.75" hidden="false" customHeight="false" outlineLevel="0" collapsed="false">
      <c r="A46" s="585"/>
      <c r="C46" s="626"/>
      <c r="D46" s="627"/>
      <c r="E46" s="627"/>
    </row>
    <row r="47" customFormat="false" ht="12.75" hidden="false" customHeight="false" outlineLevel="0" collapsed="false">
      <c r="B47" s="628"/>
      <c r="C47" s="597"/>
    </row>
    <row r="48" s="615" customFormat="true" ht="12.75" hidden="false" customHeight="false" outlineLevel="0" collapsed="false">
      <c r="A48" s="585"/>
      <c r="B48" s="629"/>
      <c r="C48" s="630"/>
      <c r="D48" s="631"/>
      <c r="E48" s="631"/>
    </row>
    <row r="49" customFormat="false" ht="12.75" hidden="false" customHeight="false" outlineLevel="0" collapsed="false">
      <c r="C49" s="597"/>
    </row>
    <row r="50" s="615" customFormat="true" ht="12.75" hidden="false" customHeight="false" outlineLevel="0" collapsed="false">
      <c r="A50" s="585"/>
      <c r="C50" s="630"/>
      <c r="D50" s="631"/>
      <c r="E50" s="631"/>
    </row>
    <row r="51" s="615" customFormat="true" ht="12.75" hidden="false" customHeight="false" outlineLevel="0" collapsed="false">
      <c r="A51" s="585"/>
      <c r="C51" s="630"/>
      <c r="D51" s="631"/>
      <c r="E51" s="631"/>
    </row>
    <row r="52" customFormat="false" ht="12.75" hidden="false" customHeight="false" outlineLevel="0" collapsed="false">
      <c r="A52" s="586"/>
      <c r="C52" s="615"/>
      <c r="D52" s="586"/>
      <c r="E52" s="586"/>
    </row>
    <row r="55" customFormat="false" ht="12.75" hidden="false" customHeight="false" outlineLevel="0" collapsed="false">
      <c r="A55" s="586"/>
      <c r="B55" s="594"/>
      <c r="D55" s="586"/>
      <c r="E55" s="586"/>
    </row>
  </sheetData>
  <mergeCells count="2">
    <mergeCell ref="F1:H2"/>
    <mergeCell ref="A4:A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6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defaultColWidth="8.96875" defaultRowHeight="15" zeroHeight="false" outlineLevelRow="0" outlineLevelCol="0"/>
  <cols>
    <col collapsed="false" customWidth="true" hidden="false" outlineLevel="0" max="1" min="1" style="0" width="34.56"/>
    <col collapsed="false" customWidth="true" hidden="false" outlineLevel="0" max="2" min="2" style="0" width="11.14"/>
    <col collapsed="false" customWidth="true" hidden="false" outlineLevel="0" max="3" min="3" style="0" width="11.56"/>
    <col collapsed="false" customWidth="true" hidden="false" outlineLevel="0" max="5" min="4" style="0" width="10.99"/>
    <col collapsed="false" customWidth="true" hidden="false" outlineLevel="0" max="6" min="6" style="0" width="11.28"/>
    <col collapsed="false" customWidth="true" hidden="false" outlineLevel="0" max="7" min="7" style="0" width="10.7"/>
    <col collapsed="false" customWidth="true" hidden="false" outlineLevel="0" max="8" min="8" style="0" width="10.85"/>
    <col collapsed="false" customWidth="true" hidden="false" outlineLevel="0" max="9" min="9" style="0" width="10.7"/>
    <col collapsed="false" customWidth="true" hidden="false" outlineLevel="0" max="10" min="10" style="0" width="10.99"/>
  </cols>
  <sheetData>
    <row r="1" customFormat="false" ht="19.5" hidden="false" customHeight="true" outlineLevel="0" collapsed="false">
      <c r="A1" s="632" t="s">
        <v>214</v>
      </c>
      <c r="B1" s="633"/>
      <c r="C1" s="54"/>
      <c r="D1" s="54"/>
      <c r="E1" s="54"/>
      <c r="F1" s="634"/>
      <c r="G1" s="634"/>
      <c r="H1" s="634"/>
      <c r="I1" s="634"/>
      <c r="J1" s="54"/>
    </row>
    <row r="2" customFormat="false" ht="17.25" hidden="false" customHeight="false" outlineLevel="0" collapsed="false">
      <c r="A2" s="635" t="s">
        <v>240</v>
      </c>
      <c r="B2" s="636"/>
      <c r="C2" s="54"/>
      <c r="D2" s="54"/>
      <c r="E2" s="54"/>
      <c r="F2" s="54"/>
      <c r="G2" s="54"/>
      <c r="H2" s="54"/>
      <c r="I2" s="54"/>
      <c r="J2" s="54"/>
    </row>
    <row r="3" customFormat="false" ht="17.25" hidden="false" customHeight="false" outlineLevel="0" collapsed="false">
      <c r="A3" s="637" t="s">
        <v>40</v>
      </c>
      <c r="B3" s="53"/>
      <c r="C3" s="54"/>
      <c r="D3" s="54"/>
      <c r="E3" s="54"/>
      <c r="F3" s="54"/>
      <c r="G3" s="54"/>
      <c r="H3" s="54"/>
      <c r="I3" s="54"/>
      <c r="J3" s="54"/>
    </row>
    <row r="4" customFormat="false" ht="19.5" hidden="false" customHeight="true" outlineLevel="0" collapsed="false">
      <c r="A4" s="638" t="s">
        <v>240</v>
      </c>
      <c r="B4" s="639" t="s">
        <v>241</v>
      </c>
      <c r="C4" s="639" t="s">
        <v>90</v>
      </c>
      <c r="D4" s="639" t="s">
        <v>216</v>
      </c>
      <c r="E4" s="639" t="s">
        <v>217</v>
      </c>
      <c r="F4" s="639" t="s">
        <v>218</v>
      </c>
      <c r="G4" s="639" t="s">
        <v>219</v>
      </c>
      <c r="H4" s="639" t="s">
        <v>220</v>
      </c>
      <c r="I4" s="639" t="s">
        <v>221</v>
      </c>
      <c r="J4" s="639" t="s">
        <v>222</v>
      </c>
    </row>
    <row r="5" customFormat="false" ht="12.75" hidden="false" customHeight="true" outlineLevel="0" collapsed="false">
      <c r="A5" s="638"/>
      <c r="B5" s="639" t="s">
        <v>51</v>
      </c>
      <c r="C5" s="639" t="s">
        <v>52</v>
      </c>
      <c r="D5" s="639" t="s">
        <v>53</v>
      </c>
      <c r="E5" s="639" t="s">
        <v>54</v>
      </c>
      <c r="F5" s="639" t="s">
        <v>55</v>
      </c>
      <c r="G5" s="639" t="s">
        <v>56</v>
      </c>
      <c r="H5" s="639" t="s">
        <v>57</v>
      </c>
      <c r="I5" s="639" t="s">
        <v>58</v>
      </c>
      <c r="J5" s="639" t="s">
        <v>59</v>
      </c>
    </row>
    <row r="6" customFormat="false" ht="15.75" hidden="false" customHeight="false" outlineLevel="0" collapsed="false"/>
    <row r="7" customFormat="false" ht="15" hidden="false" customHeight="false" outlineLevel="0" collapsed="false">
      <c r="A7" s="640" t="s">
        <v>242</v>
      </c>
    </row>
    <row r="8" customFormat="false" ht="15" hidden="false" customHeight="false" outlineLevel="0" collapsed="false">
      <c r="A8" s="641" t="s">
        <v>243</v>
      </c>
      <c r="B8" s="642" t="n">
        <f aca="false">SUM(B9:B10)</f>
        <v>9973.3</v>
      </c>
      <c r="C8" s="642" t="n">
        <f aca="false">SUM(C9:C10)</f>
        <v>11392.91</v>
      </c>
      <c r="D8" s="642" t="n">
        <f aca="false">SUM(D9:D10)</f>
        <v>13004.88</v>
      </c>
      <c r="E8" s="642" t="n">
        <f aca="false">SUM(E9:E10)</f>
        <v>14769.63</v>
      </c>
      <c r="F8" s="642" t="n">
        <f aca="false">SUM(F9:F10)</f>
        <v>16571.75</v>
      </c>
      <c r="G8" s="642" t="n">
        <f aca="false">SUM(G9:G10)</f>
        <v>18423.86</v>
      </c>
      <c r="H8" s="642" t="n">
        <f aca="false">SUM(H9:H10)</f>
        <v>20301.02</v>
      </c>
      <c r="I8" s="642" t="n">
        <f aca="false">SUM(I9:I10)</f>
        <v>22203.16</v>
      </c>
      <c r="J8" s="642" t="n">
        <f aca="false">SUM(J9:J10)</f>
        <v>24155.29</v>
      </c>
    </row>
    <row r="9" customFormat="false" ht="21" hidden="false" customHeight="true" outlineLevel="0" collapsed="false">
      <c r="A9" s="643" t="s">
        <v>244</v>
      </c>
      <c r="B9" s="644" t="n">
        <v>845.65</v>
      </c>
      <c r="C9" s="644" t="n">
        <v>845.65</v>
      </c>
      <c r="D9" s="644" t="n">
        <v>845.65</v>
      </c>
      <c r="E9" s="644" t="n">
        <v>1268.48</v>
      </c>
      <c r="F9" s="644" t="n">
        <v>1268.48</v>
      </c>
      <c r="G9" s="644" t="n">
        <v>1268.48</v>
      </c>
      <c r="H9" s="644" t="n">
        <v>1268.48</v>
      </c>
      <c r="I9" s="644" t="n">
        <v>1268.48</v>
      </c>
      <c r="J9" s="644" t="n">
        <v>1268.48</v>
      </c>
    </row>
    <row r="10" customFormat="false" ht="15" hidden="false" customHeight="false" outlineLevel="0" collapsed="false">
      <c r="A10" s="645" t="s">
        <v>245</v>
      </c>
      <c r="B10" s="644" t="n">
        <f aca="false">SUM(B11:B17)</f>
        <v>9127.65</v>
      </c>
      <c r="C10" s="644" t="n">
        <f aca="false">SUM(C11:C17)</f>
        <v>10547.26</v>
      </c>
      <c r="D10" s="644" t="n">
        <f aca="false">SUM(D11:D17)</f>
        <v>12159.23</v>
      </c>
      <c r="E10" s="644" t="n">
        <f aca="false">SUM(E11:E17)</f>
        <v>13501.15</v>
      </c>
      <c r="F10" s="644" t="n">
        <f aca="false">SUM(F11:F17)</f>
        <v>15303.27</v>
      </c>
      <c r="G10" s="644" t="n">
        <f aca="false">SUM(G11:G17)</f>
        <v>17155.38</v>
      </c>
      <c r="H10" s="644" t="n">
        <f aca="false">SUM(H11:H17)</f>
        <v>19032.54</v>
      </c>
      <c r="I10" s="644" t="n">
        <f aca="false">SUM(I11:I17)</f>
        <v>20934.68</v>
      </c>
      <c r="J10" s="644" t="n">
        <f aca="false">SUM(J11:J17)</f>
        <v>22886.81</v>
      </c>
    </row>
    <row r="11" customFormat="false" ht="15" hidden="false" customHeight="false" outlineLevel="0" collapsed="false">
      <c r="A11" s="646" t="s">
        <v>246</v>
      </c>
      <c r="B11" s="647" t="n">
        <v>2.1</v>
      </c>
      <c r="C11" s="647" t="n">
        <v>1.98</v>
      </c>
      <c r="D11" s="647" t="n">
        <v>1.86</v>
      </c>
      <c r="E11" s="648" t="n">
        <v>1.74</v>
      </c>
      <c r="F11" s="648" t="n">
        <v>1.7</v>
      </c>
      <c r="G11" s="648" t="n">
        <v>1.65</v>
      </c>
      <c r="H11" s="648" t="n">
        <v>1.65</v>
      </c>
      <c r="I11" s="648" t="n">
        <v>1.63</v>
      </c>
      <c r="J11" s="648" t="n">
        <v>1.6</v>
      </c>
    </row>
    <row r="12" customFormat="false" ht="15" hidden="false" customHeight="false" outlineLevel="0" collapsed="false">
      <c r="A12" s="646" t="s">
        <v>247</v>
      </c>
      <c r="B12" s="647" t="n">
        <v>0.27</v>
      </c>
      <c r="C12" s="647" t="n">
        <v>0.27</v>
      </c>
      <c r="D12" s="647" t="n">
        <v>0.27</v>
      </c>
      <c r="E12" s="648" t="n">
        <v>0.27</v>
      </c>
      <c r="F12" s="648" t="n">
        <v>0.27</v>
      </c>
      <c r="G12" s="648" t="n">
        <v>0.27</v>
      </c>
      <c r="H12" s="648" t="n">
        <v>0.27</v>
      </c>
      <c r="I12" s="648" t="n">
        <v>0.27</v>
      </c>
      <c r="J12" s="648" t="n">
        <v>0.27</v>
      </c>
    </row>
    <row r="13" customFormat="false" ht="15" hidden="false" customHeight="false" outlineLevel="0" collapsed="false">
      <c r="A13" s="646" t="s">
        <v>248</v>
      </c>
      <c r="B13" s="647" t="n">
        <v>251.31</v>
      </c>
      <c r="C13" s="647" t="n">
        <v>215.1</v>
      </c>
      <c r="D13" s="648" t="n">
        <v>146.48</v>
      </c>
      <c r="E13" s="648" t="n">
        <v>19.11</v>
      </c>
      <c r="F13" s="648" t="n">
        <v>19.11</v>
      </c>
      <c r="G13" s="648" t="n">
        <v>19.11</v>
      </c>
      <c r="H13" s="648" t="n">
        <v>19.11</v>
      </c>
      <c r="I13" s="648" t="n">
        <v>19.11</v>
      </c>
      <c r="J13" s="648" t="n">
        <v>19.11</v>
      </c>
    </row>
    <row r="14" customFormat="false" ht="15" hidden="false" customHeight="false" outlineLevel="0" collapsed="false">
      <c r="A14" s="646" t="s">
        <v>249</v>
      </c>
      <c r="B14" s="647" t="n">
        <v>96.38</v>
      </c>
      <c r="C14" s="647" t="n">
        <v>128.51</v>
      </c>
      <c r="D14" s="648" t="n">
        <v>160.64</v>
      </c>
      <c r="E14" s="648" t="n">
        <v>192.77</v>
      </c>
      <c r="F14" s="648" t="n">
        <v>192.77</v>
      </c>
      <c r="G14" s="648" t="n">
        <v>192.77</v>
      </c>
      <c r="H14" s="648" t="n">
        <v>192.77</v>
      </c>
      <c r="I14" s="648" t="n">
        <v>192.77</v>
      </c>
      <c r="J14" s="648" t="n">
        <v>192.77</v>
      </c>
    </row>
    <row r="15" customFormat="false" ht="15" hidden="false" customHeight="false" outlineLevel="0" collapsed="false">
      <c r="A15" s="646" t="s">
        <v>250</v>
      </c>
      <c r="B15" s="647" t="n">
        <v>-2.33</v>
      </c>
      <c r="C15" s="647" t="n">
        <v>0</v>
      </c>
      <c r="D15" s="648" t="n">
        <v>0</v>
      </c>
      <c r="E15" s="648" t="n">
        <v>0</v>
      </c>
      <c r="F15" s="648" t="n">
        <v>0</v>
      </c>
      <c r="G15" s="648" t="n">
        <v>0</v>
      </c>
      <c r="H15" s="648" t="n">
        <v>0</v>
      </c>
      <c r="I15" s="648" t="n">
        <v>0</v>
      </c>
      <c r="J15" s="648" t="n">
        <v>0</v>
      </c>
    </row>
    <row r="16" customFormat="false" ht="15" hidden="false" customHeight="false" outlineLevel="0" collapsed="false">
      <c r="A16" s="646" t="s">
        <v>251</v>
      </c>
      <c r="B16" s="647" t="n">
        <v>1409.49</v>
      </c>
      <c r="C16" s="647" t="n">
        <v>1684.37</v>
      </c>
      <c r="D16" s="648" t="n">
        <v>2013.14</v>
      </c>
      <c r="E16" s="648" t="n">
        <v>1997.68</v>
      </c>
      <c r="F16" s="648" t="n">
        <v>2347.68</v>
      </c>
      <c r="G16" s="648" t="n">
        <v>2747.68</v>
      </c>
      <c r="H16" s="648" t="n">
        <v>3172.68</v>
      </c>
      <c r="I16" s="648" t="n">
        <v>3622.68</v>
      </c>
      <c r="J16" s="648" t="n">
        <v>4122.68</v>
      </c>
    </row>
    <row r="17" customFormat="false" ht="15" hidden="false" customHeight="false" outlineLevel="0" collapsed="false">
      <c r="A17" s="646" t="s">
        <v>252</v>
      </c>
      <c r="B17" s="647" t="n">
        <v>7370.43</v>
      </c>
      <c r="C17" s="647" t="n">
        <v>8517.03</v>
      </c>
      <c r="D17" s="648" t="n">
        <v>9836.84</v>
      </c>
      <c r="E17" s="648" t="n">
        <v>11289.58</v>
      </c>
      <c r="F17" s="648" t="n">
        <v>12741.74</v>
      </c>
      <c r="G17" s="648" t="n">
        <v>14193.9</v>
      </c>
      <c r="H17" s="648" t="n">
        <v>15646.06</v>
      </c>
      <c r="I17" s="648" t="n">
        <v>17098.22</v>
      </c>
      <c r="J17" s="648" t="n">
        <v>18550.38</v>
      </c>
    </row>
    <row r="18" s="85" customFormat="true" ht="15" hidden="false" customHeight="false" outlineLevel="0" collapsed="false">
      <c r="A18" s="649"/>
      <c r="B18" s="650"/>
      <c r="C18" s="650"/>
      <c r="D18" s="650"/>
      <c r="E18" s="650"/>
      <c r="F18" s="650"/>
      <c r="G18" s="650"/>
      <c r="H18" s="650"/>
      <c r="I18" s="650"/>
      <c r="J18" s="650"/>
    </row>
    <row r="19" s="85" customFormat="true" ht="15" hidden="false" customHeight="false" outlineLevel="0" collapsed="false">
      <c r="A19" s="641" t="s">
        <v>253</v>
      </c>
      <c r="B19" s="642" t="n">
        <f aca="false">SUM(B20:B21)</f>
        <v>1916.56</v>
      </c>
      <c r="C19" s="642" t="n">
        <f aca="false">SUM(C20:C21)</f>
        <v>1337.85</v>
      </c>
      <c r="D19" s="642" t="n">
        <f aca="false">SUM(D20:D21)</f>
        <v>1265.87</v>
      </c>
      <c r="E19" s="642" t="n">
        <f aca="false">SUM(E20:E21)</f>
        <v>1200.13</v>
      </c>
      <c r="F19" s="642" t="n">
        <f aca="false">SUM(F20:F21)</f>
        <v>1186.33</v>
      </c>
      <c r="G19" s="642" t="n">
        <f aca="false">SUM(G20:G21)</f>
        <v>1172.34</v>
      </c>
      <c r="H19" s="642" t="n">
        <f aca="false">SUM(H20:H21)</f>
        <v>1154.36</v>
      </c>
      <c r="I19" s="642" t="n">
        <f aca="false">SUM(I20:I21)</f>
        <v>1141.82</v>
      </c>
      <c r="J19" s="642" t="n">
        <f aca="false">SUM(J20:J21)</f>
        <v>1136.24</v>
      </c>
      <c r="K19" s="0"/>
      <c r="L19" s="0"/>
      <c r="M19" s="0"/>
      <c r="N19" s="0"/>
      <c r="O19" s="0"/>
      <c r="P19" s="0"/>
      <c r="Q19" s="0"/>
      <c r="R19" s="0"/>
      <c r="S19" s="0"/>
      <c r="T19" s="0"/>
      <c r="U19" s="0"/>
      <c r="V19" s="0"/>
      <c r="W19" s="0"/>
      <c r="X19" s="0"/>
      <c r="Y19" s="0"/>
      <c r="Z19" s="0"/>
      <c r="AA19" s="0"/>
      <c r="AB19" s="0"/>
      <c r="AC19" s="0"/>
      <c r="AD19" s="0"/>
    </row>
    <row r="20" s="85" customFormat="true" ht="15" hidden="false" customHeight="false" outlineLevel="0" collapsed="false">
      <c r="A20" s="651" t="s">
        <v>254</v>
      </c>
      <c r="B20" s="647" t="n">
        <v>1600</v>
      </c>
      <c r="C20" s="647" t="n">
        <v>1100</v>
      </c>
      <c r="D20" s="648" t="n">
        <v>1100</v>
      </c>
      <c r="E20" s="648" t="n">
        <v>1100</v>
      </c>
      <c r="F20" s="648" t="n">
        <v>1100</v>
      </c>
      <c r="G20" s="648" t="n">
        <v>1100</v>
      </c>
      <c r="H20" s="648" t="n">
        <v>1100</v>
      </c>
      <c r="I20" s="648" t="n">
        <v>1100</v>
      </c>
      <c r="J20" s="648" t="n">
        <v>1100</v>
      </c>
      <c r="K20" s="0"/>
      <c r="L20" s="0"/>
      <c r="M20" s="0"/>
      <c r="N20" s="0"/>
      <c r="O20" s="0"/>
      <c r="P20" s="0"/>
      <c r="Q20" s="0"/>
      <c r="R20" s="0"/>
      <c r="S20" s="0"/>
      <c r="T20" s="0"/>
      <c r="U20" s="0"/>
      <c r="V20" s="0"/>
      <c r="W20" s="0"/>
      <c r="X20" s="0"/>
      <c r="Y20" s="0"/>
      <c r="Z20" s="0"/>
      <c r="AA20" s="0"/>
      <c r="AB20" s="0"/>
      <c r="AC20" s="0"/>
      <c r="AD20" s="0"/>
    </row>
    <row r="21" s="85" customFormat="true" ht="15" hidden="false" customHeight="false" outlineLevel="0" collapsed="false">
      <c r="A21" s="651" t="s">
        <v>255</v>
      </c>
      <c r="B21" s="647" t="n">
        <v>316.56</v>
      </c>
      <c r="C21" s="647" t="n">
        <v>237.85</v>
      </c>
      <c r="D21" s="648" t="n">
        <v>165.87</v>
      </c>
      <c r="E21" s="648" t="n">
        <v>100.13</v>
      </c>
      <c r="F21" s="648" t="n">
        <v>86.33</v>
      </c>
      <c r="G21" s="648" t="n">
        <v>72.34</v>
      </c>
      <c r="H21" s="648" t="n">
        <v>54.36</v>
      </c>
      <c r="I21" s="648" t="n">
        <v>41.82</v>
      </c>
      <c r="J21" s="648" t="n">
        <v>36.24</v>
      </c>
      <c r="K21" s="0"/>
      <c r="L21" s="0"/>
      <c r="M21" s="0"/>
      <c r="N21" s="0"/>
      <c r="O21" s="0"/>
      <c r="P21" s="0"/>
      <c r="Q21" s="0"/>
      <c r="R21" s="0"/>
      <c r="S21" s="0"/>
      <c r="T21" s="0"/>
      <c r="U21" s="0"/>
      <c r="V21" s="0"/>
      <c r="W21" s="0"/>
      <c r="X21" s="0"/>
      <c r="Y21" s="0"/>
      <c r="Z21" s="0"/>
      <c r="AA21" s="0"/>
      <c r="AB21" s="0"/>
      <c r="AC21" s="0"/>
      <c r="AD21" s="0"/>
    </row>
    <row r="22" s="85" customFormat="true" ht="15" hidden="false" customHeight="false" outlineLevel="0" collapsed="false">
      <c r="A22" s="649"/>
      <c r="B22" s="412"/>
      <c r="C22" s="412"/>
      <c r="D22" s="412"/>
      <c r="E22" s="412"/>
      <c r="F22" s="412"/>
      <c r="G22" s="412"/>
      <c r="H22" s="412"/>
      <c r="I22" s="412"/>
      <c r="J22" s="412"/>
    </row>
    <row r="23" s="85" customFormat="true" ht="15" hidden="false" customHeight="false" outlineLevel="0" collapsed="false">
      <c r="A23" s="652" t="s">
        <v>256</v>
      </c>
      <c r="B23" s="644" t="n">
        <v>1299.7</v>
      </c>
      <c r="C23" s="644" t="n">
        <v>1318.67</v>
      </c>
      <c r="D23" s="644" t="n">
        <v>1319.69</v>
      </c>
      <c r="E23" s="644" t="n">
        <v>1325.93</v>
      </c>
      <c r="F23" s="644" t="n">
        <v>1327.87</v>
      </c>
      <c r="G23" s="644" t="n">
        <v>1333.54</v>
      </c>
      <c r="H23" s="644" t="n">
        <v>1341.86</v>
      </c>
      <c r="I23" s="644" t="n">
        <v>1351.67</v>
      </c>
      <c r="J23" s="644" t="n">
        <v>1363.51</v>
      </c>
      <c r="K23" s="0"/>
      <c r="L23" s="0"/>
      <c r="M23" s="0"/>
      <c r="N23" s="0"/>
      <c r="O23" s="0"/>
      <c r="P23" s="0"/>
      <c r="Q23" s="0"/>
      <c r="R23" s="0"/>
      <c r="S23" s="0"/>
      <c r="T23" s="0"/>
      <c r="U23" s="0"/>
      <c r="V23" s="0"/>
      <c r="W23" s="0"/>
      <c r="X23" s="0"/>
      <c r="Y23" s="0"/>
      <c r="Z23" s="0"/>
      <c r="AA23" s="0"/>
      <c r="AB23" s="0"/>
      <c r="AC23" s="0"/>
      <c r="AD23" s="0"/>
    </row>
    <row r="24" s="85" customFormat="true" ht="15" hidden="false" customHeight="false" outlineLevel="0" collapsed="false">
      <c r="A24" s="653" t="s">
        <v>257</v>
      </c>
      <c r="B24" s="654" t="n">
        <f aca="false">B9+B10+B19+B23</f>
        <v>13189.56</v>
      </c>
      <c r="C24" s="654" t="n">
        <f aca="false">C9+C10+C19+C23</f>
        <v>14049.43</v>
      </c>
      <c r="D24" s="654" t="n">
        <f aca="false">D9+D10+D19+D23</f>
        <v>15590.44</v>
      </c>
      <c r="E24" s="654" t="n">
        <f aca="false">E9+E10+E19+E23</f>
        <v>17295.69</v>
      </c>
      <c r="F24" s="654" t="n">
        <f aca="false">F9+F10+F19+F23</f>
        <v>19085.95</v>
      </c>
      <c r="G24" s="654" t="n">
        <f aca="false">G9+G10+G19+G23</f>
        <v>20929.74</v>
      </c>
      <c r="H24" s="654" t="n">
        <f aca="false">H9+H10+H19+H23</f>
        <v>22797.24</v>
      </c>
      <c r="I24" s="654" t="n">
        <f aca="false">I9+I10+I19+I23</f>
        <v>24696.65</v>
      </c>
      <c r="J24" s="654" t="n">
        <f aca="false">J9+J10+J19+J23</f>
        <v>26655.04</v>
      </c>
    </row>
    <row r="25" s="85" customFormat="true" ht="15.75" hidden="false" customHeight="false" outlineLevel="0" collapsed="false">
      <c r="A25" s="655"/>
      <c r="B25" s="656"/>
      <c r="C25" s="656"/>
      <c r="D25" s="656"/>
      <c r="E25" s="656"/>
      <c r="F25" s="656"/>
      <c r="G25" s="656"/>
      <c r="H25" s="656"/>
      <c r="I25" s="656"/>
      <c r="J25" s="656"/>
      <c r="K25" s="0"/>
      <c r="L25" s="0"/>
      <c r="M25" s="0"/>
      <c r="N25" s="0"/>
      <c r="O25" s="0"/>
      <c r="P25" s="0"/>
      <c r="Q25" s="0"/>
      <c r="R25" s="0"/>
      <c r="S25" s="0"/>
      <c r="T25" s="0"/>
      <c r="U25" s="0"/>
      <c r="V25" s="0"/>
      <c r="W25" s="0"/>
      <c r="X25" s="0"/>
      <c r="Y25" s="0"/>
      <c r="Z25" s="0"/>
      <c r="AA25" s="0"/>
      <c r="AB25" s="0"/>
      <c r="AC25" s="0"/>
      <c r="AD25" s="0"/>
    </row>
    <row r="26" s="85" customFormat="true" ht="15" hidden="false" customHeight="false" outlineLevel="0" collapsed="false">
      <c r="A26" s="657" t="s">
        <v>258</v>
      </c>
      <c r="B26" s="656"/>
      <c r="C26" s="656"/>
      <c r="D26" s="656"/>
      <c r="E26" s="656"/>
      <c r="F26" s="656"/>
      <c r="G26" s="656"/>
      <c r="H26" s="656"/>
      <c r="I26" s="656"/>
      <c r="J26" s="656"/>
      <c r="K26" s="0"/>
      <c r="L26" s="0"/>
      <c r="M26" s="0"/>
      <c r="N26" s="0"/>
      <c r="O26" s="0"/>
      <c r="P26" s="0"/>
      <c r="Q26" s="0"/>
      <c r="R26" s="0"/>
      <c r="S26" s="0"/>
      <c r="T26" s="0"/>
      <c r="U26" s="0"/>
      <c r="V26" s="0"/>
      <c r="W26" s="0"/>
      <c r="X26" s="0"/>
      <c r="Y26" s="0"/>
      <c r="Z26" s="0"/>
      <c r="AA26" s="0"/>
      <c r="AB26" s="0"/>
      <c r="AC26" s="0"/>
      <c r="AD26" s="0"/>
    </row>
    <row r="27" s="85" customFormat="true" ht="15" hidden="false" customHeight="false" outlineLevel="0" collapsed="false">
      <c r="A27" s="641" t="s">
        <v>259</v>
      </c>
      <c r="B27" s="642" t="n">
        <f aca="false">SUM(B30:B31)</f>
        <v>8171.55</v>
      </c>
      <c r="C27" s="642" t="n">
        <f aca="false">SUM(C30:C31)</f>
        <v>9391.31</v>
      </c>
      <c r="D27" s="642" t="n">
        <f aca="false">SUM(D30:D31)</f>
        <v>9749.95</v>
      </c>
      <c r="E27" s="642" t="n">
        <f aca="false">SUM(E30:E31)</f>
        <v>11476.65</v>
      </c>
      <c r="F27" s="642" t="n">
        <f aca="false">SUM(F30:F31)</f>
        <v>13535.77</v>
      </c>
      <c r="G27" s="642" t="n">
        <f aca="false">SUM(G30:G31)</f>
        <v>13157.92</v>
      </c>
      <c r="H27" s="642" t="n">
        <f aca="false">SUM(H30:H31)</f>
        <v>16073.08</v>
      </c>
      <c r="I27" s="642" t="n">
        <f aca="false">SUM(I30:I31)</f>
        <v>16853.66</v>
      </c>
      <c r="J27" s="642" t="n">
        <f aca="false">SUM(J30:J31)</f>
        <v>18982.47</v>
      </c>
      <c r="K27" s="0"/>
      <c r="L27" s="0"/>
      <c r="M27" s="0"/>
      <c r="N27" s="0"/>
      <c r="O27" s="0"/>
      <c r="P27" s="0"/>
      <c r="Q27" s="0"/>
      <c r="R27" s="0"/>
      <c r="S27" s="0"/>
      <c r="T27" s="0"/>
      <c r="U27" s="0"/>
      <c r="V27" s="0"/>
      <c r="W27" s="0"/>
      <c r="X27" s="0"/>
      <c r="Y27" s="0"/>
      <c r="Z27" s="0"/>
      <c r="AA27" s="0"/>
      <c r="AB27" s="0"/>
      <c r="AC27" s="0"/>
      <c r="AD27" s="0"/>
    </row>
    <row r="28" s="85" customFormat="true" ht="15" hidden="false" customHeight="false" outlineLevel="0" collapsed="false">
      <c r="A28" s="651" t="s">
        <v>260</v>
      </c>
      <c r="B28" s="656" t="n">
        <v>14469.48</v>
      </c>
      <c r="C28" s="656" t="n">
        <v>14932.56</v>
      </c>
      <c r="D28" s="656" t="n">
        <v>16957.86</v>
      </c>
      <c r="E28" s="656" t="n">
        <v>17603.98</v>
      </c>
      <c r="F28" s="656" t="n">
        <v>18850.98</v>
      </c>
      <c r="G28" s="656" t="n">
        <v>19850.77</v>
      </c>
      <c r="H28" s="656" t="n">
        <v>20977.16</v>
      </c>
      <c r="I28" s="656" t="n">
        <v>21301.43</v>
      </c>
      <c r="J28" s="656" t="n">
        <v>22623.13</v>
      </c>
      <c r="K28" s="0"/>
      <c r="L28" s="0"/>
      <c r="M28" s="0"/>
      <c r="N28" s="0"/>
      <c r="O28" s="0"/>
      <c r="P28" s="0"/>
      <c r="Q28" s="0"/>
      <c r="R28" s="0"/>
      <c r="S28" s="0"/>
      <c r="T28" s="0"/>
      <c r="U28" s="0"/>
      <c r="V28" s="0"/>
      <c r="W28" s="0"/>
      <c r="X28" s="0"/>
      <c r="Y28" s="0"/>
      <c r="Z28" s="0"/>
      <c r="AA28" s="0"/>
      <c r="AB28" s="0"/>
      <c r="AC28" s="0"/>
      <c r="AD28" s="0"/>
    </row>
    <row r="29" s="85" customFormat="true" ht="15" hidden="false" customHeight="false" outlineLevel="0" collapsed="false">
      <c r="A29" s="651" t="s">
        <v>261</v>
      </c>
      <c r="B29" s="656" t="n">
        <v>6913.52</v>
      </c>
      <c r="C29" s="656" t="n">
        <v>7478.19</v>
      </c>
      <c r="D29" s="656" t="n">
        <v>8024.57</v>
      </c>
      <c r="E29" s="656" t="n">
        <v>8553.66</v>
      </c>
      <c r="F29" s="656" t="n">
        <v>9062.89</v>
      </c>
      <c r="G29" s="656" t="n">
        <v>9555.53</v>
      </c>
      <c r="H29" s="656" t="n">
        <v>10041.85</v>
      </c>
      <c r="I29" s="656" t="n">
        <v>10507.54</v>
      </c>
      <c r="J29" s="656" t="n">
        <v>10955.43</v>
      </c>
      <c r="K29" s="0"/>
      <c r="L29" s="0"/>
      <c r="M29" s="0"/>
      <c r="N29" s="0"/>
      <c r="O29" s="0"/>
      <c r="P29" s="0"/>
      <c r="Q29" s="0"/>
      <c r="R29" s="0"/>
      <c r="S29" s="0"/>
      <c r="T29" s="0"/>
      <c r="U29" s="0"/>
      <c r="V29" s="0"/>
      <c r="W29" s="0"/>
      <c r="X29" s="0"/>
      <c r="Y29" s="0"/>
      <c r="Z29" s="0"/>
      <c r="AA29" s="0"/>
      <c r="AB29" s="0"/>
      <c r="AC29" s="0"/>
      <c r="AD29" s="0"/>
    </row>
    <row r="30" s="85" customFormat="true" ht="15" hidden="false" customHeight="false" outlineLevel="0" collapsed="false">
      <c r="A30" s="649" t="s">
        <v>262</v>
      </c>
      <c r="B30" s="658" t="n">
        <f aca="false">B28-B29</f>
        <v>7555.96</v>
      </c>
      <c r="C30" s="658" t="n">
        <f aca="false">C28-C29</f>
        <v>7454.37</v>
      </c>
      <c r="D30" s="658" t="n">
        <f aca="false">D28-D29</f>
        <v>8933.29</v>
      </c>
      <c r="E30" s="658" t="n">
        <f aca="false">E28-E29</f>
        <v>9050.32</v>
      </c>
      <c r="F30" s="658" t="n">
        <f aca="false">F28-F29</f>
        <v>9788.09</v>
      </c>
      <c r="G30" s="658" t="n">
        <f aca="false">G28-G29</f>
        <v>10295.24</v>
      </c>
      <c r="H30" s="658" t="n">
        <f aca="false">H28-H29</f>
        <v>10935.31</v>
      </c>
      <c r="I30" s="658" t="n">
        <f aca="false">I28-I29</f>
        <v>10793.89</v>
      </c>
      <c r="J30" s="658" t="n">
        <f aca="false">J28-J29</f>
        <v>11667.7</v>
      </c>
      <c r="K30" s="0"/>
      <c r="L30" s="0"/>
      <c r="M30" s="0"/>
      <c r="N30" s="0"/>
      <c r="O30" s="0"/>
      <c r="P30" s="0"/>
      <c r="Q30" s="0"/>
      <c r="R30" s="0"/>
      <c r="S30" s="0"/>
      <c r="T30" s="0"/>
      <c r="U30" s="0"/>
      <c r="V30" s="0"/>
      <c r="W30" s="0"/>
      <c r="X30" s="0"/>
      <c r="Y30" s="0"/>
      <c r="Z30" s="0"/>
      <c r="AA30" s="0"/>
      <c r="AB30" s="0"/>
      <c r="AC30" s="0"/>
      <c r="AD30" s="0"/>
    </row>
    <row r="31" s="85" customFormat="true" ht="15" hidden="false" customHeight="false" outlineLevel="0" collapsed="false">
      <c r="A31" s="651" t="s">
        <v>263</v>
      </c>
      <c r="B31" s="648" t="n">
        <v>615.59</v>
      </c>
      <c r="C31" s="656" t="n">
        <v>1936.94</v>
      </c>
      <c r="D31" s="656" t="n">
        <v>816.66</v>
      </c>
      <c r="E31" s="656" t="n">
        <v>2426.33</v>
      </c>
      <c r="F31" s="656" t="n">
        <v>3747.68</v>
      </c>
      <c r="G31" s="656" t="n">
        <v>2862.68</v>
      </c>
      <c r="H31" s="656" t="n">
        <v>5137.77</v>
      </c>
      <c r="I31" s="656" t="n">
        <v>6059.77</v>
      </c>
      <c r="J31" s="656" t="n">
        <v>7314.77</v>
      </c>
      <c r="K31" s="0"/>
      <c r="L31" s="0"/>
      <c r="M31" s="0"/>
      <c r="N31" s="0"/>
      <c r="O31" s="0"/>
      <c r="P31" s="0"/>
      <c r="Q31" s="0"/>
      <c r="R31" s="0"/>
      <c r="S31" s="0"/>
      <c r="T31" s="0"/>
      <c r="U31" s="0"/>
      <c r="V31" s="0"/>
      <c r="W31" s="0"/>
      <c r="X31" s="0"/>
      <c r="Y31" s="0"/>
      <c r="Z31" s="0"/>
      <c r="AA31" s="0"/>
      <c r="AB31" s="0"/>
      <c r="AC31" s="0"/>
      <c r="AD31" s="0"/>
    </row>
    <row r="32" s="85" customFormat="true" ht="15" hidden="false" customHeight="false" outlineLevel="0" collapsed="false">
      <c r="A32" s="649"/>
      <c r="B32" s="658"/>
      <c r="C32" s="658"/>
      <c r="D32" s="658"/>
      <c r="E32" s="658"/>
      <c r="F32" s="658"/>
      <c r="G32" s="658"/>
      <c r="H32" s="658"/>
      <c r="I32" s="658"/>
      <c r="J32" s="658"/>
    </row>
    <row r="33" s="85" customFormat="true" ht="15" hidden="false" customHeight="false" outlineLevel="0" collapsed="false">
      <c r="A33" s="641" t="s">
        <v>264</v>
      </c>
      <c r="B33" s="642" t="n">
        <v>927.57</v>
      </c>
      <c r="C33" s="642" t="n">
        <v>1441.05</v>
      </c>
      <c r="D33" s="642" t="n">
        <v>1441.09</v>
      </c>
      <c r="E33" s="642" t="n">
        <v>1437.52</v>
      </c>
      <c r="F33" s="642" t="n">
        <v>1540.88</v>
      </c>
      <c r="G33" s="642" t="n">
        <v>1623.35</v>
      </c>
      <c r="H33" s="642" t="n">
        <v>1688.45</v>
      </c>
      <c r="I33" s="642" t="n">
        <v>1744.54</v>
      </c>
      <c r="J33" s="642" t="n">
        <v>1828.77</v>
      </c>
      <c r="K33" s="0"/>
      <c r="L33" s="0"/>
      <c r="M33" s="0"/>
      <c r="N33" s="0"/>
      <c r="O33" s="0"/>
      <c r="P33" s="0"/>
      <c r="Q33" s="0"/>
      <c r="R33" s="0"/>
      <c r="S33" s="0"/>
      <c r="T33" s="0"/>
      <c r="U33" s="0"/>
      <c r="V33" s="0"/>
      <c r="W33" s="0"/>
      <c r="X33" s="0"/>
      <c r="Y33" s="0"/>
      <c r="Z33" s="0"/>
      <c r="AA33" s="0"/>
      <c r="AB33" s="0"/>
      <c r="AC33" s="0"/>
      <c r="AD33" s="0"/>
    </row>
    <row r="34" s="85" customFormat="true" ht="15" hidden="false" customHeight="false" outlineLevel="0" collapsed="false">
      <c r="A34" s="643" t="s">
        <v>265</v>
      </c>
      <c r="B34" s="642" t="n">
        <v>515.79</v>
      </c>
      <c r="C34" s="642" t="n">
        <v>22.79</v>
      </c>
      <c r="D34" s="642" t="n">
        <v>49.79</v>
      </c>
      <c r="E34" s="642" t="n">
        <v>299.75</v>
      </c>
      <c r="F34" s="642" t="n">
        <v>50.8</v>
      </c>
      <c r="G34" s="642" t="n">
        <v>235.98</v>
      </c>
      <c r="H34" s="642" t="n">
        <v>435</v>
      </c>
      <c r="I34" s="642" t="n">
        <v>33.45</v>
      </c>
      <c r="J34" s="642" t="n">
        <v>480</v>
      </c>
      <c r="K34" s="0"/>
      <c r="L34" s="0"/>
      <c r="M34" s="0"/>
      <c r="N34" s="0"/>
      <c r="O34" s="0"/>
      <c r="P34" s="0"/>
      <c r="Q34" s="0"/>
      <c r="R34" s="0"/>
      <c r="S34" s="0"/>
      <c r="T34" s="0"/>
      <c r="U34" s="0"/>
      <c r="V34" s="0"/>
      <c r="W34" s="0"/>
      <c r="X34" s="0"/>
      <c r="Y34" s="0"/>
      <c r="Z34" s="0"/>
      <c r="AA34" s="0"/>
      <c r="AB34" s="0"/>
      <c r="AC34" s="0"/>
      <c r="AD34" s="0"/>
    </row>
    <row r="35" s="85" customFormat="true" ht="15" hidden="false" customHeight="false" outlineLevel="0" collapsed="false">
      <c r="A35" s="649"/>
      <c r="B35" s="412"/>
      <c r="C35" s="412"/>
      <c r="D35" s="412"/>
      <c r="E35" s="412"/>
      <c r="F35" s="412"/>
      <c r="G35" s="412"/>
      <c r="H35" s="412"/>
      <c r="I35" s="412"/>
      <c r="J35" s="412"/>
    </row>
    <row r="36" s="85" customFormat="true" ht="30.75" hidden="false" customHeight="true" outlineLevel="0" collapsed="false">
      <c r="A36" s="659" t="s">
        <v>266</v>
      </c>
      <c r="B36" s="652" t="n">
        <f aca="false">SUM(B37:B41)</f>
        <v>12288.64</v>
      </c>
      <c r="C36" s="652" t="n">
        <f aca="false">SUM(C37:C41)</f>
        <v>7745.51</v>
      </c>
      <c r="D36" s="652" t="n">
        <f aca="false">SUM(D37:D41)</f>
        <v>10410.02</v>
      </c>
      <c r="E36" s="652" t="n">
        <f aca="false">SUM(E37:E41)</f>
        <v>12236.54</v>
      </c>
      <c r="F36" s="652" t="n">
        <f aca="false">SUM(F37:F41)</f>
        <v>12456.66</v>
      </c>
      <c r="G36" s="652" t="n">
        <f aca="false">SUM(G37:G41)</f>
        <v>12135.32</v>
      </c>
      <c r="H36" s="652" t="n">
        <f aca="false">SUM(H37:H41)</f>
        <v>11435.87</v>
      </c>
      <c r="I36" s="652" t="n">
        <f aca="false">SUM(I37:I41)</f>
        <v>12345.34</v>
      </c>
      <c r="J36" s="652" t="n">
        <f aca="false">SUM(J37:J41)</f>
        <v>12675.57</v>
      </c>
      <c r="K36" s="0"/>
      <c r="L36" s="0"/>
      <c r="M36" s="0"/>
      <c r="N36" s="0"/>
      <c r="O36" s="0"/>
      <c r="P36" s="0"/>
      <c r="Q36" s="0"/>
      <c r="R36" s="0"/>
      <c r="S36" s="0"/>
      <c r="T36" s="0"/>
      <c r="U36" s="0"/>
      <c r="V36" s="0"/>
      <c r="W36" s="0"/>
      <c r="X36" s="0"/>
      <c r="Y36" s="0"/>
      <c r="Z36" s="0"/>
      <c r="AA36" s="0"/>
      <c r="AB36" s="0"/>
      <c r="AC36" s="0"/>
      <c r="AD36" s="0"/>
    </row>
    <row r="37" s="85" customFormat="true" ht="15" hidden="false" customHeight="false" outlineLevel="0" collapsed="false">
      <c r="A37" s="646" t="s">
        <v>267</v>
      </c>
      <c r="B37" s="660" t="n">
        <v>483.19</v>
      </c>
      <c r="C37" s="660" t="n">
        <v>552.36</v>
      </c>
      <c r="D37" s="660" t="n">
        <v>569.81</v>
      </c>
      <c r="E37" s="660" t="n">
        <v>601.41</v>
      </c>
      <c r="F37" s="661" t="n">
        <v>632.45</v>
      </c>
      <c r="G37" s="661" t="n">
        <v>656.67</v>
      </c>
      <c r="H37" s="661" t="n">
        <v>685.55</v>
      </c>
      <c r="I37" s="661" t="n">
        <v>715.65</v>
      </c>
      <c r="J37" s="661" t="n">
        <v>740.99</v>
      </c>
      <c r="K37" s="0"/>
      <c r="L37" s="0"/>
      <c r="M37" s="0"/>
      <c r="N37" s="0"/>
      <c r="O37" s="0"/>
      <c r="P37" s="0"/>
      <c r="Q37" s="0"/>
      <c r="R37" s="0"/>
      <c r="S37" s="0"/>
      <c r="T37" s="0"/>
      <c r="U37" s="0"/>
      <c r="V37" s="0"/>
      <c r="W37" s="0"/>
      <c r="X37" s="0"/>
      <c r="Y37" s="0"/>
      <c r="Z37" s="0"/>
      <c r="AA37" s="0"/>
      <c r="AB37" s="0"/>
      <c r="AC37" s="0"/>
      <c r="AD37" s="0"/>
    </row>
    <row r="38" s="85" customFormat="true" ht="15" hidden="false" customHeight="false" outlineLevel="0" collapsed="false">
      <c r="A38" s="646" t="s">
        <v>268</v>
      </c>
      <c r="B38" s="400" t="n">
        <v>753.47</v>
      </c>
      <c r="C38" s="400" t="n">
        <v>790.71</v>
      </c>
      <c r="D38" s="660" t="n">
        <v>1073.54</v>
      </c>
      <c r="E38" s="660" t="n">
        <v>1503.34</v>
      </c>
      <c r="F38" s="661" t="n">
        <v>1828.76</v>
      </c>
      <c r="G38" s="661" t="n">
        <v>2135.56</v>
      </c>
      <c r="H38" s="661" t="n">
        <v>2465</v>
      </c>
      <c r="I38" s="661" t="n">
        <v>2667.78</v>
      </c>
      <c r="J38" s="661" t="n">
        <v>2989.97</v>
      </c>
      <c r="K38" s="0"/>
      <c r="L38" s="0"/>
      <c r="M38" s="0"/>
      <c r="N38" s="0"/>
      <c r="O38" s="0"/>
      <c r="P38" s="0"/>
      <c r="Q38" s="0"/>
      <c r="R38" s="0"/>
      <c r="S38" s="0"/>
      <c r="T38" s="0"/>
      <c r="U38" s="0"/>
      <c r="V38" s="0"/>
      <c r="W38" s="0"/>
      <c r="X38" s="0"/>
      <c r="Y38" s="0"/>
      <c r="Z38" s="0"/>
      <c r="AA38" s="0"/>
      <c r="AB38" s="0"/>
      <c r="AC38" s="0"/>
      <c r="AD38" s="0"/>
    </row>
    <row r="39" s="85" customFormat="true" ht="15" hidden="false" customHeight="false" outlineLevel="0" collapsed="false">
      <c r="A39" s="646" t="s">
        <v>181</v>
      </c>
      <c r="B39" s="400" t="n">
        <v>4495.94</v>
      </c>
      <c r="C39" s="400" t="n">
        <v>2660.41</v>
      </c>
      <c r="D39" s="660" t="n">
        <v>4472.99</v>
      </c>
      <c r="E39" s="660" t="n">
        <v>3456.15</v>
      </c>
      <c r="F39" s="661" t="n">
        <v>3500.76</v>
      </c>
      <c r="G39" s="661" t="n">
        <v>3657.75</v>
      </c>
      <c r="H39" s="661" t="n">
        <v>3699</v>
      </c>
      <c r="I39" s="661" t="n">
        <v>3734</v>
      </c>
      <c r="J39" s="661" t="n">
        <v>3800</v>
      </c>
      <c r="K39" s="0"/>
      <c r="L39" s="0"/>
      <c r="M39" s="0"/>
      <c r="N39" s="0"/>
      <c r="O39" s="0"/>
      <c r="P39" s="0"/>
      <c r="Q39" s="0"/>
      <c r="R39" s="0"/>
      <c r="S39" s="0"/>
      <c r="T39" s="0"/>
      <c r="U39" s="0"/>
      <c r="V39" s="0"/>
      <c r="W39" s="0"/>
      <c r="X39" s="0"/>
      <c r="Y39" s="0"/>
      <c r="Z39" s="0"/>
      <c r="AA39" s="0"/>
      <c r="AB39" s="0"/>
      <c r="AC39" s="0"/>
      <c r="AD39" s="0"/>
    </row>
    <row r="40" s="85" customFormat="true" ht="15" hidden="false" customHeight="false" outlineLevel="0" collapsed="false">
      <c r="A40" s="646" t="s">
        <v>269</v>
      </c>
      <c r="B40" s="400" t="n">
        <v>39.65</v>
      </c>
      <c r="C40" s="400" t="n">
        <v>31.67</v>
      </c>
      <c r="D40" s="660" t="n">
        <v>56.82</v>
      </c>
      <c r="E40" s="660" t="n">
        <v>54.63</v>
      </c>
      <c r="F40" s="661" t="n">
        <v>58.87</v>
      </c>
      <c r="G40" s="661" t="n">
        <v>61.98</v>
      </c>
      <c r="H40" s="661" t="n">
        <v>64.65</v>
      </c>
      <c r="I40" s="661" t="n">
        <v>66.67</v>
      </c>
      <c r="J40" s="661" t="n">
        <v>68.88</v>
      </c>
      <c r="K40" s="0"/>
      <c r="L40" s="0"/>
      <c r="M40" s="0"/>
      <c r="N40" s="0"/>
      <c r="O40" s="0"/>
      <c r="P40" s="0"/>
      <c r="Q40" s="0"/>
      <c r="R40" s="0"/>
      <c r="S40" s="0"/>
      <c r="T40" s="0"/>
      <c r="U40" s="0"/>
      <c r="V40" s="0"/>
      <c r="W40" s="0"/>
      <c r="X40" s="0"/>
      <c r="Y40" s="0"/>
      <c r="Z40" s="0"/>
      <c r="AA40" s="0"/>
      <c r="AB40" s="0"/>
      <c r="AC40" s="0"/>
      <c r="AD40" s="0"/>
    </row>
    <row r="41" s="85" customFormat="true" ht="15" hidden="false" customHeight="false" outlineLevel="0" collapsed="false">
      <c r="A41" s="646" t="s">
        <v>270</v>
      </c>
      <c r="B41" s="400" t="n">
        <v>6516.39</v>
      </c>
      <c r="C41" s="400" t="n">
        <v>3710.36</v>
      </c>
      <c r="D41" s="660" t="n">
        <v>4236.86</v>
      </c>
      <c r="E41" s="660" t="n">
        <v>6621.01</v>
      </c>
      <c r="F41" s="661" t="n">
        <v>6435.82</v>
      </c>
      <c r="G41" s="661" t="n">
        <v>5623.36</v>
      </c>
      <c r="H41" s="661" t="n">
        <v>4521.67</v>
      </c>
      <c r="I41" s="661" t="n">
        <v>5161.24</v>
      </c>
      <c r="J41" s="661" t="n">
        <v>5075.73</v>
      </c>
      <c r="K41" s="0"/>
      <c r="L41" s="0"/>
      <c r="M41" s="0"/>
      <c r="N41" s="0"/>
      <c r="O41" s="0"/>
      <c r="P41" s="0"/>
      <c r="Q41" s="0"/>
      <c r="R41" s="0"/>
      <c r="S41" s="0"/>
      <c r="T41" s="0"/>
      <c r="U41" s="0"/>
      <c r="V41" s="0"/>
      <c r="W41" s="0"/>
      <c r="X41" s="0"/>
      <c r="Y41" s="0"/>
      <c r="Z41" s="0"/>
      <c r="AA41" s="0"/>
      <c r="AB41" s="0"/>
      <c r="AC41" s="0"/>
      <c r="AD41" s="0"/>
    </row>
    <row r="42" s="85" customFormat="true" ht="15.75" hidden="false" customHeight="false" outlineLevel="0" collapsed="false">
      <c r="A42" s="651"/>
      <c r="B42" s="660"/>
      <c r="C42" s="660"/>
      <c r="D42" s="660"/>
      <c r="E42" s="660"/>
      <c r="F42" s="661"/>
      <c r="G42" s="661"/>
      <c r="H42" s="661"/>
      <c r="I42" s="661"/>
      <c r="J42" s="661"/>
      <c r="K42" s="0"/>
      <c r="L42" s="0"/>
      <c r="M42" s="0"/>
      <c r="N42" s="0"/>
      <c r="O42" s="0"/>
      <c r="P42" s="0"/>
      <c r="Q42" s="0"/>
      <c r="R42" s="0"/>
      <c r="S42" s="0"/>
      <c r="T42" s="0"/>
      <c r="U42" s="0"/>
      <c r="V42" s="0"/>
      <c r="W42" s="0"/>
      <c r="X42" s="0"/>
      <c r="Y42" s="0"/>
      <c r="Z42" s="0"/>
      <c r="AA42" s="0"/>
      <c r="AB42" s="0"/>
      <c r="AC42" s="0"/>
      <c r="AD42" s="0"/>
    </row>
    <row r="43" s="85" customFormat="true" ht="30.75" hidden="false" customHeight="true" outlineLevel="0" collapsed="false">
      <c r="A43" s="659" t="s">
        <v>271</v>
      </c>
      <c r="B43" s="652" t="n">
        <f aca="false">B44+B52</f>
        <v>8713.99</v>
      </c>
      <c r="C43" s="652" t="n">
        <f aca="false">C44+C52</f>
        <v>4551.23</v>
      </c>
      <c r="D43" s="652" t="n">
        <f aca="false">D44+D52</f>
        <v>6059.28</v>
      </c>
      <c r="E43" s="662" t="n">
        <f aca="false">E44+E52</f>
        <v>8153.52</v>
      </c>
      <c r="F43" s="663" t="n">
        <v>6629.29</v>
      </c>
      <c r="G43" s="664" t="n">
        <v>5432.23</v>
      </c>
      <c r="H43" s="664" t="n">
        <v>7456.68</v>
      </c>
      <c r="I43" s="664" t="n">
        <v>7878.78</v>
      </c>
      <c r="J43" s="665" t="n">
        <v>9235.53</v>
      </c>
      <c r="K43" s="0"/>
      <c r="L43" s="0"/>
      <c r="M43" s="0"/>
      <c r="N43" s="0"/>
      <c r="O43" s="0"/>
      <c r="P43" s="0"/>
      <c r="Q43" s="0"/>
      <c r="R43" s="0"/>
      <c r="S43" s="0"/>
      <c r="T43" s="0"/>
      <c r="U43" s="0"/>
      <c r="V43" s="0"/>
      <c r="W43" s="0"/>
      <c r="X43" s="0"/>
      <c r="Y43" s="0"/>
      <c r="Z43" s="0"/>
      <c r="AA43" s="0"/>
      <c r="AB43" s="0"/>
      <c r="AC43" s="0"/>
      <c r="AD43" s="0"/>
    </row>
    <row r="44" s="85" customFormat="true" ht="15" hidden="false" customHeight="false" outlineLevel="0" collapsed="false">
      <c r="A44" s="666" t="s">
        <v>272</v>
      </c>
      <c r="B44" s="652" t="n">
        <f aca="false">SUM(B45:B50)</f>
        <v>3164.62</v>
      </c>
      <c r="C44" s="652" t="n">
        <f aca="false">SUM(C45:C50)</f>
        <v>2585.59</v>
      </c>
      <c r="D44" s="652" t="n">
        <f aca="false">SUM(D45:D50)</f>
        <v>3359.89</v>
      </c>
      <c r="E44" s="652" t="n">
        <f aca="false">SUM(E45:E50)</f>
        <v>4176.67</v>
      </c>
      <c r="F44" s="667" t="n">
        <f aca="false">SUM(F45:F50)</f>
        <v>0</v>
      </c>
      <c r="G44" s="667" t="n">
        <f aca="false">SUM(G45:G50)</f>
        <v>0</v>
      </c>
      <c r="H44" s="667" t="n">
        <f aca="false">SUM(H45:H50)</f>
        <v>0</v>
      </c>
      <c r="I44" s="667" t="n">
        <f aca="false">SUM(I45:I50)</f>
        <v>0</v>
      </c>
      <c r="J44" s="667" t="n">
        <f aca="false">SUM(J45:J50)</f>
        <v>0</v>
      </c>
      <c r="K44" s="0"/>
      <c r="L44" s="0"/>
      <c r="M44" s="0"/>
      <c r="N44" s="0"/>
      <c r="O44" s="0"/>
      <c r="P44" s="0"/>
      <c r="Q44" s="0"/>
      <c r="R44" s="0"/>
      <c r="S44" s="0"/>
      <c r="T44" s="0"/>
      <c r="U44" s="0"/>
      <c r="V44" s="0"/>
      <c r="W44" s="0"/>
      <c r="X44" s="0"/>
      <c r="Y44" s="0"/>
      <c r="Z44" s="0"/>
      <c r="AA44" s="0"/>
      <c r="AB44" s="0"/>
      <c r="AC44" s="0"/>
      <c r="AD44" s="0"/>
    </row>
    <row r="45" s="85" customFormat="true" ht="15" hidden="false" customHeight="false" outlineLevel="0" collapsed="false">
      <c r="A45" s="651" t="s">
        <v>273</v>
      </c>
      <c r="B45" s="400" t="n">
        <v>1520.24</v>
      </c>
      <c r="C45" s="400" t="n">
        <v>1448.36</v>
      </c>
      <c r="D45" s="660" t="n">
        <v>1797.75</v>
      </c>
      <c r="E45" s="400" t="n">
        <v>1972.49</v>
      </c>
      <c r="F45" s="661"/>
      <c r="G45" s="661"/>
      <c r="H45" s="661"/>
      <c r="I45" s="661"/>
      <c r="J45" s="661"/>
      <c r="K45" s="0"/>
      <c r="L45" s="0"/>
      <c r="M45" s="0"/>
      <c r="N45" s="0"/>
      <c r="O45" s="0"/>
      <c r="P45" s="0"/>
      <c r="Q45" s="0"/>
      <c r="R45" s="0"/>
      <c r="S45" s="0"/>
      <c r="T45" s="0"/>
      <c r="U45" s="0"/>
      <c r="V45" s="0"/>
      <c r="W45" s="0"/>
      <c r="X45" s="0"/>
      <c r="Y45" s="0"/>
      <c r="Z45" s="0"/>
      <c r="AA45" s="0"/>
      <c r="AB45" s="0"/>
      <c r="AC45" s="0"/>
      <c r="AD45" s="0"/>
    </row>
    <row r="46" s="85" customFormat="true" ht="24.75" hidden="false" customHeight="false" outlineLevel="0" collapsed="false">
      <c r="A46" s="668" t="s">
        <v>274</v>
      </c>
      <c r="B46" s="400" t="n">
        <v>123.91</v>
      </c>
      <c r="C46" s="400" t="n">
        <v>308.14</v>
      </c>
      <c r="D46" s="660" t="n">
        <v>185.38</v>
      </c>
      <c r="E46" s="400" t="n">
        <v>212.28</v>
      </c>
      <c r="F46" s="661"/>
      <c r="G46" s="661"/>
      <c r="H46" s="661"/>
      <c r="I46" s="661"/>
      <c r="J46" s="661"/>
      <c r="K46" s="0"/>
      <c r="L46" s="0"/>
      <c r="M46" s="0"/>
      <c r="N46" s="0"/>
      <c r="O46" s="0"/>
      <c r="P46" s="0"/>
      <c r="Q46" s="0"/>
      <c r="R46" s="0"/>
      <c r="S46" s="0"/>
      <c r="T46" s="0"/>
      <c r="U46" s="0"/>
      <c r="V46" s="0"/>
      <c r="W46" s="0"/>
      <c r="X46" s="0"/>
      <c r="Y46" s="0"/>
      <c r="Z46" s="0"/>
      <c r="AA46" s="0"/>
      <c r="AB46" s="0"/>
      <c r="AC46" s="0"/>
      <c r="AD46" s="0"/>
    </row>
    <row r="47" s="85" customFormat="true" ht="15" hidden="false" customHeight="false" outlineLevel="0" collapsed="false">
      <c r="A47" s="651" t="s">
        <v>275</v>
      </c>
      <c r="B47" s="400" t="n">
        <v>762.93</v>
      </c>
      <c r="C47" s="400" t="n">
        <v>726.25</v>
      </c>
      <c r="D47" s="660" t="n">
        <v>637.5</v>
      </c>
      <c r="E47" s="400" t="n">
        <v>452.93</v>
      </c>
      <c r="F47" s="661"/>
      <c r="G47" s="661"/>
      <c r="H47" s="661"/>
      <c r="I47" s="661"/>
      <c r="J47" s="661"/>
      <c r="K47" s="0"/>
      <c r="L47" s="0"/>
      <c r="M47" s="0"/>
      <c r="N47" s="0"/>
      <c r="O47" s="0"/>
      <c r="P47" s="0"/>
      <c r="Q47" s="0"/>
      <c r="R47" s="0"/>
      <c r="S47" s="0"/>
      <c r="T47" s="0"/>
      <c r="U47" s="0"/>
      <c r="V47" s="0"/>
      <c r="W47" s="0"/>
      <c r="X47" s="0"/>
      <c r="Y47" s="0"/>
      <c r="Z47" s="0"/>
      <c r="AA47" s="0"/>
      <c r="AB47" s="0"/>
      <c r="AC47" s="0"/>
      <c r="AD47" s="0"/>
    </row>
    <row r="48" s="85" customFormat="true" ht="15" hidden="false" customHeight="false" outlineLevel="0" collapsed="false">
      <c r="A48" s="651" t="s">
        <v>276</v>
      </c>
      <c r="B48" s="400" t="n">
        <v>726.67</v>
      </c>
      <c r="C48" s="400" t="n">
        <v>71.49</v>
      </c>
      <c r="D48" s="400" t="n">
        <v>710.6</v>
      </c>
      <c r="E48" s="400" t="n">
        <v>1512.25</v>
      </c>
      <c r="F48" s="661"/>
      <c r="G48" s="661"/>
      <c r="H48" s="661"/>
      <c r="I48" s="661"/>
      <c r="J48" s="661"/>
      <c r="K48" s="0"/>
      <c r="L48" s="0"/>
      <c r="M48" s="0"/>
      <c r="N48" s="0"/>
      <c r="O48" s="0"/>
      <c r="P48" s="0"/>
      <c r="Q48" s="0"/>
      <c r="R48" s="0"/>
      <c r="S48" s="0"/>
      <c r="T48" s="0"/>
      <c r="U48" s="0"/>
      <c r="V48" s="0"/>
      <c r="W48" s="0"/>
      <c r="X48" s="0"/>
      <c r="Y48" s="0"/>
      <c r="Z48" s="0"/>
      <c r="AA48" s="0"/>
      <c r="AB48" s="0"/>
      <c r="AC48" s="0"/>
      <c r="AD48" s="0"/>
    </row>
    <row r="49" s="85" customFormat="true" ht="15" hidden="false" customHeight="false" outlineLevel="0" collapsed="false">
      <c r="A49" s="651" t="s">
        <v>277</v>
      </c>
      <c r="B49" s="400" t="n">
        <v>1.96</v>
      </c>
      <c r="C49" s="400" t="n">
        <v>2.83</v>
      </c>
      <c r="D49" s="400" t="n">
        <v>2.23</v>
      </c>
      <c r="E49" s="400" t="n">
        <v>2.88</v>
      </c>
      <c r="F49" s="661"/>
      <c r="G49" s="661"/>
      <c r="H49" s="661"/>
      <c r="I49" s="661"/>
      <c r="J49" s="661"/>
      <c r="K49" s="0"/>
      <c r="L49" s="0"/>
      <c r="M49" s="0"/>
      <c r="N49" s="0"/>
      <c r="O49" s="0"/>
      <c r="P49" s="0"/>
      <c r="Q49" s="0"/>
      <c r="R49" s="0"/>
      <c r="S49" s="0"/>
      <c r="T49" s="0"/>
      <c r="U49" s="0"/>
      <c r="V49" s="0"/>
      <c r="W49" s="0"/>
      <c r="X49" s="0"/>
      <c r="Y49" s="0"/>
      <c r="Z49" s="0"/>
      <c r="AA49" s="0"/>
      <c r="AB49" s="0"/>
      <c r="AC49" s="0"/>
      <c r="AD49" s="0"/>
    </row>
    <row r="50" s="85" customFormat="true" ht="15" hidden="false" customHeight="false" outlineLevel="0" collapsed="false">
      <c r="A50" s="651" t="s">
        <v>278</v>
      </c>
      <c r="B50" s="400" t="n">
        <v>28.91</v>
      </c>
      <c r="C50" s="400" t="n">
        <v>28.52</v>
      </c>
      <c r="D50" s="400" t="n">
        <v>26.43</v>
      </c>
      <c r="E50" s="400" t="n">
        <v>23.84</v>
      </c>
      <c r="F50" s="661"/>
      <c r="G50" s="661"/>
      <c r="H50" s="661"/>
      <c r="I50" s="661"/>
      <c r="J50" s="661"/>
      <c r="K50" s="0"/>
      <c r="L50" s="0"/>
      <c r="M50" s="0"/>
      <c r="N50" s="0"/>
      <c r="O50" s="0"/>
      <c r="P50" s="0"/>
      <c r="Q50" s="0"/>
      <c r="R50" s="0"/>
      <c r="S50" s="0"/>
      <c r="T50" s="0"/>
      <c r="U50" s="0"/>
      <c r="V50" s="0"/>
      <c r="W50" s="0"/>
      <c r="X50" s="0"/>
      <c r="Y50" s="0"/>
      <c r="Z50" s="0"/>
      <c r="AA50" s="0"/>
      <c r="AB50" s="0"/>
      <c r="AC50" s="0"/>
      <c r="AD50" s="0"/>
    </row>
    <row r="51" s="85" customFormat="true" ht="15" hidden="false" customHeight="false" outlineLevel="0" collapsed="false">
      <c r="A51" s="651"/>
      <c r="B51" s="400"/>
      <c r="C51" s="400"/>
      <c r="D51" s="660"/>
      <c r="E51" s="660"/>
      <c r="F51" s="661"/>
      <c r="G51" s="661"/>
      <c r="H51" s="661"/>
      <c r="I51" s="661"/>
      <c r="J51" s="661"/>
      <c r="K51" s="0"/>
      <c r="L51" s="0"/>
      <c r="M51" s="0"/>
      <c r="N51" s="0"/>
      <c r="O51" s="0"/>
      <c r="P51" s="0"/>
      <c r="Q51" s="0"/>
      <c r="R51" s="0"/>
      <c r="S51" s="0"/>
      <c r="T51" s="0"/>
      <c r="U51" s="0"/>
      <c r="V51" s="0"/>
      <c r="W51" s="0"/>
      <c r="X51" s="0"/>
      <c r="Y51" s="0"/>
      <c r="Z51" s="0"/>
      <c r="AA51" s="0"/>
      <c r="AB51" s="0"/>
      <c r="AC51" s="0"/>
      <c r="AD51" s="0"/>
    </row>
    <row r="52" s="85" customFormat="true" ht="15" hidden="false" customHeight="false" outlineLevel="0" collapsed="false">
      <c r="A52" s="669" t="s">
        <v>279</v>
      </c>
      <c r="B52" s="661" t="n">
        <f aca="false">SUM(B53:B56)</f>
        <v>5549.37</v>
      </c>
      <c r="C52" s="661" t="n">
        <f aca="false">SUM(C53:C56)</f>
        <v>1965.64</v>
      </c>
      <c r="D52" s="661" t="n">
        <f aca="false">SUM(D53:D56)</f>
        <v>2699.39</v>
      </c>
      <c r="E52" s="661" t="n">
        <f aca="false">SUM(E53:E56)</f>
        <v>3976.85</v>
      </c>
      <c r="F52" s="661"/>
      <c r="G52" s="661"/>
      <c r="H52" s="661"/>
      <c r="I52" s="661"/>
      <c r="J52" s="661"/>
      <c r="K52" s="0"/>
      <c r="L52" s="0"/>
      <c r="M52" s="0"/>
      <c r="N52" s="0"/>
      <c r="O52" s="0"/>
      <c r="P52" s="0"/>
      <c r="Q52" s="0"/>
      <c r="R52" s="0"/>
      <c r="S52" s="0"/>
      <c r="T52" s="0"/>
      <c r="U52" s="0"/>
      <c r="V52" s="0"/>
      <c r="W52" s="0"/>
      <c r="X52" s="0"/>
      <c r="Y52" s="0"/>
      <c r="Z52" s="0"/>
      <c r="AA52" s="0"/>
      <c r="AB52" s="0"/>
      <c r="AC52" s="0"/>
      <c r="AD52" s="0"/>
    </row>
    <row r="53" s="85" customFormat="true" ht="15" hidden="false" customHeight="false" outlineLevel="0" collapsed="false">
      <c r="A53" s="651" t="s">
        <v>280</v>
      </c>
      <c r="B53" s="400" t="n">
        <v>5316.15</v>
      </c>
      <c r="C53" s="400" t="n">
        <v>1716.12</v>
      </c>
      <c r="D53" s="660" t="n">
        <v>2018.64</v>
      </c>
      <c r="E53" s="400" t="n">
        <v>3390.53</v>
      </c>
      <c r="F53" s="660"/>
      <c r="G53" s="660"/>
      <c r="H53" s="660"/>
      <c r="I53" s="660"/>
      <c r="J53" s="660"/>
      <c r="K53" s="0"/>
      <c r="L53" s="0"/>
      <c r="M53" s="0"/>
      <c r="N53" s="0"/>
      <c r="O53" s="0"/>
      <c r="P53" s="0"/>
      <c r="Q53" s="0"/>
      <c r="R53" s="0"/>
      <c r="S53" s="0"/>
      <c r="T53" s="0"/>
      <c r="U53" s="0"/>
      <c r="V53" s="0"/>
      <c r="W53" s="0"/>
      <c r="X53" s="0"/>
      <c r="Y53" s="0"/>
      <c r="Z53" s="0"/>
      <c r="AA53" s="0"/>
      <c r="AB53" s="0"/>
      <c r="AC53" s="0"/>
      <c r="AD53" s="0"/>
    </row>
    <row r="54" s="85" customFormat="true" ht="15" hidden="false" customHeight="false" outlineLevel="0" collapsed="false">
      <c r="A54" s="651" t="s">
        <v>281</v>
      </c>
      <c r="B54" s="400" t="n">
        <v>169.13</v>
      </c>
      <c r="C54" s="400" t="n">
        <v>169.13</v>
      </c>
      <c r="D54" s="660" t="n">
        <v>507.39</v>
      </c>
      <c r="E54" s="400" t="n">
        <v>380.54</v>
      </c>
      <c r="F54" s="660"/>
      <c r="G54" s="660"/>
      <c r="H54" s="660"/>
      <c r="I54" s="660"/>
      <c r="J54" s="660"/>
      <c r="K54" s="0"/>
      <c r="L54" s="0"/>
      <c r="M54" s="0"/>
      <c r="N54" s="0"/>
      <c r="O54" s="0"/>
      <c r="P54" s="0"/>
      <c r="Q54" s="0"/>
      <c r="R54" s="0"/>
      <c r="S54" s="0"/>
      <c r="T54" s="0"/>
      <c r="U54" s="0"/>
      <c r="V54" s="0"/>
      <c r="W54" s="0"/>
      <c r="X54" s="0"/>
      <c r="Y54" s="0"/>
      <c r="Z54" s="0"/>
      <c r="AA54" s="0"/>
      <c r="AB54" s="0"/>
      <c r="AC54" s="0"/>
      <c r="AD54" s="0"/>
    </row>
    <row r="55" s="85" customFormat="true" ht="15" hidden="false" customHeight="false" outlineLevel="0" collapsed="false">
      <c r="A55" s="668" t="s">
        <v>282</v>
      </c>
      <c r="B55" s="400" t="n">
        <v>23.72</v>
      </c>
      <c r="C55" s="400" t="n">
        <v>28.74</v>
      </c>
      <c r="D55" s="660" t="n">
        <v>86.23</v>
      </c>
      <c r="E55" s="400" t="n">
        <v>64.67</v>
      </c>
      <c r="F55" s="660"/>
      <c r="G55" s="660"/>
      <c r="H55" s="660"/>
      <c r="I55" s="660"/>
      <c r="J55" s="660"/>
      <c r="K55" s="0"/>
      <c r="L55" s="0"/>
      <c r="M55" s="0"/>
      <c r="N55" s="0"/>
      <c r="O55" s="0"/>
      <c r="P55" s="0"/>
      <c r="Q55" s="0"/>
      <c r="R55" s="0"/>
      <c r="S55" s="0"/>
      <c r="T55" s="0"/>
      <c r="U55" s="0"/>
      <c r="V55" s="0"/>
      <c r="W55" s="0"/>
      <c r="X55" s="0"/>
      <c r="Y55" s="0"/>
      <c r="Z55" s="0"/>
      <c r="AA55" s="0"/>
      <c r="AB55" s="0"/>
      <c r="AC55" s="0"/>
      <c r="AD55" s="0"/>
    </row>
    <row r="56" s="85" customFormat="true" ht="51.75" hidden="false" customHeight="true" outlineLevel="0" collapsed="false">
      <c r="A56" s="668" t="s">
        <v>283</v>
      </c>
      <c r="B56" s="400" t="n">
        <v>40.37</v>
      </c>
      <c r="C56" s="400" t="n">
        <v>51.65</v>
      </c>
      <c r="D56" s="660" t="n">
        <v>87.13</v>
      </c>
      <c r="E56" s="400" t="n">
        <v>141.11</v>
      </c>
      <c r="F56" s="660"/>
      <c r="G56" s="660"/>
      <c r="H56" s="660"/>
      <c r="I56" s="660"/>
      <c r="J56" s="660"/>
      <c r="K56" s="0"/>
      <c r="L56" s="0"/>
      <c r="M56" s="0"/>
      <c r="N56" s="0"/>
      <c r="O56" s="0"/>
      <c r="P56" s="0"/>
      <c r="Q56" s="0"/>
      <c r="R56" s="0"/>
      <c r="S56" s="0"/>
      <c r="T56" s="0"/>
      <c r="U56" s="0"/>
      <c r="V56" s="0"/>
      <c r="W56" s="0"/>
      <c r="X56" s="0"/>
      <c r="Y56" s="0"/>
      <c r="Z56" s="0"/>
      <c r="AA56" s="0"/>
      <c r="AB56" s="0"/>
      <c r="AC56" s="0"/>
      <c r="AD56" s="0"/>
    </row>
    <row r="57" s="85" customFormat="true" ht="15" hidden="false" customHeight="false" outlineLevel="0" collapsed="false">
      <c r="A57" s="651"/>
      <c r="B57" s="660"/>
      <c r="C57" s="660"/>
      <c r="D57" s="660"/>
      <c r="E57" s="660"/>
      <c r="F57" s="660"/>
      <c r="G57" s="660"/>
      <c r="H57" s="660"/>
      <c r="I57" s="660"/>
      <c r="J57" s="660"/>
      <c r="K57" s="0"/>
      <c r="L57" s="0"/>
      <c r="M57" s="0"/>
      <c r="N57" s="0"/>
      <c r="O57" s="0"/>
      <c r="P57" s="0"/>
      <c r="Q57" s="0"/>
      <c r="R57" s="0"/>
      <c r="S57" s="0"/>
      <c r="T57" s="0"/>
      <c r="U57" s="0"/>
      <c r="V57" s="0"/>
      <c r="W57" s="0"/>
      <c r="X57" s="0"/>
      <c r="Y57" s="0"/>
      <c r="Z57" s="0"/>
      <c r="AA57" s="0"/>
      <c r="AB57" s="0"/>
      <c r="AC57" s="0"/>
      <c r="AD57" s="0"/>
    </row>
    <row r="58" s="85" customFormat="true" ht="15" hidden="false" customHeight="false" outlineLevel="0" collapsed="false">
      <c r="A58" s="670" t="s">
        <v>284</v>
      </c>
      <c r="B58" s="671" t="n">
        <f aca="false">B36-(B44+B52)</f>
        <v>3574.65</v>
      </c>
      <c r="C58" s="671" t="n">
        <f aca="false">C36-(C44+C52)</f>
        <v>3194.28</v>
      </c>
      <c r="D58" s="671" t="n">
        <f aca="false">D36-(D44+D52)</f>
        <v>4350.74</v>
      </c>
      <c r="E58" s="671" t="n">
        <f aca="false">E36-(E44+E52)</f>
        <v>4083.02</v>
      </c>
      <c r="F58" s="671" t="n">
        <v>4009.3</v>
      </c>
      <c r="G58" s="671" t="n">
        <v>6148.47</v>
      </c>
      <c r="H58" s="671" t="n">
        <v>5035.71</v>
      </c>
      <c r="I58" s="671" t="n">
        <v>4829.97</v>
      </c>
      <c r="J58" s="671" t="n">
        <v>4575.32</v>
      </c>
      <c r="K58" s="0"/>
      <c r="L58" s="0"/>
      <c r="M58" s="0"/>
      <c r="N58" s="0"/>
      <c r="O58" s="0"/>
      <c r="P58" s="0"/>
      <c r="Q58" s="0"/>
      <c r="R58" s="0"/>
      <c r="S58" s="0"/>
      <c r="T58" s="0"/>
      <c r="U58" s="0"/>
      <c r="V58" s="0"/>
      <c r="W58" s="0"/>
      <c r="X58" s="0"/>
      <c r="Y58" s="0"/>
      <c r="Z58" s="0"/>
      <c r="AA58" s="0"/>
      <c r="AB58" s="0"/>
      <c r="AC58" s="0"/>
      <c r="AD58" s="0"/>
    </row>
    <row r="59" s="85" customFormat="true" ht="15.75" hidden="false" customHeight="false" outlineLevel="0" collapsed="false">
      <c r="A59" s="672"/>
      <c r="B59" s="660"/>
      <c r="C59" s="660"/>
      <c r="D59" s="660"/>
      <c r="E59" s="660"/>
      <c r="F59" s="660"/>
      <c r="G59" s="660"/>
      <c r="H59" s="660"/>
      <c r="I59" s="660"/>
      <c r="J59" s="660"/>
      <c r="K59" s="0"/>
      <c r="L59" s="0"/>
      <c r="M59" s="0"/>
      <c r="N59" s="0"/>
      <c r="O59" s="0"/>
      <c r="P59" s="0"/>
      <c r="Q59" s="0"/>
      <c r="R59" s="0"/>
      <c r="S59" s="0"/>
      <c r="T59" s="0"/>
      <c r="U59" s="0"/>
      <c r="V59" s="0"/>
      <c r="W59" s="0"/>
      <c r="X59" s="0"/>
      <c r="Y59" s="0"/>
      <c r="Z59" s="0"/>
      <c r="AA59" s="0"/>
      <c r="AB59" s="0"/>
      <c r="AC59" s="0"/>
      <c r="AD59" s="0"/>
    </row>
    <row r="60" s="85" customFormat="true" ht="15.75" hidden="false" customHeight="false" outlineLevel="0" collapsed="false">
      <c r="A60" s="673" t="s">
        <v>257</v>
      </c>
      <c r="B60" s="674" t="n">
        <f aca="false">B27+B33+B34+B58</f>
        <v>13189.56</v>
      </c>
      <c r="C60" s="674" t="n">
        <f aca="false">C27+C33+C34+C58</f>
        <v>14049.43</v>
      </c>
      <c r="D60" s="674" t="n">
        <f aca="false">D27+D33+D34+D58</f>
        <v>15591.57</v>
      </c>
      <c r="E60" s="674" t="n">
        <f aca="false">E27+E33+E34+E58</f>
        <v>17296.94</v>
      </c>
      <c r="F60" s="674" t="n">
        <f aca="false">F27+F33+F34+F58</f>
        <v>19136.75</v>
      </c>
      <c r="G60" s="674" t="n">
        <f aca="false">G27+G33+G34+G58</f>
        <v>21165.72</v>
      </c>
      <c r="H60" s="674" t="n">
        <f aca="false">H27+H33+H34+H58</f>
        <v>23232.24</v>
      </c>
      <c r="I60" s="674" t="n">
        <f aca="false">I27+I33+I34+I58</f>
        <v>23461.62</v>
      </c>
      <c r="J60" s="674" t="n">
        <f aca="false">J27+J33+J34+J58</f>
        <v>25866.56</v>
      </c>
    </row>
    <row r="61" s="85" customFormat="true" ht="15" hidden="false" customHeight="false" outlineLevel="0" collapsed="false">
      <c r="A61" s="0"/>
      <c r="B61" s="0"/>
      <c r="C61" s="0"/>
      <c r="D61" s="0"/>
      <c r="E61" s="0"/>
      <c r="F61" s="0"/>
      <c r="G61" s="0"/>
      <c r="H61" s="0"/>
      <c r="I61" s="0"/>
      <c r="J61" s="0"/>
      <c r="K61" s="0"/>
      <c r="L61" s="0"/>
      <c r="M61" s="0"/>
      <c r="N61" s="0"/>
      <c r="O61" s="0"/>
      <c r="P61" s="0"/>
      <c r="Q61" s="0"/>
      <c r="R61" s="0"/>
      <c r="S61" s="0"/>
      <c r="T61" s="0"/>
      <c r="U61" s="0"/>
      <c r="V61" s="0"/>
      <c r="W61" s="0"/>
      <c r="X61" s="0"/>
      <c r="Y61" s="0"/>
      <c r="Z61" s="0"/>
      <c r="AA61" s="0"/>
      <c r="AB61" s="0"/>
      <c r="AC61" s="0"/>
      <c r="AD61" s="0"/>
    </row>
    <row r="62" s="85" customFormat="true" ht="15" hidden="false" customHeight="false" outlineLevel="0" collapsed="false">
      <c r="A62" s="0"/>
      <c r="B62" s="0"/>
      <c r="C62" s="0"/>
      <c r="D62" s="0"/>
      <c r="E62" s="0"/>
      <c r="F62" s="0"/>
      <c r="G62" s="0"/>
      <c r="H62" s="0"/>
      <c r="I62" s="0"/>
      <c r="J62" s="0"/>
      <c r="K62" s="0"/>
      <c r="L62" s="0"/>
      <c r="M62" s="0"/>
      <c r="N62" s="0"/>
      <c r="O62" s="0"/>
      <c r="P62" s="0"/>
      <c r="Q62" s="0"/>
      <c r="R62" s="0"/>
      <c r="S62" s="0"/>
      <c r="T62" s="0"/>
      <c r="U62" s="0"/>
      <c r="V62" s="0"/>
      <c r="W62" s="0"/>
      <c r="X62" s="0"/>
      <c r="Y62" s="0"/>
      <c r="Z62" s="0"/>
      <c r="AA62" s="0"/>
      <c r="AB62" s="0"/>
      <c r="AC62" s="0"/>
      <c r="AD62" s="0"/>
    </row>
    <row r="63" s="85" customFormat="true" ht="15" hidden="false" customHeight="false" outlineLevel="0" collapsed="false">
      <c r="A63" s="0"/>
      <c r="B63" s="0"/>
      <c r="C63" s="0"/>
      <c r="D63" s="0"/>
      <c r="E63" s="0"/>
      <c r="F63" s="675"/>
      <c r="G63" s="675"/>
      <c r="H63" s="675"/>
      <c r="I63" s="675"/>
      <c r="J63" s="675"/>
      <c r="K63" s="0"/>
      <c r="L63" s="0"/>
      <c r="M63" s="0"/>
      <c r="N63" s="0"/>
      <c r="O63" s="0"/>
      <c r="P63" s="0"/>
      <c r="Q63" s="0"/>
      <c r="R63" s="0"/>
      <c r="S63" s="0"/>
      <c r="T63" s="0"/>
      <c r="U63" s="0"/>
      <c r="V63" s="0"/>
      <c r="W63" s="0"/>
      <c r="X63" s="0"/>
      <c r="Y63" s="0"/>
      <c r="Z63" s="0"/>
      <c r="AA63" s="0"/>
      <c r="AB63" s="0"/>
      <c r="AC63" s="0"/>
      <c r="AD63" s="0"/>
    </row>
  </sheetData>
  <mergeCells count="1">
    <mergeCell ref="A4:A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defaultColWidth="9.13671875" defaultRowHeight="15" zeroHeight="false" outlineLevelRow="0" outlineLevelCol="0"/>
  <cols>
    <col collapsed="false" customWidth="true" hidden="false" outlineLevel="0" max="1" min="1" style="676" width="35.71"/>
    <col collapsed="false" customWidth="true" hidden="false" outlineLevel="0" max="2" min="2" style="676" width="13.28"/>
    <col collapsed="false" customWidth="true" hidden="false" outlineLevel="0" max="3" min="3" style="676" width="11.56"/>
    <col collapsed="false" customWidth="true" hidden="false" outlineLevel="0" max="4" min="4" style="676" width="10.85"/>
    <col collapsed="false" customWidth="true" hidden="false" outlineLevel="0" max="5" min="5" style="676" width="11.71"/>
    <col collapsed="false" customWidth="true" hidden="false" outlineLevel="0" max="6" min="6" style="677" width="11.56"/>
    <col collapsed="false" customWidth="true" hidden="false" outlineLevel="0" max="7" min="7" style="677" width="11.71"/>
    <col collapsed="false" customWidth="true" hidden="false" outlineLevel="0" max="8" min="8" style="677" width="11.28"/>
    <col collapsed="false" customWidth="true" hidden="false" outlineLevel="0" max="9" min="9" style="677" width="11.56"/>
    <col collapsed="false" customWidth="false" hidden="false" outlineLevel="0" max="257" min="10" style="677" width="9.13"/>
  </cols>
  <sheetData>
    <row r="1" customFormat="false" ht="19.5" hidden="false" customHeight="true" outlineLevel="0" collapsed="false">
      <c r="A1" s="314" t="s">
        <v>15</v>
      </c>
      <c r="B1" s="678"/>
      <c r="C1" s="679"/>
      <c r="D1" s="679"/>
      <c r="E1" s="679"/>
    </row>
    <row r="2" s="683" customFormat="true" ht="18" hidden="false" customHeight="true" outlineLevel="0" collapsed="false">
      <c r="A2" s="680" t="s">
        <v>285</v>
      </c>
      <c r="B2" s="681" t="s">
        <v>286</v>
      </c>
      <c r="C2" s="682" t="s">
        <v>287</v>
      </c>
      <c r="D2" s="682" t="s">
        <v>288</v>
      </c>
      <c r="E2" s="682" t="s">
        <v>289</v>
      </c>
      <c r="F2" s="682" t="s">
        <v>290</v>
      </c>
      <c r="G2" s="682" t="s">
        <v>291</v>
      </c>
      <c r="H2" s="682" t="s">
        <v>292</v>
      </c>
      <c r="I2" s="682" t="s">
        <v>293</v>
      </c>
    </row>
    <row r="3" s="683" customFormat="true" ht="15" hidden="false" customHeight="true" outlineLevel="0" collapsed="false">
      <c r="A3" s="684" t="s">
        <v>17</v>
      </c>
      <c r="B3" s="685"/>
      <c r="C3" s="685"/>
      <c r="D3" s="685"/>
      <c r="E3" s="686"/>
      <c r="F3" s="686"/>
      <c r="G3" s="686"/>
      <c r="H3" s="686"/>
      <c r="I3" s="686"/>
    </row>
    <row r="4" customFormat="false" ht="15" hidden="false" customHeight="true" outlineLevel="0" collapsed="false">
      <c r="A4" s="687"/>
    </row>
    <row r="5" customFormat="false" ht="15" hidden="false" customHeight="true" outlineLevel="0" collapsed="false">
      <c r="A5" s="688" t="s">
        <v>294</v>
      </c>
      <c r="B5" s="689"/>
      <c r="C5" s="690"/>
      <c r="D5" s="690"/>
      <c r="E5" s="690"/>
      <c r="F5" s="691"/>
      <c r="G5" s="691"/>
      <c r="H5" s="691"/>
      <c r="I5" s="691"/>
    </row>
    <row r="6" customFormat="false" ht="15" hidden="false" customHeight="true" outlineLevel="0" collapsed="false">
      <c r="A6" s="692" t="s">
        <v>295</v>
      </c>
      <c r="B6" s="693"/>
      <c r="C6" s="693"/>
      <c r="D6" s="694"/>
      <c r="E6" s="694"/>
      <c r="F6" s="694"/>
      <c r="G6" s="694"/>
      <c r="H6" s="694"/>
      <c r="I6" s="694"/>
    </row>
    <row r="7" customFormat="false" ht="15" hidden="false" customHeight="true" outlineLevel="0" collapsed="false">
      <c r="A7" s="695" t="s">
        <v>296</v>
      </c>
      <c r="B7" s="696" t="n">
        <v>5000</v>
      </c>
      <c r="C7" s="696" t="n">
        <v>5000</v>
      </c>
      <c r="D7" s="696" t="n">
        <v>5000</v>
      </c>
      <c r="E7" s="696" t="n">
        <v>5000</v>
      </c>
      <c r="F7" s="696" t="n">
        <v>5000</v>
      </c>
      <c r="G7" s="696" t="n">
        <v>5000</v>
      </c>
      <c r="H7" s="696" t="n">
        <v>5000</v>
      </c>
      <c r="I7" s="696" t="n">
        <v>5000</v>
      </c>
    </row>
    <row r="8" customFormat="false" ht="15" hidden="false" customHeight="true" outlineLevel="0" collapsed="false">
      <c r="A8" s="692" t="s">
        <v>297</v>
      </c>
      <c r="B8" s="696"/>
      <c r="C8" s="696"/>
      <c r="D8" s="696"/>
      <c r="E8" s="696"/>
      <c r="F8" s="696"/>
      <c r="G8" s="696"/>
      <c r="H8" s="696"/>
      <c r="I8" s="696"/>
    </row>
    <row r="9" customFormat="false" ht="15" hidden="false" customHeight="true" outlineLevel="0" collapsed="false">
      <c r="A9" s="695" t="s">
        <v>298</v>
      </c>
      <c r="B9" s="696" t="n">
        <v>6000</v>
      </c>
      <c r="C9" s="696" t="n">
        <v>6000</v>
      </c>
      <c r="D9" s="696" t="n">
        <v>6000</v>
      </c>
      <c r="E9" s="696" t="n">
        <v>6000</v>
      </c>
      <c r="F9" s="696" t="n">
        <v>6000</v>
      </c>
      <c r="G9" s="696" t="n">
        <v>6000</v>
      </c>
      <c r="H9" s="696" t="n">
        <v>6000</v>
      </c>
      <c r="I9" s="696" t="n">
        <v>6000</v>
      </c>
    </row>
    <row r="10" customFormat="false" ht="15" hidden="false" customHeight="true" outlineLevel="0" collapsed="false">
      <c r="A10" s="694"/>
      <c r="B10" s="696"/>
      <c r="C10" s="696"/>
      <c r="D10" s="697"/>
      <c r="E10" s="696"/>
      <c r="F10" s="696"/>
      <c r="G10" s="697"/>
      <c r="H10" s="697"/>
      <c r="I10" s="697"/>
    </row>
    <row r="11" customFormat="false" ht="15" hidden="false" customHeight="true" outlineLevel="0" collapsed="false">
      <c r="A11" s="698" t="s">
        <v>76</v>
      </c>
      <c r="B11" s="699" t="n">
        <f aca="false">B7+B9</f>
        <v>11000</v>
      </c>
      <c r="C11" s="699" t="n">
        <f aca="false">C7+C9</f>
        <v>11000</v>
      </c>
      <c r="D11" s="699" t="n">
        <f aca="false">D7+D9</f>
        <v>11000</v>
      </c>
      <c r="E11" s="699" t="n">
        <f aca="false">E7+E9</f>
        <v>11000</v>
      </c>
      <c r="F11" s="699" t="n">
        <f aca="false">F7+F9</f>
        <v>11000</v>
      </c>
      <c r="G11" s="699" t="n">
        <f aca="false">G7+G9</f>
        <v>11000</v>
      </c>
      <c r="H11" s="699" t="n">
        <f aca="false">H7+H9</f>
        <v>11000</v>
      </c>
      <c r="I11" s="699" t="n">
        <f aca="false">I7+I9</f>
        <v>11000</v>
      </c>
    </row>
    <row r="12" customFormat="false" ht="15" hidden="false" customHeight="true" outlineLevel="0" collapsed="false">
      <c r="A12" s="700"/>
      <c r="B12" s="701"/>
      <c r="C12" s="701"/>
      <c r="D12" s="701"/>
      <c r="E12" s="701"/>
      <c r="F12" s="701"/>
      <c r="G12" s="700"/>
      <c r="H12" s="700"/>
      <c r="I12" s="700"/>
    </row>
    <row r="13" customFormat="false" ht="15" hidden="false" customHeight="true" outlineLevel="0" collapsed="false">
      <c r="A13" s="702" t="s">
        <v>299</v>
      </c>
      <c r="B13" s="703"/>
      <c r="C13" s="704"/>
      <c r="D13" s="690"/>
      <c r="E13" s="705"/>
      <c r="F13" s="706"/>
      <c r="G13" s="691"/>
      <c r="H13" s="691"/>
      <c r="I13" s="691"/>
    </row>
    <row r="14" customFormat="false" ht="15" hidden="false" customHeight="true" outlineLevel="0" collapsed="false">
      <c r="A14" s="707" t="s">
        <v>300</v>
      </c>
      <c r="B14" s="708"/>
      <c r="C14" s="708"/>
      <c r="D14" s="708"/>
      <c r="E14" s="709"/>
      <c r="F14" s="710"/>
      <c r="G14" s="711"/>
      <c r="H14" s="711"/>
      <c r="I14" s="711"/>
    </row>
    <row r="15" customFormat="false" ht="15" hidden="false" customHeight="true" outlineLevel="0" collapsed="false">
      <c r="A15" s="707" t="s">
        <v>301</v>
      </c>
      <c r="B15" s="708"/>
      <c r="C15" s="708"/>
      <c r="D15" s="708"/>
      <c r="E15" s="709"/>
      <c r="F15" s="708"/>
      <c r="G15" s="711"/>
      <c r="H15" s="711"/>
      <c r="I15" s="711"/>
    </row>
    <row r="16" customFormat="false" ht="15" hidden="false" customHeight="true" outlineLevel="0" collapsed="false">
      <c r="A16" s="707" t="s">
        <v>302</v>
      </c>
      <c r="B16" s="712" t="n">
        <v>62.2</v>
      </c>
      <c r="C16" s="712" t="n">
        <v>0</v>
      </c>
      <c r="D16" s="712" t="n">
        <v>0</v>
      </c>
      <c r="E16" s="713" t="n">
        <v>0</v>
      </c>
      <c r="F16" s="696" t="n">
        <v>0</v>
      </c>
      <c r="G16" s="696" t="n">
        <v>0</v>
      </c>
      <c r="H16" s="696" t="n">
        <v>0</v>
      </c>
      <c r="I16" s="696" t="n">
        <v>0</v>
      </c>
    </row>
    <row r="17" customFormat="false" ht="15" hidden="false" customHeight="true" outlineLevel="0" collapsed="false">
      <c r="A17" s="707" t="s">
        <v>303</v>
      </c>
      <c r="B17" s="712"/>
      <c r="C17" s="712"/>
      <c r="D17" s="714"/>
      <c r="E17" s="713"/>
      <c r="F17" s="696"/>
      <c r="G17" s="697"/>
      <c r="H17" s="697"/>
      <c r="I17" s="697"/>
    </row>
    <row r="18" customFormat="false" ht="15" hidden="false" customHeight="true" outlineLevel="0" collapsed="false">
      <c r="A18" s="707" t="s">
        <v>304</v>
      </c>
      <c r="B18" s="712" t="n">
        <v>2316.3</v>
      </c>
      <c r="C18" s="712" t="n">
        <v>1658.7</v>
      </c>
      <c r="D18" s="714" t="n">
        <v>1001.3</v>
      </c>
      <c r="E18" s="713" t="n">
        <v>86.33</v>
      </c>
      <c r="F18" s="715" t="n">
        <v>72.34</v>
      </c>
      <c r="G18" s="715" t="n">
        <v>54.36</v>
      </c>
      <c r="H18" s="715" t="n">
        <v>41.82</v>
      </c>
      <c r="I18" s="715" t="n">
        <v>36.24</v>
      </c>
    </row>
    <row r="19" customFormat="false" ht="15" hidden="false" customHeight="true" outlineLevel="0" collapsed="false">
      <c r="A19" s="716"/>
      <c r="B19" s="712"/>
      <c r="C19" s="712"/>
      <c r="D19" s="714"/>
      <c r="E19" s="713"/>
      <c r="F19" s="696"/>
      <c r="G19" s="697"/>
      <c r="H19" s="697"/>
      <c r="I19" s="697"/>
    </row>
    <row r="20" customFormat="false" ht="15" hidden="false" customHeight="true" outlineLevel="0" collapsed="false">
      <c r="A20" s="717" t="s">
        <v>76</v>
      </c>
      <c r="B20" s="718" t="n">
        <f aca="false">B16+B18</f>
        <v>2378.5</v>
      </c>
      <c r="C20" s="718" t="n">
        <f aca="false">C16+C18</f>
        <v>1658.7</v>
      </c>
      <c r="D20" s="718" t="n">
        <f aca="false">D16+D18</f>
        <v>1001.3</v>
      </c>
      <c r="E20" s="719" t="n">
        <f aca="false">E16+E18</f>
        <v>86.33</v>
      </c>
      <c r="F20" s="718" t="n">
        <f aca="false">F16+F18</f>
        <v>72.34</v>
      </c>
      <c r="G20" s="718" t="n">
        <f aca="false">G16+G18</f>
        <v>54.36</v>
      </c>
      <c r="H20" s="718" t="n">
        <f aca="false">H16+H18</f>
        <v>41.82</v>
      </c>
      <c r="I20" s="718" t="n">
        <f aca="false">I16+I18</f>
        <v>36.24</v>
      </c>
    </row>
    <row r="21" customFormat="false" ht="15" hidden="false" customHeight="true" outlineLevel="0" collapsed="false">
      <c r="A21" s="720" t="s">
        <v>305</v>
      </c>
      <c r="B21" s="721" t="n">
        <f aca="false">B20+B11</f>
        <v>13378.5</v>
      </c>
      <c r="C21" s="721" t="n">
        <f aca="false">C20+C11</f>
        <v>12658.7</v>
      </c>
      <c r="D21" s="721" t="n">
        <f aca="false">D20+D11</f>
        <v>12001.3</v>
      </c>
      <c r="E21" s="722" t="n">
        <f aca="false">E20+E11</f>
        <v>11086.33</v>
      </c>
      <c r="F21" s="723" t="n">
        <f aca="false">F20+F11</f>
        <v>11072.34</v>
      </c>
      <c r="G21" s="723" t="n">
        <f aca="false">G20+G11</f>
        <v>11054.36</v>
      </c>
      <c r="H21" s="723" t="n">
        <f aca="false">H20+H11</f>
        <v>11041.82</v>
      </c>
      <c r="I21" s="723" t="n">
        <f aca="false">I20+I11</f>
        <v>11036.24</v>
      </c>
    </row>
    <row r="22" customFormat="false" ht="15" hidden="false" customHeight="true" outlineLevel="0" collapsed="false">
      <c r="E22" s="724"/>
      <c r="F22" s="725"/>
    </row>
    <row r="23" customFormat="false" ht="15" hidden="false" customHeight="true" outlineLevel="0" collapsed="false">
      <c r="E23" s="726"/>
      <c r="F23" s="725"/>
    </row>
    <row r="24" customFormat="false" ht="15" hidden="false" customHeight="true" outlineLevel="0" collapsed="false">
      <c r="A24" s="679"/>
      <c r="E24" s="726"/>
      <c r="F24" s="725"/>
    </row>
    <row r="29" s="700" customFormat="true" ht="15" hidden="false" customHeight="true" outlineLevel="0" collapsed="false">
      <c r="A29" s="676"/>
      <c r="B29" s="676"/>
      <c r="C29" s="676"/>
      <c r="D29" s="676"/>
      <c r="E29" s="676"/>
      <c r="F29" s="677"/>
      <c r="G29" s="677"/>
      <c r="H29" s="677"/>
      <c r="I29" s="677"/>
    </row>
    <row r="30" s="700" customFormat="true" ht="15" hidden="false" customHeight="true" outlineLevel="0" collapsed="false">
      <c r="A30" s="676"/>
      <c r="B30" s="676"/>
      <c r="C30" s="676"/>
      <c r="D30" s="676"/>
      <c r="E30" s="676"/>
      <c r="F30" s="677"/>
      <c r="G30" s="677"/>
      <c r="H30" s="677"/>
      <c r="I30" s="677"/>
    </row>
    <row r="36" s="700" customFormat="true" ht="15" hidden="false" customHeight="true" outlineLevel="0" collapsed="false">
      <c r="A36" s="727"/>
      <c r="B36" s="728"/>
      <c r="C36" s="727"/>
      <c r="D36" s="727"/>
      <c r="E36" s="727"/>
      <c r="F36" s="729"/>
      <c r="G36" s="729"/>
      <c r="H36" s="729"/>
      <c r="I36" s="729"/>
    </row>
    <row r="37" s="700" customFormat="true" ht="15" hidden="false" customHeight="true" outlineLevel="0" collapsed="false">
      <c r="A37" s="730"/>
      <c r="B37" s="731"/>
      <c r="C37" s="730"/>
      <c r="D37" s="730"/>
      <c r="E37" s="730"/>
      <c r="F37" s="732"/>
      <c r="G37" s="732"/>
      <c r="H37" s="732"/>
      <c r="I37" s="732"/>
    </row>
    <row r="38" customFormat="false" ht="15" hidden="false" customHeight="true" outlineLevel="0" collapsed="false">
      <c r="A38" s="730"/>
      <c r="B38" s="733"/>
      <c r="C38" s="733"/>
      <c r="D38" s="733"/>
      <c r="E38" s="733"/>
      <c r="F38" s="734"/>
      <c r="G38" s="734"/>
      <c r="H38" s="734"/>
      <c r="I38" s="734"/>
    </row>
    <row r="39" customFormat="false" ht="15" hidden="false" customHeight="true" outlineLevel="0" collapsed="false">
      <c r="A39" s="733"/>
      <c r="B39" s="735"/>
      <c r="C39" s="733"/>
      <c r="D39" s="733"/>
      <c r="E39" s="733"/>
      <c r="F39" s="734"/>
      <c r="G39" s="734"/>
      <c r="H39" s="734"/>
      <c r="I39" s="734"/>
    </row>
    <row r="40" customFormat="false" ht="15" hidden="false" customHeight="true" outlineLevel="0" collapsed="false">
      <c r="A40" s="733"/>
      <c r="B40" s="735"/>
      <c r="C40" s="733"/>
      <c r="D40" s="733"/>
      <c r="E40" s="733"/>
      <c r="F40" s="734"/>
      <c r="G40" s="734"/>
      <c r="H40" s="734"/>
      <c r="I40" s="734"/>
    </row>
    <row r="41" customFormat="false" ht="15" hidden="false" customHeight="true" outlineLevel="0" collapsed="false">
      <c r="A41" s="733"/>
      <c r="B41" s="735"/>
      <c r="C41" s="733"/>
      <c r="D41" s="733"/>
      <c r="E41" s="733"/>
      <c r="F41" s="734"/>
      <c r="G41" s="734"/>
      <c r="H41" s="734"/>
      <c r="I41" s="734"/>
    </row>
    <row r="42" customFormat="false" ht="15" hidden="false" customHeight="true" outlineLevel="0" collapsed="false">
      <c r="A42" s="733"/>
      <c r="B42" s="735"/>
      <c r="C42" s="733"/>
      <c r="D42" s="733"/>
      <c r="E42" s="733"/>
      <c r="F42" s="734"/>
      <c r="G42" s="734"/>
      <c r="H42" s="734"/>
      <c r="I42" s="734"/>
    </row>
    <row r="43" customFormat="false" ht="15" hidden="false" customHeight="true" outlineLevel="0" collapsed="false">
      <c r="A43" s="736"/>
      <c r="B43" s="737"/>
      <c r="C43" s="736"/>
      <c r="D43" s="736"/>
      <c r="E43" s="736"/>
      <c r="F43" s="700"/>
      <c r="G43" s="700"/>
      <c r="H43" s="700"/>
      <c r="I43" s="700"/>
    </row>
    <row r="44" customFormat="false" ht="15" hidden="false" customHeight="true" outlineLevel="0" collapsed="false">
      <c r="A44" s="730"/>
      <c r="B44" s="735"/>
      <c r="C44" s="733"/>
      <c r="D44" s="733"/>
      <c r="E44" s="733"/>
      <c r="F44" s="734"/>
      <c r="G44" s="734"/>
      <c r="H44" s="734"/>
      <c r="I44" s="734"/>
    </row>
    <row r="45" customFormat="false" ht="15" hidden="false" customHeight="true" outlineLevel="0" collapsed="false">
      <c r="A45" s="736"/>
      <c r="B45" s="737"/>
      <c r="C45" s="736"/>
      <c r="D45" s="736"/>
      <c r="E45" s="736"/>
      <c r="F45" s="700"/>
      <c r="G45" s="700"/>
      <c r="H45" s="700"/>
      <c r="I45" s="700"/>
    </row>
    <row r="46" customFormat="false" ht="15" hidden="false" customHeight="true" outlineLevel="0" collapsed="false">
      <c r="A46" s="730"/>
      <c r="B46" s="733"/>
      <c r="C46" s="733"/>
      <c r="D46" s="733"/>
      <c r="E46" s="733"/>
      <c r="F46" s="734"/>
      <c r="G46" s="734"/>
      <c r="H46" s="734"/>
      <c r="I46" s="734"/>
    </row>
    <row r="47" customFormat="false" ht="15" hidden="false" customHeight="true" outlineLevel="0" collapsed="false">
      <c r="A47" s="730"/>
      <c r="B47" s="733"/>
      <c r="C47" s="733"/>
      <c r="D47" s="733"/>
      <c r="E47" s="733"/>
      <c r="F47" s="734"/>
      <c r="G47" s="734"/>
      <c r="H47" s="734"/>
      <c r="I47" s="734"/>
    </row>
    <row r="48" customFormat="false" ht="15" hidden="false" customHeight="true" outlineLevel="0" collapsed="false">
      <c r="A48" s="733"/>
      <c r="B48" s="735"/>
      <c r="C48" s="733"/>
      <c r="D48" s="733"/>
      <c r="E48" s="733"/>
      <c r="F48" s="734"/>
      <c r="G48" s="734"/>
      <c r="H48" s="734"/>
      <c r="I48" s="734"/>
    </row>
    <row r="49" customFormat="false" ht="15" hidden="false" customHeight="true" outlineLevel="0" collapsed="false">
      <c r="A49" s="733"/>
      <c r="B49" s="735"/>
      <c r="C49" s="733"/>
      <c r="D49" s="733"/>
      <c r="E49" s="733"/>
      <c r="F49" s="734"/>
      <c r="G49" s="734"/>
      <c r="H49" s="734"/>
      <c r="I49" s="734"/>
    </row>
    <row r="50" customFormat="false" ht="15" hidden="false" customHeight="true" outlineLevel="0" collapsed="false">
      <c r="A50" s="733"/>
      <c r="B50" s="735"/>
      <c r="C50" s="733"/>
      <c r="D50" s="733"/>
      <c r="E50" s="733"/>
      <c r="F50" s="734"/>
      <c r="G50" s="734"/>
      <c r="H50" s="734"/>
      <c r="I50" s="734"/>
    </row>
    <row r="51" customFormat="false" ht="15" hidden="false" customHeight="true" outlineLevel="0" collapsed="false">
      <c r="A51" s="733"/>
      <c r="B51" s="735"/>
      <c r="C51" s="733"/>
      <c r="D51" s="733"/>
      <c r="E51" s="733"/>
      <c r="F51" s="734"/>
      <c r="G51" s="734"/>
      <c r="H51" s="734"/>
      <c r="I51" s="734"/>
    </row>
    <row r="52" s="729" customFormat="true" ht="15" hidden="false" customHeight="true" outlineLevel="0" collapsed="false">
      <c r="A52" s="733"/>
      <c r="B52" s="735"/>
      <c r="C52" s="733"/>
      <c r="D52" s="733"/>
      <c r="E52" s="733"/>
      <c r="F52" s="734"/>
      <c r="G52" s="734"/>
      <c r="H52" s="734"/>
      <c r="I52" s="734"/>
    </row>
    <row r="53" s="732" customFormat="true" ht="15" hidden="false" customHeight="true" outlineLevel="0" collapsed="false">
      <c r="A53" s="733"/>
      <c r="B53" s="735"/>
      <c r="C53" s="733"/>
      <c r="D53" s="733"/>
      <c r="E53" s="733"/>
      <c r="F53" s="734"/>
      <c r="G53" s="734"/>
      <c r="H53" s="734"/>
      <c r="I53" s="734"/>
    </row>
    <row r="54" s="734" customFormat="true" ht="15" hidden="false" customHeight="true" outlineLevel="0" collapsed="false">
      <c r="A54" s="738"/>
      <c r="B54" s="739"/>
      <c r="C54" s="738"/>
      <c r="D54" s="738"/>
      <c r="E54" s="738"/>
      <c r="F54" s="732"/>
      <c r="G54" s="732"/>
      <c r="H54" s="732"/>
      <c r="I54" s="732"/>
    </row>
    <row r="55" s="734" customFormat="true" ht="15" hidden="false" customHeight="true" outlineLevel="0" collapsed="false">
      <c r="A55" s="730"/>
      <c r="B55" s="730"/>
      <c r="C55" s="730"/>
      <c r="D55" s="730"/>
      <c r="E55" s="730"/>
      <c r="F55" s="732"/>
      <c r="G55" s="732"/>
      <c r="H55" s="732"/>
      <c r="I55" s="732"/>
    </row>
    <row r="56" s="734" customFormat="true" ht="15" hidden="false" customHeight="true" outlineLevel="0" collapsed="false">
      <c r="A56" s="733"/>
      <c r="B56" s="735"/>
      <c r="C56" s="733"/>
      <c r="D56" s="733"/>
      <c r="E56" s="733"/>
    </row>
    <row r="57" s="734" customFormat="true" ht="15" hidden="false" customHeight="true" outlineLevel="0" collapsed="false">
      <c r="A57" s="733"/>
      <c r="B57" s="735"/>
      <c r="C57" s="733"/>
      <c r="D57" s="733"/>
      <c r="E57" s="733"/>
    </row>
    <row r="58" s="734" customFormat="true" ht="15" hidden="false" customHeight="true" outlineLevel="0" collapsed="false">
      <c r="A58" s="738"/>
      <c r="B58" s="739"/>
      <c r="C58" s="738"/>
      <c r="D58" s="738"/>
      <c r="E58" s="738"/>
      <c r="F58" s="732"/>
      <c r="G58" s="732"/>
      <c r="H58" s="732"/>
      <c r="I58" s="732"/>
    </row>
    <row r="59" s="700" customFormat="true" ht="15" hidden="false" customHeight="true" outlineLevel="0" collapsed="false">
      <c r="A59" s="736"/>
      <c r="B59" s="737"/>
      <c r="C59" s="736"/>
      <c r="D59" s="736"/>
      <c r="E59" s="736"/>
    </row>
    <row r="60" s="734" customFormat="true" ht="15" hidden="false" customHeight="true" outlineLevel="0" collapsed="false">
      <c r="A60" s="730"/>
      <c r="B60" s="735"/>
      <c r="C60" s="733"/>
      <c r="D60" s="733"/>
      <c r="E60" s="733"/>
    </row>
    <row r="61" s="700" customFormat="true" ht="15" hidden="false" customHeight="true" outlineLevel="0" collapsed="false">
      <c r="A61" s="730"/>
      <c r="B61" s="731"/>
      <c r="C61" s="730"/>
      <c r="D61" s="730"/>
      <c r="E61" s="730"/>
      <c r="F61" s="732"/>
      <c r="G61" s="732"/>
      <c r="H61" s="732"/>
      <c r="I61" s="732"/>
    </row>
    <row r="62" s="734" customFormat="true" ht="15" hidden="false" customHeight="true" outlineLevel="0" collapsed="false">
      <c r="A62" s="740"/>
      <c r="B62" s="741"/>
      <c r="C62" s="740"/>
      <c r="D62" s="740"/>
      <c r="E62" s="740"/>
      <c r="F62" s="729"/>
      <c r="G62" s="729"/>
      <c r="H62" s="729"/>
      <c r="I62" s="729"/>
    </row>
    <row r="63" s="734" customFormat="true" ht="15" hidden="false" customHeight="true" outlineLevel="0" collapsed="false">
      <c r="A63" s="742"/>
      <c r="B63" s="676"/>
      <c r="C63" s="676"/>
      <c r="D63" s="676"/>
      <c r="E63" s="676"/>
      <c r="F63" s="677"/>
      <c r="G63" s="677"/>
      <c r="H63" s="677"/>
      <c r="I63" s="677"/>
    </row>
    <row r="64" s="734" customFormat="true" ht="15" hidden="false" customHeight="true" outlineLevel="0" collapsed="false">
      <c r="A64" s="676"/>
      <c r="B64" s="676"/>
      <c r="C64" s="676"/>
      <c r="D64" s="676"/>
      <c r="E64" s="676"/>
      <c r="F64" s="677"/>
      <c r="G64" s="677"/>
      <c r="H64" s="677"/>
      <c r="I64" s="677"/>
    </row>
    <row r="65" s="734" customFormat="true" ht="15" hidden="false" customHeight="true" outlineLevel="0" collapsed="false">
      <c r="A65" s="743"/>
      <c r="B65" s="744"/>
      <c r="C65" s="745"/>
      <c r="D65" s="745"/>
      <c r="E65" s="745"/>
      <c r="F65" s="677"/>
      <c r="G65" s="677"/>
      <c r="H65" s="677"/>
      <c r="I65" s="677"/>
    </row>
    <row r="66" s="734" customFormat="true" ht="15" hidden="false" customHeight="true" outlineLevel="0" collapsed="false">
      <c r="A66" s="676"/>
      <c r="B66" s="676"/>
      <c r="C66" s="676"/>
      <c r="D66" s="676"/>
      <c r="E66" s="676"/>
      <c r="F66" s="677"/>
      <c r="G66" s="677"/>
      <c r="H66" s="677"/>
      <c r="I66" s="677"/>
    </row>
    <row r="67" s="734" customFormat="true" ht="15" hidden="false" customHeight="true" outlineLevel="0" collapsed="false">
      <c r="A67" s="733"/>
      <c r="B67" s="724"/>
      <c r="C67" s="676"/>
      <c r="D67" s="676"/>
      <c r="E67" s="676"/>
      <c r="F67" s="677"/>
      <c r="G67" s="677"/>
      <c r="H67" s="677"/>
      <c r="I67" s="677"/>
    </row>
    <row r="68" s="734" customFormat="true" ht="15" hidden="false" customHeight="true" outlineLevel="0" collapsed="false">
      <c r="A68" s="676"/>
      <c r="B68" s="724"/>
      <c r="C68" s="676"/>
      <c r="D68" s="676"/>
      <c r="E68" s="676"/>
      <c r="F68" s="677"/>
      <c r="G68" s="677"/>
      <c r="H68" s="677"/>
      <c r="I68" s="677"/>
    </row>
    <row r="69" s="734" customFormat="true" ht="15" hidden="false" customHeight="true" outlineLevel="0" collapsed="false">
      <c r="A69" s="742"/>
      <c r="B69" s="724"/>
      <c r="C69" s="676"/>
      <c r="D69" s="676"/>
      <c r="E69" s="676"/>
      <c r="F69" s="677"/>
      <c r="G69" s="677"/>
      <c r="H69" s="677"/>
      <c r="I69" s="677"/>
    </row>
    <row r="70" s="732" customFormat="true" ht="15" hidden="false" customHeight="true" outlineLevel="0" collapsed="false">
      <c r="A70" s="746"/>
      <c r="B70" s="724"/>
      <c r="C70" s="676"/>
      <c r="D70" s="676"/>
      <c r="E70" s="676"/>
      <c r="F70" s="677"/>
      <c r="G70" s="677"/>
      <c r="H70" s="677"/>
      <c r="I70" s="677"/>
    </row>
    <row r="71" s="732" customFormat="true" ht="15" hidden="false" customHeight="true" outlineLevel="0" collapsed="false">
      <c r="A71" s="679"/>
      <c r="B71" s="724"/>
      <c r="C71" s="676"/>
      <c r="D71" s="676"/>
      <c r="E71" s="676"/>
      <c r="F71" s="677"/>
      <c r="G71" s="677"/>
      <c r="H71" s="677"/>
      <c r="I71" s="677"/>
    </row>
    <row r="72" s="734" customFormat="true" ht="15" hidden="false" customHeight="true" outlineLevel="0" collapsed="false">
      <c r="A72" s="679"/>
      <c r="B72" s="724"/>
      <c r="C72" s="676"/>
      <c r="D72" s="676"/>
      <c r="E72" s="676"/>
      <c r="F72" s="677"/>
      <c r="G72" s="677"/>
      <c r="H72" s="677"/>
      <c r="I72" s="677"/>
    </row>
    <row r="73" s="734" customFormat="true" ht="15" hidden="false" customHeight="true" outlineLevel="0" collapsed="false">
      <c r="A73" s="679"/>
      <c r="B73" s="724"/>
      <c r="C73" s="676"/>
      <c r="D73" s="676"/>
      <c r="E73" s="676"/>
      <c r="F73" s="677"/>
      <c r="G73" s="677"/>
      <c r="H73" s="677"/>
      <c r="I73" s="677"/>
    </row>
    <row r="74" s="732" customFormat="true" ht="15" hidden="false" customHeight="true" outlineLevel="0" collapsed="false">
      <c r="A74" s="679"/>
      <c r="B74" s="724"/>
      <c r="C74" s="676"/>
      <c r="D74" s="676"/>
      <c r="E74" s="676"/>
      <c r="F74" s="677"/>
      <c r="G74" s="677"/>
      <c r="H74" s="677"/>
      <c r="I74" s="677"/>
    </row>
    <row r="75" s="700" customFormat="true" ht="15" hidden="false" customHeight="true" outlineLevel="0" collapsed="false">
      <c r="A75" s="679"/>
      <c r="B75" s="724"/>
      <c r="C75" s="676"/>
      <c r="D75" s="676"/>
      <c r="E75" s="676"/>
      <c r="F75" s="677"/>
      <c r="G75" s="677"/>
      <c r="H75" s="677"/>
      <c r="I75" s="677"/>
    </row>
    <row r="76" s="734" customFormat="true" ht="15" hidden="false" customHeight="true" outlineLevel="0" collapsed="false">
      <c r="A76" s="747"/>
      <c r="B76" s="748"/>
      <c r="C76" s="740"/>
      <c r="D76" s="740"/>
      <c r="E76" s="740"/>
      <c r="F76" s="729"/>
      <c r="G76" s="729"/>
      <c r="H76" s="729"/>
      <c r="I76" s="729"/>
    </row>
    <row r="77" s="732" customFormat="true" ht="15" hidden="false" customHeight="true" outlineLevel="0" collapsed="false">
      <c r="A77" s="730"/>
      <c r="B77" s="676"/>
      <c r="C77" s="676"/>
      <c r="D77" s="676"/>
      <c r="E77" s="676"/>
      <c r="F77" s="677"/>
      <c r="G77" s="677"/>
      <c r="H77" s="677"/>
      <c r="I77" s="677"/>
    </row>
    <row r="78" s="729" customFormat="true" ht="15" hidden="false" customHeight="true" outlineLevel="0" collapsed="false">
      <c r="A78" s="733"/>
      <c r="B78" s="724"/>
      <c r="C78" s="676"/>
      <c r="D78" s="676"/>
      <c r="E78" s="676"/>
      <c r="F78" s="677"/>
      <c r="G78" s="677"/>
      <c r="H78" s="677"/>
      <c r="I78" s="677"/>
    </row>
    <row r="79" customFormat="false" ht="15" hidden="false" customHeight="true" outlineLevel="0" collapsed="false">
      <c r="A79" s="733"/>
      <c r="B79" s="724"/>
    </row>
    <row r="80" customFormat="false" ht="15" hidden="false" customHeight="true" outlineLevel="0" collapsed="false">
      <c r="A80" s="733"/>
      <c r="B80" s="724"/>
    </row>
    <row r="81" customFormat="false" ht="15" hidden="false" customHeight="true" outlineLevel="0" collapsed="false">
      <c r="A81" s="733"/>
      <c r="B81" s="749"/>
      <c r="C81" s="733"/>
      <c r="D81" s="733"/>
      <c r="E81" s="733"/>
      <c r="F81" s="734"/>
      <c r="G81" s="734"/>
      <c r="H81" s="734"/>
      <c r="I81" s="734"/>
    </row>
    <row r="82" customFormat="false" ht="15" hidden="false" customHeight="true" outlineLevel="0" collapsed="false">
      <c r="A82" s="730"/>
      <c r="B82" s="724"/>
    </row>
    <row r="83" customFormat="false" ht="15" hidden="false" customHeight="true" outlineLevel="0" collapsed="false">
      <c r="A83" s="730"/>
      <c r="B83" s="724"/>
    </row>
    <row r="84" customFormat="false" ht="15" hidden="false" customHeight="true" outlineLevel="0" collapsed="false">
      <c r="A84" s="730"/>
      <c r="B84" s="724"/>
    </row>
    <row r="85" customFormat="false" ht="15" hidden="false" customHeight="true" outlineLevel="0" collapsed="false">
      <c r="A85" s="730"/>
    </row>
    <row r="86" customFormat="false" ht="15" hidden="false" customHeight="true" outlineLevel="0" collapsed="false">
      <c r="A86" s="733"/>
      <c r="B86" s="724"/>
    </row>
    <row r="87" customFormat="false" ht="15" hidden="false" customHeight="true" outlineLevel="0" collapsed="false">
      <c r="A87" s="733"/>
      <c r="B87" s="724"/>
    </row>
    <row r="88" customFormat="false" ht="15" hidden="false" customHeight="true" outlineLevel="0" collapsed="false">
      <c r="A88" s="733"/>
      <c r="B88" s="749"/>
    </row>
    <row r="89" customFormat="false" ht="15" hidden="false" customHeight="true" outlineLevel="0" collapsed="false">
      <c r="A89" s="733"/>
      <c r="B89" s="749"/>
      <c r="C89" s="733"/>
      <c r="D89" s="733"/>
      <c r="E89" s="733"/>
      <c r="F89" s="734"/>
      <c r="G89" s="734"/>
      <c r="H89" s="734"/>
      <c r="I89" s="734"/>
    </row>
    <row r="90" customFormat="false" ht="15" hidden="false" customHeight="true" outlineLevel="0" collapsed="false">
      <c r="A90" s="733"/>
      <c r="B90" s="749"/>
      <c r="C90" s="733"/>
      <c r="D90" s="733"/>
      <c r="E90" s="733"/>
      <c r="F90" s="734"/>
      <c r="G90" s="734"/>
      <c r="H90" s="734"/>
      <c r="I90" s="734"/>
    </row>
    <row r="91" customFormat="false" ht="15" hidden="false" customHeight="true" outlineLevel="0" collapsed="false">
      <c r="A91" s="733"/>
      <c r="B91" s="724"/>
      <c r="C91" s="679"/>
      <c r="D91" s="679"/>
      <c r="E91" s="679"/>
      <c r="F91" s="700"/>
      <c r="G91" s="700"/>
      <c r="H91" s="700"/>
      <c r="I91" s="700"/>
    </row>
    <row r="92" s="729" customFormat="true" ht="15" hidden="false" customHeight="true" outlineLevel="0" collapsed="false">
      <c r="A92" s="733"/>
      <c r="B92" s="724"/>
      <c r="C92" s="676"/>
      <c r="D92" s="676"/>
      <c r="E92" s="676"/>
      <c r="F92" s="677"/>
      <c r="G92" s="677"/>
      <c r="H92" s="677"/>
      <c r="I92" s="677"/>
    </row>
    <row r="93" customFormat="false" ht="15" hidden="false" customHeight="true" outlineLevel="0" collapsed="false">
      <c r="A93" s="730"/>
      <c r="B93" s="724"/>
    </row>
    <row r="94" customFormat="false" ht="15" hidden="false" customHeight="true" outlineLevel="0" collapsed="false">
      <c r="A94" s="733"/>
      <c r="B94" s="724"/>
    </row>
    <row r="95" customFormat="false" ht="15" hidden="false" customHeight="true" outlineLevel="0" collapsed="false">
      <c r="A95" s="733"/>
      <c r="B95" s="724"/>
    </row>
    <row r="96" customFormat="false" ht="15" hidden="false" customHeight="true" outlineLevel="0" collapsed="false">
      <c r="A96" s="733"/>
      <c r="B96" s="724"/>
    </row>
    <row r="97" s="734" customFormat="true" ht="15" hidden="false" customHeight="true" outlineLevel="0" collapsed="false">
      <c r="A97" s="730"/>
      <c r="B97" s="724"/>
      <c r="C97" s="676"/>
      <c r="D97" s="676"/>
      <c r="E97" s="676"/>
      <c r="F97" s="677"/>
      <c r="G97" s="677"/>
      <c r="H97" s="677"/>
      <c r="I97" s="677"/>
    </row>
    <row r="98" customFormat="false" ht="15" hidden="false" customHeight="true" outlineLevel="0" collapsed="false">
      <c r="A98" s="730"/>
      <c r="B98" s="724"/>
    </row>
    <row r="99" customFormat="false" ht="15" hidden="false" customHeight="true" outlineLevel="0" collapsed="false">
      <c r="A99" s="747"/>
      <c r="B99" s="748"/>
      <c r="C99" s="740"/>
      <c r="D99" s="740"/>
      <c r="E99" s="740"/>
      <c r="F99" s="729"/>
      <c r="G99" s="729"/>
      <c r="H99" s="729"/>
      <c r="I99" s="729"/>
    </row>
    <row r="100" customFormat="false" ht="15" hidden="false" customHeight="true" outlineLevel="0" collapsed="false">
      <c r="A100" s="740"/>
      <c r="B100" s="750"/>
      <c r="C100" s="751"/>
      <c r="D100" s="751"/>
      <c r="E100" s="751"/>
      <c r="F100" s="752"/>
      <c r="G100" s="752"/>
      <c r="H100" s="752"/>
      <c r="I100" s="752"/>
    </row>
    <row r="102" customFormat="false" ht="15" hidden="false" customHeight="true" outlineLevel="0" collapsed="false">
      <c r="B102" s="726"/>
    </row>
    <row r="105" s="734" customFormat="true" ht="15" hidden="false" customHeight="true" outlineLevel="0" collapsed="false">
      <c r="A105" s="676"/>
      <c r="B105" s="676"/>
      <c r="C105" s="676"/>
      <c r="D105" s="676"/>
      <c r="E105" s="676"/>
      <c r="F105" s="677"/>
      <c r="G105" s="677"/>
      <c r="H105" s="677"/>
      <c r="I105" s="677"/>
    </row>
    <row r="106" s="734" customFormat="true" ht="15" hidden="false" customHeight="true" outlineLevel="0" collapsed="false">
      <c r="A106" s="676"/>
      <c r="B106" s="676"/>
      <c r="C106" s="676"/>
      <c r="D106" s="676"/>
      <c r="E106" s="676"/>
      <c r="F106" s="677"/>
      <c r="G106" s="677"/>
      <c r="H106" s="677"/>
      <c r="I106" s="677"/>
    </row>
    <row r="107" s="700" customFormat="true" ht="15" hidden="false" customHeight="true" outlineLevel="0" collapsed="false">
      <c r="A107" s="676"/>
      <c r="B107" s="676"/>
      <c r="C107" s="676"/>
      <c r="D107" s="676"/>
      <c r="E107" s="676"/>
      <c r="F107" s="677"/>
      <c r="G107" s="677"/>
      <c r="H107" s="677"/>
      <c r="I107" s="677"/>
    </row>
    <row r="115" s="729" customFormat="true" ht="15" hidden="false" customHeight="true" outlineLevel="0" collapsed="false">
      <c r="A115" s="676"/>
      <c r="B115" s="676"/>
      <c r="C115" s="676"/>
      <c r="D115" s="676"/>
      <c r="E115" s="676"/>
      <c r="F115" s="677"/>
      <c r="G115" s="677"/>
      <c r="H115" s="677"/>
      <c r="I115" s="677"/>
    </row>
    <row r="116" s="752" customFormat="true" ht="15" hidden="false" customHeight="true" outlineLevel="0" collapsed="false">
      <c r="A116" s="676"/>
      <c r="B116" s="676"/>
      <c r="C116" s="676"/>
      <c r="D116" s="676"/>
      <c r="E116" s="676"/>
      <c r="F116" s="677"/>
      <c r="G116" s="677"/>
      <c r="H116" s="677"/>
      <c r="I116" s="677"/>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80"/>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G15" activeCellId="0" sqref="G15"/>
    </sheetView>
  </sheetViews>
  <sheetFormatPr defaultColWidth="9.13671875" defaultRowHeight="11.25" zeroHeight="false" outlineLevelRow="0" outlineLevelCol="0"/>
  <cols>
    <col collapsed="false" customWidth="true" hidden="false" outlineLevel="0" max="1" min="1" style="123" width="31.28"/>
    <col collapsed="false" customWidth="false" hidden="false" outlineLevel="0" max="5" min="2" style="123" width="9.13"/>
    <col collapsed="false" customWidth="true" hidden="false" outlineLevel="0" max="6" min="6" style="123" width="9.56"/>
    <col collapsed="false" customWidth="false" hidden="false" outlineLevel="0" max="10" min="7" style="123" width="9.13"/>
    <col collapsed="false" customWidth="true" hidden="false" outlineLevel="0" max="11" min="11" style="123" width="9.99"/>
    <col collapsed="false" customWidth="false" hidden="false" outlineLevel="0" max="257" min="12" style="123" width="9.13"/>
  </cols>
  <sheetData>
    <row r="1" customFormat="false" ht="21" hidden="false" customHeight="false" outlineLevel="0" collapsed="false">
      <c r="A1" s="753" t="s">
        <v>214</v>
      </c>
      <c r="B1" s="111"/>
      <c r="L1" s="111"/>
      <c r="M1" s="111"/>
      <c r="N1" s="111"/>
      <c r="O1" s="111"/>
      <c r="P1" s="111"/>
      <c r="Q1" s="111"/>
      <c r="R1" s="111"/>
      <c r="S1" s="111"/>
      <c r="T1" s="111"/>
      <c r="U1" s="111"/>
      <c r="V1" s="111"/>
      <c r="W1" s="111"/>
      <c r="X1" s="111"/>
      <c r="Y1" s="111"/>
      <c r="Z1" s="111"/>
      <c r="AA1" s="111"/>
      <c r="AB1" s="111"/>
      <c r="AC1" s="111"/>
      <c r="AD1" s="111"/>
    </row>
    <row r="2" customFormat="false" ht="15.75" hidden="false" customHeight="false" outlineLevel="0" collapsed="false">
      <c r="A2" s="754" t="s">
        <v>306</v>
      </c>
      <c r="B2" s="111"/>
      <c r="L2" s="111"/>
      <c r="M2" s="111"/>
      <c r="N2" s="111"/>
      <c r="O2" s="111"/>
      <c r="P2" s="111"/>
      <c r="Q2" s="111"/>
      <c r="R2" s="111"/>
      <c r="S2" s="111"/>
      <c r="T2" s="111"/>
      <c r="U2" s="111"/>
      <c r="V2" s="111"/>
      <c r="W2" s="111"/>
      <c r="X2" s="111"/>
      <c r="Y2" s="111"/>
      <c r="Z2" s="111"/>
      <c r="AA2" s="111"/>
      <c r="AB2" s="111"/>
      <c r="AC2" s="111"/>
      <c r="AD2" s="111"/>
    </row>
    <row r="3" customFormat="false" ht="12.75" hidden="false" customHeight="false" outlineLevel="0" collapsed="false">
      <c r="A3" s="755" t="s">
        <v>307</v>
      </c>
      <c r="B3" s="756"/>
      <c r="C3" s="756"/>
      <c r="D3" s="756"/>
      <c r="E3" s="756"/>
      <c r="F3" s="756"/>
      <c r="G3" s="756"/>
      <c r="H3" s="756"/>
      <c r="I3" s="756"/>
      <c r="J3" s="756"/>
      <c r="K3" s="756"/>
      <c r="L3" s="111"/>
      <c r="M3" s="111"/>
      <c r="N3" s="111"/>
      <c r="O3" s="111"/>
      <c r="P3" s="111"/>
      <c r="Q3" s="111"/>
      <c r="R3" s="111"/>
      <c r="S3" s="111"/>
      <c r="T3" s="111"/>
      <c r="U3" s="111"/>
      <c r="V3" s="111"/>
      <c r="W3" s="111"/>
      <c r="X3" s="111"/>
      <c r="Y3" s="111"/>
      <c r="Z3" s="111"/>
      <c r="AA3" s="111"/>
      <c r="AB3" s="111"/>
      <c r="AC3" s="111"/>
      <c r="AD3" s="111"/>
    </row>
    <row r="5" customFormat="false" ht="12" hidden="false" customHeight="false" outlineLevel="0" collapsed="false">
      <c r="A5" s="757" t="s">
        <v>308</v>
      </c>
      <c r="B5" s="51"/>
      <c r="D5" s="758" t="s">
        <v>309</v>
      </c>
      <c r="E5" s="758"/>
      <c r="F5" s="51"/>
      <c r="G5" s="51"/>
      <c r="I5" s="758" t="s">
        <v>310</v>
      </c>
      <c r="J5" s="758"/>
      <c r="K5" s="51"/>
    </row>
    <row r="6" customFormat="false" ht="11.25" hidden="false" customHeight="false" outlineLevel="0" collapsed="false">
      <c r="A6" s="759" t="s">
        <v>311</v>
      </c>
      <c r="B6" s="760" t="n">
        <v>0.025</v>
      </c>
      <c r="D6" s="759"/>
      <c r="E6" s="759"/>
      <c r="F6" s="759"/>
      <c r="G6" s="759"/>
      <c r="I6" s="761" t="s">
        <v>312</v>
      </c>
      <c r="J6" s="761"/>
      <c r="K6" s="762" t="n">
        <f aca="false">G9/G13</f>
        <v>0.999128121930658</v>
      </c>
    </row>
    <row r="7" customFormat="false" ht="11.25" hidden="false" customHeight="false" outlineLevel="0" collapsed="false">
      <c r="D7" s="763" t="s">
        <v>27</v>
      </c>
      <c r="E7" s="763"/>
      <c r="F7" s="759"/>
      <c r="G7" s="764" t="n">
        <v>420.65</v>
      </c>
      <c r="I7" s="765" t="s">
        <v>313</v>
      </c>
      <c r="J7" s="765"/>
      <c r="K7" s="766" t="n">
        <f aca="false">G12/G13</f>
        <v>0.000871878069342121</v>
      </c>
    </row>
    <row r="8" customFormat="false" ht="11.25" hidden="false" customHeight="false" outlineLevel="0" collapsed="false">
      <c r="D8" s="763" t="s">
        <v>314</v>
      </c>
      <c r="E8" s="763"/>
      <c r="F8" s="759"/>
      <c r="G8" s="87" t="n">
        <v>12684.8</v>
      </c>
      <c r="I8" s="765"/>
      <c r="J8" s="765"/>
      <c r="K8" s="759"/>
    </row>
    <row r="9" customFormat="false" ht="12" hidden="false" customHeight="false" outlineLevel="0" collapsed="false">
      <c r="A9" s="757" t="s">
        <v>315</v>
      </c>
      <c r="B9" s="51"/>
      <c r="D9" s="763" t="s">
        <v>316</v>
      </c>
      <c r="E9" s="763"/>
      <c r="F9" s="759"/>
      <c r="G9" s="767" t="n">
        <f aca="false">G8*G7</f>
        <v>5335861.12</v>
      </c>
      <c r="I9" s="765" t="s">
        <v>317</v>
      </c>
      <c r="J9" s="765"/>
      <c r="K9" s="768" t="n">
        <v>0.06</v>
      </c>
    </row>
    <row r="10" customFormat="false" ht="11.25" hidden="false" customHeight="false" outlineLevel="0" collapsed="false">
      <c r="A10" s="759" t="s">
        <v>318</v>
      </c>
      <c r="B10" s="769" t="n">
        <f aca="false">B11+B12*(B13)</f>
        <v>0.1234</v>
      </c>
      <c r="D10" s="763" t="s">
        <v>319</v>
      </c>
      <c r="E10" s="763"/>
      <c r="F10" s="759"/>
      <c r="G10" s="71" t="n">
        <f aca="false">BALANCESHEET!E19</f>
        <v>1200.13</v>
      </c>
      <c r="I10" s="765" t="s">
        <v>320</v>
      </c>
      <c r="J10" s="765"/>
      <c r="K10" s="770" t="n">
        <f aca="false">'INCOME STATEMENT'!V37</f>
        <v>33.3884912327552</v>
      </c>
    </row>
    <row r="11" customFormat="false" ht="11.25" hidden="false" customHeight="false" outlineLevel="0" collapsed="false">
      <c r="A11" s="759" t="s">
        <v>321</v>
      </c>
      <c r="B11" s="771" t="n">
        <v>0.04</v>
      </c>
      <c r="D11" s="763" t="s">
        <v>322</v>
      </c>
      <c r="E11" s="763"/>
      <c r="F11" s="759"/>
      <c r="G11" s="71" t="n">
        <f aca="false">BALANCESHEET!E39</f>
        <v>3456.15</v>
      </c>
    </row>
    <row r="12" customFormat="false" ht="12" hidden="false" customHeight="false" outlineLevel="0" collapsed="false">
      <c r="A12" s="759" t="s">
        <v>323</v>
      </c>
      <c r="B12" s="772" t="n">
        <v>1.39</v>
      </c>
      <c r="D12" s="763" t="s">
        <v>324</v>
      </c>
      <c r="E12" s="763"/>
      <c r="F12" s="759"/>
      <c r="G12" s="71" t="n">
        <f aca="false">G10+G11</f>
        <v>4656.28</v>
      </c>
      <c r="I12" s="758" t="s">
        <v>325</v>
      </c>
      <c r="J12" s="758"/>
      <c r="K12" s="51"/>
    </row>
    <row r="13" customFormat="false" ht="11.25" hidden="false" customHeight="false" outlineLevel="0" collapsed="false">
      <c r="A13" s="759" t="s">
        <v>326</v>
      </c>
      <c r="B13" s="760" t="n">
        <v>0.06</v>
      </c>
      <c r="D13" s="763" t="s">
        <v>327</v>
      </c>
      <c r="E13" s="763"/>
      <c r="F13" s="759"/>
      <c r="G13" s="767" t="n">
        <f aca="false">G9+G12</f>
        <v>5340517.4</v>
      </c>
      <c r="I13" s="761" t="s">
        <v>328</v>
      </c>
      <c r="J13" s="761"/>
      <c r="K13" s="768" t="n">
        <f aca="false">B10*K6+K9*K7*(1-K10)</f>
        <v>0.121598081333948</v>
      </c>
    </row>
    <row r="15" customFormat="false" ht="12" hidden="false" customHeight="false" outlineLevel="0" collapsed="false">
      <c r="A15" s="757" t="s">
        <v>329</v>
      </c>
      <c r="B15" s="51"/>
      <c r="C15" s="51"/>
      <c r="D15" s="51"/>
      <c r="E15" s="51"/>
      <c r="F15" s="51"/>
      <c r="G15" s="51"/>
      <c r="H15" s="51"/>
      <c r="I15" s="51"/>
      <c r="J15" s="51"/>
      <c r="K15" s="51"/>
    </row>
    <row r="16" customFormat="false" ht="22.5" hidden="false" customHeight="false" outlineLevel="0" collapsed="false">
      <c r="B16" s="773"/>
      <c r="C16" s="774" t="s">
        <v>330</v>
      </c>
      <c r="D16" s="774"/>
      <c r="E16" s="774"/>
      <c r="F16" s="775" t="s">
        <v>331</v>
      </c>
      <c r="G16" s="775"/>
      <c r="H16" s="775"/>
      <c r="I16" s="775"/>
      <c r="J16" s="775"/>
      <c r="K16" s="776" t="s">
        <v>332</v>
      </c>
    </row>
    <row r="17" customFormat="false" ht="12" hidden="false" customHeight="false" outlineLevel="0" collapsed="false">
      <c r="B17" s="777" t="s">
        <v>333</v>
      </c>
      <c r="C17" s="778" t="s">
        <v>334</v>
      </c>
      <c r="D17" s="778" t="s">
        <v>335</v>
      </c>
      <c r="E17" s="778" t="s">
        <v>336</v>
      </c>
      <c r="F17" s="778" t="s">
        <v>337</v>
      </c>
      <c r="G17" s="778" t="s">
        <v>338</v>
      </c>
      <c r="H17" s="778" t="s">
        <v>339</v>
      </c>
      <c r="I17" s="778" t="s">
        <v>340</v>
      </c>
      <c r="J17" s="778" t="s">
        <v>341</v>
      </c>
      <c r="K17" s="778" t="s">
        <v>342</v>
      </c>
    </row>
    <row r="19" customFormat="false" ht="11.25" hidden="false" customHeight="false" outlineLevel="0" collapsed="false">
      <c r="A19" s="779" t="s">
        <v>343</v>
      </c>
      <c r="B19" s="780" t="n">
        <f aca="false">'INCOME STATEMENT'!V6</f>
        <v>2377595</v>
      </c>
      <c r="C19" s="780" t="n">
        <f aca="false">'INCOME STATEMENT'!AC6</f>
        <v>2472138</v>
      </c>
      <c r="D19" s="780" t="n">
        <f aca="false">'INCOME STATEMENT'!AD6</f>
        <v>3263222.2</v>
      </c>
      <c r="E19" s="780" t="n">
        <f aca="false">'INCOME STATEMENT'!AE6</f>
        <v>4405349.97</v>
      </c>
      <c r="F19" s="780" t="n">
        <f aca="false">'INCOME STATEMENT'!AF6</f>
        <v>6167490</v>
      </c>
      <c r="G19" s="780" t="n">
        <f aca="false">'INCOME STATEMENT'!AG6</f>
        <v>8942860</v>
      </c>
      <c r="H19" s="780" t="n">
        <f aca="false">G19*(1+H37)</f>
        <v>10516803.36</v>
      </c>
      <c r="I19" s="780" t="n">
        <f aca="false">H19*(1+I37)</f>
        <v>11757786.15648</v>
      </c>
      <c r="J19" s="780" t="n">
        <f aca="false">I19*(1+J37)</f>
        <v>12463253.3258688</v>
      </c>
      <c r="K19" s="780" t="n">
        <f aca="false">J19*(1+K37)</f>
        <v>12774834.6590155</v>
      </c>
    </row>
    <row r="20" customFormat="false" ht="11.25" hidden="false" customHeight="false" outlineLevel="0" collapsed="false">
      <c r="A20" s="779" t="s">
        <v>344</v>
      </c>
      <c r="B20" s="780" t="n">
        <f aca="false">'INCOME STATEMENT'!V21</f>
        <v>404431</v>
      </c>
      <c r="C20" s="780" t="n">
        <f aca="false">'INCOME STATEMENT'!AC21</f>
        <v>442108</v>
      </c>
      <c r="D20" s="780" t="n">
        <f aca="false">'INCOME STATEMENT'!AD21</f>
        <v>440534.997</v>
      </c>
      <c r="E20" s="780" t="n">
        <f aca="false">'INCOME STATEMENT'!AE21</f>
        <v>585911.54601</v>
      </c>
      <c r="F20" s="780" t="n">
        <f aca="false">'INCOME STATEMENT'!AF21</f>
        <v>696926.37</v>
      </c>
      <c r="G20" s="780" t="n">
        <f aca="false">'INCOME STATEMENT'!AG21</f>
        <v>1171514.66</v>
      </c>
      <c r="H20" s="780" t="n">
        <f aca="false">H21+H24</f>
        <v>1398734.84688</v>
      </c>
      <c r="I20" s="780" t="n">
        <f aca="false">I21+I24</f>
        <v>1563785.55881184</v>
      </c>
      <c r="J20" s="780" t="n">
        <f aca="false">J21+J24</f>
        <v>1657612.69234055</v>
      </c>
      <c r="K20" s="780" t="n">
        <f aca="false">K21+K24</f>
        <v>1699053.00964906</v>
      </c>
    </row>
    <row r="21" customFormat="false" ht="11.25" hidden="false" customHeight="false" outlineLevel="0" collapsed="false">
      <c r="A21" s="781" t="s">
        <v>345</v>
      </c>
      <c r="B21" s="780" t="n">
        <f aca="false">'INCOME STATEMENT'!V21-'INCOME STATEMENT'!V27</f>
        <v>348440</v>
      </c>
      <c r="C21" s="780" t="n">
        <f aca="false">C20-'INCOME STATEMENT'!AC27</f>
        <v>385417</v>
      </c>
      <c r="D21" s="780" t="n">
        <f aca="false">D20-'INCOME STATEMENT'!AD27</f>
        <v>383018.997</v>
      </c>
      <c r="E21" s="780" t="n">
        <f aca="false">E20-'INCOME STATEMENT'!AE27</f>
        <v>527445.54601</v>
      </c>
      <c r="F21" s="780" t="n">
        <f aca="false">F20-'INCOME STATEMENT'!AF27</f>
        <v>637660.37</v>
      </c>
      <c r="G21" s="780" t="n">
        <f aca="false">G20-'INCOME STATEMENT'!AG27</f>
        <v>1111464.66</v>
      </c>
      <c r="H21" s="782" t="n">
        <f aca="false">H19*H44</f>
        <v>1259160.1412532</v>
      </c>
      <c r="I21" s="782" t="n">
        <f aca="false">I19*I44</f>
        <v>1407741.03792108</v>
      </c>
      <c r="J21" s="782" t="n">
        <f aca="false">J19*J44</f>
        <v>1492205.50019635</v>
      </c>
      <c r="K21" s="782" t="n">
        <f aca="false">K19*K44</f>
        <v>1529510.63770126</v>
      </c>
    </row>
    <row r="22" customFormat="false" ht="11.25" hidden="false" customHeight="false" outlineLevel="0" collapsed="false">
      <c r="A22" s="783" t="s">
        <v>346</v>
      </c>
      <c r="B22" s="784" t="n">
        <f aca="false">'INCOME STATEMENT'!V33</f>
        <v>140032</v>
      </c>
      <c r="C22" s="784" t="n">
        <f aca="false">'INCOME STATEMENT'!AC33</f>
        <v>148269.3</v>
      </c>
      <c r="D22" s="784" t="n">
        <f aca="false">'INCOME STATEMENT'!AD33</f>
        <v>132083.81901</v>
      </c>
      <c r="E22" s="784" t="n">
        <f aca="false">'INCOME STATEMENT'!AE33</f>
        <v>181781.0101833</v>
      </c>
      <c r="F22" s="784" t="n">
        <f aca="false">'INCOME STATEMENT'!AF33</f>
        <v>220848.3321</v>
      </c>
      <c r="G22" s="784" t="n">
        <f aca="false">'INCOME STATEMENT'!AG33</f>
        <v>379029.9678</v>
      </c>
      <c r="H22" s="785" t="n">
        <f aca="false">H21*H48</f>
        <v>433962.148682576</v>
      </c>
      <c r="I22" s="785" t="n">
        <f aca="false">I21*I48</f>
        <v>485169.68222712</v>
      </c>
      <c r="J22" s="785" t="n">
        <f aca="false">J21*J48</f>
        <v>514279.863160747</v>
      </c>
      <c r="K22" s="785" t="n">
        <f aca="false">K21*K48</f>
        <v>527136.859739766</v>
      </c>
    </row>
    <row r="23" customFormat="false" ht="11.25" hidden="false" customHeight="false" outlineLevel="0" collapsed="false">
      <c r="A23" s="759" t="s">
        <v>347</v>
      </c>
      <c r="B23" s="780" t="n">
        <f aca="false">B21-B22</f>
        <v>208408</v>
      </c>
      <c r="C23" s="780" t="n">
        <f aca="false">C21-C22</f>
        <v>237147.7</v>
      </c>
      <c r="D23" s="780" t="n">
        <f aca="false">D21-D22</f>
        <v>250935.17799</v>
      </c>
      <c r="E23" s="780" t="n">
        <f aca="false">E21-E22</f>
        <v>345664.5358267</v>
      </c>
      <c r="F23" s="780" t="n">
        <f aca="false">F21-F22</f>
        <v>416812.0379</v>
      </c>
      <c r="G23" s="780" t="n">
        <f aca="false">G21-G22</f>
        <v>732434.6922</v>
      </c>
      <c r="H23" s="780" t="n">
        <f aca="false">H21-H22</f>
        <v>825197.992570628</v>
      </c>
      <c r="I23" s="780" t="n">
        <f aca="false">I21-I22</f>
        <v>922571.355693962</v>
      </c>
      <c r="J23" s="780" t="n">
        <f aca="false">J21-J22</f>
        <v>977925.6370356</v>
      </c>
      <c r="K23" s="780" t="n">
        <f aca="false">K21-K22</f>
        <v>1002373.77796149</v>
      </c>
    </row>
    <row r="24" customFormat="false" ht="11.25" hidden="false" customHeight="false" outlineLevel="0" collapsed="false">
      <c r="A24" s="779" t="s">
        <v>348</v>
      </c>
      <c r="B24" s="780" t="n">
        <f aca="false">'INCOME STATEMENT'!V27</f>
        <v>55991</v>
      </c>
      <c r="C24" s="780" t="n">
        <f aca="false">'INCOME STATEMENT'!AC27</f>
        <v>56691</v>
      </c>
      <c r="D24" s="780" t="n">
        <f aca="false">'INCOME STATEMENT'!AD27</f>
        <v>57516</v>
      </c>
      <c r="E24" s="780" t="n">
        <f aca="false">'INCOME STATEMENT'!AE27</f>
        <v>58466</v>
      </c>
      <c r="F24" s="780" t="n">
        <f aca="false">'INCOME STATEMENT'!AF27</f>
        <v>59266</v>
      </c>
      <c r="G24" s="780" t="n">
        <f aca="false">'INCOME STATEMENT'!AG27</f>
        <v>60050</v>
      </c>
      <c r="H24" s="780" t="n">
        <f aca="false">H45*H19</f>
        <v>139574.705626795</v>
      </c>
      <c r="I24" s="780" t="n">
        <f aca="false">I45*I19</f>
        <v>156044.520890757</v>
      </c>
      <c r="J24" s="780" t="n">
        <f aca="false">J45*J19</f>
        <v>165407.192144202</v>
      </c>
      <c r="K24" s="780" t="n">
        <f aca="false">K45*K19</f>
        <v>169542.371947807</v>
      </c>
    </row>
    <row r="25" customFormat="false" ht="11.25" hidden="false" customHeight="false" outlineLevel="0" collapsed="false">
      <c r="A25" s="783" t="s">
        <v>349</v>
      </c>
      <c r="B25" s="784" t="n">
        <f aca="false">'CASH FOW STATEMENT'!D20</f>
        <v>749.119999999999</v>
      </c>
      <c r="C25" s="784" t="n">
        <f aca="false">'CASH FOW STATEMENT'!E20</f>
        <v>1699.74</v>
      </c>
      <c r="D25" s="784" t="n">
        <f aca="false">'CASH FOW STATEMENT'!F20</f>
        <v>718.730000000001</v>
      </c>
      <c r="E25" s="784" t="n">
        <f aca="false">'CASH FOW STATEMENT'!G20</f>
        <v>-2765.15</v>
      </c>
      <c r="F25" s="784" t="n">
        <f aca="false">'CASH FOW STATEMENT'!H20</f>
        <v>452.37</v>
      </c>
      <c r="G25" s="784" t="n">
        <f aca="false">'CASH FOW STATEMENT'!I20</f>
        <v>-1092.52</v>
      </c>
      <c r="H25" s="786" t="n">
        <f aca="false">G25</f>
        <v>-1092.52</v>
      </c>
      <c r="I25" s="786" t="n">
        <f aca="false">H25</f>
        <v>-1092.52</v>
      </c>
      <c r="J25" s="786" t="n">
        <f aca="false">I25</f>
        <v>-1092.52</v>
      </c>
      <c r="K25" s="786" t="n">
        <f aca="false">J25</f>
        <v>-1092.52</v>
      </c>
    </row>
    <row r="26" customFormat="false" ht="11.25" hidden="false" customHeight="false" outlineLevel="0" collapsed="false">
      <c r="A26" s="759" t="s">
        <v>227</v>
      </c>
      <c r="B26" s="780" t="n">
        <f aca="false">B23+B24-B25</f>
        <v>263649.88</v>
      </c>
      <c r="C26" s="780" t="n">
        <f aca="false">C23+C24-C25</f>
        <v>292138.96</v>
      </c>
      <c r="D26" s="780" t="n">
        <f aca="false">D23+D24-D25</f>
        <v>307732.44799</v>
      </c>
      <c r="E26" s="780" t="n">
        <f aca="false">E23+E24-E25</f>
        <v>406895.6858267</v>
      </c>
      <c r="F26" s="780" t="n">
        <f aca="false">F23+F24-F25</f>
        <v>475625.6679</v>
      </c>
      <c r="G26" s="780" t="n">
        <f aca="false">G23+G24-G25</f>
        <v>793577.2122</v>
      </c>
      <c r="H26" s="780" t="n">
        <f aca="false">H23+H24-H25</f>
        <v>965865.218197423</v>
      </c>
      <c r="I26" s="780" t="n">
        <f aca="false">I23+I24-I25</f>
        <v>1079708.39658472</v>
      </c>
      <c r="J26" s="780" t="n">
        <f aca="false">J23+J24-J25</f>
        <v>1144425.3491798</v>
      </c>
      <c r="K26" s="780" t="n">
        <f aca="false">K23+K24-K25</f>
        <v>1173008.6699093</v>
      </c>
    </row>
    <row r="27" customFormat="false" ht="11.25" hidden="false" customHeight="false" outlineLevel="0" collapsed="false">
      <c r="A27" s="783" t="s">
        <v>228</v>
      </c>
      <c r="B27" s="784" t="n">
        <f aca="false">'CASH FOW STATEMENT'!D13</f>
        <v>2255.79</v>
      </c>
      <c r="C27" s="784" t="n">
        <f aca="false">'CASH FOW STATEMENT'!E13</f>
        <v>2568.35</v>
      </c>
      <c r="D27" s="784" t="n">
        <f aca="false">'CASH FOW STATEMENT'!F13</f>
        <v>114.790000000001</v>
      </c>
      <c r="E27" s="784" t="n">
        <f aca="false">'CASH FOW STATEMENT'!G13</f>
        <v>3401.48</v>
      </c>
      <c r="F27" s="784" t="n">
        <f aca="false">'CASH FOW STATEMENT'!H13</f>
        <v>1246.27</v>
      </c>
      <c r="G27" s="784" t="n">
        <f aca="false">'CASH FOW STATEMENT'!I13</f>
        <v>2576.7</v>
      </c>
      <c r="H27" s="785" t="n">
        <f aca="false">H46*-H19</f>
        <v>8120.28477568896</v>
      </c>
      <c r="I27" s="785" t="n">
        <f aca="false">I46*-I19</f>
        <v>9078.47837922025</v>
      </c>
      <c r="J27" s="785" t="n">
        <f aca="false">J46*-J19</f>
        <v>9623.18708197347</v>
      </c>
      <c r="K27" s="785" t="n">
        <f aca="false">K46*-K19</f>
        <v>9863.7667590228</v>
      </c>
    </row>
    <row r="28" customFormat="false" ht="11.25" hidden="false" customHeight="false" outlineLevel="0" collapsed="false">
      <c r="A28" s="759" t="s">
        <v>350</v>
      </c>
      <c r="B28" s="780" t="n">
        <f aca="false">B26+B27</f>
        <v>265905.67</v>
      </c>
      <c r="C28" s="780" t="n">
        <f aca="false">C26+C27</f>
        <v>294707.31</v>
      </c>
      <c r="D28" s="780" t="n">
        <f aca="false">D26+D27</f>
        <v>307847.23799</v>
      </c>
      <c r="E28" s="780" t="n">
        <f aca="false">E26+E27</f>
        <v>410297.1658267</v>
      </c>
      <c r="F28" s="780" t="n">
        <f aca="false">F26+F27</f>
        <v>476871.9379</v>
      </c>
      <c r="G28" s="780" t="n">
        <f aca="false">G26+G27</f>
        <v>796153.9122</v>
      </c>
      <c r="H28" s="780" t="n">
        <f aca="false">H26+H27</f>
        <v>973985.502973112</v>
      </c>
      <c r="I28" s="780" t="n">
        <f aca="false">I26+I27</f>
        <v>1088786.87496394</v>
      </c>
      <c r="J28" s="780" t="n">
        <f aca="false">J26+J27</f>
        <v>1154048.53626178</v>
      </c>
      <c r="K28" s="780" t="n">
        <f aca="false">K26+K27</f>
        <v>1182872.43666832</v>
      </c>
    </row>
    <row r="29" customFormat="false" ht="11.25" hidden="false" customHeight="false" outlineLevel="0" collapsed="false">
      <c r="B29" s="787"/>
      <c r="C29" s="787"/>
      <c r="D29" s="787"/>
      <c r="E29" s="787"/>
    </row>
    <row r="30" customFormat="false" ht="11.25" hidden="false" customHeight="false" outlineLevel="0" collapsed="false">
      <c r="A30" s="759" t="s">
        <v>314</v>
      </c>
      <c r="B30" s="780" t="n">
        <f aca="false">'INCOME STATEMENT'!V48</f>
        <v>12684.8</v>
      </c>
      <c r="C30" s="780" t="n">
        <f aca="false">'INCOME STATEMENT'!AC48</f>
        <v>12684.8</v>
      </c>
      <c r="D30" s="780" t="n">
        <f aca="false">'INCOME STATEMENT'!AD48</f>
        <v>12684.8</v>
      </c>
      <c r="E30" s="780" t="n">
        <f aca="false">'INCOME STATEMENT'!AE48</f>
        <v>12684.8</v>
      </c>
      <c r="F30" s="780" t="n">
        <f aca="false">'INCOME STATEMENT'!AF48</f>
        <v>12684.8</v>
      </c>
      <c r="G30" s="780" t="n">
        <f aca="false">'INCOME STATEMENT'!AG48</f>
        <v>12684.8</v>
      </c>
      <c r="H30" s="788" t="n">
        <f aca="false">G30</f>
        <v>12684.8</v>
      </c>
      <c r="I30" s="788" t="n">
        <f aca="false">H30</f>
        <v>12684.8</v>
      </c>
      <c r="J30" s="788" t="n">
        <f aca="false">I30</f>
        <v>12684.8</v>
      </c>
      <c r="K30" s="788" t="n">
        <f aca="false">J30</f>
        <v>12684.8</v>
      </c>
    </row>
    <row r="32" customFormat="false" ht="11.25" hidden="false" customHeight="false" outlineLevel="0" collapsed="false">
      <c r="A32" s="759" t="s">
        <v>351</v>
      </c>
      <c r="C32" s="40" t="n">
        <v>1</v>
      </c>
      <c r="D32" s="40" t="n">
        <v>2</v>
      </c>
      <c r="E32" s="40" t="n">
        <v>3</v>
      </c>
      <c r="F32" s="40" t="n">
        <v>4</v>
      </c>
      <c r="G32" s="40" t="n">
        <v>5</v>
      </c>
      <c r="H32" s="40" t="n">
        <v>6</v>
      </c>
      <c r="I32" s="40" t="n">
        <v>7</v>
      </c>
      <c r="J32" s="40" t="n">
        <v>8</v>
      </c>
    </row>
    <row r="33" customFormat="false" ht="11.25" hidden="false" customHeight="false" outlineLevel="0" collapsed="false">
      <c r="A33" s="789" t="s">
        <v>352</v>
      </c>
      <c r="B33" s="784"/>
      <c r="C33" s="790" t="n">
        <f aca="false">1/(1+$K$13)^C32</f>
        <v>0.891584977401773</v>
      </c>
      <c r="D33" s="790" t="n">
        <f aca="false">1/(1+$K$13)^D32</f>
        <v>0.79492377192852</v>
      </c>
      <c r="E33" s="790" t="n">
        <f aca="false">1/(1+$K$13)^E32</f>
        <v>0.708742093231022</v>
      </c>
      <c r="F33" s="790" t="n">
        <f aca="false">1/(1+$K$13)^F32</f>
        <v>0.631903803177066</v>
      </c>
      <c r="G33" s="790" t="n">
        <f aca="false">1/(1+$K$13)^G32</f>
        <v>0.563395938075718</v>
      </c>
      <c r="H33" s="790" t="n">
        <f aca="false">1/(1+$K$13)^H32</f>
        <v>0.50231535471749</v>
      </c>
      <c r="I33" s="790" t="n">
        <f aca="false">1/(1+$K$13)^I32</f>
        <v>0.447856824184357</v>
      </c>
      <c r="J33" s="790" t="n">
        <f aca="false">1/(1+$K$13)^J32</f>
        <v>0.39930241646964</v>
      </c>
      <c r="K33" s="785"/>
    </row>
    <row r="34" customFormat="false" ht="11.25" hidden="false" customHeight="false" outlineLevel="0" collapsed="false">
      <c r="A34" s="791" t="s">
        <v>353</v>
      </c>
      <c r="B34" s="95"/>
      <c r="C34" s="792" t="n">
        <f aca="false">C33*C28</f>
        <v>262756.610326487</v>
      </c>
      <c r="D34" s="792" t="n">
        <f aca="false">D33*D28</f>
        <v>244715.087600788</v>
      </c>
      <c r="E34" s="792" t="n">
        <f aca="false">E33*E28</f>
        <v>290794.872154771</v>
      </c>
      <c r="F34" s="792" t="n">
        <f aca="false">F33*F28</f>
        <v>301337.191187428</v>
      </c>
      <c r="G34" s="792" t="n">
        <f aca="false">G33*G28</f>
        <v>448549.880216572</v>
      </c>
      <c r="H34" s="792" t="n">
        <f aca="false">H33*H28</f>
        <v>489247.873415632</v>
      </c>
      <c r="I34" s="792" t="n">
        <f aca="false">I33*I28</f>
        <v>487620.63203496</v>
      </c>
      <c r="J34" s="792" t="n">
        <f aca="false">J33*J28</f>
        <v>460814.369252578</v>
      </c>
    </row>
    <row r="35" customFormat="false" ht="11.25" hidden="false" customHeight="false" outlineLevel="0" collapsed="false">
      <c r="A35" s="791"/>
      <c r="B35" s="95"/>
      <c r="C35" s="792"/>
      <c r="D35" s="792"/>
      <c r="E35" s="792"/>
      <c r="F35" s="792"/>
      <c r="G35" s="792"/>
      <c r="H35" s="792"/>
      <c r="I35" s="792"/>
      <c r="J35" s="792"/>
    </row>
    <row r="36" customFormat="false" ht="11.25" hidden="false" customHeight="false" outlineLevel="0" collapsed="false">
      <c r="A36" s="793" t="s">
        <v>354</v>
      </c>
    </row>
    <row r="37" customFormat="false" ht="11.25" hidden="false" customHeight="false" outlineLevel="0" collapsed="false">
      <c r="A37" s="779" t="s">
        <v>343</v>
      </c>
      <c r="B37" s="794"/>
      <c r="C37" s="794" t="n">
        <f aca="false">C19/B19-1</f>
        <v>0.0397641314016894</v>
      </c>
      <c r="D37" s="794" t="n">
        <f aca="false">D19/C19-1</f>
        <v>0.320000016180327</v>
      </c>
      <c r="E37" s="794" t="n">
        <f aca="false">E19/D19-1</f>
        <v>0.35</v>
      </c>
      <c r="F37" s="795" t="n">
        <f aca="false">E37-($E$37-$J$37)/5</f>
        <v>0.292</v>
      </c>
      <c r="G37" s="795" t="n">
        <f aca="false">F37-($E$37-$J$37)/5</f>
        <v>0.234</v>
      </c>
      <c r="H37" s="795" t="n">
        <f aca="false">G37-($E$37-$J$37)/5</f>
        <v>0.176</v>
      </c>
      <c r="I37" s="795" t="n">
        <f aca="false">H37-($E$37-$J$37)/5</f>
        <v>0.118</v>
      </c>
      <c r="J37" s="795" t="n">
        <v>0.06</v>
      </c>
      <c r="K37" s="796" t="n">
        <f aca="false">B6</f>
        <v>0.025</v>
      </c>
    </row>
    <row r="38" customFormat="false" ht="11.25" hidden="false" customHeight="false" outlineLevel="0" collapsed="false">
      <c r="A38" s="779" t="s">
        <v>344</v>
      </c>
      <c r="B38" s="794"/>
      <c r="C38" s="794" t="n">
        <f aca="false">C20/B20-1</f>
        <v>0.0931605144017149</v>
      </c>
      <c r="D38" s="794" t="n">
        <f aca="false">D20/C20-1</f>
        <v>-0.00355796095071803</v>
      </c>
      <c r="E38" s="794" t="n">
        <f aca="false">E20/D20-1</f>
        <v>0.329999999999999</v>
      </c>
      <c r="F38" s="794" t="n">
        <f aca="false">F20/E20-1</f>
        <v>0.189473692310726</v>
      </c>
      <c r="G38" s="794" t="n">
        <f aca="false">G20/F20-1</f>
        <v>0.68097335734333</v>
      </c>
      <c r="H38" s="794" t="n">
        <f aca="false">H20/G20-1</f>
        <v>0.193954198473282</v>
      </c>
      <c r="I38" s="794" t="n">
        <f aca="false">I20/H20-1</f>
        <v>0.118</v>
      </c>
      <c r="J38" s="794" t="n">
        <f aca="false">J20/I20-1</f>
        <v>0.0600000000000001</v>
      </c>
      <c r="K38" s="794" t="n">
        <f aca="false">K20/J20-1</f>
        <v>0.0250000000000001</v>
      </c>
    </row>
    <row r="39" customFormat="false" ht="11.25" hidden="false" customHeight="false" outlineLevel="0" collapsed="false">
      <c r="A39" s="779" t="s">
        <v>345</v>
      </c>
      <c r="B39" s="768"/>
      <c r="C39" s="794" t="n">
        <f aca="false">C21/B21-1</f>
        <v>0.106121570428194</v>
      </c>
      <c r="D39" s="794" t="n">
        <f aca="false">D21/C21-1</f>
        <v>-0.00622184024057071</v>
      </c>
      <c r="E39" s="794" t="n">
        <f aca="false">E21/D21-1</f>
        <v>0.377074114185516</v>
      </c>
      <c r="F39" s="794" t="n">
        <f aca="false">F21/E21-1</f>
        <v>0.208959625924893</v>
      </c>
      <c r="G39" s="794" t="n">
        <f aca="false">G21/F21-1</f>
        <v>0.743035497093853</v>
      </c>
      <c r="H39" s="794" t="n">
        <f aca="false">H21/G21-1</f>
        <v>0.132883650347645</v>
      </c>
      <c r="I39" s="794" t="n">
        <f aca="false">I21/H21-1</f>
        <v>0.118</v>
      </c>
      <c r="J39" s="794" t="n">
        <f aca="false">J21/I21-1</f>
        <v>0.0600000000000001</v>
      </c>
      <c r="K39" s="794" t="n">
        <f aca="false">K21/J21-1</f>
        <v>0.0250000000000001</v>
      </c>
    </row>
    <row r="40" customFormat="false" ht="11.25" hidden="false" customHeight="false" outlineLevel="0" collapsed="false">
      <c r="A40" s="779" t="s">
        <v>348</v>
      </c>
      <c r="B40" s="768"/>
      <c r="C40" s="794" t="n">
        <f aca="false">C24/B24-1</f>
        <v>0.0125020092514869</v>
      </c>
      <c r="D40" s="794" t="n">
        <f aca="false">D24/C24-1</f>
        <v>0.0145525744827222</v>
      </c>
      <c r="E40" s="794" t="n">
        <f aca="false">E24/D24-1</f>
        <v>0.0165171430558453</v>
      </c>
      <c r="F40" s="794" t="n">
        <f aca="false">F24/E24-1</f>
        <v>0.0136831662846784</v>
      </c>
      <c r="G40" s="794" t="n">
        <f aca="false">G24/F24-1</f>
        <v>0.0132284952586643</v>
      </c>
      <c r="H40" s="794" t="n">
        <f aca="false">H24/G24-1</f>
        <v>1.32430817030466</v>
      </c>
      <c r="I40" s="794" t="n">
        <f aca="false">I24/H24-1</f>
        <v>0.118</v>
      </c>
      <c r="J40" s="794" t="n">
        <f aca="false">J24/I24-1</f>
        <v>0.0600000000000001</v>
      </c>
      <c r="K40" s="794" t="n">
        <f aca="false">K24/J24-1</f>
        <v>0.0249999999999999</v>
      </c>
    </row>
    <row r="42" customFormat="false" ht="11.25" hidden="false" customHeight="false" outlineLevel="0" collapsed="false">
      <c r="A42" s="793" t="s">
        <v>355</v>
      </c>
    </row>
    <row r="43" customFormat="false" ht="11.25" hidden="false" customHeight="false" outlineLevel="0" collapsed="false">
      <c r="A43" s="781" t="s">
        <v>356</v>
      </c>
      <c r="B43" s="794" t="n">
        <f aca="false">B20/B$19</f>
        <v>0.17010087924983</v>
      </c>
      <c r="C43" s="794" t="n">
        <f aca="false">C20/C$19</f>
        <v>0.178836294737592</v>
      </c>
      <c r="D43" s="794" t="n">
        <f aca="false">D20/D$19</f>
        <v>0.135</v>
      </c>
      <c r="E43" s="794" t="n">
        <f aca="false">E20/E$19</f>
        <v>0.133</v>
      </c>
    </row>
    <row r="44" customFormat="false" ht="11.25" hidden="false" customHeight="false" outlineLevel="0" collapsed="false">
      <c r="A44" s="797" t="s">
        <v>357</v>
      </c>
      <c r="B44" s="794" t="n">
        <f aca="false">B21/B$19</f>
        <v>0.146551452202751</v>
      </c>
      <c r="C44" s="794" t="n">
        <f aca="false">C21/C$19</f>
        <v>0.155904322493324</v>
      </c>
      <c r="D44" s="794" t="n">
        <f aca="false">D21/D$19</f>
        <v>0.117374476368787</v>
      </c>
      <c r="E44" s="794" t="n">
        <f aca="false">E21/E$19</f>
        <v>0.1197284096841</v>
      </c>
      <c r="F44" s="796" t="n">
        <f aca="false">E44</f>
        <v>0.1197284096841</v>
      </c>
      <c r="G44" s="796" t="n">
        <f aca="false">F44</f>
        <v>0.1197284096841</v>
      </c>
      <c r="H44" s="796" t="n">
        <f aca="false">G44</f>
        <v>0.1197284096841</v>
      </c>
      <c r="I44" s="796" t="n">
        <f aca="false">H44</f>
        <v>0.1197284096841</v>
      </c>
      <c r="J44" s="796" t="n">
        <f aca="false">I44</f>
        <v>0.1197284096841</v>
      </c>
      <c r="K44" s="796" t="n">
        <f aca="false">J44</f>
        <v>0.1197284096841</v>
      </c>
    </row>
    <row r="45" customFormat="false" ht="11.25" hidden="false" customHeight="false" outlineLevel="0" collapsed="false">
      <c r="A45" s="779" t="s">
        <v>348</v>
      </c>
      <c r="B45" s="794" t="n">
        <f aca="false">B24/B$19</f>
        <v>0.0235494270470791</v>
      </c>
      <c r="C45" s="794" t="n">
        <f aca="false">C24/C$19</f>
        <v>0.0229319722442679</v>
      </c>
      <c r="D45" s="794" t="n">
        <f aca="false">D24/D$19</f>
        <v>0.0176255236312133</v>
      </c>
      <c r="E45" s="794" t="n">
        <f aca="false">E24/E$19</f>
        <v>0.0132715903158995</v>
      </c>
      <c r="F45" s="796" t="n">
        <f aca="false">E45</f>
        <v>0.0132715903158995</v>
      </c>
      <c r="G45" s="796" t="n">
        <f aca="false">F45</f>
        <v>0.0132715903158995</v>
      </c>
      <c r="H45" s="796" t="n">
        <f aca="false">G45</f>
        <v>0.0132715903158995</v>
      </c>
      <c r="I45" s="796" t="n">
        <f aca="false">H45</f>
        <v>0.0132715903158995</v>
      </c>
      <c r="J45" s="796" t="n">
        <f aca="false">I45</f>
        <v>0.0132715903158995</v>
      </c>
      <c r="K45" s="796" t="n">
        <f aca="false">J45</f>
        <v>0.0132715903158995</v>
      </c>
    </row>
    <row r="46" customFormat="false" ht="11.25" hidden="false" customHeight="false" outlineLevel="0" collapsed="false">
      <c r="A46" s="781" t="s">
        <v>228</v>
      </c>
      <c r="B46" s="798" t="n">
        <f aca="false">-B27/B$19</f>
        <v>-0.000948769660097703</v>
      </c>
      <c r="C46" s="798" t="n">
        <f aca="false">-C27/C$19</f>
        <v>-0.00103891853933721</v>
      </c>
      <c r="D46" s="798" t="n">
        <f aca="false">-D27/D$19</f>
        <v>-3.51768874335315E-005</v>
      </c>
      <c r="E46" s="798" t="n">
        <f aca="false">-E27/E$19</f>
        <v>-0.000772124808054694</v>
      </c>
      <c r="F46" s="799" t="n">
        <f aca="false">E46</f>
        <v>-0.000772124808054694</v>
      </c>
      <c r="G46" s="799" t="n">
        <f aca="false">F46</f>
        <v>-0.000772124808054694</v>
      </c>
      <c r="H46" s="799" t="n">
        <f aca="false">G46</f>
        <v>-0.000772124808054694</v>
      </c>
      <c r="I46" s="799" t="n">
        <f aca="false">H46</f>
        <v>-0.000772124808054694</v>
      </c>
      <c r="J46" s="799" t="n">
        <f aca="false">I46</f>
        <v>-0.000772124808054694</v>
      </c>
      <c r="K46" s="799" t="n">
        <f aca="false">J46</f>
        <v>-0.000772124808054694</v>
      </c>
    </row>
    <row r="47" customFormat="false" ht="11.25" hidden="false" customHeight="false" outlineLevel="0" collapsed="false">
      <c r="F47" s="800"/>
      <c r="G47" s="800"/>
      <c r="H47" s="800"/>
      <c r="I47" s="800"/>
      <c r="J47" s="800"/>
      <c r="K47" s="800"/>
    </row>
    <row r="48" customFormat="false" ht="11.25" hidden="false" customHeight="false" outlineLevel="0" collapsed="false">
      <c r="A48" s="801" t="s">
        <v>358</v>
      </c>
      <c r="B48" s="768" t="n">
        <f aca="false">B22/B21</f>
        <v>0.401882677074963</v>
      </c>
      <c r="C48" s="768" t="n">
        <f aca="false">C22/C21</f>
        <v>0.384698391612202</v>
      </c>
      <c r="D48" s="768" t="n">
        <f aca="false">D22/D21</f>
        <v>0.344849263468778</v>
      </c>
      <c r="E48" s="768" t="n">
        <f aca="false">E22/E21</f>
        <v>0.344644127831641</v>
      </c>
      <c r="F48" s="796" t="n">
        <f aca="false">E48</f>
        <v>0.344644127831641</v>
      </c>
      <c r="G48" s="796" t="n">
        <f aca="false">F48</f>
        <v>0.344644127831641</v>
      </c>
      <c r="H48" s="796" t="n">
        <f aca="false">G48</f>
        <v>0.344644127831641</v>
      </c>
      <c r="I48" s="796" t="n">
        <f aca="false">H48</f>
        <v>0.344644127831641</v>
      </c>
      <c r="J48" s="796" t="n">
        <f aca="false">I48</f>
        <v>0.344644127831641</v>
      </c>
      <c r="K48" s="796" t="n">
        <f aca="false">J48</f>
        <v>0.344644127831641</v>
      </c>
    </row>
    <row r="49" customFormat="false" ht="12" hidden="false" customHeight="false" outlineLevel="0" collapsed="false">
      <c r="A49" s="802"/>
      <c r="B49" s="802"/>
      <c r="C49" s="802"/>
      <c r="D49" s="802"/>
      <c r="E49" s="802"/>
      <c r="F49" s="802"/>
      <c r="G49" s="802"/>
      <c r="H49" s="802"/>
      <c r="I49" s="802"/>
      <c r="J49" s="802"/>
      <c r="K49" s="802"/>
    </row>
    <row r="51" customFormat="false" ht="12" hidden="false" customHeight="false" outlineLevel="0" collapsed="false">
      <c r="A51" s="803" t="s">
        <v>359</v>
      </c>
      <c r="B51" s="51"/>
      <c r="C51" s="759"/>
      <c r="D51" s="803" t="s">
        <v>360</v>
      </c>
      <c r="E51" s="803"/>
      <c r="F51" s="51"/>
      <c r="G51" s="51"/>
      <c r="H51" s="759"/>
      <c r="I51" s="803" t="s">
        <v>361</v>
      </c>
      <c r="J51" s="803"/>
      <c r="K51" s="51"/>
    </row>
    <row r="52" customFormat="false" ht="11.25" hidden="false" customHeight="false" outlineLevel="0" collapsed="false">
      <c r="A52" s="759" t="s">
        <v>362</v>
      </c>
      <c r="B52" s="780" t="n">
        <f aca="false">SUM(C34:J34)</f>
        <v>2985836.51618922</v>
      </c>
      <c r="C52" s="87"/>
      <c r="D52" s="759" t="s">
        <v>363</v>
      </c>
      <c r="E52" s="759"/>
      <c r="F52" s="759"/>
      <c r="G52" s="780" t="n">
        <f aca="false">B55+B52</f>
        <v>7875414.19531646</v>
      </c>
      <c r="H52" s="759"/>
      <c r="I52" s="759" t="s">
        <v>364</v>
      </c>
      <c r="J52" s="759"/>
      <c r="K52" s="804" t="n">
        <f aca="false">G56</f>
        <v>7870757.91531646</v>
      </c>
    </row>
    <row r="53" customFormat="false" ht="11.25" hidden="false" customHeight="false" outlineLevel="0" collapsed="false">
      <c r="A53" s="759" t="s">
        <v>328</v>
      </c>
      <c r="B53" s="768" t="n">
        <f aca="false">K13</f>
        <v>0.121598081333948</v>
      </c>
      <c r="C53" s="759"/>
      <c r="D53" s="759" t="s">
        <v>365</v>
      </c>
      <c r="E53" s="759"/>
      <c r="F53" s="759"/>
      <c r="G53" s="780" t="n">
        <f aca="false">-G10</f>
        <v>-1200.13</v>
      </c>
      <c r="H53" s="759"/>
      <c r="I53" s="759" t="s">
        <v>314</v>
      </c>
      <c r="J53" s="759"/>
      <c r="K53" s="804" t="n">
        <f aca="false">G8</f>
        <v>12684.8</v>
      </c>
    </row>
    <row r="54" customFormat="false" ht="11.25" hidden="false" customHeight="false" outlineLevel="0" collapsed="false">
      <c r="A54" s="759" t="s">
        <v>366</v>
      </c>
      <c r="B54" s="805" t="n">
        <f aca="false">B6</f>
        <v>0.025</v>
      </c>
      <c r="C54" s="759"/>
      <c r="D54" s="759" t="s">
        <v>367</v>
      </c>
      <c r="E54" s="759"/>
      <c r="F54" s="759"/>
      <c r="G54" s="780" t="n">
        <f aca="false">-G11</f>
        <v>-3456.15</v>
      </c>
      <c r="H54" s="759"/>
      <c r="I54" s="759"/>
      <c r="J54" s="759"/>
      <c r="K54" s="759"/>
    </row>
    <row r="55" customFormat="false" ht="11.25" hidden="false" customHeight="false" outlineLevel="0" collapsed="false">
      <c r="A55" s="759" t="s">
        <v>368</v>
      </c>
      <c r="B55" s="780" t="n">
        <f aca="false">K28/($B$53-$B$54)*J33</f>
        <v>4889577.67912725</v>
      </c>
      <c r="C55" s="759"/>
      <c r="D55" s="759" t="s">
        <v>324</v>
      </c>
      <c r="E55" s="759"/>
      <c r="F55" s="759"/>
      <c r="G55" s="804" t="n">
        <f aca="false">G53+G54</f>
        <v>-4656.28</v>
      </c>
      <c r="H55" s="759"/>
      <c r="I55" s="759" t="s">
        <v>361</v>
      </c>
      <c r="J55" s="759"/>
      <c r="K55" s="806" t="n">
        <f aca="false">K52/K53</f>
        <v>620.487348268515</v>
      </c>
    </row>
    <row r="56" customFormat="false" ht="11.25" hidden="false" customHeight="false" outlineLevel="0" collapsed="false">
      <c r="A56" s="759" t="s">
        <v>369</v>
      </c>
      <c r="B56" s="768" t="n">
        <f aca="false">B55/(B55+B52)</f>
        <v>0.620866097688563</v>
      </c>
      <c r="C56" s="759"/>
      <c r="D56" s="759" t="s">
        <v>364</v>
      </c>
      <c r="E56" s="759"/>
      <c r="F56" s="759"/>
      <c r="G56" s="780" t="n">
        <f aca="false">G52+G55</f>
        <v>7870757.91531646</v>
      </c>
      <c r="H56" s="759"/>
      <c r="I56" s="759"/>
      <c r="J56" s="759"/>
      <c r="K56" s="759"/>
    </row>
    <row r="57" customFormat="false" ht="12" hidden="false" customHeight="false" outlineLevel="0" collapsed="false">
      <c r="A57" s="802"/>
      <c r="B57" s="802"/>
      <c r="C57" s="802"/>
      <c r="D57" s="802"/>
      <c r="E57" s="802"/>
      <c r="F57" s="802"/>
      <c r="G57" s="802"/>
      <c r="H57" s="802"/>
      <c r="I57" s="802"/>
      <c r="J57" s="802"/>
      <c r="K57" s="802"/>
    </row>
    <row r="59" customFormat="false" ht="12" hidden="false" customHeight="false" outlineLevel="0" collapsed="false">
      <c r="A59" s="802"/>
      <c r="B59" s="802"/>
      <c r="C59" s="802"/>
      <c r="D59" s="802"/>
      <c r="E59" s="802"/>
      <c r="F59" s="802"/>
      <c r="G59" s="802"/>
      <c r="H59" s="802"/>
      <c r="I59" s="802"/>
      <c r="J59" s="802"/>
    </row>
    <row r="60" customFormat="false" ht="11.25" hidden="false" customHeight="false" outlineLevel="0" collapsed="false">
      <c r="A60" s="759"/>
      <c r="B60" s="759"/>
      <c r="C60" s="759"/>
      <c r="D60" s="759"/>
      <c r="E60" s="759"/>
      <c r="F60" s="759"/>
      <c r="G60" s="759"/>
      <c r="H60" s="759"/>
      <c r="I60" s="759"/>
      <c r="J60" s="759"/>
    </row>
    <row r="61" customFormat="false" ht="12" hidden="false" customHeight="false" outlineLevel="0" collapsed="false">
      <c r="A61" s="803" t="s">
        <v>370</v>
      </c>
      <c r="B61" s="51"/>
      <c r="C61" s="51"/>
      <c r="D61" s="51"/>
      <c r="E61" s="51"/>
      <c r="F61" s="51"/>
      <c r="G61" s="51"/>
      <c r="H61" s="51"/>
      <c r="I61" s="51"/>
      <c r="J61" s="51"/>
    </row>
    <row r="63" customFormat="false" ht="12" hidden="false" customHeight="false" outlineLevel="0" collapsed="false">
      <c r="A63" s="759"/>
      <c r="B63" s="807"/>
      <c r="C63" s="759"/>
      <c r="D63" s="808" t="s">
        <v>371</v>
      </c>
      <c r="E63" s="808"/>
      <c r="F63" s="808"/>
      <c r="G63" s="759"/>
      <c r="H63" s="808" t="s">
        <v>361</v>
      </c>
      <c r="I63" s="808"/>
      <c r="J63" s="808"/>
    </row>
    <row r="64" customFormat="false" ht="11.25" hidden="false" customHeight="false" outlineLevel="0" collapsed="false">
      <c r="A64" s="809" t="s">
        <v>328</v>
      </c>
      <c r="B64" s="810" t="s">
        <v>372</v>
      </c>
      <c r="C64" s="811" t="n">
        <f aca="false">B55</f>
        <v>4889577.67912725</v>
      </c>
      <c r="D64" s="812" t="n">
        <v>0.02</v>
      </c>
      <c r="E64" s="812" t="n">
        <v>0.025</v>
      </c>
      <c r="F64" s="812" t="n">
        <v>0.03</v>
      </c>
      <c r="G64" s="813"/>
      <c r="H64" s="812" t="n">
        <f aca="false">D64</f>
        <v>0.02</v>
      </c>
      <c r="I64" s="812" t="n">
        <f aca="false">E64</f>
        <v>0.025</v>
      </c>
      <c r="J64" s="812" t="n">
        <f aca="false">F64</f>
        <v>0.03</v>
      </c>
    </row>
    <row r="65" customFormat="false" ht="11.25" hidden="false" customHeight="false" outlineLevel="0" collapsed="false">
      <c r="A65" s="814" t="n">
        <v>0.1</v>
      </c>
      <c r="B65" s="815" t="n">
        <f aca="false">NPV(A65,$C$28:$J$28)</f>
        <v>3297537.57323706</v>
      </c>
      <c r="C65" s="816" t="n">
        <v>0.1</v>
      </c>
      <c r="D65" s="40" t="n">
        <v>92943.1762815763</v>
      </c>
      <c r="E65" s="40" t="n">
        <v>99770.4659448358</v>
      </c>
      <c r="F65" s="40" t="n">
        <v>107573.082702847</v>
      </c>
      <c r="H65" s="817" t="n">
        <f aca="false">($B65+D65+$G$55)/$K$53</f>
        <v>266.91981501629</v>
      </c>
      <c r="I65" s="817" t="n">
        <f aca="false">($B65+E65+$G$55)/$K$53</f>
        <v>267.458041055586</v>
      </c>
      <c r="J65" s="817" t="n">
        <f aca="false">($B65+F65+$G$55)/$K$53</f>
        <v>268.073156529067</v>
      </c>
    </row>
    <row r="66" customFormat="false" ht="11.25" hidden="false" customHeight="false" outlineLevel="0" collapsed="false">
      <c r="A66" s="814" t="n">
        <v>0.11</v>
      </c>
      <c r="B66" s="815" t="n">
        <f aca="false">NPV(A66,$C$28:$J$28)</f>
        <v>3147900.4871398</v>
      </c>
      <c r="C66" s="816" t="n">
        <v>0.11</v>
      </c>
      <c r="D66" s="40" t="n">
        <v>76846.2428097862</v>
      </c>
      <c r="E66" s="40" t="n">
        <v>81884.5542265714</v>
      </c>
      <c r="F66" s="40" t="n">
        <v>87552.6545704549</v>
      </c>
      <c r="H66" s="817" t="n">
        <f aca="false">($B66+D66+$G$55)/$K$53</f>
        <v>253.854254694562</v>
      </c>
      <c r="I66" s="817" t="n">
        <f aca="false">($B66+E66+$G$55)/$K$53</f>
        <v>254.251447509332</v>
      </c>
      <c r="J66" s="817" t="n">
        <f aca="false">($B66+F66+$G$55)/$K$53</f>
        <v>254.698289425947</v>
      </c>
    </row>
    <row r="67" customFormat="false" ht="11.25" hidden="false" customHeight="false" outlineLevel="0" collapsed="false">
      <c r="A67" s="814" t="n">
        <f aca="false">$B$53</f>
        <v>0.121598081333948</v>
      </c>
      <c r="B67" s="815" t="n">
        <f aca="false">NPV(A67,$C$28:$J$28)</f>
        <v>2985836.51618922</v>
      </c>
      <c r="C67" s="816" t="n">
        <v>0.122011721437155</v>
      </c>
      <c r="D67" s="40" t="n">
        <v>62204.2059594607</v>
      </c>
      <c r="E67" s="40" t="n">
        <v>65826.5937251342</v>
      </c>
      <c r="F67" s="40" t="n">
        <v>69842.6691328923</v>
      </c>
      <c r="H67" s="817" t="n">
        <f aca="false">($B67+D67+$G$55)/$K$53</f>
        <v>239.923723050318</v>
      </c>
      <c r="I67" s="818" t="n">
        <f aca="false">($B67+E67+$G$55)/$K$53</f>
        <v>240.209292217012</v>
      </c>
      <c r="J67" s="817" t="n">
        <f aca="false">($B67+F67+$G$55)/$K$53</f>
        <v>240.525897556296</v>
      </c>
    </row>
    <row r="68" customFormat="false" ht="11.25" hidden="false" customHeight="false" outlineLevel="0" collapsed="false">
      <c r="A68" s="769" t="n">
        <v>0.13</v>
      </c>
      <c r="B68" s="815" t="n">
        <f aca="false">NPV(A68,$C$28:$J$28)</f>
        <v>2875574.39695446</v>
      </c>
      <c r="C68" s="816" t="n">
        <v>0.13</v>
      </c>
      <c r="D68" s="40" t="n">
        <v>54504.0463686265</v>
      </c>
      <c r="E68" s="40" t="n">
        <v>57462.9474042699</v>
      </c>
      <c r="F68" s="40" t="n">
        <v>60717.7385434776</v>
      </c>
      <c r="H68" s="817" t="n">
        <f aca="false">($B68+D68+$G$55)/$K$53</f>
        <v>230.62422453039</v>
      </c>
      <c r="I68" s="817" t="n">
        <f aca="false">($B68+E68+$G$55)/$K$53</f>
        <v>230.857488045435</v>
      </c>
      <c r="J68" s="817" t="n">
        <f aca="false">($B68+F68+$G$55)/$K$53</f>
        <v>231.114077911984</v>
      </c>
    </row>
    <row r="69" customFormat="false" ht="11.25" hidden="false" customHeight="false" outlineLevel="0" collapsed="false">
      <c r="A69" s="814" t="n">
        <v>0.14</v>
      </c>
      <c r="B69" s="815" t="n">
        <f aca="false">NPV(A69,$C$28:$J$28)</f>
        <v>2751593.1293845</v>
      </c>
      <c r="C69" s="816" t="n">
        <v>0.14</v>
      </c>
      <c r="D69" s="40" t="n">
        <v>46561.7100097448</v>
      </c>
      <c r="E69" s="40" t="n">
        <v>48895.4102159308</v>
      </c>
      <c r="F69" s="40" t="n">
        <v>51441.2649863157</v>
      </c>
      <c r="H69" s="817" t="n">
        <f aca="false">($B69+D69+$G$55)/$K$53</f>
        <v>220.224091778683</v>
      </c>
      <c r="I69" s="817" t="n">
        <f aca="false">($B69+E69+$G$55)/$K$53</f>
        <v>220.408067892314</v>
      </c>
      <c r="J69" s="817" t="n">
        <f aca="false">($B69+F69+$G$55)/$K$53</f>
        <v>220.608769107184</v>
      </c>
    </row>
    <row r="71" customFormat="false" ht="12" hidden="false" customHeight="false" outlineLevel="0" collapsed="false">
      <c r="A71" s="803" t="s">
        <v>373</v>
      </c>
      <c r="B71" s="51"/>
      <c r="C71" s="51"/>
      <c r="D71" s="51"/>
      <c r="E71" s="51"/>
      <c r="F71" s="51"/>
      <c r="G71" s="51"/>
      <c r="H71" s="51"/>
      <c r="I71" s="51"/>
      <c r="J71" s="51"/>
    </row>
    <row r="72" customFormat="false" ht="11.25" hidden="false" customHeight="false" outlineLevel="0" collapsed="false">
      <c r="A72" s="819"/>
      <c r="B72" s="819"/>
      <c r="C72" s="773"/>
      <c r="D72" s="773"/>
      <c r="E72" s="773"/>
      <c r="F72" s="773"/>
      <c r="G72" s="773"/>
      <c r="H72" s="773"/>
      <c r="I72" s="773"/>
      <c r="J72" s="773"/>
    </row>
    <row r="73" customFormat="false" ht="12" hidden="false" customHeight="false" outlineLevel="0" collapsed="false">
      <c r="A73" s="759"/>
      <c r="B73" s="807"/>
      <c r="C73" s="759"/>
      <c r="D73" s="808" t="s">
        <v>374</v>
      </c>
      <c r="E73" s="808"/>
      <c r="F73" s="808"/>
      <c r="G73" s="759"/>
      <c r="H73" s="808" t="s">
        <v>361</v>
      </c>
      <c r="I73" s="808"/>
      <c r="J73" s="808"/>
    </row>
    <row r="74" customFormat="false" ht="11.25" hidden="false" customHeight="false" outlineLevel="0" collapsed="false">
      <c r="A74" s="809" t="s">
        <v>328</v>
      </c>
      <c r="B74" s="810" t="s">
        <v>372</v>
      </c>
      <c r="C74" s="813"/>
      <c r="D74" s="820" t="n">
        <v>5</v>
      </c>
      <c r="E74" s="820" t="n">
        <v>5.5</v>
      </c>
      <c r="F74" s="820" t="n">
        <v>6</v>
      </c>
      <c r="G74" s="821"/>
      <c r="H74" s="822" t="n">
        <f aca="false">D74</f>
        <v>5</v>
      </c>
      <c r="I74" s="822" t="n">
        <f aca="false">E74</f>
        <v>5.5</v>
      </c>
      <c r="J74" s="822" t="n">
        <f aca="false">F74</f>
        <v>6</v>
      </c>
    </row>
    <row r="75" customFormat="false" ht="11.25" hidden="false" customHeight="false" outlineLevel="0" collapsed="false">
      <c r="A75" s="814" t="n">
        <v>0.1</v>
      </c>
      <c r="B75" s="815" t="n">
        <f aca="false">NPV(A75,$C$28:$J$28)</f>
        <v>3297537.57323706</v>
      </c>
      <c r="D75" s="780" t="n">
        <f aca="false">(D$74*($K$21+$K$24))/(1+$A75)^$J$32</f>
        <v>3963103.84184423</v>
      </c>
      <c r="E75" s="780" t="n">
        <f aca="false">(E$74*($K$21+$K$24))/(1+$A75)^$J$32</f>
        <v>4359414.22602866</v>
      </c>
      <c r="F75" s="780" t="n">
        <f aca="false">(F$74*($K$21+$K$24))/(1+$A75)^$J$32</f>
        <v>4755724.61021308</v>
      </c>
      <c r="H75" s="817" t="n">
        <f aca="false">($B75+D75+$G$55)/$K$53</f>
        <v>572.022037011328</v>
      </c>
      <c r="I75" s="817" t="n">
        <f aca="false">($B75+E75+$G$55)/$K$53</f>
        <v>603.264972192366</v>
      </c>
      <c r="J75" s="817" t="n">
        <f aca="false">($B75+F75+$G$55)/$K$53</f>
        <v>634.507907373403</v>
      </c>
    </row>
    <row r="76" customFormat="false" ht="11.25" hidden="false" customHeight="false" outlineLevel="0" collapsed="false">
      <c r="A76" s="814" t="n">
        <v>0.11</v>
      </c>
      <c r="B76" s="815" t="n">
        <f aca="false">NPV(A76,$C$28:$J$28)</f>
        <v>3147900.4871398</v>
      </c>
      <c r="D76" s="780" t="n">
        <f aca="false">(D$74*($K$21+$K$24))/(1+$A76)^$J$32</f>
        <v>3686320.59750813</v>
      </c>
      <c r="E76" s="780" t="n">
        <f aca="false">(E$74*($K$21+$K$24))/(1+$A76)^$J$32</f>
        <v>4054952.65725894</v>
      </c>
      <c r="F76" s="780" t="n">
        <f aca="false">(F$74*($K$21+$K$24))/(1+$A76)^$J$32</f>
        <v>4423584.71700975</v>
      </c>
      <c r="H76" s="817" t="n">
        <f aca="false">($B76+D76+$G$55)/$K$53</f>
        <v>538.405398953702</v>
      </c>
      <c r="I76" s="817" t="n">
        <f aca="false">($B76+E76+$G$55)/$K$53</f>
        <v>567.466326973917</v>
      </c>
      <c r="J76" s="817" t="n">
        <f aca="false">($B76+F76+$G$55)/$K$53</f>
        <v>596.527254994131</v>
      </c>
    </row>
    <row r="77" customFormat="false" ht="11.25" hidden="false" customHeight="false" outlineLevel="0" collapsed="false">
      <c r="A77" s="814" t="n">
        <f aca="false">$B$53</f>
        <v>0.121598081333948</v>
      </c>
      <c r="B77" s="815" t="n">
        <f aca="false">NPV(A77,$C$28:$J$28)</f>
        <v>2985836.51618922</v>
      </c>
      <c r="D77" s="780" t="n">
        <f aca="false">(D$74*($K$21+$K$24))/(1+$A77)^$J$32</f>
        <v>3392179.86231442</v>
      </c>
      <c r="E77" s="780" t="n">
        <f aca="false">(E$74*($K$21+$K$24))/(1+$A77)^$J$32</f>
        <v>3731397.84854587</v>
      </c>
      <c r="F77" s="780" t="n">
        <f aca="false">(F$74*($K$21+$K$24))/(1+$A77)^$J$32</f>
        <v>4070615.83477731</v>
      </c>
      <c r="H77" s="817" t="n">
        <f aca="false">($B77+D77+$G$55)/$K$53</f>
        <v>502.440724213519</v>
      </c>
      <c r="I77" s="818" t="n">
        <f aca="false">($B77+E77+$G$55)/$K$53</f>
        <v>529.182808143217</v>
      </c>
      <c r="J77" s="817" t="n">
        <f aca="false">($B77+F77+$G$55)/$K$53</f>
        <v>555.924892072916</v>
      </c>
    </row>
    <row r="78" customFormat="false" ht="11.25" hidden="false" customHeight="false" outlineLevel="0" collapsed="false">
      <c r="A78" s="769" t="n">
        <v>0.13</v>
      </c>
      <c r="B78" s="815" t="n">
        <f aca="false">NPV(A78,$C$28:$J$28)</f>
        <v>2875574.39695446</v>
      </c>
      <c r="D78" s="780" t="n">
        <f aca="false">(D$74*($K$21+$K$24))/(1+$A78)^$J$32</f>
        <v>3195577.72584182</v>
      </c>
      <c r="E78" s="780" t="n">
        <f aca="false">(E$74*($K$21+$K$24))/(1+$A78)^$J$32</f>
        <v>3515135.498426</v>
      </c>
      <c r="F78" s="780" t="n">
        <f aca="false">(F$74*($K$21+$K$24))/(1+$A78)^$J$32</f>
        <v>3834693.27101018</v>
      </c>
      <c r="H78" s="817" t="n">
        <f aca="false">($B78+D78+$G$55)/$K$53</f>
        <v>478.24923079562</v>
      </c>
      <c r="I78" s="817" t="n">
        <f aca="false">($B78+E78+$G$55)/$K$53</f>
        <v>503.441411404237</v>
      </c>
      <c r="J78" s="817" t="n">
        <f aca="false">($B78+F78+$G$55)/$K$53</f>
        <v>528.633592012854</v>
      </c>
    </row>
    <row r="79" customFormat="false" ht="11.25" hidden="false" customHeight="false" outlineLevel="0" collapsed="false">
      <c r="A79" s="814" t="n">
        <v>0.14</v>
      </c>
      <c r="B79" s="815" t="n">
        <f aca="false">NPV(A79,$C$28:$J$28)</f>
        <v>2751593.1293845</v>
      </c>
      <c r="D79" s="780" t="n">
        <f aca="false">(D$74*($K$21+$K$24))/(1+$A79)^$J$32</f>
        <v>2978092.08601958</v>
      </c>
      <c r="E79" s="780" t="n">
        <f aca="false">(E$74*($K$21+$K$24))/(1+$A79)^$J$32</f>
        <v>3275901.29462154</v>
      </c>
      <c r="F79" s="780" t="n">
        <f aca="false">(F$74*($K$21+$K$24))/(1+$A79)^$J$32</f>
        <v>3573710.50322349</v>
      </c>
      <c r="H79" s="817" t="n">
        <f aca="false">($B79+D79+$G$55)/$K$53</f>
        <v>451.329854266845</v>
      </c>
      <c r="I79" s="817" t="n">
        <f aca="false">($B79+E79+$G$55)/$K$53</f>
        <v>474.807497477771</v>
      </c>
      <c r="J79" s="817" t="n">
        <f aca="false">($B79+F79+$G$55)/$K$53</f>
        <v>498.285140688698</v>
      </c>
    </row>
    <row r="80" customFormat="false" ht="12" hidden="false" customHeight="false" outlineLevel="0" collapsed="false">
      <c r="A80" s="802"/>
      <c r="B80" s="802"/>
      <c r="C80" s="802"/>
      <c r="D80" s="802"/>
      <c r="E80" s="802"/>
      <c r="F80" s="802"/>
      <c r="G80" s="802"/>
      <c r="H80" s="802"/>
      <c r="I80" s="802"/>
      <c r="J80" s="802"/>
    </row>
  </sheetData>
  <mergeCells count="16">
    <mergeCell ref="D5:E5"/>
    <mergeCell ref="I5:J5"/>
    <mergeCell ref="D7:E7"/>
    <mergeCell ref="D8:E8"/>
    <mergeCell ref="D9:E9"/>
    <mergeCell ref="D10:E10"/>
    <mergeCell ref="D11:E11"/>
    <mergeCell ref="D12:E12"/>
    <mergeCell ref="I12:J12"/>
    <mergeCell ref="D13:E13"/>
    <mergeCell ref="C16:E16"/>
    <mergeCell ref="F16:J16"/>
    <mergeCell ref="D63:F63"/>
    <mergeCell ref="H63:J63"/>
    <mergeCell ref="D73:F73"/>
    <mergeCell ref="H73:J7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4" activeCellId="0" sqref="H14"/>
    </sheetView>
  </sheetViews>
  <sheetFormatPr defaultColWidth="8.96875" defaultRowHeight="15" zeroHeight="false" outlineLevelRow="0" outlineLevelCol="0"/>
  <cols>
    <col collapsed="false" customWidth="true" hidden="false" outlineLevel="0" max="1" min="1" style="0" width="26.99"/>
    <col collapsed="false" customWidth="true" hidden="false" outlineLevel="0" max="2" min="2" style="0" width="11.99"/>
    <col collapsed="false" customWidth="true" hidden="false" outlineLevel="0" max="3" min="3" style="0" width="12.42"/>
    <col collapsed="false" customWidth="true" hidden="false" outlineLevel="0" max="10" min="4" style="0" width="11.71"/>
  </cols>
  <sheetData>
    <row r="1" customFormat="false" ht="20.25" hidden="false" customHeight="false" outlineLevel="0" collapsed="false">
      <c r="A1" s="823" t="s">
        <v>214</v>
      </c>
      <c r="B1" s="633"/>
      <c r="C1" s="54"/>
      <c r="D1" s="54"/>
      <c r="E1" s="54"/>
      <c r="F1" s="54"/>
      <c r="G1" s="54"/>
      <c r="H1" s="54"/>
      <c r="I1" s="54"/>
      <c r="J1" s="54"/>
    </row>
    <row r="2" customFormat="false" ht="16.5" hidden="false" customHeight="false" outlineLevel="0" collapsed="false">
      <c r="A2" s="824" t="s">
        <v>375</v>
      </c>
      <c r="B2" s="636"/>
      <c r="C2" s="54"/>
      <c r="D2" s="54"/>
      <c r="E2" s="54"/>
      <c r="F2" s="54"/>
      <c r="G2" s="54"/>
      <c r="H2" s="54"/>
      <c r="I2" s="54"/>
      <c r="J2" s="54"/>
    </row>
    <row r="3" customFormat="false" ht="17.25" hidden="false" customHeight="false" outlineLevel="0" collapsed="false">
      <c r="A3" s="52" t="s">
        <v>40</v>
      </c>
      <c r="B3" s="53"/>
      <c r="C3" s="54"/>
      <c r="D3" s="54"/>
      <c r="E3" s="54"/>
      <c r="F3" s="54"/>
      <c r="G3" s="54"/>
      <c r="H3" s="54"/>
      <c r="I3" s="54"/>
      <c r="J3" s="54"/>
    </row>
    <row r="4" customFormat="false" ht="15" hidden="false" customHeight="false" outlineLevel="0" collapsed="false">
      <c r="A4" s="825" t="s">
        <v>41</v>
      </c>
      <c r="B4" s="826" t="s">
        <v>241</v>
      </c>
      <c r="C4" s="826" t="s">
        <v>90</v>
      </c>
      <c r="D4" s="826" t="s">
        <v>216</v>
      </c>
      <c r="E4" s="826" t="s">
        <v>217</v>
      </c>
      <c r="F4" s="826" t="s">
        <v>218</v>
      </c>
      <c r="G4" s="826" t="s">
        <v>219</v>
      </c>
      <c r="H4" s="826" t="s">
        <v>220</v>
      </c>
      <c r="I4" s="826" t="s">
        <v>221</v>
      </c>
      <c r="J4" s="826" t="s">
        <v>222</v>
      </c>
    </row>
    <row r="5" customFormat="false" ht="15.75" hidden="false" customHeight="false" outlineLevel="0" collapsed="false">
      <c r="A5" s="825"/>
      <c r="B5" s="826" t="s">
        <v>51</v>
      </c>
      <c r="C5" s="826" t="s">
        <v>52</v>
      </c>
      <c r="D5" s="826" t="s">
        <v>53</v>
      </c>
      <c r="E5" s="826" t="s">
        <v>54</v>
      </c>
      <c r="F5" s="826" t="s">
        <v>55</v>
      </c>
      <c r="G5" s="826" t="s">
        <v>56</v>
      </c>
      <c r="H5" s="826" t="s">
        <v>57</v>
      </c>
      <c r="I5" s="826" t="s">
        <v>58</v>
      </c>
      <c r="J5" s="826" t="s">
        <v>59</v>
      </c>
    </row>
    <row r="6" customFormat="false" ht="15.75" hidden="false" customHeight="false" outlineLevel="0" collapsed="false"/>
    <row r="7" customFormat="false" ht="15" hidden="false" customHeight="false" outlineLevel="0" collapsed="false">
      <c r="A7" s="827" t="s">
        <v>376</v>
      </c>
      <c r="B7" s="828" t="n">
        <f aca="false">(BALANCESHEET!B19+BALANCESHEET!B23)/BALANCESHEET!B24%</f>
        <v>24.3848922936019</v>
      </c>
      <c r="C7" s="828" t="n">
        <f aca="false">(BALANCESHEET!C19+BALANCESHEET!C23)/BALANCESHEET!C24%</f>
        <v>18.9083827600123</v>
      </c>
      <c r="D7" s="828" t="n">
        <f aca="false">(BALANCESHEET!D19+BALANCESHEET!D23)/BALANCESHEET!D24%</f>
        <v>16.5842657423395</v>
      </c>
      <c r="E7" s="828" t="n">
        <f aca="false">(BALANCESHEET!E19+BALANCESHEET!E23)/BALANCESHEET!E24%</f>
        <v>14.605141512134</v>
      </c>
      <c r="F7" s="828" t="n">
        <f aca="false">(BALANCESHEET!F19+BALANCESHEET!F23)/BALANCESHEET!F24%</f>
        <v>13.1730409018152</v>
      </c>
      <c r="G7" s="828" t="n">
        <f aca="false">(BALANCESHEET!G19+BALANCESHEET!G23)/BALANCESHEET!G24%</f>
        <v>11.9728195381309</v>
      </c>
      <c r="H7" s="828" t="n">
        <f aca="false">(BALANCESHEET!H19+BALANCESHEET!H23)/BALANCESHEET!H24%</f>
        <v>10.9496588183482</v>
      </c>
      <c r="I7" s="828" t="n">
        <f aca="false">(BALANCESHEET!I19+BALANCESHEET!I23)/BALANCESHEET!I24%</f>
        <v>10.0964705739442</v>
      </c>
      <c r="J7" s="828" t="n">
        <f aca="false">(BALANCESHEET!J19+BALANCESHEET!J23)/BALANCESHEET!J24%</f>
        <v>9.37815137399906</v>
      </c>
    </row>
    <row r="8" customFormat="false" ht="15" hidden="false" customHeight="false" outlineLevel="0" collapsed="false">
      <c r="A8" s="827" t="s">
        <v>377</v>
      </c>
      <c r="B8" s="829" t="n">
        <f aca="false">BALANCESHEET!B19/BALANCESHEET!B8</f>
        <v>0.192169091474236</v>
      </c>
      <c r="C8" s="829" t="n">
        <f aca="false">BALANCESHEET!C19/BALANCESHEET!C8</f>
        <v>0.117428295317</v>
      </c>
      <c r="D8" s="829" t="n">
        <f aca="false">BALANCESHEET!D19/BALANCESHEET!D8</f>
        <v>0.0973380761683307</v>
      </c>
      <c r="E8" s="829" t="n">
        <f aca="false">BALANCESHEET!E19/BALANCESHEET!E8</f>
        <v>0.0812566056157128</v>
      </c>
      <c r="F8" s="829" t="n">
        <f aca="false">BALANCESHEET!F19/BALANCESHEET!F8</f>
        <v>0.0715874907598775</v>
      </c>
      <c r="G8" s="829" t="n">
        <f aca="false">BALANCESHEET!G19/BALANCESHEET!G8</f>
        <v>0.0636316168273098</v>
      </c>
      <c r="H8" s="829" t="n">
        <f aca="false">BALANCESHEET!H19/BALANCESHEET!H8</f>
        <v>0.0568621675167061</v>
      </c>
      <c r="I8" s="829" t="n">
        <f aca="false">BALANCESHEET!I19/BALANCESHEET!I8</f>
        <v>0.0514260132341523</v>
      </c>
      <c r="J8" s="829" t="n">
        <f aca="false">BALANCESHEET!J19/BALANCESHEET!J8</f>
        <v>0.0470389715875901</v>
      </c>
    </row>
    <row r="9" customFormat="false" ht="15" hidden="false" customHeight="false" outlineLevel="0" collapsed="false">
      <c r="A9" s="830" t="s">
        <v>378</v>
      </c>
      <c r="B9" s="829" t="n">
        <f aca="false">BALANCESHEET!B36/BALANCESHEET!B43</f>
        <v>1.41021965827365</v>
      </c>
      <c r="C9" s="829" t="n">
        <f aca="false">BALANCESHEET!C36/BALANCESHEET!C43</f>
        <v>1.7018498296065</v>
      </c>
      <c r="D9" s="829" t="n">
        <f aca="false">BALANCESHEET!D36/BALANCESHEET!D43</f>
        <v>1.71802920479001</v>
      </c>
      <c r="E9" s="829" t="n">
        <f aca="false">BALANCESHEET!E36/BALANCESHEET!E43</f>
        <v>1.50076776655972</v>
      </c>
      <c r="F9" s="829" t="n">
        <f aca="false">BALANCESHEET!F36/BALANCESHEET!F43</f>
        <v>1.87903380301661</v>
      </c>
      <c r="G9" s="829" t="n">
        <f aca="false">BALANCESHEET!G36/BALANCESHEET!G43</f>
        <v>2.23394812075336</v>
      </c>
      <c r="H9" s="829" t="n">
        <f aca="false">BALANCESHEET!H36/BALANCESHEET!H43</f>
        <v>1.53364097694953</v>
      </c>
      <c r="I9" s="829" t="n">
        <f aca="false">BALANCESHEET!I36/BALANCESHEET!I43</f>
        <v>1.56691010537164</v>
      </c>
      <c r="J9" s="829" t="n">
        <f aca="false">BALANCESHEET!J36/BALANCESHEET!J43</f>
        <v>1.37247889401041</v>
      </c>
    </row>
    <row r="10" customFormat="false" ht="15.75" hidden="false" customHeight="false" outlineLevel="0" collapsed="false">
      <c r="A10" s="830" t="s">
        <v>379</v>
      </c>
      <c r="B10" s="831"/>
      <c r="C10" s="831" t="n">
        <f aca="false">'INCOME STATEMENT'!H6/(BALANCESHEET!C27+BALANCESHEET!B27)</f>
        <v>91.369970494555</v>
      </c>
      <c r="D10" s="832" t="n">
        <f aca="false">'INCOME STATEMENT'!O6/(BALANCESHEET!D27+BALANCESHEET!C27)</f>
        <v>94.080535973076</v>
      </c>
      <c r="E10" s="831" t="n">
        <f aca="false">'INCOME STATEMENT'!V6/(BALANCESHEET!E27+BALANCESHEET!D27)</f>
        <v>112.010166489216</v>
      </c>
      <c r="F10" s="831" t="n">
        <f aca="false">'INCOME STATEMENT'!AC6/(BALANCESHEET!F27+BALANCESHEET!E27)</f>
        <v>98.8364180675041</v>
      </c>
      <c r="G10" s="831" t="n">
        <f aca="false">'INCOME STATEMENT'!AD6/(BALANCESHEET!G27+BALANCESHEET!F27)</f>
        <v>122.246950496541</v>
      </c>
      <c r="H10" s="831" t="n">
        <f aca="false">'INCOME STATEMENT'!AE6/(BALANCESHEET!H27+BALANCESHEET!G27)</f>
        <v>150.708151277753</v>
      </c>
      <c r="I10" s="831" t="n">
        <f aca="false">'INCOME STATEMENT'!AF6/(BALANCESHEET!I27+BALANCESHEET!H27)</f>
        <v>187.309463372323</v>
      </c>
      <c r="J10" s="831" t="n">
        <f aca="false">'INCOME STATEMENT'!AG6/(BALANCESHEET!J27+BALANCESHEET!I27)</f>
        <v>249.548709640243</v>
      </c>
    </row>
    <row r="11" customFormat="false" ht="15" hidden="false" customHeight="false" outlineLevel="0" collapsed="false">
      <c r="A11" s="833" t="s">
        <v>380</v>
      </c>
      <c r="B11" s="834"/>
      <c r="C11" s="834" t="n">
        <f aca="false">'INCOME STATEMENT'!H38/BALANCESHEET!C8</f>
        <v>20.9487303946051</v>
      </c>
      <c r="D11" s="834" t="n">
        <f aca="false">'INCOME STATEMENT'!O38/BALANCESHEET!D8</f>
        <v>20.0037216798617</v>
      </c>
      <c r="E11" s="834" t="n">
        <f aca="false">'INCOME STATEMENT'!V38/BALANCESHEET!E8</f>
        <v>18.9151657827583</v>
      </c>
      <c r="F11" s="834" t="n">
        <f aca="false">'INCOME STATEMENT'!AC38/BALANCESHEET!F8</f>
        <v>14.0821397860817</v>
      </c>
      <c r="G11" s="834" t="n">
        <f aca="false">'INCOME STATEMENT'!AD38/BALANCESHEET!G8</f>
        <v>14.5555913901864</v>
      </c>
      <c r="H11" s="834" t="n">
        <f aca="false">'INCOME STATEMENT'!AE38/BALANCESHEET!H8</f>
        <v>18.1799010998807</v>
      </c>
      <c r="I11" s="834" t="n">
        <f aca="false">'INCOME STATEMENT'!AF38/BALANCESHEET!I8</f>
        <v>20.1948298305286</v>
      </c>
      <c r="J11" s="834" t="n">
        <f aca="false">'INCOME STATEMENT'!AG38/BALANCESHEET!J8</f>
        <v>31.8582675761707</v>
      </c>
    </row>
    <row r="12" customFormat="false" ht="15.75" hidden="false" customHeight="false" outlineLevel="0" collapsed="false">
      <c r="A12" s="833" t="s">
        <v>381</v>
      </c>
      <c r="B12" s="835"/>
      <c r="C12" s="835" t="n">
        <f aca="false">('INCOME STATEMENT'!H32+'INCOME STATEMENT'!H26)/((BALANCESHEET!C24+BALANCESHEET!B24)*0.5)</f>
        <v>21.7839207694558</v>
      </c>
      <c r="D12" s="835" t="n">
        <f aca="false">('INCOME STATEMENT'!O32+'INCOME STATEMENT'!O26)/(BALANCESHEET!D8+BALANCESHEET!C8)</f>
        <v>16.1267475455769</v>
      </c>
      <c r="E12" s="835" t="n">
        <f aca="false">('INCOME STATEMENT'!V32+'INCOME STATEMENT'!V26)/(BALANCESHEET!E8+BALANCESHEET!D8)</f>
        <v>15.4134852424039</v>
      </c>
      <c r="F12" s="835" t="n">
        <f aca="false">('INCOME STATEMENT'!AC32+'INCOME STATEMENT'!AC26)/(BALANCESHEET!F8+BALANCESHEET!E8)</f>
        <v>12.5524466376401</v>
      </c>
      <c r="G12" s="835" t="n">
        <f aca="false">('INCOME STATEMENT'!AD32+'INCOME STATEMENT'!AD26)/(BALANCESHEET!G8+BALANCESHEET!F8)</f>
        <v>11.6591480188515</v>
      </c>
      <c r="H12" s="835" t="n">
        <f aca="false">('INCOME STATEMENT'!AE32+'INCOME STATEMENT'!AE26)/(BALANCESHEET!H8+BALANCESHEET!G8)</f>
        <v>14.3950231998137</v>
      </c>
      <c r="I12" s="835" t="n">
        <f aca="false">('INCOME STATEMENT'!AF32+'INCOME STATEMENT'!AF26)/(BALANCESHEET!I8+BALANCESHEET!H8)</f>
        <v>15.8728005104439</v>
      </c>
      <c r="J12" s="835" t="n">
        <f aca="false">('INCOME STATEMENT'!AG32+'INCOME STATEMENT'!AG26)/(BALANCESHEET!J8+BALANCESHEET!I8)</f>
        <v>24.9030038752374</v>
      </c>
    </row>
    <row r="13" customFormat="false" ht="15" hidden="false" customHeight="false" outlineLevel="0" collapsed="false">
      <c r="A13" s="830" t="s">
        <v>382</v>
      </c>
      <c r="B13" s="836"/>
      <c r="C13" s="836" t="n">
        <f aca="false">('INCOME STATEMENT'!H21*100)/'INCOME STATEMENT'!H6</f>
        <v>18.6779857894035</v>
      </c>
      <c r="D13" s="836" t="n">
        <f aca="false">('INCOME STATEMENT'!O21*100)/'INCOME STATEMENT'!O6</f>
        <v>21.9302317832987</v>
      </c>
      <c r="E13" s="836" t="n">
        <f aca="false">('INCOME STATEMENT'!V21*100)/'INCOME STATEMENT'!V6</f>
        <v>17.010087924983</v>
      </c>
      <c r="F13" s="836" t="n">
        <f aca="false">('INCOME STATEMENT'!AC21*100)/'INCOME STATEMENT'!AC6</f>
        <v>17.8836294737592</v>
      </c>
      <c r="G13" s="836" t="n">
        <f aca="false">('INCOME STATEMENT'!AD21*100)/'INCOME STATEMENT'!AD6</f>
        <v>13.5</v>
      </c>
      <c r="H13" s="836" t="n">
        <f aca="false">('INCOME STATEMENT'!AE21*100)/'INCOME STATEMENT'!AE6</f>
        <v>13.3</v>
      </c>
      <c r="I13" s="836" t="n">
        <f aca="false">('INCOME STATEMENT'!AF21*100)/'INCOME STATEMENT'!AF6</f>
        <v>11.3</v>
      </c>
      <c r="J13" s="837" t="n">
        <f aca="false">('INCOME STATEMENT'!AG21*100)/'INCOME STATEMENT'!AG6</f>
        <v>13.1</v>
      </c>
    </row>
    <row r="14" customFormat="false" ht="15" hidden="false" customHeight="false" outlineLevel="0" collapsed="false">
      <c r="A14" s="830" t="s">
        <v>383</v>
      </c>
      <c r="B14" s="829"/>
      <c r="C14" s="829" t="n">
        <f aca="false">('INCOME STATEMENT'!H41*100)/'INCOME STATEMENT'!H6</f>
        <v>14.8728312388843</v>
      </c>
      <c r="D14" s="829" t="n">
        <f aca="false">('INCOME STATEMENT'!O41*100/'INCOME STATEMENT'!O6)</f>
        <v>14.4459746115658</v>
      </c>
      <c r="E14" s="829" t="n">
        <f aca="false">('INCOME STATEMENT'!V41*100)/'INCOME STATEMENT'!V6</f>
        <v>11.750108828459</v>
      </c>
      <c r="F14" s="829" t="n">
        <f aca="false">('INCOME STATEMENT'!AC41*100)/'INCOME STATEMENT'!AC6</f>
        <v>9.43983305139114</v>
      </c>
      <c r="G14" s="829" t="n">
        <f aca="false">('INCOME STATEMENT'!AD41*100)/'INCOME STATEMENT'!AD6</f>
        <v>8.21795095657292</v>
      </c>
      <c r="H14" s="829" t="n">
        <f aca="false">('INCOME STATEMENT'!AE41*100)/'INCOME STATEMENT'!AE6</f>
        <v>8.37779069797717</v>
      </c>
      <c r="I14" s="829" t="n">
        <f aca="false">('INCOME STATEMENT'!AF41*100)/'INCOME STATEMENT'!AF6</f>
        <v>7.27020230271958</v>
      </c>
      <c r="J14" s="838" t="n">
        <f aca="false">('INCOME STATEMENT'!AG41*100)/'INCOME STATEMENT'!AG6</f>
        <v>8.60514421560888</v>
      </c>
    </row>
    <row r="15" customFormat="false" ht="15" hidden="false" customHeight="false" outlineLevel="0" collapsed="false">
      <c r="A15" s="830" t="s">
        <v>384</v>
      </c>
      <c r="B15" s="829"/>
      <c r="C15" s="829" t="n">
        <f aca="false">'INCOME STATEMENT'!H26/((BALANCESHEET!C19+BALANCESHEET!B19))</f>
        <v>3.29030454060798</v>
      </c>
      <c r="D15" s="829" t="n">
        <f aca="false">'INCOME STATEMENT'!O26/(BALANCESHEET!D19+BALANCESHEET!C19)</f>
        <v>3.05601216720692</v>
      </c>
      <c r="E15" s="829" t="n">
        <f aca="false">'INCOME STATEMENT'!V26/(BALANCESHEET!E19+BALANCESHEET!D19)</f>
        <v>3.52798053527981</v>
      </c>
      <c r="F15" s="829" t="n">
        <f aca="false">'INCOME STATEMENT'!AC26/(BALANCESHEET!F19+BALANCESHEET!E19)</f>
        <v>2.84479941000478</v>
      </c>
      <c r="G15" s="829" t="n">
        <f aca="false">'INCOME STATEMENT'!AD26/(BALANCESHEET!G19+BALANCESHEET!F19)</f>
        <v>3.29210953630648</v>
      </c>
      <c r="H15" s="829" t="n">
        <f aca="false">'INCOME STATEMENT'!AE26/(BALANCESHEET!H19+BALANCESHEET!G19)</f>
        <v>2.83405681867022</v>
      </c>
      <c r="I15" s="829" t="n">
        <f aca="false">'INCOME STATEMENT'!AF26/(BALANCESHEET!I19+BALANCESHEET!H19)</f>
        <v>2.36174864339904</v>
      </c>
      <c r="J15" s="829" t="n">
        <f aca="false">'INCOME STATEMENT'!AG26/(BALANCESHEET!J19+BALANCESHEET!I19)</f>
        <v>2.58509433465317</v>
      </c>
    </row>
    <row r="16" customFormat="false" ht="15" hidden="false" customHeight="false" outlineLevel="0" collapsed="false">
      <c r="A16" s="830" t="s">
        <v>385</v>
      </c>
      <c r="B16" s="829"/>
      <c r="C16" s="829" t="n">
        <f aca="false">'INCOME STATEMENT'!H37%</f>
        <v>0.165435802754058</v>
      </c>
      <c r="D16" s="829" t="n">
        <f aca="false">'INCOME STATEMENT'!O37%</f>
        <v>0.325172503242542</v>
      </c>
      <c r="E16" s="829" t="n">
        <f aca="false">'INCOME STATEMENT'!V37%</f>
        <v>0.333884912327552</v>
      </c>
      <c r="F16" s="829" t="n">
        <f aca="false">'INCOME STATEMENT'!AC37%</f>
        <v>0.396398290837045</v>
      </c>
      <c r="G16" s="829" t="n">
        <f aca="false">'INCOME STATEMENT'!AD37%</f>
        <v>0.33</v>
      </c>
      <c r="H16" s="829" t="n">
        <f aca="false">'INCOME STATEMENT'!AE37%</f>
        <v>0.33</v>
      </c>
      <c r="I16" s="829" t="n">
        <f aca="false">'INCOME STATEMENT'!AF37%</f>
        <v>0.33</v>
      </c>
      <c r="J16" s="829" t="n">
        <f aca="false">'INCOME STATEMENT'!AG37%</f>
        <v>0.33</v>
      </c>
    </row>
    <row r="17" customFormat="false" ht="15" hidden="false" customHeight="false" outlineLevel="0" collapsed="false">
      <c r="A17" s="830" t="s">
        <v>386</v>
      </c>
      <c r="B17" s="839" t="n">
        <f aca="false">BALANCESHEET!B39/BALANCESHEET!B27</f>
        <v>0.550194271588622</v>
      </c>
      <c r="C17" s="839" t="n">
        <f aca="false">BALANCESHEET!C39/BALANCESHEET!C27</f>
        <v>0.283284227653011</v>
      </c>
      <c r="D17" s="839" t="n">
        <f aca="false">BALANCESHEET!D39/BALANCESHEET!D27</f>
        <v>0.458770557797732</v>
      </c>
      <c r="E17" s="839" t="n">
        <f aca="false">BALANCESHEET!E39/BALANCESHEET!E27</f>
        <v>0.301146240409876</v>
      </c>
      <c r="F17" s="839" t="n">
        <f aca="false">BALANCESHEET!F39/BALANCESHEET!F27</f>
        <v>0.258630281099635</v>
      </c>
      <c r="G17" s="839" t="n">
        <f aca="false">BALANCESHEET!G39/BALANCESHEET!G27</f>
        <v>0.277988466262145</v>
      </c>
      <c r="H17" s="839" t="n">
        <f aca="false">BALANCESHEET!H39/BALANCESHEET!H27</f>
        <v>0.230136352211275</v>
      </c>
      <c r="I17" s="839" t="n">
        <f aca="false">BALANCESHEET!I39/BALANCESHEET!I27</f>
        <v>0.221554249937402</v>
      </c>
      <c r="J17" s="840" t="n">
        <f aca="false">BALANCESHEET!J39/BALANCESHEET!J27</f>
        <v>0.200184696722818</v>
      </c>
    </row>
    <row r="18" customFormat="false" ht="15" hidden="false" customHeight="false" outlineLevel="0" collapsed="false">
      <c r="A18" s="830" t="s">
        <v>387</v>
      </c>
      <c r="B18" s="829"/>
      <c r="C18" s="839" t="n">
        <f aca="false">'INCOME STATEMENT'!H29/'INCOME STATEMENT'!H32</f>
        <v>0.190556616243208</v>
      </c>
      <c r="D18" s="839" t="n">
        <f aca="false">'INCOME STATEMENT'!O29/'INCOME STATEMENT'!O32</f>
        <v>0.14431906614786</v>
      </c>
      <c r="E18" s="839" t="n">
        <f aca="false">'INCOME STATEMENT'!V29/'INCOME STATEMENT'!V32</f>
        <v>0.189941869614356</v>
      </c>
      <c r="F18" s="839" t="n">
        <f aca="false">'INCOME STATEMENT'!AC29/'INCOME STATEMENT'!AC32</f>
        <v>0.0206765264263286</v>
      </c>
      <c r="G18" s="839" t="n">
        <f aca="false">'INCOME STATEMENT'!AD29/'INCOME STATEMENT'!AD32</f>
        <v>0.0624603381537249</v>
      </c>
      <c r="H18" s="839" t="n">
        <f aca="false">'INCOME STATEMENT'!AE29/'INCOME STATEMENT'!AE32</f>
        <v>0.0544611342516871</v>
      </c>
      <c r="I18" s="839" t="n">
        <f aca="false">'INCOME STATEMENT'!AF29/'INCOME STATEMENT'!AF32</f>
        <v>0.0552868110159479</v>
      </c>
      <c r="J18" s="839" t="n">
        <f aca="false">'INCOME STATEMENT'!AG29/'INCOME STATEMENT'!AG32</f>
        <v>0.0374376730219061</v>
      </c>
    </row>
    <row r="19" customFormat="false" ht="15" hidden="false" customHeight="false" outlineLevel="0" collapsed="false">
      <c r="A19" s="830" t="s">
        <v>388</v>
      </c>
      <c r="B19" s="829"/>
      <c r="C19" s="829" t="n">
        <f aca="false">('INCOME STATEMENT'!H21-'INCOME STATEMENT'!H27)/'INCOME STATEMENT'!H26</f>
        <v>22.6177624206201</v>
      </c>
      <c r="D19" s="829" t="n">
        <f aca="false">('INCOME STATEMENT'!O21-'INCOME STATEMENT'!O27)/'INCOME STATEMENT'!O26</f>
        <v>42.4559507352017</v>
      </c>
      <c r="E19" s="829" t="n">
        <f aca="false">('INCOME STATEMENT'!V21-'INCOME STATEMENT'!V27)/'INCOME STATEMENT'!V26</f>
        <v>40.0505747126437</v>
      </c>
      <c r="F19" s="829" t="n">
        <f aca="false">('INCOME STATEMENT'!AC21-'INCOME STATEMENT'!AC27)/'INCOME STATEMENT'!AC26</f>
        <v>56.7708057151274</v>
      </c>
      <c r="G19" s="829" t="n">
        <f aca="false">('INCOME STATEMENT'!AD21-'INCOME STATEMENT'!AD27)/'INCOME STATEMENT'!AD26</f>
        <v>49.3263357372827</v>
      </c>
      <c r="H19" s="829" t="n">
        <f aca="false">('INCOME STATEMENT'!AE21-'INCOME STATEMENT'!AE27)/'INCOME STATEMENT'!AE26</f>
        <v>79.9887088277221</v>
      </c>
      <c r="I19" s="829" t="n">
        <f aca="false">('INCOME STATEMENT'!AF21-'INCOME STATEMENT'!AF27)/'INCOME STATEMENT'!AF26</f>
        <v>117.584431126683</v>
      </c>
      <c r="J19" s="829" t="n">
        <f aca="false">('INCOME STATEMENT'!AG21-'INCOME STATEMENT'!AG27)/'INCOME STATEMENT'!AG26</f>
        <v>188.735720835456</v>
      </c>
    </row>
    <row r="20" customFormat="false" ht="15" hidden="false" customHeight="false" outlineLevel="0" collapsed="false">
      <c r="A20" s="830" t="s">
        <v>389</v>
      </c>
      <c r="B20" s="829"/>
      <c r="C20" s="829" t="n">
        <f aca="false">BALANCESHEET!C28/BALANCESHEET!B28-1</f>
        <v>0.0320039144461308</v>
      </c>
      <c r="D20" s="829" t="n">
        <f aca="false">BALANCESHEET!D28/BALANCESHEET!C28-1</f>
        <v>0.135629791542776</v>
      </c>
      <c r="E20" s="829" t="n">
        <f aca="false">BALANCESHEET!E28/BALANCESHEET!D28-1</f>
        <v>0.038101505732445</v>
      </c>
      <c r="F20" s="829" t="n">
        <f aca="false">BALANCESHEET!F28/BALANCESHEET!E28-1</f>
        <v>0.0708362540743628</v>
      </c>
      <c r="G20" s="829" t="n">
        <f aca="false">BALANCESHEET!G28/BALANCESHEET!F28-1</f>
        <v>0.0530364999591533</v>
      </c>
      <c r="H20" s="829" t="n">
        <f aca="false">BALANCESHEET!H28/BALANCESHEET!G28-1</f>
        <v>0.0567428870517366</v>
      </c>
      <c r="I20" s="829" t="n">
        <f aca="false">BALANCESHEET!I28/BALANCESHEET!H28-1</f>
        <v>0.0154582412490538</v>
      </c>
      <c r="J20" s="829" t="n">
        <f aca="false">BALANCESHEET!J28/BALANCESHEET!I28-1</f>
        <v>0.062047477563713</v>
      </c>
    </row>
    <row r="21" customFormat="false" ht="15" hidden="false" customHeight="false" outlineLevel="0" collapsed="false">
      <c r="A21" s="830" t="s">
        <v>390</v>
      </c>
      <c r="B21" s="829"/>
      <c r="C21" s="829"/>
      <c r="D21" s="841" t="n">
        <f aca="false">'INCOME STATEMENT'!O6/'INCOME STATEMENT'!H6-1</f>
        <v>0.12220340271624</v>
      </c>
      <c r="E21" s="829" t="n">
        <f aca="false">'INCOME STATEMENT'!V6/'INCOME STATEMENT'!O6-1</f>
        <v>0.320284648104752</v>
      </c>
      <c r="F21" s="829" t="n">
        <f aca="false">'INCOME STATEMENT'!AC6/'INCOME STATEMENT'!V6-1</f>
        <v>0.0397641314016894</v>
      </c>
      <c r="G21" s="829" t="n">
        <f aca="false">'INCOME STATEMENT'!AD6/'INCOME STATEMENT'!W6-1</f>
        <v>4.4014963592454</v>
      </c>
      <c r="H21" s="829" t="n">
        <f aca="false">'INCOME STATEMENT'!AE6/'INCOME STATEMENT'!X6-1</f>
        <v>6.07761781972064</v>
      </c>
      <c r="I21" s="829" t="n">
        <f aca="false">'INCOME STATEMENT'!AF6/'INCOME STATEMENT'!Y6-1</f>
        <v>4.02825365430507</v>
      </c>
      <c r="J21" s="829" t="n">
        <f aca="false">'INCOME STATEMENT'!AG6/'INCOME STATEMENT'!Z6-1</f>
        <v>13.4106959558213</v>
      </c>
    </row>
    <row r="22" customFormat="false" ht="15" hidden="false" customHeight="false" outlineLevel="0" collapsed="false">
      <c r="A22" s="830" t="s">
        <v>391</v>
      </c>
      <c r="B22" s="829"/>
      <c r="C22" s="829"/>
      <c r="D22" s="829" t="n">
        <f aca="false">'INCOME STATEMENT'!O21/'INCOME STATEMENT'!H21-1</f>
        <v>0.31760356855693</v>
      </c>
      <c r="E22" s="829" t="n">
        <f aca="false">'INCOME STATEMENT'!V21/'INCOME STATEMENT'!O21-1</f>
        <v>0.0240729861948121</v>
      </c>
      <c r="F22" s="829" t="n">
        <f aca="false">'INCOME STATEMENT'!AC21/'INCOME STATEMENT'!V21-1</f>
        <v>0.0931605144017149</v>
      </c>
      <c r="G22" s="829" t="n">
        <f aca="false">'INCOME STATEMENT'!AD21/'INCOME STATEMENT'!W21-1</f>
        <v>3.0586966860449</v>
      </c>
      <c r="H22" s="829" t="n">
        <f aca="false">'INCOME STATEMENT'!AE21/'INCOME STATEMENT'!X21-1</f>
        <v>4.63669160920093</v>
      </c>
      <c r="I22" s="829" t="n">
        <f aca="false">'INCOME STATEMENT'!AF21/'INCOME STATEMENT'!Y21-1</f>
        <v>2.27985415578365</v>
      </c>
      <c r="J22" s="829" t="n">
        <f aca="false">'INCOME STATEMENT'!AG21/'INCOME STATEMENT'!Z21-1</f>
        <v>8.22082203209735</v>
      </c>
    </row>
    <row r="23" customFormat="false" ht="15" hidden="false" customHeight="false" outlineLevel="0" collapsed="false">
      <c r="A23" s="830" t="s">
        <v>184</v>
      </c>
      <c r="B23" s="829"/>
      <c r="C23" s="829"/>
      <c r="D23" s="829" t="n">
        <f aca="false">'INCOME STATEMENT'!O6/((BALANCESHEET!D37+BALANCESHEET!C37)*0.5)</f>
        <v>3209.53153265548</v>
      </c>
      <c r="E23" s="829" t="n">
        <f aca="false">'INCOME STATEMENT'!V6/((BALANCESHEET!E37+BALANCESHEET!D37)*0.5)</f>
        <v>4060.03142022848</v>
      </c>
      <c r="F23" s="829" t="n">
        <f aca="false">'INCOME STATEMENT'!AC6/((BALANCESHEET!F37+BALANCESHEET!E37)*0.5)</f>
        <v>4007.16126627008</v>
      </c>
      <c r="G23" s="829" t="n">
        <f aca="false">'INCOME STATEMENT'!AD6/((BALANCESHEET!G37+BALANCESHEET!F37)*0.5)</f>
        <v>5062.71285838402</v>
      </c>
      <c r="H23" s="829" t="n">
        <f aca="false">'INCOME STATEMENT'!AE6/((BALANCESHEET!H37+BALANCESHEET!G37)*0.5)</f>
        <v>6564.27406833455</v>
      </c>
      <c r="I23" s="829" t="n">
        <f aca="false">'INCOME STATEMENT'!AF6/((BALANCESHEET!I37+BALANCESHEET!H37)*0.5)</f>
        <v>8803.15443905224</v>
      </c>
      <c r="J23" s="829" t="n">
        <f aca="false">'INCOME STATEMENT'!AG6/((BALANCESHEET!J37+BALANCESHEET!I37)*0.5)</f>
        <v>12278.7510984183</v>
      </c>
    </row>
    <row r="24" customFormat="false" ht="15" hidden="false" customHeight="false" outlineLevel="0" collapsed="false">
      <c r="A24" s="830" t="s">
        <v>392</v>
      </c>
      <c r="B24" s="829"/>
      <c r="C24" s="839" t="n">
        <f aca="false">BALANCESHEET!C58/'INCOME STATEMENT'!H6</f>
        <v>0.00199055534991195</v>
      </c>
      <c r="D24" s="839" t="n">
        <f aca="false">BALANCESHEET!D58/'INCOME STATEMENT'!O6</f>
        <v>0.00241597716595773</v>
      </c>
      <c r="E24" s="839" t="n">
        <f aca="false">BALANCESHEET!E58/'INCOME STATEMENT'!V6</f>
        <v>0.00171728995055928</v>
      </c>
      <c r="F24" s="839" t="n">
        <f aca="false">BALANCESHEET!F58/'INCOME STATEMENT'!AC6</f>
        <v>0.00162179457619275</v>
      </c>
      <c r="G24" s="839" t="n">
        <f aca="false">BALANCESHEET!G58/'INCOME STATEMENT'!AD6</f>
        <v>0.00188417141805422</v>
      </c>
      <c r="H24" s="839" t="n">
        <f aca="false">BALANCESHEET!H58/'INCOME STATEMENT'!AE6</f>
        <v>0.00114308966013885</v>
      </c>
      <c r="I24" s="839" t="n">
        <f aca="false">BALANCESHEET!I58/'INCOME STATEMENT'!AF6</f>
        <v>0.000783133819430595</v>
      </c>
      <c r="J24" s="839" t="n">
        <f aca="false">BALANCESHEET!J58/'INCOME STATEMENT'!AG6</f>
        <v>0.000511617088940227</v>
      </c>
    </row>
    <row r="25" customFormat="false" ht="15" hidden="false" customHeight="false" outlineLevel="0" collapsed="false">
      <c r="A25" s="830" t="s">
        <v>393</v>
      </c>
      <c r="B25" s="829"/>
      <c r="C25" s="842" t="n">
        <f aca="false">'INCOME STATEMENT'!H36/100</f>
        <v>0.165435802754058</v>
      </c>
      <c r="D25" s="842" t="n">
        <f aca="false">'INCOME STATEMENT'!O36/100</f>
        <v>0.325172503242542</v>
      </c>
      <c r="E25" s="842" t="n">
        <f aca="false">'INCOME STATEMENT'!V36/100</f>
        <v>0.333884912327552</v>
      </c>
      <c r="F25" s="842" t="n">
        <f aca="false">'INCOME STATEMENT'!AC36/100</f>
        <v>0.383499386998153</v>
      </c>
      <c r="G25" s="842" t="n">
        <f aca="false">'INCOME STATEMENT'!AD36/100</f>
        <v>0.33</v>
      </c>
      <c r="H25" s="842" t="n">
        <f aca="false">'INCOME STATEMENT'!AE36/100</f>
        <v>0.33</v>
      </c>
      <c r="I25" s="842" t="n">
        <f aca="false">'INCOME STATEMENT'!AF36/100</f>
        <v>0.33</v>
      </c>
      <c r="J25" s="842" t="n">
        <f aca="false">'INCOME STATEMENT'!AG36/100</f>
        <v>0.33</v>
      </c>
    </row>
    <row r="26" customFormat="false" ht="15.75" hidden="false" customHeight="false" outlineLevel="0" collapsed="false">
      <c r="A26" s="843" t="s">
        <v>394</v>
      </c>
      <c r="B26" s="829"/>
      <c r="C26" s="829"/>
      <c r="D26" s="829" t="n">
        <f aca="false">'INCOME STATEMENT'!O30/'INCOME STATEMENT'!H30-1</f>
        <v>0.348005790655225</v>
      </c>
      <c r="E26" s="829" t="n">
        <f aca="false">'INCOME STATEMENT'!V30/'INCOME STATEMENT'!O30-1</f>
        <v>0.0879429312581064</v>
      </c>
      <c r="F26" s="829" t="n">
        <f aca="false">'INCOME STATEMENT'!AC30/'INCOME STATEMENT'!V30-1</f>
        <v>-0.0781589024372797</v>
      </c>
      <c r="G26" s="829" t="n">
        <f aca="false">'INCOME STATEMENT'!AD30/'INCOME STATEMENT'!W30-1</f>
        <v>3.22659159019631</v>
      </c>
      <c r="H26" s="829" t="n">
        <f aca="false">'INCOME STATEMENT'!AE30/'INCOME STATEMENT'!X30-1</f>
        <v>5.10598621082968</v>
      </c>
      <c r="I26" s="829" t="n">
        <f aca="false">'INCOME STATEMENT'!AF30/'INCOME STATEMENT'!Y30-1</f>
        <v>2.61918172772208</v>
      </c>
      <c r="J26" s="829" t="n">
        <f aca="false">'INCOME STATEMENT'!AG30/'INCOME STATEMENT'!Z30-1</f>
        <v>9.13523635561439</v>
      </c>
    </row>
    <row r="27" customFormat="false" ht="15.75" hidden="false" customHeight="false" outlineLevel="0" collapsed="false">
      <c r="A27" s="844" t="s">
        <v>395</v>
      </c>
      <c r="B27" s="845"/>
      <c r="C27" s="845" t="n">
        <f aca="false">'INCOME STATEMENT'!H49</f>
        <v>28.2229054573405</v>
      </c>
      <c r="D27" s="845" t="n">
        <f aca="false">'INCOME STATEMENT'!O49</f>
        <v>30.7628451487022</v>
      </c>
      <c r="E27" s="845" t="n">
        <f aca="false">'INCOME STATEMENT'!V49</f>
        <v>22.0239972250252</v>
      </c>
      <c r="F27" s="845" t="n">
        <f aca="false">'INCOME STATEMENT'!AC49</f>
        <v>18.3972707492432</v>
      </c>
      <c r="G27" s="845" t="n">
        <f aca="false">'INCOME STATEMENT'!AD49</f>
        <v>21.1410507063572</v>
      </c>
      <c r="H27" s="845" t="n">
        <f aca="false">'INCOME STATEMENT'!AE49</f>
        <v>29.0955316599395</v>
      </c>
      <c r="I27" s="845" t="n">
        <f aca="false">'INCOME STATEMENT'!AF49</f>
        <v>35.3485273713421</v>
      </c>
      <c r="J27" s="846" t="n">
        <f aca="false">'INCOME STATEMENT'!AG49</f>
        <v>60.6667822906155</v>
      </c>
    </row>
    <row r="28" customFormat="false" ht="15.75" hidden="false" customHeight="false" outlineLevel="0" collapsed="false">
      <c r="A28" s="847"/>
      <c r="B28" s="848"/>
      <c r="C28" s="848"/>
      <c r="D28" s="848"/>
      <c r="E28" s="848"/>
      <c r="F28" s="848"/>
      <c r="G28" s="848"/>
      <c r="H28" s="848"/>
      <c r="I28" s="848"/>
      <c r="J28" s="848"/>
    </row>
    <row r="29" customFormat="false" ht="15.75" hidden="false" customHeight="false" outlineLevel="0" collapsed="false">
      <c r="A29" s="847"/>
      <c r="B29" s="848"/>
      <c r="C29" s="848"/>
      <c r="D29" s="848"/>
      <c r="E29" s="848"/>
      <c r="F29" s="848"/>
      <c r="G29" s="848"/>
      <c r="H29" s="848"/>
      <c r="I29" s="848"/>
      <c r="J29" s="848"/>
    </row>
    <row r="30" customFormat="false" ht="15.75" hidden="false" customHeight="false" outlineLevel="0" collapsed="false">
      <c r="A30" s="847"/>
      <c r="B30" s="848"/>
      <c r="C30" s="848"/>
      <c r="D30" s="848"/>
      <c r="E30" s="848"/>
      <c r="F30" s="848"/>
      <c r="G30" s="848"/>
      <c r="H30" s="848"/>
      <c r="I30" s="848"/>
      <c r="J30" s="848"/>
    </row>
  </sheetData>
  <mergeCells count="1">
    <mergeCell ref="A4:A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2010-01-06T11:30:21Z</dcterms:created>
  <dc:creator>Disha Vyas</dc:creator>
  <dc:description/>
  <dc:language>en-US</dc:language>
  <cp:lastModifiedBy>IMS</cp:lastModifiedBy>
  <dcterms:modified xsi:type="dcterms:W3CDTF">2011-03-01T16:36:50Z</dcterms:modified>
  <cp:revision>0</cp:revision>
  <dc:subject/>
  <dc:title/>
</cp:coreProperties>
</file>