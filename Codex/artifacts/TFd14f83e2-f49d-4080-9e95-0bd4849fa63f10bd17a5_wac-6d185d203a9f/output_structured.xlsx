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4.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tables/table1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756" firstSheet="0" activeTab="0" autoFilterDateGrouping="1"/>
  </bookViews>
  <sheets>
    <sheet name="START" sheetId="1" state="visible" r:id="rId1"/>
    <sheet name="PLANNED EXPENSES" sheetId="2" state="visible" r:id="rId2"/>
    <sheet name="ACTUAL EXPENSES" sheetId="3" state="visible" r:id="rId3"/>
    <sheet name="EXPENSE VARIANCES" sheetId="4" state="visible" r:id="rId4"/>
    <sheet name="EXPENSE ANALYSIS" sheetId="5" state="visible" r:id="rId5"/>
  </sheets>
  <definedNames>
    <definedName name="worksheet_title">'PLANNED EXPENSES'!$O$2</definedName>
  </definedNames>
  <calcPr calcId="191028" fullCalcOnLoad="1"/>
</workbook>
</file>

<file path=xl/styles.xml><?xml version="1.0" encoding="utf-8"?>
<styleSheet xmlns="http://schemas.openxmlformats.org/spreadsheetml/2006/main">
  <numFmts count="2">
    <numFmt numFmtId="164" formatCode="_(&quot;$&quot;* #,##0_);_(&quot;$&quot;* \(#,##0\);_(&quot;$&quot;* &quot;-&quot;??_);_(@_)"/>
    <numFmt numFmtId="165" formatCode="&quot;$&quot;#,##0.00_);[Red]\(&quot;$&quot;#,##0.00\)"/>
  </numFmts>
  <fonts count="35">
    <font>
      <name val="Posterama"/>
      <family val="2"/>
      <color theme="1" tint="0.249946592608417"/>
      <sz val="9"/>
      <scheme val="minor"/>
    </font>
    <font>
      <name val="Posterama"/>
      <family val="2"/>
      <color theme="1"/>
      <sz val="11"/>
      <scheme val="minor"/>
    </font>
    <font>
      <name val="Posterama"/>
      <family val="2"/>
      <color theme="1"/>
      <sz val="11"/>
      <scheme val="minor"/>
    </font>
    <font>
      <name val="Posterama"/>
      <family val="2"/>
      <b val="1"/>
      <color theme="1" tint="0.249946592608417"/>
      <sz val="22"/>
      <scheme val="major"/>
    </font>
    <font>
      <name val="Posterama"/>
      <family val="2"/>
      <color theme="1" tint="0.249946592608417"/>
      <sz val="11"/>
      <scheme val="major"/>
    </font>
    <font>
      <name val="Posterama"/>
      <family val="2"/>
      <b val="1"/>
      <color theme="2"/>
      <sz val="10"/>
      <scheme val="major"/>
    </font>
    <font>
      <name val="Posterama"/>
      <family val="2"/>
      <i val="1"/>
      <color theme="3" tint="0.7999816888943144"/>
      <sz val="11"/>
      <scheme val="minor"/>
    </font>
    <font>
      <name val="Posterama"/>
      <family val="2"/>
      <b val="1"/>
      <color theme="0"/>
      <sz val="16"/>
      <scheme val="major"/>
    </font>
    <font>
      <name val="Posterama"/>
      <family val="2"/>
      <color theme="1"/>
      <sz val="14"/>
      <scheme val="minor"/>
    </font>
    <font>
      <name val="Posterama"/>
      <family val="2"/>
      <b val="1"/>
      <color theme="4"/>
      <sz val="48"/>
      <scheme val="minor"/>
    </font>
    <font>
      <name val="Posterama"/>
      <family val="2"/>
      <b val="1"/>
      <color theme="1"/>
      <sz val="14"/>
      <scheme val="minor"/>
    </font>
    <font>
      <name val="Posterama"/>
      <family val="2"/>
      <b val="1"/>
      <color theme="1"/>
      <sz val="16"/>
      <scheme val="minor"/>
    </font>
    <font>
      <name val="Posterama"/>
      <family val="2"/>
      <b val="1"/>
      <color theme="4"/>
      <sz val="16"/>
      <scheme val="minor"/>
    </font>
    <font>
      <name val="Posterama"/>
      <family val="2"/>
      <b val="1"/>
      <color theme="1"/>
      <sz val="10"/>
      <u val="single"/>
      <scheme val="minor"/>
    </font>
    <font>
      <name val="Posterama"/>
      <family val="2"/>
      <i val="1"/>
      <color theme="1"/>
      <sz val="12"/>
      <scheme val="minor"/>
    </font>
    <font>
      <name val="Posterama"/>
      <family val="2"/>
      <i val="1"/>
      <color theme="4"/>
      <sz val="12"/>
      <scheme val="minor"/>
    </font>
    <font>
      <name val="Posterama"/>
      <family val="2"/>
      <b val="1"/>
      <color theme="1"/>
      <sz val="36"/>
      <scheme val="minor"/>
    </font>
    <font>
      <name val="Posterama"/>
      <family val="2"/>
      <i val="1"/>
      <color theme="1"/>
      <sz val="11"/>
      <scheme val="minor"/>
    </font>
    <font>
      <name val="Posterama"/>
      <family val="2"/>
      <color theme="1"/>
      <sz val="9"/>
      <scheme val="minor"/>
    </font>
    <font>
      <name val="Posterama"/>
      <family val="2"/>
      <color theme="4"/>
      <sz val="16"/>
      <scheme val="minor"/>
    </font>
    <font>
      <name val="Posterama"/>
      <family val="2"/>
      <color theme="1" tint="0.249946592608417"/>
      <sz val="10"/>
      <scheme val="minor"/>
    </font>
    <font>
      <name val="Posterama"/>
      <family val="2"/>
      <color theme="1" tint="0.249946592608417"/>
      <sz val="12"/>
      <scheme val="minor"/>
    </font>
    <font>
      <name val="Posterama"/>
      <family val="2"/>
      <b val="1"/>
      <color theme="1"/>
      <sz val="10"/>
      <scheme val="minor"/>
    </font>
    <font>
      <name val="Posterama"/>
      <family val="2"/>
      <color theme="1"/>
      <sz val="10"/>
      <scheme val="minor"/>
    </font>
    <font>
      <name val="Posterama"/>
      <family val="2"/>
      <b val="1"/>
      <color theme="4"/>
      <sz val="48"/>
      <scheme val="major"/>
    </font>
    <font>
      <name val="Posterama"/>
      <family val="2"/>
      <color theme="1"/>
      <sz val="16"/>
      <scheme val="minor"/>
    </font>
    <font>
      <name val="Posterama"/>
      <family val="2"/>
      <color theme="1" tint="0.249946592608417"/>
      <sz val="16"/>
      <scheme val="minor"/>
    </font>
    <font>
      <name val="Posterama"/>
      <family val="2"/>
      <b val="1"/>
      <color theme="4"/>
      <sz val="10"/>
      <scheme val="minor"/>
    </font>
    <font>
      <name val="Posterama"/>
      <family val="2"/>
      <b val="1"/>
      <i val="1"/>
      <color theme="1"/>
      <sz val="10"/>
      <scheme val="minor"/>
    </font>
    <font>
      <name val="Posterama"/>
      <family val="2"/>
      <color theme="6"/>
      <sz val="14"/>
      <scheme val="minor"/>
    </font>
    <font>
      <name val="Posterama"/>
      <family val="2"/>
      <color theme="6"/>
      <sz val="9"/>
      <scheme val="minor"/>
    </font>
    <font>
      <name val="Posterama"/>
      <family val="2"/>
      <b val="1"/>
      <color rgb="FF1309A8"/>
      <sz val="16"/>
      <scheme val="minor"/>
    </font>
    <font>
      <name val="Posterama"/>
      <family val="2"/>
      <b val="1"/>
      <color theme="6"/>
      <sz val="36"/>
      <scheme val="minor"/>
    </font>
    <font>
      <name val="Posterama"/>
      <family val="2"/>
      <b val="1"/>
      <color theme="4"/>
      <sz val="14"/>
      <scheme val="minor"/>
    </font>
    <font>
      <name val="Posterama"/>
      <family val="2"/>
      <color theme="6"/>
      <sz val="10"/>
      <scheme val="minor"/>
    </font>
  </fonts>
  <fills count="8">
    <fill>
      <patternFill/>
    </fill>
    <fill>
      <patternFill patternType="gray125"/>
    </fill>
    <fill>
      <patternFill patternType="solid">
        <fgColor theme="5" tint="-0.499984740745262"/>
        <bgColor indexed="64"/>
      </patternFill>
    </fill>
    <fill>
      <patternFill patternType="solid">
        <fgColor theme="3" tint="0.8999603259376812"/>
        <bgColor indexed="64"/>
      </patternFill>
    </fill>
    <fill>
      <patternFill patternType="solid">
        <fgColor theme="3"/>
        <bgColor indexed="64"/>
      </patternFill>
    </fill>
    <fill>
      <patternFill patternType="solid">
        <fgColor theme="6" tint="0.3999450666829432"/>
        <bgColor indexed="64"/>
      </patternFill>
    </fill>
    <fill>
      <patternFill patternType="solid">
        <fgColor theme="0" tint="-0.0499893185216834"/>
        <bgColor indexed="64"/>
      </patternFill>
    </fill>
    <fill>
      <patternFill patternType="solid">
        <fgColor rgb="FFF2F2F2"/>
        <bgColor rgb="FF000000"/>
      </patternFill>
    </fill>
  </fills>
  <borders count="2">
    <border>
      <left/>
      <right/>
      <top/>
      <bottom/>
      <diagonal/>
    </border>
    <border>
      <left style="thin">
        <color theme="5" tint="-0.499984740745262"/>
      </left>
      <right style="thin">
        <color theme="5" tint="-0.499984740745262"/>
      </right>
      <top style="thin">
        <color theme="5" tint="-0.499984740745262"/>
      </top>
      <bottom style="thin">
        <color theme="5" tint="-0.499984740745262"/>
      </bottom>
      <diagonal/>
    </border>
  </borders>
  <cellStyleXfs count="6">
    <xf numFmtId="0" fontId="0" fillId="5" borderId="0"/>
    <xf numFmtId="0" fontId="3" fillId="0" borderId="0" applyAlignment="1">
      <alignment vertical="center"/>
    </xf>
    <xf numFmtId="0" fontId="7" fillId="4" borderId="0" applyAlignment="1">
      <alignment vertical="center"/>
    </xf>
    <xf numFmtId="0" fontId="5" fillId="2" borderId="0" applyAlignment="1">
      <alignment vertical="center"/>
    </xf>
    <xf numFmtId="0" fontId="4" fillId="3" borderId="1" applyAlignment="1">
      <alignment horizontal="left" vertical="center" indent="1"/>
    </xf>
    <xf numFmtId="0" fontId="6" fillId="0" borderId="0"/>
  </cellStyleXfs>
  <cellXfs count="94">
    <xf numFmtId="0" fontId="0" fillId="5" borderId="0" pivotButton="0" quotePrefix="0" xfId="0"/>
    <xf numFmtId="0" fontId="8" fillId="6" borderId="0" applyAlignment="1" pivotButton="0" quotePrefix="0" xfId="0">
      <alignment horizontal="left" vertical="top" wrapText="1" indent="1"/>
    </xf>
    <xf numFmtId="0" fontId="8" fillId="6" borderId="0" applyAlignment="1" pivotButton="0" quotePrefix="0" xfId="0">
      <alignment horizontal="left" vertical="top" indent="1"/>
    </xf>
    <xf numFmtId="0" fontId="8" fillId="0" borderId="0" pivotButton="0" quotePrefix="0" xfId="0"/>
    <xf numFmtId="164" fontId="10" fillId="6" borderId="0" applyAlignment="1" pivotButton="0" quotePrefix="0" xfId="0">
      <alignment horizontal="left" vertical="top" indent="1"/>
    </xf>
    <xf numFmtId="0" fontId="10" fillId="6" borderId="0" applyAlignment="1" pivotButton="0" quotePrefix="0" xfId="0">
      <alignment horizontal="left" vertical="top" indent="1"/>
    </xf>
    <xf numFmtId="0" fontId="8" fillId="6" borderId="0" pivotButton="0" quotePrefix="0" xfId="0"/>
    <xf numFmtId="0" fontId="11" fillId="6" borderId="0" applyAlignment="1" pivotButton="0" quotePrefix="0" xfId="2">
      <alignment horizontal="left" indent="1"/>
    </xf>
    <xf numFmtId="0" fontId="10" fillId="6" borderId="0" applyAlignment="1" pivotButton="0" quotePrefix="0" xfId="0">
      <alignment horizontal="center" vertical="top"/>
    </xf>
    <xf numFmtId="0" fontId="12" fillId="6" borderId="0" applyAlignment="1" pivotButton="0" quotePrefix="0" xfId="2">
      <alignment horizontal="right"/>
    </xf>
    <xf numFmtId="164" fontId="13" fillId="6" borderId="0" applyAlignment="1" pivotButton="0" quotePrefix="0" xfId="0">
      <alignment horizontal="left" vertical="top" indent="1"/>
    </xf>
    <xf numFmtId="0" fontId="13" fillId="6" borderId="0" applyAlignment="1" pivotButton="0" quotePrefix="0" xfId="0">
      <alignment horizontal="left" vertical="top" indent="1"/>
    </xf>
    <xf numFmtId="0" fontId="14" fillId="6" borderId="0" applyAlignment="1" pivotButton="0" quotePrefix="0" xfId="5">
      <alignment horizontal="left" vertical="top" indent="1"/>
    </xf>
    <xf numFmtId="0" fontId="15" fillId="6" borderId="0" applyAlignment="1" pivotButton="0" quotePrefix="0" xfId="5">
      <alignment horizontal="right" vertical="top"/>
    </xf>
    <xf numFmtId="0" fontId="16" fillId="6" borderId="0" applyAlignment="1" pivotButton="0" quotePrefix="0" xfId="1">
      <alignment horizontal="left" vertical="top" indent="1"/>
    </xf>
    <xf numFmtId="0" fontId="17" fillId="6" borderId="0" applyAlignment="1" pivotButton="0" quotePrefix="0" xfId="5">
      <alignment horizontal="left" vertical="top" indent="1"/>
    </xf>
    <xf numFmtId="0" fontId="11" fillId="6" borderId="0" applyAlignment="1" pivotButton="0" quotePrefix="0" xfId="3">
      <alignment horizontal="left" vertical="center"/>
    </xf>
    <xf numFmtId="0" fontId="11" fillId="6" borderId="0" applyAlignment="1" pivotButton="0" quotePrefix="0" xfId="3">
      <alignment horizontal="center" vertical="center"/>
    </xf>
    <xf numFmtId="164" fontId="11" fillId="6" borderId="0" applyAlignment="1" pivotButton="0" quotePrefix="0" xfId="3">
      <alignment horizontal="center" vertical="center"/>
    </xf>
    <xf numFmtId="0" fontId="18" fillId="0" borderId="0" applyAlignment="1" pivotButton="0" quotePrefix="0" xfId="0">
      <alignment wrapText="1"/>
    </xf>
    <xf numFmtId="0" fontId="18" fillId="0" borderId="0" pivotButton="0" quotePrefix="0" xfId="0"/>
    <xf numFmtId="0" fontId="19" fillId="5" borderId="0" applyAlignment="1" pivotButton="0" quotePrefix="0" xfId="4">
      <alignment horizontal="left" vertical="center" indent="1"/>
    </xf>
    <xf numFmtId="0" fontId="21" fillId="5" borderId="0" applyAlignment="1" pivotButton="0" quotePrefix="0" xfId="0">
      <alignment horizontal="left" vertical="center" indent="1"/>
    </xf>
    <xf numFmtId="165" fontId="20" fillId="5" borderId="0" applyAlignment="1" pivotButton="0" quotePrefix="0" xfId="0">
      <alignment horizontal="center" vertical="center"/>
    </xf>
    <xf numFmtId="0" fontId="22" fillId="6" borderId="0" applyAlignment="1" pivotButton="0" quotePrefix="0" xfId="0">
      <alignment horizontal="center"/>
    </xf>
    <xf numFmtId="0" fontId="23" fillId="6" borderId="0" applyAlignment="1" pivotButton="0" quotePrefix="0" xfId="0">
      <alignment horizontal="center"/>
    </xf>
    <xf numFmtId="0" fontId="22" fillId="6" borderId="0" pivotButton="0" quotePrefix="0" xfId="0"/>
    <xf numFmtId="0" fontId="12" fillId="5" borderId="0" applyAlignment="1" pivotButton="0" quotePrefix="0" xfId="3">
      <alignment horizontal="left" vertical="center" indent="1"/>
    </xf>
    <xf numFmtId="0" fontId="2" fillId="6" borderId="0" pivotButton="0" quotePrefix="0" xfId="0"/>
    <xf numFmtId="0" fontId="9" fillId="6" borderId="0" applyAlignment="1" pivotButton="0" quotePrefix="0" xfId="2">
      <alignment horizontal="left"/>
    </xf>
    <xf numFmtId="0" fontId="2" fillId="6" borderId="0" applyAlignment="1" pivotButton="0" quotePrefix="0" xfId="0">
      <alignment vertical="top"/>
    </xf>
    <xf numFmtId="0" fontId="12" fillId="6" borderId="0" applyAlignment="1" pivotButton="0" quotePrefix="0" xfId="0">
      <alignment vertical="center" wrapText="1"/>
    </xf>
    <xf numFmtId="0" fontId="2" fillId="6" borderId="0" applyAlignment="1" pivotButton="0" quotePrefix="0" xfId="0">
      <alignment vertical="center"/>
    </xf>
    <xf numFmtId="0" fontId="8" fillId="6" borderId="0" applyAlignment="1" pivotButton="0" quotePrefix="0" xfId="0">
      <alignment vertical="center"/>
    </xf>
    <xf numFmtId="0" fontId="8" fillId="0" borderId="0" applyAlignment="1" pivotButton="0" quotePrefix="0" xfId="0">
      <alignment vertical="center"/>
    </xf>
    <xf numFmtId="0" fontId="23" fillId="0" borderId="0" pivotButton="0" quotePrefix="0" xfId="0"/>
    <xf numFmtId="0" fontId="23" fillId="6" borderId="0" pivotButton="0" quotePrefix="0" xfId="0"/>
    <xf numFmtId="0" fontId="21" fillId="5" borderId="0" applyAlignment="1" pivotButton="0" quotePrefix="0" xfId="0">
      <alignment horizontal="left" vertical="center" indent="2"/>
    </xf>
    <xf numFmtId="0" fontId="11" fillId="6" borderId="0" applyAlignment="1" pivotButton="0" quotePrefix="0" xfId="2">
      <alignment horizontal="right" indent="1"/>
    </xf>
    <xf numFmtId="0" fontId="11" fillId="0" borderId="0" applyAlignment="1" pivotButton="0" quotePrefix="0" xfId="2">
      <alignment horizontal="right" indent="1"/>
    </xf>
    <xf numFmtId="0" fontId="9" fillId="6" borderId="0" applyAlignment="1" pivotButton="0" quotePrefix="0" xfId="1">
      <alignment horizontal="left" vertical="center" indent="1"/>
    </xf>
    <xf numFmtId="0" fontId="17" fillId="6" borderId="0" applyAlignment="1" pivotButton="0" quotePrefix="0" xfId="5">
      <alignment horizontal="right" vertical="top" indent="1"/>
    </xf>
    <xf numFmtId="0" fontId="17" fillId="0" borderId="0" applyAlignment="1" pivotButton="0" quotePrefix="0" xfId="5">
      <alignment horizontal="right" vertical="top" indent="1"/>
    </xf>
    <xf numFmtId="0" fontId="25" fillId="6" borderId="0" pivotButton="0" quotePrefix="0" xfId="0"/>
    <xf numFmtId="0" fontId="19" fillId="5" borderId="0" applyAlignment="1" pivotButton="0" quotePrefix="0" xfId="0">
      <alignment horizontal="left" vertical="center" indent="1"/>
    </xf>
    <xf numFmtId="0" fontId="26" fillId="5" borderId="0" applyAlignment="1" pivotButton="0" quotePrefix="0" xfId="0">
      <alignment horizontal="center" vertical="center"/>
    </xf>
    <xf numFmtId="164" fontId="26" fillId="5" borderId="0" applyAlignment="1" pivotButton="0" quotePrefix="0" xfId="0">
      <alignment horizontal="center" vertical="center"/>
    </xf>
    <xf numFmtId="0" fontId="25" fillId="0" borderId="0" pivotButton="0" quotePrefix="0" xfId="0"/>
    <xf numFmtId="0" fontId="22" fillId="6" borderId="0" applyAlignment="1" pivotButton="0" quotePrefix="0" xfId="0">
      <alignment horizontal="left" indent="1"/>
    </xf>
    <xf numFmtId="37" fontId="23" fillId="6" borderId="0" applyAlignment="1" pivotButton="0" quotePrefix="0" xfId="0">
      <alignment horizontal="right"/>
    </xf>
    <xf numFmtId="37" fontId="27" fillId="6" borderId="0" applyAlignment="1" pivotButton="0" quotePrefix="0" xfId="0">
      <alignment horizontal="right"/>
    </xf>
    <xf numFmtId="0" fontId="23" fillId="6" borderId="0" applyAlignment="1" pivotButton="0" quotePrefix="0" xfId="0">
      <alignment horizontal="left" indent="1"/>
    </xf>
    <xf numFmtId="37" fontId="28" fillId="6" borderId="0" applyAlignment="1" pivotButton="0" quotePrefix="0" xfId="0">
      <alignment horizontal="right"/>
    </xf>
    <xf numFmtId="37" fontId="22" fillId="6" borderId="0" applyAlignment="1" pivotButton="0" quotePrefix="0" xfId="0">
      <alignment horizontal="right"/>
    </xf>
    <xf numFmtId="0" fontId="26" fillId="5" borderId="0" applyAlignment="1" pivotButton="0" quotePrefix="0" xfId="4">
      <alignment horizontal="center" vertical="center"/>
    </xf>
    <xf numFmtId="164" fontId="26" fillId="5" borderId="0" applyAlignment="1" pivotButton="0" quotePrefix="0" xfId="4">
      <alignment horizontal="center" vertical="center"/>
    </xf>
    <xf numFmtId="0" fontId="29" fillId="6" borderId="0" applyAlignment="1" pivotButton="0" quotePrefix="0" xfId="0">
      <alignment vertical="top" wrapText="1"/>
    </xf>
    <xf numFmtId="0" fontId="29" fillId="6" borderId="0" applyAlignment="1" pivotButton="0" quotePrefix="0" xfId="0">
      <alignment horizontal="left" vertical="top" indent="1"/>
    </xf>
    <xf numFmtId="0" fontId="29" fillId="6" borderId="0" applyAlignment="1" pivotButton="0" quotePrefix="0" xfId="0">
      <alignment horizontal="right" vertical="top"/>
    </xf>
    <xf numFmtId="0" fontId="29" fillId="0" borderId="0" pivotButton="0" quotePrefix="0" xfId="0"/>
    <xf numFmtId="0" fontId="12" fillId="6" borderId="0" applyAlignment="1" pivotButton="0" quotePrefix="0" xfId="2">
      <alignment horizontal="right" indent="3"/>
    </xf>
    <xf numFmtId="0" fontId="29" fillId="6" borderId="0" pivotButton="0" quotePrefix="0" xfId="0"/>
    <xf numFmtId="0" fontId="31" fillId="7" borderId="0" applyAlignment="1" pivotButton="0" quotePrefix="0" xfId="0">
      <alignment horizontal="right"/>
    </xf>
    <xf numFmtId="0" fontId="12" fillId="7" borderId="0" applyAlignment="1" pivotButton="0" quotePrefix="0" xfId="0">
      <alignment horizontal="right" indent="1"/>
    </xf>
    <xf numFmtId="0" fontId="32" fillId="6" borderId="0" applyAlignment="1" pivotButton="0" quotePrefix="0" xfId="1">
      <alignment horizontal="left" vertical="top" indent="1"/>
    </xf>
    <xf numFmtId="0" fontId="29" fillId="6" borderId="0" applyAlignment="1" pivotButton="0" quotePrefix="0" xfId="0">
      <alignment horizontal="right"/>
    </xf>
    <xf numFmtId="0" fontId="33" fillId="5" borderId="0" applyAlignment="1" pivotButton="0" quotePrefix="0" xfId="3">
      <alignment horizontal="left" vertical="center" wrapText="1" indent="1"/>
    </xf>
    <xf numFmtId="0" fontId="33" fillId="5" borderId="0" applyAlignment="1" pivotButton="0" quotePrefix="0" xfId="3">
      <alignment horizontal="center" vertical="center" wrapText="1"/>
    </xf>
    <xf numFmtId="0" fontId="19" fillId="0" borderId="0" applyAlignment="1" pivotButton="0" quotePrefix="0" xfId="0">
      <alignment wrapText="1"/>
    </xf>
    <xf numFmtId="165" fontId="0" fillId="5" borderId="0" applyAlignment="1" pivotButton="0" quotePrefix="0" xfId="0">
      <alignment horizontal="center" vertical="center"/>
    </xf>
    <xf numFmtId="9" fontId="0" fillId="5" borderId="0" applyAlignment="1" pivotButton="0" quotePrefix="0" xfId="0">
      <alignment horizontal="center" vertical="center"/>
    </xf>
    <xf numFmtId="0" fontId="34" fillId="0" borderId="0" pivotButton="0" quotePrefix="0" xfId="0"/>
    <xf numFmtId="0" fontId="30" fillId="6" borderId="0" applyAlignment="1" pivotButton="0" quotePrefix="0" xfId="0">
      <alignment horizontal="left" indent="1"/>
    </xf>
    <xf numFmtId="165" fontId="30" fillId="6" borderId="0" applyAlignment="1" pivotButton="0" quotePrefix="0" xfId="0">
      <alignment horizontal="right"/>
    </xf>
    <xf numFmtId="9" fontId="30" fillId="6" borderId="0" applyAlignment="1" pivotButton="0" quotePrefix="0" xfId="0">
      <alignment horizontal="right"/>
    </xf>
    <xf numFmtId="0" fontId="34" fillId="6" borderId="0" applyAlignment="1" pivotButton="0" quotePrefix="0" xfId="0">
      <alignment horizontal="left"/>
    </xf>
    <xf numFmtId="0" fontId="34" fillId="6" borderId="0" pivotButton="0" quotePrefix="0" xfId="0"/>
    <xf numFmtId="0" fontId="34" fillId="6" borderId="0" applyAlignment="1" pivotButton="0" quotePrefix="0" xfId="0">
      <alignment horizontal="right"/>
    </xf>
    <xf numFmtId="0" fontId="34" fillId="6" borderId="0" applyAlignment="1" pivotButton="0" quotePrefix="0" xfId="0">
      <alignment horizontal="center"/>
    </xf>
    <xf numFmtId="0" fontId="29" fillId="0" borderId="0" applyAlignment="1" pivotButton="0" quotePrefix="0" xfId="0">
      <alignment wrapText="1"/>
    </xf>
    <xf numFmtId="0" fontId="34" fillId="0" borderId="0" applyAlignment="1" pivotButton="0" quotePrefix="0" xfId="0">
      <alignment horizontal="left" indent="1"/>
    </xf>
    <xf numFmtId="0" fontId="34" fillId="0" borderId="0" applyAlignment="1" pivotButton="0" quotePrefix="0" xfId="0">
      <alignment horizontal="center"/>
    </xf>
    <xf numFmtId="0" fontId="34" fillId="0" borderId="0" applyAlignment="1" pivotButton="0" quotePrefix="0" xfId="0">
      <alignment horizontal="right"/>
    </xf>
    <xf numFmtId="0" fontId="24" fillId="6" borderId="0" pivotButton="0" quotePrefix="0" xfId="2"/>
    <xf numFmtId="0" fontId="12" fillId="5" borderId="0" applyAlignment="1" pivotButton="0" quotePrefix="0" xfId="3">
      <alignment horizontal="center" vertical="center"/>
    </xf>
    <xf numFmtId="0" fontId="1" fillId="6" borderId="0" applyAlignment="1" pivotButton="0" quotePrefix="0" xfId="0">
      <alignment vertical="top" wrapText="1"/>
    </xf>
    <xf numFmtId="0" fontId="24" fillId="6" borderId="0" applyAlignment="1" pivotButton="0" quotePrefix="0" xfId="1">
      <alignment horizontal="left"/>
    </xf>
    <xf numFmtId="0" fontId="1" fillId="6" borderId="0" pivotButton="0" quotePrefix="0" xfId="0"/>
    <xf numFmtId="0" fontId="1" fillId="6" borderId="0" applyAlignment="1" pivotButton="0" quotePrefix="0" xfId="0">
      <alignment vertical="top"/>
    </xf>
    <xf numFmtId="0" fontId="1" fillId="6" borderId="0" applyAlignment="1" pivotButton="0" quotePrefix="0" xfId="0">
      <alignment vertical="center"/>
    </xf>
    <xf numFmtId="0" fontId="0" fillId="0" borderId="0" pivotButton="0" quotePrefix="0" xfId="0"/>
    <xf numFmtId="165" fontId="20" fillId="5" borderId="0" applyAlignment="1" pivotButton="0" quotePrefix="0" xfId="0">
      <alignment horizontal="center" vertical="center"/>
    </xf>
    <xf numFmtId="165" fontId="0" fillId="5" borderId="0" applyAlignment="1" pivotButton="0" quotePrefix="0" xfId="0">
      <alignment horizontal="center" vertical="center"/>
    </xf>
    <xf numFmtId="165" fontId="30" fillId="6" borderId="0" applyAlignment="1" pivotButton="0" quotePrefix="0" xfId="0">
      <alignment horizontal="right"/>
    </xf>
  </cellXfs>
  <cellStyles count="6">
    <cellStyle name="Normal" xfId="0" builtinId="0"/>
    <cellStyle name="Heading 1" xfId="1" builtinId="16"/>
    <cellStyle name="Heading 2" xfId="2" builtinId="17"/>
    <cellStyle name="Heading 3" xfId="3" builtinId="18"/>
    <cellStyle name="Heading 4" xfId="4" builtinId="19"/>
    <cellStyle name="Explanatory Text" xfId="5" builtinId="53"/>
  </cellStyles>
  <dxfs count="440">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b val="1"/>
        <strike val="0"/>
        <outline val="0"/>
        <shadow val="0"/>
        <color theme="4"/>
        <sz val="14"/>
        <vertAlign val="baseline"/>
        <scheme val="minor"/>
      </font>
      <alignment wrapText="1"/>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color theme="9" tint="-0.249946592608417"/>
      </font>
    </dxf>
    <dxf>
      <font>
        <color theme="9" tint="-0.249946592608417"/>
      </font>
    </dxf>
    <dxf>
      <font>
        <color theme="9" tint="-0.249946592608417"/>
      </font>
    </dxf>
    <dxf>
      <font>
        <color theme="9" tint="-0.249946592608417"/>
      </font>
    </dxf>
    <dxf>
      <font>
        <color theme="9" tint="-0.249946592608417"/>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color auto="1"/>
        <sz val="9"/>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condense val="0"/>
        <color theme="1" tint="0.249946592608417"/>
        <extend val="0"/>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b val="1"/>
        <strike val="0"/>
        <outline val="0"/>
        <shadow val="0"/>
        <color theme="4"/>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condense val="0"/>
        <color theme="1" tint="0.249946592608417"/>
        <extend val="0"/>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condense val="0"/>
        <color theme="1" tint="0.249946592608417"/>
        <extend val="0"/>
        <sz val="12"/>
        <vertAlign val="baseline"/>
        <scheme val="minor"/>
      </font>
      <fill>
        <patternFill patternType="solid">
          <fgColor indexed="64"/>
          <bgColor theme="6" tint="0.3999450666829432"/>
        </patternFill>
      </fill>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b val="1"/>
        <color theme="1"/>
      </font>
    </dxf>
    <dxf>
      <font>
        <b val="1"/>
        <color theme="4"/>
      </font>
      <fill>
        <patternFill>
          <fgColor theme="7"/>
          <bgColor theme="7"/>
        </patternFill>
      </fill>
      <border>
        <top/>
        <bottom/>
      </border>
    </dxf>
    <dxf>
      <font>
        <color theme="1"/>
      </font>
      <fill>
        <patternFill>
          <bgColor theme="0" tint="-0.0499893185216834"/>
        </patternFill>
      </fill>
      <border>
        <left/>
        <right/>
        <top style="thin">
          <color theme="7" tint="-0.09994811853389081"/>
        </top>
        <bottom style="thin">
          <color theme="7" tint="-0.09994811853389081"/>
        </bottom>
        <vertical/>
        <horizontal style="thin">
          <color theme="7" tint="-0.09994811853389081"/>
        </horizontal>
      </border>
    </dxf>
    <dxf>
      <fill>
        <patternFill>
          <bgColor theme="7" tint="-0.09994811853389081"/>
        </patternFill>
      </fill>
    </dxf>
    <dxf>
      <font>
        <b val="1"/>
        <color theme="1"/>
      </font>
    </dxf>
    <dxf>
      <fill>
        <patternFill>
          <bgColor theme="7"/>
        </patternFill>
      </fill>
    </dxf>
    <dxf>
      <font>
        <b val="1"/>
        <color theme="4"/>
      </font>
      <fill>
        <patternFill>
          <bgColor theme="0" tint="-0.1499679555650502"/>
        </patternFill>
      </fill>
      <border>
        <top/>
        <bottom/>
      </border>
    </dxf>
    <dxf>
      <font>
        <color theme="1"/>
      </font>
      <fill>
        <patternFill>
          <bgColor theme="0" tint="-0.0499893185216834"/>
        </patternFill>
      </fill>
      <border>
        <left/>
        <right/>
        <top style="thin">
          <color theme="7" tint="-0.09994811853389081"/>
        </top>
        <bottom style="thin">
          <color theme="7" tint="-0.09994811853389081"/>
        </bottom>
        <vertical/>
        <horizontal style="thin">
          <color theme="7" tint="-0.09994811853389081"/>
        </horizontal>
      </border>
    </dxf>
  </dxfs>
  <tableStyles count="2" defaultTableStyle="Table Style 1" defaultPivotStyle="PivotStyleLight16">
    <tableStyle name="Table Style 1" pivot="0" count="5">
      <tableStyleElement type="wholeTable" dxfId="439"/>
      <tableStyleElement type="headerRow" dxfId="438"/>
      <tableStyleElement type="totalRow" dxfId="437"/>
      <tableStyleElement type="firstColumn" dxfId="436"/>
      <tableStyleElement type="lastColumn" dxfId="435"/>
    </tableStyle>
    <tableStyle name="Table Style 1 2" pivot="0" count="3">
      <tableStyleElement type="wholeTable" dxfId="434"/>
      <tableStyleElement type="headerRow" dxfId="433"/>
      <tableStyleElement type="firstColumn" dxfId="43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1" i="0" strike="noStrike" kern="1200" spc="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MONTHLY EXPENSES</a:t>
            </a:r>
          </a:p>
        </rich>
      </tx>
      <layout>
        <manualLayout>
          <xMode val="edge"/>
          <yMode val="edge"/>
          <wMode val="factor"/>
          <hMode val="factor"/>
          <x val="0.01430665072970005"/>
          <y val="0.008903176794300485"/>
        </manualLayout>
      </layout>
      <overlay val="0"/>
      <spPr>
        <a:noFill/>
        <a:ln>
          <a:noFill/>
          <a:prstDash val="solid"/>
        </a:ln>
      </spPr>
      <txPr>
        <a:bodyPr rot="0" spcFirstLastPara="1" vertOverflow="ellipsis" vert="horz" wrap="square" anchor="ctr" anchorCtr="1"/>
        <a:lstStyle/>
        <a:p>
          <a:pPr>
            <a:defRPr sz="1400" b="1" i="0" strike="noStrike" kern="1200" spc="0" baseline="0">
              <a:solidFill>
                <a:schemeClr val="accent1"/>
              </a:solidFill>
              <a:latin typeface="+mn-lt"/>
              <a:ea typeface="+mn-ea"/>
              <a:cs typeface="Posterama" panose="020B0504020200020000" pitchFamily="34" charset="0"/>
            </a:defRPr>
          </a:pPr>
          <a:r>
            <a:t/>
          </a:r>
          <a:endParaRPr lang="en-US"/>
        </a:p>
      </txPr>
    </title>
    <plotArea>
      <layout>
        <manualLayout>
          <layoutTarget val="inner"/>
          <xMode val="edge"/>
          <yMode val="edge"/>
          <wMode val="factor"/>
          <hMode val="factor"/>
          <x val="0.1190554597779475"/>
          <y val="0.1740879931387239"/>
          <w val="0.8646018399985307"/>
          <h val="0.769581469597086"/>
        </manualLayout>
      </layout>
      <barChart>
        <barDir val="col"/>
        <grouping val="clustered"/>
        <varyColors val="0"/>
        <ser>
          <idx val="1"/>
          <order val="0"/>
          <tx>
            <v>Planned</v>
          </tx>
          <spPr>
            <a:solidFill>
              <a:schemeClr val="accent1">
                <a:lumMod val="20000"/>
                <a:lumOff val="80000"/>
              </a:schemeClr>
            </a:solidFill>
            <a:ln>
              <a:noFill/>
              <a:prstDash val="solid"/>
            </a:ln>
          </spPr>
          <invertIfNegative val="0"/>
          <val>
            <numRef>
              <f>'PLANNED EXPENSES'!$C$37:$N$37</f>
              <numCache>
                <formatCode>"$"#,##0.00_);[Red]\("$"#,##0.00\)</formatCode>
                <ptCount val="12"/>
                <pt idx="0">
                  <v>131720</v>
                </pt>
                <pt idx="1">
                  <v>126820</v>
                </pt>
                <pt idx="2">
                  <v>126820</v>
                </pt>
                <pt idx="3">
                  <v>137695</v>
                </pt>
                <pt idx="4">
                  <v>129695</v>
                </pt>
                <pt idx="5">
                  <v>130495</v>
                </pt>
                <pt idx="6">
                  <v>134695</v>
                </pt>
                <pt idx="7">
                  <v>138918</v>
                </pt>
                <pt idx="8">
                  <v>135918</v>
                </pt>
                <pt idx="9">
                  <v>140918</v>
                </pt>
                <pt idx="10">
                  <v>136218</v>
                </pt>
                <pt idx="11">
                  <v>140018</v>
                </pt>
              </numCache>
            </numRef>
          </val>
        </ser>
        <ser>
          <idx val="2"/>
          <order val="1"/>
          <tx>
            <v>Actual</v>
          </tx>
          <spPr>
            <a:solidFill>
              <a:schemeClr val="accent4"/>
            </a:solidFill>
            <a:ln>
              <a:noFill/>
              <a:prstDash val="solid"/>
            </a:ln>
          </spPr>
          <invertIfNegative val="0"/>
          <val>
            <numRef>
              <f>'ACTUAL EXPENSES'!$C$37:$N$37</f>
              <numCache>
                <formatCode>"$"#,##0.00_);[Red]\("$"#,##0.00\)</formatCode>
                <ptCount val="12"/>
                <pt idx="0">
                  <v>129682</v>
                </pt>
                <pt idx="1">
                  <v>127804</v>
                </pt>
                <pt idx="2">
                  <v>125565</v>
                </pt>
                <pt idx="3">
                  <v>137394</v>
                </pt>
                <pt idx="4">
                  <v>128255</v>
                </pt>
                <pt idx="5">
                  <v>134239</v>
                </pt>
                <pt idx="6">
                  <v>0</v>
                </pt>
                <pt idx="7">
                  <v>0</v>
                </pt>
                <pt idx="8">
                  <v>0</v>
                </pt>
                <pt idx="9">
                  <v>0</v>
                </pt>
                <pt idx="10">
                  <v>0</v>
                </pt>
                <pt idx="11">
                  <v>0</v>
                </pt>
              </numCache>
            </numRef>
          </val>
        </ser>
        <dLbls>
          <showLegendKey val="0"/>
          <showVal val="0"/>
          <showCatName val="0"/>
          <showSerName val="0"/>
          <showPercent val="0"/>
          <showBubbleSize val="0"/>
        </dLbls>
        <gapWidth val="100"/>
        <axId val="362146616"/>
        <axId val="362147008"/>
      </barChart>
      <lineChart>
        <grouping val="standard"/>
        <varyColors val="0"/>
        <ser>
          <idx val="3"/>
          <order val="3"/>
          <tx>
            <v>Variance</v>
          </tx>
          <spPr>
            <a:ln w="28575" cap="rnd">
              <a:solidFill>
                <a:schemeClr val="accent3"/>
              </a:solidFill>
              <a:prstDash val="solid"/>
              <a:round/>
            </a:ln>
          </spPr>
          <marker>
            <symbol val="none"/>
            <spPr>
              <a:ln>
                <a:prstDash val="solid"/>
              </a:ln>
            </spPr>
          </marker>
          <val>
            <numRef>
              <f>'EXPENSE VARIANCES'!$C$37:$N$37</f>
              <numCache>
                <formatCode>"$"#,##0.00_);[Red]\("$"#,##0.00\)</formatCode>
                <ptCount val="12"/>
                <pt idx="0">
                  <v>2038</v>
                </pt>
                <pt idx="1">
                  <v>-984</v>
                </pt>
                <pt idx="2">
                  <v>1255</v>
                </pt>
                <pt idx="3">
                  <v>301</v>
                </pt>
                <pt idx="4">
                  <v>1440</v>
                </pt>
                <pt idx="5">
                  <v>-3744</v>
                </pt>
                <pt idx="6">
                  <v>134695</v>
                </pt>
                <pt idx="7">
                  <v>138918</v>
                </pt>
                <pt idx="8">
                  <v>135918</v>
                </pt>
                <pt idx="9">
                  <v>140918</v>
                </pt>
                <pt idx="10">
                  <v>136218</v>
                </pt>
                <pt idx="11">
                  <v>140018</v>
                </pt>
              </numCache>
            </numRef>
          </val>
          <smooth val="0"/>
        </ser>
        <dLbls>
          <showLegendKey val="0"/>
          <showVal val="0"/>
          <showCatName val="0"/>
          <showSerName val="0"/>
          <showPercent val="0"/>
          <showBubbleSize val="0"/>
        </dLbls>
        <marker val="1"/>
        <smooth val="0"/>
        <axId val="362146616"/>
        <axId val="362147008"/>
      </lineChart>
      <catAx>
        <axId val="362146616"/>
        <scaling>
          <orientation val="minMax"/>
        </scaling>
        <delete val="0"/>
        <axPos val="b"/>
        <title>
          <tx>
            <rich>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a:t>
                </a:r>
              </a:p>
            </rich>
          </tx>
          <layout>
            <manualLayout>
              <xMode val="edge"/>
              <yMode val="edge"/>
              <wMode val="factor"/>
              <hMode val="factor"/>
              <x val="0.4705244861650826"/>
              <y val="0.9456421887955623"/>
            </manualLayout>
          </layout>
          <overlay val="0"/>
          <spPr>
            <a:noFill/>
            <a:ln>
              <a:noFill/>
              <a:prstDash val="solid"/>
            </a:ln>
          </spPr>
          <txPr>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title>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362147008"/>
        <crosses val="autoZero"/>
        <auto val="1"/>
        <lblAlgn val="ctr"/>
        <lblOffset val="100"/>
        <noMultiLvlLbl val="0"/>
      </catAx>
      <valAx>
        <axId val="362147008"/>
        <scaling>
          <orientation val="minMax"/>
        </scaling>
        <delete val="0"/>
        <axPos val="l"/>
        <majorGridlines>
          <spPr>
            <a:ln w="3175" cap="flat" cmpd="sng" algn="ctr">
              <a:solidFill>
                <a:schemeClr val="bg1">
                  <a:alpha val="25000"/>
                  <a:lumMod val="75000"/>
                </a:schemeClr>
              </a:solidFill>
              <a:prstDash val="solid"/>
              <a:round/>
            </a:ln>
          </spPr>
        </majorGridlines>
        <title>
          <tx>
            <rich>
              <a:bodyPr rot="-540000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Expenses</a:t>
                </a:r>
              </a:p>
            </rich>
          </tx>
          <layout>
            <manualLayout>
              <xMode val="edge"/>
              <yMode val="edge"/>
              <wMode val="factor"/>
              <hMode val="factor"/>
              <x val="0.02767859137856468"/>
              <y val="0.506340576342231"/>
            </manualLayout>
          </layout>
          <overlay val="0"/>
          <spPr>
            <a:noFill/>
            <a:ln>
              <a:noFill/>
              <a:prstDash val="solid"/>
            </a:ln>
          </spPr>
          <txPr>
            <a:bodyPr rot="-540000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title>
        <numFmt formatCode="&quot;$&quot;#,##0_);[Red]\(&quot;$&quot;#,##0\)"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362146616"/>
        <crosses val="autoZero"/>
        <crossBetween val="between"/>
        <dispUnits>
          <builtInUnit val="tenThousands"/>
          <dispUnitsLbl>
            <layout>
              <manualLayout>
                <xMode val="edge"/>
                <yMode val="edge"/>
                <wMode val="factor"/>
                <hMode val="factor"/>
                <x val="0.03593889912657304"/>
                <y val="0.4092801814173135"/>
              </manualLayout>
            </layout>
            <spPr>
              <a:noFill/>
              <a:ln>
                <a:noFill/>
                <a:prstDash val="solid"/>
              </a:ln>
            </spPr>
            <txPr>
              <a:bodyPr rot="-5400000" spcFirstLastPara="1" vertOverflow="ellipsis" vert="horz" wrap="square" anchor="ctr" anchorCtr="1"/>
              <a:lstStyle/>
              <a:p>
                <a:pPr>
                  <a:defRPr sz="1000" b="1" i="0" strike="noStrike" kern="1200" baseline="0">
                    <a:solidFill>
                      <a:schemeClr val="accent1"/>
                    </a:solidFill>
                    <a:latin typeface="+mn-lt"/>
                    <a:ea typeface="+mn-ea"/>
                    <a:cs typeface="Posterama" panose="020B0504020200020000" pitchFamily="34" charset="0"/>
                  </a:defRPr>
                </a:pPr>
                <a:r>
                  <a:t/>
                </a:r>
                <a:endParaRPr lang="en-US"/>
              </a:p>
            </txPr>
          </dispUnitsLbl>
        </dispUnits>
      </valAx>
    </plotArea>
    <legend>
      <legendPos val="t"/>
      <layout>
        <manualLayout>
          <xMode val="edge"/>
          <yMode val="edge"/>
          <wMode val="factor"/>
          <hMode val="factor"/>
          <x val="0.0001858701250058523"/>
          <y val="0.07477412462126286"/>
          <w val="0.3387836821529476"/>
          <h val="0.03579789723106798"/>
        </manualLayout>
      </layout>
      <overlay val="0"/>
      <spPr>
        <a:noFill/>
        <a:ln>
          <a:noFill/>
          <a:prstDash val="solid"/>
        </a:ln>
      </spPr>
      <txPr>
        <a:bodyPr rot="0" spcFirstLastPara="1" vertOverflow="ellipsis" vert="horz" wrap="square" anchor="ctr" anchorCtr="1"/>
        <a:lstStyle/>
        <a:p>
          <a:pPr>
            <a:defRPr sz="1000" b="0" i="0" strike="noStrike" kern="1200" baseline="0">
              <a:solidFill>
                <a:schemeClr val="accent1"/>
              </a:solidFill>
              <a:latin typeface="+mn-lt"/>
              <a:ea typeface="+mn-ea"/>
              <a:cs typeface="Posterama" panose="020B0504020200020000" pitchFamily="34" charset="0"/>
            </a:defRPr>
          </a:pPr>
          <a:r>
            <a:t/>
          </a:r>
          <a:endParaRPr lang="en-US"/>
        </a:p>
      </txPr>
    </legend>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384769857303121"/>
          <y val="0.1733053988119535"/>
          <w val="0.7996813826390631"/>
          <h val="0.718534635133794"/>
        </manualLayout>
      </layout>
      <barChart>
        <barDir val="bar"/>
        <grouping val="clustered"/>
        <varyColors val="0"/>
        <ser>
          <idx val="0"/>
          <order val="0"/>
          <tx>
            <strRef>
              <f>'EXPENSE ANALYSIS'!$C$5</f>
              <strCache>
                <ptCount val="1"/>
                <pt idx="0">
                  <v>Planned expenses</v>
                </pt>
              </strCache>
            </strRef>
          </tx>
          <spPr>
            <a:solidFill>
              <a:schemeClr val="accent4"/>
            </a:solidFill>
            <a:ln w="19050">
              <a:noFill/>
              <a:prstDash val="solid"/>
            </a:ln>
          </spPr>
          <invertIfNegative val="0"/>
          <cat>
            <strRef>
              <f>'EXPENSE ANALYSIS'!$B$6:$B$9</f>
              <strCache>
                <ptCount val="4"/>
                <pt idx="0">
                  <v>Employee costs</v>
                </pt>
                <pt idx="1">
                  <v>Office costs</v>
                </pt>
                <pt idx="2">
                  <v>Marketing costs</v>
                </pt>
                <pt idx="3">
                  <v>Training/travel</v>
                </pt>
              </strCache>
            </strRef>
          </cat>
          <val>
            <numRef>
              <f>'EXPENSE ANALYSIS'!$C$6:$C$9</f>
              <numCache>
                <formatCode>"$"#,##0.00_);[Red]\("$"#,##0.00\)</formatCode>
                <ptCount val="4"/>
                <pt idx="0">
                  <v>1355090</v>
                </pt>
                <pt idx="1">
                  <v>139040</v>
                </pt>
                <pt idx="2">
                  <v>67800</v>
                </pt>
                <pt idx="3">
                  <v>48000</v>
                </pt>
              </numCache>
            </numRef>
          </val>
        </ser>
        <ser>
          <idx val="1"/>
          <order val="1"/>
          <tx>
            <strRef>
              <f>'EXPENSE ANALYSIS'!$D$5</f>
              <strCache>
                <ptCount val="1"/>
                <pt idx="0">
                  <v>Actual expenses</v>
                </pt>
              </strCache>
            </strRef>
          </tx>
          <spPr>
            <a:solidFill>
              <a:schemeClr val="accent1">
                <a:lumMod val="20000"/>
                <a:lumOff val="80000"/>
              </a:schemeClr>
            </a:solidFill>
            <a:ln w="19050">
              <a:noFill/>
              <a:prstDash val="solid"/>
            </a:ln>
          </spPr>
          <invertIfNegative val="0"/>
          <dPt>
            <idx val="0"/>
            <invertIfNegative val="0"/>
            <bubble3D val="0"/>
            <spPr>
              <a:solidFill>
                <a:schemeClr val="accent1">
                  <a:lumMod val="20000"/>
                  <a:lumOff val="80000"/>
                </a:schemeClr>
              </a:solidFill>
              <a:ln w="19050">
                <a:noFill/>
                <a:prstDash val="solid"/>
              </a:ln>
            </spPr>
          </dPt>
          <dPt>
            <idx val="1"/>
            <invertIfNegative val="0"/>
            <bubble3D val="0"/>
            <spPr>
              <a:solidFill>
                <a:schemeClr val="accent1">
                  <a:lumMod val="20000"/>
                  <a:lumOff val="80000"/>
                </a:schemeClr>
              </a:solidFill>
              <a:ln w="19050">
                <a:noFill/>
                <a:prstDash val="solid"/>
              </a:ln>
            </spPr>
          </dPt>
          <dPt>
            <idx val="2"/>
            <invertIfNegative val="0"/>
            <bubble3D val="0"/>
            <spPr>
              <a:solidFill>
                <a:schemeClr val="accent1">
                  <a:lumMod val="20000"/>
                  <a:lumOff val="80000"/>
                </a:schemeClr>
              </a:solidFill>
              <a:ln w="19050">
                <a:noFill/>
                <a:prstDash val="solid"/>
              </a:ln>
            </spPr>
          </dPt>
          <dPt>
            <idx val="3"/>
            <invertIfNegative val="0"/>
            <bubble3D val="0"/>
            <spPr>
              <a:solidFill>
                <a:schemeClr val="accent1">
                  <a:lumMod val="20000"/>
                  <a:lumOff val="80000"/>
                </a:schemeClr>
              </a:solidFill>
              <a:ln w="19050">
                <a:noFill/>
                <a:prstDash val="solid"/>
              </a:ln>
            </spPr>
          </dPt>
          <cat>
            <strRef>
              <f>'EXPENSE ANALYSIS'!$B$6:$B$9</f>
              <strCache>
                <ptCount val="4"/>
                <pt idx="0">
                  <v>Employee costs</v>
                </pt>
                <pt idx="1">
                  <v>Office costs</v>
                </pt>
                <pt idx="2">
                  <v>Marketing costs</v>
                </pt>
                <pt idx="3">
                  <v>Training/travel</v>
                </pt>
              </strCache>
            </strRef>
          </cat>
          <val>
            <numRef>
              <f>'EXPENSE ANALYSIS'!$D$6:$D$9</f>
              <numCache>
                <formatCode>"$"#,##0.00_);[Red]\("$"#,##0.00\)</formatCode>
                <ptCount val="4"/>
                <pt idx="0">
                  <v>659130</v>
                </pt>
                <pt idx="1">
                  <v>69350</v>
                </pt>
                <pt idx="2">
                  <v>33159</v>
                </pt>
                <pt idx="3">
                  <v>21300</v>
                </pt>
              </numCache>
            </numRef>
          </val>
        </ser>
        <dLbls>
          <showLegendKey val="0"/>
          <showVal val="0"/>
          <showCatName val="0"/>
          <showSerName val="0"/>
          <showPercent val="0"/>
          <showBubbleSize val="0"/>
        </dLbls>
        <gapWidth val="100"/>
        <axId val="716845712"/>
        <axId val="716855552"/>
      </barChart>
      <catAx>
        <axId val="716845712"/>
        <scaling>
          <orientation val="maxMin"/>
        </scaling>
        <delete val="0"/>
        <axPos val="l"/>
        <numFmt formatCode="General" sourceLinked="1"/>
        <majorTickMark val="out"/>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716855552"/>
        <crosses val="autoZero"/>
        <auto val="1"/>
        <lblAlgn val="ctr"/>
        <lblOffset val="100"/>
        <noMultiLvlLbl val="0"/>
      </catAx>
      <valAx>
        <axId val="716855552"/>
        <scaling>
          <orientation val="minMax"/>
          <max val="1400000"/>
        </scaling>
        <delete val="0"/>
        <axPos val="t"/>
        <majorGridlines>
          <spPr>
            <a:ln w="9525" cap="flat" cmpd="sng" algn="ctr">
              <a:solidFill>
                <a:schemeClr val="tx1">
                  <a:lumMod val="15000"/>
                  <a:lumOff val="85000"/>
                </a:schemeClr>
              </a:solidFill>
              <a:prstDash val="solid"/>
              <a:round/>
            </a:ln>
          </spPr>
        </majorGridlines>
        <numFmt formatCode="&quot;$&quot;#,##0_);[Red]\(&quot;$&quot;#,##0\)" sourceLinked="0"/>
        <majorTickMark val="out"/>
        <minorTickMark val="none"/>
        <tickLblPos val="high"/>
        <spPr>
          <a:noFill/>
          <a:ln>
            <a:noFill/>
            <a:prstDash val="soli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716845712"/>
        <crosses val="autoZero"/>
        <crossBetween val="between"/>
        <dispUnits>
          <builtInUnit val="tenThousands"/>
          <dispUnitsLbl>
            <layout>
              <manualLayout>
                <xMode val="edge"/>
                <yMode val="edge"/>
                <wMode val="factor"/>
                <hMode val="factor"/>
                <x val="0.4125912562760096"/>
                <y val="0.06457408732999284"/>
              </manualLayout>
            </layout>
            <spPr>
              <a:noFill/>
              <a:ln>
                <a:noFill/>
                <a:prstDash val="solid"/>
              </a:ln>
            </spPr>
            <txPr>
              <a:bodyPr rot="0" spcFirstLastPara="1" vertOverflow="ellipsis" vert="horz" wrap="square" anchor="ctr" anchorCtr="1"/>
              <a:lstStyle/>
              <a:p>
                <a:pPr>
                  <a:defRPr sz="1000" b="1" i="0" strike="noStrike" kern="1200" baseline="0">
                    <a:solidFill>
                      <a:schemeClr val="accent1"/>
                    </a:solidFill>
                    <a:latin typeface="+mn-lt"/>
                    <a:ea typeface="+mn-ea"/>
                    <a:cs typeface="Posterama" panose="020B0504020200020000" pitchFamily="34" charset="0"/>
                  </a:defRPr>
                </a:pPr>
                <a:r>
                  <a:t/>
                </a:r>
                <a:endParaRPr lang="en-US"/>
              </a:p>
            </txPr>
          </dispUnitsLbl>
        </dispUnits>
      </valAx>
    </plotArea>
    <legend>
      <legendPos val="t"/>
      <layout>
        <manualLayout>
          <xMode val="edge"/>
          <yMode val="edge"/>
          <wMode val="factor"/>
          <hMode val="factor"/>
          <x val="0.001097171556588864"/>
          <y val="0.06236476122302893"/>
          <w val="0.411753343475286"/>
          <h val="0.05584425419831195"/>
        </manualLayout>
      </layout>
      <overlay val="0"/>
      <spPr>
        <a:noFill/>
        <a:ln>
          <a:noFill/>
          <a:prstDash val="solid"/>
        </a:ln>
      </spPr>
      <txPr>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legend>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col>
      <colOff>28573</colOff>
      <row>13</row>
      <rowOff>200025</rowOff>
    </from>
    <to>
      <col>5</col>
      <colOff>285750</colOff>
      <row>34</row>
      <rowOff>287867</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3174</colOff>
      <row>11</row>
      <rowOff>0</rowOff>
    </from>
    <to>
      <col>5</col>
      <colOff>260350</colOff>
      <row>12</row>
      <rowOff>101600</rowOff>
    </to>
    <graphicFrame>
      <nvGraphicFramePr>
        <cNvPr id="2" name="Chart 2"/>
        <cNvGraphicFramePr/>
      </nvGraphicFramePr>
      <xfrm/>
      <a:graphic>
        <a:graphicData uri="http://schemas.openxmlformats.org/drawingml/2006/chart">
          <c:chart r:id="rId2"/>
        </a:graphicData>
      </a:graphic>
    </graphicFrame>
    <clientData/>
  </twoCellAnchor>
</wsDr>
</file>

<file path=xl/tables/table1.xml><?xml version="1.0" encoding="utf-8"?>
<table xmlns="http://schemas.openxmlformats.org/spreadsheetml/2006/main" id="1" name="OfficePlan" displayName="OfficePlan" ref="B11:O20" headerRowCount="1" totalsRowCount="1" headerRowDxfId="431" dataDxfId="430" totalsRowDxfId="429">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427" totalsRowDxfId="428"/>
    <tableColumn id="2" name="Jan" totalsRowFunction="sum" dataDxfId="425" totalsRowDxfId="426"/>
    <tableColumn id="3" name="Feb" totalsRowFunction="sum" dataDxfId="423" totalsRowDxfId="424"/>
    <tableColumn id="4" name="Mar" totalsRowFunction="sum" dataDxfId="421" totalsRowDxfId="422"/>
    <tableColumn id="5" name="Apr" totalsRowFunction="sum" dataDxfId="419" totalsRowDxfId="420"/>
    <tableColumn id="6" name="May" totalsRowFunction="sum" dataDxfId="417" totalsRowDxfId="418"/>
    <tableColumn id="7" name="Jun" totalsRowFunction="sum" dataDxfId="415" totalsRowDxfId="416"/>
    <tableColumn id="8" name="Jul" totalsRowFunction="sum" dataDxfId="413" totalsRowDxfId="414"/>
    <tableColumn id="9" name="Aug" totalsRowFunction="sum" dataDxfId="411" totalsRowDxfId="412"/>
    <tableColumn id="10" name="Sep" totalsRowFunction="sum" dataDxfId="409" totalsRowDxfId="410"/>
    <tableColumn id="11" name="Oct" totalsRowFunction="sum" dataDxfId="407" totalsRowDxfId="408"/>
    <tableColumn id="12" name="Nov" totalsRowFunction="sum" dataDxfId="405" totalsRowDxfId="406"/>
    <tableColumn id="13" name="Dec" totalsRowFunction="sum" dataDxfId="403" totalsRowDxfId="404"/>
    <tableColumn id="14" name="YEAR" totalsRowFunction="sum" dataDxfId="401" totalsRowDxfId="402">
      <calculatedColumnFormula>SUM(C12:N12)</calculatedColumnFormula>
    </tableColumn>
  </tableColumns>
  <tableStyleInfo name="Table Style 1" showFirstColumn="1" showLastColumn="1" showRowStripes="0" showColumnStripes="0"/>
</table>
</file>

<file path=xl/tables/table2.xml><?xml version="1.0" encoding="utf-8"?>
<table xmlns="http://schemas.openxmlformats.org/spreadsheetml/2006/main" id="2" name="MarketingPlan" displayName="MarketingPlan" ref="B22:O29" headerRowCount="1" totalsRowCount="1" headerRowDxfId="400" dataDxfId="399" totalsRowDxfId="398">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396" totalsRowDxfId="397"/>
    <tableColumn id="2" name="Jan" totalsRowFunction="sum" dataDxfId="394" totalsRowDxfId="395"/>
    <tableColumn id="3" name="Feb" totalsRowFunction="sum" dataDxfId="392" totalsRowDxfId="393"/>
    <tableColumn id="4" name="Mar" totalsRowFunction="sum" dataDxfId="390" totalsRowDxfId="391"/>
    <tableColumn id="5" name="Apr" totalsRowFunction="sum" dataDxfId="388" totalsRowDxfId="389"/>
    <tableColumn id="6" name="May" totalsRowFunction="sum" dataDxfId="386" totalsRowDxfId="387"/>
    <tableColumn id="7" name="Jun" totalsRowFunction="sum" dataDxfId="384" totalsRowDxfId="385"/>
    <tableColumn id="8" name="Jul" totalsRowFunction="sum" dataDxfId="382" totalsRowDxfId="383"/>
    <tableColumn id="9" name="Aug" totalsRowFunction="sum" dataDxfId="380" totalsRowDxfId="381"/>
    <tableColumn id="10" name="Sep" totalsRowFunction="sum" dataDxfId="378" totalsRowDxfId="379"/>
    <tableColumn id="11" name="Oct" totalsRowFunction="sum" dataDxfId="376" totalsRowDxfId="377"/>
    <tableColumn id="12" name="Nov" totalsRowFunction="sum" dataDxfId="374" totalsRowDxfId="375"/>
    <tableColumn id="13" name="Dec" totalsRowFunction="sum" dataDxfId="372" totalsRowDxfId="373"/>
    <tableColumn id="14" name="YEAR" totalsRowFunction="sum" dataDxfId="370" totalsRowDxfId="371">
      <calculatedColumnFormula>SUM(C23:N23)</calculatedColumnFormula>
    </tableColumn>
  </tableColumns>
  <tableStyleInfo name="Table Style 1" showFirstColumn="1" showLastColumn="1" showRowStripes="0" showColumnStripes="0"/>
</table>
</file>

<file path=xl/tables/table3.xml><?xml version="1.0" encoding="utf-8"?>
<table xmlns="http://schemas.openxmlformats.org/spreadsheetml/2006/main" id="3" name="TrainingAndTravelPlan" displayName="TrainingAndTravelPlan" ref="B31:O34" headerRowCount="1" totalsRowCount="1" headerRowDxfId="369" dataDxfId="368" totalsRowDxfId="367">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365" totalsRowDxfId="366"/>
    <tableColumn id="2" name="Jan" totalsRowFunction="sum" dataDxfId="363" totalsRowDxfId="364"/>
    <tableColumn id="3" name="Feb" totalsRowFunction="sum" dataDxfId="361" totalsRowDxfId="362"/>
    <tableColumn id="4" name="Mar" totalsRowFunction="sum" dataDxfId="359" totalsRowDxfId="360"/>
    <tableColumn id="5" name="Apr" totalsRowFunction="sum" dataDxfId="357" totalsRowDxfId="358"/>
    <tableColumn id="6" name="May" totalsRowFunction="sum" dataDxfId="355" totalsRowDxfId="356"/>
    <tableColumn id="7" name="Jun" totalsRowFunction="sum" dataDxfId="353" totalsRowDxfId="354"/>
    <tableColumn id="8" name="Jul" totalsRowFunction="sum" dataDxfId="351" totalsRowDxfId="352"/>
    <tableColumn id="9" name="Aug" totalsRowFunction="sum" dataDxfId="349" totalsRowDxfId="350"/>
    <tableColumn id="10" name="Sep" totalsRowFunction="sum" dataDxfId="347" totalsRowDxfId="348"/>
    <tableColumn id="11" name="Oct" totalsRowFunction="sum" dataDxfId="345" totalsRowDxfId="346"/>
    <tableColumn id="12" name="Nov" totalsRowFunction="sum" dataDxfId="343" totalsRowDxfId="344"/>
    <tableColumn id="13" name="Dec" totalsRowFunction="sum" dataDxfId="341" totalsRowDxfId="342"/>
    <tableColumn id="14" name="YEAR" totalsRowFunction="sum" dataDxfId="339" totalsRowDxfId="340">
      <calculatedColumnFormula>SUM(C32:N32)</calculatedColumnFormula>
    </tableColumn>
  </tableColumns>
  <tableStyleInfo name="Table Style 1" showFirstColumn="1" showLastColumn="1" showRowStripes="0" showColumnStripes="0"/>
</table>
</file>

<file path=xl/tables/table4.xml><?xml version="1.0" encoding="utf-8"?>
<table xmlns="http://schemas.openxmlformats.org/spreadsheetml/2006/main" id="4" name="EmployeePlan" displayName="EmployeePlan" ref="B6:O9" headerRowCount="1" totalsRowCount="1" headerRowDxfId="338" dataDxfId="337" totalsRowDxfId="336">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334" totalsRowDxfId="335"/>
    <tableColumn id="2" name="Jan" totalsRowFunction="sum" dataDxfId="332" totalsRowDxfId="333"/>
    <tableColumn id="3" name="Feb" totalsRowFunction="sum" dataDxfId="330" totalsRowDxfId="331"/>
    <tableColumn id="4" name="Mar" totalsRowFunction="sum" dataDxfId="328" totalsRowDxfId="329"/>
    <tableColumn id="5" name="Apr" totalsRowFunction="sum" dataDxfId="326" totalsRowDxfId="327"/>
    <tableColumn id="6" name="May" totalsRowFunction="sum" dataDxfId="324" totalsRowDxfId="325"/>
    <tableColumn id="7" name="Jun" totalsRowFunction="sum" dataDxfId="322" totalsRowDxfId="323"/>
    <tableColumn id="8" name="Jul" totalsRowFunction="sum" dataDxfId="320" totalsRowDxfId="321"/>
    <tableColumn id="9" name="Aug" totalsRowFunction="sum" dataDxfId="318" totalsRowDxfId="319"/>
    <tableColumn id="10" name="Sep" totalsRowFunction="sum" dataDxfId="316" totalsRowDxfId="317"/>
    <tableColumn id="11" name="Oct" totalsRowFunction="sum" dataDxfId="314" totalsRowDxfId="315"/>
    <tableColumn id="12" name="Nov" totalsRowFunction="sum" dataDxfId="312" totalsRowDxfId="313"/>
    <tableColumn id="13" name="Dec" totalsRowFunction="sum" dataDxfId="310" totalsRowDxfId="311"/>
    <tableColumn id="14" name="YEAR" totalsRowFunction="sum" dataDxfId="308" totalsRowDxfId="309">
      <calculatedColumnFormula>SUM(C7:N7)</calculatedColumnFormula>
    </tableColumn>
  </tableColumns>
  <tableStyleInfo name="Table Style 1" showFirstColumn="1" showLastColumn="1" showRowStripes="1" showColumnStripes="0"/>
</table>
</file>

<file path=xl/tables/table5.xml><?xml version="1.0" encoding="utf-8"?>
<table xmlns="http://schemas.openxmlformats.org/spreadsheetml/2006/main" id="5" name="PlannedTotal" displayName="PlannedTotal" ref="B36:O38" headerRowCount="1" totalsRowShown="0" headerRowDxfId="307" dataDxfId="306">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305"/>
    <tableColumn id="2" name="Jan" dataDxfId="304">
      <calculatedColumnFormula>SUM($C36:C$37)</calculatedColumnFormula>
    </tableColumn>
    <tableColumn id="3" name="Feb" dataDxfId="303">
      <calculatedColumnFormula>SUM($C36:D$37)</calculatedColumnFormula>
    </tableColumn>
    <tableColumn id="4" name="Mar" dataDxfId="302">
      <calculatedColumnFormula>SUM($C36:E$37)</calculatedColumnFormula>
    </tableColumn>
    <tableColumn id="5" name="Apr" dataDxfId="301">
      <calculatedColumnFormula>SUM($C36:F$37)</calculatedColumnFormula>
    </tableColumn>
    <tableColumn id="6" name="May" dataDxfId="300">
      <calculatedColumnFormula>SUM($C36:G$37)</calculatedColumnFormula>
    </tableColumn>
    <tableColumn id="7" name="Jun" dataDxfId="299">
      <calculatedColumnFormula>SUM($C36:H$37)</calculatedColumnFormula>
    </tableColumn>
    <tableColumn id="8" name="Jul" dataDxfId="298">
      <calculatedColumnFormula>SUM($C36:I$37)</calculatedColumnFormula>
    </tableColumn>
    <tableColumn id="9" name="Aug" dataDxfId="297">
      <calculatedColumnFormula>SUM($C36:J$37)</calculatedColumnFormula>
    </tableColumn>
    <tableColumn id="10" name="Sep" dataDxfId="296">
      <calculatedColumnFormula>SUM($C36:K$37)</calculatedColumnFormula>
    </tableColumn>
    <tableColumn id="11" name="Oct" dataDxfId="295">
      <calculatedColumnFormula>SUM($C36:L$37)</calculatedColumnFormula>
    </tableColumn>
    <tableColumn id="12" name="Nov" dataDxfId="294">
      <calculatedColumnFormula>SUM($C36:M$37)</calculatedColumnFormula>
    </tableColumn>
    <tableColumn id="13" name="Dec" dataDxfId="293">
      <calculatedColumnFormula>SUM($C36:N$37)</calculatedColumnFormula>
    </tableColumn>
    <tableColumn id="14" name="Year" dataDxfId="292"/>
  </tableColumns>
  <tableStyleInfo name="Table Style 1 2" showFirstColumn="1" showLastColumn="0" showRowStripes="0" showColumnStripes="0"/>
</table>
</file>

<file path=xl/tables/table6.xml><?xml version="1.0" encoding="utf-8"?>
<table xmlns="http://schemas.openxmlformats.org/spreadsheetml/2006/main" id="6" name="OfficeActual" displayName="OfficeActual" ref="B11:O20" headerRowCount="1" totalsRowCount="1" headerRowDxfId="291" dataDxfId="290" totalsRowDxfId="289">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287" totalsRowDxfId="288"/>
    <tableColumn id="2" name="Jan" totalsRowFunction="sum" dataDxfId="285" totalsRowDxfId="286"/>
    <tableColumn id="3" name="Feb" totalsRowFunction="sum" dataDxfId="283" totalsRowDxfId="284"/>
    <tableColumn id="4" name="Mar" totalsRowFunction="sum" dataDxfId="281" totalsRowDxfId="282"/>
    <tableColumn id="5" name="Apr" totalsRowFunction="sum" dataDxfId="279" totalsRowDxfId="280"/>
    <tableColumn id="6" name="May" totalsRowFunction="sum" dataDxfId="277" totalsRowDxfId="278"/>
    <tableColumn id="7" name="Jun" totalsRowFunction="sum" dataDxfId="275" totalsRowDxfId="276"/>
    <tableColumn id="8" name="Jul" totalsRowFunction="sum" dataDxfId="273" totalsRowDxfId="274"/>
    <tableColumn id="9" name="Aug" totalsRowFunction="sum" dataDxfId="271" totalsRowDxfId="272"/>
    <tableColumn id="10" name="Sep" totalsRowFunction="sum" dataDxfId="269" totalsRowDxfId="270"/>
    <tableColumn id="11" name="Oct" totalsRowFunction="sum" dataDxfId="267" totalsRowDxfId="268"/>
    <tableColumn id="12" name="Nov" totalsRowFunction="sum" dataDxfId="265" totalsRowDxfId="266"/>
    <tableColumn id="13" name="Dec" totalsRowFunction="sum" dataDxfId="263" totalsRowDxfId="264"/>
    <tableColumn id="14" name="YEAR" totalsRowFunction="sum" dataDxfId="261" totalsRowDxfId="262">
      <calculatedColumnFormula>SUM(C12:N12)</calculatedColumnFormula>
    </tableColumn>
  </tableColumns>
  <tableStyleInfo name="Table Style 1" showFirstColumn="1" showLastColumn="1" showRowStripes="0" showColumnStripes="0"/>
</table>
</file>

<file path=xl/tables/table7.xml><?xml version="1.0" encoding="utf-8"?>
<table xmlns="http://schemas.openxmlformats.org/spreadsheetml/2006/main" id="7" name="MarketingActual" displayName="MarketingActual" ref="B22:O29" headerRowCount="1" totalsRowCount="1" headerRowDxfId="260" dataDxfId="259" totalsRowDxfId="258">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256" totalsRowDxfId="257"/>
    <tableColumn id="2" name="Jan" totalsRowFunction="sum" dataDxfId="254" totalsRowDxfId="255"/>
    <tableColumn id="3" name="Feb" totalsRowFunction="sum" dataDxfId="252" totalsRowDxfId="253"/>
    <tableColumn id="4" name="Mar" totalsRowFunction="sum" dataDxfId="250" totalsRowDxfId="251"/>
    <tableColumn id="5" name="Apr" totalsRowFunction="sum" dataDxfId="248" totalsRowDxfId="249"/>
    <tableColumn id="6" name="May" totalsRowFunction="sum" dataDxfId="246" totalsRowDxfId="247"/>
    <tableColumn id="7" name="Jun" totalsRowFunction="sum" dataDxfId="244" totalsRowDxfId="245"/>
    <tableColumn id="8" name="Jul" totalsRowFunction="sum" dataDxfId="242" totalsRowDxfId="243"/>
    <tableColumn id="9" name="Aug" totalsRowFunction="sum" dataDxfId="240" totalsRowDxfId="241"/>
    <tableColumn id="10" name="Sep" totalsRowFunction="sum" dataDxfId="238" totalsRowDxfId="239"/>
    <tableColumn id="11" name="Oct" totalsRowFunction="sum" dataDxfId="236" totalsRowDxfId="237"/>
    <tableColumn id="12" name="Nov" totalsRowFunction="sum" dataDxfId="234" totalsRowDxfId="235"/>
    <tableColumn id="13" name="Dec" totalsRowFunction="sum" dataDxfId="232" totalsRowDxfId="233"/>
    <tableColumn id="14" name="YEAR" totalsRowFunction="sum" dataDxfId="230" totalsRowDxfId="231">
      <calculatedColumnFormula>SUM(C23:N23)</calculatedColumnFormula>
    </tableColumn>
  </tableColumns>
  <tableStyleInfo name="Table Style 1" showFirstColumn="1" showLastColumn="1" showRowStripes="0" showColumnStripes="0"/>
</table>
</file>

<file path=xl/tables/table8.xml><?xml version="1.0" encoding="utf-8"?>
<table xmlns="http://schemas.openxmlformats.org/spreadsheetml/2006/main" id="8" name="TrainingAndTravelActual" displayName="TrainingAndTravelActual" ref="B31:O34" headerRowCount="1" totalsRowCount="1" headerRowDxfId="229" dataDxfId="228" totalsRowDxfId="227">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225" totalsRowDxfId="226"/>
    <tableColumn id="2" name="Jan" totalsRowFunction="sum" dataDxfId="223" totalsRowDxfId="224"/>
    <tableColumn id="3" name="Feb" totalsRowFunction="sum" dataDxfId="221" totalsRowDxfId="222"/>
    <tableColumn id="4" name="Mar" totalsRowFunction="sum" dataDxfId="219" totalsRowDxfId="220"/>
    <tableColumn id="5" name="Apr" totalsRowFunction="sum" dataDxfId="217" totalsRowDxfId="218"/>
    <tableColumn id="6" name="May" totalsRowFunction="sum" dataDxfId="215" totalsRowDxfId="216"/>
    <tableColumn id="7" name="Jun" totalsRowFunction="sum" dataDxfId="213" totalsRowDxfId="214"/>
    <tableColumn id="8" name="Jul" totalsRowFunction="sum" dataDxfId="211" totalsRowDxfId="212"/>
    <tableColumn id="9" name="Aug" totalsRowFunction="sum" dataDxfId="209" totalsRowDxfId="210"/>
    <tableColumn id="10" name="Sep" totalsRowFunction="sum" dataDxfId="207" totalsRowDxfId="208"/>
    <tableColumn id="11" name="Oct" totalsRowFunction="sum" dataDxfId="205" totalsRowDxfId="206"/>
    <tableColumn id="12" name="Nov" totalsRowFunction="sum" dataDxfId="203" totalsRowDxfId="204"/>
    <tableColumn id="13" name="Dec" totalsRowFunction="sum" dataDxfId="201" totalsRowDxfId="202"/>
    <tableColumn id="14" name="YEAR" totalsRowFunction="sum" dataDxfId="199" totalsRowDxfId="200">
      <calculatedColumnFormula>SUM(C32:N32)</calculatedColumnFormula>
    </tableColumn>
  </tableColumns>
  <tableStyleInfo name="Table Style 1" showFirstColumn="1" showLastColumn="1" showRowStripes="0" showColumnStripes="0"/>
</table>
</file>

<file path=xl/tables/table9.xml><?xml version="1.0" encoding="utf-8"?>
<table xmlns="http://schemas.openxmlformats.org/spreadsheetml/2006/main" id="9" name="EmployeeActual" displayName="EmployeeActual" ref="B6:O9" headerRowCount="1" totalsRowCount="1" headerRowDxfId="198" dataDxfId="197" totalsRowDxfId="196">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194" totalsRowDxfId="195"/>
    <tableColumn id="2" name="Jan" totalsRowFunction="sum" dataDxfId="192" totalsRowDxfId="193"/>
    <tableColumn id="3" name="Feb" totalsRowFunction="sum" dataDxfId="190" totalsRowDxfId="191"/>
    <tableColumn id="4" name="Mar" totalsRowFunction="sum" dataDxfId="188" totalsRowDxfId="189"/>
    <tableColumn id="5" name="Apr" totalsRowFunction="sum" dataDxfId="186" totalsRowDxfId="187"/>
    <tableColumn id="6" name="May" totalsRowFunction="sum" dataDxfId="184" totalsRowDxfId="185"/>
    <tableColumn id="7" name="Jun" totalsRowFunction="sum" dataDxfId="182" totalsRowDxfId="183"/>
    <tableColumn id="8" name="Jul" totalsRowFunction="sum" dataDxfId="180" totalsRowDxfId="181">
      <calculatedColumnFormula>I6*0.27</calculatedColumnFormula>
    </tableColumn>
    <tableColumn id="9" name="Aug" totalsRowFunction="sum" dataDxfId="178" totalsRowDxfId="179">
      <calculatedColumnFormula>J6*0.27</calculatedColumnFormula>
    </tableColumn>
    <tableColumn id="10" name="Sep" totalsRowFunction="sum" dataDxfId="176" totalsRowDxfId="177">
      <calculatedColumnFormula>K6*0.27</calculatedColumnFormula>
    </tableColumn>
    <tableColumn id="11" name="Oct" totalsRowFunction="sum" dataDxfId="174" totalsRowDxfId="175">
      <calculatedColumnFormula>L6*0.27</calculatedColumnFormula>
    </tableColumn>
    <tableColumn id="12" name="Nov" totalsRowFunction="sum" dataDxfId="172" totalsRowDxfId="173">
      <calculatedColumnFormula>M6*0.27</calculatedColumnFormula>
    </tableColumn>
    <tableColumn id="13" name="Dec" totalsRowFunction="sum" dataDxfId="170" totalsRowDxfId="171">
      <calculatedColumnFormula>N6*0.27</calculatedColumnFormula>
    </tableColumn>
    <tableColumn id="14" name="YEAR" totalsRowFunction="sum" dataDxfId="168" totalsRowDxfId="169">
      <calculatedColumnFormula>SUM(C7:N7)</calculatedColumnFormula>
    </tableColumn>
  </tableColumns>
  <tableStyleInfo name="Table Style 1" showFirstColumn="1" showLastColumn="1" showRowStripes="0" showColumnStripes="0"/>
</table>
</file>

<file path=xl/tables/table10.xml><?xml version="1.0" encoding="utf-8"?>
<table xmlns="http://schemas.openxmlformats.org/spreadsheetml/2006/main" id="10" name="TotalActual" displayName="TotalActual" ref="B36:O38" headerRowCount="1" totalsRowShown="0" headerRowDxfId="167" dataDxfId="166">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165"/>
    <tableColumn id="2" name="Jan" dataDxfId="164">
      <calculatedColumnFormula>SUM($C36:C$37)</calculatedColumnFormula>
    </tableColumn>
    <tableColumn id="3" name="Feb" dataDxfId="163">
      <calculatedColumnFormula>SUM($C36:D$37)</calculatedColumnFormula>
    </tableColumn>
    <tableColumn id="4" name="Mar" dataDxfId="162">
      <calculatedColumnFormula>SUM($C36:E$37)</calculatedColumnFormula>
    </tableColumn>
    <tableColumn id="5" name="Apr" dataDxfId="161">
      <calculatedColumnFormula>SUM($C36:F$37)</calculatedColumnFormula>
    </tableColumn>
    <tableColumn id="6" name="May" dataDxfId="160">
      <calculatedColumnFormula>SUM($C36:G$37)</calculatedColumnFormula>
    </tableColumn>
    <tableColumn id="7" name="Jun" dataDxfId="159">
      <calculatedColumnFormula>SUM($C36:H$37)</calculatedColumnFormula>
    </tableColumn>
    <tableColumn id="8" name="Jul" dataDxfId="158">
      <calculatedColumnFormula>SUM($C36:I$37)</calculatedColumnFormula>
    </tableColumn>
    <tableColumn id="9" name="Aug" dataDxfId="157">
      <calculatedColumnFormula>SUM($C36:J$37)</calculatedColumnFormula>
    </tableColumn>
    <tableColumn id="10" name="Sep" dataDxfId="156">
      <calculatedColumnFormula>SUM($C36:K$37)</calculatedColumnFormula>
    </tableColumn>
    <tableColumn id="11" name="Oct" dataDxfId="155">
      <calculatedColumnFormula>SUM($C36:L$37)</calculatedColumnFormula>
    </tableColumn>
    <tableColumn id="12" name="Nov" dataDxfId="154">
      <calculatedColumnFormula>SUM($C36:M$37)</calculatedColumnFormula>
    </tableColumn>
    <tableColumn id="13" name="Dec" dataDxfId="153">
      <calculatedColumnFormula>SUM($C36:N$37)</calculatedColumnFormula>
    </tableColumn>
    <tableColumn id="14" name="Year" dataDxfId="152"/>
  </tableColumns>
  <tableStyleInfo name="Table Style 1 2" showFirstColumn="1" showLastColumn="0" showRowStripes="0" showColumnStripes="0"/>
</table>
</file>

<file path=xl/tables/table11.xml><?xml version="1.0" encoding="utf-8"?>
<table xmlns="http://schemas.openxmlformats.org/spreadsheetml/2006/main" id="11" name="EmployeeVariances" displayName="EmployeeVariances" ref="B6:O9" headerRowCount="1" totalsRowCount="1" headerRowDxfId="146" dataDxfId="145" totalsRowDxfId="144">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142" totalsRowDxfId="143"/>
    <tableColumn id="2" name="Jan" totalsRowFunction="sum" dataDxfId="140" totalsRowDxfId="141">
      <calculatedColumnFormula>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calculatedColumnFormula>
    </tableColumn>
    <tableColumn id="3" name="Feb" totalsRowFunction="sum" dataDxfId="138" totalsRowDxfId="139">
      <calculatedColumnFormula>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calculatedColumnFormula>
    </tableColumn>
    <tableColumn id="4" name="Mar" totalsRowFunction="sum" dataDxfId="136" totalsRowDxfId="137">
      <calculatedColumnFormula>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calculatedColumnFormula>
    </tableColumn>
    <tableColumn id="5" name="Apr" totalsRowFunction="sum" dataDxfId="134" totalsRowDxfId="135">
      <calculatedColumnFormula>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calculatedColumnFormula>
    </tableColumn>
    <tableColumn id="6" name="May" totalsRowFunction="sum" dataDxfId="132" totalsRowDxfId="133">
      <calculatedColumnFormula>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calculatedColumnFormula>
    </tableColumn>
    <tableColumn id="7" name="Jun" totalsRowFunction="sum" dataDxfId="130" totalsRowDxfId="131">
      <calculatedColumnFormula>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calculatedColumnFormula>
    </tableColumn>
    <tableColumn id="8" name="Jul" totalsRowFunction="sum" dataDxfId="128" totalsRowDxfId="129">
      <calculatedColumnFormula>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calculatedColumnFormula>
    </tableColumn>
    <tableColumn id="9" name="Aug" totalsRowFunction="sum" dataDxfId="126" totalsRowDxfId="127">
      <calculatedColumnFormula>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calculatedColumnFormula>
    </tableColumn>
    <tableColumn id="10" name="Sep" totalsRowFunction="sum" dataDxfId="124" totalsRowDxfId="125">
      <calculatedColumnFormula>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calculatedColumnFormula>
    </tableColumn>
    <tableColumn id="11" name="Oct" totalsRowFunction="sum" dataDxfId="122" totalsRowDxfId="123">
      <calculatedColumnFormula>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calculatedColumnFormula>
    </tableColumn>
    <tableColumn id="12" name="Nov" totalsRowFunction="sum" dataDxfId="120" totalsRowDxfId="121">
      <calculatedColumnFormula>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calculatedColumnFormula>
    </tableColumn>
    <tableColumn id="13" name="Dec" totalsRowFunction="sum" dataDxfId="118" totalsRowDxfId="119">
      <calculatedColumnFormula>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calculatedColumnFormula>
    </tableColumn>
    <tableColumn id="14" name="YEAR" totalsRowFunction="sum" dataDxfId="116" totalsRowDxfId="117">
      <calculatedColumnFormula>SUM(EmployeeVariances[[#This Row],[Jan]:[Dec]])</calculatedColumnFormula>
    </tableColumn>
  </tableColumns>
  <tableStyleInfo name="Table Style 1" showFirstColumn="1" showLastColumn="0" showRowStripes="0" showColumnStripes="0"/>
</table>
</file>

<file path=xl/tables/table12.xml><?xml version="1.0" encoding="utf-8"?>
<table xmlns="http://schemas.openxmlformats.org/spreadsheetml/2006/main" id="12" name="OfficeVariances" displayName="OfficeVariances" ref="B11:O20" headerRowCount="1" totalsRowCount="1" headerRowDxfId="115" dataDxfId="114" totalsRowDxfId="113">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111" totalsRowDxfId="112"/>
    <tableColumn id="2" name="Jan" totalsRowFunction="sum" dataDxfId="109" totalsRowDxfId="110">
      <calculatedColumnFormula>INDEX(OfficePlan[],MATCH(INDEX(OfficeVariances[],ROW()-ROW(OfficeVariances[[#Headers],[Jan]]),1),INDEX(OfficePlan[],,1),0),MATCH(OfficeVariances[[#Headers],[Jan]],OfficePlan[#Headers],0))-INDEX(OfficeActual[],MATCH(INDEX(OfficeVariances[],ROW()-ROW(OfficeVariances[[#Headers],[Jan]]),1),INDEX(OfficePlan[],,1),0),MATCH(OfficeVariances[[#Headers],[Jan]],OfficeActual[#Headers],0))</calculatedColumnFormula>
    </tableColumn>
    <tableColumn id="3" name="Feb" totalsRowFunction="sum" dataDxfId="107" totalsRowDxfId="108">
      <calculatedColumnFormula>INDEX(OfficePlan[],MATCH(INDEX(OfficeVariances[],ROW()-ROW(OfficeVariances[[#Headers],[Feb]]),1),INDEX(OfficePlan[],,1),0),MATCH(OfficeVariances[[#Headers],[Feb]],OfficePlan[#Headers],0))-INDEX(OfficeActual[],MATCH(INDEX(OfficeVariances[],ROW()-ROW(OfficeVariances[[#Headers],[Feb]]),1),INDEX(OfficePlan[],,1),0),MATCH(OfficeVariances[[#Headers],[Feb]],OfficeActual[#Headers],0))</calculatedColumnFormula>
    </tableColumn>
    <tableColumn id="4" name="Mar" totalsRowFunction="sum" dataDxfId="105" totalsRowDxfId="106">
      <calculatedColumnFormula>INDEX(OfficePlan[],MATCH(INDEX(OfficeVariances[],ROW()-ROW(OfficeVariances[[#Headers],[Mar]]),1),INDEX(OfficePlan[],,1),0),MATCH(OfficeVariances[[#Headers],[Mar]],OfficePlan[#Headers],0))-INDEX(OfficeActual[],MATCH(INDEX(OfficeVariances[],ROW()-ROW(OfficeVariances[[#Headers],[Mar]]),1),INDEX(OfficePlan[],,1),0),MATCH(OfficeVariances[[#Headers],[Mar]],OfficeActual[#Headers],0))</calculatedColumnFormula>
    </tableColumn>
    <tableColumn id="5" name="Apr" totalsRowFunction="sum" dataDxfId="103" totalsRowDxfId="104">
      <calculatedColumnFormula>INDEX(OfficePlan[],MATCH(INDEX(OfficeVariances[],ROW()-ROW(OfficeVariances[[#Headers],[Apr]]),1),INDEX(OfficePlan[],,1),0),MATCH(OfficeVariances[[#Headers],[Apr]],OfficePlan[#Headers],0))-INDEX(OfficeActual[],MATCH(INDEX(OfficeVariances[],ROW()-ROW(OfficeVariances[[#Headers],[Apr]]),1),INDEX(OfficePlan[],,1),0),MATCH(OfficeVariances[[#Headers],[Apr]],OfficeActual[#Headers],0))</calculatedColumnFormula>
    </tableColumn>
    <tableColumn id="6" name="May" totalsRowFunction="sum" dataDxfId="101" totalsRowDxfId="102">
      <calculatedColumnFormula>INDEX(OfficePlan[],MATCH(INDEX(OfficeVariances[],ROW()-ROW(OfficeVariances[[#Headers],[May]]),1),INDEX(OfficePlan[],,1),0),MATCH(OfficeVariances[[#Headers],[May]],OfficePlan[#Headers],0))-INDEX(OfficeActual[],MATCH(INDEX(OfficeVariances[],ROW()-ROW(OfficeVariances[[#Headers],[May]]),1),INDEX(OfficePlan[],,1),0),MATCH(OfficeVariances[[#Headers],[May]],OfficeActual[#Headers],0))</calculatedColumnFormula>
    </tableColumn>
    <tableColumn id="7" name="Jun" totalsRowFunction="sum" dataDxfId="99" totalsRowDxfId="100">
      <calculatedColumnFormula>INDEX(OfficePlan[],MATCH(INDEX(OfficeVariances[],ROW()-ROW(OfficeVariances[[#Headers],[Jun]]),1),INDEX(OfficePlan[],,1),0),MATCH(OfficeVariances[[#Headers],[Jun]],OfficePlan[#Headers],0))-INDEX(OfficeActual[],MATCH(INDEX(OfficeVariances[],ROW()-ROW(OfficeVariances[[#Headers],[Jun]]),1),INDEX(OfficePlan[],,1),0),MATCH(OfficeVariances[[#Headers],[Jun]],OfficeActual[#Headers],0))</calculatedColumnFormula>
    </tableColumn>
    <tableColumn id="8" name="Jul" totalsRowFunction="sum" dataDxfId="97" totalsRowDxfId="98">
      <calculatedColumnFormula>INDEX(OfficePlan[],MATCH(INDEX(OfficeVariances[],ROW()-ROW(OfficeVariances[[#Headers],[Jul]]),1),INDEX(OfficePlan[],,1),0),MATCH(OfficeVariances[[#Headers],[Jul]],OfficePlan[#Headers],0))-INDEX(OfficeActual[],MATCH(INDEX(OfficeVariances[],ROW()-ROW(OfficeVariances[[#Headers],[Jul]]),1),INDEX(OfficePlan[],,1),0),MATCH(OfficeVariances[[#Headers],[Jul]],OfficeActual[#Headers],0))</calculatedColumnFormula>
    </tableColumn>
    <tableColumn id="9" name="Aug" totalsRowFunction="sum" dataDxfId="95" totalsRowDxfId="96">
      <calculatedColumnFormula>INDEX(OfficePlan[],MATCH(INDEX(OfficeVariances[],ROW()-ROW(OfficeVariances[[#Headers],[Aug]]),1),INDEX(OfficePlan[],,1),0),MATCH(OfficeVariances[[#Headers],[Aug]],OfficePlan[#Headers],0))-INDEX(OfficeActual[],MATCH(INDEX(OfficeVariances[],ROW()-ROW(OfficeVariances[[#Headers],[Aug]]),1),INDEX(OfficePlan[],,1),0),MATCH(OfficeVariances[[#Headers],[Aug]],OfficeActual[#Headers],0))</calculatedColumnFormula>
    </tableColumn>
    <tableColumn id="10" name="Sep" totalsRowFunction="sum" dataDxfId="93" totalsRowDxfId="94">
      <calculatedColumnFormula>INDEX(OfficePlan[],MATCH(INDEX(OfficeVariances[],ROW()-ROW(OfficeVariances[[#Headers],[Sep]]),1),INDEX(OfficePlan[],,1),0),MATCH(OfficeVariances[[#Headers],[Sep]],OfficePlan[#Headers],0))-INDEX(OfficeActual[],MATCH(INDEX(OfficeVariances[],ROW()-ROW(OfficeVariances[[#Headers],[Sep]]),1),INDEX(OfficePlan[],,1),0),MATCH(OfficeVariances[[#Headers],[Sep]],OfficeActual[#Headers],0))</calculatedColumnFormula>
    </tableColumn>
    <tableColumn id="11" name="Oct" totalsRowFunction="sum" dataDxfId="91" totalsRowDxfId="92">
      <calculatedColumnFormula>INDEX(OfficePlan[],MATCH(INDEX(OfficeVariances[],ROW()-ROW(OfficeVariances[[#Headers],[Oct]]),1),INDEX(OfficePlan[],,1),0),MATCH(OfficeVariances[[#Headers],[Oct]],OfficePlan[#Headers],0))-INDEX(OfficeActual[],MATCH(INDEX(OfficeVariances[],ROW()-ROW(OfficeVariances[[#Headers],[Oct]]),1),INDEX(OfficePlan[],,1),0),MATCH(OfficeVariances[[#Headers],[Oct]],OfficeActual[#Headers],0))</calculatedColumnFormula>
    </tableColumn>
    <tableColumn id="12" name="Nov" totalsRowFunction="sum" dataDxfId="89" totalsRowDxfId="90">
      <calculatedColumnFormula>INDEX(OfficePlan[],MATCH(INDEX(OfficeVariances[],ROW()-ROW(OfficeVariances[[#Headers],[Nov]]),1),INDEX(OfficePlan[],,1),0),MATCH(OfficeVariances[[#Headers],[Nov]],OfficePlan[#Headers],0))-INDEX(OfficeActual[],MATCH(INDEX(OfficeVariances[],ROW()-ROW(OfficeVariances[[#Headers],[Nov]]),1),INDEX(OfficePlan[],,1),0),MATCH(OfficeVariances[[#Headers],[Nov]],OfficeActual[#Headers],0))</calculatedColumnFormula>
    </tableColumn>
    <tableColumn id="13" name="Dec" totalsRowFunction="sum" dataDxfId="87" totalsRowDxfId="88">
      <calculatedColumnFormula>INDEX(OfficePlan[],MATCH(INDEX(OfficeVariances[],ROW()-ROW(OfficeVariances[[#Headers],[Dec]]),1),INDEX(OfficePlan[],,1),0),MATCH(OfficeVariances[[#Headers],[Dec]],OfficePlan[#Headers],0))-INDEX(OfficeActual[],MATCH(INDEX(OfficeVariances[],ROW()-ROW(OfficeVariances[[#Headers],[Dec]]),1),INDEX(OfficePlan[],,1),0),MATCH(OfficeVariances[[#Headers],[Dec]],OfficeActual[#Headers],0))</calculatedColumnFormula>
    </tableColumn>
    <tableColumn id="14" name="YEAR" totalsRowFunction="sum" dataDxfId="85" totalsRowDxfId="86">
      <calculatedColumnFormula>SUM(OfficeVariances[[#This Row],[Jan]:[Dec]])</calculatedColumnFormula>
    </tableColumn>
  </tableColumns>
  <tableStyleInfo name="Table Style 1" showFirstColumn="1" showLastColumn="1" showRowStripes="0" showColumnStripes="0"/>
</table>
</file>

<file path=xl/tables/table13.xml><?xml version="1.0" encoding="utf-8"?>
<table xmlns="http://schemas.openxmlformats.org/spreadsheetml/2006/main" id="13" name="MarketingVariances" displayName="MarketingVariances" ref="B22:O29" headerRowCount="1" totalsRowCount="1" headerRowDxfId="84" dataDxfId="83" totalsRowDxfId="82">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80" totalsRowDxfId="81"/>
    <tableColumn id="2" name="Jan" totalsRowFunction="sum" dataDxfId="78" totalsRowDxfId="79">
      <calculatedColumnFormula>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calculatedColumnFormula>
    </tableColumn>
    <tableColumn id="3" name="Feb" totalsRowFunction="sum" dataDxfId="76" totalsRowDxfId="77">
      <calculatedColumnFormula>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calculatedColumnFormula>
    </tableColumn>
    <tableColumn id="4" name="Mar" totalsRowFunction="sum" dataDxfId="74" totalsRowDxfId="75">
      <calculatedColumnFormula>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calculatedColumnFormula>
    </tableColumn>
    <tableColumn id="5" name="Apr" totalsRowFunction="sum" dataDxfId="72" totalsRowDxfId="73">
      <calculatedColumnFormula>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calculatedColumnFormula>
    </tableColumn>
    <tableColumn id="6" name="May" totalsRowFunction="sum" dataDxfId="70" totalsRowDxfId="71">
      <calculatedColumnFormula>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calculatedColumnFormula>
    </tableColumn>
    <tableColumn id="7" name="Jun" totalsRowFunction="sum" dataDxfId="68" totalsRowDxfId="69">
      <calculatedColumnFormula>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calculatedColumnFormula>
    </tableColumn>
    <tableColumn id="8" name="Jul" totalsRowFunction="sum" dataDxfId="66" totalsRowDxfId="67">
      <calculatedColumnFormula>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calculatedColumnFormula>
    </tableColumn>
    <tableColumn id="9" name="Aug" totalsRowFunction="sum" dataDxfId="64" totalsRowDxfId="65">
      <calculatedColumnFormula>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calculatedColumnFormula>
    </tableColumn>
    <tableColumn id="10" name="Sep" totalsRowFunction="sum" dataDxfId="62" totalsRowDxfId="63">
      <calculatedColumnFormula>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calculatedColumnFormula>
    </tableColumn>
    <tableColumn id="11" name="Oct" totalsRowFunction="sum" dataDxfId="60" totalsRowDxfId="61">
      <calculatedColumnFormula>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calculatedColumnFormula>
    </tableColumn>
    <tableColumn id="12" name="Nov" totalsRowFunction="sum" dataDxfId="58" totalsRowDxfId="59">
      <calculatedColumnFormula>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calculatedColumnFormula>
    </tableColumn>
    <tableColumn id="13" name="Dec" totalsRowFunction="sum" dataDxfId="56" totalsRowDxfId="57">
      <calculatedColumnFormula>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calculatedColumnFormula>
    </tableColumn>
    <tableColumn id="14" name="YEAR" totalsRowFunction="sum" dataDxfId="54" totalsRowDxfId="55">
      <calculatedColumnFormula>SUM(MarketingVariances[[#This Row],[Jan]:[Dec]])</calculatedColumnFormula>
    </tableColumn>
  </tableColumns>
  <tableStyleInfo name="Table Style 1" showFirstColumn="1" showLastColumn="1" showRowStripes="0" showColumnStripes="0"/>
</table>
</file>

<file path=xl/tables/table14.xml><?xml version="1.0" encoding="utf-8"?>
<table xmlns="http://schemas.openxmlformats.org/spreadsheetml/2006/main" id="14" name="TrainingAndTravelVariances" displayName="TrainingAndTravelVariances" ref="B31:O34" headerRowCount="1" totalsRowCount="1" headerRowDxfId="53" dataDxfId="52" totalsRowDxfId="51">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49" totalsRowDxfId="50"/>
    <tableColumn id="2" name="Jan" totalsRowFunction="sum" dataDxfId="47" totalsRowDxfId="48">
      <calculatedColumnFormula>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calculatedColumnFormula>
    </tableColumn>
    <tableColumn id="3" name="Feb" totalsRowFunction="sum" dataDxfId="45" totalsRowDxfId="46">
      <calculatedColumnFormula>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calculatedColumnFormula>
    </tableColumn>
    <tableColumn id="4" name="Mar" totalsRowFunction="sum" dataDxfId="43" totalsRowDxfId="44">
      <calculatedColumnFormula>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calculatedColumnFormula>
    </tableColumn>
    <tableColumn id="5" name="Apr" totalsRowFunction="sum" dataDxfId="41" totalsRowDxfId="42">
      <calculatedColumnFormula>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calculatedColumnFormula>
    </tableColumn>
    <tableColumn id="6" name="May" totalsRowFunction="sum" dataDxfId="39" totalsRowDxfId="40">
      <calculatedColumnFormula>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calculatedColumnFormula>
    </tableColumn>
    <tableColumn id="7" name="Jun" totalsRowFunction="sum" dataDxfId="37" totalsRowDxfId="38">
      <calculatedColumnFormula>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calculatedColumnFormula>
    </tableColumn>
    <tableColumn id="8" name="Jul" totalsRowFunction="sum" dataDxfId="35" totalsRowDxfId="36">
      <calculatedColumnFormula>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calculatedColumnFormula>
    </tableColumn>
    <tableColumn id="9" name="Aug" totalsRowFunction="sum" dataDxfId="33" totalsRowDxfId="34">
      <calculatedColumnFormula>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calculatedColumnFormula>
    </tableColumn>
    <tableColumn id="10" name="Sep" totalsRowFunction="sum" dataDxfId="31" totalsRowDxfId="32">
      <calculatedColumnFormula>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calculatedColumnFormula>
    </tableColumn>
    <tableColumn id="11" name="Oct" totalsRowFunction="sum" dataDxfId="29" totalsRowDxfId="30">
      <calculatedColumnFormula>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calculatedColumnFormula>
    </tableColumn>
    <tableColumn id="12" name="Nov" totalsRowFunction="sum" dataDxfId="27" totalsRowDxfId="28">
      <calculatedColumnFormula>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calculatedColumnFormula>
    </tableColumn>
    <tableColumn id="13" name="Dec" totalsRowFunction="sum" dataDxfId="25" totalsRowDxfId="26">
      <calculatedColumnFormula>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calculatedColumnFormula>
    </tableColumn>
    <tableColumn id="14" name="YEAR" totalsRowFunction="sum" dataDxfId="23" totalsRowDxfId="24">
      <calculatedColumnFormula>SUM(TrainingAndTravelVariances[[#This Row],[Jan]:[Dec]])</calculatedColumnFormula>
    </tableColumn>
  </tableColumns>
  <tableStyleInfo name="Table Style 1" showFirstColumn="1" showLastColumn="1" showRowStripes="0" showColumnStripes="0"/>
</table>
</file>

<file path=xl/tables/table15.xml><?xml version="1.0" encoding="utf-8"?>
<table xmlns="http://schemas.openxmlformats.org/spreadsheetml/2006/main" id="15" name="TotalVariances" displayName="TotalVariances" ref="B36:O38" headerRowCount="1" totalsRowShown="0" headerRowDxfId="22" dataDxfId="21">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20"/>
    <tableColumn id="2" name="Jan" dataDxfId="19">
      <calculatedColumnFormula>SUM($C36:C$37)</calculatedColumnFormula>
    </tableColumn>
    <tableColumn id="3" name="Feb" dataDxfId="18">
      <calculatedColumnFormula>SUM($C36:D$37)</calculatedColumnFormula>
    </tableColumn>
    <tableColumn id="4" name="Mar" dataDxfId="17">
      <calculatedColumnFormula>SUM($C36:E$37)</calculatedColumnFormula>
    </tableColumn>
    <tableColumn id="5" name="Apr" dataDxfId="16">
      <calculatedColumnFormula>SUM($C36:F$37)</calculatedColumnFormula>
    </tableColumn>
    <tableColumn id="6" name="May" dataDxfId="15">
      <calculatedColumnFormula>SUM($C36:G$37)</calculatedColumnFormula>
    </tableColumn>
    <tableColumn id="7" name="Jun" dataDxfId="14">
      <calculatedColumnFormula>SUM($C36:H$37)</calculatedColumnFormula>
    </tableColumn>
    <tableColumn id="8" name="Jul" dataDxfId="13">
      <calculatedColumnFormula>SUM($C36:I$37)</calculatedColumnFormula>
    </tableColumn>
    <tableColumn id="9" name="Aug" dataDxfId="12">
      <calculatedColumnFormula>SUM($C36:J$37)</calculatedColumnFormula>
    </tableColumn>
    <tableColumn id="10" name="Sep" dataDxfId="11">
      <calculatedColumnFormula>SUM($C36:K$37)</calculatedColumnFormula>
    </tableColumn>
    <tableColumn id="11" name="Oct" dataDxfId="10">
      <calculatedColumnFormula>SUM($C36:L$37)</calculatedColumnFormula>
    </tableColumn>
    <tableColumn id="12" name="Nov" dataDxfId="9">
      <calculatedColumnFormula>SUM($C36:M$37)</calculatedColumnFormula>
    </tableColumn>
    <tableColumn id="13" name="Dec" dataDxfId="8">
      <calculatedColumnFormula>SUM($C36:N$37)</calculatedColumnFormula>
    </tableColumn>
    <tableColumn id="14" name="Year" dataDxfId="7"/>
  </tableColumns>
  <tableStyleInfo name="Table Style 1 2" showFirstColumn="1" showLastColumn="0" showRowStripes="0" showColumnStripes="0"/>
</table>
</file>

<file path=xl/tables/table16.xml><?xml version="1.0" encoding="utf-8"?>
<table xmlns="http://schemas.openxmlformats.org/spreadsheetml/2006/main" id="16" name="Analysis" displayName="Analysis" ref="B5:F10" headerRowCount="1" totalsRowShown="0" headerRowDxfId="6" dataDxfId="5">
  <autoFilter ref="B5:F10">
    <filterColumn colId="0" hiddenButton="1" showButton="1"/>
    <filterColumn colId="1" hiddenButton="1" showButton="1"/>
    <filterColumn colId="2" hiddenButton="1" showButton="1"/>
    <filterColumn colId="3" hiddenButton="1" showButton="1"/>
    <filterColumn colId="4" hiddenButton="1" showButton="1"/>
  </autoFilter>
  <tableColumns count="5">
    <tableColumn id="1" name="Expense category" dataDxfId="4"/>
    <tableColumn id="2" name="Planned expenses" dataDxfId="3"/>
    <tableColumn id="3" name="Actual expenses" dataDxfId="2"/>
    <tableColumn id="4" name="Expense variances" dataDxfId="1">
      <calculatedColumnFormula>C6-D6</calculatedColumnFormula>
    </tableColumn>
    <tableColumn id="5" name="Variance percentage" dataDxfId="0">
      <calculatedColumnFormula>E6/C6</calculatedColumnFormula>
    </tableColumn>
  </tableColumns>
  <tableStyleInfo name="Table Style 1" showFirstColumn="1" showLastColumn="0" showRowStripes="0" showColumnStripes="0"/>
</table>
</file>

<file path=xl/theme/theme1.xml><?xml version="1.0" encoding="utf-8"?>
<a:theme xmlns:a="http://schemas.openxmlformats.org/drawingml/2006/main" name="Office Theme">
  <a:themeElements>
    <a:clrScheme name="Resume">
      <a:dk1>
        <a:srgbClr val="000000"/>
      </a:dk1>
      <a:lt1>
        <a:srgbClr val="FFFFFF"/>
      </a:lt1>
      <a:dk2>
        <a:srgbClr val="44546A"/>
      </a:dk2>
      <a:lt2>
        <a:srgbClr val="E7E6E6"/>
      </a:lt2>
      <a:accent1>
        <a:srgbClr val="1309A8"/>
      </a:accent1>
      <a:accent2>
        <a:srgbClr val="875BBB"/>
      </a:accent2>
      <a:accent3>
        <a:srgbClr val="EB433D"/>
      </a:accent3>
      <a:accent4>
        <a:srgbClr val="B7E5ED"/>
      </a:accent4>
      <a:accent5>
        <a:srgbClr val="F6F3EA"/>
      </a:accent5>
      <a:accent6>
        <a:srgbClr val="3C3388"/>
      </a:accent6>
      <a:hlink>
        <a:srgbClr val="0563C1"/>
      </a:hlink>
      <a:folHlink>
        <a:srgbClr val="954F72"/>
      </a:folHlink>
    </a:clrScheme>
    <a:fontScheme name="Custom 10">
      <a:majorFont>
        <a:latin typeface="Posterama"/>
        <a:ea typeface=""/>
        <a:cs typeface=""/>
      </a:majorFont>
      <a:minorFont>
        <a:latin typeface="Posteram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s>
</file>

<file path=xl/worksheets/_rels/sheet3.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 Type="http://schemas.openxmlformats.org/officeDocument/2006/relationships/table" Target="/xl/tables/table9.xml" Id="rId4" /><Relationship Type="http://schemas.openxmlformats.org/officeDocument/2006/relationships/table" Target="/xl/tables/table10.xml" Id="rId5" /></Relationships>
</file>

<file path=xl/worksheets/_rels/sheet4.xml.rels><Relationships xmlns="http://schemas.openxmlformats.org/package/2006/relationships"><Relationship Type="http://schemas.openxmlformats.org/officeDocument/2006/relationships/table" Target="/xl/tables/table11.xml" Id="rId1" /><Relationship Type="http://schemas.openxmlformats.org/officeDocument/2006/relationships/table" Target="/xl/tables/table12.xml" Id="rId2" /><Relationship Type="http://schemas.openxmlformats.org/officeDocument/2006/relationships/table" Target="/xl/tables/table13.xml" Id="rId3" /><Relationship Type="http://schemas.openxmlformats.org/officeDocument/2006/relationships/table" Target="/xl/tables/table14.xml" Id="rId4" /><Relationship Type="http://schemas.openxmlformats.org/officeDocument/2006/relationships/table" Target="/xl/tables/table15.xml" Id="rId5" /></Relationships>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6.xml" Id="rId2" /></Relationships>
</file>

<file path=xl/worksheets/sheet1.xml><?xml version="1.0" encoding="utf-8"?>
<worksheet xmlns="http://schemas.openxmlformats.org/spreadsheetml/2006/main">
  <sheetPr>
    <tabColor theme="6"/>
    <outlinePr summaryBelow="1" summaryRight="1"/>
    <pageSetUpPr fitToPage="1"/>
  </sheetPr>
  <dimension ref="B1:C12"/>
  <sheetViews>
    <sheetView tabSelected="1" workbookViewId="0">
      <selection activeCell="A1" sqref="A1"/>
    </sheetView>
  </sheetViews>
  <sheetFormatPr baseColWidth="8" defaultColWidth="8.875" defaultRowHeight="15.6"/>
  <cols>
    <col width="4" customWidth="1" style="28" min="1" max="1"/>
    <col width="83.625" customWidth="1" style="28" min="2" max="2"/>
    <col width="4" customWidth="1" style="28" min="3" max="3"/>
    <col width="8.875" customWidth="1" style="28" min="4" max="16384"/>
  </cols>
  <sheetData>
    <row r="1" ht="90" customHeight="1" s="90">
      <c r="B1" s="83" t="inlineStr">
        <is>
          <t>About this Template</t>
        </is>
      </c>
      <c r="C1" s="83" t="inlineStr">
        <is>
          <t> </t>
        </is>
      </c>
    </row>
    <row r="2" ht="9.6" customHeight="1" s="90">
      <c r="B2" s="83" t="n"/>
      <c r="C2" s="83" t="n"/>
    </row>
    <row r="3" ht="19.9" customHeight="1" s="90">
      <c r="B3" s="29" t="n"/>
      <c r="C3" s="87" t="n"/>
    </row>
    <row r="4" ht="39.6" customFormat="1" customHeight="1" s="30">
      <c r="B4" s="85" t="inlineStr">
        <is>
          <t>Use this business expense budget workbook to track planned and 
actual expenses and variances.</t>
        </is>
      </c>
      <c r="C4" s="88" t="n"/>
    </row>
    <row r="5" ht="39.6" customFormat="1" customHeight="1" s="30">
      <c r="B5" s="85" t="inlineStr">
        <is>
          <t>Fill in company name and add logo.</t>
        </is>
      </c>
      <c r="C5" s="88" t="n"/>
    </row>
    <row r="6" ht="39.6" customFormat="1" customHeight="1" s="30">
      <c r="B6" s="85" t="inlineStr">
        <is>
          <t>Enter details in tables in planned expenses 
worksheet and actual expenses worksheet.</t>
        </is>
      </c>
      <c r="C6" s="88" t="n"/>
    </row>
    <row r="7" ht="39.6" customFormat="1" customHeight="1" s="30">
      <c r="B7" s="85" t="inlineStr">
        <is>
          <t>Tables are auto updated in expense variances worksheet and charts in 
expense analysis worksheet</t>
        </is>
      </c>
      <c r="C7" s="88" t="n"/>
    </row>
    <row r="8" ht="30" customHeight="1" s="90">
      <c r="B8" s="31" t="inlineStr">
        <is>
          <t>HOW TO USE THIS TEMPLATE</t>
        </is>
      </c>
      <c r="C8" s="87" t="n"/>
    </row>
    <row r="9" ht="70.90000000000001" customHeight="1" s="90">
      <c r="B9" s="85" t="inlineStr">
        <is>
          <t>Input data in the white cells on the PLANNED EXPENSES and 
ACTUAL EXPENSES worksheets, and the EXPENSE VARIANCES and 
EXPENSE ANALYSIS will be calculated for you.  If you add a row on 
one sheet, the other sheets need to match.</t>
        </is>
      </c>
      <c r="C9" s="87" t="n"/>
    </row>
    <row r="10" ht="30" customFormat="1" customHeight="1" s="32">
      <c r="B10" s="31" t="inlineStr">
        <is>
          <t>Note</t>
        </is>
      </c>
      <c r="C10" s="89" t="n"/>
    </row>
    <row r="11" ht="79.90000000000001" customFormat="1" customHeight="1" s="32">
      <c r="B11" s="85" t="inlineStr">
        <is>
          <t xml:space="preserve">Additional instructions have been provided in column A in each 
worksheet. To learn more about tables, press SHIFT and then F10 
within a table, select the TABLE option, and then select 
ALTERNATIVE TEXT.
</t>
        </is>
      </c>
      <c r="C11" s="89" t="n"/>
    </row>
    <row r="12" ht="60" customFormat="1" customHeight="1" s="30">
      <c r="B12" s="85" t="n"/>
      <c r="C12" s="88" t="n"/>
    </row>
  </sheetData>
  <printOptions horizontalCentered="1"/>
  <pageMargins left="0.25" right="0.25" top="0.75" bottom="0.75" header="0.3" footer="0.3"/>
  <pageSetup orientation="portrait" paperSize="9" scale="95"/>
</worksheet>
</file>

<file path=xl/worksheets/sheet2.xml><?xml version="1.0" encoding="utf-8"?>
<worksheet xmlns="http://schemas.openxmlformats.org/spreadsheetml/2006/main">
  <sheetPr codeName="Sheet2">
    <tabColor theme="7"/>
    <outlinePr summaryBelow="1" summaryRight="1"/>
    <pageSetUpPr autoPageBreaks="0" fitToPage="1"/>
  </sheetPr>
  <dimension ref="A1:T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 min="2" max="2"/>
    <col width="14.375" customWidth="1" style="3" min="3" max="15"/>
    <col width="4" customWidth="1" style="3" min="16" max="16"/>
    <col width="1.5" customWidth="1" style="3" min="17" max="17"/>
    <col width="8.875" customWidth="1" style="3" min="18" max="19"/>
    <col width="10.875" customWidth="1" style="3" min="20" max="20"/>
    <col width="8.875" customWidth="1" style="3" min="21" max="16384"/>
  </cols>
  <sheetData>
    <row r="1" ht="20.1" customHeight="1" s="90">
      <c r="A1" s="1" t="n"/>
      <c r="B1" s="2" t="n"/>
      <c r="C1" s="2" t="n"/>
      <c r="D1" s="2" t="n"/>
      <c r="E1" s="2" t="n"/>
      <c r="F1" s="2" t="n"/>
      <c r="G1" s="2" t="n"/>
      <c r="H1" s="2" t="n"/>
      <c r="I1" s="2" t="n"/>
      <c r="J1" s="2" t="n"/>
      <c r="K1" s="2" t="n"/>
      <c r="L1" s="2" t="n"/>
      <c r="M1" s="2" t="n"/>
      <c r="N1" s="2" t="n"/>
      <c r="O1" s="2" t="n"/>
      <c r="P1" s="2" t="inlineStr">
        <is>
          <t> </t>
        </is>
      </c>
    </row>
    <row r="2" ht="100.15" customHeight="1" s="90">
      <c r="A2" s="2" t="n"/>
      <c r="B2" s="86" t="inlineStr">
        <is>
          <t>SBO Banking</t>
        </is>
      </c>
      <c r="E2" s="4" t="n"/>
      <c r="F2" s="5" t="n"/>
      <c r="G2" s="5" t="n"/>
      <c r="H2" s="5" t="n"/>
      <c r="I2" s="5" t="n"/>
      <c r="J2" s="5" t="n"/>
      <c r="K2" s="6" t="n"/>
      <c r="L2" s="7" t="n"/>
      <c r="M2" s="7" t="n"/>
      <c r="N2" s="8" t="n"/>
      <c r="O2" s="9" t="inlineStr">
        <is>
          <t>Detailed expense estimates</t>
        </is>
      </c>
      <c r="P2" s="2" t="n"/>
    </row>
    <row r="3" ht="19.9" customHeight="1" s="90">
      <c r="A3" s="2" t="n"/>
      <c r="E3" s="10" t="n"/>
      <c r="F3" s="11" t="n"/>
      <c r="G3" s="11" t="n"/>
      <c r="H3" s="11" t="n"/>
      <c r="I3" s="11" t="n"/>
      <c r="J3" s="11" t="n"/>
      <c r="K3" s="6" t="n"/>
      <c r="L3" s="12" t="n"/>
      <c r="M3" s="12" t="n"/>
      <c r="N3" s="8" t="n"/>
      <c r="O3" s="13" t="inlineStr">
        <is>
          <t>Shaded cells are calculations</t>
        </is>
      </c>
      <c r="P3" s="2" t="n"/>
    </row>
    <row r="4" ht="19.9" customHeight="1" s="90">
      <c r="A4" s="2" t="n"/>
      <c r="B4" s="14" t="n"/>
      <c r="C4" s="14" t="n"/>
      <c r="D4" s="14" t="n"/>
      <c r="E4" s="10" t="n"/>
      <c r="F4" s="11" t="n"/>
      <c r="G4" s="11" t="n"/>
      <c r="H4" s="11" t="n"/>
      <c r="I4" s="11" t="n"/>
      <c r="J4" s="11" t="n"/>
      <c r="K4" s="15" t="n"/>
      <c r="L4" s="15" t="n"/>
      <c r="M4" s="15" t="n"/>
      <c r="N4" s="8" t="n"/>
      <c r="O4" s="8" t="n"/>
      <c r="P4" s="2" t="n"/>
    </row>
    <row r="5" ht="49.9" customHeight="1" s="90">
      <c r="A5" s="2" t="n"/>
      <c r="B5" s="16" t="inlineStr">
        <is>
          <t>PLANNED EXPENSES</t>
        </is>
      </c>
      <c r="C5" s="17" t="n"/>
      <c r="D5" s="17" t="n"/>
      <c r="E5" s="18" t="n"/>
      <c r="F5" s="17" t="n"/>
      <c r="G5" s="17" t="n"/>
      <c r="H5" s="17" t="n"/>
      <c r="I5" s="18" t="n"/>
      <c r="J5" s="17" t="n"/>
      <c r="K5" s="17" t="n"/>
      <c r="L5" s="17" t="n"/>
      <c r="M5" s="17" t="n"/>
      <c r="N5" s="18" t="n"/>
      <c r="O5" s="17" t="n"/>
      <c r="P5" s="6" t="n"/>
      <c r="R5" s="19" t="n"/>
      <c r="S5" s="20" t="n"/>
      <c r="T5" s="20" t="n"/>
    </row>
    <row r="6" ht="40.15" customFormat="1" customHeight="1" s="47">
      <c r="A6" s="43" t="n"/>
      <c r="B6" s="21" t="inlineStr">
        <is>
          <t>Employee costs</t>
        </is>
      </c>
      <c r="C6" s="54" t="inlineStr">
        <is>
          <t>Jan</t>
        </is>
      </c>
      <c r="D6" s="54" t="inlineStr">
        <is>
          <t>Feb</t>
        </is>
      </c>
      <c r="E6" s="55" t="inlineStr">
        <is>
          <t>Mar</t>
        </is>
      </c>
      <c r="F6" s="54" t="inlineStr">
        <is>
          <t>Apr</t>
        </is>
      </c>
      <c r="G6" s="54" t="inlineStr">
        <is>
          <t>May</t>
        </is>
      </c>
      <c r="H6" s="54" t="inlineStr">
        <is>
          <t>Jun</t>
        </is>
      </c>
      <c r="I6" s="54" t="inlineStr">
        <is>
          <t>Jul</t>
        </is>
      </c>
      <c r="J6" s="54" t="inlineStr">
        <is>
          <t>Aug</t>
        </is>
      </c>
      <c r="K6" s="54" t="inlineStr">
        <is>
          <t>Sep</t>
        </is>
      </c>
      <c r="L6" s="54" t="inlineStr">
        <is>
          <t>Oct</t>
        </is>
      </c>
      <c r="M6" s="54" t="inlineStr">
        <is>
          <t>Nov</t>
        </is>
      </c>
      <c r="N6" s="54" t="inlineStr">
        <is>
          <t>Dec</t>
        </is>
      </c>
      <c r="O6" s="54" t="inlineStr">
        <is>
          <t>YEAR</t>
        </is>
      </c>
      <c r="P6" s="43" t="n"/>
    </row>
    <row r="7" ht="30" customHeight="1" s="90">
      <c r="A7" s="6" t="n"/>
      <c r="B7" s="22" t="inlineStr">
        <is>
          <t>Wages</t>
        </is>
      </c>
      <c r="C7" s="91" t="n">
        <v>85000</v>
      </c>
      <c r="D7" s="91" t="n">
        <v>85000</v>
      </c>
      <c r="E7" s="91" t="n">
        <v>85000</v>
      </c>
      <c r="F7" s="91" t="n">
        <v>87500</v>
      </c>
      <c r="G7" s="91" t="n">
        <v>87500</v>
      </c>
      <c r="H7" s="91" t="n">
        <v>87500</v>
      </c>
      <c r="I7" s="91" t="n">
        <v>87500</v>
      </c>
      <c r="J7" s="91" t="n">
        <v>92400</v>
      </c>
      <c r="K7" s="91" t="n">
        <v>92400</v>
      </c>
      <c r="L7" s="91" t="n">
        <v>92400</v>
      </c>
      <c r="M7" s="91" t="n">
        <v>92400</v>
      </c>
      <c r="N7" s="91" t="n">
        <v>92400</v>
      </c>
      <c r="O7" s="91">
        <f>SUM(C7:N7)</f>
        <v/>
      </c>
      <c r="P7" s="6" t="n"/>
      <c r="R7" s="20" t="n"/>
      <c r="S7" s="20" t="n"/>
      <c r="T7" s="20" t="n"/>
    </row>
    <row r="8" ht="30" customHeight="1" s="90">
      <c r="A8" s="6" t="n"/>
      <c r="B8" s="22" t="inlineStr">
        <is>
          <t>Benefits</t>
        </is>
      </c>
      <c r="C8" s="91">
        <f>C7*0.27</f>
        <v/>
      </c>
      <c r="D8" s="91">
        <f>D7*0.27</f>
        <v/>
      </c>
      <c r="E8" s="91">
        <f>E7*0.27</f>
        <v/>
      </c>
      <c r="F8" s="91">
        <f>F7*0.27</f>
        <v/>
      </c>
      <c r="G8" s="91">
        <f>G7*0.27</f>
        <v/>
      </c>
      <c r="H8" s="91">
        <f>H7*0.27</f>
        <v/>
      </c>
      <c r="I8" s="91">
        <f>I7*0.27</f>
        <v/>
      </c>
      <c r="J8" s="91">
        <f>J7*0.27</f>
        <v/>
      </c>
      <c r="K8" s="91">
        <f>K7*0.27</f>
        <v/>
      </c>
      <c r="L8" s="91">
        <f>L7*0.27</f>
        <v/>
      </c>
      <c r="M8" s="91">
        <f>M7*0.27</f>
        <v/>
      </c>
      <c r="N8" s="91">
        <f>N7*0.27</f>
        <v/>
      </c>
      <c r="O8" s="91">
        <f>SUM(C8:N8)</f>
        <v/>
      </c>
      <c r="P8" s="6" t="n"/>
      <c r="R8" s="20" t="n"/>
      <c r="S8" s="20" t="n"/>
      <c r="T8" s="20" t="n"/>
    </row>
    <row r="9" ht="30" customHeight="1" s="90">
      <c r="A9" s="6" t="n"/>
      <c r="B9" s="22" t="inlineStr">
        <is>
          <t>Subtotal</t>
        </is>
      </c>
      <c r="C9" s="91">
        <f>SUBTOTAL(109,EmployeePlan[Jan])</f>
        <v/>
      </c>
      <c r="D9" s="91">
        <f>SUBTOTAL(109,EmployeePlan[Feb])</f>
        <v/>
      </c>
      <c r="E9" s="91">
        <f>SUBTOTAL(109,EmployeePlan[Mar])</f>
        <v/>
      </c>
      <c r="F9" s="91">
        <f>SUBTOTAL(109,EmployeePlan[Apr])</f>
        <v/>
      </c>
      <c r="G9" s="91">
        <f>SUBTOTAL(109,EmployeePlan[May])</f>
        <v/>
      </c>
      <c r="H9" s="91">
        <f>SUBTOTAL(109,EmployeePlan[Jun])</f>
        <v/>
      </c>
      <c r="I9" s="91">
        <f>SUBTOTAL(109,EmployeePlan[Jul])</f>
        <v/>
      </c>
      <c r="J9" s="91">
        <f>SUBTOTAL(109,EmployeePlan[Aug])</f>
        <v/>
      </c>
      <c r="K9" s="91">
        <f>SUBTOTAL(109,EmployeePlan[Sep])</f>
        <v/>
      </c>
      <c r="L9" s="91">
        <f>SUBTOTAL(109,EmployeePlan[Oct])</f>
        <v/>
      </c>
      <c r="M9" s="91">
        <f>SUBTOTAL(109,EmployeePlan[Nov])</f>
        <v/>
      </c>
      <c r="N9" s="91">
        <f>SUBTOTAL(109,EmployeePlan[Dec])</f>
        <v/>
      </c>
      <c r="O9" s="91">
        <f>SUBTOTAL(109,EmployeePlan[YEAR])</f>
        <v/>
      </c>
      <c r="P9" s="6" t="n"/>
      <c r="R9" s="20" t="n"/>
      <c r="S9" s="20" t="n"/>
      <c r="T9" s="20" t="n"/>
    </row>
    <row r="10" ht="30" customHeight="1" s="90">
      <c r="A10" s="6" t="n"/>
      <c r="B10" s="24" t="n"/>
      <c r="C10" s="24" t="n"/>
      <c r="D10" s="24" t="n"/>
      <c r="E10" s="24" t="n"/>
      <c r="F10" s="24" t="n"/>
      <c r="G10" s="24" t="n"/>
      <c r="H10" s="24" t="n"/>
      <c r="I10" s="24" t="n"/>
      <c r="J10" s="24" t="n"/>
      <c r="K10" s="24" t="n"/>
      <c r="L10" s="24" t="n"/>
      <c r="M10" s="24" t="n"/>
      <c r="N10" s="24" t="n"/>
      <c r="O10" s="24" t="n"/>
      <c r="P10" s="6" t="n"/>
      <c r="R10" s="20" t="n"/>
      <c r="S10" s="20" t="n"/>
      <c r="T10" s="20" t="n"/>
    </row>
    <row r="11" ht="40.15" customFormat="1" customHeight="1" s="47">
      <c r="A11" s="43" t="n"/>
      <c r="B11" s="21" t="inlineStr">
        <is>
          <t>Office costs</t>
        </is>
      </c>
      <c r="C11" s="54" t="inlineStr">
        <is>
          <t>Jan</t>
        </is>
      </c>
      <c r="D11" s="54" t="inlineStr">
        <is>
          <t>Feb</t>
        </is>
      </c>
      <c r="E11" s="55" t="inlineStr">
        <is>
          <t>Mar</t>
        </is>
      </c>
      <c r="F11" s="54" t="inlineStr">
        <is>
          <t>Apr</t>
        </is>
      </c>
      <c r="G11" s="54" t="inlineStr">
        <is>
          <t>May</t>
        </is>
      </c>
      <c r="H11" s="54" t="inlineStr">
        <is>
          <t>Jun</t>
        </is>
      </c>
      <c r="I11" s="54" t="inlineStr">
        <is>
          <t>Jul</t>
        </is>
      </c>
      <c r="J11" s="54" t="inlineStr">
        <is>
          <t>Aug</t>
        </is>
      </c>
      <c r="K11" s="54" t="inlineStr">
        <is>
          <t>Sep</t>
        </is>
      </c>
      <c r="L11" s="54" t="inlineStr">
        <is>
          <t>Oct</t>
        </is>
      </c>
      <c r="M11" s="54" t="inlineStr">
        <is>
          <t>Nov</t>
        </is>
      </c>
      <c r="N11" s="54" t="inlineStr">
        <is>
          <t>Dec</t>
        </is>
      </c>
      <c r="O11" s="54" t="inlineStr">
        <is>
          <t>YEAR</t>
        </is>
      </c>
      <c r="P11" s="43" t="n"/>
    </row>
    <row r="12" ht="30" customHeight="1" s="90">
      <c r="A12" s="6" t="n"/>
      <c r="B12" s="22" t="inlineStr">
        <is>
          <t>Office lease</t>
        </is>
      </c>
      <c r="C12" s="91" t="n">
        <v>9800</v>
      </c>
      <c r="D12" s="91" t="n">
        <v>9800</v>
      </c>
      <c r="E12" s="91" t="n">
        <v>9800</v>
      </c>
      <c r="F12" s="91" t="n">
        <v>9800</v>
      </c>
      <c r="G12" s="91" t="n">
        <v>9800</v>
      </c>
      <c r="H12" s="91" t="n">
        <v>9800</v>
      </c>
      <c r="I12" s="91" t="n">
        <v>9800</v>
      </c>
      <c r="J12" s="91" t="n">
        <v>9800</v>
      </c>
      <c r="K12" s="91" t="n">
        <v>9800</v>
      </c>
      <c r="L12" s="91" t="n">
        <v>9800</v>
      </c>
      <c r="M12" s="91" t="n">
        <v>9800</v>
      </c>
      <c r="N12" s="91" t="n">
        <v>9800</v>
      </c>
      <c r="O12" s="91">
        <f>SUM(C12:N12)</f>
        <v/>
      </c>
      <c r="P12" s="6" t="n"/>
      <c r="R12" s="20" t="n"/>
      <c r="S12" s="20" t="n"/>
      <c r="T12" s="20" t="n"/>
    </row>
    <row r="13" ht="30" customHeight="1" s="90">
      <c r="A13" s="6" t="n"/>
      <c r="B13" s="22" t="inlineStr">
        <is>
          <t>Gas</t>
        </is>
      </c>
      <c r="C13" s="91" t="n">
        <v>300</v>
      </c>
      <c r="D13" s="91" t="n">
        <v>400</v>
      </c>
      <c r="E13" s="91" t="n">
        <v>400</v>
      </c>
      <c r="F13" s="91" t="n">
        <v>100</v>
      </c>
      <c r="G13" s="91" t="n">
        <v>100</v>
      </c>
      <c r="H13" s="91" t="n">
        <v>100</v>
      </c>
      <c r="I13" s="91" t="n">
        <v>100</v>
      </c>
      <c r="J13" s="91" t="n">
        <v>100</v>
      </c>
      <c r="K13" s="91" t="n">
        <v>100</v>
      </c>
      <c r="L13" s="91" t="n">
        <v>100</v>
      </c>
      <c r="M13" s="91" t="n">
        <v>400</v>
      </c>
      <c r="N13" s="91" t="n">
        <v>400</v>
      </c>
      <c r="O13" s="91">
        <f>SUM(C13:N13)</f>
        <v/>
      </c>
      <c r="P13" s="6" t="n"/>
      <c r="R13" s="20" t="n"/>
      <c r="S13" s="20" t="n"/>
      <c r="T13" s="20" t="n"/>
    </row>
    <row r="14" ht="30" customHeight="1" s="90">
      <c r="A14" s="6" t="n"/>
      <c r="B14" s="22" t="inlineStr">
        <is>
          <t>Electric</t>
        </is>
      </c>
      <c r="C14" s="91" t="n">
        <v>300</v>
      </c>
      <c r="D14" s="91" t="n">
        <v>300</v>
      </c>
      <c r="E14" s="91" t="n">
        <v>300</v>
      </c>
      <c r="F14" s="91" t="n">
        <v>300</v>
      </c>
      <c r="G14" s="91" t="n">
        <v>300</v>
      </c>
      <c r="H14" s="91" t="n">
        <v>300</v>
      </c>
      <c r="I14" s="91" t="n">
        <v>300</v>
      </c>
      <c r="J14" s="91" t="n">
        <v>300</v>
      </c>
      <c r="K14" s="91" t="n">
        <v>300</v>
      </c>
      <c r="L14" s="91" t="n">
        <v>300</v>
      </c>
      <c r="M14" s="91" t="n">
        <v>300</v>
      </c>
      <c r="N14" s="91" t="n">
        <v>300</v>
      </c>
      <c r="O14" s="91">
        <f>SUM(C14:N14)</f>
        <v/>
      </c>
      <c r="P14" s="6" t="n"/>
      <c r="R14" s="20" t="n"/>
      <c r="S14" s="20" t="n"/>
      <c r="T14" s="20" t="n"/>
    </row>
    <row r="15" ht="30" customHeight="1" s="90">
      <c r="A15" s="6" t="n"/>
      <c r="B15" s="22" t="inlineStr">
        <is>
          <t>Water</t>
        </is>
      </c>
      <c r="C15" s="91" t="n">
        <v>40</v>
      </c>
      <c r="D15" s="91" t="n">
        <v>40</v>
      </c>
      <c r="E15" s="91" t="n">
        <v>40</v>
      </c>
      <c r="F15" s="91" t="n">
        <v>40</v>
      </c>
      <c r="G15" s="91" t="n">
        <v>40</v>
      </c>
      <c r="H15" s="91" t="n">
        <v>40</v>
      </c>
      <c r="I15" s="91" t="n">
        <v>40</v>
      </c>
      <c r="J15" s="91" t="n">
        <v>40</v>
      </c>
      <c r="K15" s="91" t="n">
        <v>40</v>
      </c>
      <c r="L15" s="91" t="n">
        <v>40</v>
      </c>
      <c r="M15" s="91" t="n">
        <v>40</v>
      </c>
      <c r="N15" s="91" t="n">
        <v>40</v>
      </c>
      <c r="O15" s="91">
        <f>SUM(C15:N15)</f>
        <v/>
      </c>
      <c r="P15" s="6" t="n"/>
    </row>
    <row r="16" ht="30" customHeight="1" s="90">
      <c r="A16" s="6" t="n"/>
      <c r="B16" s="22" t="inlineStr">
        <is>
          <t>Telephone</t>
        </is>
      </c>
      <c r="C16" s="91" t="n">
        <v>250</v>
      </c>
      <c r="D16" s="91" t="n">
        <v>250</v>
      </c>
      <c r="E16" s="91" t="n">
        <v>250</v>
      </c>
      <c r="F16" s="91" t="n">
        <v>250</v>
      </c>
      <c r="G16" s="91" t="n">
        <v>250</v>
      </c>
      <c r="H16" s="91" t="n">
        <v>250</v>
      </c>
      <c r="I16" s="91" t="n">
        <v>250</v>
      </c>
      <c r="J16" s="91" t="n">
        <v>250</v>
      </c>
      <c r="K16" s="91" t="n">
        <v>250</v>
      </c>
      <c r="L16" s="91" t="n">
        <v>250</v>
      </c>
      <c r="M16" s="91" t="n">
        <v>250</v>
      </c>
      <c r="N16" s="91" t="n">
        <v>250</v>
      </c>
      <c r="O16" s="91">
        <f>SUM(C16:N16)</f>
        <v/>
      </c>
      <c r="P16" s="6" t="n"/>
    </row>
    <row r="17" ht="30" customHeight="1" s="90">
      <c r="A17" s="6" t="n"/>
      <c r="B17" s="22" t="inlineStr">
        <is>
          <t>Internet access</t>
        </is>
      </c>
      <c r="C17" s="91" t="n">
        <v>180</v>
      </c>
      <c r="D17" s="91" t="n">
        <v>180</v>
      </c>
      <c r="E17" s="91" t="n">
        <v>180</v>
      </c>
      <c r="F17" s="91" t="n">
        <v>180</v>
      </c>
      <c r="G17" s="91" t="n">
        <v>180</v>
      </c>
      <c r="H17" s="91" t="n">
        <v>180</v>
      </c>
      <c r="I17" s="91" t="n">
        <v>180</v>
      </c>
      <c r="J17" s="91" t="n">
        <v>180</v>
      </c>
      <c r="K17" s="91" t="n">
        <v>180</v>
      </c>
      <c r="L17" s="91" t="n">
        <v>180</v>
      </c>
      <c r="M17" s="91" t="n">
        <v>180</v>
      </c>
      <c r="N17" s="91" t="n">
        <v>180</v>
      </c>
      <c r="O17" s="91">
        <f>SUM(C17:N17)</f>
        <v/>
      </c>
      <c r="P17" s="6" t="n"/>
    </row>
    <row r="18" ht="30" customHeight="1" s="90">
      <c r="A18" s="6" t="n"/>
      <c r="B18" s="22" t="inlineStr">
        <is>
          <t>Office supplies</t>
        </is>
      </c>
      <c r="C18" s="91" t="n">
        <v>200</v>
      </c>
      <c r="D18" s="91" t="n">
        <v>200</v>
      </c>
      <c r="E18" s="91" t="n">
        <v>200</v>
      </c>
      <c r="F18" s="91" t="n">
        <v>200</v>
      </c>
      <c r="G18" s="91" t="n">
        <v>200</v>
      </c>
      <c r="H18" s="91" t="n">
        <v>200</v>
      </c>
      <c r="I18" s="91" t="n">
        <v>200</v>
      </c>
      <c r="J18" s="91" t="n">
        <v>200</v>
      </c>
      <c r="K18" s="91" t="n">
        <v>200</v>
      </c>
      <c r="L18" s="91" t="n">
        <v>200</v>
      </c>
      <c r="M18" s="91" t="n">
        <v>200</v>
      </c>
      <c r="N18" s="91" t="n">
        <v>200</v>
      </c>
      <c r="O18" s="91">
        <f>SUM(C18:N18)</f>
        <v/>
      </c>
      <c r="P18" s="6" t="n"/>
    </row>
    <row r="19" ht="30" customHeight="1" s="90">
      <c r="A19" s="6" t="n"/>
      <c r="B19" s="22" t="inlineStr">
        <is>
          <t>Security</t>
        </is>
      </c>
      <c r="C19" s="91" t="n">
        <v>600</v>
      </c>
      <c r="D19" s="91" t="n">
        <v>600</v>
      </c>
      <c r="E19" s="91" t="n">
        <v>600</v>
      </c>
      <c r="F19" s="91" t="n">
        <v>600</v>
      </c>
      <c r="G19" s="91" t="n">
        <v>600</v>
      </c>
      <c r="H19" s="91" t="n">
        <v>600</v>
      </c>
      <c r="I19" s="91" t="n">
        <v>600</v>
      </c>
      <c r="J19" s="91" t="n">
        <v>600</v>
      </c>
      <c r="K19" s="91" t="n">
        <v>600</v>
      </c>
      <c r="L19" s="91" t="n">
        <v>600</v>
      </c>
      <c r="M19" s="91" t="n">
        <v>600</v>
      </c>
      <c r="N19" s="91" t="n">
        <v>600</v>
      </c>
      <c r="O19" s="91">
        <f>SUM(C19:N19)</f>
        <v/>
      </c>
      <c r="P19" s="6" t="n"/>
    </row>
    <row r="20" ht="30" customHeight="1" s="90">
      <c r="A20" s="6" t="n"/>
      <c r="B20" s="22" t="inlineStr">
        <is>
          <t>Subtotal</t>
        </is>
      </c>
      <c r="C20" s="91">
        <f>SUBTOTAL(109,OfficePlan[Jan])</f>
        <v/>
      </c>
      <c r="D20" s="91">
        <f>SUBTOTAL(109,OfficePlan[Feb])</f>
        <v/>
      </c>
      <c r="E20" s="91">
        <f>SUBTOTAL(109,OfficePlan[Mar])</f>
        <v/>
      </c>
      <c r="F20" s="91">
        <f>SUBTOTAL(109,OfficePlan[Apr])</f>
        <v/>
      </c>
      <c r="G20" s="91">
        <f>SUBTOTAL(109,OfficePlan[May])</f>
        <v/>
      </c>
      <c r="H20" s="91">
        <f>SUBTOTAL(109,OfficePlan[Jun])</f>
        <v/>
      </c>
      <c r="I20" s="91">
        <f>SUBTOTAL(109,OfficePlan[Jul])</f>
        <v/>
      </c>
      <c r="J20" s="91">
        <f>SUBTOTAL(109,OfficePlan[Aug])</f>
        <v/>
      </c>
      <c r="K20" s="91">
        <f>SUBTOTAL(109,OfficePlan[Sep])</f>
        <v/>
      </c>
      <c r="L20" s="91">
        <f>SUBTOTAL(109,OfficePlan[Oct])</f>
        <v/>
      </c>
      <c r="M20" s="91">
        <f>SUBTOTAL(109,OfficePlan[Nov])</f>
        <v/>
      </c>
      <c r="N20" s="91">
        <f>SUBTOTAL(109,OfficePlan[Dec])</f>
        <v/>
      </c>
      <c r="O20" s="91">
        <f>SUBTOTAL(109,OfficePlan[YEAR])</f>
        <v/>
      </c>
      <c r="P20" s="6" t="n"/>
    </row>
    <row r="21" ht="30" customHeight="1" s="90">
      <c r="A21" s="6" t="n"/>
      <c r="B21" s="25" t="n"/>
      <c r="C21" s="25" t="n"/>
      <c r="D21" s="25" t="n"/>
      <c r="E21" s="25" t="n"/>
      <c r="F21" s="25" t="n"/>
      <c r="G21" s="25" t="n"/>
      <c r="H21" s="25" t="n"/>
      <c r="I21" s="25" t="n"/>
      <c r="J21" s="25" t="n"/>
      <c r="K21" s="25" t="n"/>
      <c r="L21" s="25" t="n"/>
      <c r="M21" s="25" t="n"/>
      <c r="N21" s="25" t="n"/>
      <c r="O21" s="25"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v>500</v>
      </c>
      <c r="D23" s="91" t="n">
        <v>500</v>
      </c>
      <c r="E23" s="91" t="n">
        <v>500</v>
      </c>
      <c r="F23" s="91" t="n">
        <v>500</v>
      </c>
      <c r="G23" s="91" t="n">
        <v>500</v>
      </c>
      <c r="H23" s="91" t="n">
        <v>500</v>
      </c>
      <c r="I23" s="91" t="n">
        <v>500</v>
      </c>
      <c r="J23" s="91" t="n">
        <v>500</v>
      </c>
      <c r="K23" s="91" t="n">
        <v>500</v>
      </c>
      <c r="L23" s="91" t="n">
        <v>500</v>
      </c>
      <c r="M23" s="91" t="n">
        <v>500</v>
      </c>
      <c r="N23" s="91" t="n">
        <v>500</v>
      </c>
      <c r="O23" s="91">
        <f>SUM(C23:N23)</f>
        <v/>
      </c>
      <c r="P23" s="6" t="n"/>
    </row>
    <row r="24" ht="30" customHeight="1" s="90">
      <c r="A24" s="6" t="n"/>
      <c r="B24" s="22" t="inlineStr">
        <is>
          <t>Web site updates</t>
        </is>
      </c>
      <c r="C24" s="91" t="n">
        <v>200</v>
      </c>
      <c r="D24" s="91" t="n">
        <v>200</v>
      </c>
      <c r="E24" s="91" t="n">
        <v>200</v>
      </c>
      <c r="F24" s="91" t="n">
        <v>200</v>
      </c>
      <c r="G24" s="91" t="n">
        <v>200</v>
      </c>
      <c r="H24" s="91" t="n">
        <v>1000</v>
      </c>
      <c r="I24" s="91" t="n">
        <v>200</v>
      </c>
      <c r="J24" s="91" t="n">
        <v>200</v>
      </c>
      <c r="K24" s="91" t="n">
        <v>200</v>
      </c>
      <c r="L24" s="91" t="n">
        <v>200</v>
      </c>
      <c r="M24" s="91" t="n">
        <v>200</v>
      </c>
      <c r="N24" s="91" t="n">
        <v>1000</v>
      </c>
      <c r="O24" s="91">
        <f>SUM(C24:N24)</f>
        <v/>
      </c>
      <c r="P24" s="6" t="n"/>
    </row>
    <row r="25" ht="30" customHeight="1" s="90">
      <c r="A25" s="6" t="n"/>
      <c r="B25" s="22" t="inlineStr">
        <is>
          <t>Collateral preparation</t>
        </is>
      </c>
      <c r="C25" s="91" t="n">
        <v>5000</v>
      </c>
      <c r="D25" s="91" t="n">
        <v>0</v>
      </c>
      <c r="E25" s="91" t="n">
        <v>0</v>
      </c>
      <c r="F25" s="91" t="n">
        <v>5000</v>
      </c>
      <c r="G25" s="91" t="n">
        <v>0</v>
      </c>
      <c r="H25" s="91" t="n">
        <v>0</v>
      </c>
      <c r="I25" s="91" t="n">
        <v>5000</v>
      </c>
      <c r="J25" s="91" t="n">
        <v>0</v>
      </c>
      <c r="K25" s="91" t="n">
        <v>0</v>
      </c>
      <c r="L25" s="91" t="n">
        <v>5000</v>
      </c>
      <c r="M25" s="91" t="n">
        <v>0</v>
      </c>
      <c r="N25" s="91" t="n">
        <v>0</v>
      </c>
      <c r="O25" s="91">
        <f>SUM(C25:N25)</f>
        <v/>
      </c>
      <c r="P25" s="6" t="n"/>
    </row>
    <row r="26" ht="30" customHeight="1" s="90">
      <c r="A26" s="6" t="n"/>
      <c r="B26" s="22" t="inlineStr">
        <is>
          <t>Collateral printing</t>
        </is>
      </c>
      <c r="C26" s="91" t="n">
        <v>200</v>
      </c>
      <c r="D26" s="91" t="n">
        <v>200</v>
      </c>
      <c r="E26" s="91" t="n">
        <v>200</v>
      </c>
      <c r="F26" s="91" t="n">
        <v>200</v>
      </c>
      <c r="G26" s="91" t="n">
        <v>200</v>
      </c>
      <c r="H26" s="91" t="n">
        <v>200</v>
      </c>
      <c r="I26" s="91" t="n">
        <v>200</v>
      </c>
      <c r="J26" s="91" t="n">
        <v>200</v>
      </c>
      <c r="K26" s="91" t="n">
        <v>200</v>
      </c>
      <c r="L26" s="91" t="n">
        <v>200</v>
      </c>
      <c r="M26" s="91" t="n">
        <v>200</v>
      </c>
      <c r="N26" s="91" t="n">
        <v>200</v>
      </c>
      <c r="O26" s="91">
        <f>SUM(C26:N26)</f>
        <v/>
      </c>
      <c r="P26" s="6" t="n"/>
    </row>
    <row r="27" ht="30" customHeight="1" s="90">
      <c r="A27" s="6" t="n"/>
      <c r="B27" s="22" t="inlineStr">
        <is>
          <t>Marketing events</t>
        </is>
      </c>
      <c r="C27" s="91" t="n">
        <v>2000</v>
      </c>
      <c r="D27" s="91" t="n">
        <v>2000</v>
      </c>
      <c r="E27" s="91" t="n">
        <v>2000</v>
      </c>
      <c r="F27" s="91" t="n">
        <v>5000</v>
      </c>
      <c r="G27" s="91" t="n">
        <v>2000</v>
      </c>
      <c r="H27" s="91" t="n">
        <v>2000</v>
      </c>
      <c r="I27" s="91" t="n">
        <v>2000</v>
      </c>
      <c r="J27" s="91" t="n">
        <v>5000</v>
      </c>
      <c r="K27" s="91" t="n">
        <v>2000</v>
      </c>
      <c r="L27" s="91" t="n">
        <v>2000</v>
      </c>
      <c r="M27" s="91" t="n">
        <v>2000</v>
      </c>
      <c r="N27" s="91" t="n">
        <v>5000</v>
      </c>
      <c r="O27" s="91">
        <f>SUM(C27:N27)</f>
        <v/>
      </c>
      <c r="P27" s="6" t="n"/>
    </row>
    <row r="28" ht="30" customHeight="1" s="90">
      <c r="A28" s="6" t="n"/>
      <c r="B28" s="22" t="inlineStr">
        <is>
          <t>Miscellaneous expenses</t>
        </is>
      </c>
      <c r="C28" s="91" t="n">
        <v>200</v>
      </c>
      <c r="D28" s="91" t="n">
        <v>200</v>
      </c>
      <c r="E28" s="91" t="n">
        <v>200</v>
      </c>
      <c r="F28" s="91" t="n">
        <v>200</v>
      </c>
      <c r="G28" s="91" t="n">
        <v>200</v>
      </c>
      <c r="H28" s="91" t="n">
        <v>200</v>
      </c>
      <c r="I28" s="91" t="n">
        <v>200</v>
      </c>
      <c r="J28" s="91" t="n">
        <v>200</v>
      </c>
      <c r="K28" s="91" t="n">
        <v>200</v>
      </c>
      <c r="L28" s="91" t="n">
        <v>200</v>
      </c>
      <c r="M28" s="91" t="n">
        <v>200</v>
      </c>
      <c r="N28" s="91" t="n">
        <v>200</v>
      </c>
      <c r="O28" s="91">
        <f>SUM(C28:N28)</f>
        <v/>
      </c>
      <c r="P28" s="6" t="n"/>
    </row>
    <row r="29" ht="30" customHeight="1" s="90">
      <c r="A29" s="6" t="n"/>
      <c r="B29" s="22" t="inlineStr">
        <is>
          <t>Subtotal</t>
        </is>
      </c>
      <c r="C29" s="91">
        <f>SUBTOTAL(109,MarketingPlan[Jan])</f>
        <v/>
      </c>
      <c r="D29" s="91">
        <f>SUBTOTAL(109,MarketingPlan[Feb])</f>
        <v/>
      </c>
      <c r="E29" s="91">
        <f>SUBTOTAL(109,MarketingPlan[Mar])</f>
        <v/>
      </c>
      <c r="F29" s="91">
        <f>SUBTOTAL(109,MarketingPlan[Apr])</f>
        <v/>
      </c>
      <c r="G29" s="91">
        <f>SUBTOTAL(109,MarketingPlan[May])</f>
        <v/>
      </c>
      <c r="H29" s="91">
        <f>SUBTOTAL(109,MarketingPlan[Jun])</f>
        <v/>
      </c>
      <c r="I29" s="91">
        <f>SUBTOTAL(109,MarketingPlan[Jul])</f>
        <v/>
      </c>
      <c r="J29" s="91">
        <f>SUBTOTAL(109,MarketingPlan[Aug])</f>
        <v/>
      </c>
      <c r="K29" s="91">
        <f>SUBTOTAL(109,MarketingPlan[Sep])</f>
        <v/>
      </c>
      <c r="L29" s="91">
        <f>SUBTOTAL(109,MarketingPlan[Oct])</f>
        <v/>
      </c>
      <c r="M29" s="91">
        <f>SUBTOTAL(109,MarketingPlan[Nov])</f>
        <v/>
      </c>
      <c r="N29" s="91">
        <f>SUBTOTAL(109,MarketingPlan[Dec])</f>
        <v/>
      </c>
      <c r="O29" s="91">
        <f>SUBTOTAL(109,MarketingPlan[YEAR])</f>
        <v/>
      </c>
      <c r="P29" s="6" t="n"/>
    </row>
    <row r="30" ht="30" customHeight="1" s="90">
      <c r="A30" s="6" t="n"/>
      <c r="B30" s="26" t="n"/>
      <c r="C30" s="26" t="n"/>
      <c r="D30" s="26" t="n"/>
      <c r="E30" s="26" t="n"/>
      <c r="F30" s="26" t="n"/>
      <c r="G30" s="26" t="n"/>
      <c r="H30" s="26" t="n"/>
      <c r="I30" s="26" t="n"/>
      <c r="J30" s="26" t="n"/>
      <c r="K30" s="26" t="n"/>
      <c r="L30" s="26" t="n"/>
      <c r="M30" s="26" t="n"/>
      <c r="N30" s="26" t="n"/>
      <c r="O30" s="26"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v>2000</v>
      </c>
      <c r="D32" s="91" t="n">
        <v>2000</v>
      </c>
      <c r="E32" s="91" t="n">
        <v>2000</v>
      </c>
      <c r="F32" s="91" t="n">
        <v>2000</v>
      </c>
      <c r="G32" s="91" t="n">
        <v>2000</v>
      </c>
      <c r="H32" s="91" t="n">
        <v>2000</v>
      </c>
      <c r="I32" s="91" t="n">
        <v>2000</v>
      </c>
      <c r="J32" s="91" t="n">
        <v>2000</v>
      </c>
      <c r="K32" s="91" t="n">
        <v>2000</v>
      </c>
      <c r="L32" s="91" t="n">
        <v>2000</v>
      </c>
      <c r="M32" s="91" t="n">
        <v>2000</v>
      </c>
      <c r="N32" s="91" t="n">
        <v>2000</v>
      </c>
      <c r="O32" s="91">
        <f>SUM(C32:N32)</f>
        <v/>
      </c>
      <c r="P32" s="6" t="n"/>
    </row>
    <row r="33" ht="30" customHeight="1" s="90">
      <c r="A33" s="6" t="n"/>
      <c r="B33" s="22" t="inlineStr">
        <is>
          <t>Training-related travel costs</t>
        </is>
      </c>
      <c r="C33" s="91" t="n">
        <v>2000</v>
      </c>
      <c r="D33" s="91" t="n">
        <v>2000</v>
      </c>
      <c r="E33" s="91" t="n">
        <v>2000</v>
      </c>
      <c r="F33" s="91" t="n">
        <v>2000</v>
      </c>
      <c r="G33" s="91" t="n">
        <v>2000</v>
      </c>
      <c r="H33" s="91" t="n">
        <v>2000</v>
      </c>
      <c r="I33" s="91" t="n">
        <v>2000</v>
      </c>
      <c r="J33" s="91" t="n">
        <v>2000</v>
      </c>
      <c r="K33" s="91" t="n">
        <v>2000</v>
      </c>
      <c r="L33" s="91" t="n">
        <v>2000</v>
      </c>
      <c r="M33" s="91" t="n">
        <v>2000</v>
      </c>
      <c r="N33" s="91" t="n">
        <v>2000</v>
      </c>
      <c r="O33" s="91">
        <f>SUM(C33:N33)</f>
        <v/>
      </c>
      <c r="P33" s="6" t="n"/>
    </row>
    <row r="34" ht="30" customHeight="1" s="90">
      <c r="A34" s="6" t="n"/>
      <c r="B34" s="22" t="inlineStr">
        <is>
          <t>Subtotal</t>
        </is>
      </c>
      <c r="C34" s="91">
        <f>SUBTOTAL(109,TrainingAndTravelPlan[Jan])</f>
        <v/>
      </c>
      <c r="D34" s="91">
        <f>SUBTOTAL(109,TrainingAndTravelPlan[Feb])</f>
        <v/>
      </c>
      <c r="E34" s="91">
        <f>SUBTOTAL(109,TrainingAndTravelPlan[Mar])</f>
        <v/>
      </c>
      <c r="F34" s="91">
        <f>SUBTOTAL(109,TrainingAndTravelPlan[Apr])</f>
        <v/>
      </c>
      <c r="G34" s="91">
        <f>SUBTOTAL(109,TrainingAndTravelPlan[May])</f>
        <v/>
      </c>
      <c r="H34" s="91">
        <f>SUBTOTAL(109,TrainingAndTravelPlan[Jun])</f>
        <v/>
      </c>
      <c r="I34" s="91">
        <f>SUBTOTAL(109,TrainingAndTravelPlan[Jul])</f>
        <v/>
      </c>
      <c r="J34" s="91">
        <f>SUBTOTAL(109,TrainingAndTravelPlan[Aug])</f>
        <v/>
      </c>
      <c r="K34" s="91">
        <f>SUBTOTAL(109,TrainingAndTravelPlan[Sep])</f>
        <v/>
      </c>
      <c r="L34" s="91">
        <f>SUBTOTAL(109,TrainingAndTravelPlan[Oct])</f>
        <v/>
      </c>
      <c r="M34" s="91">
        <f>SUBTOTAL(109,TrainingAndTravelPlan[Nov])</f>
        <v/>
      </c>
      <c r="N34" s="91">
        <f>SUBTOTAL(109,TrainingAndTravelPlan[Dec])</f>
        <v/>
      </c>
      <c r="O34" s="91">
        <f>SUBTOTAL(109,TrainingAndTravelPlan[YEAR])</f>
        <v/>
      </c>
      <c r="P34" s="6" t="n"/>
    </row>
    <row r="35" ht="30" customHeight="1" s="90">
      <c r="A35" s="6" t="n"/>
      <c r="B35" s="26" t="n"/>
      <c r="C35" s="26" t="n"/>
      <c r="D35" s="26" t="n"/>
      <c r="E35" s="26" t="n"/>
      <c r="F35" s="26" t="n"/>
      <c r="G35" s="26" t="n"/>
      <c r="H35" s="26" t="n"/>
      <c r="I35" s="26" t="n"/>
      <c r="J35" s="26" t="n"/>
      <c r="K35" s="26" t="n"/>
      <c r="L35" s="26" t="n"/>
      <c r="M35" s="26" t="n"/>
      <c r="N35" s="26" t="n"/>
      <c r="O35" s="26" t="n"/>
      <c r="P35" s="6" t="n"/>
    </row>
    <row r="36" ht="40.15" customHeight="1" s="90">
      <c r="A36" s="6" t="n"/>
      <c r="B36" s="27" t="inlineStr">
        <is>
          <t>Totals</t>
        </is>
      </c>
      <c r="C36" s="84" t="inlineStr">
        <is>
          <t>Jan</t>
        </is>
      </c>
      <c r="D36" s="84" t="inlineStr">
        <is>
          <t>Feb</t>
        </is>
      </c>
      <c r="E36" s="84" t="inlineStr">
        <is>
          <t>Mar</t>
        </is>
      </c>
      <c r="F36" s="84" t="inlineStr">
        <is>
          <t>Apr</t>
        </is>
      </c>
      <c r="G36" s="84" t="inlineStr">
        <is>
          <t>May</t>
        </is>
      </c>
      <c r="H36" s="84" t="inlineStr">
        <is>
          <t>Jun</t>
        </is>
      </c>
      <c r="I36" s="84" t="inlineStr">
        <is>
          <t>Jul</t>
        </is>
      </c>
      <c r="J36" s="84" t="inlineStr">
        <is>
          <t>Aug</t>
        </is>
      </c>
      <c r="K36" s="84" t="inlineStr">
        <is>
          <t>Sep</t>
        </is>
      </c>
      <c r="L36" s="84" t="inlineStr">
        <is>
          <t>Oct</t>
        </is>
      </c>
      <c r="M36" s="84" t="inlineStr">
        <is>
          <t>Nov</t>
        </is>
      </c>
      <c r="N36" s="84" t="inlineStr">
        <is>
          <t>Dec</t>
        </is>
      </c>
      <c r="O36" s="84" t="inlineStr">
        <is>
          <t>Year</t>
        </is>
      </c>
      <c r="P36" s="6" t="n"/>
    </row>
    <row r="37" ht="30" customHeight="1" s="90">
      <c r="A37" s="6" t="n"/>
      <c r="B37" s="22" t="inlineStr">
        <is>
          <t>Monthly planned expenses</t>
        </is>
      </c>
      <c r="C37" s="91">
        <f>TrainingAndTravelPlan[[#Totals],[Jan]]+MarketingPlan[[#Totals],[Jan]]+OfficePlan[[#Totals],[Jan]]+EmployeePlan[[#Totals],[Jan]]</f>
        <v/>
      </c>
      <c r="D37" s="91">
        <f>TrainingAndTravelPlan[[#Totals],[Feb]]+MarketingPlan[[#Totals],[Feb]]+OfficePlan[[#Totals],[Feb]]+EmployeePlan[[#Totals],[Feb]]</f>
        <v/>
      </c>
      <c r="E37" s="91">
        <f>TrainingAndTravelPlan[[#Totals],[Mar]]+MarketingPlan[[#Totals],[Mar]]+OfficePlan[[#Totals],[Mar]]+EmployeePlan[[#Totals],[Mar]]</f>
        <v/>
      </c>
      <c r="F37" s="91">
        <f>TrainingAndTravelPlan[[#Totals],[Apr]]+MarketingPlan[[#Totals],[Apr]]+OfficePlan[[#Totals],[Apr]]+EmployeePlan[[#Totals],[Apr]]</f>
        <v/>
      </c>
      <c r="G37" s="91">
        <f>TrainingAndTravelPlan[[#Totals],[May]]+MarketingPlan[[#Totals],[May]]+OfficePlan[[#Totals],[May]]+EmployeePlan[[#Totals],[May]]</f>
        <v/>
      </c>
      <c r="H37" s="91">
        <f>TrainingAndTravelPlan[[#Totals],[Jun]]+MarketingPlan[[#Totals],[Jun]]+OfficePlan[[#Totals],[Jun]]+EmployeePlan[[#Totals],[Jun]]</f>
        <v/>
      </c>
      <c r="I37" s="91">
        <f>TrainingAndTravelPlan[[#Totals],[Jul]]+MarketingPlan[[#Totals],[Jul]]+OfficePlan[[#Totals],[Jul]]+EmployeePlan[[#Totals],[Jul]]</f>
        <v/>
      </c>
      <c r="J37" s="91">
        <f>TrainingAndTravelPlan[[#Totals],[Aug]]+MarketingPlan[[#Totals],[Aug]]+OfficePlan[[#Totals],[Aug]]+EmployeePlan[[#Totals],[Aug]]</f>
        <v/>
      </c>
      <c r="K37" s="91">
        <f>TrainingAndTravelPlan[[#Totals],[Sep]]+MarketingPlan[[#Totals],[Sep]]+OfficePlan[[#Totals],[Sep]]+EmployeePlan[[#Totals],[Sep]]</f>
        <v/>
      </c>
      <c r="L37" s="91">
        <f>TrainingAndTravelPlan[[#Totals],[Oct]]+MarketingPlan[[#Totals],[Oct]]+OfficePlan[[#Totals],[Oct]]+EmployeePlan[[#Totals],[Oct]]</f>
        <v/>
      </c>
      <c r="M37" s="91">
        <f>TrainingAndTravelPlan[[#Totals],[Nov]]+MarketingPlan[[#Totals],[Nov]]+OfficePlan[[#Totals],[Nov]]+EmployeePlan[[#Totals],[Nov]]</f>
        <v/>
      </c>
      <c r="N37" s="91">
        <f>TrainingAndTravelPlan[[#Totals],[Dec]]+MarketingPlan[[#Totals],[Dec]]+OfficePlan[[#Totals],[Dec]]+EmployeePlan[[#Totals],[Dec]]</f>
        <v/>
      </c>
      <c r="O37" s="91">
        <f>TrainingAndTravelPlan[[#Totals],[YEAR]]+MarketingPlan[[#Totals],[YEAR]]+OfficePlan[[#Totals],[YEAR]]+EmployeePlan[[#Totals],[YEAR]]</f>
        <v/>
      </c>
      <c r="P37" s="6" t="n"/>
    </row>
    <row r="38" ht="30" customHeight="1" s="90">
      <c r="A38" s="6" t="n"/>
      <c r="B38" s="22" t="inlineStr">
        <is>
          <t>TOTAL planned expenses</t>
        </is>
      </c>
      <c r="C38" s="91">
        <f>SUM($C$37:C37)</f>
        <v/>
      </c>
      <c r="D38" s="91">
        <f>SUM($C$37:D37)</f>
        <v/>
      </c>
      <c r="E38" s="91">
        <f>SUM($C$37:E37)</f>
        <v/>
      </c>
      <c r="F38" s="91">
        <f>SUM($C$37:F37)</f>
        <v/>
      </c>
      <c r="G38" s="91">
        <f>SUM($C$37:G37)</f>
        <v/>
      </c>
      <c r="H38" s="91">
        <f>SUM($C$37:H37)</f>
        <v/>
      </c>
      <c r="I38" s="91">
        <f>SUM($C$37:I37)</f>
        <v/>
      </c>
      <c r="J38" s="91">
        <f>SUM($C$37:J37)</f>
        <v/>
      </c>
      <c r="K38" s="91">
        <f>SUM($C$37:K37)</f>
        <v/>
      </c>
      <c r="L38" s="91">
        <f>SUM($C$37:L37)</f>
        <v/>
      </c>
      <c r="M38" s="91">
        <f>SUM($C$37:M37)</f>
        <v/>
      </c>
      <c r="N38" s="91">
        <f>SUM($C$37:N37)</f>
        <v/>
      </c>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D3"/>
  </mergeCells>
  <dataValidations count="7">
    <dataValidation sqref="A6" showDropDown="0" showInputMessage="1" showErrorMessage="1" allowBlank="1" prompt="Enter Employee Costs in Employee Plan table starting in cell at right. Next instruction is in cell A11."/>
    <dataValidation sqref="A11" showDropDown="0" showInputMessage="1" showErrorMessage="1" allowBlank="1" prompt="Enter Office Costs in Office Plan table starting in cell at right. Next instruction is in cell A22."/>
    <dataValidation sqref="A22" showDropDown="0" showInputMessage="1" showErrorMessage="1" allowBlank="1" prompt="Enter Marketing Costs in Marketing Plan table starting in cell at right. Next instruction is in cell A31."/>
    <dataValidation sqref="A36" showDropDown="0" showInputMessage="1" showErrorMessage="1" allowBlank="1" prompt="Totals are auto calculated in Planned Total table starting in cell at right."/>
    <dataValidation sqref="A1" showDropDown="0" showInputMessage="1" showErrorMessage="1" allowBlank="1" prompt="Enter Planned Employee Costs, Office Costs, Marketing Costs, and Training or Travel Cost in respective tables in this worksheet. Totals are auto calculated. Instructions on how to use this worksheet are in cells in this column. Arrow down to get started."/>
    <dataValidation sqref="A2" showDropDown="0" showInputMessage="1" showErrorMessage="1" allowBlank="1" prompt="Enter Company Name in cell B2. Replace placeholder with your company logo. Title of this worksheet is in cell O2."/>
    <dataValidation sqref="A31" showDropDown="0" showInputMessage="1" showErrorMessage="1" allowBlank="1" prompt="Enter Training/Travel Costs in Training/Travel Plan table starting in cell at right. Next instruction is in cell A36."/>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3">
    <tabColor theme="4"/>
    <outlinePr summaryBelow="1" summaryRight="1"/>
    <pageSetUpPr autoPageBreaks="0" fitToPage="1"/>
  </sheetPr>
  <dimension ref="A1:P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5" min="2" max="2"/>
    <col width="14.375" customWidth="1" style="35" min="3" max="15"/>
    <col width="4" customWidth="1" style="3" min="16" max="16"/>
    <col width="8.875" customWidth="1" style="35" min="17" max="16384"/>
  </cols>
  <sheetData>
    <row r="1" ht="20.1" customFormat="1" customHeight="1" s="3">
      <c r="A1" s="1" t="n"/>
      <c r="B1" s="2" t="n"/>
      <c r="C1" s="2" t="n"/>
      <c r="D1" s="2" t="n"/>
      <c r="E1" s="2" t="n"/>
      <c r="F1" s="2" t="n"/>
      <c r="G1" s="2" t="n"/>
      <c r="H1" s="2" t="n"/>
      <c r="I1" s="2" t="n"/>
      <c r="J1" s="2" t="n"/>
      <c r="K1" s="2" t="n"/>
      <c r="L1" s="2" t="n"/>
      <c r="M1" s="2" t="n"/>
      <c r="N1" s="2" t="n"/>
      <c r="O1" s="2" t="n"/>
      <c r="P1" s="2" t="inlineStr">
        <is>
          <t> </t>
        </is>
      </c>
    </row>
    <row r="2" ht="100.15" customFormat="1" customHeight="1" s="3">
      <c r="A2" s="2" t="n"/>
      <c r="B2" s="86">
        <f>'PLANNED EXPENSES'!B2:D3</f>
        <v/>
      </c>
      <c r="G2" s="5" t="n"/>
      <c r="H2" s="5" t="n"/>
      <c r="I2" s="5" t="n"/>
      <c r="J2" s="5" t="n"/>
      <c r="K2" s="6" t="n"/>
      <c r="L2" s="7" t="n"/>
      <c r="M2" s="7" t="n"/>
      <c r="N2" s="8" t="n"/>
      <c r="O2" s="9">
        <f>worksheet_title</f>
        <v/>
      </c>
      <c r="P2" s="2" t="n"/>
    </row>
    <row r="3" ht="19.9" customFormat="1" customHeight="1" s="3">
      <c r="A3" s="2" t="n"/>
      <c r="G3" s="11" t="n"/>
      <c r="H3" s="11" t="n"/>
      <c r="I3" s="11" t="n"/>
      <c r="J3" s="11" t="n"/>
      <c r="K3" s="6" t="n"/>
      <c r="L3" s="15" t="n"/>
      <c r="M3" s="15" t="n"/>
      <c r="N3" s="8" t="n"/>
      <c r="O3" s="13" t="inlineStr">
        <is>
          <t>Shaded cells are calculations</t>
        </is>
      </c>
      <c r="P3" s="2" t="n"/>
    </row>
    <row r="4" ht="19.9" customFormat="1" customHeight="1" s="3">
      <c r="A4" s="2" t="n"/>
      <c r="B4" s="14" t="n"/>
      <c r="C4" s="14" t="n"/>
      <c r="D4" s="14" t="n"/>
      <c r="E4" s="10" t="n"/>
      <c r="F4" s="11" t="n"/>
      <c r="G4" s="11" t="n"/>
      <c r="H4" s="11" t="n"/>
      <c r="I4" s="11" t="n"/>
      <c r="J4" s="11" t="n"/>
      <c r="K4" s="15" t="n"/>
      <c r="L4" s="15" t="n"/>
      <c r="M4" s="15" t="n"/>
      <c r="N4" s="8" t="n"/>
      <c r="O4" s="8" t="n"/>
      <c r="P4" s="2" t="n"/>
    </row>
    <row r="5" ht="49.9" customFormat="1" customHeight="1" s="34">
      <c r="A5" s="2" t="n"/>
      <c r="B5" s="16" t="inlineStr">
        <is>
          <t>ACTUAL EXPENSES</t>
        </is>
      </c>
      <c r="C5" s="17" t="n"/>
      <c r="D5" s="17" t="n"/>
      <c r="E5" s="18" t="n"/>
      <c r="F5" s="17" t="n"/>
      <c r="G5" s="17" t="n"/>
      <c r="H5" s="17" t="n"/>
      <c r="I5" s="18" t="n"/>
      <c r="J5" s="17" t="n"/>
      <c r="K5" s="17" t="n"/>
      <c r="L5" s="17" t="n"/>
      <c r="M5" s="17" t="n"/>
      <c r="N5" s="18" t="n"/>
      <c r="O5" s="17" t="n"/>
      <c r="P5" s="33" t="n"/>
    </row>
    <row r="6" ht="40.15" customFormat="1" customHeight="1" s="47">
      <c r="A6" s="43" t="n"/>
      <c r="B6" s="21" t="inlineStr">
        <is>
          <t>Employee costs</t>
        </is>
      </c>
      <c r="C6" s="54" t="inlineStr">
        <is>
          <t>Jan</t>
        </is>
      </c>
      <c r="D6" s="54" t="inlineStr">
        <is>
          <t>Feb</t>
        </is>
      </c>
      <c r="E6" s="55" t="inlineStr">
        <is>
          <t>Mar</t>
        </is>
      </c>
      <c r="F6" s="54" t="inlineStr">
        <is>
          <t>Apr</t>
        </is>
      </c>
      <c r="G6" s="54" t="inlineStr">
        <is>
          <t>May</t>
        </is>
      </c>
      <c r="H6" s="54" t="inlineStr">
        <is>
          <t>Jun</t>
        </is>
      </c>
      <c r="I6" s="54" t="inlineStr">
        <is>
          <t>Jul</t>
        </is>
      </c>
      <c r="J6" s="54" t="inlineStr">
        <is>
          <t>Aug</t>
        </is>
      </c>
      <c r="K6" s="54" t="inlineStr">
        <is>
          <t>Sep</t>
        </is>
      </c>
      <c r="L6" s="54" t="inlineStr">
        <is>
          <t>Oct</t>
        </is>
      </c>
      <c r="M6" s="54" t="inlineStr">
        <is>
          <t>Nov</t>
        </is>
      </c>
      <c r="N6" s="54" t="inlineStr">
        <is>
          <t>Dec</t>
        </is>
      </c>
      <c r="O6" s="54" t="inlineStr">
        <is>
          <t>YEAR</t>
        </is>
      </c>
      <c r="P6" s="43" t="n"/>
    </row>
    <row r="7" ht="30" customHeight="1" s="90">
      <c r="A7" s="6" t="n"/>
      <c r="B7" s="22" t="inlineStr">
        <is>
          <t>Wages</t>
        </is>
      </c>
      <c r="C7" s="91" t="n">
        <v>85000</v>
      </c>
      <c r="D7" s="91" t="n">
        <v>85000</v>
      </c>
      <c r="E7" s="91" t="n">
        <v>85000</v>
      </c>
      <c r="F7" s="91" t="n">
        <v>88000</v>
      </c>
      <c r="G7" s="91" t="n">
        <v>88000</v>
      </c>
      <c r="H7" s="91" t="n">
        <v>88000</v>
      </c>
      <c r="I7" s="91" t="n"/>
      <c r="J7" s="91" t="n"/>
      <c r="K7" s="91" t="n"/>
      <c r="L7" s="91" t="n"/>
      <c r="M7" s="91" t="n"/>
      <c r="N7" s="91" t="n"/>
      <c r="O7" s="91">
        <f>SUM(C7:N7)</f>
        <v/>
      </c>
      <c r="P7" s="6" t="n"/>
    </row>
    <row r="8" ht="30" customHeight="1" s="90">
      <c r="A8" s="6" t="n"/>
      <c r="B8" s="22" t="inlineStr">
        <is>
          <t>Benefits</t>
        </is>
      </c>
      <c r="C8" s="91">
        <f>C7*0.27</f>
        <v/>
      </c>
      <c r="D8" s="91">
        <f>D7*0.27</f>
        <v/>
      </c>
      <c r="E8" s="91">
        <f>E7*0.27</f>
        <v/>
      </c>
      <c r="F8" s="91">
        <f>F7*0.27</f>
        <v/>
      </c>
      <c r="G8" s="91">
        <f>G7*0.27</f>
        <v/>
      </c>
      <c r="H8" s="91">
        <f>H7*0.27</f>
        <v/>
      </c>
      <c r="I8" s="91">
        <f>I7*0.27</f>
        <v/>
      </c>
      <c r="J8" s="91">
        <f>J7*0.27</f>
        <v/>
      </c>
      <c r="K8" s="91">
        <f>K7*0.27</f>
        <v/>
      </c>
      <c r="L8" s="91">
        <f>L7*0.27</f>
        <v/>
      </c>
      <c r="M8" s="91">
        <f>M7*0.27</f>
        <v/>
      </c>
      <c r="N8" s="91">
        <f>N7*0.27</f>
        <v/>
      </c>
      <c r="O8" s="91">
        <f>SUM(C8:N8)</f>
        <v/>
      </c>
      <c r="P8" s="6" t="n"/>
    </row>
    <row r="9" ht="30" customHeight="1" s="90">
      <c r="A9" s="6" t="n"/>
      <c r="B9" s="22" t="inlineStr">
        <is>
          <t>Subtotal</t>
        </is>
      </c>
      <c r="C9" s="91">
        <f>SUBTOTAL(109,EmployeeActual[Jan])</f>
        <v/>
      </c>
      <c r="D9" s="91">
        <f>SUBTOTAL(109,EmployeeActual[Feb])</f>
        <v/>
      </c>
      <c r="E9" s="91">
        <f>SUBTOTAL(109,EmployeeActual[Mar])</f>
        <v/>
      </c>
      <c r="F9" s="91">
        <f>SUBTOTAL(109,EmployeeActual[Apr])</f>
        <v/>
      </c>
      <c r="G9" s="91">
        <f>SUBTOTAL(109,EmployeeActual[May])</f>
        <v/>
      </c>
      <c r="H9" s="91">
        <f>SUBTOTAL(109,EmployeeActual[Jun])</f>
        <v/>
      </c>
      <c r="I9" s="91">
        <f>SUBTOTAL(109,EmployeeActual[Jul])</f>
        <v/>
      </c>
      <c r="J9" s="91">
        <f>SUBTOTAL(109,EmployeeActual[Aug])</f>
        <v/>
      </c>
      <c r="K9" s="91">
        <f>SUBTOTAL(109,EmployeeActual[Sep])</f>
        <v/>
      </c>
      <c r="L9" s="91">
        <f>SUBTOTAL(109,EmployeeActual[Oct])</f>
        <v/>
      </c>
      <c r="M9" s="91">
        <f>SUBTOTAL(109,EmployeeActual[Nov])</f>
        <v/>
      </c>
      <c r="N9" s="91">
        <f>SUBTOTAL(109,EmployeeActual[Dec])</f>
        <v/>
      </c>
      <c r="O9" s="91">
        <f>SUBTOTAL(109,EmployeeActual[YEAR])</f>
        <v/>
      </c>
      <c r="P9" s="6" t="n"/>
    </row>
    <row r="10" ht="30" customFormat="1" customHeight="1" s="3">
      <c r="A10" s="6" t="n"/>
      <c r="B10" s="26" t="n"/>
      <c r="C10" s="26" t="n"/>
      <c r="D10" s="26" t="n"/>
      <c r="E10" s="26" t="n"/>
      <c r="F10" s="26" t="n"/>
      <c r="G10" s="26" t="n"/>
      <c r="H10" s="26" t="n"/>
      <c r="I10" s="26" t="n"/>
      <c r="J10" s="26" t="n"/>
      <c r="K10" s="26" t="n"/>
      <c r="L10" s="26" t="n"/>
      <c r="M10" s="26" t="n"/>
      <c r="N10" s="26" t="n"/>
      <c r="O10" s="26" t="n"/>
      <c r="P10" s="6" t="n"/>
    </row>
    <row r="11" ht="40.15" customFormat="1" customHeight="1" s="47">
      <c r="A11" s="43" t="n"/>
      <c r="B11" s="21" t="inlineStr">
        <is>
          <t>Office costs</t>
        </is>
      </c>
      <c r="C11" s="54" t="inlineStr">
        <is>
          <t>Jan</t>
        </is>
      </c>
      <c r="D11" s="54" t="inlineStr">
        <is>
          <t>Feb</t>
        </is>
      </c>
      <c r="E11" s="55" t="inlineStr">
        <is>
          <t>Mar</t>
        </is>
      </c>
      <c r="F11" s="54" t="inlineStr">
        <is>
          <t>Apr</t>
        </is>
      </c>
      <c r="G11" s="54" t="inlineStr">
        <is>
          <t>May</t>
        </is>
      </c>
      <c r="H11" s="54" t="inlineStr">
        <is>
          <t>Jun</t>
        </is>
      </c>
      <c r="I11" s="54" t="inlineStr">
        <is>
          <t>Jul</t>
        </is>
      </c>
      <c r="J11" s="54" t="inlineStr">
        <is>
          <t>Aug</t>
        </is>
      </c>
      <c r="K11" s="54" t="inlineStr">
        <is>
          <t>Sep</t>
        </is>
      </c>
      <c r="L11" s="54" t="inlineStr">
        <is>
          <t>Oct</t>
        </is>
      </c>
      <c r="M11" s="54" t="inlineStr">
        <is>
          <t>Nov</t>
        </is>
      </c>
      <c r="N11" s="54" t="inlineStr">
        <is>
          <t>Dec</t>
        </is>
      </c>
      <c r="O11" s="54" t="inlineStr">
        <is>
          <t>YEAR</t>
        </is>
      </c>
      <c r="P11" s="43" t="n"/>
    </row>
    <row r="12" ht="30" customHeight="1" s="90">
      <c r="A12" s="6" t="n"/>
      <c r="B12" s="22" t="inlineStr">
        <is>
          <t>Office lease</t>
        </is>
      </c>
      <c r="C12" s="91" t="n">
        <v>9800</v>
      </c>
      <c r="D12" s="91" t="n">
        <v>9800</v>
      </c>
      <c r="E12" s="91" t="n">
        <v>9800</v>
      </c>
      <c r="F12" s="91" t="n">
        <v>9800</v>
      </c>
      <c r="G12" s="91" t="n">
        <v>9800</v>
      </c>
      <c r="H12" s="91" t="n">
        <v>9800</v>
      </c>
      <c r="I12" s="91" t="n"/>
      <c r="J12" s="91" t="n"/>
      <c r="K12" s="91" t="n"/>
      <c r="L12" s="91" t="n"/>
      <c r="M12" s="91" t="n"/>
      <c r="N12" s="91" t="n"/>
      <c r="O12" s="91">
        <f>SUM(C12:N12)</f>
        <v/>
      </c>
      <c r="P12" s="6" t="n"/>
    </row>
    <row r="13" ht="30" customHeight="1" s="90">
      <c r="A13" s="6" t="n"/>
      <c r="B13" s="22" t="inlineStr">
        <is>
          <t>Gas</t>
        </is>
      </c>
      <c r="C13" s="91" t="n">
        <v>4</v>
      </c>
      <c r="D13" s="91" t="n">
        <v>430</v>
      </c>
      <c r="E13" s="91" t="n">
        <v>385</v>
      </c>
      <c r="F13" s="91" t="n">
        <v>230</v>
      </c>
      <c r="G13" s="91" t="n">
        <v>87</v>
      </c>
      <c r="H13" s="91" t="n">
        <v>88</v>
      </c>
      <c r="I13" s="91" t="n"/>
      <c r="J13" s="91" t="n"/>
      <c r="K13" s="91" t="n"/>
      <c r="L13" s="91" t="n"/>
      <c r="M13" s="91" t="n"/>
      <c r="N13" s="91" t="n"/>
      <c r="O13" s="91">
        <f>SUM(C13:N13)</f>
        <v/>
      </c>
      <c r="P13" s="6" t="n"/>
    </row>
    <row r="14" ht="30" customHeight="1" s="90">
      <c r="A14" s="6" t="n"/>
      <c r="B14" s="22" t="inlineStr">
        <is>
          <t>Electric</t>
        </is>
      </c>
      <c r="C14" s="91" t="n">
        <v>288</v>
      </c>
      <c r="D14" s="91" t="n">
        <v>278</v>
      </c>
      <c r="E14" s="91" t="n">
        <v>268</v>
      </c>
      <c r="F14" s="91" t="n">
        <v>299</v>
      </c>
      <c r="G14" s="91" t="n">
        <v>306</v>
      </c>
      <c r="H14" s="91" t="n">
        <v>290</v>
      </c>
      <c r="I14" s="91" t="n"/>
      <c r="J14" s="91" t="n"/>
      <c r="K14" s="91" t="n"/>
      <c r="L14" s="91" t="n"/>
      <c r="M14" s="91" t="n"/>
      <c r="N14" s="91" t="n"/>
      <c r="O14" s="91">
        <f>SUM(C14:N14)</f>
        <v/>
      </c>
      <c r="P14" s="6" t="n"/>
    </row>
    <row r="15" ht="30" customHeight="1" s="90">
      <c r="A15" s="6" t="n"/>
      <c r="B15" s="22" t="inlineStr">
        <is>
          <t>Water</t>
        </is>
      </c>
      <c r="C15" s="91" t="n">
        <v>35</v>
      </c>
      <c r="D15" s="91" t="n">
        <v>33</v>
      </c>
      <c r="E15" s="91" t="n">
        <v>34</v>
      </c>
      <c r="F15" s="91" t="n">
        <v>36</v>
      </c>
      <c r="G15" s="91" t="n">
        <v>34</v>
      </c>
      <c r="H15" s="91" t="n">
        <v>36</v>
      </c>
      <c r="I15" s="91" t="n"/>
      <c r="J15" s="91" t="n"/>
      <c r="K15" s="91" t="n"/>
      <c r="L15" s="91" t="n"/>
      <c r="M15" s="91" t="n"/>
      <c r="N15" s="91" t="n"/>
      <c r="O15" s="91">
        <f>SUM(C15:N15)</f>
        <v/>
      </c>
      <c r="P15" s="6" t="n"/>
    </row>
    <row r="16" ht="30" customHeight="1" s="90">
      <c r="A16" s="6" t="n"/>
      <c r="B16" s="22" t="inlineStr">
        <is>
          <t>Telephone</t>
        </is>
      </c>
      <c r="C16" s="91" t="n">
        <v>224</v>
      </c>
      <c r="D16" s="91" t="n">
        <v>235</v>
      </c>
      <c r="E16" s="91" t="n">
        <v>265</v>
      </c>
      <c r="F16" s="91" t="n">
        <v>245</v>
      </c>
      <c r="G16" s="91" t="n">
        <v>245</v>
      </c>
      <c r="H16" s="91" t="n">
        <v>220</v>
      </c>
      <c r="I16" s="91" t="n"/>
      <c r="J16" s="91" t="n"/>
      <c r="K16" s="91" t="n"/>
      <c r="L16" s="91" t="n"/>
      <c r="M16" s="91" t="n"/>
      <c r="N16" s="91" t="n"/>
      <c r="O16" s="91">
        <f>SUM(C16:N16)</f>
        <v/>
      </c>
      <c r="P16" s="6" t="n"/>
    </row>
    <row r="17" ht="30" customHeight="1" s="90">
      <c r="A17" s="6" t="n"/>
      <c r="B17" s="22" t="inlineStr">
        <is>
          <t>Internet access</t>
        </is>
      </c>
      <c r="C17" s="91" t="n">
        <v>180</v>
      </c>
      <c r="D17" s="91" t="n">
        <v>180</v>
      </c>
      <c r="E17" s="91" t="n">
        <v>180</v>
      </c>
      <c r="F17" s="91" t="n">
        <v>180</v>
      </c>
      <c r="G17" s="91" t="n">
        <v>180</v>
      </c>
      <c r="H17" s="91" t="n">
        <v>180</v>
      </c>
      <c r="I17" s="91" t="n"/>
      <c r="J17" s="91" t="n"/>
      <c r="K17" s="91" t="n"/>
      <c r="L17" s="91" t="n"/>
      <c r="M17" s="91" t="n"/>
      <c r="N17" s="91" t="n"/>
      <c r="O17" s="91">
        <f>SUM(C17:N17)</f>
        <v/>
      </c>
      <c r="P17" s="6" t="n"/>
    </row>
    <row r="18" ht="30" customHeight="1" s="90">
      <c r="A18" s="6" t="n"/>
      <c r="B18" s="22" t="inlineStr">
        <is>
          <t>Office supplies</t>
        </is>
      </c>
      <c r="C18" s="91" t="n">
        <v>256</v>
      </c>
      <c r="D18" s="91" t="n">
        <v>142</v>
      </c>
      <c r="E18" s="91" t="n">
        <v>160</v>
      </c>
      <c r="F18" s="91" t="n">
        <v>221</v>
      </c>
      <c r="G18" s="91" t="n">
        <v>256</v>
      </c>
      <c r="H18" s="91" t="n">
        <v>240</v>
      </c>
      <c r="I18" s="91" t="n"/>
      <c r="J18" s="91" t="n"/>
      <c r="K18" s="91" t="n"/>
      <c r="L18" s="91" t="n"/>
      <c r="M18" s="91" t="n"/>
      <c r="N18" s="91" t="n"/>
      <c r="O18" s="91">
        <f>SUM(C18:N18)</f>
        <v/>
      </c>
      <c r="P18" s="6" t="n"/>
    </row>
    <row r="19" ht="30" customHeight="1" s="90">
      <c r="A19" s="6" t="n"/>
      <c r="B19" s="22" t="inlineStr">
        <is>
          <t>Security</t>
        </is>
      </c>
      <c r="C19" s="91" t="n">
        <v>600</v>
      </c>
      <c r="D19" s="91" t="n">
        <v>600</v>
      </c>
      <c r="E19" s="91" t="n">
        <v>600</v>
      </c>
      <c r="F19" s="91" t="n">
        <v>600</v>
      </c>
      <c r="G19" s="91" t="n">
        <v>600</v>
      </c>
      <c r="H19" s="91" t="n">
        <v>600</v>
      </c>
      <c r="I19" s="91" t="n"/>
      <c r="J19" s="91" t="n"/>
      <c r="K19" s="91" t="n"/>
      <c r="L19" s="91" t="n"/>
      <c r="M19" s="91" t="n"/>
      <c r="N19" s="91" t="n"/>
      <c r="O19" s="91">
        <f>SUM(C19:N19)</f>
        <v/>
      </c>
      <c r="P19" s="6" t="n"/>
    </row>
    <row r="20" ht="30" customHeight="1" s="90">
      <c r="A20" s="6" t="n"/>
      <c r="B20" s="22" t="inlineStr">
        <is>
          <t>Subtotal</t>
        </is>
      </c>
      <c r="C20" s="91">
        <f>SUBTOTAL(109,OfficeActual[Jan])</f>
        <v/>
      </c>
      <c r="D20" s="91">
        <f>SUBTOTAL(109,OfficeActual[Feb])</f>
        <v/>
      </c>
      <c r="E20" s="91">
        <f>SUBTOTAL(109,OfficeActual[Mar])</f>
        <v/>
      </c>
      <c r="F20" s="91">
        <f>SUBTOTAL(109,OfficeActual[Apr])</f>
        <v/>
      </c>
      <c r="G20" s="91">
        <f>SUBTOTAL(109,OfficeActual[May])</f>
        <v/>
      </c>
      <c r="H20" s="91">
        <f>SUBTOTAL(109,OfficeActual[Jun])</f>
        <v/>
      </c>
      <c r="I20" s="91">
        <f>SUBTOTAL(109,OfficeActual[Jul])</f>
        <v/>
      </c>
      <c r="J20" s="91">
        <f>SUBTOTAL(109,OfficeActual[Aug])</f>
        <v/>
      </c>
      <c r="K20" s="91">
        <f>SUBTOTAL(109,OfficeActual[Sep])</f>
        <v/>
      </c>
      <c r="L20" s="91">
        <f>SUBTOTAL(109,OfficeActual[Oct])</f>
        <v/>
      </c>
      <c r="M20" s="91">
        <f>SUBTOTAL(109,OfficeActual[Nov])</f>
        <v/>
      </c>
      <c r="N20" s="91">
        <f>SUBTOTAL(109,OfficeActual[Dec])</f>
        <v/>
      </c>
      <c r="O20" s="91">
        <f>SUBTOTAL(109,OfficeActual[YEAR])</f>
        <v/>
      </c>
      <c r="P20" s="6" t="n"/>
    </row>
    <row r="21" ht="30" customHeight="1" s="90">
      <c r="A21" s="6" t="n"/>
      <c r="B21" s="36" t="n"/>
      <c r="C21" s="36" t="n"/>
      <c r="D21" s="36" t="n"/>
      <c r="E21" s="36" t="n"/>
      <c r="F21" s="36" t="n"/>
      <c r="G21" s="36" t="n"/>
      <c r="H21" s="36" t="n"/>
      <c r="I21" s="36" t="n"/>
      <c r="J21" s="36" t="n"/>
      <c r="K21" s="36" t="n"/>
      <c r="L21" s="36" t="n"/>
      <c r="M21" s="36" t="n"/>
      <c r="N21" s="36" t="n"/>
      <c r="O21" s="36"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v>500</v>
      </c>
      <c r="D23" s="91" t="n">
        <v>500</v>
      </c>
      <c r="E23" s="91" t="n">
        <v>500</v>
      </c>
      <c r="F23" s="91" t="n">
        <v>500</v>
      </c>
      <c r="G23" s="91" t="n">
        <v>500</v>
      </c>
      <c r="H23" s="91" t="n">
        <v>500</v>
      </c>
      <c r="I23" s="91" t="n"/>
      <c r="J23" s="91" t="n"/>
      <c r="K23" s="91" t="n"/>
      <c r="L23" s="91" t="n"/>
      <c r="M23" s="91" t="n"/>
      <c r="N23" s="91" t="n"/>
      <c r="O23" s="91">
        <f>SUM(C23:N23)</f>
        <v/>
      </c>
      <c r="P23" s="6" t="n"/>
    </row>
    <row r="24" ht="30" customHeight="1" s="90">
      <c r="A24" s="6" t="n"/>
      <c r="B24" s="22" t="inlineStr">
        <is>
          <t>Web site updates</t>
        </is>
      </c>
      <c r="C24" s="91" t="n">
        <v>200</v>
      </c>
      <c r="D24" s="91" t="n">
        <v>200</v>
      </c>
      <c r="E24" s="91" t="n">
        <v>200</v>
      </c>
      <c r="F24" s="91" t="n">
        <v>200</v>
      </c>
      <c r="G24" s="91" t="n">
        <v>200</v>
      </c>
      <c r="H24" s="91" t="n">
        <v>1500</v>
      </c>
      <c r="I24" s="91" t="n"/>
      <c r="J24" s="91" t="n"/>
      <c r="K24" s="91" t="n"/>
      <c r="L24" s="91" t="n"/>
      <c r="M24" s="91" t="n"/>
      <c r="N24" s="91" t="n"/>
      <c r="O24" s="91">
        <f>SUM(C24:N24)</f>
        <v/>
      </c>
      <c r="P24" s="6" t="n"/>
    </row>
    <row r="25" ht="30" customHeight="1" s="90">
      <c r="A25" s="6" t="n"/>
      <c r="B25" s="22" t="inlineStr">
        <is>
          <t>Collateral preparation</t>
        </is>
      </c>
      <c r="C25" s="91" t="n">
        <v>4800</v>
      </c>
      <c r="D25" s="91" t="n">
        <v>0</v>
      </c>
      <c r="E25" s="91" t="n">
        <v>0</v>
      </c>
      <c r="F25" s="91" t="n">
        <v>5500</v>
      </c>
      <c r="G25" s="91" t="n">
        <v>0</v>
      </c>
      <c r="H25" s="91" t="n">
        <v>0</v>
      </c>
      <c r="I25" s="91" t="n"/>
      <c r="J25" s="91" t="n"/>
      <c r="K25" s="91" t="n"/>
      <c r="L25" s="91" t="n"/>
      <c r="M25" s="91" t="n"/>
      <c r="N25" s="91" t="n"/>
      <c r="O25" s="91">
        <f>SUM(C25:N25)</f>
        <v/>
      </c>
      <c r="P25" s="6" t="n"/>
    </row>
    <row r="26" ht="30" customHeight="1" s="90">
      <c r="A26" s="6" t="n"/>
      <c r="B26" s="22" t="inlineStr">
        <is>
          <t>Collateral printing</t>
        </is>
      </c>
      <c r="C26" s="91" t="n">
        <v>100</v>
      </c>
      <c r="D26" s="91" t="n">
        <v>500</v>
      </c>
      <c r="E26" s="91" t="n">
        <v>100</v>
      </c>
      <c r="F26" s="91" t="n">
        <v>100</v>
      </c>
      <c r="G26" s="91" t="n">
        <v>600</v>
      </c>
      <c r="H26" s="91" t="n">
        <v>180</v>
      </c>
      <c r="I26" s="91" t="n"/>
      <c r="J26" s="91" t="n"/>
      <c r="K26" s="91" t="n"/>
      <c r="L26" s="91" t="n"/>
      <c r="M26" s="91" t="n"/>
      <c r="N26" s="91" t="n"/>
      <c r="O26" s="91">
        <f>SUM(C26:N26)</f>
        <v/>
      </c>
      <c r="P26" s="6" t="n"/>
    </row>
    <row r="27" ht="30" customHeight="1" s="90">
      <c r="A27" s="6" t="n"/>
      <c r="B27" s="22" t="inlineStr">
        <is>
          <t>Marketing events</t>
        </is>
      </c>
      <c r="C27" s="91" t="n">
        <v>1800</v>
      </c>
      <c r="D27" s="91" t="n">
        <v>2200</v>
      </c>
      <c r="E27" s="91" t="n">
        <v>2200</v>
      </c>
      <c r="F27" s="91" t="n">
        <v>4700</v>
      </c>
      <c r="G27" s="91" t="n">
        <v>1500</v>
      </c>
      <c r="H27" s="91" t="n">
        <v>2300</v>
      </c>
      <c r="I27" s="91" t="n"/>
      <c r="J27" s="91" t="n"/>
      <c r="K27" s="91" t="n"/>
      <c r="L27" s="91" t="n"/>
      <c r="M27" s="91" t="n"/>
      <c r="N27" s="91" t="n"/>
      <c r="O27" s="91">
        <f>SUM(C27:N27)</f>
        <v/>
      </c>
      <c r="P27" s="6" t="n"/>
    </row>
    <row r="28" ht="30" customHeight="1" s="90">
      <c r="A28" s="6" t="n"/>
      <c r="B28" s="22" t="inlineStr">
        <is>
          <t>Miscellaneous expenses</t>
        </is>
      </c>
      <c r="C28" s="91" t="n">
        <v>145</v>
      </c>
      <c r="D28" s="91" t="n">
        <v>156</v>
      </c>
      <c r="E28" s="91" t="n">
        <v>123</v>
      </c>
      <c r="F28" s="91" t="n">
        <v>223</v>
      </c>
      <c r="G28" s="91" t="n">
        <v>187</v>
      </c>
      <c r="H28" s="91" t="n">
        <v>245</v>
      </c>
      <c r="I28" s="91" t="n"/>
      <c r="J28" s="91" t="n"/>
      <c r="K28" s="91" t="n"/>
      <c r="L28" s="91" t="n"/>
      <c r="M28" s="91" t="n"/>
      <c r="N28" s="91" t="n"/>
      <c r="O28" s="91">
        <f>SUM(C28:N28)</f>
        <v/>
      </c>
      <c r="P28" s="6" t="n"/>
    </row>
    <row r="29" ht="30" customHeight="1" s="90">
      <c r="A29" s="6" t="n"/>
      <c r="B29" s="22" t="inlineStr">
        <is>
          <t>Subtotal</t>
        </is>
      </c>
      <c r="C29" s="91">
        <f>SUBTOTAL(109,MarketingActual[Jan])</f>
        <v/>
      </c>
      <c r="D29" s="91">
        <f>SUBTOTAL(109,MarketingActual[Feb])</f>
        <v/>
      </c>
      <c r="E29" s="91">
        <f>SUBTOTAL(109,MarketingActual[Mar])</f>
        <v/>
      </c>
      <c r="F29" s="91">
        <f>SUBTOTAL(109,MarketingActual[Apr])</f>
        <v/>
      </c>
      <c r="G29" s="91">
        <f>SUBTOTAL(109,MarketingActual[May])</f>
        <v/>
      </c>
      <c r="H29" s="91">
        <f>SUBTOTAL(109,MarketingActual[Jun])</f>
        <v/>
      </c>
      <c r="I29" s="91">
        <f>SUBTOTAL(109,MarketingActual[Jul])</f>
        <v/>
      </c>
      <c r="J29" s="91">
        <f>SUBTOTAL(109,MarketingActual[Aug])</f>
        <v/>
      </c>
      <c r="K29" s="91">
        <f>SUBTOTAL(109,MarketingActual[Sep])</f>
        <v/>
      </c>
      <c r="L29" s="91">
        <f>SUBTOTAL(109,MarketingActual[Oct])</f>
        <v/>
      </c>
      <c r="M29" s="91">
        <f>SUBTOTAL(109,MarketingActual[Nov])</f>
        <v/>
      </c>
      <c r="N29" s="91">
        <f>SUBTOTAL(109,MarketingActual[Dec])</f>
        <v/>
      </c>
      <c r="O29" s="91">
        <f>SUBTOTAL(109,MarketingActual[YEAR])</f>
        <v/>
      </c>
      <c r="P29" s="6" t="n"/>
    </row>
    <row r="30" ht="30" customHeight="1" s="90">
      <c r="A30" s="6" t="n"/>
      <c r="B30" s="26" t="n"/>
      <c r="C30" s="26" t="n"/>
      <c r="D30" s="26" t="n"/>
      <c r="E30" s="26" t="n"/>
      <c r="F30" s="26" t="n"/>
      <c r="G30" s="26" t="n"/>
      <c r="H30" s="26" t="n"/>
      <c r="I30" s="26" t="n"/>
      <c r="J30" s="26" t="n"/>
      <c r="K30" s="26" t="n"/>
      <c r="L30" s="26" t="n"/>
      <c r="M30" s="26" t="n"/>
      <c r="N30" s="26" t="n"/>
      <c r="O30" s="26"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v>1600</v>
      </c>
      <c r="D32" s="91" t="n">
        <v>2400</v>
      </c>
      <c r="E32" s="91" t="n">
        <v>1400</v>
      </c>
      <c r="F32" s="91" t="n">
        <v>1600</v>
      </c>
      <c r="G32" s="91" t="n">
        <v>1200</v>
      </c>
      <c r="H32" s="91" t="n">
        <v>2800</v>
      </c>
      <c r="I32" s="91" t="n"/>
      <c r="J32" s="91" t="n"/>
      <c r="K32" s="91" t="n"/>
      <c r="L32" s="91" t="n"/>
      <c r="M32" s="91" t="n"/>
      <c r="N32" s="91" t="n"/>
      <c r="O32" s="91">
        <f>SUM(C32:N32)</f>
        <v/>
      </c>
      <c r="P32" s="6" t="n"/>
    </row>
    <row r="33" ht="30" customHeight="1" s="90">
      <c r="A33" s="6" t="n"/>
      <c r="B33" s="22" t="inlineStr">
        <is>
          <t>Training-related travel costs</t>
        </is>
      </c>
      <c r="C33" s="91" t="n">
        <v>1200</v>
      </c>
      <c r="D33" s="91" t="n">
        <v>2200</v>
      </c>
      <c r="E33" s="91" t="n">
        <v>1400</v>
      </c>
      <c r="F33" s="91" t="n">
        <v>1200</v>
      </c>
      <c r="G33" s="91" t="n">
        <v>800</v>
      </c>
      <c r="H33" s="91" t="n">
        <v>3500</v>
      </c>
      <c r="I33" s="91" t="n"/>
      <c r="J33" s="91" t="n"/>
      <c r="K33" s="91" t="n"/>
      <c r="L33" s="91" t="n"/>
      <c r="M33" s="91" t="n"/>
      <c r="N33" s="91" t="n"/>
      <c r="O33" s="91">
        <f>SUM(C33:N33)</f>
        <v/>
      </c>
      <c r="P33" s="6" t="n"/>
    </row>
    <row r="34" ht="30" customHeight="1" s="90">
      <c r="A34" s="6" t="n"/>
      <c r="B34" s="37" t="inlineStr">
        <is>
          <t>Subtotal</t>
        </is>
      </c>
      <c r="C34" s="91">
        <f>SUBTOTAL(109,TrainingAndTravelActual[Jan])</f>
        <v/>
      </c>
      <c r="D34" s="91">
        <f>SUBTOTAL(109,TrainingAndTravelActual[Feb])</f>
        <v/>
      </c>
      <c r="E34" s="91">
        <f>SUBTOTAL(109,TrainingAndTravelActual[Mar])</f>
        <v/>
      </c>
      <c r="F34" s="91">
        <f>SUBTOTAL(109,TrainingAndTravelActual[Apr])</f>
        <v/>
      </c>
      <c r="G34" s="91">
        <f>SUBTOTAL(109,TrainingAndTravelActual[May])</f>
        <v/>
      </c>
      <c r="H34" s="91">
        <f>SUBTOTAL(109,TrainingAndTravelActual[Jun])</f>
        <v/>
      </c>
      <c r="I34" s="91">
        <f>SUBTOTAL(109,TrainingAndTravelActual[Jul])</f>
        <v/>
      </c>
      <c r="J34" s="91">
        <f>SUBTOTAL(109,TrainingAndTravelActual[Aug])</f>
        <v/>
      </c>
      <c r="K34" s="91">
        <f>SUBTOTAL(109,TrainingAndTravelActual[Sep])</f>
        <v/>
      </c>
      <c r="L34" s="91">
        <f>SUBTOTAL(109,TrainingAndTravelActual[Oct])</f>
        <v/>
      </c>
      <c r="M34" s="91">
        <f>SUBTOTAL(109,TrainingAndTravelActual[Nov])</f>
        <v/>
      </c>
      <c r="N34" s="91">
        <f>SUBTOTAL(109,TrainingAndTravelActual[Dec])</f>
        <v/>
      </c>
      <c r="O34" s="91">
        <f>SUBTOTAL(109,TrainingAndTravelActual[YEAR])</f>
        <v/>
      </c>
      <c r="P34" s="6" t="n"/>
    </row>
    <row r="35" ht="30" customHeight="1" s="90">
      <c r="A35" s="6" t="n"/>
      <c r="B35" s="26" t="n"/>
      <c r="C35" s="26" t="n"/>
      <c r="D35" s="26" t="n"/>
      <c r="E35" s="26" t="n"/>
      <c r="F35" s="26" t="n"/>
      <c r="G35" s="26" t="n"/>
      <c r="H35" s="26" t="n"/>
      <c r="I35" s="26" t="n"/>
      <c r="J35" s="26" t="n"/>
      <c r="K35" s="26" t="n"/>
      <c r="L35" s="26" t="n"/>
      <c r="M35" s="26" t="n"/>
      <c r="N35" s="26" t="n"/>
      <c r="O35" s="26" t="n"/>
      <c r="P35" s="6" t="n"/>
    </row>
    <row r="36" ht="40.15" customHeight="1" s="90">
      <c r="A36" s="33" t="n"/>
      <c r="B36" s="27" t="inlineStr">
        <is>
          <t>Totals</t>
        </is>
      </c>
      <c r="C36" s="84" t="inlineStr">
        <is>
          <t>Jan</t>
        </is>
      </c>
      <c r="D36" s="84" t="inlineStr">
        <is>
          <t>Feb</t>
        </is>
      </c>
      <c r="E36" s="84" t="inlineStr">
        <is>
          <t>Mar</t>
        </is>
      </c>
      <c r="F36" s="84" t="inlineStr">
        <is>
          <t>Apr</t>
        </is>
      </c>
      <c r="G36" s="84" t="inlineStr">
        <is>
          <t>May</t>
        </is>
      </c>
      <c r="H36" s="84" t="inlineStr">
        <is>
          <t>Jun</t>
        </is>
      </c>
      <c r="I36" s="84" t="inlineStr">
        <is>
          <t>Jul</t>
        </is>
      </c>
      <c r="J36" s="84" t="inlineStr">
        <is>
          <t>Aug</t>
        </is>
      </c>
      <c r="K36" s="84" t="inlineStr">
        <is>
          <t>Sep</t>
        </is>
      </c>
      <c r="L36" s="84" t="inlineStr">
        <is>
          <t>Oct</t>
        </is>
      </c>
      <c r="M36" s="84" t="inlineStr">
        <is>
          <t>Nov</t>
        </is>
      </c>
      <c r="N36" s="84" t="inlineStr">
        <is>
          <t>Dec</t>
        </is>
      </c>
      <c r="O36" s="84" t="inlineStr">
        <is>
          <t>Year</t>
        </is>
      </c>
      <c r="P36" s="6" t="n"/>
    </row>
    <row r="37" ht="30" customHeight="1" s="90">
      <c r="A37" s="6" t="n"/>
      <c r="B37" s="22" t="inlineStr">
        <is>
          <t>Monthly actual expenses</t>
        </is>
      </c>
      <c r="C37" s="91">
        <f>TrainingAndTravelActual[[#Totals],[Jan]]+MarketingActual[[#Totals],[Jan]]+OfficeActual[[#Totals],[Jan]]+EmployeeActual[[#Totals],[Jan]]</f>
        <v/>
      </c>
      <c r="D37" s="91">
        <f>TrainingAndTravelActual[[#Totals],[Feb]]+MarketingActual[[#Totals],[Feb]]+OfficeActual[[#Totals],[Feb]]+EmployeeActual[[#Totals],[Feb]]</f>
        <v/>
      </c>
      <c r="E37" s="91">
        <f>TrainingAndTravelActual[[#Totals],[Mar]]+MarketingActual[[#Totals],[Mar]]+OfficeActual[[#Totals],[Mar]]+EmployeeActual[[#Totals],[Mar]]</f>
        <v/>
      </c>
      <c r="F37" s="91">
        <f>TrainingAndTravelActual[[#Totals],[Apr]]+MarketingActual[[#Totals],[Apr]]+OfficeActual[[#Totals],[Apr]]+EmployeeActual[[#Totals],[Apr]]</f>
        <v/>
      </c>
      <c r="G37" s="91">
        <f>TrainingAndTravelActual[[#Totals],[May]]+MarketingActual[[#Totals],[May]]+OfficeActual[[#Totals],[May]]+EmployeeActual[[#Totals],[May]]</f>
        <v/>
      </c>
      <c r="H37" s="91">
        <f>TrainingAndTravelActual[[#Totals],[Jun]]+MarketingActual[[#Totals],[Jun]]+OfficeActual[[#Totals],[Jun]]+EmployeeActual[[#Totals],[Jun]]</f>
        <v/>
      </c>
      <c r="I37" s="91">
        <f>TrainingAndTravelActual[[#Totals],[Jul]]+MarketingActual[[#Totals],[Jul]]+OfficeActual[[#Totals],[Jul]]+EmployeeActual[[#Totals],[Jul]]</f>
        <v/>
      </c>
      <c r="J37" s="91">
        <f>TrainingAndTravelActual[[#Totals],[Aug]]+MarketingActual[[#Totals],[Aug]]+OfficeActual[[#Totals],[Aug]]+EmployeeActual[[#Totals],[Aug]]</f>
        <v/>
      </c>
      <c r="K37" s="91">
        <f>TrainingAndTravelActual[[#Totals],[Sep]]+MarketingActual[[#Totals],[Sep]]+OfficeActual[[#Totals],[Sep]]+EmployeeActual[[#Totals],[Sep]]</f>
        <v/>
      </c>
      <c r="L37" s="91">
        <f>TrainingAndTravelActual[[#Totals],[Oct]]+MarketingActual[[#Totals],[Oct]]+OfficeActual[[#Totals],[Oct]]+EmployeeActual[[#Totals],[Oct]]</f>
        <v/>
      </c>
      <c r="M37" s="91">
        <f>TrainingAndTravelActual[[#Totals],[Nov]]+MarketingActual[[#Totals],[Nov]]+OfficeActual[[#Totals],[Nov]]+EmployeeActual[[#Totals],[Nov]]</f>
        <v/>
      </c>
      <c r="N37" s="91">
        <f>TrainingAndTravelActual[[#Totals],[Dec]]+MarketingActual[[#Totals],[Dec]]+OfficeActual[[#Totals],[Dec]]+EmployeeActual[[#Totals],[Dec]]</f>
        <v/>
      </c>
      <c r="O37" s="91">
        <f>TrainingAndTravelActual[[#Totals],[YEAR]]+MarketingActual[[#Totals],[YEAR]]+OfficeActual[[#Totals],[YEAR]]+EmployeeActual[[#Totals],[YEAR]]</f>
        <v/>
      </c>
      <c r="P37" s="6" t="n"/>
    </row>
    <row r="38" ht="30" customHeight="1" s="90">
      <c r="A38" s="6" t="n"/>
      <c r="B38" s="22" t="inlineStr">
        <is>
          <t>TOTAL actual expenses</t>
        </is>
      </c>
      <c r="C38" s="91">
        <f>SUM($C$37:C37)</f>
        <v/>
      </c>
      <c r="D38" s="91">
        <f>SUM($C$37:D37)</f>
        <v/>
      </c>
      <c r="E38" s="91">
        <f>SUM($C$37:E37)</f>
        <v/>
      </c>
      <c r="F38" s="91">
        <f>SUM($C$37:F37)</f>
        <v/>
      </c>
      <c r="G38" s="91">
        <f>SUM($C$37:G37)</f>
        <v/>
      </c>
      <c r="H38" s="91">
        <f>SUM($C$37:H37)</f>
        <v/>
      </c>
      <c r="I38" s="91">
        <f>SUM($C$37:I37)</f>
        <v/>
      </c>
      <c r="J38" s="91">
        <f>SUM($C$37:J37)</f>
        <v/>
      </c>
      <c r="K38" s="91">
        <f>SUM($C$37:K37)</f>
        <v/>
      </c>
      <c r="L38" s="91">
        <f>SUM($C$37:L37)</f>
        <v/>
      </c>
      <c r="M38" s="91">
        <f>SUM($C$37:M37)</f>
        <v/>
      </c>
      <c r="N38" s="91">
        <f>SUM($C$37:N37)</f>
        <v/>
      </c>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F3"/>
  </mergeCells>
  <dataValidations count="7">
    <dataValidation sqref="A36" showDropDown="0" showInputMessage="1" showErrorMessage="1" allowBlank="1" prompt="Total Actual Expenses are auto calculated in Total Actual table starting in cell at right."/>
    <dataValidation sqref="A6" showDropDown="0" showInputMessage="1" showErrorMessage="1" allowBlank="1" prompt="Enter Employee Costs in Employee Actual table starting in cell at right. Next instruction is in cell A11."/>
    <dataValidation sqref="A1" showDropDown="0" showInputMessage="1" showErrorMessage="1" allowBlank="1" prompt="Enter Actual Employee Costs, Office Costs, Marketing Costs, and Training or Travel Cost in respective tables in this worksheet. Totals are auto calculated. Instructions on how to use this worksheet are in cells in this column. Arrow down to get started."/>
    <dataValidation sqref="A2" showDropDown="0" showInputMessage="1" showErrorMessage="1" allowBlank="1" prompt="Company Name is auto updated in cell at right. Title of this worksheet is in cell O2. Replace placeholder with your company logo."/>
    <dataValidation sqref="A11" showDropDown="0" showInputMessage="1" showErrorMessage="1" allowBlank="1" prompt="Enter Office Costs in Office Actual table starting in cell at right. Next instruction is in cell A22."/>
    <dataValidation sqref="A22" showDropDown="0" showInputMessage="1" showErrorMessage="1" allowBlank="1" prompt="Enter Marketing Costs in Marketing Actual table starting in cell at right. Next instruction is in cell A31."/>
    <dataValidation sqref="A31" showDropDown="0" showInputMessage="1" showErrorMessage="1" allowBlank="1" prompt="Enter Training/Travel Costs in Training/Travel Actual table starting in cell at right. Next instruction is in cell A36."/>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4">
    <tabColor theme="7" tint="-0.499984740745262"/>
    <outlinePr summaryBelow="1" summaryRight="1"/>
    <pageSetUpPr autoPageBreaks="0" fitToPage="1"/>
  </sheetPr>
  <dimension ref="A1:Q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5" min="2" max="2"/>
    <col width="14.375" customWidth="1" style="35" min="3" max="15"/>
    <col width="4" customWidth="1" style="3" min="16" max="16"/>
    <col width="8.875" customWidth="1" style="35" min="17" max="16384"/>
  </cols>
  <sheetData>
    <row r="1" ht="20.1" customFormat="1" customHeight="1" s="3">
      <c r="A1" s="1" t="n"/>
      <c r="B1" s="2" t="n"/>
      <c r="C1" s="2" t="n"/>
      <c r="D1" s="2" t="n"/>
      <c r="E1" s="2" t="n"/>
      <c r="F1" s="2" t="n"/>
      <c r="G1" s="2" t="n"/>
      <c r="H1" s="2" t="n"/>
      <c r="I1" s="2" t="n"/>
      <c r="J1" s="2" t="n"/>
      <c r="K1" s="2" t="n"/>
      <c r="L1" s="2" t="n"/>
      <c r="M1" s="2" t="n"/>
      <c r="N1" s="2" t="n"/>
      <c r="O1" s="2" t="n"/>
      <c r="P1" s="2" t="inlineStr">
        <is>
          <t> </t>
        </is>
      </c>
    </row>
    <row r="2" ht="100.15" customFormat="1" customHeight="1" s="3">
      <c r="A2" s="2" t="n"/>
      <c r="B2" s="86">
        <f>'PLANNED EXPENSES'!B2:D3</f>
        <v/>
      </c>
      <c r="F2" s="5" t="n"/>
      <c r="G2" s="5" t="n"/>
      <c r="H2" s="5" t="n"/>
      <c r="I2" s="5" t="n"/>
      <c r="J2" s="5" t="n"/>
      <c r="K2" s="6" t="n"/>
      <c r="L2" s="6" t="n"/>
      <c r="M2" s="6" t="n"/>
      <c r="N2" s="8" t="n"/>
      <c r="O2" s="9">
        <f>worksheet_title</f>
        <v/>
      </c>
      <c r="P2" s="38" t="n"/>
      <c r="Q2" s="39" t="n"/>
    </row>
    <row r="3" ht="19.9" customFormat="1" customHeight="1" s="3">
      <c r="A3" s="2" t="n"/>
      <c r="F3" s="5" t="n"/>
      <c r="G3" s="5" t="n"/>
      <c r="H3" s="5" t="n"/>
      <c r="I3" s="5" t="n"/>
      <c r="J3" s="5" t="n"/>
      <c r="K3" s="6" t="n"/>
      <c r="L3" s="6" t="n"/>
      <c r="M3" s="6" t="n"/>
      <c r="N3" s="8" t="n"/>
      <c r="O3" s="13" t="inlineStr">
        <is>
          <t>Shaded cells are calculations</t>
        </is>
      </c>
      <c r="P3" s="38" t="n"/>
      <c r="Q3" s="39" t="n"/>
    </row>
    <row r="4" ht="19.9" customFormat="1" customHeight="1" s="3">
      <c r="A4" s="2" t="n"/>
      <c r="B4" s="40" t="n"/>
      <c r="C4" s="40" t="n"/>
      <c r="D4" s="40" t="n"/>
      <c r="E4" s="40" t="n"/>
      <c r="F4" s="11" t="n"/>
      <c r="G4" s="11" t="n"/>
      <c r="H4" s="11" t="n"/>
      <c r="I4" s="11" t="n"/>
      <c r="J4" s="11" t="n"/>
      <c r="K4" s="6" t="n"/>
      <c r="L4" s="6" t="n"/>
      <c r="M4" s="6" t="n"/>
      <c r="N4" s="8" t="n"/>
      <c r="O4" s="6" t="n"/>
      <c r="P4" s="41" t="n"/>
      <c r="Q4" s="42" t="n"/>
    </row>
    <row r="5" ht="49.9" customFormat="1" customHeight="1" s="34">
      <c r="A5" s="2" t="n"/>
      <c r="B5" s="16" t="inlineStr">
        <is>
          <t>EXPENSE VARIANCES</t>
        </is>
      </c>
      <c r="C5" s="17" t="n"/>
      <c r="D5" s="17" t="n"/>
      <c r="E5" s="18" t="n"/>
      <c r="F5" s="17" t="n"/>
      <c r="G5" s="17" t="n"/>
      <c r="H5" s="17" t="n"/>
      <c r="I5" s="18" t="n"/>
      <c r="J5" s="17" t="n"/>
      <c r="K5" s="17" t="n"/>
      <c r="L5" s="17" t="n"/>
      <c r="M5" s="17" t="n"/>
      <c r="N5" s="18" t="n"/>
      <c r="O5" s="17" t="n"/>
      <c r="P5" s="33" t="n"/>
    </row>
    <row r="6" ht="40.15" customFormat="1" customHeight="1" s="47">
      <c r="A6" s="43" t="n"/>
      <c r="B6" s="44" t="inlineStr">
        <is>
          <t>Employee costs</t>
        </is>
      </c>
      <c r="C6" s="45" t="inlineStr">
        <is>
          <t>Jan</t>
        </is>
      </c>
      <c r="D6" s="45" t="inlineStr">
        <is>
          <t>Feb</t>
        </is>
      </c>
      <c r="E6" s="46" t="inlineStr">
        <is>
          <t>Mar</t>
        </is>
      </c>
      <c r="F6" s="45" t="inlineStr">
        <is>
          <t>Apr</t>
        </is>
      </c>
      <c r="G6" s="45" t="inlineStr">
        <is>
          <t>May</t>
        </is>
      </c>
      <c r="H6" s="45" t="inlineStr">
        <is>
          <t>Jun</t>
        </is>
      </c>
      <c r="I6" s="45" t="inlineStr">
        <is>
          <t>Jul</t>
        </is>
      </c>
      <c r="J6" s="45" t="inlineStr">
        <is>
          <t>Aug</t>
        </is>
      </c>
      <c r="K6" s="45" t="inlineStr">
        <is>
          <t>Sep</t>
        </is>
      </c>
      <c r="L6" s="45" t="inlineStr">
        <is>
          <t>Oct</t>
        </is>
      </c>
      <c r="M6" s="45" t="inlineStr">
        <is>
          <t>Nov</t>
        </is>
      </c>
      <c r="N6" s="45" t="inlineStr">
        <is>
          <t>Dec</t>
        </is>
      </c>
      <c r="O6" s="45" t="inlineStr">
        <is>
          <t>YEAR</t>
        </is>
      </c>
      <c r="P6" s="43" t="n"/>
    </row>
    <row r="7" ht="30" customHeight="1" s="90">
      <c r="A7" s="6" t="n"/>
      <c r="B7" s="22" t="inlineStr">
        <is>
          <t>Wages</t>
        </is>
      </c>
      <c r="C7" s="91">
        <f>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f>
        <v/>
      </c>
      <c r="D7" s="91">
        <f>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f>
        <v/>
      </c>
      <c r="E7" s="91">
        <f>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f>
        <v/>
      </c>
      <c r="F7" s="91">
        <f>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f>
        <v/>
      </c>
      <c r="G7" s="91">
        <f>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f>
        <v/>
      </c>
      <c r="H7" s="91">
        <f>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f>
        <v/>
      </c>
      <c r="I7" s="91">
        <f>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f>
        <v/>
      </c>
      <c r="J7" s="91">
        <f>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f>
        <v/>
      </c>
      <c r="K7" s="91">
        <f>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f>
        <v/>
      </c>
      <c r="L7" s="91">
        <f>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f>
        <v/>
      </c>
      <c r="M7" s="91">
        <f>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f>
        <v/>
      </c>
      <c r="N7" s="91">
        <f>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f>
        <v/>
      </c>
      <c r="O7" s="91">
        <f>SUM(EmployeeVariances[[#This Row],[Jan]:[Dec]])</f>
        <v/>
      </c>
      <c r="P7" s="6" t="n"/>
    </row>
    <row r="8" ht="30" customHeight="1" s="90">
      <c r="A8" s="6" t="n"/>
      <c r="B8" s="22" t="inlineStr">
        <is>
          <t>Benefits</t>
        </is>
      </c>
      <c r="C8" s="91">
        <f>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f>
        <v/>
      </c>
      <c r="D8" s="91">
        <f>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f>
        <v/>
      </c>
      <c r="E8" s="91">
        <f>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f>
        <v/>
      </c>
      <c r="F8" s="91">
        <f>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f>
        <v/>
      </c>
      <c r="G8" s="91">
        <f>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f>
        <v/>
      </c>
      <c r="H8" s="91">
        <f>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f>
        <v/>
      </c>
      <c r="I8" s="91">
        <f>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f>
        <v/>
      </c>
      <c r="J8" s="91">
        <f>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f>
        <v/>
      </c>
      <c r="K8" s="91">
        <f>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f>
        <v/>
      </c>
      <c r="L8" s="91">
        <f>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f>
        <v/>
      </c>
      <c r="M8" s="91">
        <f>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f>
        <v/>
      </c>
      <c r="N8" s="91">
        <f>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f>
        <v/>
      </c>
      <c r="O8" s="91">
        <f>SUM(EmployeeVariances[[#This Row],[Jan]:[Dec]])</f>
        <v/>
      </c>
      <c r="P8" s="6" t="n"/>
    </row>
    <row r="9" ht="30" customHeight="1" s="90">
      <c r="A9" s="6" t="n"/>
      <c r="B9" s="22" t="inlineStr">
        <is>
          <t>Subtotal</t>
        </is>
      </c>
      <c r="C9" s="91">
        <f>SUBTOTAL(109,EmployeeVariances[Jan])</f>
        <v/>
      </c>
      <c r="D9" s="91">
        <f>SUBTOTAL(109,EmployeeVariances[Feb])</f>
        <v/>
      </c>
      <c r="E9" s="91">
        <f>SUBTOTAL(109,EmployeeVariances[Mar])</f>
        <v/>
      </c>
      <c r="F9" s="91">
        <f>SUBTOTAL(109,EmployeeVariances[Apr])</f>
        <v/>
      </c>
      <c r="G9" s="91">
        <f>SUBTOTAL(109,EmployeeVariances[May])</f>
        <v/>
      </c>
      <c r="H9" s="91">
        <f>SUBTOTAL(109,EmployeeVariances[Jun])</f>
        <v/>
      </c>
      <c r="I9" s="91">
        <f>SUBTOTAL(109,EmployeeVariances[Jul])</f>
        <v/>
      </c>
      <c r="J9" s="91">
        <f>SUBTOTAL(109,EmployeeVariances[Aug])</f>
        <v/>
      </c>
      <c r="K9" s="91">
        <f>SUBTOTAL(109,EmployeeVariances[Sep])</f>
        <v/>
      </c>
      <c r="L9" s="91">
        <f>SUBTOTAL(109,EmployeeVariances[Oct])</f>
        <v/>
      </c>
      <c r="M9" s="91">
        <f>SUBTOTAL(109,EmployeeVariances[Nov])</f>
        <v/>
      </c>
      <c r="N9" s="91">
        <f>SUBTOTAL(109,EmployeeVariances[Dec])</f>
        <v/>
      </c>
      <c r="O9" s="91">
        <f>SUBTOTAL(109,EmployeeVariances[YEAR])</f>
        <v/>
      </c>
      <c r="P9" s="6" t="n"/>
    </row>
    <row r="10" ht="30" customHeight="1" s="90">
      <c r="A10" s="6" t="n"/>
      <c r="B10" s="48" t="n"/>
      <c r="C10" s="24" t="n"/>
      <c r="D10" s="49" t="n"/>
      <c r="E10" s="49" t="n"/>
      <c r="F10" s="49" t="n"/>
      <c r="G10" s="49" t="n"/>
      <c r="H10" s="49" t="n"/>
      <c r="I10" s="49" t="n"/>
      <c r="J10" s="49" t="n"/>
      <c r="K10" s="49" t="n"/>
      <c r="L10" s="49" t="n"/>
      <c r="M10" s="49" t="n"/>
      <c r="N10" s="49" t="n"/>
      <c r="O10" s="50" t="n"/>
      <c r="P10" s="6" t="n"/>
    </row>
    <row r="11" ht="40.15" customFormat="1" customHeight="1" s="47">
      <c r="A11" s="43" t="n"/>
      <c r="B11" s="44" t="inlineStr">
        <is>
          <t>Office costs</t>
        </is>
      </c>
      <c r="C11" s="45" t="inlineStr">
        <is>
          <t>Jan</t>
        </is>
      </c>
      <c r="D11" s="45" t="inlineStr">
        <is>
          <t>Feb</t>
        </is>
      </c>
      <c r="E11" s="46" t="inlineStr">
        <is>
          <t>Mar</t>
        </is>
      </c>
      <c r="F11" s="45" t="inlineStr">
        <is>
          <t>Apr</t>
        </is>
      </c>
      <c r="G11" s="45" t="inlineStr">
        <is>
          <t>May</t>
        </is>
      </c>
      <c r="H11" s="45" t="inlineStr">
        <is>
          <t>Jun</t>
        </is>
      </c>
      <c r="I11" s="45" t="inlineStr">
        <is>
          <t>Jul</t>
        </is>
      </c>
      <c r="J11" s="45" t="inlineStr">
        <is>
          <t>Aug</t>
        </is>
      </c>
      <c r="K11" s="45" t="inlineStr">
        <is>
          <t>Sep</t>
        </is>
      </c>
      <c r="L11" s="45" t="inlineStr">
        <is>
          <t>Oct</t>
        </is>
      </c>
      <c r="M11" s="45" t="inlineStr">
        <is>
          <t>Nov</t>
        </is>
      </c>
      <c r="N11" s="45" t="inlineStr">
        <is>
          <t>Dec</t>
        </is>
      </c>
      <c r="O11" s="45" t="inlineStr">
        <is>
          <t>YEAR</t>
        </is>
      </c>
      <c r="P11" s="43" t="n"/>
    </row>
    <row r="12" ht="30" customHeight="1" s="90">
      <c r="A12" s="6" t="n"/>
      <c r="B12" s="22" t="inlineStr">
        <is>
          <t>Office lease</t>
        </is>
      </c>
      <c r="C12"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2"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2"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2"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2"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2"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2"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2"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2"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2"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2"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2"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2" s="91">
        <f>SUM(OfficeVariances[[#This Row],[Jan]:[Dec]])</f>
        <v/>
      </c>
      <c r="P12" s="6" t="n"/>
    </row>
    <row r="13" ht="30" customHeight="1" s="90">
      <c r="A13" s="6" t="n"/>
      <c r="B13" s="22" t="inlineStr">
        <is>
          <t>Gas</t>
        </is>
      </c>
      <c r="C13"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3"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3"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3"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3"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3"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3"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3"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3"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3"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3"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3"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3" s="91">
        <f>SUM(OfficeVariances[[#This Row],[Jan]:[Dec]])</f>
        <v/>
      </c>
      <c r="P13" s="6" t="n"/>
    </row>
    <row r="14" ht="30" customHeight="1" s="90">
      <c r="A14" s="6" t="n"/>
      <c r="B14" s="22" t="inlineStr">
        <is>
          <t>Electric</t>
        </is>
      </c>
      <c r="C14"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4"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4"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4"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4"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4"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4"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4"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4"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4"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4"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4"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4" s="91">
        <f>SUM(OfficeVariances[[#This Row],[Jan]:[Dec]])</f>
        <v/>
      </c>
      <c r="P14" s="6" t="n"/>
    </row>
    <row r="15" ht="30" customHeight="1" s="90">
      <c r="A15" s="6" t="n"/>
      <c r="B15" s="22" t="inlineStr">
        <is>
          <t>Water</t>
        </is>
      </c>
      <c r="C15"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5"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5"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5"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5"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5"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5"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5"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5"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5"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5"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5"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5" s="91">
        <f>SUM(OfficeVariances[[#This Row],[Jan]:[Dec]])</f>
        <v/>
      </c>
      <c r="P15" s="6" t="n"/>
    </row>
    <row r="16" ht="30" customHeight="1" s="90">
      <c r="A16" s="6" t="n"/>
      <c r="B16" s="22" t="inlineStr">
        <is>
          <t>Telephone</t>
        </is>
      </c>
      <c r="C16"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6"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6"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6"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6"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6"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6"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6"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6"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6"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6"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6"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6" s="91">
        <f>SUM(OfficeVariances[[#This Row],[Jan]:[Dec]])</f>
        <v/>
      </c>
      <c r="P16" s="6" t="n"/>
    </row>
    <row r="17" ht="30" customHeight="1" s="90">
      <c r="A17" s="6" t="n"/>
      <c r="B17" s="22" t="inlineStr">
        <is>
          <t>Internet access</t>
        </is>
      </c>
      <c r="C17"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7"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7"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7"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7"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7"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7"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7"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7"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7"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7"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7"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7" s="91">
        <f>SUM(OfficeVariances[[#This Row],[Jan]:[Dec]])</f>
        <v/>
      </c>
      <c r="P17" s="6" t="n"/>
    </row>
    <row r="18" ht="30" customHeight="1" s="90">
      <c r="A18" s="6" t="n"/>
      <c r="B18" s="22" t="inlineStr">
        <is>
          <t>Office supplies</t>
        </is>
      </c>
      <c r="C18"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8"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8"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8"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8"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8"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8"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8"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8"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8"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8"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8"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8" s="91">
        <f>SUM(OfficeVariances[[#This Row],[Jan]:[Dec]])</f>
        <v/>
      </c>
      <c r="P18" s="6" t="n"/>
    </row>
    <row r="19" ht="30" customHeight="1" s="90">
      <c r="A19" s="6" t="n"/>
      <c r="B19" s="22" t="inlineStr">
        <is>
          <t>Security</t>
        </is>
      </c>
      <c r="C19"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9"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9"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9"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9"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9"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9"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9"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9"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9"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9"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9"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9" s="91">
        <f>SUM(OfficeVariances[[#This Row],[Jan]:[Dec]])</f>
        <v/>
      </c>
      <c r="P19" s="6" t="n"/>
    </row>
    <row r="20" ht="30" customHeight="1" s="90">
      <c r="A20" s="6" t="n"/>
      <c r="B20" s="22" t="inlineStr">
        <is>
          <t>Subtotal</t>
        </is>
      </c>
      <c r="C20" s="91">
        <f>SUBTOTAL(109,OfficeVariances[Jan])</f>
        <v/>
      </c>
      <c r="D20" s="91">
        <f>SUBTOTAL(109,OfficeVariances[Feb])</f>
        <v/>
      </c>
      <c r="E20" s="91">
        <f>SUBTOTAL(109,OfficeVariances[Mar])</f>
        <v/>
      </c>
      <c r="F20" s="91">
        <f>SUBTOTAL(109,OfficeVariances[Apr])</f>
        <v/>
      </c>
      <c r="G20" s="91">
        <f>SUBTOTAL(109,OfficeVariances[May])</f>
        <v/>
      </c>
      <c r="H20" s="91">
        <f>SUBTOTAL(109,OfficeVariances[Jun])</f>
        <v/>
      </c>
      <c r="I20" s="91">
        <f>SUBTOTAL(109,OfficeVariances[Jul])</f>
        <v/>
      </c>
      <c r="J20" s="91">
        <f>SUBTOTAL(109,OfficeVariances[Aug])</f>
        <v/>
      </c>
      <c r="K20" s="91">
        <f>SUBTOTAL(109,OfficeVariances[Sep])</f>
        <v/>
      </c>
      <c r="L20" s="91">
        <f>SUBTOTAL(109,OfficeVariances[Oct])</f>
        <v/>
      </c>
      <c r="M20" s="91">
        <f>SUBTOTAL(109,OfficeVariances[Nov])</f>
        <v/>
      </c>
      <c r="N20" s="91">
        <f>SUBTOTAL(109,OfficeVariances[Dec])</f>
        <v/>
      </c>
      <c r="O20" s="91">
        <f>SUBTOTAL(109,OfficeVariances[YEAR])</f>
        <v/>
      </c>
      <c r="P20" s="6" t="n"/>
    </row>
    <row r="21" ht="30" customHeight="1" s="90">
      <c r="A21" s="6" t="n"/>
      <c r="B21" s="51" t="n"/>
      <c r="C21" s="25" t="n"/>
      <c r="D21" s="49" t="n"/>
      <c r="E21" s="49" t="n"/>
      <c r="F21" s="52" t="n"/>
      <c r="G21" s="52" t="n"/>
      <c r="H21" s="52" t="n"/>
      <c r="I21" s="52" t="n"/>
      <c r="J21" s="52" t="n"/>
      <c r="K21" s="52" t="n"/>
      <c r="L21" s="52" t="n"/>
      <c r="M21" s="52" t="n"/>
      <c r="N21" s="52" t="n"/>
      <c r="O21" s="53"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
      </c>
      <c r="D23" s="9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
      </c>
      <c r="E23" s="9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
      </c>
      <c r="F23" s="9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
      </c>
      <c r="G23" s="9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
      </c>
      <c r="H23" s="9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
      </c>
      <c r="I23" s="9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
      </c>
      <c r="J23" s="9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
      </c>
      <c r="K23" s="9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
      </c>
      <c r="L23" s="9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
      </c>
      <c r="M23" s="9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
      </c>
      <c r="N23" s="9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
      </c>
      <c r="O23" s="91">
        <f>SUM(MarketingVariances[[#This Row],[Jan]:[Dec]])</f>
        <v/>
      </c>
      <c r="P23" s="6" t="n"/>
    </row>
    <row r="24" ht="30" customHeight="1" s="90">
      <c r="A24" s="6" t="n"/>
      <c r="B24" s="22" t="inlineStr">
        <is>
          <t>Web site updates</t>
        </is>
      </c>
      <c r="C24" s="9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
      </c>
      <c r="D24" s="9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
      </c>
      <c r="E24" s="9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
      </c>
      <c r="F24" s="9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
      </c>
      <c r="G24" s="9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
      </c>
      <c r="H24" s="9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
      </c>
      <c r="I24" s="9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
      </c>
      <c r="J24" s="9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
      </c>
      <c r="K24" s="9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
      </c>
      <c r="L24" s="9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
      </c>
      <c r="M24" s="9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
      </c>
      <c r="N24" s="9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
      </c>
      <c r="O24" s="91">
        <f>SUM(MarketingVariances[[#This Row],[Jan]:[Dec]])</f>
        <v/>
      </c>
      <c r="P24" s="6" t="n"/>
    </row>
    <row r="25" ht="30" customHeight="1" s="90">
      <c r="A25" s="6" t="n"/>
      <c r="B25" s="22" t="inlineStr">
        <is>
          <t>Collateral preparation</t>
        </is>
      </c>
      <c r="C25" s="9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
      </c>
      <c r="D25" s="9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
      </c>
      <c r="E25" s="9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
      </c>
      <c r="F25" s="9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
      </c>
      <c r="G25" s="9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
      </c>
      <c r="H25" s="9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
      </c>
      <c r="I25" s="9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
      </c>
      <c r="J25" s="9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
      </c>
      <c r="K25" s="9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
      </c>
      <c r="L25" s="9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
      </c>
      <c r="M25" s="9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
      </c>
      <c r="N25" s="9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
      </c>
      <c r="O25" s="91">
        <f>SUM(MarketingVariances[[#This Row],[Jan]:[Dec]])</f>
        <v/>
      </c>
      <c r="P25" s="6" t="n"/>
    </row>
    <row r="26" ht="30" customHeight="1" s="90">
      <c r="A26" s="6" t="n"/>
      <c r="B26" s="22" t="inlineStr">
        <is>
          <t>Collateral printing</t>
        </is>
      </c>
      <c r="C26" s="9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
      </c>
      <c r="D26" s="9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
      </c>
      <c r="E26" s="9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
      </c>
      <c r="F26" s="9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
      </c>
      <c r="G26" s="9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
      </c>
      <c r="H26" s="9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
      </c>
      <c r="I26" s="9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
      </c>
      <c r="J26" s="9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
      </c>
      <c r="K26" s="9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
      </c>
      <c r="L26" s="9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
      </c>
      <c r="M26" s="9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
      </c>
      <c r="N26" s="9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
      </c>
      <c r="O26" s="91">
        <f>SUM(MarketingVariances[[#This Row],[Jan]:[Dec]])</f>
        <v/>
      </c>
      <c r="P26" s="6" t="n"/>
    </row>
    <row r="27" ht="30" customHeight="1" s="90">
      <c r="A27" s="6" t="n"/>
      <c r="B27" s="22" t="inlineStr">
        <is>
          <t>Marketing events</t>
        </is>
      </c>
      <c r="C27" s="9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
      </c>
      <c r="D27" s="9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
      </c>
      <c r="E27" s="9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
      </c>
      <c r="F27" s="9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
      </c>
      <c r="G27" s="9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
      </c>
      <c r="H27" s="9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
      </c>
      <c r="I27" s="9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
      </c>
      <c r="J27" s="9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
      </c>
      <c r="K27" s="9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
      </c>
      <c r="L27" s="9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
      </c>
      <c r="M27" s="9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
      </c>
      <c r="N27" s="9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
      </c>
      <c r="O27" s="91">
        <f>SUM(MarketingVariances[[#This Row],[Jan]:[Dec]])</f>
        <v/>
      </c>
      <c r="P27" s="6" t="n"/>
    </row>
    <row r="28" ht="30" customHeight="1" s="90">
      <c r="A28" s="6" t="n"/>
      <c r="B28" s="22" t="inlineStr">
        <is>
          <t>Miscellaneous expenses</t>
        </is>
      </c>
      <c r="C28" s="9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
      </c>
      <c r="D28" s="9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
      </c>
      <c r="E28" s="9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
      </c>
      <c r="F28" s="9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
      </c>
      <c r="G28" s="9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
      </c>
      <c r="H28" s="9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
      </c>
      <c r="I28" s="9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
      </c>
      <c r="J28" s="9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
      </c>
      <c r="K28" s="9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
      </c>
      <c r="L28" s="9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
      </c>
      <c r="M28" s="9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
      </c>
      <c r="N28" s="9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
      </c>
      <c r="O28" s="91">
        <f>SUM(MarketingVariances[[#This Row],[Jan]:[Dec]])</f>
        <v/>
      </c>
      <c r="P28" s="6" t="n"/>
    </row>
    <row r="29" ht="30" customHeight="1" s="90">
      <c r="A29" s="6" t="n"/>
      <c r="B29" s="22" t="inlineStr">
        <is>
          <t>Subtotal</t>
        </is>
      </c>
      <c r="C29" s="91">
        <f>SUBTOTAL(109,MarketingVariances[Jan])</f>
        <v/>
      </c>
      <c r="D29" s="91">
        <f>SUBTOTAL(109,MarketingVariances[Feb])</f>
        <v/>
      </c>
      <c r="E29" s="91">
        <f>SUBTOTAL(109,MarketingVariances[Mar])</f>
        <v/>
      </c>
      <c r="F29" s="91">
        <f>SUBTOTAL(109,MarketingVariances[Apr])</f>
        <v/>
      </c>
      <c r="G29" s="91">
        <f>SUBTOTAL(109,MarketingVariances[May])</f>
        <v/>
      </c>
      <c r="H29" s="91">
        <f>SUBTOTAL(109,MarketingVariances[Jun])</f>
        <v/>
      </c>
      <c r="I29" s="91">
        <f>SUBTOTAL(109,MarketingVariances[Jul])</f>
        <v/>
      </c>
      <c r="J29" s="91">
        <f>SUBTOTAL(109,MarketingVariances[Aug])</f>
        <v/>
      </c>
      <c r="K29" s="91">
        <f>SUBTOTAL(109,MarketingVariances[Sep])</f>
        <v/>
      </c>
      <c r="L29" s="91">
        <f>SUBTOTAL(109,MarketingVariances[Oct])</f>
        <v/>
      </c>
      <c r="M29" s="91">
        <f>SUBTOTAL(109,MarketingVariances[Nov])</f>
        <v/>
      </c>
      <c r="N29" s="91">
        <f>SUBTOTAL(109,MarketingVariances[Dec])</f>
        <v/>
      </c>
      <c r="O29" s="91">
        <f>SUBTOTAL(109,MarketingVariances[YEAR])</f>
        <v/>
      </c>
      <c r="P29" s="6" t="n"/>
    </row>
    <row r="30" ht="30" customHeight="1" s="90">
      <c r="A30" s="6" t="n"/>
      <c r="B30" s="48" t="n"/>
      <c r="C30" s="24" t="n"/>
      <c r="D30" s="52" t="n"/>
      <c r="E30" s="52" t="n"/>
      <c r="F30" s="52" t="n"/>
      <c r="G30" s="52" t="n"/>
      <c r="H30" s="52" t="n"/>
      <c r="I30" s="52" t="n"/>
      <c r="J30" s="52" t="n"/>
      <c r="K30" s="52" t="n"/>
      <c r="L30" s="52" t="n"/>
      <c r="M30" s="52" t="n"/>
      <c r="N30" s="52" t="n"/>
      <c r="O30" s="53"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f>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f>
        <v/>
      </c>
      <c r="D32" s="91">
        <f>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f>
        <v/>
      </c>
      <c r="E32" s="91">
        <f>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f>
        <v/>
      </c>
      <c r="F32" s="91">
        <f>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f>
        <v/>
      </c>
      <c r="G32" s="91">
        <f>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f>
        <v/>
      </c>
      <c r="H32" s="91">
        <f>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f>
        <v/>
      </c>
      <c r="I32" s="91">
        <f>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f>
        <v/>
      </c>
      <c r="J32" s="91">
        <f>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f>
        <v/>
      </c>
      <c r="K32" s="91">
        <f>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f>
        <v/>
      </c>
      <c r="L32" s="91">
        <f>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f>
        <v/>
      </c>
      <c r="M32" s="91">
        <f>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f>
        <v/>
      </c>
      <c r="N32" s="91">
        <f>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f>
        <v/>
      </c>
      <c r="O32" s="91">
        <f>SUM(TrainingAndTravelVariances[[#This Row],[Jan]:[Dec]])</f>
        <v/>
      </c>
      <c r="P32" s="6" t="n"/>
    </row>
    <row r="33" ht="30" customHeight="1" s="90">
      <c r="A33" s="6" t="n"/>
      <c r="B33" s="22" t="inlineStr">
        <is>
          <t>Training-related travel costs</t>
        </is>
      </c>
      <c r="C33" s="91">
        <f>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f>
        <v/>
      </c>
      <c r="D33" s="91">
        <f>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f>
        <v/>
      </c>
      <c r="E33" s="91">
        <f>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f>
        <v/>
      </c>
      <c r="F33" s="91">
        <f>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f>
        <v/>
      </c>
      <c r="G33" s="91">
        <f>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f>
        <v/>
      </c>
      <c r="H33" s="91">
        <f>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f>
        <v/>
      </c>
      <c r="I33" s="91">
        <f>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f>
        <v/>
      </c>
      <c r="J33" s="91">
        <f>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f>
        <v/>
      </c>
      <c r="K33" s="91">
        <f>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f>
        <v/>
      </c>
      <c r="L33" s="91">
        <f>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f>
        <v/>
      </c>
      <c r="M33" s="91">
        <f>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f>
        <v/>
      </c>
      <c r="N33" s="91">
        <f>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f>
        <v/>
      </c>
      <c r="O33" s="91">
        <f>SUM(TrainingAndTravelVariances[[#This Row],[Jan]:[Dec]])</f>
        <v/>
      </c>
      <c r="P33" s="6" t="n"/>
    </row>
    <row r="34" ht="30" customHeight="1" s="90">
      <c r="A34" s="6" t="n"/>
      <c r="B34" s="22" t="inlineStr">
        <is>
          <t>Subtotal</t>
        </is>
      </c>
      <c r="C34" s="91">
        <f>SUBTOTAL(109,TrainingAndTravelVariances[Jan])</f>
        <v/>
      </c>
      <c r="D34" s="91">
        <f>SUBTOTAL(109,TrainingAndTravelVariances[Feb])</f>
        <v/>
      </c>
      <c r="E34" s="91">
        <f>SUBTOTAL(109,TrainingAndTravelVariances[Mar])</f>
        <v/>
      </c>
      <c r="F34" s="91">
        <f>SUBTOTAL(109,TrainingAndTravelVariances[Apr])</f>
        <v/>
      </c>
      <c r="G34" s="91">
        <f>SUBTOTAL(109,TrainingAndTravelVariances[May])</f>
        <v/>
      </c>
      <c r="H34" s="91">
        <f>SUBTOTAL(109,TrainingAndTravelVariances[Jun])</f>
        <v/>
      </c>
      <c r="I34" s="91">
        <f>SUBTOTAL(109,TrainingAndTravelVariances[Jul])</f>
        <v/>
      </c>
      <c r="J34" s="91">
        <f>SUBTOTAL(109,TrainingAndTravelVariances[Aug])</f>
        <v/>
      </c>
      <c r="K34" s="91">
        <f>SUBTOTAL(109,TrainingAndTravelVariances[Sep])</f>
        <v/>
      </c>
      <c r="L34" s="91">
        <f>SUBTOTAL(109,TrainingAndTravelVariances[Oct])</f>
        <v/>
      </c>
      <c r="M34" s="91">
        <f>SUBTOTAL(109,TrainingAndTravelVariances[Nov])</f>
        <v/>
      </c>
      <c r="N34" s="91">
        <f>SUBTOTAL(109,TrainingAndTravelVariances[Dec])</f>
        <v/>
      </c>
      <c r="O34" s="91">
        <f>SUBTOTAL(109,TrainingAndTravelVariances[YEAR])</f>
        <v/>
      </c>
      <c r="P34" s="6" t="n"/>
    </row>
    <row r="35" ht="30" customHeight="1" s="90">
      <c r="A35" s="6" t="n"/>
      <c r="B35" s="48" t="n"/>
      <c r="C35" s="24" t="n"/>
      <c r="D35" s="53" t="n"/>
      <c r="E35" s="53" t="n"/>
      <c r="F35" s="53" t="n"/>
      <c r="G35" s="53" t="n"/>
      <c r="H35" s="53" t="n"/>
      <c r="I35" s="53" t="n"/>
      <c r="J35" s="53" t="n"/>
      <c r="K35" s="53" t="n"/>
      <c r="L35" s="53" t="n"/>
      <c r="M35" s="53" t="n"/>
      <c r="N35" s="53" t="n"/>
      <c r="O35" s="53" t="n"/>
      <c r="P35" s="6" t="n"/>
    </row>
    <row r="36" ht="40.15" customFormat="1" customHeight="1" s="47">
      <c r="A36" s="43" t="n"/>
      <c r="B36" s="44" t="inlineStr">
        <is>
          <t>Totals</t>
        </is>
      </c>
      <c r="C36" s="45" t="inlineStr">
        <is>
          <t>Jan</t>
        </is>
      </c>
      <c r="D36" s="45" t="inlineStr">
        <is>
          <t>Feb</t>
        </is>
      </c>
      <c r="E36" s="45" t="inlineStr">
        <is>
          <t>Mar</t>
        </is>
      </c>
      <c r="F36" s="45" t="inlineStr">
        <is>
          <t>Apr</t>
        </is>
      </c>
      <c r="G36" s="45" t="inlineStr">
        <is>
          <t>May</t>
        </is>
      </c>
      <c r="H36" s="45" t="inlineStr">
        <is>
          <t>Jun</t>
        </is>
      </c>
      <c r="I36" s="45" t="inlineStr">
        <is>
          <t>Jul</t>
        </is>
      </c>
      <c r="J36" s="45" t="inlineStr">
        <is>
          <t>Aug</t>
        </is>
      </c>
      <c r="K36" s="45" t="inlineStr">
        <is>
          <t>Sep</t>
        </is>
      </c>
      <c r="L36" s="45" t="inlineStr">
        <is>
          <t>Oct</t>
        </is>
      </c>
      <c r="M36" s="45" t="inlineStr">
        <is>
          <t>Nov</t>
        </is>
      </c>
      <c r="N36" s="45" t="inlineStr">
        <is>
          <t>Dec</t>
        </is>
      </c>
      <c r="O36" s="45" t="inlineStr">
        <is>
          <t>Year</t>
        </is>
      </c>
      <c r="P36" s="43" t="n"/>
    </row>
    <row r="37" ht="30" customHeight="1" s="90">
      <c r="A37" s="6" t="n"/>
      <c r="B37" s="22" t="inlineStr">
        <is>
          <t>Monthly variances</t>
        </is>
      </c>
      <c r="C37" s="91">
        <f>TrainingAndTravelVariances[[#Totals],[Jan]]+MarketingVariances[[#Totals],[Jan]]+OfficeVariances[[#Totals],[Jan]]+EmployeeVariances[[#Totals],[Jan]]</f>
        <v/>
      </c>
      <c r="D37" s="91">
        <f>TrainingAndTravelVariances[[#Totals],[Feb]]+MarketingVariances[[#Totals],[Feb]]+OfficeVariances[[#Totals],[Feb]]+EmployeeVariances[[#Totals],[Feb]]</f>
        <v/>
      </c>
      <c r="E37" s="91">
        <f>TrainingAndTravelVariances[[#Totals],[Mar]]+MarketingVariances[[#Totals],[Mar]]+OfficeVariances[[#Totals],[Mar]]+EmployeeVariances[[#Totals],[Mar]]</f>
        <v/>
      </c>
      <c r="F37" s="91">
        <f>TrainingAndTravelVariances[[#Totals],[Apr]]+MarketingVariances[[#Totals],[Apr]]+OfficeVariances[[#Totals],[Apr]]+EmployeeVariances[[#Totals],[Apr]]</f>
        <v/>
      </c>
      <c r="G37" s="91">
        <f>TrainingAndTravelVariances[[#Totals],[May]]+MarketingVariances[[#Totals],[May]]+OfficeVariances[[#Totals],[May]]+EmployeeVariances[[#Totals],[May]]</f>
        <v/>
      </c>
      <c r="H37" s="91">
        <f>TrainingAndTravelVariances[[#Totals],[Jun]]+MarketingVariances[[#Totals],[Jun]]+OfficeVariances[[#Totals],[Jun]]+EmployeeVariances[[#Totals],[Jun]]</f>
        <v/>
      </c>
      <c r="I37" s="91">
        <f>TrainingAndTravelVariances[[#Totals],[Jul]]+MarketingVariances[[#Totals],[Jul]]+OfficeVariances[[#Totals],[Jul]]+EmployeeVariances[[#Totals],[Jul]]</f>
        <v/>
      </c>
      <c r="J37" s="91">
        <f>TrainingAndTravelVariances[[#Totals],[Aug]]+MarketingVariances[[#Totals],[Aug]]+OfficeVariances[[#Totals],[Aug]]+EmployeeVariances[[#Totals],[Aug]]</f>
        <v/>
      </c>
      <c r="K37" s="91">
        <f>TrainingAndTravelVariances[[#Totals],[Sep]]+MarketingVariances[[#Totals],[Sep]]+OfficeVariances[[#Totals],[Sep]]+EmployeeVariances[[#Totals],[Sep]]</f>
        <v/>
      </c>
      <c r="L37" s="91">
        <f>TrainingAndTravelVariances[[#Totals],[Oct]]+MarketingVariances[[#Totals],[Oct]]+OfficeVariances[[#Totals],[Oct]]+EmployeeVariances[[#Totals],[Oct]]</f>
        <v/>
      </c>
      <c r="M37" s="91">
        <f>TrainingAndTravelVariances[[#Totals],[Nov]]+MarketingVariances[[#Totals],[Nov]]+OfficeVariances[[#Totals],[Nov]]+EmployeeVariances[[#Totals],[Nov]]</f>
        <v/>
      </c>
      <c r="N37" s="91">
        <f>TrainingAndTravelVariances[[#Totals],[Dec]]+MarketingVariances[[#Totals],[Dec]]+OfficeVariances[[#Totals],[Dec]]+EmployeeVariances[[#Totals],[Dec]]</f>
        <v/>
      </c>
      <c r="O37" s="91">
        <f>TrainingAndTravelVariances[[#Totals],[YEAR]]+MarketingVariances[[#Totals],[YEAR]]+OfficeVariances[[#Totals],[YEAR]]+EmployeeVariances[[#Totals],[YEAR]]</f>
        <v/>
      </c>
      <c r="P37" s="6" t="n"/>
    </row>
    <row r="38" ht="30" customHeight="1" s="90">
      <c r="A38" s="6" t="n"/>
      <c r="B38" s="22" t="inlineStr">
        <is>
          <t>TOTAL variances</t>
        </is>
      </c>
      <c r="C38" s="91">
        <f>SUM($C$37:C37)</f>
        <v/>
      </c>
      <c r="D38" s="91">
        <f>SUM($C$37:D37)</f>
        <v/>
      </c>
      <c r="E38" s="91">
        <f>SUM($C$37:E37)</f>
        <v/>
      </c>
      <c r="F38" s="91">
        <f>SUM($C$37:F37)</f>
        <v/>
      </c>
      <c r="G38" s="91">
        <f>SUM($C$37:G37)</f>
        <v/>
      </c>
      <c r="H38" s="91">
        <f>SUM($C$37:H37)</f>
        <v/>
      </c>
      <c r="I38" s="91">
        <f>SUM($C$37:I37)</f>
        <v/>
      </c>
      <c r="J38" s="91">
        <f>SUM($C$37:J37)</f>
        <v/>
      </c>
      <c r="K38" s="91">
        <f>SUM($C$37:K37)</f>
        <v/>
      </c>
      <c r="L38" s="91">
        <f>SUM($C$37:L37)</f>
        <v/>
      </c>
      <c r="M38" s="91">
        <f>SUM($C$37:M37)</f>
        <v/>
      </c>
      <c r="N38" s="91">
        <f>SUM($C$37:N37)</f>
        <v/>
      </c>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E3"/>
  </mergeCells>
  <conditionalFormatting sqref="C7:O9">
    <cfRule type="cellIs" priority="5" operator="lessThan" dxfId="147">
      <formula>0</formula>
    </cfRule>
  </conditionalFormatting>
  <conditionalFormatting sqref="C12:O20">
    <cfRule type="cellIs" priority="4" operator="lessThan" dxfId="147">
      <formula>0</formula>
    </cfRule>
  </conditionalFormatting>
  <conditionalFormatting sqref="C23:O29">
    <cfRule type="cellIs" priority="3" operator="lessThan" dxfId="147">
      <formula>0</formula>
    </cfRule>
  </conditionalFormatting>
  <conditionalFormatting sqref="C32:O34">
    <cfRule type="cellIs" priority="2" operator="lessThan" dxfId="147">
      <formula>0</formula>
    </cfRule>
  </conditionalFormatting>
  <conditionalFormatting sqref="C37:O38">
    <cfRule type="cellIs" priority="1" operator="lessThan" dxfId="147">
      <formula>0</formula>
    </cfRule>
  </conditionalFormatting>
  <dataValidations count="7">
    <dataValidation sqref="A6" showDropDown="0" showInputMessage="1" showErrorMessage="1" allowBlank="1" prompt="Variance in Employee Costs is auto calculated in Employee Variances table starting in cell at right. Next instruction is in cell A11."/>
    <dataValidation sqref="A11" showDropDown="0" showInputMessage="1" showErrorMessage="1" allowBlank="1" prompt="Variance in Office Costs is auto calculated in Office Variances table starting in cell at right. Next instruction is in cell A22."/>
    <dataValidation sqref="A22" showDropDown="0" showInputMessage="1" showErrorMessage="1" allowBlank="1" prompt="Variance in Marketing Costs is auto calculated in Marketing Variances table starting in cell at right. Next instruction is in cell A31."/>
    <dataValidation sqref="A31" showDropDown="0" showInputMessage="1" showErrorMessage="1" allowBlank="1" prompt="Variance in Training or Travel Costs is auto calculated in Training and Travel Variances table starting in cell at right. Next instruction is in cell A36."/>
    <dataValidation sqref="A36" showDropDown="0" showInputMessage="1" showErrorMessage="1" allowBlank="1" prompt="Expense Variances are auto calculated in Total Variance table starting in cell at right."/>
    <dataValidation sqref="A1" showDropDown="0" showInputMessage="1" showErrorMessage="1" allowBlank="1" prompt="Variances between planned and actual expenses are auto calculated in this worksheet. Instructions on how to use this worksheet are in cells in this column. Arrow down to get started."/>
    <dataValidation sqref="A2" showDropDown="0" showInputMessage="1" showErrorMessage="1" allowBlank="1" prompt="Company Name is auto updated in cell at right. Title of this worksheet is in cell O2. Replace placeholder with your company logo."/>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5.xml><?xml version="1.0" encoding="utf-8"?>
<worksheet xmlns="http://schemas.openxmlformats.org/spreadsheetml/2006/main">
  <sheetPr codeName="Sheet5">
    <tabColor theme="4" tint="0.7999816888943144"/>
    <outlinePr summaryBelow="1" summaryRight="1"/>
    <pageSetUpPr autoPageBreaks="0" fitToPage="1"/>
  </sheetPr>
  <dimension ref="A1:G37"/>
  <sheetViews>
    <sheetView showGridLines="0" zoomScaleNormal="100" workbookViewId="0">
      <selection activeCell="A1" sqref="A1"/>
    </sheetView>
  </sheetViews>
  <sheetFormatPr baseColWidth="8" defaultColWidth="8.875" defaultRowHeight="18"/>
  <cols>
    <col width="4" customWidth="1" style="79" min="1" max="1"/>
    <col width="36.625" customWidth="1" style="71" min="2" max="2"/>
    <col width="28.625" customWidth="1" style="71" min="3" max="5"/>
    <col width="28.625" customWidth="1" style="82" min="6" max="6"/>
    <col width="4" customWidth="1" style="59" min="7" max="7"/>
    <col width="8.875" customWidth="1" style="71" min="8" max="16384"/>
  </cols>
  <sheetData>
    <row r="1" ht="20.1" customFormat="1" customHeight="1" s="59">
      <c r="A1" s="56" t="n"/>
      <c r="B1" s="57" t="n"/>
      <c r="C1" s="57" t="n"/>
      <c r="D1" s="57" t="n"/>
      <c r="E1" s="57" t="n"/>
      <c r="F1" s="58" t="n"/>
      <c r="G1" s="57" t="n"/>
    </row>
    <row r="2" ht="100.15" customFormat="1" customHeight="1" s="59">
      <c r="A2" s="2" t="n"/>
      <c r="B2" s="86">
        <f>'PLANNED EXPENSES'!B2:D3</f>
        <v/>
      </c>
      <c r="E2" s="60" t="n"/>
      <c r="F2" s="61" t="n"/>
      <c r="G2" s="62" t="n"/>
    </row>
    <row r="3" ht="19.9" customFormat="1" customHeight="1" s="59">
      <c r="A3" s="56" t="n"/>
      <c r="E3" s="61" t="n"/>
      <c r="F3" s="63" t="inlineStr">
        <is>
          <t>Detailed expense estimates</t>
        </is>
      </c>
      <c r="G3" s="61" t="n"/>
    </row>
    <row r="4" ht="30" customFormat="1" customHeight="1" s="59">
      <c r="A4" s="56" t="n"/>
      <c r="B4" s="64" t="n"/>
      <c r="C4" s="64" t="n"/>
      <c r="D4" s="64" t="n"/>
      <c r="E4" s="61" t="n"/>
      <c r="F4" s="65" t="n"/>
      <c r="G4" s="61" t="n"/>
    </row>
    <row r="5" ht="40.15" customFormat="1" customHeight="1" s="68">
      <c r="A5" s="56" t="n"/>
      <c r="B5" s="66" t="inlineStr">
        <is>
          <t>Expense category</t>
        </is>
      </c>
      <c r="C5" s="67" t="inlineStr">
        <is>
          <t>Planned expenses</t>
        </is>
      </c>
      <c r="D5" s="67" t="inlineStr">
        <is>
          <t>Actual expenses</t>
        </is>
      </c>
      <c r="E5" s="67" t="inlineStr">
        <is>
          <t>Expense variances</t>
        </is>
      </c>
      <c r="F5" s="67" t="inlineStr">
        <is>
          <t>Variance percentage</t>
        </is>
      </c>
      <c r="G5" s="61" t="n"/>
    </row>
    <row r="6" ht="30" customHeight="1" s="90">
      <c r="A6" s="56" t="n"/>
      <c r="B6" s="22" t="inlineStr">
        <is>
          <t>Employee costs</t>
        </is>
      </c>
      <c r="C6" s="92">
        <f>EmployeePlan[[#Totals],[YEAR]]</f>
        <v/>
      </c>
      <c r="D6" s="92">
        <f>EmployeeActual[[#Totals],[YEAR]]</f>
        <v/>
      </c>
      <c r="E6" s="92">
        <f>C6-D6</f>
        <v/>
      </c>
      <c r="F6" s="70">
        <f>E6/C6</f>
        <v/>
      </c>
      <c r="G6" s="61" t="n"/>
    </row>
    <row r="7" ht="30" customHeight="1" s="90">
      <c r="A7" s="56" t="n"/>
      <c r="B7" s="22">
        <f>'PLANNED EXPENSES'!B11</f>
        <v/>
      </c>
      <c r="C7" s="92">
        <f>OfficePlan[[#Totals],[YEAR]]</f>
        <v/>
      </c>
      <c r="D7" s="92">
        <f>OfficeActual[[#Totals],[YEAR]]</f>
        <v/>
      </c>
      <c r="E7" s="92">
        <f>C7-D7</f>
        <v/>
      </c>
      <c r="F7" s="70">
        <f>E7/C7</f>
        <v/>
      </c>
      <c r="G7" s="61" t="n"/>
    </row>
    <row r="8" ht="30" customHeight="1" s="90">
      <c r="A8" s="56" t="n"/>
      <c r="B8" s="22">
        <f>'PLANNED EXPENSES'!B22</f>
        <v/>
      </c>
      <c r="C8" s="92">
        <f>MarketingPlan[[#Totals],[YEAR]]</f>
        <v/>
      </c>
      <c r="D8" s="92">
        <f>MarketingActual[[#Totals],[YEAR]]</f>
        <v/>
      </c>
      <c r="E8" s="92">
        <f>C8-D8</f>
        <v/>
      </c>
      <c r="F8" s="70">
        <f>E8/C8</f>
        <v/>
      </c>
      <c r="G8" s="61" t="n"/>
    </row>
    <row r="9" ht="30" customHeight="1" s="90">
      <c r="A9" s="56" t="n"/>
      <c r="B9" s="22">
        <f>'PLANNED EXPENSES'!B31</f>
        <v/>
      </c>
      <c r="C9" s="92">
        <f>TrainingAndTravelPlan[[#Totals],[YEAR]]</f>
        <v/>
      </c>
      <c r="D9" s="92">
        <f>TrainingAndTravelActual[[#Totals],[YEAR]]</f>
        <v/>
      </c>
      <c r="E9" s="92">
        <f>C9-D9</f>
        <v/>
      </c>
      <c r="F9" s="70">
        <f>E9/C9</f>
        <v/>
      </c>
      <c r="G9" s="61" t="n"/>
    </row>
    <row r="10" ht="30" customHeight="1" s="90">
      <c r="A10" s="56" t="n"/>
      <c r="B10" s="22">
        <f>'PLANNED EXPENSES'!B36</f>
        <v/>
      </c>
      <c r="C10" s="92">
        <f>'PLANNED EXPENSES'!O37</f>
        <v/>
      </c>
      <c r="D10" s="92">
        <f>'ACTUAL EXPENSES'!O37</f>
        <v/>
      </c>
      <c r="E10" s="92">
        <f>C10-D10</f>
        <v/>
      </c>
      <c r="F10" s="70">
        <f>E10/C10</f>
        <v/>
      </c>
      <c r="G10" s="61" t="n"/>
    </row>
    <row r="11" ht="21" customHeight="1" s="90">
      <c r="A11" s="56" t="n"/>
      <c r="B11" s="72" t="n"/>
      <c r="C11" s="93" t="n"/>
      <c r="D11" s="93" t="n"/>
      <c r="E11" s="93" t="n"/>
      <c r="F11" s="74" t="n"/>
      <c r="G11" s="61" t="n"/>
    </row>
    <row r="12" ht="300" customHeight="1" s="90">
      <c r="A12" s="56" t="n"/>
      <c r="B12" s="76" t="n"/>
      <c r="C12" s="76" t="n"/>
      <c r="D12" s="76" t="n"/>
      <c r="E12" s="76" t="n"/>
      <c r="F12" s="76" t="n"/>
      <c r="G12" s="61" t="n"/>
    </row>
    <row r="13" ht="18.75" customHeight="1" s="90">
      <c r="A13" s="56" t="n"/>
      <c r="B13" s="75" t="n"/>
      <c r="C13" s="76" t="n"/>
      <c r="D13" s="76" t="n"/>
      <c r="E13" s="76" t="n"/>
      <c r="F13" s="77" t="n"/>
      <c r="G13" s="61" t="n"/>
    </row>
    <row r="14" ht="21" customHeight="1" s="90">
      <c r="A14" s="56" t="n"/>
      <c r="B14" s="75" t="n"/>
      <c r="C14" s="78" t="n"/>
      <c r="D14" s="78" t="n"/>
      <c r="E14" s="78" t="n"/>
      <c r="F14" s="77" t="n"/>
      <c r="G14" s="61" t="n"/>
    </row>
    <row r="15" ht="24" customHeight="1" s="90">
      <c r="A15" s="56" t="n"/>
      <c r="B15" s="75" t="n"/>
      <c r="C15" s="78" t="n"/>
      <c r="D15" s="78" t="n"/>
      <c r="E15" s="78" t="n"/>
      <c r="F15" s="77" t="n"/>
      <c r="G15" s="61" t="n"/>
    </row>
    <row r="16" ht="24" customHeight="1" s="90">
      <c r="A16" s="56" t="n"/>
      <c r="B16" s="75" t="n"/>
      <c r="C16" s="78" t="n"/>
      <c r="D16" s="78" t="n"/>
      <c r="E16" s="78" t="n"/>
      <c r="F16" s="77" t="n"/>
      <c r="G16" s="61" t="n"/>
    </row>
    <row r="17" ht="24" customHeight="1" s="90">
      <c r="A17" s="56" t="n"/>
      <c r="B17" s="75" t="n"/>
      <c r="C17" s="78" t="n"/>
      <c r="D17" s="78" t="n"/>
      <c r="E17" s="78" t="n"/>
      <c r="F17" s="77" t="n"/>
      <c r="G17" s="61" t="n"/>
    </row>
    <row r="18" ht="24" customHeight="1" s="90">
      <c r="A18" s="56" t="n"/>
      <c r="B18" s="75" t="n"/>
      <c r="C18" s="78" t="n"/>
      <c r="D18" s="78" t="n"/>
      <c r="E18" s="78" t="n"/>
      <c r="F18" s="77" t="n"/>
      <c r="G18" s="61" t="n"/>
    </row>
    <row r="19" ht="24" customHeight="1" s="90">
      <c r="A19" s="56" t="n"/>
      <c r="B19" s="78" t="n"/>
      <c r="C19" s="78" t="n"/>
      <c r="D19" s="78" t="n"/>
      <c r="E19" s="78" t="n"/>
      <c r="F19" s="77" t="n"/>
      <c r="G19" s="61" t="n"/>
    </row>
    <row r="20" ht="24" customHeight="1" s="90">
      <c r="A20" s="56" t="n"/>
      <c r="B20" s="78" t="n"/>
      <c r="C20" s="78" t="n"/>
      <c r="D20" s="78" t="n"/>
      <c r="E20" s="78" t="n"/>
      <c r="F20" s="77" t="n"/>
      <c r="G20" s="61" t="n"/>
    </row>
    <row r="21" ht="24" customHeight="1" s="90">
      <c r="A21" s="56" t="n"/>
      <c r="B21" s="78" t="n"/>
      <c r="C21" s="78" t="n"/>
      <c r="D21" s="78" t="n"/>
      <c r="E21" s="78" t="n"/>
      <c r="F21" s="77" t="n"/>
      <c r="G21" s="61" t="n"/>
    </row>
    <row r="22" ht="24" customHeight="1" s="90">
      <c r="A22" s="56" t="n"/>
      <c r="B22" s="75" t="n"/>
      <c r="C22" s="78" t="n"/>
      <c r="D22" s="78" t="n"/>
      <c r="E22" s="78" t="n"/>
      <c r="F22" s="77" t="n"/>
      <c r="G22" s="61" t="n"/>
    </row>
    <row r="23" ht="24" customHeight="1" s="90">
      <c r="A23" s="56" t="n"/>
      <c r="B23" s="75" t="n"/>
      <c r="C23" s="78" t="n"/>
      <c r="D23" s="78" t="n"/>
      <c r="E23" s="78" t="n"/>
      <c r="F23" s="77" t="n"/>
      <c r="G23" s="61" t="n"/>
    </row>
    <row r="24" ht="24" customHeight="1" s="90">
      <c r="A24" s="56" t="n"/>
      <c r="B24" s="75" t="n"/>
      <c r="C24" s="78" t="n"/>
      <c r="D24" s="78" t="n"/>
      <c r="E24" s="78" t="n"/>
      <c r="F24" s="77" t="n"/>
      <c r="G24" s="61" t="n"/>
    </row>
    <row r="25" ht="24" customHeight="1" s="90">
      <c r="A25" s="56" t="n"/>
      <c r="B25" s="75" t="n"/>
      <c r="C25" s="78" t="n"/>
      <c r="D25" s="78" t="n"/>
      <c r="E25" s="78" t="n"/>
      <c r="F25" s="77" t="n"/>
      <c r="G25" s="61" t="n"/>
    </row>
    <row r="26" ht="24" customHeight="1" s="90">
      <c r="A26" s="56" t="n"/>
      <c r="B26" s="75" t="n"/>
      <c r="C26" s="78" t="n"/>
      <c r="D26" s="78" t="n"/>
      <c r="E26" s="78" t="n"/>
      <c r="F26" s="77" t="n"/>
      <c r="G26" s="61" t="n"/>
    </row>
    <row r="27" ht="24" customHeight="1" s="90">
      <c r="A27" s="56" t="n"/>
      <c r="B27" s="75" t="n"/>
      <c r="C27" s="78" t="n"/>
      <c r="D27" s="78" t="n"/>
      <c r="E27" s="78" t="n"/>
      <c r="F27" s="77" t="n"/>
      <c r="G27" s="61" t="n"/>
    </row>
    <row r="28" ht="24" customHeight="1" s="90">
      <c r="A28" s="56" t="n"/>
      <c r="B28" s="78" t="n"/>
      <c r="C28" s="78" t="n"/>
      <c r="D28" s="78" t="n"/>
      <c r="E28" s="78" t="n"/>
      <c r="F28" s="77" t="n"/>
      <c r="G28" s="61" t="n"/>
    </row>
    <row r="29" ht="24" customHeight="1" s="90">
      <c r="A29" s="56" t="n"/>
      <c r="B29" s="78" t="n"/>
      <c r="C29" s="78" t="n"/>
      <c r="D29" s="78" t="n"/>
      <c r="E29" s="78" t="n"/>
      <c r="F29" s="77" t="n"/>
      <c r="G29" s="61" t="n"/>
    </row>
    <row r="30" ht="24" customHeight="1" s="90">
      <c r="A30" s="56" t="n"/>
      <c r="B30" s="78" t="n"/>
      <c r="C30" s="78" t="n"/>
      <c r="D30" s="78" t="n"/>
      <c r="E30" s="78" t="n"/>
      <c r="F30" s="77" t="n"/>
      <c r="G30" s="61" t="n"/>
    </row>
    <row r="31" ht="24" customHeight="1" s="90">
      <c r="A31" s="56" t="n"/>
      <c r="B31" s="75" t="n"/>
      <c r="C31" s="78" t="n"/>
      <c r="D31" s="78" t="n"/>
      <c r="E31" s="78" t="n"/>
      <c r="F31" s="77" t="n"/>
      <c r="G31" s="61" t="n"/>
    </row>
    <row r="32" ht="24" customHeight="1" s="90">
      <c r="A32" s="56" t="n"/>
      <c r="B32" s="75" t="n"/>
      <c r="C32" s="78" t="n"/>
      <c r="D32" s="78" t="n"/>
      <c r="E32" s="78" t="n"/>
      <c r="F32" s="77" t="n"/>
      <c r="G32" s="61" t="n"/>
    </row>
    <row r="33" ht="24" customHeight="1" s="90">
      <c r="A33" s="56" t="n"/>
      <c r="B33" s="78" t="n"/>
      <c r="C33" s="78" t="n"/>
      <c r="D33" s="78" t="n"/>
      <c r="E33" s="78" t="n"/>
      <c r="F33" s="77" t="n"/>
      <c r="G33" s="61" t="n"/>
    </row>
    <row r="34" ht="24" customHeight="1" s="90">
      <c r="A34" s="56" t="n"/>
      <c r="B34" s="78" t="n"/>
      <c r="C34" s="78" t="n"/>
      <c r="D34" s="78" t="n"/>
      <c r="E34" s="78" t="n"/>
      <c r="F34" s="77" t="n"/>
      <c r="G34" s="61" t="n"/>
    </row>
    <row r="35" ht="24" customHeight="1" s="90">
      <c r="A35" s="56" t="n"/>
      <c r="B35" s="78" t="n"/>
      <c r="C35" s="78" t="n"/>
      <c r="D35" s="78" t="n"/>
      <c r="E35" s="78" t="n"/>
      <c r="F35" s="77" t="n"/>
      <c r="G35" s="61" t="n"/>
    </row>
    <row r="36" ht="30" customHeight="1" s="90">
      <c r="A36" s="56" t="n"/>
      <c r="B36" s="76" t="n"/>
      <c r="C36" s="76" t="n"/>
      <c r="D36" s="76" t="n"/>
      <c r="E36" s="76" t="n"/>
      <c r="F36" s="76" t="n"/>
      <c r="G36" s="61" t="n"/>
    </row>
    <row r="37">
      <c r="B37" s="80" t="n"/>
      <c r="C37" s="81" t="n"/>
      <c r="D37" s="81" t="n"/>
      <c r="E37" s="81" t="n"/>
    </row>
  </sheetData>
  <mergeCells count="1">
    <mergeCell ref="B2:D3"/>
  </mergeCells>
  <dataValidations count="2">
    <dataValidation sqref="A1" showDropDown="0" showInputMessage="1" showErrorMessage="1" allowBlank="1" prompt="Annual Planned and Actual Expenses, Expense Variances, and Variance Percentage are auto updated for each Expense Category in this worksheet. Helpful instructions on how to use this worksheet are in cells in this column. Arrow down to get started. "/>
    <dataValidation sqref="A2" showDropDown="0" showInputMessage="1" showErrorMessage="1" allowBlank="1" prompt="Company Name is auto updated in cell at right. Title of this worksheet is in cell F3. Replace placeholder with your company logo."/>
  </dataValidations>
  <printOptions horizontalCentered="1"/>
  <pageMargins left="0.4" right="0.4" top="0.4" bottom="0.4" header="0.3" footer="0.3"/>
  <pageSetup orientation="portrait" scale="59"/>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2023-08-07T14:21:33Z</dcterms:created>
  <dcterms:modified xsi:type="dcterms:W3CDTF">2026-03-05T04:05:29Z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