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PLANNED EXPENSES" sheetId="2" state="visible" r:id="rId2"/>
    <sheet name="ACTUAL EXPENSES" sheetId="3" state="visible" r:id="rId3"/>
    <sheet name="EXPENSE VARIANCES" sheetId="4" state="visible" r:id="rId4"/>
    <sheet name="EXPENSE ANALYSIS" sheetId="5" state="visible" r:id="rId5"/>
    <sheet name="_Metadata" sheetId="6" state="visible" r:id="rId6"/>
    <sheet name="_FormulaGro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START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inlineStr">
        <is>
          <t>About this Template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48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n">
        <v/>
      </c>
      <c r="R2" t="b">
        <v>1</v>
      </c>
      <c r="V2" t="b">
        <v>0</v>
      </c>
      <c r="W2" t="inlineStr"/>
    </row>
    <row r="3">
      <c r="A3" t="inlineStr">
        <is>
          <t>START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inlineStr">
        <is>
          <t> 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48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n">
        <v/>
      </c>
      <c r="P3" t="n">
        <v/>
      </c>
      <c r="R3" t="b">
        <v>1</v>
      </c>
      <c r="V3" t="b">
        <v>0</v>
      </c>
      <c r="W3" t="inlineStr"/>
    </row>
    <row r="4">
      <c r="A4" t="inlineStr">
        <is>
          <t>START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G4" t="n">
        <v/>
      </c>
      <c r="H4" t="inlineStr"/>
      <c r="I4" t="inlineStr">
        <is>
          <t>General</t>
        </is>
      </c>
      <c r="J4" t="b">
        <v>1</v>
      </c>
      <c r="K4" t="b">
        <v>0</v>
      </c>
      <c r="L4" t="n">
        <v>48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n">
        <v/>
      </c>
      <c r="P4" t="n">
        <v/>
      </c>
      <c r="R4" t="b">
        <v>0</v>
      </c>
      <c r="V4" t="b">
        <v>0</v>
      </c>
      <c r="W4" t="inlineStr"/>
    </row>
    <row r="5">
      <c r="A5" t="inlineStr">
        <is>
          <t>START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G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48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n">
        <v/>
      </c>
      <c r="P5" t="n">
        <v/>
      </c>
      <c r="R5" t="b">
        <v>0</v>
      </c>
      <c r="V5" t="b">
        <v>0</v>
      </c>
      <c r="W5" t="inlineStr"/>
    </row>
    <row r="6">
      <c r="A6" t="inlineStr">
        <is>
          <t>START</t>
        </is>
      </c>
      <c r="B6" t="inlineStr">
        <is>
          <t>B3</t>
        </is>
      </c>
      <c r="C6" t="n">
        <v>3</v>
      </c>
      <c r="D6" t="n">
        <v>2</v>
      </c>
      <c r="E6" t="inlineStr">
        <is>
          <t>Input</t>
        </is>
      </c>
      <c r="G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48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n">
        <v/>
      </c>
      <c r="R6" t="b">
        <v>0</v>
      </c>
      <c r="V6" t="b">
        <v>0</v>
      </c>
      <c r="W6" t="inlineStr"/>
    </row>
    <row r="7">
      <c r="A7" t="inlineStr">
        <is>
          <t>START</t>
        </is>
      </c>
      <c r="B7" t="inlineStr">
        <is>
          <t>C3</t>
        </is>
      </c>
      <c r="C7" t="n">
        <v>3</v>
      </c>
      <c r="D7" t="n">
        <v>3</v>
      </c>
      <c r="E7" t="inlineStr">
        <is>
          <t>Input</t>
        </is>
      </c>
      <c r="G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n">
        <v/>
      </c>
      <c r="P7" t="n">
        <v/>
      </c>
      <c r="R7" t="b">
        <v>0</v>
      </c>
      <c r="V7" t="b">
        <v>0</v>
      </c>
      <c r="W7" t="inlineStr"/>
    </row>
    <row r="8">
      <c r="A8" t="inlineStr">
        <is>
          <t>START</t>
        </is>
      </c>
      <c r="B8" t="inlineStr">
        <is>
          <t>B4</t>
        </is>
      </c>
      <c r="C8" t="n">
        <v>4</v>
      </c>
      <c r="D8" t="n">
        <v>2</v>
      </c>
      <c r="E8" t="inlineStr">
        <is>
          <t>Input</t>
        </is>
      </c>
      <c r="G8" t="inlineStr">
        <is>
          <t>Use this business expense budget workbook to track planned and 
actual expenses and variances.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n">
        <v/>
      </c>
      <c r="P8" t="inlineStr">
        <is>
          <t>top</t>
        </is>
      </c>
      <c r="Q8" t="b">
        <v>1</v>
      </c>
      <c r="R8" t="b">
        <v>1</v>
      </c>
      <c r="V8" t="b">
        <v>0</v>
      </c>
      <c r="W8" t="inlineStr"/>
    </row>
    <row r="9">
      <c r="A9" t="inlineStr">
        <is>
          <t>START</t>
        </is>
      </c>
      <c r="B9" t="inlineStr">
        <is>
          <t>C4</t>
        </is>
      </c>
      <c r="C9" t="n">
        <v>4</v>
      </c>
      <c r="D9" t="n">
        <v>3</v>
      </c>
      <c r="E9" t="inlineStr">
        <is>
          <t>Input</t>
        </is>
      </c>
      <c r="G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n">
        <v/>
      </c>
      <c r="P9" t="inlineStr">
        <is>
          <t>top</t>
        </is>
      </c>
      <c r="R9" t="b">
        <v>0</v>
      </c>
      <c r="V9" t="b">
        <v>0</v>
      </c>
      <c r="W9" t="inlineStr"/>
    </row>
    <row r="10">
      <c r="A10" t="inlineStr">
        <is>
          <t>START</t>
        </is>
      </c>
      <c r="B10" t="inlineStr">
        <is>
          <t>B5</t>
        </is>
      </c>
      <c r="C10" t="n">
        <v>5</v>
      </c>
      <c r="D10" t="n">
        <v>2</v>
      </c>
      <c r="E10" t="inlineStr">
        <is>
          <t>Input</t>
        </is>
      </c>
      <c r="G10" t="inlineStr">
        <is>
          <t>Fill in company name and add logo.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n">
        <v/>
      </c>
      <c r="P10" t="inlineStr">
        <is>
          <t>top</t>
        </is>
      </c>
      <c r="Q10" t="b">
        <v>1</v>
      </c>
      <c r="R10" t="b">
        <v>1</v>
      </c>
      <c r="V10" t="b">
        <v>0</v>
      </c>
      <c r="W10" t="inlineStr"/>
    </row>
    <row r="11">
      <c r="A11" t="inlineStr">
        <is>
          <t>START</t>
        </is>
      </c>
      <c r="B11" t="inlineStr">
        <is>
          <t>C5</t>
        </is>
      </c>
      <c r="C11" t="n">
        <v>5</v>
      </c>
      <c r="D11" t="n">
        <v>3</v>
      </c>
      <c r="E11" t="inlineStr">
        <is>
          <t>Input</t>
        </is>
      </c>
      <c r="G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n">
        <v/>
      </c>
      <c r="P11" t="inlineStr">
        <is>
          <t>top</t>
        </is>
      </c>
      <c r="R11" t="b">
        <v>0</v>
      </c>
      <c r="V11" t="b">
        <v>0</v>
      </c>
      <c r="W11" t="inlineStr"/>
    </row>
    <row r="12">
      <c r="A12" t="inlineStr">
        <is>
          <t>START</t>
        </is>
      </c>
      <c r="B12" t="inlineStr">
        <is>
          <t>B6</t>
        </is>
      </c>
      <c r="C12" t="n">
        <v>6</v>
      </c>
      <c r="D12" t="n">
        <v>2</v>
      </c>
      <c r="E12" t="inlineStr">
        <is>
          <t>Input</t>
        </is>
      </c>
      <c r="G12" t="inlineStr">
        <is>
          <t>Enter details in tables in planned expenses 
worksheet and actual expenses worksheet.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n">
        <v/>
      </c>
      <c r="P12" t="inlineStr">
        <is>
          <t>top</t>
        </is>
      </c>
      <c r="Q12" t="b">
        <v>1</v>
      </c>
      <c r="R12" t="b">
        <v>1</v>
      </c>
      <c r="V12" t="b">
        <v>0</v>
      </c>
      <c r="W12" t="inlineStr"/>
    </row>
    <row r="13">
      <c r="A13" t="inlineStr">
        <is>
          <t>START</t>
        </is>
      </c>
      <c r="B13" t="inlineStr">
        <is>
          <t>C6</t>
        </is>
      </c>
      <c r="C13" t="n">
        <v>6</v>
      </c>
      <c r="D13" t="n">
        <v>3</v>
      </c>
      <c r="E13" t="inlineStr">
        <is>
          <t>Input</t>
        </is>
      </c>
      <c r="G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n">
        <v/>
      </c>
      <c r="P13" t="inlineStr">
        <is>
          <t>top</t>
        </is>
      </c>
      <c r="R13" t="b">
        <v>0</v>
      </c>
      <c r="V13" t="b">
        <v>0</v>
      </c>
      <c r="W13" t="inlineStr"/>
    </row>
    <row r="14">
      <c r="A14" t="inlineStr">
        <is>
          <t>START</t>
        </is>
      </c>
      <c r="B14" t="inlineStr">
        <is>
          <t>B7</t>
        </is>
      </c>
      <c r="C14" t="n">
        <v>7</v>
      </c>
      <c r="D14" t="n">
        <v>2</v>
      </c>
      <c r="E14" t="inlineStr">
        <is>
          <t>Input</t>
        </is>
      </c>
      <c r="G14" t="inlineStr">
        <is>
          <t>Tables are auto updated in expense variances worksheet and charts in 
expense analysis worksheet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n">
        <v/>
      </c>
      <c r="P14" t="inlineStr">
        <is>
          <t>top</t>
        </is>
      </c>
      <c r="Q14" t="b">
        <v>1</v>
      </c>
      <c r="R14" t="b">
        <v>1</v>
      </c>
      <c r="V14" t="b">
        <v>0</v>
      </c>
      <c r="W14" t="inlineStr"/>
    </row>
    <row r="15">
      <c r="A15" t="inlineStr">
        <is>
          <t>START</t>
        </is>
      </c>
      <c r="B15" t="inlineStr">
        <is>
          <t>C7</t>
        </is>
      </c>
      <c r="C15" t="n">
        <v>7</v>
      </c>
      <c r="D15" t="n">
        <v>3</v>
      </c>
      <c r="E15" t="inlineStr">
        <is>
          <t>Input</t>
        </is>
      </c>
      <c r="G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n">
        <v/>
      </c>
      <c r="P15" t="inlineStr">
        <is>
          <t>top</t>
        </is>
      </c>
      <c r="R15" t="b">
        <v>0</v>
      </c>
      <c r="V15" t="b">
        <v>0</v>
      </c>
      <c r="W15" t="inlineStr"/>
    </row>
    <row r="16">
      <c r="A16" t="inlineStr">
        <is>
          <t>START</t>
        </is>
      </c>
      <c r="B16" t="inlineStr">
        <is>
          <t>B8</t>
        </is>
      </c>
      <c r="C16" t="n">
        <v>8</v>
      </c>
      <c r="D16" t="n">
        <v>2</v>
      </c>
      <c r="E16" t="inlineStr">
        <is>
          <t>Input</t>
        </is>
      </c>
      <c r="G16" t="inlineStr">
        <is>
          <t>HOW TO USE THIS TEMPLATE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16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n">
        <v/>
      </c>
      <c r="P16" t="inlineStr">
        <is>
          <t>center</t>
        </is>
      </c>
      <c r="Q16" t="b">
        <v>1</v>
      </c>
      <c r="R16" t="b">
        <v>1</v>
      </c>
      <c r="V16" t="b">
        <v>0</v>
      </c>
      <c r="W16" t="inlineStr"/>
    </row>
    <row r="17">
      <c r="A17" t="inlineStr">
        <is>
          <t>START</t>
        </is>
      </c>
      <c r="B17" t="inlineStr">
        <is>
          <t>C8</t>
        </is>
      </c>
      <c r="C17" t="n">
        <v>8</v>
      </c>
      <c r="D17" t="n">
        <v>3</v>
      </c>
      <c r="E17" t="inlineStr">
        <is>
          <t>Input</t>
        </is>
      </c>
      <c r="G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n">
        <v/>
      </c>
      <c r="P17" t="n">
        <v/>
      </c>
      <c r="R17" t="b">
        <v>0</v>
      </c>
      <c r="V17" t="b">
        <v>0</v>
      </c>
      <c r="W17" t="inlineStr"/>
    </row>
    <row r="18">
      <c r="A18" t="inlineStr">
        <is>
          <t>START</t>
        </is>
      </c>
      <c r="B18" t="inlineStr">
        <is>
          <t>B9</t>
        </is>
      </c>
      <c r="C18" t="n">
        <v>9</v>
      </c>
      <c r="D18" t="n">
        <v>2</v>
      </c>
      <c r="E18" t="inlineStr">
        <is>
          <t>Input</t>
        </is>
      </c>
      <c r="G18" t="inlineStr">
        <is>
          <t>Input data in the white cells on the PLANNED EXPENSES and 
ACTUAL EXPENSES worksheets, and the EXPENSE VARIANCES and 
EXPENSE ANALYSIS will be calculated for you.  If you add a row on 
one sheet, the other sheets need to match.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n">
        <v/>
      </c>
      <c r="P18" t="inlineStr">
        <is>
          <t>top</t>
        </is>
      </c>
      <c r="Q18" t="b">
        <v>1</v>
      </c>
      <c r="R18" t="b">
        <v>1</v>
      </c>
      <c r="V18" t="b">
        <v>0</v>
      </c>
      <c r="W18" t="inlineStr"/>
    </row>
    <row r="19">
      <c r="A19" t="inlineStr">
        <is>
          <t>START</t>
        </is>
      </c>
      <c r="B19" t="inlineStr">
        <is>
          <t>C9</t>
        </is>
      </c>
      <c r="C19" t="n">
        <v>9</v>
      </c>
      <c r="D19" t="n">
        <v>3</v>
      </c>
      <c r="E19" t="inlineStr">
        <is>
          <t>Input</t>
        </is>
      </c>
      <c r="G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n">
        <v/>
      </c>
      <c r="P19" t="n">
        <v/>
      </c>
      <c r="R19" t="b">
        <v>0</v>
      </c>
      <c r="V19" t="b">
        <v>0</v>
      </c>
      <c r="W19" t="inlineStr"/>
    </row>
    <row r="20">
      <c r="A20" t="inlineStr">
        <is>
          <t>START</t>
        </is>
      </c>
      <c r="B20" t="inlineStr">
        <is>
          <t>B10</t>
        </is>
      </c>
      <c r="C20" t="n">
        <v>10</v>
      </c>
      <c r="D20" t="n">
        <v>2</v>
      </c>
      <c r="E20" t="inlineStr">
        <is>
          <t>Input</t>
        </is>
      </c>
      <c r="G20" t="inlineStr">
        <is>
          <t>Note</t>
        </is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16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n">
        <v/>
      </c>
      <c r="P20" t="inlineStr">
        <is>
          <t>center</t>
        </is>
      </c>
      <c r="Q20" t="b">
        <v>1</v>
      </c>
      <c r="R20" t="b">
        <v>1</v>
      </c>
      <c r="V20" t="b">
        <v>0</v>
      </c>
      <c r="W20" t="inlineStr"/>
    </row>
    <row r="21">
      <c r="A21" t="inlineStr">
        <is>
          <t>START</t>
        </is>
      </c>
      <c r="B21" t="inlineStr">
        <is>
          <t>C10</t>
        </is>
      </c>
      <c r="C21" t="n">
        <v>10</v>
      </c>
      <c r="D21" t="n">
        <v>3</v>
      </c>
      <c r="E21" t="inlineStr">
        <is>
          <t>Input</t>
        </is>
      </c>
      <c r="G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n">
        <v/>
      </c>
      <c r="P21" t="inlineStr">
        <is>
          <t>center</t>
        </is>
      </c>
      <c r="R21" t="b">
        <v>0</v>
      </c>
      <c r="V21" t="b">
        <v>0</v>
      </c>
      <c r="W21" t="inlineStr"/>
    </row>
    <row r="22">
      <c r="A22" t="inlineStr">
        <is>
          <t>START</t>
        </is>
      </c>
      <c r="B22" t="inlineStr">
        <is>
          <t>B11</t>
        </is>
      </c>
      <c r="C22" t="n">
        <v>11</v>
      </c>
      <c r="D22" t="n">
        <v>2</v>
      </c>
      <c r="E22" t="inlineStr">
        <is>
          <t>Input</t>
        </is>
      </c>
      <c r="G22" t="inlineStr">
        <is>
          <t xml:space="preserve">Additional instructions have been provided in column A in each 
worksheet. To learn more about tables, press SHIFT and then F10 
within a table, select the TABLE option, and then select 
ALTERNATIVE TEXT.
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n">
        <v/>
      </c>
      <c r="P22" t="inlineStr">
        <is>
          <t>top</t>
        </is>
      </c>
      <c r="Q22" t="b">
        <v>1</v>
      </c>
      <c r="R22" t="b">
        <v>1</v>
      </c>
      <c r="V22" t="b">
        <v>0</v>
      </c>
      <c r="W22" t="inlineStr"/>
    </row>
    <row r="23">
      <c r="A23" t="inlineStr">
        <is>
          <t>START</t>
        </is>
      </c>
      <c r="B23" t="inlineStr">
        <is>
          <t>C11</t>
        </is>
      </c>
      <c r="C23" t="n">
        <v>11</v>
      </c>
      <c r="D23" t="n">
        <v>3</v>
      </c>
      <c r="E23" t="inlineStr">
        <is>
          <t>Input</t>
        </is>
      </c>
      <c r="G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n">
        <v/>
      </c>
      <c r="P23" t="inlineStr">
        <is>
          <t>center</t>
        </is>
      </c>
      <c r="R23" t="b">
        <v>0</v>
      </c>
      <c r="V23" t="b">
        <v>0</v>
      </c>
      <c r="W23" t="inlineStr"/>
    </row>
    <row r="24">
      <c r="A24" t="inlineStr">
        <is>
          <t>START</t>
        </is>
      </c>
      <c r="B24" t="inlineStr">
        <is>
          <t>B12</t>
        </is>
      </c>
      <c r="C24" t="n">
        <v>12</v>
      </c>
      <c r="D24" t="n">
        <v>2</v>
      </c>
      <c r="E24" t="inlineStr">
        <is>
          <t>Input</t>
        </is>
      </c>
      <c r="G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inlineStr">
        <is>
          <t>top</t>
        </is>
      </c>
      <c r="Q24" t="b">
        <v>1</v>
      </c>
      <c r="R24" t="b">
        <v>0</v>
      </c>
      <c r="V24" t="b">
        <v>0</v>
      </c>
      <c r="W24" t="inlineStr"/>
    </row>
    <row r="25">
      <c r="A25" t="inlineStr">
        <is>
          <t>START</t>
        </is>
      </c>
      <c r="B25" t="inlineStr">
        <is>
          <t>C12</t>
        </is>
      </c>
      <c r="C25" t="n">
        <v>12</v>
      </c>
      <c r="D25" t="n">
        <v>3</v>
      </c>
      <c r="E25" t="inlineStr">
        <is>
          <t>Input</t>
        </is>
      </c>
      <c r="G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inlineStr">
        <is>
          <t>top</t>
        </is>
      </c>
      <c r="R25" t="b">
        <v>0</v>
      </c>
      <c r="V25" t="b">
        <v>0</v>
      </c>
      <c r="W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PLANNED EXPENSES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PLANNED EXPENSES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PLANNED EXPENSES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PLANNED EXPENSES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PLANNED EXPENSES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PLANNED EXPENSES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left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PLANNED EXPENSES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PLANNED EXPENSES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PLANNED EXPENSES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inlineStr">
        <is>
          <t>top</t>
        </is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PLANNED EXPENSES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left</t>
        </is>
      </c>
      <c r="P11" t="inlineStr">
        <is>
          <t>top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PLANNED EXPENSES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inlineStr">
        <is>
          <t>top</t>
        </is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PLANNED EXPENSES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left</t>
        </is>
      </c>
      <c r="P13" t="inlineStr">
        <is>
          <t>top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PLANNED EXPENSES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left</t>
        </is>
      </c>
      <c r="P14" t="inlineStr">
        <is>
          <t>top</t>
        </is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PLANNED EXPENSES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left</t>
        </is>
      </c>
      <c r="P15" t="inlineStr">
        <is>
          <t>top</t>
        </is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PLANNED EXPENSES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left</t>
        </is>
      </c>
      <c r="P16" t="inlineStr">
        <is>
          <t>top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PLANNED EXPENSES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 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inlineStr">
        <is>
          <t>top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PLANNED EXPENSES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left</t>
        </is>
      </c>
      <c r="P18" t="inlineStr">
        <is>
          <t>top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PLANNED EXPENSES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Input</t>
        </is>
      </c>
      <c r="F19" t="n">
        <v/>
      </c>
      <c r="G19" t="inlineStr">
        <is>
          <t>SBO Banking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48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PLANNED EXPENSES</t>
        </is>
      </c>
      <c r="B20" t="inlineStr">
        <is>
          <t>E2</t>
        </is>
      </c>
      <c r="C20" t="n">
        <v>2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_("$"* #,##0_);_("$"* \(#,##0\);_("$"* "-"??_);_(@_)</t>
        </is>
      </c>
      <c r="J20" t="b">
        <v>1</v>
      </c>
      <c r="K20" t="b">
        <v>0</v>
      </c>
      <c r="L20" t="n">
        <v>14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PLANNED EXPENSES</t>
        </is>
      </c>
      <c r="B21" t="inlineStr">
        <is>
          <t>F2</t>
        </is>
      </c>
      <c r="C21" t="n">
        <v>2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14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PLANNED EXPENSES</t>
        </is>
      </c>
      <c r="B22" t="inlineStr">
        <is>
          <t>G2</t>
        </is>
      </c>
      <c r="C22" t="n">
        <v>2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top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PLANNED EXPENSES</t>
        </is>
      </c>
      <c r="B23" t="inlineStr">
        <is>
          <t>H2</t>
        </is>
      </c>
      <c r="C23" t="n">
        <v>2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left</t>
        </is>
      </c>
      <c r="P23" t="inlineStr">
        <is>
          <t>top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PLANNED EXPENSES</t>
        </is>
      </c>
      <c r="B24" t="inlineStr">
        <is>
          <t>I2</t>
        </is>
      </c>
      <c r="C24" t="n">
        <v>2</v>
      </c>
      <c r="D24" t="n">
        <v>9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left</t>
        </is>
      </c>
      <c r="P24" t="inlineStr">
        <is>
          <t>top</t>
        </is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PLANNED EXPENSES</t>
        </is>
      </c>
      <c r="B25" t="inlineStr">
        <is>
          <t>J2</t>
        </is>
      </c>
      <c r="C25" t="n">
        <v>2</v>
      </c>
      <c r="D25" t="n">
        <v>10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14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left</t>
        </is>
      </c>
      <c r="P25" t="inlineStr">
        <is>
          <t>top</t>
        </is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PLANNED EXPENSES</t>
        </is>
      </c>
      <c r="B26" t="inlineStr">
        <is>
          <t>K2</t>
        </is>
      </c>
      <c r="C26" t="n">
        <v>2</v>
      </c>
      <c r="D26" t="n">
        <v>11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PLANNED EXPENSES</t>
        </is>
      </c>
      <c r="B27" t="inlineStr">
        <is>
          <t>L2</t>
        </is>
      </c>
      <c r="C27" t="n">
        <v>2</v>
      </c>
      <c r="D27" t="n">
        <v>12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16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left</t>
        </is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PLANNED EXPENSES</t>
        </is>
      </c>
      <c r="B28" t="inlineStr">
        <is>
          <t>M2</t>
        </is>
      </c>
      <c r="C28" t="n">
        <v>2</v>
      </c>
      <c r="D28" t="n">
        <v>13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16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left</t>
        </is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PLANNED EXPENSES</t>
        </is>
      </c>
      <c r="B29" t="inlineStr">
        <is>
          <t>N2</t>
        </is>
      </c>
      <c r="C29" t="n">
        <v>2</v>
      </c>
      <c r="D29" t="n">
        <v>14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14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center</t>
        </is>
      </c>
      <c r="P29" t="inlineStr">
        <is>
          <t>top</t>
        </is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PLANNED EXPENSES</t>
        </is>
      </c>
      <c r="B30" t="inlineStr">
        <is>
          <t>O2</t>
        </is>
      </c>
      <c r="C30" t="n">
        <v>2</v>
      </c>
      <c r="D30" t="n">
        <v>15</v>
      </c>
      <c r="E30" t="inlineStr">
        <is>
          <t>Input</t>
        </is>
      </c>
      <c r="F30" t="n">
        <v/>
      </c>
      <c r="G30" t="inlineStr">
        <is>
          <t>Detailed expense estimates</t>
        </is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16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PLANNED EXPENSES</t>
        </is>
      </c>
      <c r="B31" t="inlineStr">
        <is>
          <t>P2</t>
        </is>
      </c>
      <c r="C31" t="n">
        <v>2</v>
      </c>
      <c r="D31" t="n">
        <v>16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inlineStr">
        <is>
          <t>left</t>
        </is>
      </c>
      <c r="P31" t="inlineStr">
        <is>
          <t>top</t>
        </is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PLANNED EXPENSES</t>
        </is>
      </c>
      <c r="B32" t="inlineStr">
        <is>
          <t>A3</t>
        </is>
      </c>
      <c r="C32" t="n">
        <v>3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left</t>
        </is>
      </c>
      <c r="P32" t="inlineStr">
        <is>
          <t>top</t>
        </is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PLANNED EXPENSES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Input</t>
        </is>
      </c>
      <c r="F33" t="n">
        <v/>
      </c>
      <c r="H33" t="inlineStr"/>
      <c r="I33" t="inlineStr">
        <is>
          <t>_("$"* #,##0_);_("$"* \(#,##0\);_("$"* "-"??_);_(@_)</t>
        </is>
      </c>
      <c r="J33" t="b">
        <v>1</v>
      </c>
      <c r="K33" t="b">
        <v>0</v>
      </c>
      <c r="L33" t="n">
        <v>10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top</t>
        </is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PLANNED EXPENSES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left</t>
        </is>
      </c>
      <c r="P34" t="inlineStr">
        <is>
          <t>top</t>
        </is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PLANNED EXPENSES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10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left</t>
        </is>
      </c>
      <c r="P35" t="inlineStr">
        <is>
          <t>top</t>
        </is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PLANNED EXPENSES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top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PLANNED EXPENSES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left</t>
        </is>
      </c>
      <c r="P37" t="inlineStr">
        <is>
          <t>top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PLANNED EXPENSES</t>
        </is>
      </c>
      <c r="B38" t="inlineStr">
        <is>
          <t>J3</t>
        </is>
      </c>
      <c r="C38" t="n">
        <v>3</v>
      </c>
      <c r="D38" t="n">
        <v>10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left</t>
        </is>
      </c>
      <c r="P38" t="inlineStr">
        <is>
          <t>top</t>
        </is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PLANNED EXPENSES</t>
        </is>
      </c>
      <c r="B39" t="inlineStr">
        <is>
          <t>K3</t>
        </is>
      </c>
      <c r="C39" t="n">
        <v>3</v>
      </c>
      <c r="D39" t="n">
        <v>11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PLANNED EXPENSES</t>
        </is>
      </c>
      <c r="B40" t="inlineStr">
        <is>
          <t>L3</t>
        </is>
      </c>
      <c r="C40" t="n">
        <v>3</v>
      </c>
      <c r="D40" t="n">
        <v>12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1</v>
      </c>
      <c r="L40" t="n">
        <v>12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left</t>
        </is>
      </c>
      <c r="P40" t="inlineStr">
        <is>
          <t>top</t>
        </is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PLANNED EXPENSES</t>
        </is>
      </c>
      <c r="B41" t="inlineStr">
        <is>
          <t>M3</t>
        </is>
      </c>
      <c r="C41" t="n">
        <v>3</v>
      </c>
      <c r="D41" t="n">
        <v>13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1</v>
      </c>
      <c r="L41" t="n">
        <v>12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left</t>
        </is>
      </c>
      <c r="P41" t="inlineStr">
        <is>
          <t>top</t>
        </is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PLANNED EXPENSES</t>
        </is>
      </c>
      <c r="B42" t="inlineStr">
        <is>
          <t>N3</t>
        </is>
      </c>
      <c r="C42" t="n">
        <v>3</v>
      </c>
      <c r="D42" t="n">
        <v>14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14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center</t>
        </is>
      </c>
      <c r="P42" t="inlineStr">
        <is>
          <t>top</t>
        </is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PLANNED EXPENSES</t>
        </is>
      </c>
      <c r="B43" t="inlineStr">
        <is>
          <t>O3</t>
        </is>
      </c>
      <c r="C43" t="n">
        <v>3</v>
      </c>
      <c r="D43" t="n">
        <v>15</v>
      </c>
      <c r="E43" t="inlineStr">
        <is>
          <t>Input</t>
        </is>
      </c>
      <c r="F43" t="n">
        <v/>
      </c>
      <c r="G43" t="inlineStr">
        <is>
          <t>Shaded cells are calculations</t>
        </is>
      </c>
      <c r="H43" t="inlineStr"/>
      <c r="I43" t="inlineStr">
        <is>
          <t>General</t>
        </is>
      </c>
      <c r="J43" t="b">
        <v>0</v>
      </c>
      <c r="K43" t="b">
        <v>1</v>
      </c>
      <c r="L43" t="n">
        <v>12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right</t>
        </is>
      </c>
      <c r="P43" t="inlineStr">
        <is>
          <t>top</t>
        </is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PLANNED EXPENSES</t>
        </is>
      </c>
      <c r="B44" t="inlineStr">
        <is>
          <t>P3</t>
        </is>
      </c>
      <c r="C44" t="n">
        <v>3</v>
      </c>
      <c r="D44" t="n">
        <v>16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left</t>
        </is>
      </c>
      <c r="P44" t="inlineStr">
        <is>
          <t>top</t>
        </is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PLANNED EXPENSES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left</t>
        </is>
      </c>
      <c r="P45" t="inlineStr">
        <is>
          <t>top</t>
        </is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PLANNED EXPENSES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36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left</t>
        </is>
      </c>
      <c r="P46" t="inlineStr">
        <is>
          <t>top</t>
        </is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PLANNED EXPENSES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36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top</t>
        </is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PLANNED EXPENSES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36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left</t>
        </is>
      </c>
      <c r="P48" t="inlineStr">
        <is>
          <t>top</t>
        </is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PLANNED EXPENSES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Input</t>
        </is>
      </c>
      <c r="F49" t="n">
        <v/>
      </c>
      <c r="H49" t="inlineStr"/>
      <c r="I49" t="inlineStr">
        <is>
          <t>_("$"* #,##0_);_("$"* \(#,##0\);_("$"* "-"??_);_(@_)</t>
        </is>
      </c>
      <c r="J49" t="b">
        <v>1</v>
      </c>
      <c r="K49" t="b">
        <v>0</v>
      </c>
      <c r="L49" t="n">
        <v>10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left</t>
        </is>
      </c>
      <c r="P49" t="inlineStr">
        <is>
          <t>top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PLANNED EXPENSES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left</t>
        </is>
      </c>
      <c r="P50" t="inlineStr">
        <is>
          <t>top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PLANNED EXPENSES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left</t>
        </is>
      </c>
      <c r="P51" t="inlineStr">
        <is>
          <t>top</t>
        </is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PLANNED EXPENSES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top</t>
        </is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PLANNED EXPENSES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left</t>
        </is>
      </c>
      <c r="P53" t="inlineStr">
        <is>
          <t>top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PLANNED EXPENSES</t>
        </is>
      </c>
      <c r="B54" t="inlineStr">
        <is>
          <t>J4</t>
        </is>
      </c>
      <c r="C54" t="n">
        <v>4</v>
      </c>
      <c r="D54" t="n">
        <v>10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left</t>
        </is>
      </c>
      <c r="P54" t="inlineStr">
        <is>
          <t>top</t>
        </is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PLANNED EXPENSES</t>
        </is>
      </c>
      <c r="B55" t="inlineStr">
        <is>
          <t>K4</t>
        </is>
      </c>
      <c r="C55" t="n">
        <v>4</v>
      </c>
      <c r="D55" t="n">
        <v>11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1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left</t>
        </is>
      </c>
      <c r="P55" t="inlineStr">
        <is>
          <t>top</t>
        </is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PLANNED EXPENSES</t>
        </is>
      </c>
      <c r="B56" t="inlineStr">
        <is>
          <t>L4</t>
        </is>
      </c>
      <c r="C56" t="n">
        <v>4</v>
      </c>
      <c r="D56" t="n">
        <v>12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1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left</t>
        </is>
      </c>
      <c r="P56" t="inlineStr">
        <is>
          <t>top</t>
        </is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PLANNED EXPENSES</t>
        </is>
      </c>
      <c r="B57" t="inlineStr">
        <is>
          <t>M4</t>
        </is>
      </c>
      <c r="C57" t="n">
        <v>4</v>
      </c>
      <c r="D57" t="n">
        <v>13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1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left</t>
        </is>
      </c>
      <c r="P57" t="inlineStr">
        <is>
          <t>top</t>
        </is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PLANNED EXPENSES</t>
        </is>
      </c>
      <c r="B58" t="inlineStr">
        <is>
          <t>N4</t>
        </is>
      </c>
      <c r="C58" t="n">
        <v>4</v>
      </c>
      <c r="D58" t="n">
        <v>14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14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inlineStr">
        <is>
          <t>top</t>
        </is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PLANNED EXPENSES</t>
        </is>
      </c>
      <c r="B59" t="inlineStr">
        <is>
          <t>O4</t>
        </is>
      </c>
      <c r="C59" t="n">
        <v>4</v>
      </c>
      <c r="D59" t="n">
        <v>15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14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inlineStr">
        <is>
          <t>center</t>
        </is>
      </c>
      <c r="P59" t="inlineStr">
        <is>
          <t>top</t>
        </is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PLANNED EXPENSES</t>
        </is>
      </c>
      <c r="B60" t="inlineStr">
        <is>
          <t>P4</t>
        </is>
      </c>
      <c r="C60" t="n">
        <v>4</v>
      </c>
      <c r="D60" t="n">
        <v>16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left</t>
        </is>
      </c>
      <c r="P60" t="inlineStr">
        <is>
          <t>top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PLANNED EXPENSES</t>
        </is>
      </c>
      <c r="B61" t="inlineStr">
        <is>
          <t>A5</t>
        </is>
      </c>
      <c r="C61" t="n">
        <v>5</v>
      </c>
      <c r="D61" t="n">
        <v>1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left</t>
        </is>
      </c>
      <c r="P61" t="inlineStr">
        <is>
          <t>top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PLANNED EXPENSES</t>
        </is>
      </c>
      <c r="B62" t="inlineStr">
        <is>
          <t>B5</t>
        </is>
      </c>
      <c r="C62" t="n">
        <v>5</v>
      </c>
      <c r="D62" t="n">
        <v>2</v>
      </c>
      <c r="E62" t="inlineStr">
        <is>
          <t>Input</t>
        </is>
      </c>
      <c r="F62" t="n">
        <v/>
      </c>
      <c r="G62" t="inlineStr">
        <is>
          <t>PLANNED EXPENSES</t>
        </is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16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left</t>
        </is>
      </c>
      <c r="P62" t="inlineStr">
        <is>
          <t>center</t>
        </is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PLANNED EXPENSES</t>
        </is>
      </c>
      <c r="B63" t="inlineStr">
        <is>
          <t>C5</t>
        </is>
      </c>
      <c r="C63" t="n">
        <v>5</v>
      </c>
      <c r="D63" t="n">
        <v>3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16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PLANNED EXPENSES</t>
        </is>
      </c>
      <c r="B64" t="inlineStr">
        <is>
          <t>D5</t>
        </is>
      </c>
      <c r="C64" t="n">
        <v>5</v>
      </c>
      <c r="D64" t="n">
        <v>4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16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PLANNED EXPENSES</t>
        </is>
      </c>
      <c r="B65" t="inlineStr">
        <is>
          <t>E5</t>
        </is>
      </c>
      <c r="C65" t="n">
        <v>5</v>
      </c>
      <c r="D65" t="n">
        <v>5</v>
      </c>
      <c r="E65" t="inlineStr">
        <is>
          <t>Input</t>
        </is>
      </c>
      <c r="F65" t="n">
        <v/>
      </c>
      <c r="H65" t="inlineStr"/>
      <c r="I65" t="inlineStr">
        <is>
          <t>_("$"* #,##0_);_("$"* \(#,##0\);_("$"* "-"??_);_(@_)</t>
        </is>
      </c>
      <c r="J65" t="b">
        <v>1</v>
      </c>
      <c r="K65" t="b">
        <v>0</v>
      </c>
      <c r="L65" t="n">
        <v>16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PLANNED EXPENSES</t>
        </is>
      </c>
      <c r="B66" t="inlineStr">
        <is>
          <t>F5</t>
        </is>
      </c>
      <c r="C66" t="n">
        <v>5</v>
      </c>
      <c r="D66" t="n">
        <v>6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16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PLANNED EXPENSES</t>
        </is>
      </c>
      <c r="B67" t="inlineStr">
        <is>
          <t>G5</t>
        </is>
      </c>
      <c r="C67" t="n">
        <v>5</v>
      </c>
      <c r="D67" t="n">
        <v>7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16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inlineStr">
        <is>
          <t>center</t>
        </is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PLANNED EXPENSES</t>
        </is>
      </c>
      <c r="B68" t="inlineStr">
        <is>
          <t>H5</t>
        </is>
      </c>
      <c r="C68" t="n">
        <v>5</v>
      </c>
      <c r="D68" t="n">
        <v>8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16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inlineStr">
        <is>
          <t>center</t>
        </is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PLANNED EXPENSES</t>
        </is>
      </c>
      <c r="B69" t="inlineStr">
        <is>
          <t>I5</t>
        </is>
      </c>
      <c r="C69" t="n">
        <v>5</v>
      </c>
      <c r="D69" t="n">
        <v>9</v>
      </c>
      <c r="E69" t="inlineStr">
        <is>
          <t>Input</t>
        </is>
      </c>
      <c r="F69" t="n">
        <v/>
      </c>
      <c r="H69" t="inlineStr"/>
      <c r="I69" t="inlineStr">
        <is>
          <t>_("$"* #,##0_);_("$"* \(#,##0\);_("$"* "-"??_);_(@_)</t>
        </is>
      </c>
      <c r="J69" t="b">
        <v>1</v>
      </c>
      <c r="K69" t="b">
        <v>0</v>
      </c>
      <c r="L69" t="n">
        <v>16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inlineStr">
        <is>
          <t>center</t>
        </is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PLANNED EXPENSES</t>
        </is>
      </c>
      <c r="B70" t="inlineStr">
        <is>
          <t>J5</t>
        </is>
      </c>
      <c r="C70" t="n">
        <v>5</v>
      </c>
      <c r="D70" t="n">
        <v>10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16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center</t>
        </is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PLANNED EXPENSES</t>
        </is>
      </c>
      <c r="B71" t="inlineStr">
        <is>
          <t>K5</t>
        </is>
      </c>
      <c r="C71" t="n">
        <v>5</v>
      </c>
      <c r="D71" t="n">
        <v>11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16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PLANNED EXPENSES</t>
        </is>
      </c>
      <c r="B72" t="inlineStr">
        <is>
          <t>L5</t>
        </is>
      </c>
      <c r="C72" t="n">
        <v>5</v>
      </c>
      <c r="D72" t="n">
        <v>12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16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center</t>
        </is>
      </c>
      <c r="P72" t="inlineStr">
        <is>
          <t>center</t>
        </is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PLANNED EXPENSES</t>
        </is>
      </c>
      <c r="B73" t="inlineStr">
        <is>
          <t>M5</t>
        </is>
      </c>
      <c r="C73" t="n">
        <v>5</v>
      </c>
      <c r="D73" t="n">
        <v>13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16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inlineStr">
        <is>
          <t>center</t>
        </is>
      </c>
      <c r="P73" t="inlineStr">
        <is>
          <t>center</t>
        </is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PLANNED EXPENSES</t>
        </is>
      </c>
      <c r="B74" t="inlineStr">
        <is>
          <t>N5</t>
        </is>
      </c>
      <c r="C74" t="n">
        <v>5</v>
      </c>
      <c r="D74" t="n">
        <v>14</v>
      </c>
      <c r="E74" t="inlineStr">
        <is>
          <t>Input</t>
        </is>
      </c>
      <c r="F74" t="n">
        <v/>
      </c>
      <c r="H74" t="inlineStr"/>
      <c r="I74" t="inlineStr">
        <is>
          <t>_("$"* #,##0_);_("$"* \(#,##0\);_("$"* "-"??_);_(@_)</t>
        </is>
      </c>
      <c r="J74" t="b">
        <v>1</v>
      </c>
      <c r="K74" t="b">
        <v>0</v>
      </c>
      <c r="L74" t="n">
        <v>16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center</t>
        </is>
      </c>
      <c r="P74" t="inlineStr">
        <is>
          <t>center</t>
        </is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PLANNED EXPENSES</t>
        </is>
      </c>
      <c r="B75" t="inlineStr">
        <is>
          <t>O5</t>
        </is>
      </c>
      <c r="C75" t="n">
        <v>5</v>
      </c>
      <c r="D75" t="n">
        <v>15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16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inlineStr">
        <is>
          <t>center</t>
        </is>
      </c>
      <c r="P75" t="inlineStr">
        <is>
          <t>center</t>
        </is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PLANNED EXPENSES</t>
        </is>
      </c>
      <c r="B76" t="inlineStr">
        <is>
          <t>P5</t>
        </is>
      </c>
      <c r="C76" t="n">
        <v>5</v>
      </c>
      <c r="D76" t="n">
        <v>16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PLANNED EXPENSES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9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P77" t="n">
        <v/>
      </c>
      <c r="Q77" t="b">
        <v>1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PLANNED EXPENSES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9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PLANNED EXPENSES</t>
        </is>
      </c>
      <c r="B79" t="inlineStr">
        <is>
          <t>T5</t>
        </is>
      </c>
      <c r="C79" t="n">
        <v>5</v>
      </c>
      <c r="D79" t="n">
        <v>20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9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P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PLANNED EXPENSES</t>
        </is>
      </c>
      <c r="B80" t="inlineStr">
        <is>
          <t>A6</t>
        </is>
      </c>
      <c r="C80" t="n">
        <v>6</v>
      </c>
      <c r="D80" t="n">
        <v>1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16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PLANNED EXPENSES</t>
        </is>
      </c>
      <c r="B81" t="inlineStr">
        <is>
          <t>B6</t>
        </is>
      </c>
      <c r="C81" t="n">
        <v>6</v>
      </c>
      <c r="D81" t="n">
        <v>2</v>
      </c>
      <c r="E81" t="inlineStr">
        <is>
          <t>Input</t>
        </is>
      </c>
      <c r="F81" t="n">
        <v/>
      </c>
      <c r="G81" t="inlineStr">
        <is>
          <t>Employee costs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16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left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PLANNED EXPENSES</t>
        </is>
      </c>
      <c r="B82" t="inlineStr">
        <is>
          <t>C6</t>
        </is>
      </c>
      <c r="C82" t="n">
        <v>6</v>
      </c>
      <c r="D82" t="n">
        <v>3</v>
      </c>
      <c r="E82" t="inlineStr">
        <is>
          <t>Input</t>
        </is>
      </c>
      <c r="F82" t="n">
        <v/>
      </c>
      <c r="G82" t="inlineStr">
        <is>
          <t>Jan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16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PLANNED EXPENSES</t>
        </is>
      </c>
      <c r="B83" t="inlineStr">
        <is>
          <t>D6</t>
        </is>
      </c>
      <c r="C83" t="n">
        <v>6</v>
      </c>
      <c r="D83" t="n">
        <v>4</v>
      </c>
      <c r="E83" t="inlineStr">
        <is>
          <t>Input</t>
        </is>
      </c>
      <c r="F83" t="n">
        <v/>
      </c>
      <c r="G83" t="inlineStr">
        <is>
          <t>Feb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16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PLANNED EXPENSES</t>
        </is>
      </c>
      <c r="B84" t="inlineStr">
        <is>
          <t>E6</t>
        </is>
      </c>
      <c r="C84" t="n">
        <v>6</v>
      </c>
      <c r="D84" t="n">
        <v>5</v>
      </c>
      <c r="E84" t="inlineStr">
        <is>
          <t>Input</t>
        </is>
      </c>
      <c r="F84" t="n">
        <v/>
      </c>
      <c r="G84" t="inlineStr">
        <is>
          <t>Mar</t>
        </is>
      </c>
      <c r="H84" t="inlineStr"/>
      <c r="I84" t="inlineStr">
        <is>
          <t>_("$"* #,##0_);_("$"* \(#,##0\);_("$"* "-"??_);_(@_)</t>
        </is>
      </c>
      <c r="J84" t="b">
        <v>0</v>
      </c>
      <c r="K84" t="b">
        <v>0</v>
      </c>
      <c r="L84" t="n">
        <v>16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PLANNED EXPENSES</t>
        </is>
      </c>
      <c r="B85" t="inlineStr">
        <is>
          <t>F6</t>
        </is>
      </c>
      <c r="C85" t="n">
        <v>6</v>
      </c>
      <c r="D85" t="n">
        <v>6</v>
      </c>
      <c r="E85" t="inlineStr">
        <is>
          <t>Input</t>
        </is>
      </c>
      <c r="F85" t="n">
        <v/>
      </c>
      <c r="G85" t="inlineStr">
        <is>
          <t>Apr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16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PLANNED EXPENSES</t>
        </is>
      </c>
      <c r="B86" t="inlineStr">
        <is>
          <t>G6</t>
        </is>
      </c>
      <c r="C86" t="n">
        <v>6</v>
      </c>
      <c r="D86" t="n">
        <v>7</v>
      </c>
      <c r="E86" t="inlineStr">
        <is>
          <t>Input</t>
        </is>
      </c>
      <c r="F86" t="n">
        <v/>
      </c>
      <c r="G86" t="inlineStr">
        <is>
          <t>May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16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PLANNED EXPENSES</t>
        </is>
      </c>
      <c r="B87" t="inlineStr">
        <is>
          <t>H6</t>
        </is>
      </c>
      <c r="C87" t="n">
        <v>6</v>
      </c>
      <c r="D87" t="n">
        <v>8</v>
      </c>
      <c r="E87" t="inlineStr">
        <is>
          <t>Input</t>
        </is>
      </c>
      <c r="F87" t="n">
        <v/>
      </c>
      <c r="G87" t="inlineStr">
        <is>
          <t>Jun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16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PLANNED EXPENSES</t>
        </is>
      </c>
      <c r="B88" t="inlineStr">
        <is>
          <t>I6</t>
        </is>
      </c>
      <c r="C88" t="n">
        <v>6</v>
      </c>
      <c r="D88" t="n">
        <v>9</v>
      </c>
      <c r="E88" t="inlineStr">
        <is>
          <t>Input</t>
        </is>
      </c>
      <c r="F88" t="n">
        <v/>
      </c>
      <c r="G88" t="inlineStr">
        <is>
          <t>Jul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16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center</t>
        </is>
      </c>
      <c r="P88" t="inlineStr">
        <is>
          <t>center</t>
        </is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PLANNED EXPENSES</t>
        </is>
      </c>
      <c r="B89" t="inlineStr">
        <is>
          <t>J6</t>
        </is>
      </c>
      <c r="C89" t="n">
        <v>6</v>
      </c>
      <c r="D89" t="n">
        <v>10</v>
      </c>
      <c r="E89" t="inlineStr">
        <is>
          <t>Input</t>
        </is>
      </c>
      <c r="F89" t="n">
        <v/>
      </c>
      <c r="G89" t="inlineStr">
        <is>
          <t>Aug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16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inlineStr">
        <is>
          <t>center</t>
        </is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PLANNED EXPENSES</t>
        </is>
      </c>
      <c r="B90" t="inlineStr">
        <is>
          <t>K6</t>
        </is>
      </c>
      <c r="C90" t="n">
        <v>6</v>
      </c>
      <c r="D90" t="n">
        <v>11</v>
      </c>
      <c r="E90" t="inlineStr">
        <is>
          <t>Input</t>
        </is>
      </c>
      <c r="F90" t="n">
        <v/>
      </c>
      <c r="G90" t="inlineStr">
        <is>
          <t>Sep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16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PLANNED EXPENSES</t>
        </is>
      </c>
      <c r="B91" t="inlineStr">
        <is>
          <t>L6</t>
        </is>
      </c>
      <c r="C91" t="n">
        <v>6</v>
      </c>
      <c r="D91" t="n">
        <v>12</v>
      </c>
      <c r="E91" t="inlineStr">
        <is>
          <t>Input</t>
        </is>
      </c>
      <c r="F91" t="n">
        <v/>
      </c>
      <c r="G91" t="inlineStr">
        <is>
          <t>Oct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16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inlineStr">
        <is>
          <t>center</t>
        </is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PLANNED EXPENSES</t>
        </is>
      </c>
      <c r="B92" t="inlineStr">
        <is>
          <t>M6</t>
        </is>
      </c>
      <c r="C92" t="n">
        <v>6</v>
      </c>
      <c r="D92" t="n">
        <v>13</v>
      </c>
      <c r="E92" t="inlineStr">
        <is>
          <t>Input</t>
        </is>
      </c>
      <c r="F92" t="n">
        <v/>
      </c>
      <c r="G92" t="inlineStr">
        <is>
          <t>Nov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16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inlineStr">
        <is>
          <t>center</t>
        </is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PLANNED EXPENSES</t>
        </is>
      </c>
      <c r="B93" t="inlineStr">
        <is>
          <t>N6</t>
        </is>
      </c>
      <c r="C93" t="n">
        <v>6</v>
      </c>
      <c r="D93" t="n">
        <v>14</v>
      </c>
      <c r="E93" t="inlineStr">
        <is>
          <t>Input</t>
        </is>
      </c>
      <c r="F93" t="n">
        <v/>
      </c>
      <c r="G93" t="inlineStr">
        <is>
          <t>Dec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16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center</t>
        </is>
      </c>
      <c r="P93" t="inlineStr">
        <is>
          <t>center</t>
        </is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PLANNED EXPENSES</t>
        </is>
      </c>
      <c r="B94" t="inlineStr">
        <is>
          <t>O6</t>
        </is>
      </c>
      <c r="C94" t="n">
        <v>6</v>
      </c>
      <c r="D94" t="n">
        <v>15</v>
      </c>
      <c r="E94" t="inlineStr">
        <is>
          <t>Input</t>
        </is>
      </c>
      <c r="F94" t="n">
        <v/>
      </c>
      <c r="G94" t="inlineStr">
        <is>
          <t>YEAR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16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center</t>
        </is>
      </c>
      <c r="P94" t="inlineStr">
        <is>
          <t>center</t>
        </is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PLANNED EXPENSES</t>
        </is>
      </c>
      <c r="B95" t="inlineStr">
        <is>
          <t>P6</t>
        </is>
      </c>
      <c r="C95" t="n">
        <v>6</v>
      </c>
      <c r="D95" t="n">
        <v>16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16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n">
        <v/>
      </c>
      <c r="P95" t="n">
        <v/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PLANNED EXPENSES</t>
        </is>
      </c>
      <c r="B96" t="inlineStr">
        <is>
          <t>A7</t>
        </is>
      </c>
      <c r="C96" t="n">
        <v>7</v>
      </c>
      <c r="D96" t="n">
        <v>1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n">
        <v/>
      </c>
      <c r="P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PLANNED EXPENSES</t>
        </is>
      </c>
      <c r="B97" t="inlineStr">
        <is>
          <t>B7</t>
        </is>
      </c>
      <c r="C97" t="n">
        <v>7</v>
      </c>
      <c r="D97" t="n">
        <v>2</v>
      </c>
      <c r="E97" t="inlineStr">
        <is>
          <t>Input</t>
        </is>
      </c>
      <c r="F97" t="n">
        <v/>
      </c>
      <c r="G97" t="inlineStr">
        <is>
          <t>Wages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12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left</t>
        </is>
      </c>
      <c r="P97" t="inlineStr">
        <is>
          <t>center</t>
        </is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PLANNED EXPENSES</t>
        </is>
      </c>
      <c r="B98" t="inlineStr">
        <is>
          <t>C7</t>
        </is>
      </c>
      <c r="C98" t="n">
        <v>7</v>
      </c>
      <c r="D98" t="n">
        <v>3</v>
      </c>
      <c r="E98" t="inlineStr">
        <is>
          <t>Input</t>
        </is>
      </c>
      <c r="F98" t="n">
        <v/>
      </c>
      <c r="G98" t="n">
        <v>85000</v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inlineStr">
        <is>
          <t>center</t>
        </is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PLANNED EXPENSES</t>
        </is>
      </c>
      <c r="B99" t="inlineStr">
        <is>
          <t>D7</t>
        </is>
      </c>
      <c r="C99" t="n">
        <v>7</v>
      </c>
      <c r="D99" t="n">
        <v>4</v>
      </c>
      <c r="E99" t="inlineStr">
        <is>
          <t>Input</t>
        </is>
      </c>
      <c r="F99" t="n">
        <v/>
      </c>
      <c r="G99" t="n">
        <v>85000</v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inlineStr">
        <is>
          <t>center</t>
        </is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PLANNED EXPENSES</t>
        </is>
      </c>
      <c r="B100" t="inlineStr">
        <is>
          <t>E7</t>
        </is>
      </c>
      <c r="C100" t="n">
        <v>7</v>
      </c>
      <c r="D100" t="n">
        <v>5</v>
      </c>
      <c r="E100" t="inlineStr">
        <is>
          <t>Input</t>
        </is>
      </c>
      <c r="F100" t="n">
        <v/>
      </c>
      <c r="G100" t="n">
        <v>85000</v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inlineStr">
        <is>
          <t>center</t>
        </is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PLANNED EXPENSES</t>
        </is>
      </c>
      <c r="B101" t="inlineStr">
        <is>
          <t>F7</t>
        </is>
      </c>
      <c r="C101" t="n">
        <v>7</v>
      </c>
      <c r="D101" t="n">
        <v>6</v>
      </c>
      <c r="E101" t="inlineStr">
        <is>
          <t>Input</t>
        </is>
      </c>
      <c r="F101" t="n">
        <v/>
      </c>
      <c r="G101" t="n">
        <v>87500</v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inlineStr">
        <is>
          <t>center</t>
        </is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PLANNED EXPENSES</t>
        </is>
      </c>
      <c r="B102" t="inlineStr">
        <is>
          <t>G7</t>
        </is>
      </c>
      <c r="C102" t="n">
        <v>7</v>
      </c>
      <c r="D102" t="n">
        <v>7</v>
      </c>
      <c r="E102" t="inlineStr">
        <is>
          <t>Input</t>
        </is>
      </c>
      <c r="F102" t="n">
        <v/>
      </c>
      <c r="G102" t="n">
        <v>87500</v>
      </c>
      <c r="H102" t="inlineStr"/>
      <c r="I102" t="inlineStr">
        <is>
          <t>"$"#,##0.00_);[Red]\("$"#,##0.00\)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PLANNED EXPENSES</t>
        </is>
      </c>
      <c r="B103" t="inlineStr">
        <is>
          <t>H7</t>
        </is>
      </c>
      <c r="C103" t="n">
        <v>7</v>
      </c>
      <c r="D103" t="n">
        <v>8</v>
      </c>
      <c r="E103" t="inlineStr">
        <is>
          <t>Input</t>
        </is>
      </c>
      <c r="F103" t="n">
        <v/>
      </c>
      <c r="G103" t="n">
        <v>87500</v>
      </c>
      <c r="H103" t="inlineStr"/>
      <c r="I103" t="inlineStr">
        <is>
          <t>"$"#,##0.00_);[Red]\("$"#,##0.00\)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inlineStr">
        <is>
          <t>center</t>
        </is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PLANNED EXPENSES</t>
        </is>
      </c>
      <c r="B104" t="inlineStr">
        <is>
          <t>I7</t>
        </is>
      </c>
      <c r="C104" t="n">
        <v>7</v>
      </c>
      <c r="D104" t="n">
        <v>9</v>
      </c>
      <c r="E104" t="inlineStr">
        <is>
          <t>Input</t>
        </is>
      </c>
      <c r="F104" t="n">
        <v/>
      </c>
      <c r="G104" t="n">
        <v>87500</v>
      </c>
      <c r="H104" t="inlineStr"/>
      <c r="I104" t="inlineStr">
        <is>
          <t>"$"#,##0.00_);[Red]\("$"#,##0.00\)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PLANNED EXPENSES</t>
        </is>
      </c>
      <c r="B105" t="inlineStr">
        <is>
          <t>J7</t>
        </is>
      </c>
      <c r="C105" t="n">
        <v>7</v>
      </c>
      <c r="D105" t="n">
        <v>10</v>
      </c>
      <c r="E105" t="inlineStr">
        <is>
          <t>Input</t>
        </is>
      </c>
      <c r="F105" t="n">
        <v/>
      </c>
      <c r="G105" t="n">
        <v>92400</v>
      </c>
      <c r="H105" t="inlineStr"/>
      <c r="I105" t="inlineStr">
        <is>
          <t>"$"#,##0.00_);[Red]\("$"#,##0.00\)</t>
        </is>
      </c>
      <c r="J105" t="b">
        <v>0</v>
      </c>
      <c r="K105" t="b">
        <v>0</v>
      </c>
      <c r="L105" t="n">
        <v>10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PLANNED EXPENSES</t>
        </is>
      </c>
      <c r="B106" t="inlineStr">
        <is>
          <t>K7</t>
        </is>
      </c>
      <c r="C106" t="n">
        <v>7</v>
      </c>
      <c r="D106" t="n">
        <v>11</v>
      </c>
      <c r="E106" t="inlineStr">
        <is>
          <t>Input</t>
        </is>
      </c>
      <c r="F106" t="n">
        <v/>
      </c>
      <c r="G106" t="n">
        <v>92400</v>
      </c>
      <c r="H106" t="inlineStr"/>
      <c r="I106" t="inlineStr">
        <is>
          <t>"$"#,##0.00_);[Red]\("$"#,##0.00\)</t>
        </is>
      </c>
      <c r="J106" t="b">
        <v>0</v>
      </c>
      <c r="K106" t="b">
        <v>0</v>
      </c>
      <c r="L106" t="n">
        <v>10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PLANNED EXPENSES</t>
        </is>
      </c>
      <c r="B107" t="inlineStr">
        <is>
          <t>L7</t>
        </is>
      </c>
      <c r="C107" t="n">
        <v>7</v>
      </c>
      <c r="D107" t="n">
        <v>12</v>
      </c>
      <c r="E107" t="inlineStr">
        <is>
          <t>Input</t>
        </is>
      </c>
      <c r="F107" t="n">
        <v/>
      </c>
      <c r="G107" t="n">
        <v>92400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PLANNED EXPENSES</t>
        </is>
      </c>
      <c r="B108" t="inlineStr">
        <is>
          <t>M7</t>
        </is>
      </c>
      <c r="C108" t="n">
        <v>7</v>
      </c>
      <c r="D108" t="n">
        <v>13</v>
      </c>
      <c r="E108" t="inlineStr">
        <is>
          <t>Input</t>
        </is>
      </c>
      <c r="F108" t="n">
        <v/>
      </c>
      <c r="G108" t="n">
        <v>92400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PLANNED EXPENSES</t>
        </is>
      </c>
      <c r="B109" t="inlineStr">
        <is>
          <t>N7</t>
        </is>
      </c>
      <c r="C109" t="n">
        <v>7</v>
      </c>
      <c r="D109" t="n">
        <v>14</v>
      </c>
      <c r="E109" t="inlineStr">
        <is>
          <t>Input</t>
        </is>
      </c>
      <c r="F109" t="n">
        <v/>
      </c>
      <c r="G109" t="n">
        <v>92400</v>
      </c>
      <c r="H109" t="inlineStr"/>
      <c r="I109" t="inlineStr">
        <is>
          <t>"$"#,##0.00_);[Red]\("$"#,##0.00\)</t>
        </is>
      </c>
      <c r="J109" t="b">
        <v>0</v>
      </c>
      <c r="K109" t="b">
        <v>0</v>
      </c>
      <c r="L109" t="n">
        <v>10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PLANNED EXPENSES</t>
        </is>
      </c>
      <c r="B110" t="inlineStr">
        <is>
          <t>O7</t>
        </is>
      </c>
      <c r="C110" t="n">
        <v>7</v>
      </c>
      <c r="D110" t="n">
        <v>15</v>
      </c>
      <c r="E110" t="inlineStr">
        <is>
          <t>Output</t>
        </is>
      </c>
      <c r="F110" t="inlineStr">
        <is>
          <t>'=SUM(C7:N7)</t>
        </is>
      </c>
      <c r="G110" t="n">
        <v>1067000</v>
      </c>
      <c r="H110" t="inlineStr"/>
      <c r="I110" t="inlineStr">
        <is>
          <t>"$"#,##0.00_);[Red]\("$"#,##0.00\)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inlineStr">
        <is>
          <t>G000001</t>
        </is>
      </c>
      <c r="T110" t="inlineStr">
        <is>
          <t>Vertical</t>
        </is>
      </c>
      <c r="U110" t="n">
        <v>2</v>
      </c>
      <c r="V110" t="b">
        <v>1</v>
      </c>
      <c r="W110" t="inlineStr">
        <is>
          <t>PLANNED EXPENSES!O7:O8</t>
        </is>
      </c>
      <c r="X110">
        <f>SUM(R[0]C[-12]:R[0]C[-1])</f>
        <v/>
      </c>
    </row>
    <row r="111">
      <c r="A111" t="inlineStr">
        <is>
          <t>PLANNED EXPENSES</t>
        </is>
      </c>
      <c r="B111" t="inlineStr">
        <is>
          <t>P7</t>
        </is>
      </c>
      <c r="C111" t="n">
        <v>7</v>
      </c>
      <c r="D111" t="n">
        <v>16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n">
        <v/>
      </c>
      <c r="P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PLANNED EXPENSES</t>
        </is>
      </c>
      <c r="B112" t="inlineStr">
        <is>
          <t>R7</t>
        </is>
      </c>
      <c r="C112" t="n">
        <v>7</v>
      </c>
      <c r="D112" t="n">
        <v>18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9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P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PLANNED EXPENSES</t>
        </is>
      </c>
      <c r="B113" t="inlineStr">
        <is>
          <t>S7</t>
        </is>
      </c>
      <c r="C113" t="n">
        <v>7</v>
      </c>
      <c r="D113" t="n">
        <v>19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9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P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PLANNED EXPENSES</t>
        </is>
      </c>
      <c r="B114" t="inlineStr">
        <is>
          <t>T7</t>
        </is>
      </c>
      <c r="C114" t="n">
        <v>7</v>
      </c>
      <c r="D114" t="n">
        <v>20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9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PLANNED EXPENSES</t>
        </is>
      </c>
      <c r="B115" t="inlineStr">
        <is>
          <t>A8</t>
        </is>
      </c>
      <c r="C115" t="n">
        <v>8</v>
      </c>
      <c r="D115" t="n">
        <v>1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PLANNED EXPENSES</t>
        </is>
      </c>
      <c r="B116" t="inlineStr">
        <is>
          <t>B8</t>
        </is>
      </c>
      <c r="C116" t="n">
        <v>8</v>
      </c>
      <c r="D116" t="n">
        <v>2</v>
      </c>
      <c r="E116" t="inlineStr">
        <is>
          <t>Input</t>
        </is>
      </c>
      <c r="F116" t="n">
        <v/>
      </c>
      <c r="G116" t="inlineStr">
        <is>
          <t>Benefits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12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left</t>
        </is>
      </c>
      <c r="P116" t="inlineStr">
        <is>
          <t>center</t>
        </is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PLANNED EXPENSES</t>
        </is>
      </c>
      <c r="B117" t="inlineStr">
        <is>
          <t>C8</t>
        </is>
      </c>
      <c r="C117" t="n">
        <v>8</v>
      </c>
      <c r="D117" t="n">
        <v>3</v>
      </c>
      <c r="E117" t="inlineStr">
        <is>
          <t>Calculation</t>
        </is>
      </c>
      <c r="F117" t="inlineStr">
        <is>
          <t>'=C7*0.27</t>
        </is>
      </c>
      <c r="G117" t="n">
        <v>22950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G000005</t>
        </is>
      </c>
      <c r="T117" t="inlineStr">
        <is>
          <t>Horizontal</t>
        </is>
      </c>
      <c r="U117" t="n">
        <v>12</v>
      </c>
      <c r="V117" t="b">
        <v>1</v>
      </c>
      <c r="W117" t="inlineStr">
        <is>
          <t>PLANNED EXPENSES!C8:N8</t>
        </is>
      </c>
      <c r="X117">
        <f>R[-1]C[0]*0.27</f>
        <v/>
      </c>
    </row>
    <row r="118">
      <c r="A118" t="inlineStr">
        <is>
          <t>PLANNED EXPENSES</t>
        </is>
      </c>
      <c r="B118" t="inlineStr">
        <is>
          <t>D8</t>
        </is>
      </c>
      <c r="C118" t="n">
        <v>8</v>
      </c>
      <c r="D118" t="n">
        <v>4</v>
      </c>
      <c r="E118" t="inlineStr">
        <is>
          <t>Calculation</t>
        </is>
      </c>
      <c r="F118" t="inlineStr">
        <is>
          <t>'=D7*0.27</t>
        </is>
      </c>
      <c r="G118" t="n">
        <v>22950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G000005</t>
        </is>
      </c>
      <c r="T118" t="inlineStr">
        <is>
          <t>Horizontal</t>
        </is>
      </c>
      <c r="U118" t="n">
        <v>12</v>
      </c>
      <c r="V118" t="b">
        <v>1</v>
      </c>
      <c r="W118" t="inlineStr">
        <is>
          <t>PLANNED EXPENSES!C8:N8</t>
        </is>
      </c>
      <c r="X118">
        <f>R[-1]C[0]*0.27</f>
        <v/>
      </c>
    </row>
    <row r="119">
      <c r="A119" t="inlineStr">
        <is>
          <t>PLANNED EXPENSES</t>
        </is>
      </c>
      <c r="B119" t="inlineStr">
        <is>
          <t>E8</t>
        </is>
      </c>
      <c r="C119" t="n">
        <v>8</v>
      </c>
      <c r="D119" t="n">
        <v>5</v>
      </c>
      <c r="E119" t="inlineStr">
        <is>
          <t>Calculation</t>
        </is>
      </c>
      <c r="F119" t="inlineStr">
        <is>
          <t>'=E7*0.27</t>
        </is>
      </c>
      <c r="G119" t="n">
        <v>22950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G000005</t>
        </is>
      </c>
      <c r="T119" t="inlineStr">
        <is>
          <t>Horizontal</t>
        </is>
      </c>
      <c r="U119" t="n">
        <v>12</v>
      </c>
      <c r="V119" t="b">
        <v>1</v>
      </c>
      <c r="W119" t="inlineStr">
        <is>
          <t>PLANNED EXPENSES!C8:N8</t>
        </is>
      </c>
      <c r="X119">
        <f>R[-1]C[0]*0.27</f>
        <v/>
      </c>
    </row>
    <row r="120">
      <c r="A120" t="inlineStr">
        <is>
          <t>PLANNED EXPENSES</t>
        </is>
      </c>
      <c r="B120" t="inlineStr">
        <is>
          <t>F8</t>
        </is>
      </c>
      <c r="C120" t="n">
        <v>8</v>
      </c>
      <c r="D120" t="n">
        <v>6</v>
      </c>
      <c r="E120" t="inlineStr">
        <is>
          <t>Calculation</t>
        </is>
      </c>
      <c r="F120" t="inlineStr">
        <is>
          <t>'=F7*0.27</t>
        </is>
      </c>
      <c r="G120" t="n">
        <v>23625</v>
      </c>
      <c r="H120" t="inlineStr"/>
      <c r="I120" t="inlineStr">
        <is>
          <t>"$"#,##0.00_);[Red]\("$"#,##0.00\)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inlineStr">
        <is>
          <t>center</t>
        </is>
      </c>
      <c r="R120" t="b">
        <v>1</v>
      </c>
      <c r="S120" t="inlineStr">
        <is>
          <t>G000005</t>
        </is>
      </c>
      <c r="T120" t="inlineStr">
        <is>
          <t>Horizontal</t>
        </is>
      </c>
      <c r="U120" t="n">
        <v>12</v>
      </c>
      <c r="V120" t="b">
        <v>1</v>
      </c>
      <c r="W120" t="inlineStr">
        <is>
          <t>PLANNED EXPENSES!C8:N8</t>
        </is>
      </c>
      <c r="X120">
        <f>R[-1]C[0]*0.27</f>
        <v/>
      </c>
    </row>
    <row r="121">
      <c r="A121" t="inlineStr">
        <is>
          <t>PLANNED EXPENSES</t>
        </is>
      </c>
      <c r="B121" t="inlineStr">
        <is>
          <t>G8</t>
        </is>
      </c>
      <c r="C121" t="n">
        <v>8</v>
      </c>
      <c r="D121" t="n">
        <v>7</v>
      </c>
      <c r="E121" t="inlineStr">
        <is>
          <t>Calculation</t>
        </is>
      </c>
      <c r="F121" t="inlineStr">
        <is>
          <t>'=G7*0.27</t>
        </is>
      </c>
      <c r="G121" t="n">
        <v>23625</v>
      </c>
      <c r="H121" t="inlineStr"/>
      <c r="I121" t="inlineStr">
        <is>
          <t>"$"#,##0.00_);[Red]\("$"#,##0.00\)</t>
        </is>
      </c>
      <c r="J121" t="b">
        <v>0</v>
      </c>
      <c r="K121" t="b">
        <v>0</v>
      </c>
      <c r="L121" t="n">
        <v>10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inlineStr">
        <is>
          <t>center</t>
        </is>
      </c>
      <c r="R121" t="b">
        <v>1</v>
      </c>
      <c r="S121" t="inlineStr">
        <is>
          <t>G000005</t>
        </is>
      </c>
      <c r="T121" t="inlineStr">
        <is>
          <t>Horizontal</t>
        </is>
      </c>
      <c r="U121" t="n">
        <v>12</v>
      </c>
      <c r="V121" t="b">
        <v>1</v>
      </c>
      <c r="W121" t="inlineStr">
        <is>
          <t>PLANNED EXPENSES!C8:N8</t>
        </is>
      </c>
      <c r="X121">
        <f>R[-1]C[0]*0.27</f>
        <v/>
      </c>
    </row>
    <row r="122">
      <c r="A122" t="inlineStr">
        <is>
          <t>PLANNED EXPENSES</t>
        </is>
      </c>
      <c r="B122" t="inlineStr">
        <is>
          <t>H8</t>
        </is>
      </c>
      <c r="C122" t="n">
        <v>8</v>
      </c>
      <c r="D122" t="n">
        <v>8</v>
      </c>
      <c r="E122" t="inlineStr">
        <is>
          <t>Calculation</t>
        </is>
      </c>
      <c r="F122" t="inlineStr">
        <is>
          <t>'=H7*0.27</t>
        </is>
      </c>
      <c r="G122" t="n">
        <v>23625</v>
      </c>
      <c r="H122" t="inlineStr"/>
      <c r="I122" t="inlineStr">
        <is>
          <t>"$"#,##0.00_);[Red]\("$"#,##0.00\)</t>
        </is>
      </c>
      <c r="J122" t="b">
        <v>0</v>
      </c>
      <c r="K122" t="b">
        <v>0</v>
      </c>
      <c r="L122" t="n">
        <v>10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inlineStr">
        <is>
          <t>center</t>
        </is>
      </c>
      <c r="R122" t="b">
        <v>1</v>
      </c>
      <c r="S122" t="inlineStr">
        <is>
          <t>G000005</t>
        </is>
      </c>
      <c r="T122" t="inlineStr">
        <is>
          <t>Horizontal</t>
        </is>
      </c>
      <c r="U122" t="n">
        <v>12</v>
      </c>
      <c r="V122" t="b">
        <v>1</v>
      </c>
      <c r="W122" t="inlineStr">
        <is>
          <t>PLANNED EXPENSES!C8:N8</t>
        </is>
      </c>
      <c r="X122">
        <f>R[-1]C[0]*0.27</f>
        <v/>
      </c>
    </row>
    <row r="123">
      <c r="A123" t="inlineStr">
        <is>
          <t>PLANNED EXPENSES</t>
        </is>
      </c>
      <c r="B123" t="inlineStr">
        <is>
          <t>I8</t>
        </is>
      </c>
      <c r="C123" t="n">
        <v>8</v>
      </c>
      <c r="D123" t="n">
        <v>9</v>
      </c>
      <c r="E123" t="inlineStr">
        <is>
          <t>Calculation</t>
        </is>
      </c>
      <c r="F123" t="inlineStr">
        <is>
          <t>'=I7*0.27</t>
        </is>
      </c>
      <c r="G123" t="n">
        <v>23625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inlineStr">
        <is>
          <t>G000005</t>
        </is>
      </c>
      <c r="T123" t="inlineStr">
        <is>
          <t>Horizontal</t>
        </is>
      </c>
      <c r="U123" t="n">
        <v>12</v>
      </c>
      <c r="V123" t="b">
        <v>1</v>
      </c>
      <c r="W123" t="inlineStr">
        <is>
          <t>PLANNED EXPENSES!C8:N8</t>
        </is>
      </c>
      <c r="X123">
        <f>R[-1]C[0]*0.27</f>
        <v/>
      </c>
    </row>
    <row r="124">
      <c r="A124" t="inlineStr">
        <is>
          <t>PLANNED EXPENSES</t>
        </is>
      </c>
      <c r="B124" t="inlineStr">
        <is>
          <t>J8</t>
        </is>
      </c>
      <c r="C124" t="n">
        <v>8</v>
      </c>
      <c r="D124" t="n">
        <v>10</v>
      </c>
      <c r="E124" t="inlineStr">
        <is>
          <t>Calculation</t>
        </is>
      </c>
      <c r="F124" t="inlineStr">
        <is>
          <t>'=J7*0.27</t>
        </is>
      </c>
      <c r="G124" t="n">
        <v>24948</v>
      </c>
      <c r="H124" t="inlineStr"/>
      <c r="I124" t="inlineStr">
        <is>
          <t>"$"#,##0.00_);[Red]\("$"#,##0.00\)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inlineStr">
        <is>
          <t>center</t>
        </is>
      </c>
      <c r="R124" t="b">
        <v>1</v>
      </c>
      <c r="S124" t="inlineStr">
        <is>
          <t>G000005</t>
        </is>
      </c>
      <c r="T124" t="inlineStr">
        <is>
          <t>Horizontal</t>
        </is>
      </c>
      <c r="U124" t="n">
        <v>12</v>
      </c>
      <c r="V124" t="b">
        <v>1</v>
      </c>
      <c r="W124" t="inlineStr">
        <is>
          <t>PLANNED EXPENSES!C8:N8</t>
        </is>
      </c>
      <c r="X124">
        <f>R[-1]C[0]*0.27</f>
        <v/>
      </c>
    </row>
    <row r="125">
      <c r="A125" t="inlineStr">
        <is>
          <t>PLANNED EXPENSES</t>
        </is>
      </c>
      <c r="B125" t="inlineStr">
        <is>
          <t>K8</t>
        </is>
      </c>
      <c r="C125" t="n">
        <v>8</v>
      </c>
      <c r="D125" t="n">
        <v>11</v>
      </c>
      <c r="E125" t="inlineStr">
        <is>
          <t>Calculation</t>
        </is>
      </c>
      <c r="F125" t="inlineStr">
        <is>
          <t>'=K7*0.27</t>
        </is>
      </c>
      <c r="G125" t="n">
        <v>24948</v>
      </c>
      <c r="H125" t="inlineStr"/>
      <c r="I125" t="inlineStr">
        <is>
          <t>"$"#,##0.00_);[Red]\("$"#,##0.00\)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inlineStr">
        <is>
          <t>center</t>
        </is>
      </c>
      <c r="R125" t="b">
        <v>1</v>
      </c>
      <c r="S125" t="inlineStr">
        <is>
          <t>G000005</t>
        </is>
      </c>
      <c r="T125" t="inlineStr">
        <is>
          <t>Horizontal</t>
        </is>
      </c>
      <c r="U125" t="n">
        <v>12</v>
      </c>
      <c r="V125" t="b">
        <v>1</v>
      </c>
      <c r="W125" t="inlineStr">
        <is>
          <t>PLANNED EXPENSES!C8:N8</t>
        </is>
      </c>
      <c r="X125">
        <f>R[-1]C[0]*0.27</f>
        <v/>
      </c>
    </row>
    <row r="126">
      <c r="A126" t="inlineStr">
        <is>
          <t>PLANNED EXPENSES</t>
        </is>
      </c>
      <c r="B126" t="inlineStr">
        <is>
          <t>L8</t>
        </is>
      </c>
      <c r="C126" t="n">
        <v>8</v>
      </c>
      <c r="D126" t="n">
        <v>12</v>
      </c>
      <c r="E126" t="inlineStr">
        <is>
          <t>Calculation</t>
        </is>
      </c>
      <c r="F126" t="inlineStr">
        <is>
          <t>'=L7*0.27</t>
        </is>
      </c>
      <c r="G126" t="n">
        <v>24948</v>
      </c>
      <c r="H126" t="inlineStr"/>
      <c r="I126" t="inlineStr">
        <is>
          <t>"$"#,##0.00_);[Red]\("$"#,##0.00\)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inlineStr">
        <is>
          <t>center</t>
        </is>
      </c>
      <c r="R126" t="b">
        <v>1</v>
      </c>
      <c r="S126" t="inlineStr">
        <is>
          <t>G000005</t>
        </is>
      </c>
      <c r="T126" t="inlineStr">
        <is>
          <t>Horizontal</t>
        </is>
      </c>
      <c r="U126" t="n">
        <v>12</v>
      </c>
      <c r="V126" t="b">
        <v>1</v>
      </c>
      <c r="W126" t="inlineStr">
        <is>
          <t>PLANNED EXPENSES!C8:N8</t>
        </is>
      </c>
      <c r="X126">
        <f>R[-1]C[0]*0.27</f>
        <v/>
      </c>
    </row>
    <row r="127">
      <c r="A127" t="inlineStr">
        <is>
          <t>PLANNED EXPENSES</t>
        </is>
      </c>
      <c r="B127" t="inlineStr">
        <is>
          <t>M8</t>
        </is>
      </c>
      <c r="C127" t="n">
        <v>8</v>
      </c>
      <c r="D127" t="n">
        <v>13</v>
      </c>
      <c r="E127" t="inlineStr">
        <is>
          <t>Calculation</t>
        </is>
      </c>
      <c r="F127" t="inlineStr">
        <is>
          <t>'=M7*0.27</t>
        </is>
      </c>
      <c r="G127" t="n">
        <v>24948</v>
      </c>
      <c r="H127" t="inlineStr"/>
      <c r="I127" t="inlineStr">
        <is>
          <t>"$"#,##0.00_);[Red]\("$"#,##0.00\)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inlineStr">
        <is>
          <t>center</t>
        </is>
      </c>
      <c r="R127" t="b">
        <v>1</v>
      </c>
      <c r="S127" t="inlineStr">
        <is>
          <t>G000005</t>
        </is>
      </c>
      <c r="T127" t="inlineStr">
        <is>
          <t>Horizontal</t>
        </is>
      </c>
      <c r="U127" t="n">
        <v>12</v>
      </c>
      <c r="V127" t="b">
        <v>1</v>
      </c>
      <c r="W127" t="inlineStr">
        <is>
          <t>PLANNED EXPENSES!C8:N8</t>
        </is>
      </c>
      <c r="X127">
        <f>R[-1]C[0]*0.27</f>
        <v/>
      </c>
    </row>
    <row r="128">
      <c r="A128" t="inlineStr">
        <is>
          <t>PLANNED EXPENSES</t>
        </is>
      </c>
      <c r="B128" t="inlineStr">
        <is>
          <t>N8</t>
        </is>
      </c>
      <c r="C128" t="n">
        <v>8</v>
      </c>
      <c r="D128" t="n">
        <v>14</v>
      </c>
      <c r="E128" t="inlineStr">
        <is>
          <t>Calculation</t>
        </is>
      </c>
      <c r="F128" t="inlineStr">
        <is>
          <t>'=N7*0.27</t>
        </is>
      </c>
      <c r="G128" t="n">
        <v>24948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inlineStr">
        <is>
          <t>G000005</t>
        </is>
      </c>
      <c r="T128" t="inlineStr">
        <is>
          <t>Horizontal</t>
        </is>
      </c>
      <c r="U128" t="n">
        <v>12</v>
      </c>
      <c r="V128" t="b">
        <v>1</v>
      </c>
      <c r="W128" t="inlineStr">
        <is>
          <t>PLANNED EXPENSES!C8:N8</t>
        </is>
      </c>
      <c r="X128">
        <f>R[-1]C[0]*0.27</f>
        <v/>
      </c>
    </row>
    <row r="129">
      <c r="A129" t="inlineStr">
        <is>
          <t>PLANNED EXPENSES</t>
        </is>
      </c>
      <c r="B129" t="inlineStr">
        <is>
          <t>O8</t>
        </is>
      </c>
      <c r="C129" t="n">
        <v>8</v>
      </c>
      <c r="D129" t="n">
        <v>15</v>
      </c>
      <c r="E129" t="inlineStr">
        <is>
          <t>Output</t>
        </is>
      </c>
      <c r="F129" t="inlineStr">
        <is>
          <t>'=SUM(C8:N8)</t>
        </is>
      </c>
      <c r="G129" t="n">
        <v>288090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10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inlineStr">
        <is>
          <t>G000001</t>
        </is>
      </c>
      <c r="T129" t="inlineStr">
        <is>
          <t>Vertical</t>
        </is>
      </c>
      <c r="U129" t="n">
        <v>2</v>
      </c>
      <c r="V129" t="b">
        <v>1</v>
      </c>
      <c r="W129" t="inlineStr">
        <is>
          <t>PLANNED EXPENSES!O7:O8</t>
        </is>
      </c>
      <c r="X129">
        <f>SUM(R[0]C[-12]:R[0]C[-1])</f>
        <v/>
      </c>
    </row>
    <row r="130">
      <c r="A130" t="inlineStr">
        <is>
          <t>PLANNED EXPENSES</t>
        </is>
      </c>
      <c r="B130" t="inlineStr">
        <is>
          <t>P8</t>
        </is>
      </c>
      <c r="C130" t="n">
        <v>8</v>
      </c>
      <c r="D130" t="n">
        <v>16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PLANNED EXPENSES</t>
        </is>
      </c>
      <c r="B131" t="inlineStr">
        <is>
          <t>R8</t>
        </is>
      </c>
      <c r="C131" t="n">
        <v>8</v>
      </c>
      <c r="D131" t="n">
        <v>18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9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PLANNED EXPENSES</t>
        </is>
      </c>
      <c r="B132" t="inlineStr">
        <is>
          <t>S8</t>
        </is>
      </c>
      <c r="C132" t="n">
        <v>8</v>
      </c>
      <c r="D132" t="n">
        <v>19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P132" t="n">
        <v/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PLANNED EXPENSES</t>
        </is>
      </c>
      <c r="B133" t="inlineStr">
        <is>
          <t>T8</t>
        </is>
      </c>
      <c r="C133" t="n">
        <v>8</v>
      </c>
      <c r="D133" t="n">
        <v>20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9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P133" t="n">
        <v/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PLANNED EXPENSES</t>
        </is>
      </c>
      <c r="B134" t="inlineStr">
        <is>
          <t>A9</t>
        </is>
      </c>
      <c r="C134" t="n">
        <v>9</v>
      </c>
      <c r="D134" t="n">
        <v>1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n">
        <v/>
      </c>
      <c r="P134" t="n">
        <v/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PLANNED EXPENSES</t>
        </is>
      </c>
      <c r="B135" t="inlineStr">
        <is>
          <t>B9</t>
        </is>
      </c>
      <c r="C135" t="n">
        <v>9</v>
      </c>
      <c r="D135" t="n">
        <v>2</v>
      </c>
      <c r="E135" t="inlineStr">
        <is>
          <t>Input</t>
        </is>
      </c>
      <c r="F135" t="n">
        <v/>
      </c>
      <c r="G135" t="inlineStr">
        <is>
          <t>Subtotal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12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left</t>
        </is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PLANNED EXPENSES</t>
        </is>
      </c>
      <c r="B136" t="inlineStr">
        <is>
          <t>C9</t>
        </is>
      </c>
      <c r="C136" t="n">
        <v>9</v>
      </c>
      <c r="D136" t="n">
        <v>3</v>
      </c>
      <c r="E136" t="inlineStr">
        <is>
          <t>Output</t>
        </is>
      </c>
      <c r="F136" t="inlineStr">
        <is>
          <t>'=SUBTOTAL(109,EmployeePlan[Jan])</t>
        </is>
      </c>
      <c r="G136" t="n">
        <v>107950</v>
      </c>
      <c r="H136" t="inlineStr"/>
      <c r="I136" t="inlineStr">
        <is>
          <t>"$"#,##0.00_);[Red]\("$"#,##0.00\)</t>
        </is>
      </c>
      <c r="J136" t="b">
        <v>0</v>
      </c>
      <c r="K136" t="b">
        <v>0</v>
      </c>
      <c r="L136" t="n">
        <v>10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inlineStr">
        <is>
          <t>center</t>
        </is>
      </c>
      <c r="P136" t="inlineStr">
        <is>
          <t>center</t>
        </is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>
        <f>SUBTOTAL(109,EmployeePlan[Jan])</f>
        <v/>
      </c>
    </row>
    <row r="137">
      <c r="A137" t="inlineStr">
        <is>
          <t>PLANNED EXPENSES</t>
        </is>
      </c>
      <c r="B137" t="inlineStr">
        <is>
          <t>D9</t>
        </is>
      </c>
      <c r="C137" t="n">
        <v>9</v>
      </c>
      <c r="D137" t="n">
        <v>4</v>
      </c>
      <c r="E137" t="inlineStr">
        <is>
          <t>Output</t>
        </is>
      </c>
      <c r="F137" t="inlineStr">
        <is>
          <t>'=SUBTOTAL(109,EmployeePlan[Feb])</t>
        </is>
      </c>
      <c r="G137" t="n">
        <v>107950</v>
      </c>
      <c r="H137" t="inlineStr"/>
      <c r="I137" t="inlineStr">
        <is>
          <t>"$"#,##0.00_);[Red]\("$"#,##0.00\)</t>
        </is>
      </c>
      <c r="J137" t="b">
        <v>0</v>
      </c>
      <c r="K137" t="b">
        <v>0</v>
      </c>
      <c r="L137" t="n">
        <v>10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inlineStr">
        <is>
          <t>center</t>
        </is>
      </c>
      <c r="P137" t="inlineStr">
        <is>
          <t>center</t>
        </is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>
        <f>SUBTOTAL(109,EmployeePlan[Feb])</f>
        <v/>
      </c>
    </row>
    <row r="138">
      <c r="A138" t="inlineStr">
        <is>
          <t>PLANNED EXPENSES</t>
        </is>
      </c>
      <c r="B138" t="inlineStr">
        <is>
          <t>E9</t>
        </is>
      </c>
      <c r="C138" t="n">
        <v>9</v>
      </c>
      <c r="D138" t="n">
        <v>5</v>
      </c>
      <c r="E138" t="inlineStr">
        <is>
          <t>Output</t>
        </is>
      </c>
      <c r="F138" t="inlineStr">
        <is>
          <t>'=SUBTOTAL(109,EmployeePlan[Mar])</t>
        </is>
      </c>
      <c r="G138" t="n">
        <v>107950</v>
      </c>
      <c r="H138" t="inlineStr"/>
      <c r="I138" t="inlineStr">
        <is>
          <t>"$"#,##0.00_);[Red]\("$"#,##0.00\)</t>
        </is>
      </c>
      <c r="J138" t="b">
        <v>0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inlineStr">
        <is>
          <t>center</t>
        </is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>
        <f>SUBTOTAL(109,EmployeePlan[Mar])</f>
        <v/>
      </c>
    </row>
    <row r="139">
      <c r="A139" t="inlineStr">
        <is>
          <t>PLANNED EXPENSES</t>
        </is>
      </c>
      <c r="B139" t="inlineStr">
        <is>
          <t>F9</t>
        </is>
      </c>
      <c r="C139" t="n">
        <v>9</v>
      </c>
      <c r="D139" t="n">
        <v>6</v>
      </c>
      <c r="E139" t="inlineStr">
        <is>
          <t>Output</t>
        </is>
      </c>
      <c r="F139" t="inlineStr">
        <is>
          <t>'=SUBTOTAL(109,EmployeePlan[Apr])</t>
        </is>
      </c>
      <c r="G139" t="n">
        <v>111125</v>
      </c>
      <c r="H139" t="inlineStr"/>
      <c r="I139" t="inlineStr">
        <is>
          <t>"$"#,##0.00_);[Red]\("$"#,##0.00\)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>
        <f>SUBTOTAL(109,EmployeePlan[Apr])</f>
        <v/>
      </c>
    </row>
    <row r="140">
      <c r="A140" t="inlineStr">
        <is>
          <t>PLANNED EXPENSES</t>
        </is>
      </c>
      <c r="B140" t="inlineStr">
        <is>
          <t>G9</t>
        </is>
      </c>
      <c r="C140" t="n">
        <v>9</v>
      </c>
      <c r="D140" t="n">
        <v>7</v>
      </c>
      <c r="E140" t="inlineStr">
        <is>
          <t>Output</t>
        </is>
      </c>
      <c r="F140" t="inlineStr">
        <is>
          <t>'=SUBTOTAL(109,EmployeePlan[May])</t>
        </is>
      </c>
      <c r="G140" t="n">
        <v>111125</v>
      </c>
      <c r="H140" t="inlineStr"/>
      <c r="I140" t="inlineStr">
        <is>
          <t>"$"#,##0.00_);[Red]\("$"#,##0.00\)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>
        <f>SUBTOTAL(109,EmployeePlan[May])</f>
        <v/>
      </c>
    </row>
    <row r="141">
      <c r="A141" t="inlineStr">
        <is>
          <t>PLANNED EXPENSES</t>
        </is>
      </c>
      <c r="B141" t="inlineStr">
        <is>
          <t>H9</t>
        </is>
      </c>
      <c r="C141" t="n">
        <v>9</v>
      </c>
      <c r="D141" t="n">
        <v>8</v>
      </c>
      <c r="E141" t="inlineStr">
        <is>
          <t>Output</t>
        </is>
      </c>
      <c r="F141" t="inlineStr">
        <is>
          <t>'=SUBTOTAL(109,EmployeePlan[Jun])</t>
        </is>
      </c>
      <c r="G141" t="n">
        <v>111125</v>
      </c>
      <c r="H141" t="inlineStr"/>
      <c r="I141" t="inlineStr">
        <is>
          <t>"$"#,##0.00_);[Red]\("$"#,##0.00\)</t>
        </is>
      </c>
      <c r="J141" t="b">
        <v>0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>
        <f>SUBTOTAL(109,EmployeePlan[Jun])</f>
        <v/>
      </c>
    </row>
    <row r="142">
      <c r="A142" t="inlineStr">
        <is>
          <t>PLANNED EXPENSES</t>
        </is>
      </c>
      <c r="B142" t="inlineStr">
        <is>
          <t>I9</t>
        </is>
      </c>
      <c r="C142" t="n">
        <v>9</v>
      </c>
      <c r="D142" t="n">
        <v>9</v>
      </c>
      <c r="E142" t="inlineStr">
        <is>
          <t>Output</t>
        </is>
      </c>
      <c r="F142" t="inlineStr">
        <is>
          <t>'=SUBTOTAL(109,EmployeePlan[Jul])</t>
        </is>
      </c>
      <c r="G142" t="n">
        <v>111125</v>
      </c>
      <c r="H142" t="inlineStr"/>
      <c r="I142" t="inlineStr">
        <is>
          <t>"$"#,##0.00_);[Red]\("$"#,##0.00\)</t>
        </is>
      </c>
      <c r="J142" t="b">
        <v>0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center</t>
        </is>
      </c>
      <c r="P142" t="inlineStr">
        <is>
          <t>center</t>
        </is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>
        <f>SUBTOTAL(109,EmployeePlan[Jul])</f>
        <v/>
      </c>
    </row>
    <row r="143">
      <c r="A143" t="inlineStr">
        <is>
          <t>PLANNED EXPENSES</t>
        </is>
      </c>
      <c r="B143" t="inlineStr">
        <is>
          <t>J9</t>
        </is>
      </c>
      <c r="C143" t="n">
        <v>9</v>
      </c>
      <c r="D143" t="n">
        <v>10</v>
      </c>
      <c r="E143" t="inlineStr">
        <is>
          <t>Output</t>
        </is>
      </c>
      <c r="F143" t="inlineStr">
        <is>
          <t>'=SUBTOTAL(109,EmployeePlan[Aug])</t>
        </is>
      </c>
      <c r="G143" t="n">
        <v>117348</v>
      </c>
      <c r="H143" t="inlineStr"/>
      <c r="I143" t="inlineStr">
        <is>
          <t>"$"#,##0.00_);[Red]\("$"#,##0.00\)</t>
        </is>
      </c>
      <c r="J143" t="b">
        <v>0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center</t>
        </is>
      </c>
      <c r="P143" t="inlineStr">
        <is>
          <t>center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>
        <f>SUBTOTAL(109,EmployeePlan[Aug])</f>
        <v/>
      </c>
    </row>
    <row r="144">
      <c r="A144" t="inlineStr">
        <is>
          <t>PLANNED EXPENSES</t>
        </is>
      </c>
      <c r="B144" t="inlineStr">
        <is>
          <t>K9</t>
        </is>
      </c>
      <c r="C144" t="n">
        <v>9</v>
      </c>
      <c r="D144" t="n">
        <v>11</v>
      </c>
      <c r="E144" t="inlineStr">
        <is>
          <t>Output</t>
        </is>
      </c>
      <c r="F144" t="inlineStr">
        <is>
          <t>'=SUBTOTAL(109,EmployeePlan[Sep])</t>
        </is>
      </c>
      <c r="G144" t="n">
        <v>117348</v>
      </c>
      <c r="H144" t="inlineStr"/>
      <c r="I144" t="inlineStr">
        <is>
          <t>"$"#,##0.00_);[Red]\("$"#,##0.00\)</t>
        </is>
      </c>
      <c r="J144" t="b">
        <v>0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inlineStr">
        <is>
          <t>center</t>
        </is>
      </c>
      <c r="P144" t="inlineStr">
        <is>
          <t>center</t>
        </is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>
        <f>SUBTOTAL(109,EmployeePlan[Sep])</f>
        <v/>
      </c>
    </row>
    <row r="145">
      <c r="A145" t="inlineStr">
        <is>
          <t>PLANNED EXPENSES</t>
        </is>
      </c>
      <c r="B145" t="inlineStr">
        <is>
          <t>L9</t>
        </is>
      </c>
      <c r="C145" t="n">
        <v>9</v>
      </c>
      <c r="D145" t="n">
        <v>12</v>
      </c>
      <c r="E145" t="inlineStr">
        <is>
          <t>Output</t>
        </is>
      </c>
      <c r="F145" t="inlineStr">
        <is>
          <t>'=SUBTOTAL(109,EmployeePlan[Oct])</t>
        </is>
      </c>
      <c r="G145" t="n">
        <v>117348</v>
      </c>
      <c r="H145" t="inlineStr"/>
      <c r="I145" t="inlineStr">
        <is>
          <t>"$"#,##0.00_);[Red]\("$"#,##0.00\)</t>
        </is>
      </c>
      <c r="J145" t="b">
        <v>0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center</t>
        </is>
      </c>
      <c r="P145" t="inlineStr">
        <is>
          <t>center</t>
        </is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>
        <f>SUBTOTAL(109,EmployeePlan[Oct])</f>
        <v/>
      </c>
    </row>
    <row r="146">
      <c r="A146" t="inlineStr">
        <is>
          <t>PLANNED EXPENSES</t>
        </is>
      </c>
      <c r="B146" t="inlineStr">
        <is>
          <t>M9</t>
        </is>
      </c>
      <c r="C146" t="n">
        <v>9</v>
      </c>
      <c r="D146" t="n">
        <v>13</v>
      </c>
      <c r="E146" t="inlineStr">
        <is>
          <t>Output</t>
        </is>
      </c>
      <c r="F146" t="inlineStr">
        <is>
          <t>'=SUBTOTAL(109,EmployeePlan[Nov])</t>
        </is>
      </c>
      <c r="G146" t="n">
        <v>117348</v>
      </c>
      <c r="H146" t="inlineStr"/>
      <c r="I146" t="inlineStr">
        <is>
          <t>"$"#,##0.00_);[Red]\("$"#,##0.00\)</t>
        </is>
      </c>
      <c r="J146" t="b">
        <v>0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center</t>
        </is>
      </c>
      <c r="P146" t="inlineStr">
        <is>
          <t>center</t>
        </is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>
        <f>SUBTOTAL(109,EmployeePlan[Nov])</f>
        <v/>
      </c>
    </row>
    <row r="147">
      <c r="A147" t="inlineStr">
        <is>
          <t>PLANNED EXPENSES</t>
        </is>
      </c>
      <c r="B147" t="inlineStr">
        <is>
          <t>N9</t>
        </is>
      </c>
      <c r="C147" t="n">
        <v>9</v>
      </c>
      <c r="D147" t="n">
        <v>14</v>
      </c>
      <c r="E147" t="inlineStr">
        <is>
          <t>Output</t>
        </is>
      </c>
      <c r="F147" t="inlineStr">
        <is>
          <t>'=SUBTOTAL(109,EmployeePlan[Dec])</t>
        </is>
      </c>
      <c r="G147" t="n">
        <v>117348</v>
      </c>
      <c r="H147" t="inlineStr"/>
      <c r="I147" t="inlineStr">
        <is>
          <t>"$"#,##0.00_);[Red]\("$"#,##0.00\)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inlineStr">
        <is>
          <t>center</t>
        </is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>
        <f>SUBTOTAL(109,EmployeePlan[Dec])</f>
        <v/>
      </c>
    </row>
    <row r="148">
      <c r="A148" t="inlineStr">
        <is>
          <t>PLANNED EXPENSES</t>
        </is>
      </c>
      <c r="B148" t="inlineStr">
        <is>
          <t>O9</t>
        </is>
      </c>
      <c r="C148" t="n">
        <v>9</v>
      </c>
      <c r="D148" t="n">
        <v>15</v>
      </c>
      <c r="E148" t="inlineStr">
        <is>
          <t>Output</t>
        </is>
      </c>
      <c r="F148" t="inlineStr">
        <is>
          <t>'=SUBTOTAL(109,EmployeePlan[YEAR])</t>
        </is>
      </c>
      <c r="G148" t="n">
        <v>1355090</v>
      </c>
      <c r="H148" t="inlineStr"/>
      <c r="I148" t="inlineStr">
        <is>
          <t>"$"#,##0.00_);[Red]\("$"#,##0.00\)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inlineStr">
        <is>
          <t>center</t>
        </is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>
        <f>SUBTOTAL(109,EmployeePlan[YEAR])</f>
        <v/>
      </c>
    </row>
    <row r="149">
      <c r="A149" t="inlineStr">
        <is>
          <t>PLANNED EXPENSES</t>
        </is>
      </c>
      <c r="B149" t="inlineStr">
        <is>
          <t>P9</t>
        </is>
      </c>
      <c r="C149" t="n">
        <v>9</v>
      </c>
      <c r="D149" t="n">
        <v>16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n">
        <v/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PLANNED EXPENSES</t>
        </is>
      </c>
      <c r="B150" t="inlineStr">
        <is>
          <t>R9</t>
        </is>
      </c>
      <c r="C150" t="n">
        <v>9</v>
      </c>
      <c r="D150" t="n">
        <v>18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9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PLANNED EXPENSES</t>
        </is>
      </c>
      <c r="B151" t="inlineStr">
        <is>
          <t>S9</t>
        </is>
      </c>
      <c r="C151" t="n">
        <v>9</v>
      </c>
      <c r="D151" t="n">
        <v>19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9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PLANNED EXPENSES</t>
        </is>
      </c>
      <c r="B152" t="inlineStr">
        <is>
          <t>T9</t>
        </is>
      </c>
      <c r="C152" t="n">
        <v>9</v>
      </c>
      <c r="D152" t="n">
        <v>20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9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PLANNED EXPENSES</t>
        </is>
      </c>
      <c r="B153" t="inlineStr">
        <is>
          <t>A10</t>
        </is>
      </c>
      <c r="C153" t="n">
        <v>10</v>
      </c>
      <c r="D153" t="n">
        <v>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PLANNED EXPENSES</t>
        </is>
      </c>
      <c r="B154" t="inlineStr">
        <is>
          <t>B10</t>
        </is>
      </c>
      <c r="C154" t="n">
        <v>10</v>
      </c>
      <c r="D154" t="n">
        <v>2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PLANNED EXPENSES</t>
        </is>
      </c>
      <c r="B155" t="inlineStr">
        <is>
          <t>C10</t>
        </is>
      </c>
      <c r="C155" t="n">
        <v>10</v>
      </c>
      <c r="D155" t="n">
        <v>3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PLANNED EXPENSES</t>
        </is>
      </c>
      <c r="B156" t="inlineStr">
        <is>
          <t>D10</t>
        </is>
      </c>
      <c r="C156" t="n">
        <v>10</v>
      </c>
      <c r="D156" t="n">
        <v>4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center</t>
        </is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PLANNED EXPENSES</t>
        </is>
      </c>
      <c r="B157" t="inlineStr">
        <is>
          <t>E10</t>
        </is>
      </c>
      <c r="C157" t="n">
        <v>10</v>
      </c>
      <c r="D157" t="n">
        <v>5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inlineStr">
        <is>
          <t>center</t>
        </is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PLANNED EXPENSES</t>
        </is>
      </c>
      <c r="B158" t="inlineStr">
        <is>
          <t>F10</t>
        </is>
      </c>
      <c r="C158" t="n">
        <v>10</v>
      </c>
      <c r="D158" t="n">
        <v>6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inlineStr">
        <is>
          <t>center</t>
        </is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PLANNED EXPENSES</t>
        </is>
      </c>
      <c r="B159" t="inlineStr">
        <is>
          <t>G10</t>
        </is>
      </c>
      <c r="C159" t="n">
        <v>10</v>
      </c>
      <c r="D159" t="n">
        <v>7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center</t>
        </is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PLANNED EXPENSES</t>
        </is>
      </c>
      <c r="B160" t="inlineStr">
        <is>
          <t>H10</t>
        </is>
      </c>
      <c r="C160" t="n">
        <v>10</v>
      </c>
      <c r="D160" t="n">
        <v>8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n">
        <v/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PLANNED EXPENSES</t>
        </is>
      </c>
      <c r="B161" t="inlineStr">
        <is>
          <t>I10</t>
        </is>
      </c>
      <c r="C161" t="n">
        <v>10</v>
      </c>
      <c r="D161" t="n">
        <v>9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PLANNED EXPENSES</t>
        </is>
      </c>
      <c r="B162" t="inlineStr">
        <is>
          <t>J10</t>
        </is>
      </c>
      <c r="C162" t="n">
        <v>10</v>
      </c>
      <c r="D162" t="n">
        <v>10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PLANNED EXPENSES</t>
        </is>
      </c>
      <c r="B163" t="inlineStr">
        <is>
          <t>K10</t>
        </is>
      </c>
      <c r="C163" t="n">
        <v>10</v>
      </c>
      <c r="D163" t="n">
        <v>11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n">
        <v/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PLANNED EXPENSES</t>
        </is>
      </c>
      <c r="B164" t="inlineStr">
        <is>
          <t>L10</t>
        </is>
      </c>
      <c r="C164" t="n">
        <v>10</v>
      </c>
      <c r="D164" t="n">
        <v>12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n">
        <v/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PLANNED EXPENSES</t>
        </is>
      </c>
      <c r="B165" t="inlineStr">
        <is>
          <t>M10</t>
        </is>
      </c>
      <c r="C165" t="n">
        <v>10</v>
      </c>
      <c r="D165" t="n">
        <v>13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n">
        <v/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PLANNED EXPENSES</t>
        </is>
      </c>
      <c r="B166" t="inlineStr">
        <is>
          <t>N10</t>
        </is>
      </c>
      <c r="C166" t="n">
        <v>10</v>
      </c>
      <c r="D166" t="n">
        <v>14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n">
        <v/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PLANNED EXPENSES</t>
        </is>
      </c>
      <c r="B167" t="inlineStr">
        <is>
          <t>O10</t>
        </is>
      </c>
      <c r="C167" t="n">
        <v>10</v>
      </c>
      <c r="D167" t="n">
        <v>15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n">
        <v/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PLANNED EXPENSES</t>
        </is>
      </c>
      <c r="B168" t="inlineStr">
        <is>
          <t>P10</t>
        </is>
      </c>
      <c r="C168" t="n">
        <v>10</v>
      </c>
      <c r="D168" t="n">
        <v>16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PLANNED EXPENSES</t>
        </is>
      </c>
      <c r="B169" t="inlineStr">
        <is>
          <t>R10</t>
        </is>
      </c>
      <c r="C169" t="n">
        <v>10</v>
      </c>
      <c r="D169" t="n">
        <v>18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9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PLANNED EXPENSES</t>
        </is>
      </c>
      <c r="B170" t="inlineStr">
        <is>
          <t>S10</t>
        </is>
      </c>
      <c r="C170" t="n">
        <v>10</v>
      </c>
      <c r="D170" t="n">
        <v>19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9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P170" t="n">
        <v/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PLANNED EXPENSES</t>
        </is>
      </c>
      <c r="B171" t="inlineStr">
        <is>
          <t>T10</t>
        </is>
      </c>
      <c r="C171" t="n">
        <v>10</v>
      </c>
      <c r="D171" t="n">
        <v>20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9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P171" t="n">
        <v/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PLANNED EXPENSES</t>
        </is>
      </c>
      <c r="B172" t="inlineStr">
        <is>
          <t>A11</t>
        </is>
      </c>
      <c r="C172" t="n">
        <v>11</v>
      </c>
      <c r="D172" t="n">
        <v>1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16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n">
        <v/>
      </c>
      <c r="P172" t="n">
        <v/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PLANNED EXPENSES</t>
        </is>
      </c>
      <c r="B173" t="inlineStr">
        <is>
          <t>B11</t>
        </is>
      </c>
      <c r="C173" t="n">
        <v>11</v>
      </c>
      <c r="D173" t="n">
        <v>2</v>
      </c>
      <c r="E173" t="inlineStr">
        <is>
          <t>Input</t>
        </is>
      </c>
      <c r="F173" t="n">
        <v/>
      </c>
      <c r="G173" t="inlineStr">
        <is>
          <t>Office costs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16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left</t>
        </is>
      </c>
      <c r="P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PLANNED EXPENSES</t>
        </is>
      </c>
      <c r="B174" t="inlineStr">
        <is>
          <t>C11</t>
        </is>
      </c>
      <c r="C174" t="n">
        <v>11</v>
      </c>
      <c r="D174" t="n">
        <v>3</v>
      </c>
      <c r="E174" t="inlineStr">
        <is>
          <t>Input</t>
        </is>
      </c>
      <c r="F174" t="n">
        <v/>
      </c>
      <c r="G174" t="inlineStr">
        <is>
          <t>Jan</t>
        </is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16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inlineStr">
        <is>
          <t>center</t>
        </is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PLANNED EXPENSES</t>
        </is>
      </c>
      <c r="B175" t="inlineStr">
        <is>
          <t>D11</t>
        </is>
      </c>
      <c r="C175" t="n">
        <v>11</v>
      </c>
      <c r="D175" t="n">
        <v>4</v>
      </c>
      <c r="E175" t="inlineStr">
        <is>
          <t>Input</t>
        </is>
      </c>
      <c r="F175" t="n">
        <v/>
      </c>
      <c r="G175" t="inlineStr">
        <is>
          <t>Feb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16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PLANNED EXPENSES</t>
        </is>
      </c>
      <c r="B176" t="inlineStr">
        <is>
          <t>E11</t>
        </is>
      </c>
      <c r="C176" t="n">
        <v>11</v>
      </c>
      <c r="D176" t="n">
        <v>5</v>
      </c>
      <c r="E176" t="inlineStr">
        <is>
          <t>Input</t>
        </is>
      </c>
      <c r="F176" t="n">
        <v/>
      </c>
      <c r="G176" t="inlineStr">
        <is>
          <t>Mar</t>
        </is>
      </c>
      <c r="H176" t="inlineStr"/>
      <c r="I176" t="inlineStr">
        <is>
          <t>_("$"* #,##0_);_("$"* \(#,##0\);_("$"* "-"??_);_(@_)</t>
        </is>
      </c>
      <c r="J176" t="b">
        <v>0</v>
      </c>
      <c r="K176" t="b">
        <v>0</v>
      </c>
      <c r="L176" t="n">
        <v>16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PLANNED EXPENSES</t>
        </is>
      </c>
      <c r="B177" t="inlineStr">
        <is>
          <t>F11</t>
        </is>
      </c>
      <c r="C177" t="n">
        <v>11</v>
      </c>
      <c r="D177" t="n">
        <v>6</v>
      </c>
      <c r="E177" t="inlineStr">
        <is>
          <t>Input</t>
        </is>
      </c>
      <c r="F177" t="n">
        <v/>
      </c>
      <c r="G177" t="inlineStr">
        <is>
          <t>Apr</t>
        </is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16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inlineStr">
        <is>
          <t>center</t>
        </is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PLANNED EXPENSES</t>
        </is>
      </c>
      <c r="B178" t="inlineStr">
        <is>
          <t>G11</t>
        </is>
      </c>
      <c r="C178" t="n">
        <v>11</v>
      </c>
      <c r="D178" t="n">
        <v>7</v>
      </c>
      <c r="E178" t="inlineStr">
        <is>
          <t>Input</t>
        </is>
      </c>
      <c r="F178" t="n">
        <v/>
      </c>
      <c r="G178" t="inlineStr">
        <is>
          <t>May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16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inlineStr">
        <is>
          <t>center</t>
        </is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PLANNED EXPENSES</t>
        </is>
      </c>
      <c r="B179" t="inlineStr">
        <is>
          <t>H11</t>
        </is>
      </c>
      <c r="C179" t="n">
        <v>11</v>
      </c>
      <c r="D179" t="n">
        <v>8</v>
      </c>
      <c r="E179" t="inlineStr">
        <is>
          <t>Input</t>
        </is>
      </c>
      <c r="F179" t="n">
        <v/>
      </c>
      <c r="G179" t="inlineStr">
        <is>
          <t>Jun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16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P179" t="inlineStr">
        <is>
          <t>center</t>
        </is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PLANNED EXPENSES</t>
        </is>
      </c>
      <c r="B180" t="inlineStr">
        <is>
          <t>I11</t>
        </is>
      </c>
      <c r="C180" t="n">
        <v>11</v>
      </c>
      <c r="D180" t="n">
        <v>9</v>
      </c>
      <c r="E180" t="inlineStr">
        <is>
          <t>Input</t>
        </is>
      </c>
      <c r="F180" t="n">
        <v/>
      </c>
      <c r="G180" t="inlineStr">
        <is>
          <t>Jul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16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P180" t="inlineStr">
        <is>
          <t>center</t>
        </is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PLANNED EXPENSES</t>
        </is>
      </c>
      <c r="B181" t="inlineStr">
        <is>
          <t>J11</t>
        </is>
      </c>
      <c r="C181" t="n">
        <v>11</v>
      </c>
      <c r="D181" t="n">
        <v>10</v>
      </c>
      <c r="E181" t="inlineStr">
        <is>
          <t>Input</t>
        </is>
      </c>
      <c r="F181" t="n">
        <v/>
      </c>
      <c r="G181" t="inlineStr">
        <is>
          <t>Aug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16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inlineStr">
        <is>
          <t>center</t>
        </is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PLANNED EXPENSES</t>
        </is>
      </c>
      <c r="B182" t="inlineStr">
        <is>
          <t>K11</t>
        </is>
      </c>
      <c r="C182" t="n">
        <v>11</v>
      </c>
      <c r="D182" t="n">
        <v>11</v>
      </c>
      <c r="E182" t="inlineStr">
        <is>
          <t>Input</t>
        </is>
      </c>
      <c r="F182" t="n">
        <v/>
      </c>
      <c r="G182" t="inlineStr">
        <is>
          <t>Sep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16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inlineStr">
        <is>
          <t>center</t>
        </is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PLANNED EXPENSES</t>
        </is>
      </c>
      <c r="B183" t="inlineStr">
        <is>
          <t>L11</t>
        </is>
      </c>
      <c r="C183" t="n">
        <v>11</v>
      </c>
      <c r="D183" t="n">
        <v>12</v>
      </c>
      <c r="E183" t="inlineStr">
        <is>
          <t>Input</t>
        </is>
      </c>
      <c r="F183" t="n">
        <v/>
      </c>
      <c r="G183" t="inlineStr">
        <is>
          <t>Oct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16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PLANNED EXPENSES</t>
        </is>
      </c>
      <c r="B184" t="inlineStr">
        <is>
          <t>M11</t>
        </is>
      </c>
      <c r="C184" t="n">
        <v>11</v>
      </c>
      <c r="D184" t="n">
        <v>13</v>
      </c>
      <c r="E184" t="inlineStr">
        <is>
          <t>Input</t>
        </is>
      </c>
      <c r="F184" t="n">
        <v/>
      </c>
      <c r="G184" t="inlineStr">
        <is>
          <t>Nov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16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center</t>
        </is>
      </c>
      <c r="P184" t="inlineStr">
        <is>
          <t>center</t>
        </is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PLANNED EXPENSES</t>
        </is>
      </c>
      <c r="B185" t="inlineStr">
        <is>
          <t>N11</t>
        </is>
      </c>
      <c r="C185" t="n">
        <v>11</v>
      </c>
      <c r="D185" t="n">
        <v>14</v>
      </c>
      <c r="E185" t="inlineStr">
        <is>
          <t>Input</t>
        </is>
      </c>
      <c r="F185" t="n">
        <v/>
      </c>
      <c r="G185" t="inlineStr">
        <is>
          <t>Dec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16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inlineStr">
        <is>
          <t>center</t>
        </is>
      </c>
      <c r="P185" t="inlineStr">
        <is>
          <t>center</t>
        </is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PLANNED EXPENSES</t>
        </is>
      </c>
      <c r="B186" t="inlineStr">
        <is>
          <t>O11</t>
        </is>
      </c>
      <c r="C186" t="n">
        <v>11</v>
      </c>
      <c r="D186" t="n">
        <v>15</v>
      </c>
      <c r="E186" t="inlineStr">
        <is>
          <t>Input</t>
        </is>
      </c>
      <c r="F186" t="n">
        <v/>
      </c>
      <c r="G186" t="inlineStr">
        <is>
          <t>YEAR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16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center</t>
        </is>
      </c>
      <c r="P186" t="inlineStr">
        <is>
          <t>center</t>
        </is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PLANNED EXPENSES</t>
        </is>
      </c>
      <c r="B187" t="inlineStr">
        <is>
          <t>P11</t>
        </is>
      </c>
      <c r="C187" t="n">
        <v>11</v>
      </c>
      <c r="D187" t="n">
        <v>16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16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n">
        <v/>
      </c>
      <c r="P187" t="n">
        <v/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PLANNED EXPENSES</t>
        </is>
      </c>
      <c r="B188" t="inlineStr">
        <is>
          <t>A12</t>
        </is>
      </c>
      <c r="C188" t="n">
        <v>12</v>
      </c>
      <c r="D188" t="n">
        <v>1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n">
        <v/>
      </c>
      <c r="P188" t="n">
        <v/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PLANNED EXPENSES</t>
        </is>
      </c>
      <c r="B189" t="inlineStr">
        <is>
          <t>B12</t>
        </is>
      </c>
      <c r="C189" t="n">
        <v>12</v>
      </c>
      <c r="D189" t="n">
        <v>2</v>
      </c>
      <c r="E189" t="inlineStr">
        <is>
          <t>Input</t>
        </is>
      </c>
      <c r="F189" t="n">
        <v/>
      </c>
      <c r="G189" t="inlineStr">
        <is>
          <t>Office lease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12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left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PLANNED EXPENSES</t>
        </is>
      </c>
      <c r="B190" t="inlineStr">
        <is>
          <t>C12</t>
        </is>
      </c>
      <c r="C190" t="n">
        <v>12</v>
      </c>
      <c r="D190" t="n">
        <v>3</v>
      </c>
      <c r="E190" t="inlineStr">
        <is>
          <t>Input</t>
        </is>
      </c>
      <c r="F190" t="n">
        <v/>
      </c>
      <c r="G190" t="n">
        <v>9800</v>
      </c>
      <c r="H190" t="inlineStr"/>
      <c r="I190" t="inlineStr">
        <is>
          <t>"$"#,##0.00_);[Red]\("$"#,##0.00\)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PLANNED EXPENSES</t>
        </is>
      </c>
      <c r="B191" t="inlineStr">
        <is>
          <t>D12</t>
        </is>
      </c>
      <c r="C191" t="n">
        <v>12</v>
      </c>
      <c r="D191" t="n">
        <v>4</v>
      </c>
      <c r="E191" t="inlineStr">
        <is>
          <t>Input</t>
        </is>
      </c>
      <c r="F191" t="n">
        <v/>
      </c>
      <c r="G191" t="n">
        <v>9800</v>
      </c>
      <c r="H191" t="inlineStr"/>
      <c r="I191" t="inlineStr">
        <is>
          <t>"$"#,##0.00_);[Red]\("$"#,##0.00\)</t>
        </is>
      </c>
      <c r="J191" t="b">
        <v>0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PLANNED EXPENSES</t>
        </is>
      </c>
      <c r="B192" t="inlineStr">
        <is>
          <t>E12</t>
        </is>
      </c>
      <c r="C192" t="n">
        <v>12</v>
      </c>
      <c r="D192" t="n">
        <v>5</v>
      </c>
      <c r="E192" t="inlineStr">
        <is>
          <t>Input</t>
        </is>
      </c>
      <c r="F192" t="n">
        <v/>
      </c>
      <c r="G192" t="n">
        <v>9800</v>
      </c>
      <c r="H192" t="inlineStr"/>
      <c r="I192" t="inlineStr">
        <is>
          <t>"$"#,##0.00_);[Red]\("$"#,##0.00\)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PLANNED EXPENSES</t>
        </is>
      </c>
      <c r="B193" t="inlineStr">
        <is>
          <t>F12</t>
        </is>
      </c>
      <c r="C193" t="n">
        <v>12</v>
      </c>
      <c r="D193" t="n">
        <v>6</v>
      </c>
      <c r="E193" t="inlineStr">
        <is>
          <t>Input</t>
        </is>
      </c>
      <c r="F193" t="n">
        <v/>
      </c>
      <c r="G193" t="n">
        <v>9800</v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10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PLANNED EXPENSES</t>
        </is>
      </c>
      <c r="B194" t="inlineStr">
        <is>
          <t>G12</t>
        </is>
      </c>
      <c r="C194" t="n">
        <v>12</v>
      </c>
      <c r="D194" t="n">
        <v>7</v>
      </c>
      <c r="E194" t="inlineStr">
        <is>
          <t>Input</t>
        </is>
      </c>
      <c r="F194" t="n">
        <v/>
      </c>
      <c r="G194" t="n">
        <v>9800</v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PLANNED EXPENSES</t>
        </is>
      </c>
      <c r="B195" t="inlineStr">
        <is>
          <t>H12</t>
        </is>
      </c>
      <c r="C195" t="n">
        <v>12</v>
      </c>
      <c r="D195" t="n">
        <v>8</v>
      </c>
      <c r="E195" t="inlineStr">
        <is>
          <t>Input</t>
        </is>
      </c>
      <c r="F195" t="n">
        <v/>
      </c>
      <c r="G195" t="n">
        <v>9800</v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PLANNED EXPENSES</t>
        </is>
      </c>
      <c r="B196" t="inlineStr">
        <is>
          <t>I12</t>
        </is>
      </c>
      <c r="C196" t="n">
        <v>12</v>
      </c>
      <c r="D196" t="n">
        <v>9</v>
      </c>
      <c r="E196" t="inlineStr">
        <is>
          <t>Input</t>
        </is>
      </c>
      <c r="F196" t="n">
        <v/>
      </c>
      <c r="G196" t="n">
        <v>9800</v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PLANNED EXPENSES</t>
        </is>
      </c>
      <c r="B197" t="inlineStr">
        <is>
          <t>J12</t>
        </is>
      </c>
      <c r="C197" t="n">
        <v>12</v>
      </c>
      <c r="D197" t="n">
        <v>10</v>
      </c>
      <c r="E197" t="inlineStr">
        <is>
          <t>Input</t>
        </is>
      </c>
      <c r="F197" t="n">
        <v/>
      </c>
      <c r="G197" t="n">
        <v>9800</v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PLANNED EXPENSES</t>
        </is>
      </c>
      <c r="B198" t="inlineStr">
        <is>
          <t>K12</t>
        </is>
      </c>
      <c r="C198" t="n">
        <v>12</v>
      </c>
      <c r="D198" t="n">
        <v>11</v>
      </c>
      <c r="E198" t="inlineStr">
        <is>
          <t>Input</t>
        </is>
      </c>
      <c r="F198" t="n">
        <v/>
      </c>
      <c r="G198" t="n">
        <v>9800</v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PLANNED EXPENSES</t>
        </is>
      </c>
      <c r="B199" t="inlineStr">
        <is>
          <t>L12</t>
        </is>
      </c>
      <c r="C199" t="n">
        <v>12</v>
      </c>
      <c r="D199" t="n">
        <v>12</v>
      </c>
      <c r="E199" t="inlineStr">
        <is>
          <t>Input</t>
        </is>
      </c>
      <c r="F199" t="n">
        <v/>
      </c>
      <c r="G199" t="n">
        <v>9800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PLANNED EXPENSES</t>
        </is>
      </c>
      <c r="B200" t="inlineStr">
        <is>
          <t>M12</t>
        </is>
      </c>
      <c r="C200" t="n">
        <v>12</v>
      </c>
      <c r="D200" t="n">
        <v>13</v>
      </c>
      <c r="E200" t="inlineStr">
        <is>
          <t>Input</t>
        </is>
      </c>
      <c r="F200" t="n">
        <v/>
      </c>
      <c r="G200" t="n">
        <v>9800</v>
      </c>
      <c r="H200" t="inlineStr"/>
      <c r="I200" t="inlineStr">
        <is>
          <t>"$"#,##0.00_);[Red]\("$"#,##0.00\)</t>
        </is>
      </c>
      <c r="J200" t="b">
        <v>0</v>
      </c>
      <c r="K200" t="b">
        <v>0</v>
      </c>
      <c r="L200" t="n">
        <v>10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PLANNED EXPENSES</t>
        </is>
      </c>
      <c r="B201" t="inlineStr">
        <is>
          <t>N12</t>
        </is>
      </c>
      <c r="C201" t="n">
        <v>12</v>
      </c>
      <c r="D201" t="n">
        <v>14</v>
      </c>
      <c r="E201" t="inlineStr">
        <is>
          <t>Input</t>
        </is>
      </c>
      <c r="F201" t="n">
        <v/>
      </c>
      <c r="G201" t="n">
        <v>9800</v>
      </c>
      <c r="H201" t="inlineStr"/>
      <c r="I201" t="inlineStr">
        <is>
          <t>"$"#,##0.00_);[Red]\("$"#,##0.00\)</t>
        </is>
      </c>
      <c r="J201" t="b">
        <v>0</v>
      </c>
      <c r="K201" t="b">
        <v>0</v>
      </c>
      <c r="L201" t="n">
        <v>10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PLANNED EXPENSES</t>
        </is>
      </c>
      <c r="B202" t="inlineStr">
        <is>
          <t>O12</t>
        </is>
      </c>
      <c r="C202" t="n">
        <v>12</v>
      </c>
      <c r="D202" t="n">
        <v>15</v>
      </c>
      <c r="E202" t="inlineStr">
        <is>
          <t>Output</t>
        </is>
      </c>
      <c r="F202" t="inlineStr">
        <is>
          <t>'=SUM(C12:N12)</t>
        </is>
      </c>
      <c r="G202" t="n">
        <v>117600</v>
      </c>
      <c r="H202" t="inlineStr"/>
      <c r="I202" t="inlineStr">
        <is>
          <t>"$"#,##0.00_);[Red]\("$"#,##0.00\)</t>
        </is>
      </c>
      <c r="J202" t="b">
        <v>0</v>
      </c>
      <c r="K202" t="b">
        <v>0</v>
      </c>
      <c r="L202" t="n">
        <v>10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G000002</t>
        </is>
      </c>
      <c r="T202" t="inlineStr">
        <is>
          <t>Vertical</t>
        </is>
      </c>
      <c r="U202" t="n">
        <v>8</v>
      </c>
      <c r="V202" t="b">
        <v>1</v>
      </c>
      <c r="W202" t="inlineStr">
        <is>
          <t>PLANNED EXPENSES!O12:O19</t>
        </is>
      </c>
      <c r="X202">
        <f>SUM(R[0]C[-12]:R[0]C[-1])</f>
        <v/>
      </c>
    </row>
    <row r="203">
      <c r="A203" t="inlineStr">
        <is>
          <t>PLANNED EXPENSES</t>
        </is>
      </c>
      <c r="B203" t="inlineStr">
        <is>
          <t>P12</t>
        </is>
      </c>
      <c r="C203" t="n">
        <v>12</v>
      </c>
      <c r="D203" t="n">
        <v>16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n">
        <v/>
      </c>
      <c r="P203" t="n">
        <v/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PLANNED EXPENSES</t>
        </is>
      </c>
      <c r="B204" t="inlineStr">
        <is>
          <t>R12</t>
        </is>
      </c>
      <c r="C204" t="n">
        <v>12</v>
      </c>
      <c r="D204" t="n">
        <v>18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9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P204" t="n">
        <v/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PLANNED EXPENSES</t>
        </is>
      </c>
      <c r="B205" t="inlineStr">
        <is>
          <t>S12</t>
        </is>
      </c>
      <c r="C205" t="n">
        <v>12</v>
      </c>
      <c r="D205" t="n">
        <v>19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9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P205" t="n">
        <v/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PLANNED EXPENSES</t>
        </is>
      </c>
      <c r="B206" t="inlineStr">
        <is>
          <t>T12</t>
        </is>
      </c>
      <c r="C206" t="n">
        <v>12</v>
      </c>
      <c r="D206" t="n">
        <v>20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9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P206" t="n">
        <v/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PLANNED EXPENSES</t>
        </is>
      </c>
      <c r="B207" t="inlineStr">
        <is>
          <t>A13</t>
        </is>
      </c>
      <c r="C207" t="n">
        <v>13</v>
      </c>
      <c r="D207" t="n">
        <v>1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n">
        <v/>
      </c>
      <c r="P207" t="n">
        <v/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PLANNED EXPENSES</t>
        </is>
      </c>
      <c r="B208" t="inlineStr">
        <is>
          <t>B13</t>
        </is>
      </c>
      <c r="C208" t="n">
        <v>13</v>
      </c>
      <c r="D208" t="n">
        <v>2</v>
      </c>
      <c r="E208" t="inlineStr">
        <is>
          <t>Input</t>
        </is>
      </c>
      <c r="F208" t="n">
        <v/>
      </c>
      <c r="G208" t="inlineStr">
        <is>
          <t>Gas</t>
        </is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12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left</t>
        </is>
      </c>
      <c r="P208" t="inlineStr">
        <is>
          <t>center</t>
        </is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PLANNED EXPENSES</t>
        </is>
      </c>
      <c r="B209" t="inlineStr">
        <is>
          <t>C13</t>
        </is>
      </c>
      <c r="C209" t="n">
        <v>13</v>
      </c>
      <c r="D209" t="n">
        <v>3</v>
      </c>
      <c r="E209" t="inlineStr">
        <is>
          <t>Input</t>
        </is>
      </c>
      <c r="F209" t="n">
        <v/>
      </c>
      <c r="G209" t="n">
        <v>300</v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PLANNED EXPENSES</t>
        </is>
      </c>
      <c r="B210" t="inlineStr">
        <is>
          <t>D13</t>
        </is>
      </c>
      <c r="C210" t="n">
        <v>13</v>
      </c>
      <c r="D210" t="n">
        <v>4</v>
      </c>
      <c r="E210" t="inlineStr">
        <is>
          <t>Input</t>
        </is>
      </c>
      <c r="F210" t="n">
        <v/>
      </c>
      <c r="G210" t="n">
        <v>400</v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PLANNED EXPENSES</t>
        </is>
      </c>
      <c r="B211" t="inlineStr">
        <is>
          <t>E13</t>
        </is>
      </c>
      <c r="C211" t="n">
        <v>13</v>
      </c>
      <c r="D211" t="n">
        <v>5</v>
      </c>
      <c r="E211" t="inlineStr">
        <is>
          <t>Input</t>
        </is>
      </c>
      <c r="F211" t="n">
        <v/>
      </c>
      <c r="G211" t="n">
        <v>400</v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PLANNED EXPENSES</t>
        </is>
      </c>
      <c r="B212" t="inlineStr">
        <is>
          <t>F13</t>
        </is>
      </c>
      <c r="C212" t="n">
        <v>13</v>
      </c>
      <c r="D212" t="n">
        <v>6</v>
      </c>
      <c r="E212" t="inlineStr">
        <is>
          <t>Input</t>
        </is>
      </c>
      <c r="F212" t="n">
        <v/>
      </c>
      <c r="G212" t="n">
        <v>100</v>
      </c>
      <c r="H212" t="inlineStr"/>
      <c r="I212" t="inlineStr">
        <is>
          <t>"$"#,##0.00_);[Red]\("$"#,##0.00\)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center</t>
        </is>
      </c>
      <c r="P212" t="inlineStr">
        <is>
          <t>center</t>
        </is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PLANNED EXPENSES</t>
        </is>
      </c>
      <c r="B213" t="inlineStr">
        <is>
          <t>G13</t>
        </is>
      </c>
      <c r="C213" t="n">
        <v>13</v>
      </c>
      <c r="D213" t="n">
        <v>7</v>
      </c>
      <c r="E213" t="inlineStr">
        <is>
          <t>Input</t>
        </is>
      </c>
      <c r="F213" t="n">
        <v/>
      </c>
      <c r="G213" t="n">
        <v>100</v>
      </c>
      <c r="H213" t="inlineStr"/>
      <c r="I213" t="inlineStr">
        <is>
          <t>"$"#,##0.00_);[Red]\("$"#,##0.00\)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inlineStr">
        <is>
          <t>center</t>
        </is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PLANNED EXPENSES</t>
        </is>
      </c>
      <c r="B214" t="inlineStr">
        <is>
          <t>H13</t>
        </is>
      </c>
      <c r="C214" t="n">
        <v>13</v>
      </c>
      <c r="D214" t="n">
        <v>8</v>
      </c>
      <c r="E214" t="inlineStr">
        <is>
          <t>Input</t>
        </is>
      </c>
      <c r="F214" t="n">
        <v/>
      </c>
      <c r="G214" t="n">
        <v>100</v>
      </c>
      <c r="H214" t="inlineStr"/>
      <c r="I214" t="inlineStr">
        <is>
          <t>"$"#,##0.00_);[Red]\("$"#,##0.00\)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PLANNED EXPENSES</t>
        </is>
      </c>
      <c r="B215" t="inlineStr">
        <is>
          <t>I13</t>
        </is>
      </c>
      <c r="C215" t="n">
        <v>13</v>
      </c>
      <c r="D215" t="n">
        <v>9</v>
      </c>
      <c r="E215" t="inlineStr">
        <is>
          <t>Input</t>
        </is>
      </c>
      <c r="F215" t="n">
        <v/>
      </c>
      <c r="G215" t="n">
        <v>100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PLANNED EXPENSES</t>
        </is>
      </c>
      <c r="B216" t="inlineStr">
        <is>
          <t>J13</t>
        </is>
      </c>
      <c r="C216" t="n">
        <v>13</v>
      </c>
      <c r="D216" t="n">
        <v>10</v>
      </c>
      <c r="E216" t="inlineStr">
        <is>
          <t>Input</t>
        </is>
      </c>
      <c r="F216" t="n">
        <v/>
      </c>
      <c r="G216" t="n">
        <v>100</v>
      </c>
      <c r="H216" t="inlineStr"/>
      <c r="I216" t="inlineStr">
        <is>
          <t>"$"#,##0.00_);[Red]\("$"#,##0.00\)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PLANNED EXPENSES</t>
        </is>
      </c>
      <c r="B217" t="inlineStr">
        <is>
          <t>K13</t>
        </is>
      </c>
      <c r="C217" t="n">
        <v>13</v>
      </c>
      <c r="D217" t="n">
        <v>11</v>
      </c>
      <c r="E217" t="inlineStr">
        <is>
          <t>Input</t>
        </is>
      </c>
      <c r="F217" t="n">
        <v/>
      </c>
      <c r="G217" t="n">
        <v>100</v>
      </c>
      <c r="H217" t="inlineStr"/>
      <c r="I217" t="inlineStr">
        <is>
          <t>"$"#,##0.00_);[Red]\("$"#,##0.00\)</t>
        </is>
      </c>
      <c r="J217" t="b">
        <v>0</v>
      </c>
      <c r="K217" t="b">
        <v>0</v>
      </c>
      <c r="L217" t="n">
        <v>10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PLANNED EXPENSES</t>
        </is>
      </c>
      <c r="B218" t="inlineStr">
        <is>
          <t>L13</t>
        </is>
      </c>
      <c r="C218" t="n">
        <v>13</v>
      </c>
      <c r="D218" t="n">
        <v>12</v>
      </c>
      <c r="E218" t="inlineStr">
        <is>
          <t>Input</t>
        </is>
      </c>
      <c r="F218" t="n">
        <v/>
      </c>
      <c r="G218" t="n">
        <v>100</v>
      </c>
      <c r="H218" t="inlineStr"/>
      <c r="I218" t="inlineStr">
        <is>
          <t>"$"#,##0.00_);[Red]\("$"#,##0.00\)</t>
        </is>
      </c>
      <c r="J218" t="b">
        <v>0</v>
      </c>
      <c r="K218" t="b">
        <v>0</v>
      </c>
      <c r="L218" t="n">
        <v>10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PLANNED EXPENSES</t>
        </is>
      </c>
      <c r="B219" t="inlineStr">
        <is>
          <t>M13</t>
        </is>
      </c>
      <c r="C219" t="n">
        <v>13</v>
      </c>
      <c r="D219" t="n">
        <v>13</v>
      </c>
      <c r="E219" t="inlineStr">
        <is>
          <t>Input</t>
        </is>
      </c>
      <c r="F219" t="n">
        <v/>
      </c>
      <c r="G219" t="n">
        <v>400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PLANNED EXPENSES</t>
        </is>
      </c>
      <c r="B220" t="inlineStr">
        <is>
          <t>N13</t>
        </is>
      </c>
      <c r="C220" t="n">
        <v>13</v>
      </c>
      <c r="D220" t="n">
        <v>14</v>
      </c>
      <c r="E220" t="inlineStr">
        <is>
          <t>Input</t>
        </is>
      </c>
      <c r="F220" t="n">
        <v/>
      </c>
      <c r="G220" t="n">
        <v>400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PLANNED EXPENSES</t>
        </is>
      </c>
      <c r="B221" t="inlineStr">
        <is>
          <t>O13</t>
        </is>
      </c>
      <c r="C221" t="n">
        <v>13</v>
      </c>
      <c r="D221" t="n">
        <v>15</v>
      </c>
      <c r="E221" t="inlineStr">
        <is>
          <t>Output</t>
        </is>
      </c>
      <c r="F221" t="inlineStr">
        <is>
          <t>'=SUM(C13:N13)</t>
        </is>
      </c>
      <c r="G221" t="n">
        <v>2600</v>
      </c>
      <c r="H221" t="inlineStr"/>
      <c r="I221" t="inlineStr">
        <is>
          <t>"$"#,##0.00_);[Red]\("$"#,##0.00\)</t>
        </is>
      </c>
      <c r="J221" t="b">
        <v>0</v>
      </c>
      <c r="K221" t="b">
        <v>0</v>
      </c>
      <c r="L221" t="n">
        <v>10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inlineStr">
        <is>
          <t>G000002</t>
        </is>
      </c>
      <c r="T221" t="inlineStr">
        <is>
          <t>Vertical</t>
        </is>
      </c>
      <c r="U221" t="n">
        <v>8</v>
      </c>
      <c r="V221" t="b">
        <v>1</v>
      </c>
      <c r="W221" t="inlineStr">
        <is>
          <t>PLANNED EXPENSES!O12:O19</t>
        </is>
      </c>
      <c r="X221">
        <f>SUM(R[0]C[-12]:R[0]C[-1])</f>
        <v/>
      </c>
    </row>
    <row r="222">
      <c r="A222" t="inlineStr">
        <is>
          <t>PLANNED EXPENSES</t>
        </is>
      </c>
      <c r="B222" t="inlineStr">
        <is>
          <t>P13</t>
        </is>
      </c>
      <c r="C222" t="n">
        <v>13</v>
      </c>
      <c r="D222" t="n">
        <v>16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n">
        <v/>
      </c>
      <c r="P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PLANNED EXPENSES</t>
        </is>
      </c>
      <c r="B223" t="inlineStr">
        <is>
          <t>R13</t>
        </is>
      </c>
      <c r="C223" t="n">
        <v>13</v>
      </c>
      <c r="D223" t="n">
        <v>18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9</v>
      </c>
      <c r="M223" t="inlineStr">
        <is>
          <t>Values must be of type &lt;class 'str'&gt;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PLANNED EXPENSES</t>
        </is>
      </c>
      <c r="B224" t="inlineStr">
        <is>
          <t>S13</t>
        </is>
      </c>
      <c r="C224" t="n">
        <v>13</v>
      </c>
      <c r="D224" t="n">
        <v>19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9</v>
      </c>
      <c r="M224" t="inlineStr">
        <is>
          <t>Values must be of type &lt;class 'str'&gt;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PLANNED EXPENSES</t>
        </is>
      </c>
      <c r="B225" t="inlineStr">
        <is>
          <t>T13</t>
        </is>
      </c>
      <c r="C225" t="n">
        <v>13</v>
      </c>
      <c r="D225" t="n">
        <v>20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9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P225" t="n">
        <v/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PLANNED EXPENSES</t>
        </is>
      </c>
      <c r="B226" t="inlineStr">
        <is>
          <t>A14</t>
        </is>
      </c>
      <c r="C226" t="n">
        <v>14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n">
        <v/>
      </c>
      <c r="P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PLANNED EXPENSES</t>
        </is>
      </c>
      <c r="B227" t="inlineStr">
        <is>
          <t>B14</t>
        </is>
      </c>
      <c r="C227" t="n">
        <v>14</v>
      </c>
      <c r="D227" t="n">
        <v>2</v>
      </c>
      <c r="E227" t="inlineStr">
        <is>
          <t>Input</t>
        </is>
      </c>
      <c r="F227" t="n">
        <v/>
      </c>
      <c r="G227" t="inlineStr">
        <is>
          <t>Electric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12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left</t>
        </is>
      </c>
      <c r="P227" t="inlineStr">
        <is>
          <t>center</t>
        </is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PLANNED EXPENSES</t>
        </is>
      </c>
      <c r="B228" t="inlineStr">
        <is>
          <t>C14</t>
        </is>
      </c>
      <c r="C228" t="n">
        <v>14</v>
      </c>
      <c r="D228" t="n">
        <v>3</v>
      </c>
      <c r="E228" t="inlineStr">
        <is>
          <t>Input</t>
        </is>
      </c>
      <c r="F228" t="n">
        <v/>
      </c>
      <c r="G228" t="n">
        <v>300</v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PLANNED EXPENSES</t>
        </is>
      </c>
      <c r="B229" t="inlineStr">
        <is>
          <t>D14</t>
        </is>
      </c>
      <c r="C229" t="n">
        <v>14</v>
      </c>
      <c r="D229" t="n">
        <v>4</v>
      </c>
      <c r="E229" t="inlineStr">
        <is>
          <t>Input</t>
        </is>
      </c>
      <c r="F229" t="n">
        <v/>
      </c>
      <c r="G229" t="n">
        <v>300</v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PLANNED EXPENSES</t>
        </is>
      </c>
      <c r="B230" t="inlineStr">
        <is>
          <t>E14</t>
        </is>
      </c>
      <c r="C230" t="n">
        <v>14</v>
      </c>
      <c r="D230" t="n">
        <v>5</v>
      </c>
      <c r="E230" t="inlineStr">
        <is>
          <t>Input</t>
        </is>
      </c>
      <c r="F230" t="n">
        <v/>
      </c>
      <c r="G230" t="n">
        <v>300</v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PLANNED EXPENSES</t>
        </is>
      </c>
      <c r="B231" t="inlineStr">
        <is>
          <t>F14</t>
        </is>
      </c>
      <c r="C231" t="n">
        <v>14</v>
      </c>
      <c r="D231" t="n">
        <v>6</v>
      </c>
      <c r="E231" t="inlineStr">
        <is>
          <t>Input</t>
        </is>
      </c>
      <c r="F231" t="n">
        <v/>
      </c>
      <c r="G231" t="n">
        <v>300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PLANNED EXPENSES</t>
        </is>
      </c>
      <c r="B232" t="inlineStr">
        <is>
          <t>G14</t>
        </is>
      </c>
      <c r="C232" t="n">
        <v>14</v>
      </c>
      <c r="D232" t="n">
        <v>7</v>
      </c>
      <c r="E232" t="inlineStr">
        <is>
          <t>Input</t>
        </is>
      </c>
      <c r="F232" t="n">
        <v/>
      </c>
      <c r="G232" t="n">
        <v>300</v>
      </c>
      <c r="H232" t="inlineStr"/>
      <c r="I232" t="inlineStr">
        <is>
          <t>"$"#,##0.00_);[Red]\("$"#,##0.00\)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PLANNED EXPENSES</t>
        </is>
      </c>
      <c r="B233" t="inlineStr">
        <is>
          <t>H14</t>
        </is>
      </c>
      <c r="C233" t="n">
        <v>14</v>
      </c>
      <c r="D233" t="n">
        <v>8</v>
      </c>
      <c r="E233" t="inlineStr">
        <is>
          <t>Input</t>
        </is>
      </c>
      <c r="F233" t="n">
        <v/>
      </c>
      <c r="G233" t="n">
        <v>300</v>
      </c>
      <c r="H233" t="inlineStr"/>
      <c r="I233" t="inlineStr">
        <is>
          <t>"$"#,##0.00_);[Red]\("$"#,##0.00\)</t>
        </is>
      </c>
      <c r="J233" t="b">
        <v>0</v>
      </c>
      <c r="K233" t="b">
        <v>0</v>
      </c>
      <c r="L233" t="n">
        <v>10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PLANNED EXPENSES</t>
        </is>
      </c>
      <c r="B234" t="inlineStr">
        <is>
          <t>I14</t>
        </is>
      </c>
      <c r="C234" t="n">
        <v>14</v>
      </c>
      <c r="D234" t="n">
        <v>9</v>
      </c>
      <c r="E234" t="inlineStr">
        <is>
          <t>Input</t>
        </is>
      </c>
      <c r="F234" t="n">
        <v/>
      </c>
      <c r="G234" t="n">
        <v>300</v>
      </c>
      <c r="H234" t="inlineStr"/>
      <c r="I234" t="inlineStr">
        <is>
          <t>"$"#,##0.00_);[Red]\("$"#,##0.00\)</t>
        </is>
      </c>
      <c r="J234" t="b">
        <v>0</v>
      </c>
      <c r="K234" t="b">
        <v>0</v>
      </c>
      <c r="L234" t="n">
        <v>10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P234" t="inlineStr">
        <is>
          <t>center</t>
        </is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PLANNED EXPENSES</t>
        </is>
      </c>
      <c r="B235" t="inlineStr">
        <is>
          <t>J14</t>
        </is>
      </c>
      <c r="C235" t="n">
        <v>14</v>
      </c>
      <c r="D235" t="n">
        <v>10</v>
      </c>
      <c r="E235" t="inlineStr">
        <is>
          <t>Input</t>
        </is>
      </c>
      <c r="F235" t="n">
        <v/>
      </c>
      <c r="G235" t="n">
        <v>300</v>
      </c>
      <c r="H235" t="inlineStr"/>
      <c r="I235" t="inlineStr">
        <is>
          <t>"$"#,##0.00_);[Red]\("$"#,##0.00\)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inlineStr">
        <is>
          <t>center</t>
        </is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PLANNED EXPENSES</t>
        </is>
      </c>
      <c r="B236" t="inlineStr">
        <is>
          <t>K14</t>
        </is>
      </c>
      <c r="C236" t="n">
        <v>14</v>
      </c>
      <c r="D236" t="n">
        <v>11</v>
      </c>
      <c r="E236" t="inlineStr">
        <is>
          <t>Input</t>
        </is>
      </c>
      <c r="F236" t="n">
        <v/>
      </c>
      <c r="G236" t="n">
        <v>300</v>
      </c>
      <c r="H236" t="inlineStr"/>
      <c r="I236" t="inlineStr">
        <is>
          <t>"$"#,##0.00_);[Red]\("$"#,##0.00\)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PLANNED EXPENSES</t>
        </is>
      </c>
      <c r="B237" t="inlineStr">
        <is>
          <t>L14</t>
        </is>
      </c>
      <c r="C237" t="n">
        <v>14</v>
      </c>
      <c r="D237" t="n">
        <v>12</v>
      </c>
      <c r="E237" t="inlineStr">
        <is>
          <t>Input</t>
        </is>
      </c>
      <c r="F237" t="n">
        <v/>
      </c>
      <c r="G237" t="n">
        <v>300</v>
      </c>
      <c r="H237" t="inlineStr"/>
      <c r="I237" t="inlineStr">
        <is>
          <t>"$"#,##0.00_);[Red]\("$"#,##0.00\)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PLANNED EXPENSES</t>
        </is>
      </c>
      <c r="B238" t="inlineStr">
        <is>
          <t>M14</t>
        </is>
      </c>
      <c r="C238" t="n">
        <v>14</v>
      </c>
      <c r="D238" t="n">
        <v>13</v>
      </c>
      <c r="E238" t="inlineStr">
        <is>
          <t>Input</t>
        </is>
      </c>
      <c r="F238" t="n">
        <v/>
      </c>
      <c r="G238" t="n">
        <v>300</v>
      </c>
      <c r="H238" t="inlineStr"/>
      <c r="I238" t="inlineStr">
        <is>
          <t>"$"#,##0.00_);[Red]\("$"#,##0.00\)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PLANNED EXPENSES</t>
        </is>
      </c>
      <c r="B239" t="inlineStr">
        <is>
          <t>N14</t>
        </is>
      </c>
      <c r="C239" t="n">
        <v>14</v>
      </c>
      <c r="D239" t="n">
        <v>14</v>
      </c>
      <c r="E239" t="inlineStr">
        <is>
          <t>Input</t>
        </is>
      </c>
      <c r="F239" t="n">
        <v/>
      </c>
      <c r="G239" t="n">
        <v>300</v>
      </c>
      <c r="H239" t="inlineStr"/>
      <c r="I239" t="inlineStr">
        <is>
          <t>"$"#,##0.00_);[Red]\("$"#,##0.00\)</t>
        </is>
      </c>
      <c r="J239" t="b">
        <v>0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PLANNED EXPENSES</t>
        </is>
      </c>
      <c r="B240" t="inlineStr">
        <is>
          <t>O14</t>
        </is>
      </c>
      <c r="C240" t="n">
        <v>14</v>
      </c>
      <c r="D240" t="n">
        <v>15</v>
      </c>
      <c r="E240" t="inlineStr">
        <is>
          <t>Output</t>
        </is>
      </c>
      <c r="F240" t="inlineStr">
        <is>
          <t>'=SUM(C14:N14)</t>
        </is>
      </c>
      <c r="G240" t="n">
        <v>3600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G000002</t>
        </is>
      </c>
      <c r="T240" t="inlineStr">
        <is>
          <t>Vertical</t>
        </is>
      </c>
      <c r="U240" t="n">
        <v>8</v>
      </c>
      <c r="V240" t="b">
        <v>1</v>
      </c>
      <c r="W240" t="inlineStr">
        <is>
          <t>PLANNED EXPENSES!O12:O19</t>
        </is>
      </c>
      <c r="X240">
        <f>SUM(R[0]C[-12]:R[0]C[-1])</f>
        <v/>
      </c>
    </row>
    <row r="241">
      <c r="A241" t="inlineStr">
        <is>
          <t>PLANNED EXPENSES</t>
        </is>
      </c>
      <c r="B241" t="inlineStr">
        <is>
          <t>P14</t>
        </is>
      </c>
      <c r="C241" t="n">
        <v>14</v>
      </c>
      <c r="D241" t="n">
        <v>16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n">
        <v/>
      </c>
      <c r="P241" t="n">
        <v/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PLANNED EXPENSES</t>
        </is>
      </c>
      <c r="B242" t="inlineStr">
        <is>
          <t>R14</t>
        </is>
      </c>
      <c r="C242" t="n">
        <v>14</v>
      </c>
      <c r="D242" t="n">
        <v>18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9</v>
      </c>
      <c r="M242" t="inlineStr">
        <is>
          <t>Values must be of type &lt;class 'str'&gt;</t>
        </is>
      </c>
      <c r="N242" t="inlineStr">
        <is>
          <t>00000000</t>
        </is>
      </c>
      <c r="O242" t="n">
        <v/>
      </c>
      <c r="P242" t="n">
        <v/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PLANNED EXPENSES</t>
        </is>
      </c>
      <c r="B243" t="inlineStr">
        <is>
          <t>S14</t>
        </is>
      </c>
      <c r="C243" t="n">
        <v>14</v>
      </c>
      <c r="D243" t="n">
        <v>19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9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P243" t="n">
        <v/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PLANNED EXPENSES</t>
        </is>
      </c>
      <c r="B244" t="inlineStr">
        <is>
          <t>T14</t>
        </is>
      </c>
      <c r="C244" t="n">
        <v>14</v>
      </c>
      <c r="D244" t="n">
        <v>20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9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P244" t="n">
        <v/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PLANNED EXPENSES</t>
        </is>
      </c>
      <c r="B245" t="inlineStr">
        <is>
          <t>A15</t>
        </is>
      </c>
      <c r="C245" t="n">
        <v>15</v>
      </c>
      <c r="D245" t="n">
        <v>1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PLANNED EXPENSES</t>
        </is>
      </c>
      <c r="B246" t="inlineStr">
        <is>
          <t>B15</t>
        </is>
      </c>
      <c r="C246" t="n">
        <v>15</v>
      </c>
      <c r="D246" t="n">
        <v>2</v>
      </c>
      <c r="E246" t="inlineStr">
        <is>
          <t>Input</t>
        </is>
      </c>
      <c r="F246" t="n">
        <v/>
      </c>
      <c r="G246" t="inlineStr">
        <is>
          <t>Water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12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left</t>
        </is>
      </c>
      <c r="P246" t="inlineStr">
        <is>
          <t>center</t>
        </is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PLANNED EXPENSES</t>
        </is>
      </c>
      <c r="B247" t="inlineStr">
        <is>
          <t>C15</t>
        </is>
      </c>
      <c r="C247" t="n">
        <v>15</v>
      </c>
      <c r="D247" t="n">
        <v>3</v>
      </c>
      <c r="E247" t="inlineStr">
        <is>
          <t>Input</t>
        </is>
      </c>
      <c r="F247" t="n">
        <v/>
      </c>
      <c r="G247" t="n">
        <v>40</v>
      </c>
      <c r="H247" t="inlineStr"/>
      <c r="I247" t="inlineStr">
        <is>
          <t>"$"#,##0.00_);[Red]\("$"#,##0.00\)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PLANNED EXPENSES</t>
        </is>
      </c>
      <c r="B248" t="inlineStr">
        <is>
          <t>D15</t>
        </is>
      </c>
      <c r="C248" t="n">
        <v>15</v>
      </c>
      <c r="D248" t="n">
        <v>4</v>
      </c>
      <c r="E248" t="inlineStr">
        <is>
          <t>Input</t>
        </is>
      </c>
      <c r="F248" t="n">
        <v/>
      </c>
      <c r="G248" t="n">
        <v>40</v>
      </c>
      <c r="H248" t="inlineStr"/>
      <c r="I248" t="inlineStr">
        <is>
          <t>"$"#,##0.00_);[Red]\("$"#,##0.00\)</t>
        </is>
      </c>
      <c r="J248" t="b">
        <v>0</v>
      </c>
      <c r="K248" t="b">
        <v>0</v>
      </c>
      <c r="L248" t="n">
        <v>10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PLANNED EXPENSES</t>
        </is>
      </c>
      <c r="B249" t="inlineStr">
        <is>
          <t>E15</t>
        </is>
      </c>
      <c r="C249" t="n">
        <v>15</v>
      </c>
      <c r="D249" t="n">
        <v>5</v>
      </c>
      <c r="E249" t="inlineStr">
        <is>
          <t>Input</t>
        </is>
      </c>
      <c r="F249" t="n">
        <v/>
      </c>
      <c r="G249" t="n">
        <v>40</v>
      </c>
      <c r="H249" t="inlineStr"/>
      <c r="I249" t="inlineStr">
        <is>
          <t>"$"#,##0.00_);[Red]\("$"#,##0.00\)</t>
        </is>
      </c>
      <c r="J249" t="b">
        <v>0</v>
      </c>
      <c r="K249" t="b">
        <v>0</v>
      </c>
      <c r="L249" t="n">
        <v>10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PLANNED EXPENSES</t>
        </is>
      </c>
      <c r="B250" t="inlineStr">
        <is>
          <t>F15</t>
        </is>
      </c>
      <c r="C250" t="n">
        <v>15</v>
      </c>
      <c r="D250" t="n">
        <v>6</v>
      </c>
      <c r="E250" t="inlineStr">
        <is>
          <t>Input</t>
        </is>
      </c>
      <c r="F250" t="n">
        <v/>
      </c>
      <c r="G250" t="n">
        <v>40</v>
      </c>
      <c r="H250" t="inlineStr"/>
      <c r="I250" t="inlineStr">
        <is>
          <t>"$"#,##0.00_);[Red]\("$"#,##0.00\)</t>
        </is>
      </c>
      <c r="J250" t="b">
        <v>0</v>
      </c>
      <c r="K250" t="b">
        <v>0</v>
      </c>
      <c r="L250" t="n">
        <v>10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PLANNED EXPENSES</t>
        </is>
      </c>
      <c r="B251" t="inlineStr">
        <is>
          <t>G15</t>
        </is>
      </c>
      <c r="C251" t="n">
        <v>15</v>
      </c>
      <c r="D251" t="n">
        <v>7</v>
      </c>
      <c r="E251" t="inlineStr">
        <is>
          <t>Input</t>
        </is>
      </c>
      <c r="F251" t="n">
        <v/>
      </c>
      <c r="G251" t="n">
        <v>40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PLANNED EXPENSES</t>
        </is>
      </c>
      <c r="B252" t="inlineStr">
        <is>
          <t>H15</t>
        </is>
      </c>
      <c r="C252" t="n">
        <v>15</v>
      </c>
      <c r="D252" t="n">
        <v>8</v>
      </c>
      <c r="E252" t="inlineStr">
        <is>
          <t>Input</t>
        </is>
      </c>
      <c r="F252" t="n">
        <v/>
      </c>
      <c r="G252" t="n">
        <v>40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PLANNED EXPENSES</t>
        </is>
      </c>
      <c r="B253" t="inlineStr">
        <is>
          <t>I15</t>
        </is>
      </c>
      <c r="C253" t="n">
        <v>15</v>
      </c>
      <c r="D253" t="n">
        <v>9</v>
      </c>
      <c r="E253" t="inlineStr">
        <is>
          <t>Input</t>
        </is>
      </c>
      <c r="F253" t="n">
        <v/>
      </c>
      <c r="G253" t="n">
        <v>40</v>
      </c>
      <c r="H253" t="inlineStr"/>
      <c r="I253" t="inlineStr">
        <is>
          <t>"$"#,##0.00_);[Red]\("$"#,##0.00\)</t>
        </is>
      </c>
      <c r="J253" t="b">
        <v>0</v>
      </c>
      <c r="K253" t="b">
        <v>0</v>
      </c>
      <c r="L253" t="n">
        <v>10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P253" t="inlineStr">
        <is>
          <t>center</t>
        </is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PLANNED EXPENSES</t>
        </is>
      </c>
      <c r="B254" t="inlineStr">
        <is>
          <t>J15</t>
        </is>
      </c>
      <c r="C254" t="n">
        <v>15</v>
      </c>
      <c r="D254" t="n">
        <v>10</v>
      </c>
      <c r="E254" t="inlineStr">
        <is>
          <t>Input</t>
        </is>
      </c>
      <c r="F254" t="n">
        <v/>
      </c>
      <c r="G254" t="n">
        <v>40</v>
      </c>
      <c r="H254" t="inlineStr"/>
      <c r="I254" t="inlineStr">
        <is>
          <t>"$"#,##0.00_);[Red]\("$"#,##0.00\)</t>
        </is>
      </c>
      <c r="J254" t="b">
        <v>0</v>
      </c>
      <c r="K254" t="b">
        <v>0</v>
      </c>
      <c r="L254" t="n">
        <v>10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PLANNED EXPENSES</t>
        </is>
      </c>
      <c r="B255" t="inlineStr">
        <is>
          <t>K15</t>
        </is>
      </c>
      <c r="C255" t="n">
        <v>15</v>
      </c>
      <c r="D255" t="n">
        <v>11</v>
      </c>
      <c r="E255" t="inlineStr">
        <is>
          <t>Input</t>
        </is>
      </c>
      <c r="F255" t="n">
        <v/>
      </c>
      <c r="G255" t="n">
        <v>40</v>
      </c>
      <c r="H255" t="inlineStr"/>
      <c r="I255" t="inlineStr">
        <is>
          <t>"$"#,##0.00_);[Red]\("$"#,##0.00\)</t>
        </is>
      </c>
      <c r="J255" t="b">
        <v>0</v>
      </c>
      <c r="K255" t="b">
        <v>0</v>
      </c>
      <c r="L255" t="n">
        <v>10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PLANNED EXPENSES</t>
        </is>
      </c>
      <c r="B256" t="inlineStr">
        <is>
          <t>L15</t>
        </is>
      </c>
      <c r="C256" t="n">
        <v>15</v>
      </c>
      <c r="D256" t="n">
        <v>12</v>
      </c>
      <c r="E256" t="inlineStr">
        <is>
          <t>Input</t>
        </is>
      </c>
      <c r="F256" t="n">
        <v/>
      </c>
      <c r="G256" t="n">
        <v>40</v>
      </c>
      <c r="H256" t="inlineStr"/>
      <c r="I256" t="inlineStr">
        <is>
          <t>"$"#,##0.00_);[Red]\("$"#,##0.00\)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PLANNED EXPENSES</t>
        </is>
      </c>
      <c r="B257" t="inlineStr">
        <is>
          <t>M15</t>
        </is>
      </c>
      <c r="C257" t="n">
        <v>15</v>
      </c>
      <c r="D257" t="n">
        <v>13</v>
      </c>
      <c r="E257" t="inlineStr">
        <is>
          <t>Input</t>
        </is>
      </c>
      <c r="F257" t="n">
        <v/>
      </c>
      <c r="G257" t="n">
        <v>40</v>
      </c>
      <c r="H257" t="inlineStr"/>
      <c r="I257" t="inlineStr">
        <is>
          <t>"$"#,##0.00_);[Red]\("$"#,##0.00\)</t>
        </is>
      </c>
      <c r="J257" t="b">
        <v>0</v>
      </c>
      <c r="K257" t="b">
        <v>0</v>
      </c>
      <c r="L257" t="n">
        <v>10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inlineStr">
        <is>
          <t>center</t>
        </is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PLANNED EXPENSES</t>
        </is>
      </c>
      <c r="B258" t="inlineStr">
        <is>
          <t>N15</t>
        </is>
      </c>
      <c r="C258" t="n">
        <v>15</v>
      </c>
      <c r="D258" t="n">
        <v>14</v>
      </c>
      <c r="E258" t="inlineStr">
        <is>
          <t>Input</t>
        </is>
      </c>
      <c r="F258" t="n">
        <v/>
      </c>
      <c r="G258" t="n">
        <v>40</v>
      </c>
      <c r="H258" t="inlineStr"/>
      <c r="I258" t="inlineStr">
        <is>
          <t>"$"#,##0.00_);[Red]\("$"#,##0.00\)</t>
        </is>
      </c>
      <c r="J258" t="b">
        <v>0</v>
      </c>
      <c r="K258" t="b">
        <v>0</v>
      </c>
      <c r="L258" t="n">
        <v>10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PLANNED EXPENSES</t>
        </is>
      </c>
      <c r="B259" t="inlineStr">
        <is>
          <t>O15</t>
        </is>
      </c>
      <c r="C259" t="n">
        <v>15</v>
      </c>
      <c r="D259" t="n">
        <v>15</v>
      </c>
      <c r="E259" t="inlineStr">
        <is>
          <t>Output</t>
        </is>
      </c>
      <c r="F259" t="inlineStr">
        <is>
          <t>'=SUM(C15:N15)</t>
        </is>
      </c>
      <c r="G259" t="n">
        <v>480</v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G000002</t>
        </is>
      </c>
      <c r="T259" t="inlineStr">
        <is>
          <t>Vertical</t>
        </is>
      </c>
      <c r="U259" t="n">
        <v>8</v>
      </c>
      <c r="V259" t="b">
        <v>1</v>
      </c>
      <c r="W259" t="inlineStr">
        <is>
          <t>PLANNED EXPENSES!O12:O19</t>
        </is>
      </c>
      <c r="X259">
        <f>SUM(R[0]C[-12]:R[0]C[-1])</f>
        <v/>
      </c>
    </row>
    <row r="260">
      <c r="A260" t="inlineStr">
        <is>
          <t>PLANNED EXPENSES</t>
        </is>
      </c>
      <c r="B260" t="inlineStr">
        <is>
          <t>P15</t>
        </is>
      </c>
      <c r="C260" t="n">
        <v>15</v>
      </c>
      <c r="D260" t="n">
        <v>16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PLANNED EXPENSES</t>
        </is>
      </c>
      <c r="B261" t="inlineStr">
        <is>
          <t>A16</t>
        </is>
      </c>
      <c r="C261" t="n">
        <v>16</v>
      </c>
      <c r="D261" t="n">
        <v>1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PLANNED EXPENSES</t>
        </is>
      </c>
      <c r="B262" t="inlineStr">
        <is>
          <t>B16</t>
        </is>
      </c>
      <c r="C262" t="n">
        <v>16</v>
      </c>
      <c r="D262" t="n">
        <v>2</v>
      </c>
      <c r="E262" t="inlineStr">
        <is>
          <t>Input</t>
        </is>
      </c>
      <c r="F262" t="n">
        <v/>
      </c>
      <c r="G262" t="inlineStr">
        <is>
          <t>Telephone</t>
        </is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12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left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PLANNED EXPENSES</t>
        </is>
      </c>
      <c r="B263" t="inlineStr">
        <is>
          <t>C16</t>
        </is>
      </c>
      <c r="C263" t="n">
        <v>16</v>
      </c>
      <c r="D263" t="n">
        <v>3</v>
      </c>
      <c r="E263" t="inlineStr">
        <is>
          <t>Input</t>
        </is>
      </c>
      <c r="F263" t="n">
        <v/>
      </c>
      <c r="G263" t="n">
        <v>250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PLANNED EXPENSES</t>
        </is>
      </c>
      <c r="B264" t="inlineStr">
        <is>
          <t>D16</t>
        </is>
      </c>
      <c r="C264" t="n">
        <v>16</v>
      </c>
      <c r="D264" t="n">
        <v>4</v>
      </c>
      <c r="E264" t="inlineStr">
        <is>
          <t>Input</t>
        </is>
      </c>
      <c r="F264" t="n">
        <v/>
      </c>
      <c r="G264" t="n">
        <v>250</v>
      </c>
      <c r="H264" t="inlineStr"/>
      <c r="I264" t="inlineStr">
        <is>
          <t>"$"#,##0.00_);[Red]\("$"#,##0.00\)</t>
        </is>
      </c>
      <c r="J264" t="b">
        <v>0</v>
      </c>
      <c r="K264" t="b">
        <v>0</v>
      </c>
      <c r="L264" t="n">
        <v>10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PLANNED EXPENSES</t>
        </is>
      </c>
      <c r="B265" t="inlineStr">
        <is>
          <t>E16</t>
        </is>
      </c>
      <c r="C265" t="n">
        <v>16</v>
      </c>
      <c r="D265" t="n">
        <v>5</v>
      </c>
      <c r="E265" t="inlineStr">
        <is>
          <t>Input</t>
        </is>
      </c>
      <c r="F265" t="n">
        <v/>
      </c>
      <c r="G265" t="n">
        <v>250</v>
      </c>
      <c r="H265" t="inlineStr"/>
      <c r="I265" t="inlineStr">
        <is>
          <t>"$"#,##0.00_);[Red]\("$"#,##0.00\)</t>
        </is>
      </c>
      <c r="J265" t="b">
        <v>0</v>
      </c>
      <c r="K265" t="b">
        <v>0</v>
      </c>
      <c r="L265" t="n">
        <v>10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PLANNED EXPENSES</t>
        </is>
      </c>
      <c r="B266" t="inlineStr">
        <is>
          <t>F16</t>
        </is>
      </c>
      <c r="C266" t="n">
        <v>16</v>
      </c>
      <c r="D266" t="n">
        <v>6</v>
      </c>
      <c r="E266" t="inlineStr">
        <is>
          <t>Input</t>
        </is>
      </c>
      <c r="F266" t="n">
        <v/>
      </c>
      <c r="G266" t="n">
        <v>250</v>
      </c>
      <c r="H266" t="inlineStr"/>
      <c r="I266" t="inlineStr">
        <is>
          <t>"$"#,##0.00_);[Red]\("$"#,##0.00\)</t>
        </is>
      </c>
      <c r="J266" t="b">
        <v>0</v>
      </c>
      <c r="K266" t="b">
        <v>0</v>
      </c>
      <c r="L266" t="n">
        <v>10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PLANNED EXPENSES</t>
        </is>
      </c>
      <c r="B267" t="inlineStr">
        <is>
          <t>G16</t>
        </is>
      </c>
      <c r="C267" t="n">
        <v>16</v>
      </c>
      <c r="D267" t="n">
        <v>7</v>
      </c>
      <c r="E267" t="inlineStr">
        <is>
          <t>Input</t>
        </is>
      </c>
      <c r="F267" t="n">
        <v/>
      </c>
      <c r="G267" t="n">
        <v>250</v>
      </c>
      <c r="H267" t="inlineStr"/>
      <c r="I267" t="inlineStr">
        <is>
          <t>"$"#,##0.00_);[Red]\("$"#,##0.00\)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PLANNED EXPENSES</t>
        </is>
      </c>
      <c r="B268" t="inlineStr">
        <is>
          <t>H16</t>
        </is>
      </c>
      <c r="C268" t="n">
        <v>16</v>
      </c>
      <c r="D268" t="n">
        <v>8</v>
      </c>
      <c r="E268" t="inlineStr">
        <is>
          <t>Input</t>
        </is>
      </c>
      <c r="F268" t="n">
        <v/>
      </c>
      <c r="G268" t="n">
        <v>250</v>
      </c>
      <c r="H268" t="inlineStr"/>
      <c r="I268" t="inlineStr">
        <is>
          <t>"$"#,##0.00_);[Red]\("$"#,##0.00\)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PLANNED EXPENSES</t>
        </is>
      </c>
      <c r="B269" t="inlineStr">
        <is>
          <t>I16</t>
        </is>
      </c>
      <c r="C269" t="n">
        <v>16</v>
      </c>
      <c r="D269" t="n">
        <v>9</v>
      </c>
      <c r="E269" t="inlineStr">
        <is>
          <t>Input</t>
        </is>
      </c>
      <c r="F269" t="n">
        <v/>
      </c>
      <c r="G269" t="n">
        <v>250</v>
      </c>
      <c r="H269" t="inlineStr"/>
      <c r="I269" t="inlineStr">
        <is>
          <t>"$"#,##0.00_);[Red]\("$"#,##0.00\)</t>
        </is>
      </c>
      <c r="J269" t="b">
        <v>0</v>
      </c>
      <c r="K269" t="b">
        <v>0</v>
      </c>
      <c r="L269" t="n">
        <v>10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PLANNED EXPENSES</t>
        </is>
      </c>
      <c r="B270" t="inlineStr">
        <is>
          <t>J16</t>
        </is>
      </c>
      <c r="C270" t="n">
        <v>16</v>
      </c>
      <c r="D270" t="n">
        <v>10</v>
      </c>
      <c r="E270" t="inlineStr">
        <is>
          <t>Input</t>
        </is>
      </c>
      <c r="F270" t="n">
        <v/>
      </c>
      <c r="G270" t="n">
        <v>250</v>
      </c>
      <c r="H270" t="inlineStr"/>
      <c r="I270" t="inlineStr">
        <is>
          <t>"$"#,##0.00_);[Red]\("$"#,##0.00\)</t>
        </is>
      </c>
      <c r="J270" t="b">
        <v>0</v>
      </c>
      <c r="K270" t="b">
        <v>0</v>
      </c>
      <c r="L270" t="n">
        <v>10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inlineStr">
        <is>
          <t>center</t>
        </is>
      </c>
      <c r="P270" t="inlineStr">
        <is>
          <t>center</t>
        </is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PLANNED EXPENSES</t>
        </is>
      </c>
      <c r="B271" t="inlineStr">
        <is>
          <t>K16</t>
        </is>
      </c>
      <c r="C271" t="n">
        <v>16</v>
      </c>
      <c r="D271" t="n">
        <v>11</v>
      </c>
      <c r="E271" t="inlineStr">
        <is>
          <t>Input</t>
        </is>
      </c>
      <c r="F271" t="n">
        <v/>
      </c>
      <c r="G271" t="n">
        <v>250</v>
      </c>
      <c r="H271" t="inlineStr"/>
      <c r="I271" t="inlineStr">
        <is>
          <t>"$"#,##0.00_);[Red]\("$"#,##0.00\)</t>
        </is>
      </c>
      <c r="J271" t="b">
        <v>0</v>
      </c>
      <c r="K271" t="b">
        <v>0</v>
      </c>
      <c r="L271" t="n">
        <v>10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center</t>
        </is>
      </c>
      <c r="P271" t="inlineStr">
        <is>
          <t>center</t>
        </is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PLANNED EXPENSES</t>
        </is>
      </c>
      <c r="B272" t="inlineStr">
        <is>
          <t>L16</t>
        </is>
      </c>
      <c r="C272" t="n">
        <v>16</v>
      </c>
      <c r="D272" t="n">
        <v>12</v>
      </c>
      <c r="E272" t="inlineStr">
        <is>
          <t>Input</t>
        </is>
      </c>
      <c r="F272" t="n">
        <v/>
      </c>
      <c r="G272" t="n">
        <v>250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PLANNED EXPENSES</t>
        </is>
      </c>
      <c r="B273" t="inlineStr">
        <is>
          <t>M16</t>
        </is>
      </c>
      <c r="C273" t="n">
        <v>16</v>
      </c>
      <c r="D273" t="n">
        <v>13</v>
      </c>
      <c r="E273" t="inlineStr">
        <is>
          <t>Input</t>
        </is>
      </c>
      <c r="F273" t="n">
        <v/>
      </c>
      <c r="G273" t="n">
        <v>250</v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10</v>
      </c>
      <c r="M273" t="inlineStr">
        <is>
          <t>Values must be of type &lt;class 'str'&gt;</t>
        </is>
      </c>
      <c r="N273" t="inlineStr">
        <is>
          <t>Values must be of type &lt;class 'str'&gt;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PLANNED EXPENSES</t>
        </is>
      </c>
      <c r="B274" t="inlineStr">
        <is>
          <t>N16</t>
        </is>
      </c>
      <c r="C274" t="n">
        <v>16</v>
      </c>
      <c r="D274" t="n">
        <v>14</v>
      </c>
      <c r="E274" t="inlineStr">
        <is>
          <t>Input</t>
        </is>
      </c>
      <c r="F274" t="n">
        <v/>
      </c>
      <c r="G274" t="n">
        <v>250</v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10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PLANNED EXPENSES</t>
        </is>
      </c>
      <c r="B275" t="inlineStr">
        <is>
          <t>O16</t>
        </is>
      </c>
      <c r="C275" t="n">
        <v>16</v>
      </c>
      <c r="D275" t="n">
        <v>15</v>
      </c>
      <c r="E275" t="inlineStr">
        <is>
          <t>Output</t>
        </is>
      </c>
      <c r="F275" t="inlineStr">
        <is>
          <t>'=SUM(C16:N16)</t>
        </is>
      </c>
      <c r="G275" t="n">
        <v>3000</v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G000002</t>
        </is>
      </c>
      <c r="T275" t="inlineStr">
        <is>
          <t>Vertical</t>
        </is>
      </c>
      <c r="U275" t="n">
        <v>8</v>
      </c>
      <c r="V275" t="b">
        <v>1</v>
      </c>
      <c r="W275" t="inlineStr">
        <is>
          <t>PLANNED EXPENSES!O12:O19</t>
        </is>
      </c>
      <c r="X275">
        <f>SUM(R[0]C[-12]:R[0]C[-1])</f>
        <v/>
      </c>
    </row>
    <row r="276">
      <c r="A276" t="inlineStr">
        <is>
          <t>PLANNED EXPENSES</t>
        </is>
      </c>
      <c r="B276" t="inlineStr">
        <is>
          <t>P16</t>
        </is>
      </c>
      <c r="C276" t="n">
        <v>16</v>
      </c>
      <c r="D276" t="n">
        <v>16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n">
        <v/>
      </c>
      <c r="P276" t="n">
        <v/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PLANNED EXPENSES</t>
        </is>
      </c>
      <c r="B277" t="inlineStr">
        <is>
          <t>A17</t>
        </is>
      </c>
      <c r="C277" t="n">
        <v>17</v>
      </c>
      <c r="D277" t="n">
        <v>1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n">
        <v/>
      </c>
      <c r="P277" t="n">
        <v/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PLANNED EXPENSES</t>
        </is>
      </c>
      <c r="B278" t="inlineStr">
        <is>
          <t>B17</t>
        </is>
      </c>
      <c r="C278" t="n">
        <v>17</v>
      </c>
      <c r="D278" t="n">
        <v>2</v>
      </c>
      <c r="E278" t="inlineStr">
        <is>
          <t>Input</t>
        </is>
      </c>
      <c r="F278" t="n">
        <v/>
      </c>
      <c r="G278" t="inlineStr">
        <is>
          <t>Internet access</t>
        </is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12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left</t>
        </is>
      </c>
      <c r="P278" t="inlineStr">
        <is>
          <t>center</t>
        </is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PLANNED EXPENSES</t>
        </is>
      </c>
      <c r="B279" t="inlineStr">
        <is>
          <t>C17</t>
        </is>
      </c>
      <c r="C279" t="n">
        <v>17</v>
      </c>
      <c r="D279" t="n">
        <v>3</v>
      </c>
      <c r="E279" t="inlineStr">
        <is>
          <t>Input</t>
        </is>
      </c>
      <c r="F279" t="n">
        <v/>
      </c>
      <c r="G279" t="n">
        <v>180</v>
      </c>
      <c r="H279" t="inlineStr"/>
      <c r="I279" t="inlineStr">
        <is>
          <t>"$"#,##0.00_);[Red]\("$"#,##0.00\)</t>
        </is>
      </c>
      <c r="J279" t="b">
        <v>0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inlineStr">
        <is>
          <t>center</t>
        </is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PLANNED EXPENSES</t>
        </is>
      </c>
      <c r="B280" t="inlineStr">
        <is>
          <t>D17</t>
        </is>
      </c>
      <c r="C280" t="n">
        <v>17</v>
      </c>
      <c r="D280" t="n">
        <v>4</v>
      </c>
      <c r="E280" t="inlineStr">
        <is>
          <t>Input</t>
        </is>
      </c>
      <c r="F280" t="n">
        <v/>
      </c>
      <c r="G280" t="n">
        <v>180</v>
      </c>
      <c r="H280" t="inlineStr"/>
      <c r="I280" t="inlineStr">
        <is>
          <t>"$"#,##0.00_);[Red]\("$"#,##0.00\)</t>
        </is>
      </c>
      <c r="J280" t="b">
        <v>0</v>
      </c>
      <c r="K280" t="b">
        <v>0</v>
      </c>
      <c r="L280" t="n">
        <v>10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P280" t="inlineStr">
        <is>
          <t>center</t>
        </is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PLANNED EXPENSES</t>
        </is>
      </c>
      <c r="B281" t="inlineStr">
        <is>
          <t>E17</t>
        </is>
      </c>
      <c r="C281" t="n">
        <v>17</v>
      </c>
      <c r="D281" t="n">
        <v>5</v>
      </c>
      <c r="E281" t="inlineStr">
        <is>
          <t>Input</t>
        </is>
      </c>
      <c r="F281" t="n">
        <v/>
      </c>
      <c r="G281" t="n">
        <v>180</v>
      </c>
      <c r="H281" t="inlineStr"/>
      <c r="I281" t="inlineStr">
        <is>
          <t>"$"#,##0.00_);[Red]\("$"#,##0.00\)</t>
        </is>
      </c>
      <c r="J281" t="b">
        <v>0</v>
      </c>
      <c r="K281" t="b">
        <v>0</v>
      </c>
      <c r="L281" t="n">
        <v>10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PLANNED EXPENSES</t>
        </is>
      </c>
      <c r="B282" t="inlineStr">
        <is>
          <t>F17</t>
        </is>
      </c>
      <c r="C282" t="n">
        <v>17</v>
      </c>
      <c r="D282" t="n">
        <v>6</v>
      </c>
      <c r="E282" t="inlineStr">
        <is>
          <t>Input</t>
        </is>
      </c>
      <c r="F282" t="n">
        <v/>
      </c>
      <c r="G282" t="n">
        <v>180</v>
      </c>
      <c r="H282" t="inlineStr"/>
      <c r="I282" t="inlineStr">
        <is>
          <t>"$"#,##0.00_);[Red]\("$"#,##0.00\)</t>
        </is>
      </c>
      <c r="J282" t="b">
        <v>0</v>
      </c>
      <c r="K282" t="b">
        <v>0</v>
      </c>
      <c r="L282" t="n">
        <v>10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PLANNED EXPENSES</t>
        </is>
      </c>
      <c r="B283" t="inlineStr">
        <is>
          <t>G17</t>
        </is>
      </c>
      <c r="C283" t="n">
        <v>17</v>
      </c>
      <c r="D283" t="n">
        <v>7</v>
      </c>
      <c r="E283" t="inlineStr">
        <is>
          <t>Input</t>
        </is>
      </c>
      <c r="F283" t="n">
        <v/>
      </c>
      <c r="G283" t="n">
        <v>180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PLANNED EXPENSES</t>
        </is>
      </c>
      <c r="B284" t="inlineStr">
        <is>
          <t>H17</t>
        </is>
      </c>
      <c r="C284" t="n">
        <v>17</v>
      </c>
      <c r="D284" t="n">
        <v>8</v>
      </c>
      <c r="E284" t="inlineStr">
        <is>
          <t>Input</t>
        </is>
      </c>
      <c r="F284" t="n">
        <v/>
      </c>
      <c r="G284" t="n">
        <v>180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PLANNED EXPENSES</t>
        </is>
      </c>
      <c r="B285" t="inlineStr">
        <is>
          <t>I17</t>
        </is>
      </c>
      <c r="C285" t="n">
        <v>17</v>
      </c>
      <c r="D285" t="n">
        <v>9</v>
      </c>
      <c r="E285" t="inlineStr">
        <is>
          <t>Input</t>
        </is>
      </c>
      <c r="F285" t="n">
        <v/>
      </c>
      <c r="G285" t="n">
        <v>180</v>
      </c>
      <c r="H285" t="inlineStr"/>
      <c r="I285" t="inlineStr">
        <is>
          <t>"$"#,##0.00_);[Red]\("$"#,##0.00\)</t>
        </is>
      </c>
      <c r="J285" t="b">
        <v>0</v>
      </c>
      <c r="K285" t="b">
        <v>0</v>
      </c>
      <c r="L285" t="n">
        <v>10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PLANNED EXPENSES</t>
        </is>
      </c>
      <c r="B286" t="inlineStr">
        <is>
          <t>J17</t>
        </is>
      </c>
      <c r="C286" t="n">
        <v>17</v>
      </c>
      <c r="D286" t="n">
        <v>10</v>
      </c>
      <c r="E286" t="inlineStr">
        <is>
          <t>Input</t>
        </is>
      </c>
      <c r="F286" t="n">
        <v/>
      </c>
      <c r="G286" t="n">
        <v>180</v>
      </c>
      <c r="H286" t="inlineStr"/>
      <c r="I286" t="inlineStr">
        <is>
          <t>"$"#,##0.00_);[Red]\("$"#,##0.00\)</t>
        </is>
      </c>
      <c r="J286" t="b">
        <v>0</v>
      </c>
      <c r="K286" t="b">
        <v>0</v>
      </c>
      <c r="L286" t="n">
        <v>10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PLANNED EXPENSES</t>
        </is>
      </c>
      <c r="B287" t="inlineStr">
        <is>
          <t>K17</t>
        </is>
      </c>
      <c r="C287" t="n">
        <v>17</v>
      </c>
      <c r="D287" t="n">
        <v>11</v>
      </c>
      <c r="E287" t="inlineStr">
        <is>
          <t>Input</t>
        </is>
      </c>
      <c r="F287" t="n">
        <v/>
      </c>
      <c r="G287" t="n">
        <v>180</v>
      </c>
      <c r="H287" t="inlineStr"/>
      <c r="I287" t="inlineStr">
        <is>
          <t>"$"#,##0.00_);[Red]\("$"#,##0.00\)</t>
        </is>
      </c>
      <c r="J287" t="b">
        <v>0</v>
      </c>
      <c r="K287" t="b">
        <v>0</v>
      </c>
      <c r="L287" t="n">
        <v>10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PLANNED EXPENSES</t>
        </is>
      </c>
      <c r="B288" t="inlineStr">
        <is>
          <t>L17</t>
        </is>
      </c>
      <c r="C288" t="n">
        <v>17</v>
      </c>
      <c r="D288" t="n">
        <v>12</v>
      </c>
      <c r="E288" t="inlineStr">
        <is>
          <t>Input</t>
        </is>
      </c>
      <c r="F288" t="n">
        <v/>
      </c>
      <c r="G288" t="n">
        <v>180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PLANNED EXPENSES</t>
        </is>
      </c>
      <c r="B289" t="inlineStr">
        <is>
          <t>M17</t>
        </is>
      </c>
      <c r="C289" t="n">
        <v>17</v>
      </c>
      <c r="D289" t="n">
        <v>13</v>
      </c>
      <c r="E289" t="inlineStr">
        <is>
          <t>Input</t>
        </is>
      </c>
      <c r="F289" t="n">
        <v/>
      </c>
      <c r="G289" t="n">
        <v>180</v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10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PLANNED EXPENSES</t>
        </is>
      </c>
      <c r="B290" t="inlineStr">
        <is>
          <t>N17</t>
        </is>
      </c>
      <c r="C290" t="n">
        <v>17</v>
      </c>
      <c r="D290" t="n">
        <v>14</v>
      </c>
      <c r="E290" t="inlineStr">
        <is>
          <t>Input</t>
        </is>
      </c>
      <c r="F290" t="n">
        <v/>
      </c>
      <c r="G290" t="n">
        <v>180</v>
      </c>
      <c r="H290" t="inlineStr"/>
      <c r="I290" t="inlineStr">
        <is>
          <t>"$"#,##0.00_);[Red]\("$"#,##0.00\)</t>
        </is>
      </c>
      <c r="J290" t="b">
        <v>0</v>
      </c>
      <c r="K290" t="b">
        <v>0</v>
      </c>
      <c r="L290" t="n">
        <v>10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PLANNED EXPENSES</t>
        </is>
      </c>
      <c r="B291" t="inlineStr">
        <is>
          <t>O17</t>
        </is>
      </c>
      <c r="C291" t="n">
        <v>17</v>
      </c>
      <c r="D291" t="n">
        <v>15</v>
      </c>
      <c r="E291" t="inlineStr">
        <is>
          <t>Output</t>
        </is>
      </c>
      <c r="F291" t="inlineStr">
        <is>
          <t>'=SUM(C17:N17)</t>
        </is>
      </c>
      <c r="G291" t="n">
        <v>2160</v>
      </c>
      <c r="H291" t="inlineStr"/>
      <c r="I291" t="inlineStr">
        <is>
          <t>"$"#,##0.00_);[Red]\("$"#,##0.00\)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inlineStr">
        <is>
          <t>G000002</t>
        </is>
      </c>
      <c r="T291" t="inlineStr">
        <is>
          <t>Vertical</t>
        </is>
      </c>
      <c r="U291" t="n">
        <v>8</v>
      </c>
      <c r="V291" t="b">
        <v>1</v>
      </c>
      <c r="W291" t="inlineStr">
        <is>
          <t>PLANNED EXPENSES!O12:O19</t>
        </is>
      </c>
      <c r="X291">
        <f>SUM(R[0]C[-12]:R[0]C[-1])</f>
        <v/>
      </c>
    </row>
    <row r="292">
      <c r="A292" t="inlineStr">
        <is>
          <t>PLANNED EXPENSES</t>
        </is>
      </c>
      <c r="B292" t="inlineStr">
        <is>
          <t>P17</t>
        </is>
      </c>
      <c r="C292" t="n">
        <v>17</v>
      </c>
      <c r="D292" t="n">
        <v>16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14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n">
        <v/>
      </c>
      <c r="P292" t="n">
        <v/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PLANNED EXPENSES</t>
        </is>
      </c>
      <c r="B293" t="inlineStr">
        <is>
          <t>A18</t>
        </is>
      </c>
      <c r="C293" t="n">
        <v>18</v>
      </c>
      <c r="D293" t="n">
        <v>1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14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PLANNED EXPENSES</t>
        </is>
      </c>
      <c r="B294" t="inlineStr">
        <is>
          <t>B18</t>
        </is>
      </c>
      <c r="C294" t="n">
        <v>18</v>
      </c>
      <c r="D294" t="n">
        <v>2</v>
      </c>
      <c r="E294" t="inlineStr">
        <is>
          <t>Input</t>
        </is>
      </c>
      <c r="F294" t="n">
        <v/>
      </c>
      <c r="G294" t="inlineStr">
        <is>
          <t>Office supplies</t>
        </is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12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left</t>
        </is>
      </c>
      <c r="P294" t="inlineStr">
        <is>
          <t>center</t>
        </is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PLANNED EXPENSES</t>
        </is>
      </c>
      <c r="B295" t="inlineStr">
        <is>
          <t>C18</t>
        </is>
      </c>
      <c r="C295" t="n">
        <v>18</v>
      </c>
      <c r="D295" t="n">
        <v>3</v>
      </c>
      <c r="E295" t="inlineStr">
        <is>
          <t>Input</t>
        </is>
      </c>
      <c r="F295" t="n">
        <v/>
      </c>
      <c r="G295" t="n">
        <v>200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PLANNED EXPENSES</t>
        </is>
      </c>
      <c r="B296" t="inlineStr">
        <is>
          <t>D18</t>
        </is>
      </c>
      <c r="C296" t="n">
        <v>18</v>
      </c>
      <c r="D296" t="n">
        <v>4</v>
      </c>
      <c r="E296" t="inlineStr">
        <is>
          <t>Input</t>
        </is>
      </c>
      <c r="F296" t="n">
        <v/>
      </c>
      <c r="G296" t="n">
        <v>200</v>
      </c>
      <c r="H296" t="inlineStr"/>
      <c r="I296" t="inlineStr">
        <is>
          <t>"$"#,##0.00_);[Red]\("$"#,##0.00\)</t>
        </is>
      </c>
      <c r="J296" t="b">
        <v>0</v>
      </c>
      <c r="K296" t="b">
        <v>0</v>
      </c>
      <c r="L296" t="n">
        <v>10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PLANNED EXPENSES</t>
        </is>
      </c>
      <c r="B297" t="inlineStr">
        <is>
          <t>E18</t>
        </is>
      </c>
      <c r="C297" t="n">
        <v>18</v>
      </c>
      <c r="D297" t="n">
        <v>5</v>
      </c>
      <c r="E297" t="inlineStr">
        <is>
          <t>Input</t>
        </is>
      </c>
      <c r="F297" t="n">
        <v/>
      </c>
      <c r="G297" t="n">
        <v>200</v>
      </c>
      <c r="H297" t="inlineStr"/>
      <c r="I297" t="inlineStr">
        <is>
          <t>"$"#,##0.00_);[Red]\("$"#,##0.00\)</t>
        </is>
      </c>
      <c r="J297" t="b">
        <v>0</v>
      </c>
      <c r="K297" t="b">
        <v>0</v>
      </c>
      <c r="L297" t="n">
        <v>10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PLANNED EXPENSES</t>
        </is>
      </c>
      <c r="B298" t="inlineStr">
        <is>
          <t>F18</t>
        </is>
      </c>
      <c r="C298" t="n">
        <v>18</v>
      </c>
      <c r="D298" t="n">
        <v>6</v>
      </c>
      <c r="E298" t="inlineStr">
        <is>
          <t>Input</t>
        </is>
      </c>
      <c r="F298" t="n">
        <v/>
      </c>
      <c r="G298" t="n">
        <v>200</v>
      </c>
      <c r="H298" t="inlineStr"/>
      <c r="I298" t="inlineStr">
        <is>
          <t>"$"#,##0.00_);[Red]\("$"#,##0.00\)</t>
        </is>
      </c>
      <c r="J298" t="b">
        <v>0</v>
      </c>
      <c r="K298" t="b">
        <v>0</v>
      </c>
      <c r="L298" t="n">
        <v>10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PLANNED EXPENSES</t>
        </is>
      </c>
      <c r="B299" t="inlineStr">
        <is>
          <t>G18</t>
        </is>
      </c>
      <c r="C299" t="n">
        <v>18</v>
      </c>
      <c r="D299" t="n">
        <v>7</v>
      </c>
      <c r="E299" t="inlineStr">
        <is>
          <t>Input</t>
        </is>
      </c>
      <c r="F299" t="n">
        <v/>
      </c>
      <c r="G299" t="n">
        <v>200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PLANNED EXPENSES</t>
        </is>
      </c>
      <c r="B300" t="inlineStr">
        <is>
          <t>H18</t>
        </is>
      </c>
      <c r="C300" t="n">
        <v>18</v>
      </c>
      <c r="D300" t="n">
        <v>8</v>
      </c>
      <c r="E300" t="inlineStr">
        <is>
          <t>Input</t>
        </is>
      </c>
      <c r="F300" t="n">
        <v/>
      </c>
      <c r="G300" t="n">
        <v>200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PLANNED EXPENSES</t>
        </is>
      </c>
      <c r="B301" t="inlineStr">
        <is>
          <t>I18</t>
        </is>
      </c>
      <c r="C301" t="n">
        <v>18</v>
      </c>
      <c r="D301" t="n">
        <v>9</v>
      </c>
      <c r="E301" t="inlineStr">
        <is>
          <t>Input</t>
        </is>
      </c>
      <c r="F301" t="n">
        <v/>
      </c>
      <c r="G301" t="n">
        <v>200</v>
      </c>
      <c r="H301" t="inlineStr"/>
      <c r="I301" t="inlineStr">
        <is>
          <t>"$"#,##0.00_);[Red]\("$"#,##0.00\)</t>
        </is>
      </c>
      <c r="J301" t="b">
        <v>0</v>
      </c>
      <c r="K301" t="b">
        <v>0</v>
      </c>
      <c r="L301" t="n">
        <v>10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PLANNED EXPENSES</t>
        </is>
      </c>
      <c r="B302" t="inlineStr">
        <is>
          <t>J18</t>
        </is>
      </c>
      <c r="C302" t="n">
        <v>18</v>
      </c>
      <c r="D302" t="n">
        <v>10</v>
      </c>
      <c r="E302" t="inlineStr">
        <is>
          <t>Input</t>
        </is>
      </c>
      <c r="F302" t="n">
        <v/>
      </c>
      <c r="G302" t="n">
        <v>200</v>
      </c>
      <c r="H302" t="inlineStr"/>
      <c r="I302" t="inlineStr">
        <is>
          <t>"$"#,##0.00_);[Red]\("$"#,##0.00\)</t>
        </is>
      </c>
      <c r="J302" t="b">
        <v>0</v>
      </c>
      <c r="K302" t="b">
        <v>0</v>
      </c>
      <c r="L302" t="n">
        <v>10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center</t>
        </is>
      </c>
      <c r="P302" t="inlineStr">
        <is>
          <t>center</t>
        </is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PLANNED EXPENSES</t>
        </is>
      </c>
      <c r="B303" t="inlineStr">
        <is>
          <t>K18</t>
        </is>
      </c>
      <c r="C303" t="n">
        <v>18</v>
      </c>
      <c r="D303" t="n">
        <v>11</v>
      </c>
      <c r="E303" t="inlineStr">
        <is>
          <t>Input</t>
        </is>
      </c>
      <c r="F303" t="n">
        <v/>
      </c>
      <c r="G303" t="n">
        <v>200</v>
      </c>
      <c r="H303" t="inlineStr"/>
      <c r="I303" t="inlineStr">
        <is>
          <t>"$"#,##0.00_);[Red]\("$"#,##0.00\)</t>
        </is>
      </c>
      <c r="J303" t="b">
        <v>0</v>
      </c>
      <c r="K303" t="b">
        <v>0</v>
      </c>
      <c r="L303" t="n">
        <v>10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inlineStr">
        <is>
          <t>center</t>
        </is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PLANNED EXPENSES</t>
        </is>
      </c>
      <c r="B304" t="inlineStr">
        <is>
          <t>L18</t>
        </is>
      </c>
      <c r="C304" t="n">
        <v>18</v>
      </c>
      <c r="D304" t="n">
        <v>12</v>
      </c>
      <c r="E304" t="inlineStr">
        <is>
          <t>Input</t>
        </is>
      </c>
      <c r="F304" t="n">
        <v/>
      </c>
      <c r="G304" t="n">
        <v>200</v>
      </c>
      <c r="H304" t="inlineStr"/>
      <c r="I304" t="inlineStr">
        <is>
          <t>"$"#,##0.00_);[Red]\("$"#,##0.00\)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PLANNED EXPENSES</t>
        </is>
      </c>
      <c r="B305" t="inlineStr">
        <is>
          <t>M18</t>
        </is>
      </c>
      <c r="C305" t="n">
        <v>18</v>
      </c>
      <c r="D305" t="n">
        <v>13</v>
      </c>
      <c r="E305" t="inlineStr">
        <is>
          <t>Input</t>
        </is>
      </c>
      <c r="F305" t="n">
        <v/>
      </c>
      <c r="G305" t="n">
        <v>200</v>
      </c>
      <c r="H305" t="inlineStr"/>
      <c r="I305" t="inlineStr">
        <is>
          <t>"$"#,##0.00_);[Red]\("$"#,##0.00\)</t>
        </is>
      </c>
      <c r="J305" t="b">
        <v>0</v>
      </c>
      <c r="K305" t="b">
        <v>0</v>
      </c>
      <c r="L305" t="n">
        <v>10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PLANNED EXPENSES</t>
        </is>
      </c>
      <c r="B306" t="inlineStr">
        <is>
          <t>N18</t>
        </is>
      </c>
      <c r="C306" t="n">
        <v>18</v>
      </c>
      <c r="D306" t="n">
        <v>14</v>
      </c>
      <c r="E306" t="inlineStr">
        <is>
          <t>Input</t>
        </is>
      </c>
      <c r="F306" t="n">
        <v/>
      </c>
      <c r="G306" t="n">
        <v>200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10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PLANNED EXPENSES</t>
        </is>
      </c>
      <c r="B307" t="inlineStr">
        <is>
          <t>O18</t>
        </is>
      </c>
      <c r="C307" t="n">
        <v>18</v>
      </c>
      <c r="D307" t="n">
        <v>15</v>
      </c>
      <c r="E307" t="inlineStr">
        <is>
          <t>Output</t>
        </is>
      </c>
      <c r="F307" t="inlineStr">
        <is>
          <t>'=SUM(C18:N18)</t>
        </is>
      </c>
      <c r="G307" t="n">
        <v>2400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inlineStr">
        <is>
          <t>G000002</t>
        </is>
      </c>
      <c r="T307" t="inlineStr">
        <is>
          <t>Vertical</t>
        </is>
      </c>
      <c r="U307" t="n">
        <v>8</v>
      </c>
      <c r="V307" t="b">
        <v>1</v>
      </c>
      <c r="W307" t="inlineStr">
        <is>
          <t>PLANNED EXPENSES!O12:O19</t>
        </is>
      </c>
      <c r="X307">
        <f>SUM(R[0]C[-12]:R[0]C[-1])</f>
        <v/>
      </c>
    </row>
    <row r="308">
      <c r="A308" t="inlineStr">
        <is>
          <t>PLANNED EXPENSES</t>
        </is>
      </c>
      <c r="B308" t="inlineStr">
        <is>
          <t>P18</t>
        </is>
      </c>
      <c r="C308" t="n">
        <v>18</v>
      </c>
      <c r="D308" t="n">
        <v>16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n">
        <v/>
      </c>
      <c r="P308" t="n">
        <v/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PLANNED EXPENSES</t>
        </is>
      </c>
      <c r="B309" t="inlineStr">
        <is>
          <t>A19</t>
        </is>
      </c>
      <c r="C309" t="n">
        <v>19</v>
      </c>
      <c r="D309" t="n">
        <v>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14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n">
        <v/>
      </c>
      <c r="P309" t="n">
        <v/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PLANNED EXPENSES</t>
        </is>
      </c>
      <c r="B310" t="inlineStr">
        <is>
          <t>B19</t>
        </is>
      </c>
      <c r="C310" t="n">
        <v>19</v>
      </c>
      <c r="D310" t="n">
        <v>2</v>
      </c>
      <c r="E310" t="inlineStr">
        <is>
          <t>Input</t>
        </is>
      </c>
      <c r="F310" t="n">
        <v/>
      </c>
      <c r="G310" t="inlineStr">
        <is>
          <t>Security</t>
        </is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12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left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PLANNED EXPENSES</t>
        </is>
      </c>
      <c r="B311" t="inlineStr">
        <is>
          <t>C19</t>
        </is>
      </c>
      <c r="C311" t="n">
        <v>19</v>
      </c>
      <c r="D311" t="n">
        <v>3</v>
      </c>
      <c r="E311" t="inlineStr">
        <is>
          <t>Input</t>
        </is>
      </c>
      <c r="F311" t="n">
        <v/>
      </c>
      <c r="G311" t="n">
        <v>600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PLANNED EXPENSES</t>
        </is>
      </c>
      <c r="B312" t="inlineStr">
        <is>
          <t>D19</t>
        </is>
      </c>
      <c r="C312" t="n">
        <v>19</v>
      </c>
      <c r="D312" t="n">
        <v>4</v>
      </c>
      <c r="E312" t="inlineStr">
        <is>
          <t>Input</t>
        </is>
      </c>
      <c r="F312" t="n">
        <v/>
      </c>
      <c r="G312" t="n">
        <v>600</v>
      </c>
      <c r="H312" t="inlineStr"/>
      <c r="I312" t="inlineStr">
        <is>
          <t>"$"#,##0.00_);[Red]\("$"#,##0.00\)</t>
        </is>
      </c>
      <c r="J312" t="b">
        <v>0</v>
      </c>
      <c r="K312" t="b">
        <v>0</v>
      </c>
      <c r="L312" t="n">
        <v>10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PLANNED EXPENSES</t>
        </is>
      </c>
      <c r="B313" t="inlineStr">
        <is>
          <t>E19</t>
        </is>
      </c>
      <c r="C313" t="n">
        <v>19</v>
      </c>
      <c r="D313" t="n">
        <v>5</v>
      </c>
      <c r="E313" t="inlineStr">
        <is>
          <t>Input</t>
        </is>
      </c>
      <c r="F313" t="n">
        <v/>
      </c>
      <c r="G313" t="n">
        <v>600</v>
      </c>
      <c r="H313" t="inlineStr"/>
      <c r="I313" t="inlineStr">
        <is>
          <t>"$"#,##0.00_);[Red]\("$"#,##0.00\)</t>
        </is>
      </c>
      <c r="J313" t="b">
        <v>0</v>
      </c>
      <c r="K313" t="b">
        <v>0</v>
      </c>
      <c r="L313" t="n">
        <v>10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PLANNED EXPENSES</t>
        </is>
      </c>
      <c r="B314" t="inlineStr">
        <is>
          <t>F19</t>
        </is>
      </c>
      <c r="C314" t="n">
        <v>19</v>
      </c>
      <c r="D314" t="n">
        <v>6</v>
      </c>
      <c r="E314" t="inlineStr">
        <is>
          <t>Input</t>
        </is>
      </c>
      <c r="F314" t="n">
        <v/>
      </c>
      <c r="G314" t="n">
        <v>600</v>
      </c>
      <c r="H314" t="inlineStr"/>
      <c r="I314" t="inlineStr">
        <is>
          <t>"$"#,##0.00_);[Red]\("$"#,##0.00\)</t>
        </is>
      </c>
      <c r="J314" t="b">
        <v>0</v>
      </c>
      <c r="K314" t="b">
        <v>0</v>
      </c>
      <c r="L314" t="n">
        <v>10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PLANNED EXPENSES</t>
        </is>
      </c>
      <c r="B315" t="inlineStr">
        <is>
          <t>G19</t>
        </is>
      </c>
      <c r="C315" t="n">
        <v>19</v>
      </c>
      <c r="D315" t="n">
        <v>7</v>
      </c>
      <c r="E315" t="inlineStr">
        <is>
          <t>Input</t>
        </is>
      </c>
      <c r="F315" t="n">
        <v/>
      </c>
      <c r="G315" t="n">
        <v>600</v>
      </c>
      <c r="H315" t="inlineStr"/>
      <c r="I315" t="inlineStr">
        <is>
          <t>"$"#,##0.00_);[Red]\("$"#,##0.00\)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inlineStr">
        <is>
          <t>center</t>
        </is>
      </c>
      <c r="P315" t="inlineStr">
        <is>
          <t>center</t>
        </is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PLANNED EXPENSES</t>
        </is>
      </c>
      <c r="B316" t="inlineStr">
        <is>
          <t>H19</t>
        </is>
      </c>
      <c r="C316" t="n">
        <v>19</v>
      </c>
      <c r="D316" t="n">
        <v>8</v>
      </c>
      <c r="E316" t="inlineStr">
        <is>
          <t>Input</t>
        </is>
      </c>
      <c r="F316" t="n">
        <v/>
      </c>
      <c r="G316" t="n">
        <v>600</v>
      </c>
      <c r="H316" t="inlineStr"/>
      <c r="I316" t="inlineStr">
        <is>
          <t>"$"#,##0.00_);[Red]\("$"#,##0.00\)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inlineStr">
        <is>
          <t>center</t>
        </is>
      </c>
      <c r="P316" t="inlineStr">
        <is>
          <t>center</t>
        </is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PLANNED EXPENSES</t>
        </is>
      </c>
      <c r="B317" t="inlineStr">
        <is>
          <t>I19</t>
        </is>
      </c>
      <c r="C317" t="n">
        <v>19</v>
      </c>
      <c r="D317" t="n">
        <v>9</v>
      </c>
      <c r="E317" t="inlineStr">
        <is>
          <t>Input</t>
        </is>
      </c>
      <c r="F317" t="n">
        <v/>
      </c>
      <c r="G317" t="n">
        <v>600</v>
      </c>
      <c r="H317" t="inlineStr"/>
      <c r="I317" t="inlineStr">
        <is>
          <t>"$"#,##0.00_);[Red]\("$"#,##0.00\)</t>
        </is>
      </c>
      <c r="J317" t="b">
        <v>0</v>
      </c>
      <c r="K317" t="b">
        <v>0</v>
      </c>
      <c r="L317" t="n">
        <v>10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inlineStr">
        <is>
          <t>center</t>
        </is>
      </c>
      <c r="P317" t="inlineStr">
        <is>
          <t>center</t>
        </is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PLANNED EXPENSES</t>
        </is>
      </c>
      <c r="B318" t="inlineStr">
        <is>
          <t>J19</t>
        </is>
      </c>
      <c r="C318" t="n">
        <v>19</v>
      </c>
      <c r="D318" t="n">
        <v>10</v>
      </c>
      <c r="E318" t="inlineStr">
        <is>
          <t>Input</t>
        </is>
      </c>
      <c r="F318" t="n">
        <v/>
      </c>
      <c r="G318" t="n">
        <v>600</v>
      </c>
      <c r="H318" t="inlineStr"/>
      <c r="I318" t="inlineStr">
        <is>
          <t>"$"#,##0.00_);[Red]\("$"#,##0.00\)</t>
        </is>
      </c>
      <c r="J318" t="b">
        <v>0</v>
      </c>
      <c r="K318" t="b">
        <v>0</v>
      </c>
      <c r="L318" t="n">
        <v>10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inlineStr">
        <is>
          <t>center</t>
        </is>
      </c>
      <c r="P318" t="inlineStr">
        <is>
          <t>center</t>
        </is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PLANNED EXPENSES</t>
        </is>
      </c>
      <c r="B319" t="inlineStr">
        <is>
          <t>K19</t>
        </is>
      </c>
      <c r="C319" t="n">
        <v>19</v>
      </c>
      <c r="D319" t="n">
        <v>11</v>
      </c>
      <c r="E319" t="inlineStr">
        <is>
          <t>Input</t>
        </is>
      </c>
      <c r="F319" t="n">
        <v/>
      </c>
      <c r="G319" t="n">
        <v>600</v>
      </c>
      <c r="H319" t="inlineStr"/>
      <c r="I319" t="inlineStr">
        <is>
          <t>"$"#,##0.00_);[Red]\("$"#,##0.00\)</t>
        </is>
      </c>
      <c r="J319" t="b">
        <v>0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center</t>
        </is>
      </c>
      <c r="P319" t="inlineStr">
        <is>
          <t>center</t>
        </is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PLANNED EXPENSES</t>
        </is>
      </c>
      <c r="B320" t="inlineStr">
        <is>
          <t>L19</t>
        </is>
      </c>
      <c r="C320" t="n">
        <v>19</v>
      </c>
      <c r="D320" t="n">
        <v>12</v>
      </c>
      <c r="E320" t="inlineStr">
        <is>
          <t>Input</t>
        </is>
      </c>
      <c r="F320" t="n">
        <v/>
      </c>
      <c r="G320" t="n">
        <v>600</v>
      </c>
      <c r="H320" t="inlineStr"/>
      <c r="I320" t="inlineStr">
        <is>
          <t>"$"#,##0.00_);[Red]\("$"#,##0.00\)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inlineStr">
        <is>
          <t>center</t>
        </is>
      </c>
      <c r="P320" t="inlineStr">
        <is>
          <t>center</t>
        </is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PLANNED EXPENSES</t>
        </is>
      </c>
      <c r="B321" t="inlineStr">
        <is>
          <t>M19</t>
        </is>
      </c>
      <c r="C321" t="n">
        <v>19</v>
      </c>
      <c r="D321" t="n">
        <v>13</v>
      </c>
      <c r="E321" t="inlineStr">
        <is>
          <t>Input</t>
        </is>
      </c>
      <c r="F321" t="n">
        <v/>
      </c>
      <c r="G321" t="n">
        <v>600</v>
      </c>
      <c r="H321" t="inlineStr"/>
      <c r="I321" t="inlineStr">
        <is>
          <t>"$"#,##0.00_);[Red]\("$"#,##0.00\)</t>
        </is>
      </c>
      <c r="J321" t="b">
        <v>0</v>
      </c>
      <c r="K321" t="b">
        <v>0</v>
      </c>
      <c r="L321" t="n">
        <v>10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inlineStr">
        <is>
          <t>center</t>
        </is>
      </c>
      <c r="P321" t="inlineStr">
        <is>
          <t>center</t>
        </is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PLANNED EXPENSES</t>
        </is>
      </c>
      <c r="B322" t="inlineStr">
        <is>
          <t>N19</t>
        </is>
      </c>
      <c r="C322" t="n">
        <v>19</v>
      </c>
      <c r="D322" t="n">
        <v>14</v>
      </c>
      <c r="E322" t="inlineStr">
        <is>
          <t>Input</t>
        </is>
      </c>
      <c r="F322" t="n">
        <v/>
      </c>
      <c r="G322" t="n">
        <v>600</v>
      </c>
      <c r="H322" t="inlineStr"/>
      <c r="I322" t="inlineStr">
        <is>
          <t>"$"#,##0.00_);[Red]\("$"#,##0.00\)</t>
        </is>
      </c>
      <c r="J322" t="b">
        <v>0</v>
      </c>
      <c r="K322" t="b">
        <v>0</v>
      </c>
      <c r="L322" t="n">
        <v>10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inlineStr">
        <is>
          <t>center</t>
        </is>
      </c>
      <c r="P322" t="inlineStr">
        <is>
          <t>center</t>
        </is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PLANNED EXPENSES</t>
        </is>
      </c>
      <c r="B323" t="inlineStr">
        <is>
          <t>O19</t>
        </is>
      </c>
      <c r="C323" t="n">
        <v>19</v>
      </c>
      <c r="D323" t="n">
        <v>15</v>
      </c>
      <c r="E323" t="inlineStr">
        <is>
          <t>Output</t>
        </is>
      </c>
      <c r="F323" t="inlineStr">
        <is>
          <t>'=SUM(C19:N19)</t>
        </is>
      </c>
      <c r="G323" t="n">
        <v>7200</v>
      </c>
      <c r="H323" t="inlineStr"/>
      <c r="I323" t="inlineStr">
        <is>
          <t>"$"#,##0.00_);[Red]\("$"#,##0.00\)</t>
        </is>
      </c>
      <c r="J323" t="b">
        <v>0</v>
      </c>
      <c r="K323" t="b">
        <v>0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inlineStr">
        <is>
          <t>center</t>
        </is>
      </c>
      <c r="P323" t="inlineStr">
        <is>
          <t>center</t>
        </is>
      </c>
      <c r="R323" t="b">
        <v>1</v>
      </c>
      <c r="S323" t="inlineStr">
        <is>
          <t>G000002</t>
        </is>
      </c>
      <c r="T323" t="inlineStr">
        <is>
          <t>Vertical</t>
        </is>
      </c>
      <c r="U323" t="n">
        <v>8</v>
      </c>
      <c r="V323" t="b">
        <v>1</v>
      </c>
      <c r="W323" t="inlineStr">
        <is>
          <t>PLANNED EXPENSES!O12:O19</t>
        </is>
      </c>
      <c r="X323">
        <f>SUM(R[0]C[-12]:R[0]C[-1])</f>
        <v/>
      </c>
    </row>
    <row r="324">
      <c r="A324" t="inlineStr">
        <is>
          <t>PLANNED EXPENSES</t>
        </is>
      </c>
      <c r="B324" t="inlineStr">
        <is>
          <t>P19</t>
        </is>
      </c>
      <c r="C324" t="n">
        <v>19</v>
      </c>
      <c r="D324" t="n">
        <v>16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n">
        <v/>
      </c>
      <c r="P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PLANNED EXPENSES</t>
        </is>
      </c>
      <c r="B325" t="inlineStr">
        <is>
          <t>A20</t>
        </is>
      </c>
      <c r="C325" t="n">
        <v>20</v>
      </c>
      <c r="D325" t="n">
        <v>1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PLANNED EXPENSES</t>
        </is>
      </c>
      <c r="B326" t="inlineStr">
        <is>
          <t>B20</t>
        </is>
      </c>
      <c r="C326" t="n">
        <v>20</v>
      </c>
      <c r="D326" t="n">
        <v>2</v>
      </c>
      <c r="E326" t="inlineStr">
        <is>
          <t>Input</t>
        </is>
      </c>
      <c r="F326" t="n">
        <v/>
      </c>
      <c r="G326" t="inlineStr">
        <is>
          <t>Subtotal</t>
        </is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12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left</t>
        </is>
      </c>
      <c r="P326" t="inlineStr">
        <is>
          <t>center</t>
        </is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PLANNED EXPENSES</t>
        </is>
      </c>
      <c r="B327" t="inlineStr">
        <is>
          <t>C20</t>
        </is>
      </c>
      <c r="C327" t="n">
        <v>20</v>
      </c>
      <c r="D327" t="n">
        <v>3</v>
      </c>
      <c r="E327" t="inlineStr">
        <is>
          <t>Output</t>
        </is>
      </c>
      <c r="F327" t="inlineStr">
        <is>
          <t>'=SUBTOTAL(109,OfficePlan[Jan])</t>
        </is>
      </c>
      <c r="G327" t="n">
        <v>11670</v>
      </c>
      <c r="H327" t="inlineStr"/>
      <c r="I327" t="inlineStr">
        <is>
          <t>"$"#,##0.00_);[Red]\("$"#,##0.00\)</t>
        </is>
      </c>
      <c r="J327" t="b">
        <v>0</v>
      </c>
      <c r="K327" t="b">
        <v>0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center</t>
        </is>
      </c>
      <c r="P327" t="inlineStr">
        <is>
          <t>center</t>
        </is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>
        <f>SUBTOTAL(109,OfficePlan[Jan])</f>
        <v/>
      </c>
    </row>
    <row r="328">
      <c r="A328" t="inlineStr">
        <is>
          <t>PLANNED EXPENSES</t>
        </is>
      </c>
      <c r="B328" t="inlineStr">
        <is>
          <t>D20</t>
        </is>
      </c>
      <c r="C328" t="n">
        <v>20</v>
      </c>
      <c r="D328" t="n">
        <v>4</v>
      </c>
      <c r="E328" t="inlineStr">
        <is>
          <t>Output</t>
        </is>
      </c>
      <c r="F328" t="inlineStr">
        <is>
          <t>'=SUBTOTAL(109,OfficePlan[Feb])</t>
        </is>
      </c>
      <c r="G328" t="n">
        <v>11770</v>
      </c>
      <c r="H328" t="inlineStr"/>
      <c r="I328" t="inlineStr">
        <is>
          <t>"$"#,##0.00_);[Red]\("$"#,##0.00\)</t>
        </is>
      </c>
      <c r="J328" t="b">
        <v>0</v>
      </c>
      <c r="K328" t="b">
        <v>0</v>
      </c>
      <c r="L328" t="n">
        <v>10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inlineStr">
        <is>
          <t>center</t>
        </is>
      </c>
      <c r="P328" t="inlineStr">
        <is>
          <t>center</t>
        </is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>
        <f>SUBTOTAL(109,OfficePlan[Feb])</f>
        <v/>
      </c>
    </row>
    <row r="329">
      <c r="A329" t="inlineStr">
        <is>
          <t>PLANNED EXPENSES</t>
        </is>
      </c>
      <c r="B329" t="inlineStr">
        <is>
          <t>E20</t>
        </is>
      </c>
      <c r="C329" t="n">
        <v>20</v>
      </c>
      <c r="D329" t="n">
        <v>5</v>
      </c>
      <c r="E329" t="inlineStr">
        <is>
          <t>Output</t>
        </is>
      </c>
      <c r="F329" t="inlineStr">
        <is>
          <t>'=SUBTOTAL(109,OfficePlan[Mar])</t>
        </is>
      </c>
      <c r="G329" t="n">
        <v>11770</v>
      </c>
      <c r="H329" t="inlineStr"/>
      <c r="I329" t="inlineStr">
        <is>
          <t>"$"#,##0.00_);[Red]\("$"#,##0.00\)</t>
        </is>
      </c>
      <c r="J329" t="b">
        <v>0</v>
      </c>
      <c r="K329" t="b">
        <v>0</v>
      </c>
      <c r="L329" t="n">
        <v>10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inlineStr">
        <is>
          <t>center</t>
        </is>
      </c>
      <c r="P329" t="inlineStr">
        <is>
          <t>center</t>
        </is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>
        <f>SUBTOTAL(109,OfficePlan[Mar])</f>
        <v/>
      </c>
    </row>
    <row r="330">
      <c r="A330" t="inlineStr">
        <is>
          <t>PLANNED EXPENSES</t>
        </is>
      </c>
      <c r="B330" t="inlineStr">
        <is>
          <t>F20</t>
        </is>
      </c>
      <c r="C330" t="n">
        <v>20</v>
      </c>
      <c r="D330" t="n">
        <v>6</v>
      </c>
      <c r="E330" t="inlineStr">
        <is>
          <t>Output</t>
        </is>
      </c>
      <c r="F330" t="inlineStr">
        <is>
          <t>'=SUBTOTAL(109,OfficePlan[Apr])</t>
        </is>
      </c>
      <c r="G330" t="n">
        <v>11470</v>
      </c>
      <c r="H330" t="inlineStr"/>
      <c r="I330" t="inlineStr">
        <is>
          <t>"$"#,##0.00_);[Red]\("$"#,##0.00\)</t>
        </is>
      </c>
      <c r="J330" t="b">
        <v>0</v>
      </c>
      <c r="K330" t="b">
        <v>0</v>
      </c>
      <c r="L330" t="n">
        <v>10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center</t>
        </is>
      </c>
      <c r="P330" t="inlineStr">
        <is>
          <t>center</t>
        </is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>
        <f>SUBTOTAL(109,OfficePlan[Apr])</f>
        <v/>
      </c>
    </row>
    <row r="331">
      <c r="A331" t="inlineStr">
        <is>
          <t>PLANNED EXPENSES</t>
        </is>
      </c>
      <c r="B331" t="inlineStr">
        <is>
          <t>G20</t>
        </is>
      </c>
      <c r="C331" t="n">
        <v>20</v>
      </c>
      <c r="D331" t="n">
        <v>7</v>
      </c>
      <c r="E331" t="inlineStr">
        <is>
          <t>Output</t>
        </is>
      </c>
      <c r="F331" t="inlineStr">
        <is>
          <t>'=SUBTOTAL(109,OfficePlan[May])</t>
        </is>
      </c>
      <c r="G331" t="n">
        <v>11470</v>
      </c>
      <c r="H331" t="inlineStr"/>
      <c r="I331" t="inlineStr">
        <is>
          <t>"$"#,##0.00_);[Red]\("$"#,##0.00\)</t>
        </is>
      </c>
      <c r="J331" t="b">
        <v>0</v>
      </c>
      <c r="K331" t="b">
        <v>0</v>
      </c>
      <c r="L331" t="n">
        <v>10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>
        <f>SUBTOTAL(109,OfficePlan[May])</f>
        <v/>
      </c>
    </row>
    <row r="332">
      <c r="A332" t="inlineStr">
        <is>
          <t>PLANNED EXPENSES</t>
        </is>
      </c>
      <c r="B332" t="inlineStr">
        <is>
          <t>H20</t>
        </is>
      </c>
      <c r="C332" t="n">
        <v>20</v>
      </c>
      <c r="D332" t="n">
        <v>8</v>
      </c>
      <c r="E332" t="inlineStr">
        <is>
          <t>Output</t>
        </is>
      </c>
      <c r="F332" t="inlineStr">
        <is>
          <t>'=SUBTOTAL(109,OfficePlan[Jun])</t>
        </is>
      </c>
      <c r="G332" t="n">
        <v>11470</v>
      </c>
      <c r="H332" t="inlineStr"/>
      <c r="I332" t="inlineStr">
        <is>
          <t>"$"#,##0.00_);[Red]\("$"#,##0.00\)</t>
        </is>
      </c>
      <c r="J332" t="b">
        <v>0</v>
      </c>
      <c r="K332" t="b">
        <v>0</v>
      </c>
      <c r="L332" t="n">
        <v>10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>
        <f>SUBTOTAL(109,OfficePlan[Jun])</f>
        <v/>
      </c>
    </row>
    <row r="333">
      <c r="A333" t="inlineStr">
        <is>
          <t>PLANNED EXPENSES</t>
        </is>
      </c>
      <c r="B333" t="inlineStr">
        <is>
          <t>I20</t>
        </is>
      </c>
      <c r="C333" t="n">
        <v>20</v>
      </c>
      <c r="D333" t="n">
        <v>9</v>
      </c>
      <c r="E333" t="inlineStr">
        <is>
          <t>Output</t>
        </is>
      </c>
      <c r="F333" t="inlineStr">
        <is>
          <t>'=SUBTOTAL(109,OfficePlan[Jul])</t>
        </is>
      </c>
      <c r="G333" t="n">
        <v>11470</v>
      </c>
      <c r="H333" t="inlineStr"/>
      <c r="I333" t="inlineStr">
        <is>
          <t>"$"#,##0.00_);[Red]\("$"#,##0.00\)</t>
        </is>
      </c>
      <c r="J333" t="b">
        <v>0</v>
      </c>
      <c r="K333" t="b">
        <v>0</v>
      </c>
      <c r="L333" t="n">
        <v>10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>
        <f>SUBTOTAL(109,OfficePlan[Jul])</f>
        <v/>
      </c>
    </row>
    <row r="334">
      <c r="A334" t="inlineStr">
        <is>
          <t>PLANNED EXPENSES</t>
        </is>
      </c>
      <c r="B334" t="inlineStr">
        <is>
          <t>J20</t>
        </is>
      </c>
      <c r="C334" t="n">
        <v>20</v>
      </c>
      <c r="D334" t="n">
        <v>10</v>
      </c>
      <c r="E334" t="inlineStr">
        <is>
          <t>Output</t>
        </is>
      </c>
      <c r="F334" t="inlineStr">
        <is>
          <t>'=SUBTOTAL(109,OfficePlan[Aug])</t>
        </is>
      </c>
      <c r="G334" t="n">
        <v>11470</v>
      </c>
      <c r="H334" t="inlineStr"/>
      <c r="I334" t="inlineStr">
        <is>
          <t>"$"#,##0.00_);[Red]\("$"#,##0.00\)</t>
        </is>
      </c>
      <c r="J334" t="b">
        <v>0</v>
      </c>
      <c r="K334" t="b">
        <v>0</v>
      </c>
      <c r="L334" t="n">
        <v>10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>
        <f>SUBTOTAL(109,OfficePlan[Aug])</f>
        <v/>
      </c>
    </row>
    <row r="335">
      <c r="A335" t="inlineStr">
        <is>
          <t>PLANNED EXPENSES</t>
        </is>
      </c>
      <c r="B335" t="inlineStr">
        <is>
          <t>K20</t>
        </is>
      </c>
      <c r="C335" t="n">
        <v>20</v>
      </c>
      <c r="D335" t="n">
        <v>11</v>
      </c>
      <c r="E335" t="inlineStr">
        <is>
          <t>Output</t>
        </is>
      </c>
      <c r="F335" t="inlineStr">
        <is>
          <t>'=SUBTOTAL(109,OfficePlan[Sep])</t>
        </is>
      </c>
      <c r="G335" t="n">
        <v>11470</v>
      </c>
      <c r="H335" t="inlineStr"/>
      <c r="I335" t="inlineStr">
        <is>
          <t>"$"#,##0.00_);[Red]\("$"#,##0.00\)</t>
        </is>
      </c>
      <c r="J335" t="b">
        <v>0</v>
      </c>
      <c r="K335" t="b">
        <v>0</v>
      </c>
      <c r="L335" t="n">
        <v>10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>
        <f>SUBTOTAL(109,OfficePlan[Sep])</f>
        <v/>
      </c>
    </row>
    <row r="336">
      <c r="A336" t="inlineStr">
        <is>
          <t>PLANNED EXPENSES</t>
        </is>
      </c>
      <c r="B336" t="inlineStr">
        <is>
          <t>L20</t>
        </is>
      </c>
      <c r="C336" t="n">
        <v>20</v>
      </c>
      <c r="D336" t="n">
        <v>12</v>
      </c>
      <c r="E336" t="inlineStr">
        <is>
          <t>Output</t>
        </is>
      </c>
      <c r="F336" t="inlineStr">
        <is>
          <t>'=SUBTOTAL(109,OfficePlan[Oct])</t>
        </is>
      </c>
      <c r="G336" t="n">
        <v>11470</v>
      </c>
      <c r="H336" t="inlineStr"/>
      <c r="I336" t="inlineStr">
        <is>
          <t>"$"#,##0.00_);[Red]\("$"#,##0.00\)</t>
        </is>
      </c>
      <c r="J336" t="b">
        <v>0</v>
      </c>
      <c r="K336" t="b">
        <v>0</v>
      </c>
      <c r="L336" t="n">
        <v>10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>
        <f>SUBTOTAL(109,OfficePlan[Oct])</f>
        <v/>
      </c>
    </row>
    <row r="337">
      <c r="A337" t="inlineStr">
        <is>
          <t>PLANNED EXPENSES</t>
        </is>
      </c>
      <c r="B337" t="inlineStr">
        <is>
          <t>M20</t>
        </is>
      </c>
      <c r="C337" t="n">
        <v>20</v>
      </c>
      <c r="D337" t="n">
        <v>13</v>
      </c>
      <c r="E337" t="inlineStr">
        <is>
          <t>Output</t>
        </is>
      </c>
      <c r="F337" t="inlineStr">
        <is>
          <t>'=SUBTOTAL(109,OfficePlan[Nov])</t>
        </is>
      </c>
      <c r="G337" t="n">
        <v>11770</v>
      </c>
      <c r="H337" t="inlineStr"/>
      <c r="I337" t="inlineStr">
        <is>
          <t>"$"#,##0.00_);[Red]\("$"#,##0.00\)</t>
        </is>
      </c>
      <c r="J337" t="b">
        <v>0</v>
      </c>
      <c r="K337" t="b">
        <v>0</v>
      </c>
      <c r="L337" t="n">
        <v>10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>
        <f>SUBTOTAL(109,OfficePlan[Nov])</f>
        <v/>
      </c>
    </row>
    <row r="338">
      <c r="A338" t="inlineStr">
        <is>
          <t>PLANNED EXPENSES</t>
        </is>
      </c>
      <c r="B338" t="inlineStr">
        <is>
          <t>N20</t>
        </is>
      </c>
      <c r="C338" t="n">
        <v>20</v>
      </c>
      <c r="D338" t="n">
        <v>14</v>
      </c>
      <c r="E338" t="inlineStr">
        <is>
          <t>Output</t>
        </is>
      </c>
      <c r="F338" t="inlineStr">
        <is>
          <t>'=SUBTOTAL(109,OfficePlan[Dec])</t>
        </is>
      </c>
      <c r="G338" t="n">
        <v>11770</v>
      </c>
      <c r="H338" t="inlineStr"/>
      <c r="I338" t="inlineStr">
        <is>
          <t>"$"#,##0.00_);[Red]\("$"#,##0.00\)</t>
        </is>
      </c>
      <c r="J338" t="b">
        <v>0</v>
      </c>
      <c r="K338" t="b">
        <v>0</v>
      </c>
      <c r="L338" t="n">
        <v>10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>
        <f>SUBTOTAL(109,OfficePlan[Dec])</f>
        <v/>
      </c>
    </row>
    <row r="339">
      <c r="A339" t="inlineStr">
        <is>
          <t>PLANNED EXPENSES</t>
        </is>
      </c>
      <c r="B339" t="inlineStr">
        <is>
          <t>O20</t>
        </is>
      </c>
      <c r="C339" t="n">
        <v>20</v>
      </c>
      <c r="D339" t="n">
        <v>15</v>
      </c>
      <c r="E339" t="inlineStr">
        <is>
          <t>Output</t>
        </is>
      </c>
      <c r="F339" t="inlineStr">
        <is>
          <t>'=SUBTOTAL(109,OfficePlan[YEAR])</t>
        </is>
      </c>
      <c r="G339" t="n">
        <v>139040</v>
      </c>
      <c r="H339" t="inlineStr"/>
      <c r="I339" t="inlineStr">
        <is>
          <t>"$"#,##0.00_);[Red]\("$"#,##0.00\)</t>
        </is>
      </c>
      <c r="J339" t="b">
        <v>0</v>
      </c>
      <c r="K339" t="b">
        <v>0</v>
      </c>
      <c r="L339" t="n">
        <v>10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>
        <f>SUBTOTAL(109,OfficePlan[YEAR])</f>
        <v/>
      </c>
    </row>
    <row r="340">
      <c r="A340" t="inlineStr">
        <is>
          <t>PLANNED EXPENSES</t>
        </is>
      </c>
      <c r="B340" t="inlineStr">
        <is>
          <t>P20</t>
        </is>
      </c>
      <c r="C340" t="n">
        <v>20</v>
      </c>
      <c r="D340" t="n">
        <v>16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n">
        <v/>
      </c>
      <c r="P340" t="n">
        <v/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PLANNED EXPENSES</t>
        </is>
      </c>
      <c r="B341" t="inlineStr">
        <is>
          <t>A21</t>
        </is>
      </c>
      <c r="C341" t="n">
        <v>21</v>
      </c>
      <c r="D341" t="n">
        <v>1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n">
        <v/>
      </c>
      <c r="P341" t="n">
        <v/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PLANNED EXPENSES</t>
        </is>
      </c>
      <c r="B342" t="inlineStr">
        <is>
          <t>B21</t>
        </is>
      </c>
      <c r="C342" t="n">
        <v>21</v>
      </c>
      <c r="D342" t="n">
        <v>2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10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center</t>
        </is>
      </c>
      <c r="P342" t="n">
        <v/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PLANNED EXPENSES</t>
        </is>
      </c>
      <c r="B343" t="inlineStr">
        <is>
          <t>C21</t>
        </is>
      </c>
      <c r="C343" t="n">
        <v>21</v>
      </c>
      <c r="D343" t="n">
        <v>3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10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center</t>
        </is>
      </c>
      <c r="P343" t="n">
        <v/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PLANNED EXPENSES</t>
        </is>
      </c>
      <c r="B344" t="inlineStr">
        <is>
          <t>D21</t>
        </is>
      </c>
      <c r="C344" t="n">
        <v>21</v>
      </c>
      <c r="D344" t="n">
        <v>4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10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inlineStr">
        <is>
          <t>center</t>
        </is>
      </c>
      <c r="P344" t="n">
        <v/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PLANNED EXPENSES</t>
        </is>
      </c>
      <c r="B345" t="inlineStr">
        <is>
          <t>E21</t>
        </is>
      </c>
      <c r="C345" t="n">
        <v>21</v>
      </c>
      <c r="D345" t="n">
        <v>5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M345" t="inlineStr">
        <is>
          <t>Values must be of type &lt;class 'str'&gt;</t>
        </is>
      </c>
      <c r="N345" t="inlineStr">
        <is>
          <t>Values must be of type &lt;class 'str'&gt;</t>
        </is>
      </c>
      <c r="O345" t="inlineStr">
        <is>
          <t>center</t>
        </is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PLANNED EXPENSES</t>
        </is>
      </c>
      <c r="B346" t="inlineStr">
        <is>
          <t>F21</t>
        </is>
      </c>
      <c r="C346" t="n">
        <v>21</v>
      </c>
      <c r="D346" t="n">
        <v>6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M346" t="inlineStr">
        <is>
          <t>Values must be of type &lt;class 'str'&gt;</t>
        </is>
      </c>
      <c r="N346" t="inlineStr">
        <is>
          <t>Values must be of type &lt;class 'str'&gt;</t>
        </is>
      </c>
      <c r="O346" t="inlineStr">
        <is>
          <t>center</t>
        </is>
      </c>
      <c r="P346" t="n">
        <v/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PLANNED EXPENSES</t>
        </is>
      </c>
      <c r="B347" t="inlineStr">
        <is>
          <t>G21</t>
        </is>
      </c>
      <c r="C347" t="n">
        <v>21</v>
      </c>
      <c r="D347" t="n">
        <v>7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10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center</t>
        </is>
      </c>
      <c r="P347" t="n">
        <v/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PLANNED EXPENSES</t>
        </is>
      </c>
      <c r="B348" t="inlineStr">
        <is>
          <t>H21</t>
        </is>
      </c>
      <c r="C348" t="n">
        <v>21</v>
      </c>
      <c r="D348" t="n">
        <v>8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10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PLANNED EXPENSES</t>
        </is>
      </c>
      <c r="B349" t="inlineStr">
        <is>
          <t>I21</t>
        </is>
      </c>
      <c r="C349" t="n">
        <v>21</v>
      </c>
      <c r="D349" t="n">
        <v>9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10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inlineStr">
        <is>
          <t>center</t>
        </is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PLANNED EXPENSES</t>
        </is>
      </c>
      <c r="B350" t="inlineStr">
        <is>
          <t>J21</t>
        </is>
      </c>
      <c r="C350" t="n">
        <v>21</v>
      </c>
      <c r="D350" t="n">
        <v>10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10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center</t>
        </is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PLANNED EXPENSES</t>
        </is>
      </c>
      <c r="B351" t="inlineStr">
        <is>
          <t>K21</t>
        </is>
      </c>
      <c r="C351" t="n">
        <v>21</v>
      </c>
      <c r="D351" t="n">
        <v>11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10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center</t>
        </is>
      </c>
      <c r="P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PLANNED EXPENSES</t>
        </is>
      </c>
      <c r="B352" t="inlineStr">
        <is>
          <t>L21</t>
        </is>
      </c>
      <c r="C352" t="n">
        <v>21</v>
      </c>
      <c r="D352" t="n">
        <v>12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n">
        <v/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PLANNED EXPENSES</t>
        </is>
      </c>
      <c r="B353" t="inlineStr">
        <is>
          <t>M21</t>
        </is>
      </c>
      <c r="C353" t="n">
        <v>21</v>
      </c>
      <c r="D353" t="n">
        <v>13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n">
        <v/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PLANNED EXPENSES</t>
        </is>
      </c>
      <c r="B354" t="inlineStr">
        <is>
          <t>N21</t>
        </is>
      </c>
      <c r="C354" t="n">
        <v>21</v>
      </c>
      <c r="D354" t="n">
        <v>14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10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PLANNED EXPENSES</t>
        </is>
      </c>
      <c r="B355" t="inlineStr">
        <is>
          <t>O21</t>
        </is>
      </c>
      <c r="C355" t="n">
        <v>21</v>
      </c>
      <c r="D355" t="n">
        <v>15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n">
        <v/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PLANNED EXPENSES</t>
        </is>
      </c>
      <c r="B356" t="inlineStr">
        <is>
          <t>P21</t>
        </is>
      </c>
      <c r="C356" t="n">
        <v>21</v>
      </c>
      <c r="D356" t="n">
        <v>16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n">
        <v/>
      </c>
      <c r="P356" t="n">
        <v/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PLANNED EXPENSES</t>
        </is>
      </c>
      <c r="B357" t="inlineStr">
        <is>
          <t>A22</t>
        </is>
      </c>
      <c r="C357" t="n">
        <v>22</v>
      </c>
      <c r="D357" t="n">
        <v>1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16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PLANNED EXPENSES</t>
        </is>
      </c>
      <c r="B358" t="inlineStr">
        <is>
          <t>B22</t>
        </is>
      </c>
      <c r="C358" t="n">
        <v>22</v>
      </c>
      <c r="D358" t="n">
        <v>2</v>
      </c>
      <c r="E358" t="inlineStr">
        <is>
          <t>Input</t>
        </is>
      </c>
      <c r="F358" t="n">
        <v/>
      </c>
      <c r="G358" t="inlineStr">
        <is>
          <t>Marketing costs</t>
        </is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16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left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PLANNED EXPENSES</t>
        </is>
      </c>
      <c r="B359" t="inlineStr">
        <is>
          <t>C22</t>
        </is>
      </c>
      <c r="C359" t="n">
        <v>22</v>
      </c>
      <c r="D359" t="n">
        <v>3</v>
      </c>
      <c r="E359" t="inlineStr">
        <is>
          <t>Input</t>
        </is>
      </c>
      <c r="F359" t="n">
        <v/>
      </c>
      <c r="G359" t="inlineStr">
        <is>
          <t>Jan</t>
        </is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16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PLANNED EXPENSES</t>
        </is>
      </c>
      <c r="B360" t="inlineStr">
        <is>
          <t>D22</t>
        </is>
      </c>
      <c r="C360" t="n">
        <v>22</v>
      </c>
      <c r="D360" t="n">
        <v>4</v>
      </c>
      <c r="E360" t="inlineStr">
        <is>
          <t>Input</t>
        </is>
      </c>
      <c r="F360" t="n">
        <v/>
      </c>
      <c r="G360" t="inlineStr">
        <is>
          <t>Feb</t>
        </is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16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PLANNED EXPENSES</t>
        </is>
      </c>
      <c r="B361" t="inlineStr">
        <is>
          <t>E22</t>
        </is>
      </c>
      <c r="C361" t="n">
        <v>22</v>
      </c>
      <c r="D361" t="n">
        <v>5</v>
      </c>
      <c r="E361" t="inlineStr">
        <is>
          <t>Input</t>
        </is>
      </c>
      <c r="F361" t="n">
        <v/>
      </c>
      <c r="G361" t="inlineStr">
        <is>
          <t>Mar</t>
        </is>
      </c>
      <c r="H361" t="inlineStr"/>
      <c r="I361" t="inlineStr">
        <is>
          <t>_("$"* #,##0_);_("$"* \(#,##0\);_("$"* "-"??_);_(@_)</t>
        </is>
      </c>
      <c r="J361" t="b">
        <v>0</v>
      </c>
      <c r="K361" t="b">
        <v>0</v>
      </c>
      <c r="L361" t="n">
        <v>16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inlineStr">
        <is>
          <t>center</t>
        </is>
      </c>
      <c r="P361" t="inlineStr">
        <is>
          <t>center</t>
        </is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PLANNED EXPENSES</t>
        </is>
      </c>
      <c r="B362" t="inlineStr">
        <is>
          <t>F22</t>
        </is>
      </c>
      <c r="C362" t="n">
        <v>22</v>
      </c>
      <c r="D362" t="n">
        <v>6</v>
      </c>
      <c r="E362" t="inlineStr">
        <is>
          <t>Input</t>
        </is>
      </c>
      <c r="F362" t="n">
        <v/>
      </c>
      <c r="G362" t="inlineStr">
        <is>
          <t>Apr</t>
        </is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16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center</t>
        </is>
      </c>
      <c r="P362" t="inlineStr">
        <is>
          <t>center</t>
        </is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PLANNED EXPENSES</t>
        </is>
      </c>
      <c r="B363" t="inlineStr">
        <is>
          <t>G22</t>
        </is>
      </c>
      <c r="C363" t="n">
        <v>22</v>
      </c>
      <c r="D363" t="n">
        <v>7</v>
      </c>
      <c r="E363" t="inlineStr">
        <is>
          <t>Input</t>
        </is>
      </c>
      <c r="F363" t="n">
        <v/>
      </c>
      <c r="G363" t="inlineStr">
        <is>
          <t>May</t>
        </is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16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PLANNED EXPENSES</t>
        </is>
      </c>
      <c r="B364" t="inlineStr">
        <is>
          <t>H22</t>
        </is>
      </c>
      <c r="C364" t="n">
        <v>22</v>
      </c>
      <c r="D364" t="n">
        <v>8</v>
      </c>
      <c r="E364" t="inlineStr">
        <is>
          <t>Input</t>
        </is>
      </c>
      <c r="F364" t="n">
        <v/>
      </c>
      <c r="G364" t="inlineStr">
        <is>
          <t>Jun</t>
        </is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16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PLANNED EXPENSES</t>
        </is>
      </c>
      <c r="B365" t="inlineStr">
        <is>
          <t>I22</t>
        </is>
      </c>
      <c r="C365" t="n">
        <v>22</v>
      </c>
      <c r="D365" t="n">
        <v>9</v>
      </c>
      <c r="E365" t="inlineStr">
        <is>
          <t>Input</t>
        </is>
      </c>
      <c r="F365" t="n">
        <v/>
      </c>
      <c r="G365" t="inlineStr">
        <is>
          <t>Jul</t>
        </is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16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PLANNED EXPENSES</t>
        </is>
      </c>
      <c r="B366" t="inlineStr">
        <is>
          <t>J22</t>
        </is>
      </c>
      <c r="C366" t="n">
        <v>22</v>
      </c>
      <c r="D366" t="n">
        <v>10</v>
      </c>
      <c r="E366" t="inlineStr">
        <is>
          <t>Input</t>
        </is>
      </c>
      <c r="F366" t="n">
        <v/>
      </c>
      <c r="G366" t="inlineStr">
        <is>
          <t>Aug</t>
        </is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16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PLANNED EXPENSES</t>
        </is>
      </c>
      <c r="B367" t="inlineStr">
        <is>
          <t>K22</t>
        </is>
      </c>
      <c r="C367" t="n">
        <v>22</v>
      </c>
      <c r="D367" t="n">
        <v>11</v>
      </c>
      <c r="E367" t="inlineStr">
        <is>
          <t>Input</t>
        </is>
      </c>
      <c r="F367" t="n">
        <v/>
      </c>
      <c r="G367" t="inlineStr">
        <is>
          <t>Sep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16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PLANNED EXPENSES</t>
        </is>
      </c>
      <c r="B368" t="inlineStr">
        <is>
          <t>L22</t>
        </is>
      </c>
      <c r="C368" t="n">
        <v>22</v>
      </c>
      <c r="D368" t="n">
        <v>12</v>
      </c>
      <c r="E368" t="inlineStr">
        <is>
          <t>Input</t>
        </is>
      </c>
      <c r="F368" t="n">
        <v/>
      </c>
      <c r="G368" t="inlineStr">
        <is>
          <t>Oct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16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PLANNED EXPENSES</t>
        </is>
      </c>
      <c r="B369" t="inlineStr">
        <is>
          <t>M22</t>
        </is>
      </c>
      <c r="C369" t="n">
        <v>22</v>
      </c>
      <c r="D369" t="n">
        <v>13</v>
      </c>
      <c r="E369" t="inlineStr">
        <is>
          <t>Input</t>
        </is>
      </c>
      <c r="F369" t="n">
        <v/>
      </c>
      <c r="G369" t="inlineStr">
        <is>
          <t>Nov</t>
        </is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16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inlineStr">
        <is>
          <t>center</t>
        </is>
      </c>
      <c r="P369" t="inlineStr">
        <is>
          <t>center</t>
        </is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PLANNED EXPENSES</t>
        </is>
      </c>
      <c r="B370" t="inlineStr">
        <is>
          <t>N22</t>
        </is>
      </c>
      <c r="C370" t="n">
        <v>22</v>
      </c>
      <c r="D370" t="n">
        <v>14</v>
      </c>
      <c r="E370" t="inlineStr">
        <is>
          <t>Input</t>
        </is>
      </c>
      <c r="F370" t="n">
        <v/>
      </c>
      <c r="G370" t="inlineStr">
        <is>
          <t>Dec</t>
        </is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16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inlineStr">
        <is>
          <t>center</t>
        </is>
      </c>
      <c r="P370" t="inlineStr">
        <is>
          <t>center</t>
        </is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PLANNED EXPENSES</t>
        </is>
      </c>
      <c r="B371" t="inlineStr">
        <is>
          <t>O22</t>
        </is>
      </c>
      <c r="C371" t="n">
        <v>22</v>
      </c>
      <c r="D371" t="n">
        <v>15</v>
      </c>
      <c r="E371" t="inlineStr">
        <is>
          <t>Input</t>
        </is>
      </c>
      <c r="F371" t="n">
        <v/>
      </c>
      <c r="G371" t="inlineStr">
        <is>
          <t>YEAR</t>
        </is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16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PLANNED EXPENSES</t>
        </is>
      </c>
      <c r="B372" t="inlineStr">
        <is>
          <t>P22</t>
        </is>
      </c>
      <c r="C372" t="n">
        <v>22</v>
      </c>
      <c r="D372" t="n">
        <v>16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16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n">
        <v/>
      </c>
      <c r="P372" t="n">
        <v/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PLANNED EXPENSES</t>
        </is>
      </c>
      <c r="B373" t="inlineStr">
        <is>
          <t>A23</t>
        </is>
      </c>
      <c r="C373" t="n">
        <v>23</v>
      </c>
      <c r="D373" t="n">
        <v>1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n">
        <v/>
      </c>
      <c r="P373" t="n">
        <v/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PLANNED EXPENSES</t>
        </is>
      </c>
      <c r="B374" t="inlineStr">
        <is>
          <t>B23</t>
        </is>
      </c>
      <c r="C374" t="n">
        <v>23</v>
      </c>
      <c r="D374" t="n">
        <v>2</v>
      </c>
      <c r="E374" t="inlineStr">
        <is>
          <t>Input</t>
        </is>
      </c>
      <c r="F374" t="n">
        <v/>
      </c>
      <c r="G374" t="inlineStr">
        <is>
          <t>Web site hosting</t>
        </is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12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left</t>
        </is>
      </c>
      <c r="P374" t="inlineStr">
        <is>
          <t>center</t>
        </is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PLANNED EXPENSES</t>
        </is>
      </c>
      <c r="B375" t="inlineStr">
        <is>
          <t>C23</t>
        </is>
      </c>
      <c r="C375" t="n">
        <v>23</v>
      </c>
      <c r="D375" t="n">
        <v>3</v>
      </c>
      <c r="E375" t="inlineStr">
        <is>
          <t>Input</t>
        </is>
      </c>
      <c r="F375" t="n">
        <v/>
      </c>
      <c r="G375" t="n">
        <v>500</v>
      </c>
      <c r="H375" t="inlineStr"/>
      <c r="I375" t="inlineStr">
        <is>
          <t>"$"#,##0.00_);[Red]\("$"#,##0.00\)</t>
        </is>
      </c>
      <c r="J375" t="b">
        <v>0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PLANNED EXPENSES</t>
        </is>
      </c>
      <c r="B376" t="inlineStr">
        <is>
          <t>D23</t>
        </is>
      </c>
      <c r="C376" t="n">
        <v>23</v>
      </c>
      <c r="D376" t="n">
        <v>4</v>
      </c>
      <c r="E376" t="inlineStr">
        <is>
          <t>Input</t>
        </is>
      </c>
      <c r="F376" t="n">
        <v/>
      </c>
      <c r="G376" t="n">
        <v>500</v>
      </c>
      <c r="H376" t="inlineStr"/>
      <c r="I376" t="inlineStr">
        <is>
          <t>"$"#,##0.00_);[Red]\("$"#,##0.00\)</t>
        </is>
      </c>
      <c r="J376" t="b">
        <v>0</v>
      </c>
      <c r="K376" t="b">
        <v>0</v>
      </c>
      <c r="L376" t="n">
        <v>10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PLANNED EXPENSES</t>
        </is>
      </c>
      <c r="B377" t="inlineStr">
        <is>
          <t>E23</t>
        </is>
      </c>
      <c r="C377" t="n">
        <v>23</v>
      </c>
      <c r="D377" t="n">
        <v>5</v>
      </c>
      <c r="E377" t="inlineStr">
        <is>
          <t>Input</t>
        </is>
      </c>
      <c r="F377" t="n">
        <v/>
      </c>
      <c r="G377" t="n">
        <v>500</v>
      </c>
      <c r="H377" t="inlineStr"/>
      <c r="I377" t="inlineStr">
        <is>
          <t>"$"#,##0.00_);[Red]\("$"#,##0.00\)</t>
        </is>
      </c>
      <c r="J377" t="b">
        <v>0</v>
      </c>
      <c r="K377" t="b">
        <v>0</v>
      </c>
      <c r="L377" t="n">
        <v>10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PLANNED EXPENSES</t>
        </is>
      </c>
      <c r="B378" t="inlineStr">
        <is>
          <t>F23</t>
        </is>
      </c>
      <c r="C378" t="n">
        <v>23</v>
      </c>
      <c r="D378" t="n">
        <v>6</v>
      </c>
      <c r="E378" t="inlineStr">
        <is>
          <t>Input</t>
        </is>
      </c>
      <c r="F378" t="n">
        <v/>
      </c>
      <c r="G378" t="n">
        <v>500</v>
      </c>
      <c r="H378" t="inlineStr"/>
      <c r="I378" t="inlineStr">
        <is>
          <t>"$"#,##0.00_);[Red]\("$"#,##0.00\)</t>
        </is>
      </c>
      <c r="J378" t="b">
        <v>0</v>
      </c>
      <c r="K378" t="b">
        <v>0</v>
      </c>
      <c r="L378" t="n">
        <v>10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inlineStr">
        <is>
          <t>center</t>
        </is>
      </c>
      <c r="P378" t="inlineStr">
        <is>
          <t>center</t>
        </is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PLANNED EXPENSES</t>
        </is>
      </c>
      <c r="B379" t="inlineStr">
        <is>
          <t>G23</t>
        </is>
      </c>
      <c r="C379" t="n">
        <v>23</v>
      </c>
      <c r="D379" t="n">
        <v>7</v>
      </c>
      <c r="E379" t="inlineStr">
        <is>
          <t>Input</t>
        </is>
      </c>
      <c r="F379" t="n">
        <v/>
      </c>
      <c r="G379" t="n">
        <v>500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PLANNED EXPENSES</t>
        </is>
      </c>
      <c r="B380" t="inlineStr">
        <is>
          <t>H23</t>
        </is>
      </c>
      <c r="C380" t="n">
        <v>23</v>
      </c>
      <c r="D380" t="n">
        <v>8</v>
      </c>
      <c r="E380" t="inlineStr">
        <is>
          <t>Input</t>
        </is>
      </c>
      <c r="F380" t="n">
        <v/>
      </c>
      <c r="G380" t="n">
        <v>500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PLANNED EXPENSES</t>
        </is>
      </c>
      <c r="B381" t="inlineStr">
        <is>
          <t>I23</t>
        </is>
      </c>
      <c r="C381" t="n">
        <v>23</v>
      </c>
      <c r="D381" t="n">
        <v>9</v>
      </c>
      <c r="E381" t="inlineStr">
        <is>
          <t>Input</t>
        </is>
      </c>
      <c r="F381" t="n">
        <v/>
      </c>
      <c r="G381" t="n">
        <v>500</v>
      </c>
      <c r="H381" t="inlineStr"/>
      <c r="I381" t="inlineStr">
        <is>
          <t>"$"#,##0.00_);[Red]\("$"#,##0.00\)</t>
        </is>
      </c>
      <c r="J381" t="b">
        <v>0</v>
      </c>
      <c r="K381" t="b">
        <v>0</v>
      </c>
      <c r="L381" t="n">
        <v>10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PLANNED EXPENSES</t>
        </is>
      </c>
      <c r="B382" t="inlineStr">
        <is>
          <t>J23</t>
        </is>
      </c>
      <c r="C382" t="n">
        <v>23</v>
      </c>
      <c r="D382" t="n">
        <v>10</v>
      </c>
      <c r="E382" t="inlineStr">
        <is>
          <t>Input</t>
        </is>
      </c>
      <c r="F382" t="n">
        <v/>
      </c>
      <c r="G382" t="n">
        <v>500</v>
      </c>
      <c r="H382" t="inlineStr"/>
      <c r="I382" t="inlineStr">
        <is>
          <t>"$"#,##0.00_);[Red]\("$"#,##0.00\)</t>
        </is>
      </c>
      <c r="J382" t="b">
        <v>0</v>
      </c>
      <c r="K382" t="b">
        <v>0</v>
      </c>
      <c r="L382" t="n">
        <v>10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PLANNED EXPENSES</t>
        </is>
      </c>
      <c r="B383" t="inlineStr">
        <is>
          <t>K23</t>
        </is>
      </c>
      <c r="C383" t="n">
        <v>23</v>
      </c>
      <c r="D383" t="n">
        <v>11</v>
      </c>
      <c r="E383" t="inlineStr">
        <is>
          <t>Input</t>
        </is>
      </c>
      <c r="F383" t="n">
        <v/>
      </c>
      <c r="G383" t="n">
        <v>500</v>
      </c>
      <c r="H383" t="inlineStr"/>
      <c r="I383" t="inlineStr">
        <is>
          <t>"$"#,##0.00_);[Red]\("$"#,##0.00\)</t>
        </is>
      </c>
      <c r="J383" t="b">
        <v>0</v>
      </c>
      <c r="K383" t="b">
        <v>0</v>
      </c>
      <c r="L383" t="n">
        <v>10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PLANNED EXPENSES</t>
        </is>
      </c>
      <c r="B384" t="inlineStr">
        <is>
          <t>L23</t>
        </is>
      </c>
      <c r="C384" t="n">
        <v>23</v>
      </c>
      <c r="D384" t="n">
        <v>12</v>
      </c>
      <c r="E384" t="inlineStr">
        <is>
          <t>Input</t>
        </is>
      </c>
      <c r="F384" t="n">
        <v/>
      </c>
      <c r="G384" t="n">
        <v>500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PLANNED EXPENSES</t>
        </is>
      </c>
      <c r="B385" t="inlineStr">
        <is>
          <t>M23</t>
        </is>
      </c>
      <c r="C385" t="n">
        <v>23</v>
      </c>
      <c r="D385" t="n">
        <v>13</v>
      </c>
      <c r="E385" t="inlineStr">
        <is>
          <t>Input</t>
        </is>
      </c>
      <c r="F385" t="n">
        <v/>
      </c>
      <c r="G385" t="n">
        <v>500</v>
      </c>
      <c r="H385" t="inlineStr"/>
      <c r="I385" t="inlineStr">
        <is>
          <t>"$"#,##0.00_);[Red]\("$"#,##0.00\)</t>
        </is>
      </c>
      <c r="J385" t="b">
        <v>0</v>
      </c>
      <c r="K385" t="b">
        <v>0</v>
      </c>
      <c r="L385" t="n">
        <v>10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inlineStr">
        <is>
          <t>center</t>
        </is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PLANNED EXPENSES</t>
        </is>
      </c>
      <c r="B386" t="inlineStr">
        <is>
          <t>N23</t>
        </is>
      </c>
      <c r="C386" t="n">
        <v>23</v>
      </c>
      <c r="D386" t="n">
        <v>14</v>
      </c>
      <c r="E386" t="inlineStr">
        <is>
          <t>Input</t>
        </is>
      </c>
      <c r="F386" t="n">
        <v/>
      </c>
      <c r="G386" t="n">
        <v>500</v>
      </c>
      <c r="H386" t="inlineStr"/>
      <c r="I386" t="inlineStr">
        <is>
          <t>"$"#,##0.00_);[Red]\("$"#,##0.00\)</t>
        </is>
      </c>
      <c r="J386" t="b">
        <v>0</v>
      </c>
      <c r="K386" t="b">
        <v>0</v>
      </c>
      <c r="L386" t="n">
        <v>10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inlineStr">
        <is>
          <t>center</t>
        </is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PLANNED EXPENSES</t>
        </is>
      </c>
      <c r="B387" t="inlineStr">
        <is>
          <t>O23</t>
        </is>
      </c>
      <c r="C387" t="n">
        <v>23</v>
      </c>
      <c r="D387" t="n">
        <v>15</v>
      </c>
      <c r="E387" t="inlineStr">
        <is>
          <t>Output</t>
        </is>
      </c>
      <c r="F387" t="inlineStr">
        <is>
          <t>'=SUM(C23:N23)</t>
        </is>
      </c>
      <c r="G387" t="n">
        <v>6000</v>
      </c>
      <c r="H387" t="inlineStr"/>
      <c r="I387" t="inlineStr">
        <is>
          <t>"$"#,##0.00_);[Red]\("$"#,##0.00\)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inlineStr">
        <is>
          <t>center</t>
        </is>
      </c>
      <c r="R387" t="b">
        <v>1</v>
      </c>
      <c r="S387" t="inlineStr">
        <is>
          <t>G000003</t>
        </is>
      </c>
      <c r="T387" t="inlineStr">
        <is>
          <t>Vertical</t>
        </is>
      </c>
      <c r="U387" t="n">
        <v>6</v>
      </c>
      <c r="V387" t="b">
        <v>1</v>
      </c>
      <c r="W387" t="inlineStr">
        <is>
          <t>PLANNED EXPENSES!O23:O28</t>
        </is>
      </c>
      <c r="X387">
        <f>SUM(R[0]C[-12]:R[0]C[-1])</f>
        <v/>
      </c>
    </row>
    <row r="388">
      <c r="A388" t="inlineStr">
        <is>
          <t>PLANNED EXPENSES</t>
        </is>
      </c>
      <c r="B388" t="inlineStr">
        <is>
          <t>P23</t>
        </is>
      </c>
      <c r="C388" t="n">
        <v>23</v>
      </c>
      <c r="D388" t="n">
        <v>16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n">
        <v/>
      </c>
      <c r="P388" t="n">
        <v/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PLANNED EXPENSES</t>
        </is>
      </c>
      <c r="B389" t="inlineStr">
        <is>
          <t>A24</t>
        </is>
      </c>
      <c r="C389" t="n">
        <v>24</v>
      </c>
      <c r="D389" t="n">
        <v>1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n">
        <v/>
      </c>
      <c r="P389" t="n">
        <v/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PLANNED EXPENSES</t>
        </is>
      </c>
      <c r="B390" t="inlineStr">
        <is>
          <t>B24</t>
        </is>
      </c>
      <c r="C390" t="n">
        <v>24</v>
      </c>
      <c r="D390" t="n">
        <v>2</v>
      </c>
      <c r="E390" t="inlineStr">
        <is>
          <t>Input</t>
        </is>
      </c>
      <c r="F390" t="n">
        <v/>
      </c>
      <c r="G390" t="inlineStr">
        <is>
          <t>Web site updates</t>
        </is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12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left</t>
        </is>
      </c>
      <c r="P390" t="inlineStr">
        <is>
          <t>center</t>
        </is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PLANNED EXPENSES</t>
        </is>
      </c>
      <c r="B391" t="inlineStr">
        <is>
          <t>C24</t>
        </is>
      </c>
      <c r="C391" t="n">
        <v>24</v>
      </c>
      <c r="D391" t="n">
        <v>3</v>
      </c>
      <c r="E391" t="inlineStr">
        <is>
          <t>Input</t>
        </is>
      </c>
      <c r="F391" t="n">
        <v/>
      </c>
      <c r="G391" t="n">
        <v>200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PLANNED EXPENSES</t>
        </is>
      </c>
      <c r="B392" t="inlineStr">
        <is>
          <t>D24</t>
        </is>
      </c>
      <c r="C392" t="n">
        <v>24</v>
      </c>
      <c r="D392" t="n">
        <v>4</v>
      </c>
      <c r="E392" t="inlineStr">
        <is>
          <t>Input</t>
        </is>
      </c>
      <c r="F392" t="n">
        <v/>
      </c>
      <c r="G392" t="n">
        <v>200</v>
      </c>
      <c r="H392" t="inlineStr"/>
      <c r="I392" t="inlineStr">
        <is>
          <t>"$"#,##0.00_);[Red]\("$"#,##0.00\)</t>
        </is>
      </c>
      <c r="J392" t="b">
        <v>0</v>
      </c>
      <c r="K392" t="b">
        <v>0</v>
      </c>
      <c r="L392" t="n">
        <v>10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PLANNED EXPENSES</t>
        </is>
      </c>
      <c r="B393" t="inlineStr">
        <is>
          <t>E24</t>
        </is>
      </c>
      <c r="C393" t="n">
        <v>24</v>
      </c>
      <c r="D393" t="n">
        <v>5</v>
      </c>
      <c r="E393" t="inlineStr">
        <is>
          <t>Input</t>
        </is>
      </c>
      <c r="F393" t="n">
        <v/>
      </c>
      <c r="G393" t="n">
        <v>200</v>
      </c>
      <c r="H393" t="inlineStr"/>
      <c r="I393" t="inlineStr">
        <is>
          <t>"$"#,##0.00_);[Red]\("$"#,##0.00\)</t>
        </is>
      </c>
      <c r="J393" t="b">
        <v>0</v>
      </c>
      <c r="K393" t="b">
        <v>0</v>
      </c>
      <c r="L393" t="n">
        <v>10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PLANNED EXPENSES</t>
        </is>
      </c>
      <c r="B394" t="inlineStr">
        <is>
          <t>F24</t>
        </is>
      </c>
      <c r="C394" t="n">
        <v>24</v>
      </c>
      <c r="D394" t="n">
        <v>6</v>
      </c>
      <c r="E394" t="inlineStr">
        <is>
          <t>Input</t>
        </is>
      </c>
      <c r="F394" t="n">
        <v/>
      </c>
      <c r="G394" t="n">
        <v>200</v>
      </c>
      <c r="H394" t="inlineStr"/>
      <c r="I394" t="inlineStr">
        <is>
          <t>"$"#,##0.00_);[Red]\("$"#,##0.00\)</t>
        </is>
      </c>
      <c r="J394" t="b">
        <v>0</v>
      </c>
      <c r="K394" t="b">
        <v>0</v>
      </c>
      <c r="L394" t="n">
        <v>10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PLANNED EXPENSES</t>
        </is>
      </c>
      <c r="B395" t="inlineStr">
        <is>
          <t>G24</t>
        </is>
      </c>
      <c r="C395" t="n">
        <v>24</v>
      </c>
      <c r="D395" t="n">
        <v>7</v>
      </c>
      <c r="E395" t="inlineStr">
        <is>
          <t>Input</t>
        </is>
      </c>
      <c r="F395" t="n">
        <v/>
      </c>
      <c r="G395" t="n">
        <v>200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PLANNED EXPENSES</t>
        </is>
      </c>
      <c r="B396" t="inlineStr">
        <is>
          <t>H24</t>
        </is>
      </c>
      <c r="C396" t="n">
        <v>24</v>
      </c>
      <c r="D396" t="n">
        <v>8</v>
      </c>
      <c r="E396" t="inlineStr">
        <is>
          <t>Input</t>
        </is>
      </c>
      <c r="F396" t="n">
        <v/>
      </c>
      <c r="G396" t="n">
        <v>1000</v>
      </c>
      <c r="H396" t="inlineStr"/>
      <c r="I396" t="inlineStr">
        <is>
          <t>"$"#,##0.00_);[Red]\("$"#,##0.00\)</t>
        </is>
      </c>
      <c r="J396" t="b">
        <v>0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inlineStr">
        <is>
          <t>center</t>
        </is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PLANNED EXPENSES</t>
        </is>
      </c>
      <c r="B397" t="inlineStr">
        <is>
          <t>I24</t>
        </is>
      </c>
      <c r="C397" t="n">
        <v>24</v>
      </c>
      <c r="D397" t="n">
        <v>9</v>
      </c>
      <c r="E397" t="inlineStr">
        <is>
          <t>Input</t>
        </is>
      </c>
      <c r="F397" t="n">
        <v/>
      </c>
      <c r="G397" t="n">
        <v>200</v>
      </c>
      <c r="H397" t="inlineStr"/>
      <c r="I397" t="inlineStr">
        <is>
          <t>"$"#,##0.00_);[Red]\("$"#,##0.00\)</t>
        </is>
      </c>
      <c r="J397" t="b">
        <v>0</v>
      </c>
      <c r="K397" t="b">
        <v>0</v>
      </c>
      <c r="L397" t="n">
        <v>10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inlineStr">
        <is>
          <t>center</t>
        </is>
      </c>
      <c r="P397" t="inlineStr">
        <is>
          <t>center</t>
        </is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PLANNED EXPENSES</t>
        </is>
      </c>
      <c r="B398" t="inlineStr">
        <is>
          <t>J24</t>
        </is>
      </c>
      <c r="C398" t="n">
        <v>24</v>
      </c>
      <c r="D398" t="n">
        <v>10</v>
      </c>
      <c r="E398" t="inlineStr">
        <is>
          <t>Input</t>
        </is>
      </c>
      <c r="F398" t="n">
        <v/>
      </c>
      <c r="G398" t="n">
        <v>200</v>
      </c>
      <c r="H398" t="inlineStr"/>
      <c r="I398" t="inlineStr">
        <is>
          <t>"$"#,##0.00_);[Red]\("$"#,##0.00\)</t>
        </is>
      </c>
      <c r="J398" t="b">
        <v>0</v>
      </c>
      <c r="K398" t="b">
        <v>0</v>
      </c>
      <c r="L398" t="n">
        <v>10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PLANNED EXPENSES</t>
        </is>
      </c>
      <c r="B399" t="inlineStr">
        <is>
          <t>K24</t>
        </is>
      </c>
      <c r="C399" t="n">
        <v>24</v>
      </c>
      <c r="D399" t="n">
        <v>11</v>
      </c>
      <c r="E399" t="inlineStr">
        <is>
          <t>Input</t>
        </is>
      </c>
      <c r="F399" t="n">
        <v/>
      </c>
      <c r="G399" t="n">
        <v>200</v>
      </c>
      <c r="H399" t="inlineStr"/>
      <c r="I399" t="inlineStr">
        <is>
          <t>"$"#,##0.00_);[Red]\("$"#,##0.00\)</t>
        </is>
      </c>
      <c r="J399" t="b">
        <v>0</v>
      </c>
      <c r="K399" t="b">
        <v>0</v>
      </c>
      <c r="L399" t="n">
        <v>10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PLANNED EXPENSES</t>
        </is>
      </c>
      <c r="B400" t="inlineStr">
        <is>
          <t>L24</t>
        </is>
      </c>
      <c r="C400" t="n">
        <v>24</v>
      </c>
      <c r="D400" t="n">
        <v>12</v>
      </c>
      <c r="E400" t="inlineStr">
        <is>
          <t>Input</t>
        </is>
      </c>
      <c r="F400" t="n">
        <v/>
      </c>
      <c r="G400" t="n">
        <v>200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PLANNED EXPENSES</t>
        </is>
      </c>
      <c r="B401" t="inlineStr">
        <is>
          <t>M24</t>
        </is>
      </c>
      <c r="C401" t="n">
        <v>24</v>
      </c>
      <c r="D401" t="n">
        <v>13</v>
      </c>
      <c r="E401" t="inlineStr">
        <is>
          <t>Input</t>
        </is>
      </c>
      <c r="F401" t="n">
        <v/>
      </c>
      <c r="G401" t="n">
        <v>200</v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10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PLANNED EXPENSES</t>
        </is>
      </c>
      <c r="B402" t="inlineStr">
        <is>
          <t>N24</t>
        </is>
      </c>
      <c r="C402" t="n">
        <v>24</v>
      </c>
      <c r="D402" t="n">
        <v>14</v>
      </c>
      <c r="E402" t="inlineStr">
        <is>
          <t>Input</t>
        </is>
      </c>
      <c r="F402" t="n">
        <v/>
      </c>
      <c r="G402" t="n">
        <v>1000</v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10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PLANNED EXPENSES</t>
        </is>
      </c>
      <c r="B403" t="inlineStr">
        <is>
          <t>O24</t>
        </is>
      </c>
      <c r="C403" t="n">
        <v>24</v>
      </c>
      <c r="D403" t="n">
        <v>15</v>
      </c>
      <c r="E403" t="inlineStr">
        <is>
          <t>Output</t>
        </is>
      </c>
      <c r="F403" t="inlineStr">
        <is>
          <t>'=SUM(C24:N24)</t>
        </is>
      </c>
      <c r="G403" t="n">
        <v>4000</v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G000003</t>
        </is>
      </c>
      <c r="T403" t="inlineStr">
        <is>
          <t>Vertical</t>
        </is>
      </c>
      <c r="U403" t="n">
        <v>6</v>
      </c>
      <c r="V403" t="b">
        <v>1</v>
      </c>
      <c r="W403" t="inlineStr">
        <is>
          <t>PLANNED EXPENSES!O23:O28</t>
        </is>
      </c>
      <c r="X403">
        <f>SUM(R[0]C[-12]:R[0]C[-1])</f>
        <v/>
      </c>
    </row>
    <row r="404">
      <c r="A404" t="inlineStr">
        <is>
          <t>PLANNED EXPENSES</t>
        </is>
      </c>
      <c r="B404" t="inlineStr">
        <is>
          <t>P24</t>
        </is>
      </c>
      <c r="C404" t="n">
        <v>24</v>
      </c>
      <c r="D404" t="n">
        <v>16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n">
        <v/>
      </c>
      <c r="P404" t="n">
        <v/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PLANNED EXPENSES</t>
        </is>
      </c>
      <c r="B405" t="inlineStr">
        <is>
          <t>A25</t>
        </is>
      </c>
      <c r="C405" t="n">
        <v>25</v>
      </c>
      <c r="D405" t="n">
        <v>1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14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n">
        <v/>
      </c>
      <c r="P405" t="n">
        <v/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PLANNED EXPENSES</t>
        </is>
      </c>
      <c r="B406" t="inlineStr">
        <is>
          <t>B25</t>
        </is>
      </c>
      <c r="C406" t="n">
        <v>25</v>
      </c>
      <c r="D406" t="n">
        <v>2</v>
      </c>
      <c r="E406" t="inlineStr">
        <is>
          <t>Input</t>
        </is>
      </c>
      <c r="F406" t="n">
        <v/>
      </c>
      <c r="G406" t="inlineStr">
        <is>
          <t>Collateral preparation</t>
        </is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12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left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PLANNED EXPENSES</t>
        </is>
      </c>
      <c r="B407" t="inlineStr">
        <is>
          <t>C25</t>
        </is>
      </c>
      <c r="C407" t="n">
        <v>25</v>
      </c>
      <c r="D407" t="n">
        <v>3</v>
      </c>
      <c r="E407" t="inlineStr">
        <is>
          <t>Input</t>
        </is>
      </c>
      <c r="F407" t="n">
        <v/>
      </c>
      <c r="G407" t="n">
        <v>5000</v>
      </c>
      <c r="H407" t="inlineStr"/>
      <c r="I407" t="inlineStr">
        <is>
          <t>"$"#,##0.00_);[Red]\("$"#,##0.00\)</t>
        </is>
      </c>
      <c r="J407" t="b">
        <v>0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PLANNED EXPENSES</t>
        </is>
      </c>
      <c r="B408" t="inlineStr">
        <is>
          <t>D25</t>
        </is>
      </c>
      <c r="C408" t="n">
        <v>25</v>
      </c>
      <c r="D408" t="n">
        <v>4</v>
      </c>
      <c r="E408" t="inlineStr">
        <is>
          <t>Input</t>
        </is>
      </c>
      <c r="F408" t="n">
        <v/>
      </c>
      <c r="G408" t="n">
        <v>0</v>
      </c>
      <c r="H408" t="inlineStr"/>
      <c r="I408" t="inlineStr">
        <is>
          <t>"$"#,##0.00_);[Red]\("$"#,##0.00\)</t>
        </is>
      </c>
      <c r="J408" t="b">
        <v>0</v>
      </c>
      <c r="K408" t="b">
        <v>0</v>
      </c>
      <c r="L408" t="n">
        <v>10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center</t>
        </is>
      </c>
      <c r="P408" t="inlineStr">
        <is>
          <t>center</t>
        </is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PLANNED EXPENSES</t>
        </is>
      </c>
      <c r="B409" t="inlineStr">
        <is>
          <t>E25</t>
        </is>
      </c>
      <c r="C409" t="n">
        <v>25</v>
      </c>
      <c r="D409" t="n">
        <v>5</v>
      </c>
      <c r="E409" t="inlineStr">
        <is>
          <t>Input</t>
        </is>
      </c>
      <c r="F409" t="n">
        <v/>
      </c>
      <c r="G409" t="n">
        <v>0</v>
      </c>
      <c r="H409" t="inlineStr"/>
      <c r="I409" t="inlineStr">
        <is>
          <t>"$"#,##0.00_);[Red]\("$"#,##0.00\)</t>
        </is>
      </c>
      <c r="J409" t="b">
        <v>0</v>
      </c>
      <c r="K409" t="b">
        <v>0</v>
      </c>
      <c r="L409" t="n">
        <v>10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PLANNED EXPENSES</t>
        </is>
      </c>
      <c r="B410" t="inlineStr">
        <is>
          <t>F25</t>
        </is>
      </c>
      <c r="C410" t="n">
        <v>25</v>
      </c>
      <c r="D410" t="n">
        <v>6</v>
      </c>
      <c r="E410" t="inlineStr">
        <is>
          <t>Input</t>
        </is>
      </c>
      <c r="F410" t="n">
        <v/>
      </c>
      <c r="G410" t="n">
        <v>5000</v>
      </c>
      <c r="H410" t="inlineStr"/>
      <c r="I410" t="inlineStr">
        <is>
          <t>"$"#,##0.00_);[Red]\("$"#,##0.00\)</t>
        </is>
      </c>
      <c r="J410" t="b">
        <v>0</v>
      </c>
      <c r="K410" t="b">
        <v>0</v>
      </c>
      <c r="L410" t="n">
        <v>10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PLANNED EXPENSES</t>
        </is>
      </c>
      <c r="B411" t="inlineStr">
        <is>
          <t>G25</t>
        </is>
      </c>
      <c r="C411" t="n">
        <v>25</v>
      </c>
      <c r="D411" t="n">
        <v>7</v>
      </c>
      <c r="E411" t="inlineStr">
        <is>
          <t>Input</t>
        </is>
      </c>
      <c r="F411" t="n">
        <v/>
      </c>
      <c r="G411" t="n">
        <v>0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PLANNED EXPENSES</t>
        </is>
      </c>
      <c r="B412" t="inlineStr">
        <is>
          <t>H25</t>
        </is>
      </c>
      <c r="C412" t="n">
        <v>25</v>
      </c>
      <c r="D412" t="n">
        <v>8</v>
      </c>
      <c r="E412" t="inlineStr">
        <is>
          <t>Input</t>
        </is>
      </c>
      <c r="F412" t="n">
        <v/>
      </c>
      <c r="G412" t="n">
        <v>0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PLANNED EXPENSES</t>
        </is>
      </c>
      <c r="B413" t="inlineStr">
        <is>
          <t>I25</t>
        </is>
      </c>
      <c r="C413" t="n">
        <v>25</v>
      </c>
      <c r="D413" t="n">
        <v>9</v>
      </c>
      <c r="E413" t="inlineStr">
        <is>
          <t>Input</t>
        </is>
      </c>
      <c r="F413" t="n">
        <v/>
      </c>
      <c r="G413" t="n">
        <v>5000</v>
      </c>
      <c r="H413" t="inlineStr"/>
      <c r="I413" t="inlineStr">
        <is>
          <t>"$"#,##0.00_);[Red]\("$"#,##0.00\)</t>
        </is>
      </c>
      <c r="J413" t="b">
        <v>0</v>
      </c>
      <c r="K413" t="b">
        <v>0</v>
      </c>
      <c r="L413" t="n">
        <v>10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PLANNED EXPENSES</t>
        </is>
      </c>
      <c r="B414" t="inlineStr">
        <is>
          <t>J25</t>
        </is>
      </c>
      <c r="C414" t="n">
        <v>25</v>
      </c>
      <c r="D414" t="n">
        <v>10</v>
      </c>
      <c r="E414" t="inlineStr">
        <is>
          <t>Input</t>
        </is>
      </c>
      <c r="F414" t="n">
        <v/>
      </c>
      <c r="G414" t="n">
        <v>0</v>
      </c>
      <c r="H414" t="inlineStr"/>
      <c r="I414" t="inlineStr">
        <is>
          <t>"$"#,##0.00_);[Red]\("$"#,##0.00\)</t>
        </is>
      </c>
      <c r="J414" t="b">
        <v>0</v>
      </c>
      <c r="K414" t="b">
        <v>0</v>
      </c>
      <c r="L414" t="n">
        <v>10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inlineStr">
        <is>
          <t>center</t>
        </is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PLANNED EXPENSES</t>
        </is>
      </c>
      <c r="B415" t="inlineStr">
        <is>
          <t>K25</t>
        </is>
      </c>
      <c r="C415" t="n">
        <v>25</v>
      </c>
      <c r="D415" t="n">
        <v>11</v>
      </c>
      <c r="E415" t="inlineStr">
        <is>
          <t>Input</t>
        </is>
      </c>
      <c r="F415" t="n">
        <v/>
      </c>
      <c r="G415" t="n">
        <v>0</v>
      </c>
      <c r="H415" t="inlineStr"/>
      <c r="I415" t="inlineStr">
        <is>
          <t>"$"#,##0.00_);[Red]\("$"#,##0.00\)</t>
        </is>
      </c>
      <c r="J415" t="b">
        <v>0</v>
      </c>
      <c r="K415" t="b">
        <v>0</v>
      </c>
      <c r="L415" t="n">
        <v>10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PLANNED EXPENSES</t>
        </is>
      </c>
      <c r="B416" t="inlineStr">
        <is>
          <t>L25</t>
        </is>
      </c>
      <c r="C416" t="n">
        <v>25</v>
      </c>
      <c r="D416" t="n">
        <v>12</v>
      </c>
      <c r="E416" t="inlineStr">
        <is>
          <t>Input</t>
        </is>
      </c>
      <c r="F416" t="n">
        <v/>
      </c>
      <c r="G416" t="n">
        <v>5000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PLANNED EXPENSES</t>
        </is>
      </c>
      <c r="B417" t="inlineStr">
        <is>
          <t>M25</t>
        </is>
      </c>
      <c r="C417" t="n">
        <v>25</v>
      </c>
      <c r="D417" t="n">
        <v>13</v>
      </c>
      <c r="E417" t="inlineStr">
        <is>
          <t>Input</t>
        </is>
      </c>
      <c r="F417" t="n">
        <v/>
      </c>
      <c r="G417" t="n">
        <v>0</v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10</v>
      </c>
      <c r="M417" t="inlineStr">
        <is>
          <t>Values must be of type &lt;class 'str'&gt;</t>
        </is>
      </c>
      <c r="N417" t="inlineStr">
        <is>
          <t>Values must be of type &lt;class 'str'&gt;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PLANNED EXPENSES</t>
        </is>
      </c>
      <c r="B418" t="inlineStr">
        <is>
          <t>N25</t>
        </is>
      </c>
      <c r="C418" t="n">
        <v>25</v>
      </c>
      <c r="D418" t="n">
        <v>14</v>
      </c>
      <c r="E418" t="inlineStr">
        <is>
          <t>Input</t>
        </is>
      </c>
      <c r="F418" t="n">
        <v/>
      </c>
      <c r="G418" t="n">
        <v>0</v>
      </c>
      <c r="H418" t="inlineStr"/>
      <c r="I418" t="inlineStr">
        <is>
          <t>"$"#,##0.00_);[Red]\("$"#,##0.00\)</t>
        </is>
      </c>
      <c r="J418" t="b">
        <v>0</v>
      </c>
      <c r="K418" t="b">
        <v>0</v>
      </c>
      <c r="L418" t="n">
        <v>10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inlineStr">
        <is>
          <t>center</t>
        </is>
      </c>
      <c r="P418" t="inlineStr">
        <is>
          <t>center</t>
        </is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PLANNED EXPENSES</t>
        </is>
      </c>
      <c r="B419" t="inlineStr">
        <is>
          <t>O25</t>
        </is>
      </c>
      <c r="C419" t="n">
        <v>25</v>
      </c>
      <c r="D419" t="n">
        <v>15</v>
      </c>
      <c r="E419" t="inlineStr">
        <is>
          <t>Output</t>
        </is>
      </c>
      <c r="F419" t="inlineStr">
        <is>
          <t>'=SUM(C25:N25)</t>
        </is>
      </c>
      <c r="G419" t="n">
        <v>20000</v>
      </c>
      <c r="H419" t="inlineStr"/>
      <c r="I419" t="inlineStr">
        <is>
          <t>"$"#,##0.00_);[Red]\("$"#,##0.00\)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inlineStr">
        <is>
          <t>center</t>
        </is>
      </c>
      <c r="P419" t="inlineStr">
        <is>
          <t>center</t>
        </is>
      </c>
      <c r="R419" t="b">
        <v>1</v>
      </c>
      <c r="S419" t="inlineStr">
        <is>
          <t>G000003</t>
        </is>
      </c>
      <c r="T419" t="inlineStr">
        <is>
          <t>Vertical</t>
        </is>
      </c>
      <c r="U419" t="n">
        <v>6</v>
      </c>
      <c r="V419" t="b">
        <v>1</v>
      </c>
      <c r="W419" t="inlineStr">
        <is>
          <t>PLANNED EXPENSES!O23:O28</t>
        </is>
      </c>
      <c r="X419">
        <f>SUM(R[0]C[-12]:R[0]C[-1])</f>
        <v/>
      </c>
    </row>
    <row r="420">
      <c r="A420" t="inlineStr">
        <is>
          <t>PLANNED EXPENSES</t>
        </is>
      </c>
      <c r="B420" t="inlineStr">
        <is>
          <t>P25</t>
        </is>
      </c>
      <c r="C420" t="n">
        <v>25</v>
      </c>
      <c r="D420" t="n">
        <v>16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n">
        <v/>
      </c>
      <c r="P420" t="n">
        <v/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PLANNED EXPENSES</t>
        </is>
      </c>
      <c r="B421" t="inlineStr">
        <is>
          <t>A26</t>
        </is>
      </c>
      <c r="C421" t="n">
        <v>26</v>
      </c>
      <c r="D421" t="n">
        <v>1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n">
        <v/>
      </c>
      <c r="P421" t="n">
        <v/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PLANNED EXPENSES</t>
        </is>
      </c>
      <c r="B422" t="inlineStr">
        <is>
          <t>B26</t>
        </is>
      </c>
      <c r="C422" t="n">
        <v>26</v>
      </c>
      <c r="D422" t="n">
        <v>2</v>
      </c>
      <c r="E422" t="inlineStr">
        <is>
          <t>Input</t>
        </is>
      </c>
      <c r="F422" t="n">
        <v/>
      </c>
      <c r="G422" t="inlineStr">
        <is>
          <t>Collateral printing</t>
        </is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12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left</t>
        </is>
      </c>
      <c r="P422" t="inlineStr">
        <is>
          <t>center</t>
        </is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PLANNED EXPENSES</t>
        </is>
      </c>
      <c r="B423" t="inlineStr">
        <is>
          <t>C26</t>
        </is>
      </c>
      <c r="C423" t="n">
        <v>26</v>
      </c>
      <c r="D423" t="n">
        <v>3</v>
      </c>
      <c r="E423" t="inlineStr">
        <is>
          <t>Input</t>
        </is>
      </c>
      <c r="F423" t="n">
        <v/>
      </c>
      <c r="G423" t="n">
        <v>200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PLANNED EXPENSES</t>
        </is>
      </c>
      <c r="B424" t="inlineStr">
        <is>
          <t>D26</t>
        </is>
      </c>
      <c r="C424" t="n">
        <v>26</v>
      </c>
      <c r="D424" t="n">
        <v>4</v>
      </c>
      <c r="E424" t="inlineStr">
        <is>
          <t>Input</t>
        </is>
      </c>
      <c r="F424" t="n">
        <v/>
      </c>
      <c r="G424" t="n">
        <v>200</v>
      </c>
      <c r="H424" t="inlineStr"/>
      <c r="I424" t="inlineStr">
        <is>
          <t>"$"#,##0.00_);[Red]\("$"#,##0.00\)</t>
        </is>
      </c>
      <c r="J424" t="b">
        <v>0</v>
      </c>
      <c r="K424" t="b">
        <v>0</v>
      </c>
      <c r="L424" t="n">
        <v>10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inlineStr">
        <is>
          <t>center</t>
        </is>
      </c>
      <c r="P424" t="inlineStr">
        <is>
          <t>center</t>
        </is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PLANNED EXPENSES</t>
        </is>
      </c>
      <c r="B425" t="inlineStr">
        <is>
          <t>E26</t>
        </is>
      </c>
      <c r="C425" t="n">
        <v>26</v>
      </c>
      <c r="D425" t="n">
        <v>5</v>
      </c>
      <c r="E425" t="inlineStr">
        <is>
          <t>Input</t>
        </is>
      </c>
      <c r="F425" t="n">
        <v/>
      </c>
      <c r="G425" t="n">
        <v>200</v>
      </c>
      <c r="H425" t="inlineStr"/>
      <c r="I425" t="inlineStr">
        <is>
          <t>"$"#,##0.00_);[Red]\("$"#,##0.00\)</t>
        </is>
      </c>
      <c r="J425" t="b">
        <v>0</v>
      </c>
      <c r="K425" t="b">
        <v>0</v>
      </c>
      <c r="L425" t="n">
        <v>10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PLANNED EXPENSES</t>
        </is>
      </c>
      <c r="B426" t="inlineStr">
        <is>
          <t>F26</t>
        </is>
      </c>
      <c r="C426" t="n">
        <v>26</v>
      </c>
      <c r="D426" t="n">
        <v>6</v>
      </c>
      <c r="E426" t="inlineStr">
        <is>
          <t>Input</t>
        </is>
      </c>
      <c r="F426" t="n">
        <v/>
      </c>
      <c r="G426" t="n">
        <v>200</v>
      </c>
      <c r="H426" t="inlineStr"/>
      <c r="I426" t="inlineStr">
        <is>
          <t>"$"#,##0.00_);[Red]\("$"#,##0.00\)</t>
        </is>
      </c>
      <c r="J426" t="b">
        <v>0</v>
      </c>
      <c r="K426" t="b">
        <v>0</v>
      </c>
      <c r="L426" t="n">
        <v>10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PLANNED EXPENSES</t>
        </is>
      </c>
      <c r="B427" t="inlineStr">
        <is>
          <t>G26</t>
        </is>
      </c>
      <c r="C427" t="n">
        <v>26</v>
      </c>
      <c r="D427" t="n">
        <v>7</v>
      </c>
      <c r="E427" t="inlineStr">
        <is>
          <t>Input</t>
        </is>
      </c>
      <c r="F427" t="n">
        <v/>
      </c>
      <c r="G427" t="n">
        <v>200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PLANNED EXPENSES</t>
        </is>
      </c>
      <c r="B428" t="inlineStr">
        <is>
          <t>H26</t>
        </is>
      </c>
      <c r="C428" t="n">
        <v>26</v>
      </c>
      <c r="D428" t="n">
        <v>8</v>
      </c>
      <c r="E428" t="inlineStr">
        <is>
          <t>Input</t>
        </is>
      </c>
      <c r="F428" t="n">
        <v/>
      </c>
      <c r="G428" t="n">
        <v>200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PLANNED EXPENSES</t>
        </is>
      </c>
      <c r="B429" t="inlineStr">
        <is>
          <t>I26</t>
        </is>
      </c>
      <c r="C429" t="n">
        <v>26</v>
      </c>
      <c r="D429" t="n">
        <v>9</v>
      </c>
      <c r="E429" t="inlineStr">
        <is>
          <t>Input</t>
        </is>
      </c>
      <c r="F429" t="n">
        <v/>
      </c>
      <c r="G429" t="n">
        <v>200</v>
      </c>
      <c r="H429" t="inlineStr"/>
      <c r="I429" t="inlineStr">
        <is>
          <t>"$"#,##0.00_);[Red]\("$"#,##0.00\)</t>
        </is>
      </c>
      <c r="J429" t="b">
        <v>0</v>
      </c>
      <c r="K429" t="b">
        <v>0</v>
      </c>
      <c r="L429" t="n">
        <v>10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inlineStr">
        <is>
          <t>center</t>
        </is>
      </c>
      <c r="P429" t="inlineStr">
        <is>
          <t>center</t>
        </is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PLANNED EXPENSES</t>
        </is>
      </c>
      <c r="B430" t="inlineStr">
        <is>
          <t>J26</t>
        </is>
      </c>
      <c r="C430" t="n">
        <v>26</v>
      </c>
      <c r="D430" t="n">
        <v>10</v>
      </c>
      <c r="E430" t="inlineStr">
        <is>
          <t>Input</t>
        </is>
      </c>
      <c r="F430" t="n">
        <v/>
      </c>
      <c r="G430" t="n">
        <v>200</v>
      </c>
      <c r="H430" t="inlineStr"/>
      <c r="I430" t="inlineStr">
        <is>
          <t>"$"#,##0.00_);[Red]\("$"#,##0.00\)</t>
        </is>
      </c>
      <c r="J430" t="b">
        <v>0</v>
      </c>
      <c r="K430" t="b">
        <v>0</v>
      </c>
      <c r="L430" t="n">
        <v>10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center</t>
        </is>
      </c>
      <c r="P430" t="inlineStr">
        <is>
          <t>center</t>
        </is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PLANNED EXPENSES</t>
        </is>
      </c>
      <c r="B431" t="inlineStr">
        <is>
          <t>K26</t>
        </is>
      </c>
      <c r="C431" t="n">
        <v>26</v>
      </c>
      <c r="D431" t="n">
        <v>11</v>
      </c>
      <c r="E431" t="inlineStr">
        <is>
          <t>Input</t>
        </is>
      </c>
      <c r="F431" t="n">
        <v/>
      </c>
      <c r="G431" t="n">
        <v>200</v>
      </c>
      <c r="H431" t="inlineStr"/>
      <c r="I431" t="inlineStr">
        <is>
          <t>"$"#,##0.00_);[Red]\("$"#,##0.00\)</t>
        </is>
      </c>
      <c r="J431" t="b">
        <v>0</v>
      </c>
      <c r="K431" t="b">
        <v>0</v>
      </c>
      <c r="L431" t="n">
        <v>10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PLANNED EXPENSES</t>
        </is>
      </c>
      <c r="B432" t="inlineStr">
        <is>
          <t>L26</t>
        </is>
      </c>
      <c r="C432" t="n">
        <v>26</v>
      </c>
      <c r="D432" t="n">
        <v>12</v>
      </c>
      <c r="E432" t="inlineStr">
        <is>
          <t>Input</t>
        </is>
      </c>
      <c r="F432" t="n">
        <v/>
      </c>
      <c r="G432" t="n">
        <v>200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PLANNED EXPENSES</t>
        </is>
      </c>
      <c r="B433" t="inlineStr">
        <is>
          <t>M26</t>
        </is>
      </c>
      <c r="C433" t="n">
        <v>26</v>
      </c>
      <c r="D433" t="n">
        <v>13</v>
      </c>
      <c r="E433" t="inlineStr">
        <is>
          <t>Input</t>
        </is>
      </c>
      <c r="F433" t="n">
        <v/>
      </c>
      <c r="G433" t="n">
        <v>200</v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10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inlineStr">
        <is>
          <t>center</t>
        </is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PLANNED EXPENSES</t>
        </is>
      </c>
      <c r="B434" t="inlineStr">
        <is>
          <t>N26</t>
        </is>
      </c>
      <c r="C434" t="n">
        <v>26</v>
      </c>
      <c r="D434" t="n">
        <v>14</v>
      </c>
      <c r="E434" t="inlineStr">
        <is>
          <t>Input</t>
        </is>
      </c>
      <c r="F434" t="n">
        <v/>
      </c>
      <c r="G434" t="n">
        <v>200</v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10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PLANNED EXPENSES</t>
        </is>
      </c>
      <c r="B435" t="inlineStr">
        <is>
          <t>O26</t>
        </is>
      </c>
      <c r="C435" t="n">
        <v>26</v>
      </c>
      <c r="D435" t="n">
        <v>15</v>
      </c>
      <c r="E435" t="inlineStr">
        <is>
          <t>Output</t>
        </is>
      </c>
      <c r="F435" t="inlineStr">
        <is>
          <t>'=SUM(C26:N26)</t>
        </is>
      </c>
      <c r="G435" t="n">
        <v>2400</v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G000003</t>
        </is>
      </c>
      <c r="T435" t="inlineStr">
        <is>
          <t>Vertical</t>
        </is>
      </c>
      <c r="U435" t="n">
        <v>6</v>
      </c>
      <c r="V435" t="b">
        <v>1</v>
      </c>
      <c r="W435" t="inlineStr">
        <is>
          <t>PLANNED EXPENSES!O23:O28</t>
        </is>
      </c>
      <c r="X435">
        <f>SUM(R[0]C[-12]:R[0]C[-1])</f>
        <v/>
      </c>
    </row>
    <row r="436">
      <c r="A436" t="inlineStr">
        <is>
          <t>PLANNED EXPENSES</t>
        </is>
      </c>
      <c r="B436" t="inlineStr">
        <is>
          <t>P26</t>
        </is>
      </c>
      <c r="C436" t="n">
        <v>26</v>
      </c>
      <c r="D436" t="n">
        <v>16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n">
        <v/>
      </c>
      <c r="P436" t="n">
        <v/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PLANNED EXPENSES</t>
        </is>
      </c>
      <c r="B437" t="inlineStr">
        <is>
          <t>A27</t>
        </is>
      </c>
      <c r="C437" t="n">
        <v>27</v>
      </c>
      <c r="D437" t="n">
        <v>1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n">
        <v/>
      </c>
      <c r="P437" t="n">
        <v/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PLANNED EXPENSES</t>
        </is>
      </c>
      <c r="B438" t="inlineStr">
        <is>
          <t>B27</t>
        </is>
      </c>
      <c r="C438" t="n">
        <v>27</v>
      </c>
      <c r="D438" t="n">
        <v>2</v>
      </c>
      <c r="E438" t="inlineStr">
        <is>
          <t>Input</t>
        </is>
      </c>
      <c r="F438" t="n">
        <v/>
      </c>
      <c r="G438" t="inlineStr">
        <is>
          <t>Marketing events</t>
        </is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12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left</t>
        </is>
      </c>
      <c r="P438" t="inlineStr">
        <is>
          <t>center</t>
        </is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PLANNED EXPENSES</t>
        </is>
      </c>
      <c r="B439" t="inlineStr">
        <is>
          <t>C27</t>
        </is>
      </c>
      <c r="C439" t="n">
        <v>27</v>
      </c>
      <c r="D439" t="n">
        <v>3</v>
      </c>
      <c r="E439" t="inlineStr">
        <is>
          <t>Input</t>
        </is>
      </c>
      <c r="F439" t="n">
        <v/>
      </c>
      <c r="G439" t="n">
        <v>2000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PLANNED EXPENSES</t>
        </is>
      </c>
      <c r="B440" t="inlineStr">
        <is>
          <t>D27</t>
        </is>
      </c>
      <c r="C440" t="n">
        <v>27</v>
      </c>
      <c r="D440" t="n">
        <v>4</v>
      </c>
      <c r="E440" t="inlineStr">
        <is>
          <t>Input</t>
        </is>
      </c>
      <c r="F440" t="n">
        <v/>
      </c>
      <c r="G440" t="n">
        <v>2000</v>
      </c>
      <c r="H440" t="inlineStr"/>
      <c r="I440" t="inlineStr">
        <is>
          <t>"$"#,##0.00_);[Red]\("$"#,##0.00\)</t>
        </is>
      </c>
      <c r="J440" t="b">
        <v>0</v>
      </c>
      <c r="K440" t="b">
        <v>0</v>
      </c>
      <c r="L440" t="n">
        <v>10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inlineStr">
        <is>
          <t>center</t>
        </is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PLANNED EXPENSES</t>
        </is>
      </c>
      <c r="B441" t="inlineStr">
        <is>
          <t>E27</t>
        </is>
      </c>
      <c r="C441" t="n">
        <v>27</v>
      </c>
      <c r="D441" t="n">
        <v>5</v>
      </c>
      <c r="E441" t="inlineStr">
        <is>
          <t>Input</t>
        </is>
      </c>
      <c r="F441" t="n">
        <v/>
      </c>
      <c r="G441" t="n">
        <v>2000</v>
      </c>
      <c r="H441" t="inlineStr"/>
      <c r="I441" t="inlineStr">
        <is>
          <t>"$"#,##0.00_);[Red]\("$"#,##0.00\)</t>
        </is>
      </c>
      <c r="J441" t="b">
        <v>0</v>
      </c>
      <c r="K441" t="b">
        <v>0</v>
      </c>
      <c r="L441" t="n">
        <v>10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inlineStr">
        <is>
          <t>center</t>
        </is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PLANNED EXPENSES</t>
        </is>
      </c>
      <c r="B442" t="inlineStr">
        <is>
          <t>F27</t>
        </is>
      </c>
      <c r="C442" t="n">
        <v>27</v>
      </c>
      <c r="D442" t="n">
        <v>6</v>
      </c>
      <c r="E442" t="inlineStr">
        <is>
          <t>Input</t>
        </is>
      </c>
      <c r="F442" t="n">
        <v/>
      </c>
      <c r="G442" t="n">
        <v>5000</v>
      </c>
      <c r="H442" t="inlineStr"/>
      <c r="I442" t="inlineStr">
        <is>
          <t>"$"#,##0.00_);[Red]\("$"#,##0.00\)</t>
        </is>
      </c>
      <c r="J442" t="b">
        <v>0</v>
      </c>
      <c r="K442" t="b">
        <v>0</v>
      </c>
      <c r="L442" t="n">
        <v>10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inlineStr">
        <is>
          <t>center</t>
        </is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PLANNED EXPENSES</t>
        </is>
      </c>
      <c r="B443" t="inlineStr">
        <is>
          <t>G27</t>
        </is>
      </c>
      <c r="C443" t="n">
        <v>27</v>
      </c>
      <c r="D443" t="n">
        <v>7</v>
      </c>
      <c r="E443" t="inlineStr">
        <is>
          <t>Input</t>
        </is>
      </c>
      <c r="F443" t="n">
        <v/>
      </c>
      <c r="G443" t="n">
        <v>2000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PLANNED EXPENSES</t>
        </is>
      </c>
      <c r="B444" t="inlineStr">
        <is>
          <t>H27</t>
        </is>
      </c>
      <c r="C444" t="n">
        <v>27</v>
      </c>
      <c r="D444" t="n">
        <v>8</v>
      </c>
      <c r="E444" t="inlineStr">
        <is>
          <t>Input</t>
        </is>
      </c>
      <c r="F444" t="n">
        <v/>
      </c>
      <c r="G444" t="n">
        <v>2000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PLANNED EXPENSES</t>
        </is>
      </c>
      <c r="B445" t="inlineStr">
        <is>
          <t>I27</t>
        </is>
      </c>
      <c r="C445" t="n">
        <v>27</v>
      </c>
      <c r="D445" t="n">
        <v>9</v>
      </c>
      <c r="E445" t="inlineStr">
        <is>
          <t>Input</t>
        </is>
      </c>
      <c r="F445" t="n">
        <v/>
      </c>
      <c r="G445" t="n">
        <v>2000</v>
      </c>
      <c r="H445" t="inlineStr"/>
      <c r="I445" t="inlineStr">
        <is>
          <t>"$"#,##0.00_);[Red]\("$"#,##0.00\)</t>
        </is>
      </c>
      <c r="J445" t="b">
        <v>0</v>
      </c>
      <c r="K445" t="b">
        <v>0</v>
      </c>
      <c r="L445" t="n">
        <v>10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PLANNED EXPENSES</t>
        </is>
      </c>
      <c r="B446" t="inlineStr">
        <is>
          <t>J27</t>
        </is>
      </c>
      <c r="C446" t="n">
        <v>27</v>
      </c>
      <c r="D446" t="n">
        <v>10</v>
      </c>
      <c r="E446" t="inlineStr">
        <is>
          <t>Input</t>
        </is>
      </c>
      <c r="F446" t="n">
        <v/>
      </c>
      <c r="G446" t="n">
        <v>5000</v>
      </c>
      <c r="H446" t="inlineStr"/>
      <c r="I446" t="inlineStr">
        <is>
          <t>"$"#,##0.00_);[Red]\("$"#,##0.00\)</t>
        </is>
      </c>
      <c r="J446" t="b">
        <v>0</v>
      </c>
      <c r="K446" t="b">
        <v>0</v>
      </c>
      <c r="L446" t="n">
        <v>10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PLANNED EXPENSES</t>
        </is>
      </c>
      <c r="B447" t="inlineStr">
        <is>
          <t>K27</t>
        </is>
      </c>
      <c r="C447" t="n">
        <v>27</v>
      </c>
      <c r="D447" t="n">
        <v>11</v>
      </c>
      <c r="E447" t="inlineStr">
        <is>
          <t>Input</t>
        </is>
      </c>
      <c r="F447" t="n">
        <v/>
      </c>
      <c r="G447" t="n">
        <v>2000</v>
      </c>
      <c r="H447" t="inlineStr"/>
      <c r="I447" t="inlineStr">
        <is>
          <t>"$"#,##0.00_);[Red]\("$"#,##0.00\)</t>
        </is>
      </c>
      <c r="J447" t="b">
        <v>0</v>
      </c>
      <c r="K447" t="b">
        <v>0</v>
      </c>
      <c r="L447" t="n">
        <v>10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PLANNED EXPENSES</t>
        </is>
      </c>
      <c r="B448" t="inlineStr">
        <is>
          <t>L27</t>
        </is>
      </c>
      <c r="C448" t="n">
        <v>27</v>
      </c>
      <c r="D448" t="n">
        <v>12</v>
      </c>
      <c r="E448" t="inlineStr">
        <is>
          <t>Input</t>
        </is>
      </c>
      <c r="F448" t="n">
        <v/>
      </c>
      <c r="G448" t="n">
        <v>2000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PLANNED EXPENSES</t>
        </is>
      </c>
      <c r="B449" t="inlineStr">
        <is>
          <t>M27</t>
        </is>
      </c>
      <c r="C449" t="n">
        <v>27</v>
      </c>
      <c r="D449" t="n">
        <v>13</v>
      </c>
      <c r="E449" t="inlineStr">
        <is>
          <t>Input</t>
        </is>
      </c>
      <c r="F449" t="n">
        <v/>
      </c>
      <c r="G449" t="n">
        <v>2000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10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PLANNED EXPENSES</t>
        </is>
      </c>
      <c r="B450" t="inlineStr">
        <is>
          <t>N27</t>
        </is>
      </c>
      <c r="C450" t="n">
        <v>27</v>
      </c>
      <c r="D450" t="n">
        <v>14</v>
      </c>
      <c r="E450" t="inlineStr">
        <is>
          <t>Input</t>
        </is>
      </c>
      <c r="F450" t="n">
        <v/>
      </c>
      <c r="G450" t="n">
        <v>5000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10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PLANNED EXPENSES</t>
        </is>
      </c>
      <c r="B451" t="inlineStr">
        <is>
          <t>O27</t>
        </is>
      </c>
      <c r="C451" t="n">
        <v>27</v>
      </c>
      <c r="D451" t="n">
        <v>15</v>
      </c>
      <c r="E451" t="inlineStr">
        <is>
          <t>Output</t>
        </is>
      </c>
      <c r="F451" t="inlineStr">
        <is>
          <t>'=SUM(C27:N27)</t>
        </is>
      </c>
      <c r="G451" t="n">
        <v>33000</v>
      </c>
      <c r="H451" t="inlineStr"/>
      <c r="I451" t="inlineStr">
        <is>
          <t>"$"#,##0.00_);[Red]\("$"#,##0.00\)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inlineStr">
        <is>
          <t>G000003</t>
        </is>
      </c>
      <c r="T451" t="inlineStr">
        <is>
          <t>Vertical</t>
        </is>
      </c>
      <c r="U451" t="n">
        <v>6</v>
      </c>
      <c r="V451" t="b">
        <v>1</v>
      </c>
      <c r="W451" t="inlineStr">
        <is>
          <t>PLANNED EXPENSES!O23:O28</t>
        </is>
      </c>
      <c r="X451">
        <f>SUM(R[0]C[-12]:R[0]C[-1])</f>
        <v/>
      </c>
    </row>
    <row r="452">
      <c r="A452" t="inlineStr">
        <is>
          <t>PLANNED EXPENSES</t>
        </is>
      </c>
      <c r="B452" t="inlineStr">
        <is>
          <t>P27</t>
        </is>
      </c>
      <c r="C452" t="n">
        <v>27</v>
      </c>
      <c r="D452" t="n">
        <v>16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n">
        <v/>
      </c>
      <c r="P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PLANNED EXPENSES</t>
        </is>
      </c>
      <c r="B453" t="inlineStr">
        <is>
          <t>A28</t>
        </is>
      </c>
      <c r="C453" t="n">
        <v>28</v>
      </c>
      <c r="D453" t="n">
        <v>1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n">
        <v/>
      </c>
      <c r="P453" t="n">
        <v/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PLANNED EXPENSES</t>
        </is>
      </c>
      <c r="B454" t="inlineStr">
        <is>
          <t>B28</t>
        </is>
      </c>
      <c r="C454" t="n">
        <v>28</v>
      </c>
      <c r="D454" t="n">
        <v>2</v>
      </c>
      <c r="E454" t="inlineStr">
        <is>
          <t>Input</t>
        </is>
      </c>
      <c r="F454" t="n">
        <v/>
      </c>
      <c r="G454" t="inlineStr">
        <is>
          <t>Miscellaneous expenses</t>
        </is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12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left</t>
        </is>
      </c>
      <c r="P454" t="inlineStr">
        <is>
          <t>center</t>
        </is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PLANNED EXPENSES</t>
        </is>
      </c>
      <c r="B455" t="inlineStr">
        <is>
          <t>C28</t>
        </is>
      </c>
      <c r="C455" t="n">
        <v>28</v>
      </c>
      <c r="D455" t="n">
        <v>3</v>
      </c>
      <c r="E455" t="inlineStr">
        <is>
          <t>Input</t>
        </is>
      </c>
      <c r="F455" t="n">
        <v/>
      </c>
      <c r="G455" t="n">
        <v>200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PLANNED EXPENSES</t>
        </is>
      </c>
      <c r="B456" t="inlineStr">
        <is>
          <t>D28</t>
        </is>
      </c>
      <c r="C456" t="n">
        <v>28</v>
      </c>
      <c r="D456" t="n">
        <v>4</v>
      </c>
      <c r="E456" t="inlineStr">
        <is>
          <t>Input</t>
        </is>
      </c>
      <c r="F456" t="n">
        <v/>
      </c>
      <c r="G456" t="n">
        <v>200</v>
      </c>
      <c r="H456" t="inlineStr"/>
      <c r="I456" t="inlineStr">
        <is>
          <t>"$"#,##0.00_);[Red]\("$"#,##0.00\)</t>
        </is>
      </c>
      <c r="J456" t="b">
        <v>0</v>
      </c>
      <c r="K456" t="b">
        <v>0</v>
      </c>
      <c r="L456" t="n">
        <v>10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PLANNED EXPENSES</t>
        </is>
      </c>
      <c r="B457" t="inlineStr">
        <is>
          <t>E28</t>
        </is>
      </c>
      <c r="C457" t="n">
        <v>28</v>
      </c>
      <c r="D457" t="n">
        <v>5</v>
      </c>
      <c r="E457" t="inlineStr">
        <is>
          <t>Input</t>
        </is>
      </c>
      <c r="F457" t="n">
        <v/>
      </c>
      <c r="G457" t="n">
        <v>200</v>
      </c>
      <c r="H457" t="inlineStr"/>
      <c r="I457" t="inlineStr">
        <is>
          <t>"$"#,##0.00_);[Red]\("$"#,##0.00\)</t>
        </is>
      </c>
      <c r="J457" t="b">
        <v>0</v>
      </c>
      <c r="K457" t="b">
        <v>0</v>
      </c>
      <c r="L457" t="n">
        <v>10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PLANNED EXPENSES</t>
        </is>
      </c>
      <c r="B458" t="inlineStr">
        <is>
          <t>F28</t>
        </is>
      </c>
      <c r="C458" t="n">
        <v>28</v>
      </c>
      <c r="D458" t="n">
        <v>6</v>
      </c>
      <c r="E458" t="inlineStr">
        <is>
          <t>Input</t>
        </is>
      </c>
      <c r="F458" t="n">
        <v/>
      </c>
      <c r="G458" t="n">
        <v>200</v>
      </c>
      <c r="H458" t="inlineStr"/>
      <c r="I458" t="inlineStr">
        <is>
          <t>"$"#,##0.00_);[Red]\("$"#,##0.00\)</t>
        </is>
      </c>
      <c r="J458" t="b">
        <v>0</v>
      </c>
      <c r="K458" t="b">
        <v>0</v>
      </c>
      <c r="L458" t="n">
        <v>10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PLANNED EXPENSES</t>
        </is>
      </c>
      <c r="B459" t="inlineStr">
        <is>
          <t>G28</t>
        </is>
      </c>
      <c r="C459" t="n">
        <v>28</v>
      </c>
      <c r="D459" t="n">
        <v>7</v>
      </c>
      <c r="E459" t="inlineStr">
        <is>
          <t>Input</t>
        </is>
      </c>
      <c r="F459" t="n">
        <v/>
      </c>
      <c r="G459" t="n">
        <v>200</v>
      </c>
      <c r="H459" t="inlineStr"/>
      <c r="I459" t="inlineStr">
        <is>
          <t>"$"#,##0.00_);[Red]\("$"#,##0.00\)</t>
        </is>
      </c>
      <c r="J459" t="b">
        <v>0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inlineStr">
        <is>
          <t>center</t>
        </is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PLANNED EXPENSES</t>
        </is>
      </c>
      <c r="B460" t="inlineStr">
        <is>
          <t>H28</t>
        </is>
      </c>
      <c r="C460" t="n">
        <v>28</v>
      </c>
      <c r="D460" t="n">
        <v>8</v>
      </c>
      <c r="E460" t="inlineStr">
        <is>
          <t>Input</t>
        </is>
      </c>
      <c r="F460" t="n">
        <v/>
      </c>
      <c r="G460" t="n">
        <v>200</v>
      </c>
      <c r="H460" t="inlineStr"/>
      <c r="I460" t="inlineStr">
        <is>
          <t>"$"#,##0.00_);[Red]\("$"#,##0.00\)</t>
        </is>
      </c>
      <c r="J460" t="b">
        <v>0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inlineStr">
        <is>
          <t>center</t>
        </is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PLANNED EXPENSES</t>
        </is>
      </c>
      <c r="B461" t="inlineStr">
        <is>
          <t>I28</t>
        </is>
      </c>
      <c r="C461" t="n">
        <v>28</v>
      </c>
      <c r="D461" t="n">
        <v>9</v>
      </c>
      <c r="E461" t="inlineStr">
        <is>
          <t>Input</t>
        </is>
      </c>
      <c r="F461" t="n">
        <v/>
      </c>
      <c r="G461" t="n">
        <v>200</v>
      </c>
      <c r="H461" t="inlineStr"/>
      <c r="I461" t="inlineStr">
        <is>
          <t>"$"#,##0.00_);[Red]\("$"#,##0.00\)</t>
        </is>
      </c>
      <c r="J461" t="b">
        <v>0</v>
      </c>
      <c r="K461" t="b">
        <v>0</v>
      </c>
      <c r="L461" t="n">
        <v>10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inlineStr">
        <is>
          <t>center</t>
        </is>
      </c>
      <c r="P461" t="inlineStr">
        <is>
          <t>center</t>
        </is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PLANNED EXPENSES</t>
        </is>
      </c>
      <c r="B462" t="inlineStr">
        <is>
          <t>J28</t>
        </is>
      </c>
      <c r="C462" t="n">
        <v>28</v>
      </c>
      <c r="D462" t="n">
        <v>10</v>
      </c>
      <c r="E462" t="inlineStr">
        <is>
          <t>Input</t>
        </is>
      </c>
      <c r="F462" t="n">
        <v/>
      </c>
      <c r="G462" t="n">
        <v>200</v>
      </c>
      <c r="H462" t="inlineStr"/>
      <c r="I462" t="inlineStr">
        <is>
          <t>"$"#,##0.00_);[Red]\("$"#,##0.00\)</t>
        </is>
      </c>
      <c r="J462" t="b">
        <v>0</v>
      </c>
      <c r="K462" t="b">
        <v>0</v>
      </c>
      <c r="L462" t="n">
        <v>10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inlineStr">
        <is>
          <t>center</t>
        </is>
      </c>
      <c r="P462" t="inlineStr">
        <is>
          <t>center</t>
        </is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PLANNED EXPENSES</t>
        </is>
      </c>
      <c r="B463" t="inlineStr">
        <is>
          <t>K28</t>
        </is>
      </c>
      <c r="C463" t="n">
        <v>28</v>
      </c>
      <c r="D463" t="n">
        <v>11</v>
      </c>
      <c r="E463" t="inlineStr">
        <is>
          <t>Input</t>
        </is>
      </c>
      <c r="F463" t="n">
        <v/>
      </c>
      <c r="G463" t="n">
        <v>200</v>
      </c>
      <c r="H463" t="inlineStr"/>
      <c r="I463" t="inlineStr">
        <is>
          <t>"$"#,##0.00_);[Red]\("$"#,##0.00\)</t>
        </is>
      </c>
      <c r="J463" t="b">
        <v>0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center</t>
        </is>
      </c>
      <c r="P463" t="inlineStr">
        <is>
          <t>center</t>
        </is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PLANNED EXPENSES</t>
        </is>
      </c>
      <c r="B464" t="inlineStr">
        <is>
          <t>L28</t>
        </is>
      </c>
      <c r="C464" t="n">
        <v>28</v>
      </c>
      <c r="D464" t="n">
        <v>12</v>
      </c>
      <c r="E464" t="inlineStr">
        <is>
          <t>Input</t>
        </is>
      </c>
      <c r="F464" t="n">
        <v/>
      </c>
      <c r="G464" t="n">
        <v>200</v>
      </c>
      <c r="H464" t="inlineStr"/>
      <c r="I464" t="inlineStr">
        <is>
          <t>"$"#,##0.00_);[Red]\("$"#,##0.00\)</t>
        </is>
      </c>
      <c r="J464" t="b">
        <v>0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inlineStr">
        <is>
          <t>center</t>
        </is>
      </c>
      <c r="P464" t="inlineStr">
        <is>
          <t>center</t>
        </is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PLANNED EXPENSES</t>
        </is>
      </c>
      <c r="B465" t="inlineStr">
        <is>
          <t>M28</t>
        </is>
      </c>
      <c r="C465" t="n">
        <v>28</v>
      </c>
      <c r="D465" t="n">
        <v>13</v>
      </c>
      <c r="E465" t="inlineStr">
        <is>
          <t>Input</t>
        </is>
      </c>
      <c r="F465" t="n">
        <v/>
      </c>
      <c r="G465" t="n">
        <v>200</v>
      </c>
      <c r="H465" t="inlineStr"/>
      <c r="I465" t="inlineStr">
        <is>
          <t>"$"#,##0.00_);[Red]\("$"#,##0.00\)</t>
        </is>
      </c>
      <c r="J465" t="b">
        <v>0</v>
      </c>
      <c r="K465" t="b">
        <v>0</v>
      </c>
      <c r="L465" t="n">
        <v>10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inlineStr">
        <is>
          <t>center</t>
        </is>
      </c>
      <c r="P465" t="inlineStr">
        <is>
          <t>center</t>
        </is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PLANNED EXPENSES</t>
        </is>
      </c>
      <c r="B466" t="inlineStr">
        <is>
          <t>N28</t>
        </is>
      </c>
      <c r="C466" t="n">
        <v>28</v>
      </c>
      <c r="D466" t="n">
        <v>14</v>
      </c>
      <c r="E466" t="inlineStr">
        <is>
          <t>Input</t>
        </is>
      </c>
      <c r="F466" t="n">
        <v/>
      </c>
      <c r="G466" t="n">
        <v>200</v>
      </c>
      <c r="H466" t="inlineStr"/>
      <c r="I466" t="inlineStr">
        <is>
          <t>"$"#,##0.00_);[Red]\("$"#,##0.00\)</t>
        </is>
      </c>
      <c r="J466" t="b">
        <v>0</v>
      </c>
      <c r="K466" t="b">
        <v>0</v>
      </c>
      <c r="L466" t="n">
        <v>10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inlineStr">
        <is>
          <t>center</t>
        </is>
      </c>
      <c r="P466" t="inlineStr">
        <is>
          <t>center</t>
        </is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PLANNED EXPENSES</t>
        </is>
      </c>
      <c r="B467" t="inlineStr">
        <is>
          <t>O28</t>
        </is>
      </c>
      <c r="C467" t="n">
        <v>28</v>
      </c>
      <c r="D467" t="n">
        <v>15</v>
      </c>
      <c r="E467" t="inlineStr">
        <is>
          <t>Output</t>
        </is>
      </c>
      <c r="F467" t="inlineStr">
        <is>
          <t>'=SUM(C28:N28)</t>
        </is>
      </c>
      <c r="G467" t="n">
        <v>2400</v>
      </c>
      <c r="H467" t="inlineStr"/>
      <c r="I467" t="inlineStr">
        <is>
          <t>"$"#,##0.00_);[Red]\("$"#,##0.00\)</t>
        </is>
      </c>
      <c r="J467" t="b">
        <v>0</v>
      </c>
      <c r="K467" t="b">
        <v>0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inlineStr">
        <is>
          <t>center</t>
        </is>
      </c>
      <c r="P467" t="inlineStr">
        <is>
          <t>center</t>
        </is>
      </c>
      <c r="R467" t="b">
        <v>1</v>
      </c>
      <c r="S467" t="inlineStr">
        <is>
          <t>G000003</t>
        </is>
      </c>
      <c r="T467" t="inlineStr">
        <is>
          <t>Vertical</t>
        </is>
      </c>
      <c r="U467" t="n">
        <v>6</v>
      </c>
      <c r="V467" t="b">
        <v>1</v>
      </c>
      <c r="W467" t="inlineStr">
        <is>
          <t>PLANNED EXPENSES!O23:O28</t>
        </is>
      </c>
      <c r="X467">
        <f>SUM(R[0]C[-12]:R[0]C[-1])</f>
        <v/>
      </c>
    </row>
    <row r="468">
      <c r="A468" t="inlineStr">
        <is>
          <t>PLANNED EXPENSES</t>
        </is>
      </c>
      <c r="B468" t="inlineStr">
        <is>
          <t>P28</t>
        </is>
      </c>
      <c r="C468" t="n">
        <v>28</v>
      </c>
      <c r="D468" t="n">
        <v>16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PLANNED EXPENSES</t>
        </is>
      </c>
      <c r="B469" t="inlineStr">
        <is>
          <t>A29</t>
        </is>
      </c>
      <c r="C469" t="n">
        <v>29</v>
      </c>
      <c r="D469" t="n">
        <v>1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14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PLANNED EXPENSES</t>
        </is>
      </c>
      <c r="B470" t="inlineStr">
        <is>
          <t>B29</t>
        </is>
      </c>
      <c r="C470" t="n">
        <v>29</v>
      </c>
      <c r="D470" t="n">
        <v>2</v>
      </c>
      <c r="E470" t="inlineStr">
        <is>
          <t>Input</t>
        </is>
      </c>
      <c r="F470" t="n">
        <v/>
      </c>
      <c r="G470" t="inlineStr">
        <is>
          <t>Subtotal</t>
        </is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12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inlineStr">
        <is>
          <t>left</t>
        </is>
      </c>
      <c r="P470" t="inlineStr">
        <is>
          <t>center</t>
        </is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PLANNED EXPENSES</t>
        </is>
      </c>
      <c r="B471" t="inlineStr">
        <is>
          <t>C29</t>
        </is>
      </c>
      <c r="C471" t="n">
        <v>29</v>
      </c>
      <c r="D471" t="n">
        <v>3</v>
      </c>
      <c r="E471" t="inlineStr">
        <is>
          <t>Output</t>
        </is>
      </c>
      <c r="F471" t="inlineStr">
        <is>
          <t>'=SUBTOTAL(109,MarketingPlan[Jan])</t>
        </is>
      </c>
      <c r="G471" t="n">
        <v>8100</v>
      </c>
      <c r="H471" t="inlineStr"/>
      <c r="I471" t="inlineStr">
        <is>
          <t>"$"#,##0.00_);[Red]\("$"#,##0.00\)</t>
        </is>
      </c>
      <c r="J471" t="b">
        <v>0</v>
      </c>
      <c r="K471" t="b">
        <v>0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inlineStr">
        <is>
          <t>center</t>
        </is>
      </c>
      <c r="P471" t="inlineStr">
        <is>
          <t>center</t>
        </is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>
        <f>SUBTOTAL(109,MarketingPlan[Jan])</f>
        <v/>
      </c>
    </row>
    <row r="472">
      <c r="A472" t="inlineStr">
        <is>
          <t>PLANNED EXPENSES</t>
        </is>
      </c>
      <c r="B472" t="inlineStr">
        <is>
          <t>D29</t>
        </is>
      </c>
      <c r="C472" t="n">
        <v>29</v>
      </c>
      <c r="D472" t="n">
        <v>4</v>
      </c>
      <c r="E472" t="inlineStr">
        <is>
          <t>Output</t>
        </is>
      </c>
      <c r="F472" t="inlineStr">
        <is>
          <t>'=SUBTOTAL(109,MarketingPlan[Feb])</t>
        </is>
      </c>
      <c r="G472" t="n">
        <v>3100</v>
      </c>
      <c r="H472" t="inlineStr"/>
      <c r="I472" t="inlineStr">
        <is>
          <t>"$"#,##0.00_);[Red]\("$"#,##0.00\)</t>
        </is>
      </c>
      <c r="J472" t="b">
        <v>0</v>
      </c>
      <c r="K472" t="b">
        <v>0</v>
      </c>
      <c r="L472" t="n">
        <v>10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inlineStr">
        <is>
          <t>center</t>
        </is>
      </c>
      <c r="P472" t="inlineStr">
        <is>
          <t>center</t>
        </is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>
        <f>SUBTOTAL(109,MarketingPlan[Feb])</f>
        <v/>
      </c>
    </row>
    <row r="473">
      <c r="A473" t="inlineStr">
        <is>
          <t>PLANNED EXPENSES</t>
        </is>
      </c>
      <c r="B473" t="inlineStr">
        <is>
          <t>E29</t>
        </is>
      </c>
      <c r="C473" t="n">
        <v>29</v>
      </c>
      <c r="D473" t="n">
        <v>5</v>
      </c>
      <c r="E473" t="inlineStr">
        <is>
          <t>Output</t>
        </is>
      </c>
      <c r="F473" t="inlineStr">
        <is>
          <t>'=SUBTOTAL(109,MarketingPlan[Mar])</t>
        </is>
      </c>
      <c r="G473" t="n">
        <v>3100</v>
      </c>
      <c r="H473" t="inlineStr"/>
      <c r="I473" t="inlineStr">
        <is>
          <t>"$"#,##0.00_);[Red]\("$"#,##0.00\)</t>
        </is>
      </c>
      <c r="J473" t="b">
        <v>0</v>
      </c>
      <c r="K473" t="b">
        <v>0</v>
      </c>
      <c r="L473" t="n">
        <v>10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inlineStr">
        <is>
          <t>center</t>
        </is>
      </c>
      <c r="P473" t="inlineStr">
        <is>
          <t>center</t>
        </is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>
        <f>SUBTOTAL(109,MarketingPlan[Mar])</f>
        <v/>
      </c>
    </row>
    <row r="474">
      <c r="A474" t="inlineStr">
        <is>
          <t>PLANNED EXPENSES</t>
        </is>
      </c>
      <c r="B474" t="inlineStr">
        <is>
          <t>F29</t>
        </is>
      </c>
      <c r="C474" t="n">
        <v>29</v>
      </c>
      <c r="D474" t="n">
        <v>6</v>
      </c>
      <c r="E474" t="inlineStr">
        <is>
          <t>Output</t>
        </is>
      </c>
      <c r="F474" t="inlineStr">
        <is>
          <t>'=SUBTOTAL(109,MarketingPlan[Apr])</t>
        </is>
      </c>
      <c r="G474" t="n">
        <v>11100</v>
      </c>
      <c r="H474" t="inlineStr"/>
      <c r="I474" t="inlineStr">
        <is>
          <t>"$"#,##0.00_);[Red]\("$"#,##0.00\)</t>
        </is>
      </c>
      <c r="J474" t="b">
        <v>0</v>
      </c>
      <c r="K474" t="b">
        <v>0</v>
      </c>
      <c r="L474" t="n">
        <v>10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center</t>
        </is>
      </c>
      <c r="P474" t="inlineStr">
        <is>
          <t>center</t>
        </is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>
        <f>SUBTOTAL(109,MarketingPlan[Apr])</f>
        <v/>
      </c>
    </row>
    <row r="475">
      <c r="A475" t="inlineStr">
        <is>
          <t>PLANNED EXPENSES</t>
        </is>
      </c>
      <c r="B475" t="inlineStr">
        <is>
          <t>G29</t>
        </is>
      </c>
      <c r="C475" t="n">
        <v>29</v>
      </c>
      <c r="D475" t="n">
        <v>7</v>
      </c>
      <c r="E475" t="inlineStr">
        <is>
          <t>Output</t>
        </is>
      </c>
      <c r="F475" t="inlineStr">
        <is>
          <t>'=SUBTOTAL(109,MarketingPlan[May])</t>
        </is>
      </c>
      <c r="G475" t="n">
        <v>3100</v>
      </c>
      <c r="H475" t="inlineStr"/>
      <c r="I475" t="inlineStr">
        <is>
          <t>"$"#,##0.00_);[Red]\("$"#,##0.00\)</t>
        </is>
      </c>
      <c r="J475" t="b">
        <v>0</v>
      </c>
      <c r="K475" t="b">
        <v>0</v>
      </c>
      <c r="L475" t="n">
        <v>10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>
        <f>SUBTOTAL(109,MarketingPlan[May])</f>
        <v/>
      </c>
    </row>
    <row r="476">
      <c r="A476" t="inlineStr">
        <is>
          <t>PLANNED EXPENSES</t>
        </is>
      </c>
      <c r="B476" t="inlineStr">
        <is>
          <t>H29</t>
        </is>
      </c>
      <c r="C476" t="n">
        <v>29</v>
      </c>
      <c r="D476" t="n">
        <v>8</v>
      </c>
      <c r="E476" t="inlineStr">
        <is>
          <t>Output</t>
        </is>
      </c>
      <c r="F476" t="inlineStr">
        <is>
          <t>'=SUBTOTAL(109,MarketingPlan[Jun])</t>
        </is>
      </c>
      <c r="G476" t="n">
        <v>3900</v>
      </c>
      <c r="H476" t="inlineStr"/>
      <c r="I476" t="inlineStr">
        <is>
          <t>"$"#,##0.00_);[Red]\("$"#,##0.00\)</t>
        </is>
      </c>
      <c r="J476" t="b">
        <v>0</v>
      </c>
      <c r="K476" t="b">
        <v>0</v>
      </c>
      <c r="L476" t="n">
        <v>10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>
        <f>SUBTOTAL(109,MarketingPlan[Jun])</f>
        <v/>
      </c>
    </row>
    <row r="477">
      <c r="A477" t="inlineStr">
        <is>
          <t>PLANNED EXPENSES</t>
        </is>
      </c>
      <c r="B477" t="inlineStr">
        <is>
          <t>I29</t>
        </is>
      </c>
      <c r="C477" t="n">
        <v>29</v>
      </c>
      <c r="D477" t="n">
        <v>9</v>
      </c>
      <c r="E477" t="inlineStr">
        <is>
          <t>Output</t>
        </is>
      </c>
      <c r="F477" t="inlineStr">
        <is>
          <t>'=SUBTOTAL(109,MarketingPlan[Jul])</t>
        </is>
      </c>
      <c r="G477" t="n">
        <v>8100</v>
      </c>
      <c r="H477" t="inlineStr"/>
      <c r="I477" t="inlineStr">
        <is>
          <t>"$"#,##0.00_);[Red]\("$"#,##0.00\)</t>
        </is>
      </c>
      <c r="J477" t="b">
        <v>0</v>
      </c>
      <c r="K477" t="b">
        <v>0</v>
      </c>
      <c r="L477" t="n">
        <v>10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inlineStr">
        <is>
          <t>center</t>
        </is>
      </c>
      <c r="P477" t="inlineStr">
        <is>
          <t>center</t>
        </is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>
        <f>SUBTOTAL(109,MarketingPlan[Jul])</f>
        <v/>
      </c>
    </row>
    <row r="478">
      <c r="A478" t="inlineStr">
        <is>
          <t>PLANNED EXPENSES</t>
        </is>
      </c>
      <c r="B478" t="inlineStr">
        <is>
          <t>J29</t>
        </is>
      </c>
      <c r="C478" t="n">
        <v>29</v>
      </c>
      <c r="D478" t="n">
        <v>10</v>
      </c>
      <c r="E478" t="inlineStr">
        <is>
          <t>Output</t>
        </is>
      </c>
      <c r="F478" t="inlineStr">
        <is>
          <t>'=SUBTOTAL(109,MarketingPlan[Aug])</t>
        </is>
      </c>
      <c r="G478" t="n">
        <v>6100</v>
      </c>
      <c r="H478" t="inlineStr"/>
      <c r="I478" t="inlineStr">
        <is>
          <t>"$"#,##0.00_);[Red]\("$"#,##0.00\)</t>
        </is>
      </c>
      <c r="J478" t="b">
        <v>0</v>
      </c>
      <c r="K478" t="b">
        <v>0</v>
      </c>
      <c r="L478" t="n">
        <v>10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inlineStr">
        <is>
          <t>center</t>
        </is>
      </c>
      <c r="P478" t="inlineStr">
        <is>
          <t>center</t>
        </is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>
        <f>SUBTOTAL(109,MarketingPlan[Aug])</f>
        <v/>
      </c>
    </row>
    <row r="479">
      <c r="A479" t="inlineStr">
        <is>
          <t>PLANNED EXPENSES</t>
        </is>
      </c>
      <c r="B479" t="inlineStr">
        <is>
          <t>K29</t>
        </is>
      </c>
      <c r="C479" t="n">
        <v>29</v>
      </c>
      <c r="D479" t="n">
        <v>11</v>
      </c>
      <c r="E479" t="inlineStr">
        <is>
          <t>Output</t>
        </is>
      </c>
      <c r="F479" t="inlineStr">
        <is>
          <t>'=SUBTOTAL(109,MarketingPlan[Sep])</t>
        </is>
      </c>
      <c r="G479" t="n">
        <v>3100</v>
      </c>
      <c r="H479" t="inlineStr"/>
      <c r="I479" t="inlineStr">
        <is>
          <t>"$"#,##0.00_);[Red]\("$"#,##0.00\)</t>
        </is>
      </c>
      <c r="J479" t="b">
        <v>0</v>
      </c>
      <c r="K479" t="b">
        <v>0</v>
      </c>
      <c r="L479" t="n">
        <v>10</v>
      </c>
      <c r="M479" t="inlineStr">
        <is>
          <t>Values must be of type &lt;class 'str'&gt;</t>
        </is>
      </c>
      <c r="N479" t="inlineStr">
        <is>
          <t>Values must be of type &lt;class 'str'&gt;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>
        <f>SUBTOTAL(109,MarketingPlan[Sep])</f>
        <v/>
      </c>
    </row>
    <row r="480">
      <c r="A480" t="inlineStr">
        <is>
          <t>PLANNED EXPENSES</t>
        </is>
      </c>
      <c r="B480" t="inlineStr">
        <is>
          <t>L29</t>
        </is>
      </c>
      <c r="C480" t="n">
        <v>29</v>
      </c>
      <c r="D480" t="n">
        <v>12</v>
      </c>
      <c r="E480" t="inlineStr">
        <is>
          <t>Output</t>
        </is>
      </c>
      <c r="F480" t="inlineStr">
        <is>
          <t>'=SUBTOTAL(109,MarketingPlan[Oct])</t>
        </is>
      </c>
      <c r="G480" t="n">
        <v>8100</v>
      </c>
      <c r="H480" t="inlineStr"/>
      <c r="I480" t="inlineStr">
        <is>
          <t>"$"#,##0.00_);[Red]\("$"#,##0.00\)</t>
        </is>
      </c>
      <c r="J480" t="b">
        <v>0</v>
      </c>
      <c r="K480" t="b">
        <v>0</v>
      </c>
      <c r="L480" t="n">
        <v>10</v>
      </c>
      <c r="M480" t="inlineStr">
        <is>
          <t>Values must be of type &lt;class 'str'&gt;</t>
        </is>
      </c>
      <c r="N480" t="inlineStr">
        <is>
          <t>Values must be of type &lt;class 'str'&gt;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>
        <f>SUBTOTAL(109,MarketingPlan[Oct])</f>
        <v/>
      </c>
    </row>
    <row r="481">
      <c r="A481" t="inlineStr">
        <is>
          <t>PLANNED EXPENSES</t>
        </is>
      </c>
      <c r="B481" t="inlineStr">
        <is>
          <t>M29</t>
        </is>
      </c>
      <c r="C481" t="n">
        <v>29</v>
      </c>
      <c r="D481" t="n">
        <v>13</v>
      </c>
      <c r="E481" t="inlineStr">
        <is>
          <t>Output</t>
        </is>
      </c>
      <c r="F481" t="inlineStr">
        <is>
          <t>'=SUBTOTAL(109,MarketingPlan[Nov])</t>
        </is>
      </c>
      <c r="G481" t="n">
        <v>3100</v>
      </c>
      <c r="H481" t="inlineStr"/>
      <c r="I481" t="inlineStr">
        <is>
          <t>"$"#,##0.00_);[Red]\("$"#,##0.00\)</t>
        </is>
      </c>
      <c r="J481" t="b">
        <v>0</v>
      </c>
      <c r="K481" t="b">
        <v>0</v>
      </c>
      <c r="L481" t="n">
        <v>10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>
        <f>SUBTOTAL(109,MarketingPlan[Nov])</f>
        <v/>
      </c>
    </row>
    <row r="482">
      <c r="A482" t="inlineStr">
        <is>
          <t>PLANNED EXPENSES</t>
        </is>
      </c>
      <c r="B482" t="inlineStr">
        <is>
          <t>N29</t>
        </is>
      </c>
      <c r="C482" t="n">
        <v>29</v>
      </c>
      <c r="D482" t="n">
        <v>14</v>
      </c>
      <c r="E482" t="inlineStr">
        <is>
          <t>Output</t>
        </is>
      </c>
      <c r="F482" t="inlineStr">
        <is>
          <t>'=SUBTOTAL(109,MarketingPlan[Dec])</t>
        </is>
      </c>
      <c r="G482" t="n">
        <v>6900</v>
      </c>
      <c r="H482" t="inlineStr"/>
      <c r="I482" t="inlineStr">
        <is>
          <t>"$"#,##0.00_);[Red]\("$"#,##0.00\)</t>
        </is>
      </c>
      <c r="J482" t="b">
        <v>0</v>
      </c>
      <c r="K482" t="b">
        <v>0</v>
      </c>
      <c r="L482" t="n">
        <v>10</v>
      </c>
      <c r="M482" t="inlineStr">
        <is>
          <t>Values must be of type &lt;class 'str'&gt;</t>
        </is>
      </c>
      <c r="N482" t="inlineStr">
        <is>
          <t>Values must be of type &lt;class 'str'&gt;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>
        <f>SUBTOTAL(109,MarketingPlan[Dec])</f>
        <v/>
      </c>
    </row>
    <row r="483">
      <c r="A483" t="inlineStr">
        <is>
          <t>PLANNED EXPENSES</t>
        </is>
      </c>
      <c r="B483" t="inlineStr">
        <is>
          <t>O29</t>
        </is>
      </c>
      <c r="C483" t="n">
        <v>29</v>
      </c>
      <c r="D483" t="n">
        <v>15</v>
      </c>
      <c r="E483" t="inlineStr">
        <is>
          <t>Output</t>
        </is>
      </c>
      <c r="F483" t="inlineStr">
        <is>
          <t>'=SUBTOTAL(109,MarketingPlan[YEAR])</t>
        </is>
      </c>
      <c r="G483" t="n">
        <v>67800</v>
      </c>
      <c r="H483" t="inlineStr"/>
      <c r="I483" t="inlineStr">
        <is>
          <t>"$"#,##0.00_);[Red]\("$"#,##0.00\)</t>
        </is>
      </c>
      <c r="J483" t="b">
        <v>0</v>
      </c>
      <c r="K483" t="b">
        <v>0</v>
      </c>
      <c r="L483" t="n">
        <v>10</v>
      </c>
      <c r="M483" t="inlineStr">
        <is>
          <t>Values must be of type &lt;class 'str'&gt;</t>
        </is>
      </c>
      <c r="N483" t="inlineStr">
        <is>
          <t>Values must be of type &lt;class 'str'&gt;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>
        <f>SUBTOTAL(109,MarketingPlan[YEAR])</f>
        <v/>
      </c>
    </row>
    <row r="484">
      <c r="A484" t="inlineStr">
        <is>
          <t>PLANNED EXPENSES</t>
        </is>
      </c>
      <c r="B484" t="inlineStr">
        <is>
          <t>P29</t>
        </is>
      </c>
      <c r="C484" t="n">
        <v>29</v>
      </c>
      <c r="D484" t="n">
        <v>16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n">
        <v/>
      </c>
      <c r="P484" t="n">
        <v/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PLANNED EXPENSES</t>
        </is>
      </c>
      <c r="B485" t="inlineStr">
        <is>
          <t>A30</t>
        </is>
      </c>
      <c r="C485" t="n">
        <v>30</v>
      </c>
      <c r="D485" t="n">
        <v>1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n">
        <v/>
      </c>
      <c r="P485" t="n">
        <v/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PLANNED EXPENSES</t>
        </is>
      </c>
      <c r="B486" t="inlineStr">
        <is>
          <t>B30</t>
        </is>
      </c>
      <c r="C486" t="n">
        <v>30</v>
      </c>
      <c r="D486" t="n">
        <v>2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1</v>
      </c>
      <c r="K486" t="b">
        <v>0</v>
      </c>
      <c r="L486" t="n">
        <v>10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n">
        <v/>
      </c>
      <c r="P486" t="n">
        <v/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PLANNED EXPENSES</t>
        </is>
      </c>
      <c r="B487" t="inlineStr">
        <is>
          <t>C30</t>
        </is>
      </c>
      <c r="C487" t="n">
        <v>30</v>
      </c>
      <c r="D487" t="n">
        <v>3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1</v>
      </c>
      <c r="K487" t="b">
        <v>0</v>
      </c>
      <c r="L487" t="n">
        <v>10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n">
        <v/>
      </c>
      <c r="P487" t="n">
        <v/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PLANNED EXPENSES</t>
        </is>
      </c>
      <c r="B488" t="inlineStr">
        <is>
          <t>D30</t>
        </is>
      </c>
      <c r="C488" t="n">
        <v>30</v>
      </c>
      <c r="D488" t="n">
        <v>4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1</v>
      </c>
      <c r="K488" t="b">
        <v>0</v>
      </c>
      <c r="L488" t="n">
        <v>10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n">
        <v/>
      </c>
      <c r="P488" t="n">
        <v/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PLANNED EXPENSES</t>
        </is>
      </c>
      <c r="B489" t="inlineStr">
        <is>
          <t>E30</t>
        </is>
      </c>
      <c r="C489" t="n">
        <v>30</v>
      </c>
      <c r="D489" t="n">
        <v>5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10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n">
        <v/>
      </c>
      <c r="P489" t="n">
        <v/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PLANNED EXPENSES</t>
        </is>
      </c>
      <c r="B490" t="inlineStr">
        <is>
          <t>F30</t>
        </is>
      </c>
      <c r="C490" t="n">
        <v>30</v>
      </c>
      <c r="D490" t="n">
        <v>6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10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n">
        <v/>
      </c>
      <c r="P490" t="n">
        <v/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PLANNED EXPENSES</t>
        </is>
      </c>
      <c r="B491" t="inlineStr">
        <is>
          <t>G30</t>
        </is>
      </c>
      <c r="C491" t="n">
        <v>30</v>
      </c>
      <c r="D491" t="n">
        <v>7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10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n">
        <v/>
      </c>
      <c r="P491" t="n">
        <v/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PLANNED EXPENSES</t>
        </is>
      </c>
      <c r="B492" t="inlineStr">
        <is>
          <t>H30</t>
        </is>
      </c>
      <c r="C492" t="n">
        <v>30</v>
      </c>
      <c r="D492" t="n">
        <v>8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10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n">
        <v/>
      </c>
      <c r="P492" t="n">
        <v/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PLANNED EXPENSES</t>
        </is>
      </c>
      <c r="B493" t="inlineStr">
        <is>
          <t>I30</t>
        </is>
      </c>
      <c r="C493" t="n">
        <v>30</v>
      </c>
      <c r="D493" t="n">
        <v>9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10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n">
        <v/>
      </c>
      <c r="P493" t="n">
        <v/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PLANNED EXPENSES</t>
        </is>
      </c>
      <c r="B494" t="inlineStr">
        <is>
          <t>J30</t>
        </is>
      </c>
      <c r="C494" t="n">
        <v>30</v>
      </c>
      <c r="D494" t="n">
        <v>10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10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n">
        <v/>
      </c>
      <c r="P494" t="n">
        <v/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PLANNED EXPENSES</t>
        </is>
      </c>
      <c r="B495" t="inlineStr">
        <is>
          <t>K30</t>
        </is>
      </c>
      <c r="C495" t="n">
        <v>30</v>
      </c>
      <c r="D495" t="n">
        <v>11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10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n">
        <v/>
      </c>
      <c r="P495" t="n">
        <v/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PLANNED EXPENSES</t>
        </is>
      </c>
      <c r="B496" t="inlineStr">
        <is>
          <t>L30</t>
        </is>
      </c>
      <c r="C496" t="n">
        <v>30</v>
      </c>
      <c r="D496" t="n">
        <v>12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10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n">
        <v/>
      </c>
      <c r="P496" t="n">
        <v/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PLANNED EXPENSES</t>
        </is>
      </c>
      <c r="B497" t="inlineStr">
        <is>
          <t>M30</t>
        </is>
      </c>
      <c r="C497" t="n">
        <v>30</v>
      </c>
      <c r="D497" t="n">
        <v>13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10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n">
        <v/>
      </c>
      <c r="P497" t="n">
        <v/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PLANNED EXPENSES</t>
        </is>
      </c>
      <c r="B498" t="inlineStr">
        <is>
          <t>N30</t>
        </is>
      </c>
      <c r="C498" t="n">
        <v>30</v>
      </c>
      <c r="D498" t="n">
        <v>14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10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n">
        <v/>
      </c>
      <c r="P498" t="n">
        <v/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PLANNED EXPENSES</t>
        </is>
      </c>
      <c r="B499" t="inlineStr">
        <is>
          <t>O30</t>
        </is>
      </c>
      <c r="C499" t="n">
        <v>30</v>
      </c>
      <c r="D499" t="n">
        <v>15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1</v>
      </c>
      <c r="K499" t="b">
        <v>0</v>
      </c>
      <c r="L499" t="n">
        <v>10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n">
        <v/>
      </c>
      <c r="P499" t="n">
        <v/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PLANNED EXPENSES</t>
        </is>
      </c>
      <c r="B500" t="inlineStr">
        <is>
          <t>P30</t>
        </is>
      </c>
      <c r="C500" t="n">
        <v>30</v>
      </c>
      <c r="D500" t="n">
        <v>16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n">
        <v/>
      </c>
      <c r="P500" t="n">
        <v/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PLANNED EXPENSES</t>
        </is>
      </c>
      <c r="B501" t="inlineStr">
        <is>
          <t>A31</t>
        </is>
      </c>
      <c r="C501" t="n">
        <v>31</v>
      </c>
      <c r="D501" t="n">
        <v>1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16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n">
        <v/>
      </c>
      <c r="P501" t="n">
        <v/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PLANNED EXPENSES</t>
        </is>
      </c>
      <c r="B502" t="inlineStr">
        <is>
          <t>B31</t>
        </is>
      </c>
      <c r="C502" t="n">
        <v>31</v>
      </c>
      <c r="D502" t="n">
        <v>2</v>
      </c>
      <c r="E502" t="inlineStr">
        <is>
          <t>Input</t>
        </is>
      </c>
      <c r="F502" t="n">
        <v/>
      </c>
      <c r="G502" t="inlineStr">
        <is>
          <t>Training/travel</t>
        </is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16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left</t>
        </is>
      </c>
      <c r="P502" t="inlineStr">
        <is>
          <t>center</t>
        </is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PLANNED EXPENSES</t>
        </is>
      </c>
      <c r="B503" t="inlineStr">
        <is>
          <t>C31</t>
        </is>
      </c>
      <c r="C503" t="n">
        <v>31</v>
      </c>
      <c r="D503" t="n">
        <v>3</v>
      </c>
      <c r="E503" t="inlineStr">
        <is>
          <t>Input</t>
        </is>
      </c>
      <c r="F503" t="n">
        <v/>
      </c>
      <c r="G503" t="inlineStr">
        <is>
          <t>Jan</t>
        </is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16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</row>
    <row r="504">
      <c r="A504" t="inlineStr">
        <is>
          <t>PLANNED EXPENSES</t>
        </is>
      </c>
      <c r="B504" t="inlineStr">
        <is>
          <t>D31</t>
        </is>
      </c>
      <c r="C504" t="n">
        <v>31</v>
      </c>
      <c r="D504" t="n">
        <v>4</v>
      </c>
      <c r="E504" t="inlineStr">
        <is>
          <t>Input</t>
        </is>
      </c>
      <c r="F504" t="n">
        <v/>
      </c>
      <c r="G504" t="inlineStr">
        <is>
          <t>Feb</t>
        </is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16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inlineStr">
        <is>
          <t>center</t>
        </is>
      </c>
      <c r="P504" t="inlineStr">
        <is>
          <t>center</t>
        </is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PLANNED EXPENSES</t>
        </is>
      </c>
      <c r="B505" t="inlineStr">
        <is>
          <t>E31</t>
        </is>
      </c>
      <c r="C505" t="n">
        <v>31</v>
      </c>
      <c r="D505" t="n">
        <v>5</v>
      </c>
      <c r="E505" t="inlineStr">
        <is>
          <t>Input</t>
        </is>
      </c>
      <c r="F505" t="n">
        <v/>
      </c>
      <c r="G505" t="inlineStr">
        <is>
          <t>Mar</t>
        </is>
      </c>
      <c r="H505" t="inlineStr"/>
      <c r="I505" t="inlineStr">
        <is>
          <t>_("$"* #,##0_);_("$"* \(#,##0\);_("$"* "-"??_);_(@_)</t>
        </is>
      </c>
      <c r="J505" t="b">
        <v>0</v>
      </c>
      <c r="K505" t="b">
        <v>0</v>
      </c>
      <c r="L505" t="n">
        <v>16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inlineStr">
        <is>
          <t>center</t>
        </is>
      </c>
      <c r="P505" t="inlineStr">
        <is>
          <t>center</t>
        </is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PLANNED EXPENSES</t>
        </is>
      </c>
      <c r="B506" t="inlineStr">
        <is>
          <t>F31</t>
        </is>
      </c>
      <c r="C506" t="n">
        <v>31</v>
      </c>
      <c r="D506" t="n">
        <v>6</v>
      </c>
      <c r="E506" t="inlineStr">
        <is>
          <t>Input</t>
        </is>
      </c>
      <c r="F506" t="n">
        <v/>
      </c>
      <c r="G506" t="inlineStr">
        <is>
          <t>Apr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16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center</t>
        </is>
      </c>
      <c r="P506" t="inlineStr">
        <is>
          <t>center</t>
        </is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PLANNED EXPENSES</t>
        </is>
      </c>
      <c r="B507" t="inlineStr">
        <is>
          <t>G31</t>
        </is>
      </c>
      <c r="C507" t="n">
        <v>31</v>
      </c>
      <c r="D507" t="n">
        <v>7</v>
      </c>
      <c r="E507" t="inlineStr">
        <is>
          <t>Input</t>
        </is>
      </c>
      <c r="F507" t="n">
        <v/>
      </c>
      <c r="G507" t="inlineStr">
        <is>
          <t>May</t>
        </is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16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PLANNED EXPENSES</t>
        </is>
      </c>
      <c r="B508" t="inlineStr">
        <is>
          <t>H31</t>
        </is>
      </c>
      <c r="C508" t="n">
        <v>31</v>
      </c>
      <c r="D508" t="n">
        <v>8</v>
      </c>
      <c r="E508" t="inlineStr">
        <is>
          <t>Input</t>
        </is>
      </c>
      <c r="F508" t="n">
        <v/>
      </c>
      <c r="G508" t="inlineStr">
        <is>
          <t>Jun</t>
        </is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16</v>
      </c>
      <c r="M508" t="inlineStr">
        <is>
          <t>Values must be of type &lt;class 'str'&gt;</t>
        </is>
      </c>
      <c r="N508" t="inlineStr">
        <is>
          <t>Values must be of type &lt;class 'str'&gt;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PLANNED EXPENSES</t>
        </is>
      </c>
      <c r="B509" t="inlineStr">
        <is>
          <t>I31</t>
        </is>
      </c>
      <c r="C509" t="n">
        <v>31</v>
      </c>
      <c r="D509" t="n">
        <v>9</v>
      </c>
      <c r="E509" t="inlineStr">
        <is>
          <t>Input</t>
        </is>
      </c>
      <c r="F509" t="n">
        <v/>
      </c>
      <c r="G509" t="inlineStr">
        <is>
          <t>Jul</t>
        </is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16</v>
      </c>
      <c r="M509" t="inlineStr">
        <is>
          <t>Values must be of type &lt;class 'str'&gt;</t>
        </is>
      </c>
      <c r="N509" t="inlineStr">
        <is>
          <t>Values must be of type &lt;class 'str'&gt;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PLANNED EXPENSES</t>
        </is>
      </c>
      <c r="B510" t="inlineStr">
        <is>
          <t>J31</t>
        </is>
      </c>
      <c r="C510" t="n">
        <v>31</v>
      </c>
      <c r="D510" t="n">
        <v>10</v>
      </c>
      <c r="E510" t="inlineStr">
        <is>
          <t>Input</t>
        </is>
      </c>
      <c r="F510" t="n">
        <v/>
      </c>
      <c r="G510" t="inlineStr">
        <is>
          <t>Aug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16</v>
      </c>
      <c r="M510" t="inlineStr">
        <is>
          <t>Values must be of type &lt;class 'str'&gt;</t>
        </is>
      </c>
      <c r="N510" t="inlineStr">
        <is>
          <t>Values must be of type &lt;class 'str'&gt;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PLANNED EXPENSES</t>
        </is>
      </c>
      <c r="B511" t="inlineStr">
        <is>
          <t>K31</t>
        </is>
      </c>
      <c r="C511" t="n">
        <v>31</v>
      </c>
      <c r="D511" t="n">
        <v>11</v>
      </c>
      <c r="E511" t="inlineStr">
        <is>
          <t>Input</t>
        </is>
      </c>
      <c r="F511" t="n">
        <v/>
      </c>
      <c r="G511" t="inlineStr">
        <is>
          <t>Sep</t>
        </is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16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PLANNED EXPENSES</t>
        </is>
      </c>
      <c r="B512" t="inlineStr">
        <is>
          <t>L31</t>
        </is>
      </c>
      <c r="C512" t="n">
        <v>31</v>
      </c>
      <c r="D512" t="n">
        <v>12</v>
      </c>
      <c r="E512" t="inlineStr">
        <is>
          <t>Input</t>
        </is>
      </c>
      <c r="F512" t="n">
        <v/>
      </c>
      <c r="G512" t="inlineStr">
        <is>
          <t>Oct</t>
        </is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16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PLANNED EXPENSES</t>
        </is>
      </c>
      <c r="B513" t="inlineStr">
        <is>
          <t>M31</t>
        </is>
      </c>
      <c r="C513" t="n">
        <v>31</v>
      </c>
      <c r="D513" t="n">
        <v>13</v>
      </c>
      <c r="E513" t="inlineStr">
        <is>
          <t>Input</t>
        </is>
      </c>
      <c r="F513" t="n">
        <v/>
      </c>
      <c r="G513" t="inlineStr">
        <is>
          <t>Nov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16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inlineStr">
        <is>
          <t>center</t>
        </is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PLANNED EXPENSES</t>
        </is>
      </c>
      <c r="B514" t="inlineStr">
        <is>
          <t>N31</t>
        </is>
      </c>
      <c r="C514" t="n">
        <v>31</v>
      </c>
      <c r="D514" t="n">
        <v>14</v>
      </c>
      <c r="E514" t="inlineStr">
        <is>
          <t>Input</t>
        </is>
      </c>
      <c r="F514" t="n">
        <v/>
      </c>
      <c r="G514" t="inlineStr">
        <is>
          <t>Dec</t>
        </is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16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inlineStr">
        <is>
          <t>center</t>
        </is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PLANNED EXPENSES</t>
        </is>
      </c>
      <c r="B515" t="inlineStr">
        <is>
          <t>O31</t>
        </is>
      </c>
      <c r="C515" t="n">
        <v>31</v>
      </c>
      <c r="D515" t="n">
        <v>15</v>
      </c>
      <c r="E515" t="inlineStr">
        <is>
          <t>Input</t>
        </is>
      </c>
      <c r="F515" t="n">
        <v/>
      </c>
      <c r="G515" t="inlineStr">
        <is>
          <t>YEAR</t>
        </is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16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PLANNED EXPENSES</t>
        </is>
      </c>
      <c r="B516" t="inlineStr">
        <is>
          <t>P31</t>
        </is>
      </c>
      <c r="C516" t="n">
        <v>31</v>
      </c>
      <c r="D516" t="n">
        <v>16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16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n">
        <v/>
      </c>
      <c r="P516" t="n">
        <v/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PLANNED EXPENSES</t>
        </is>
      </c>
      <c r="B517" t="inlineStr">
        <is>
          <t>A32</t>
        </is>
      </c>
      <c r="C517" t="n">
        <v>32</v>
      </c>
      <c r="D517" t="n">
        <v>1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n">
        <v/>
      </c>
      <c r="P517" t="n">
        <v/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PLANNED EXPENSES</t>
        </is>
      </c>
      <c r="B518" t="inlineStr">
        <is>
          <t>B32</t>
        </is>
      </c>
      <c r="C518" t="n">
        <v>32</v>
      </c>
      <c r="D518" t="n">
        <v>2</v>
      </c>
      <c r="E518" t="inlineStr">
        <is>
          <t>Input</t>
        </is>
      </c>
      <c r="F518" t="n">
        <v/>
      </c>
      <c r="G518" t="inlineStr">
        <is>
          <t>Training classes</t>
        </is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12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left</t>
        </is>
      </c>
      <c r="P518" t="inlineStr">
        <is>
          <t>center</t>
        </is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PLANNED EXPENSES</t>
        </is>
      </c>
      <c r="B519" t="inlineStr">
        <is>
          <t>C32</t>
        </is>
      </c>
      <c r="C519" t="n">
        <v>32</v>
      </c>
      <c r="D519" t="n">
        <v>3</v>
      </c>
      <c r="E519" t="inlineStr">
        <is>
          <t>Input</t>
        </is>
      </c>
      <c r="F519" t="n">
        <v/>
      </c>
      <c r="G519" t="n">
        <v>2000</v>
      </c>
      <c r="H519" t="inlineStr"/>
      <c r="I519" t="inlineStr">
        <is>
          <t>"$"#,##0.00_);[Red]\("$"#,##0.00\)</t>
        </is>
      </c>
      <c r="J519" t="b">
        <v>0</v>
      </c>
      <c r="K519" t="b">
        <v>0</v>
      </c>
      <c r="L519" t="n">
        <v>10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PLANNED EXPENSES</t>
        </is>
      </c>
      <c r="B520" t="inlineStr">
        <is>
          <t>D32</t>
        </is>
      </c>
      <c r="C520" t="n">
        <v>32</v>
      </c>
      <c r="D520" t="n">
        <v>4</v>
      </c>
      <c r="E520" t="inlineStr">
        <is>
          <t>Input</t>
        </is>
      </c>
      <c r="F520" t="n">
        <v/>
      </c>
      <c r="G520" t="n">
        <v>2000</v>
      </c>
      <c r="H520" t="inlineStr"/>
      <c r="I520" t="inlineStr">
        <is>
          <t>"$"#,##0.00_);[Red]\("$"#,##0.00\)</t>
        </is>
      </c>
      <c r="J520" t="b">
        <v>0</v>
      </c>
      <c r="K520" t="b">
        <v>0</v>
      </c>
      <c r="L520" t="n">
        <v>10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PLANNED EXPENSES</t>
        </is>
      </c>
      <c r="B521" t="inlineStr">
        <is>
          <t>E32</t>
        </is>
      </c>
      <c r="C521" t="n">
        <v>32</v>
      </c>
      <c r="D521" t="n">
        <v>5</v>
      </c>
      <c r="E521" t="inlineStr">
        <is>
          <t>Input</t>
        </is>
      </c>
      <c r="F521" t="n">
        <v/>
      </c>
      <c r="G521" t="n">
        <v>2000</v>
      </c>
      <c r="H521" t="inlineStr"/>
      <c r="I521" t="inlineStr">
        <is>
          <t>"$"#,##0.00_);[Red]\("$"#,##0.00\)</t>
        </is>
      </c>
      <c r="J521" t="b">
        <v>0</v>
      </c>
      <c r="K521" t="b">
        <v>0</v>
      </c>
      <c r="L521" t="n">
        <v>10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PLANNED EXPENSES</t>
        </is>
      </c>
      <c r="B522" t="inlineStr">
        <is>
          <t>F32</t>
        </is>
      </c>
      <c r="C522" t="n">
        <v>32</v>
      </c>
      <c r="D522" t="n">
        <v>6</v>
      </c>
      <c r="E522" t="inlineStr">
        <is>
          <t>Input</t>
        </is>
      </c>
      <c r="F522" t="n">
        <v/>
      </c>
      <c r="G522" t="n">
        <v>2000</v>
      </c>
      <c r="H522" t="inlineStr"/>
      <c r="I522" t="inlineStr">
        <is>
          <t>"$"#,##0.00_);[Red]\("$"#,##0.00\)</t>
        </is>
      </c>
      <c r="J522" t="b">
        <v>0</v>
      </c>
      <c r="K522" t="b">
        <v>0</v>
      </c>
      <c r="L522" t="n">
        <v>10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inlineStr">
        <is>
          <t>center</t>
        </is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PLANNED EXPENSES</t>
        </is>
      </c>
      <c r="B523" t="inlineStr">
        <is>
          <t>G32</t>
        </is>
      </c>
      <c r="C523" t="n">
        <v>32</v>
      </c>
      <c r="D523" t="n">
        <v>7</v>
      </c>
      <c r="E523" t="inlineStr">
        <is>
          <t>Input</t>
        </is>
      </c>
      <c r="F523" t="n">
        <v/>
      </c>
      <c r="G523" t="n">
        <v>2000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10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PLANNED EXPENSES</t>
        </is>
      </c>
      <c r="B524" t="inlineStr">
        <is>
          <t>H32</t>
        </is>
      </c>
      <c r="C524" t="n">
        <v>32</v>
      </c>
      <c r="D524" t="n">
        <v>8</v>
      </c>
      <c r="E524" t="inlineStr">
        <is>
          <t>Input</t>
        </is>
      </c>
      <c r="F524" t="n">
        <v/>
      </c>
      <c r="G524" t="n">
        <v>2000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10</v>
      </c>
      <c r="M524" t="inlineStr">
        <is>
          <t>Values must be of type &lt;class 'str'&gt;</t>
        </is>
      </c>
      <c r="N524" t="inlineStr">
        <is>
          <t>Values must be of type &lt;class 'str'&gt;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</row>
    <row r="525">
      <c r="A525" t="inlineStr">
        <is>
          <t>PLANNED EXPENSES</t>
        </is>
      </c>
      <c r="B525" t="inlineStr">
        <is>
          <t>I32</t>
        </is>
      </c>
      <c r="C525" t="n">
        <v>32</v>
      </c>
      <c r="D525" t="n">
        <v>9</v>
      </c>
      <c r="E525" t="inlineStr">
        <is>
          <t>Input</t>
        </is>
      </c>
      <c r="F525" t="n">
        <v/>
      </c>
      <c r="G525" t="n">
        <v>2000</v>
      </c>
      <c r="H525" t="inlineStr"/>
      <c r="I525" t="inlineStr">
        <is>
          <t>"$"#,##0.00_);[Red]\("$"#,##0.00\)</t>
        </is>
      </c>
      <c r="J525" t="b">
        <v>0</v>
      </c>
      <c r="K525" t="b">
        <v>0</v>
      </c>
      <c r="L525" t="n">
        <v>10</v>
      </c>
      <c r="M525" t="inlineStr">
        <is>
          <t>Values must be of type &lt;class 'str'&gt;</t>
        </is>
      </c>
      <c r="N525" t="inlineStr">
        <is>
          <t>Values must be of type &lt;class 'str'&gt;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</row>
    <row r="526">
      <c r="A526" t="inlineStr">
        <is>
          <t>PLANNED EXPENSES</t>
        </is>
      </c>
      <c r="B526" t="inlineStr">
        <is>
          <t>J32</t>
        </is>
      </c>
      <c r="C526" t="n">
        <v>32</v>
      </c>
      <c r="D526" t="n">
        <v>10</v>
      </c>
      <c r="E526" t="inlineStr">
        <is>
          <t>Input</t>
        </is>
      </c>
      <c r="F526" t="n">
        <v/>
      </c>
      <c r="G526" t="n">
        <v>2000</v>
      </c>
      <c r="H526" t="inlineStr"/>
      <c r="I526" t="inlineStr">
        <is>
          <t>"$"#,##0.00_);[Red]\("$"#,##0.00\)</t>
        </is>
      </c>
      <c r="J526" t="b">
        <v>0</v>
      </c>
      <c r="K526" t="b">
        <v>0</v>
      </c>
      <c r="L526" t="n">
        <v>10</v>
      </c>
      <c r="M526" t="inlineStr">
        <is>
          <t>Values must be of type &lt;class 'str'&gt;</t>
        </is>
      </c>
      <c r="N526" t="inlineStr">
        <is>
          <t>Values must be of type &lt;class 'str'&gt;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</row>
    <row r="527">
      <c r="A527" t="inlineStr">
        <is>
          <t>PLANNED EXPENSES</t>
        </is>
      </c>
      <c r="B527" t="inlineStr">
        <is>
          <t>K32</t>
        </is>
      </c>
      <c r="C527" t="n">
        <v>32</v>
      </c>
      <c r="D527" t="n">
        <v>11</v>
      </c>
      <c r="E527" t="inlineStr">
        <is>
          <t>Input</t>
        </is>
      </c>
      <c r="F527" t="n">
        <v/>
      </c>
      <c r="G527" t="n">
        <v>2000</v>
      </c>
      <c r="H527" t="inlineStr"/>
      <c r="I527" t="inlineStr">
        <is>
          <t>"$"#,##0.00_);[Red]\("$"#,##0.00\)</t>
        </is>
      </c>
      <c r="J527" t="b">
        <v>0</v>
      </c>
      <c r="K527" t="b">
        <v>0</v>
      </c>
      <c r="L527" t="n">
        <v>10</v>
      </c>
      <c r="M527" t="inlineStr">
        <is>
          <t>Values must be of type &lt;class 'str'&gt;</t>
        </is>
      </c>
      <c r="N527" t="inlineStr">
        <is>
          <t>Values must be of type &lt;class 'str'&gt;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PLANNED EXPENSES</t>
        </is>
      </c>
      <c r="B528" t="inlineStr">
        <is>
          <t>L32</t>
        </is>
      </c>
      <c r="C528" t="n">
        <v>32</v>
      </c>
      <c r="D528" t="n">
        <v>12</v>
      </c>
      <c r="E528" t="inlineStr">
        <is>
          <t>Input</t>
        </is>
      </c>
      <c r="F528" t="n">
        <v/>
      </c>
      <c r="G528" t="n">
        <v>2000</v>
      </c>
      <c r="H528" t="inlineStr"/>
      <c r="I528" t="inlineStr">
        <is>
          <t>"$"#,##0.00_);[Red]\("$"#,##0.00\)</t>
        </is>
      </c>
      <c r="J528" t="b">
        <v>0</v>
      </c>
      <c r="K528" t="b">
        <v>0</v>
      </c>
      <c r="L528" t="n">
        <v>10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PLANNED EXPENSES</t>
        </is>
      </c>
      <c r="B529" t="inlineStr">
        <is>
          <t>M32</t>
        </is>
      </c>
      <c r="C529" t="n">
        <v>32</v>
      </c>
      <c r="D529" t="n">
        <v>13</v>
      </c>
      <c r="E529" t="inlineStr">
        <is>
          <t>Input</t>
        </is>
      </c>
      <c r="F529" t="n">
        <v/>
      </c>
      <c r="G529" t="n">
        <v>2000</v>
      </c>
      <c r="H529" t="inlineStr"/>
      <c r="I529" t="inlineStr">
        <is>
          <t>"$"#,##0.00_);[Red]\("$"#,##0.00\)</t>
        </is>
      </c>
      <c r="J529" t="b">
        <v>0</v>
      </c>
      <c r="K529" t="b">
        <v>0</v>
      </c>
      <c r="L529" t="n">
        <v>10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</row>
    <row r="530">
      <c r="A530" t="inlineStr">
        <is>
          <t>PLANNED EXPENSES</t>
        </is>
      </c>
      <c r="B530" t="inlineStr">
        <is>
          <t>N32</t>
        </is>
      </c>
      <c r="C530" t="n">
        <v>32</v>
      </c>
      <c r="D530" t="n">
        <v>14</v>
      </c>
      <c r="E530" t="inlineStr">
        <is>
          <t>Input</t>
        </is>
      </c>
      <c r="F530" t="n">
        <v/>
      </c>
      <c r="G530" t="n">
        <v>2000</v>
      </c>
      <c r="H530" t="inlineStr"/>
      <c r="I530" t="inlineStr">
        <is>
          <t>"$"#,##0.00_);[Red]\("$"#,##0.00\)</t>
        </is>
      </c>
      <c r="J530" t="b">
        <v>0</v>
      </c>
      <c r="K530" t="b">
        <v>0</v>
      </c>
      <c r="L530" t="n">
        <v>10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</row>
    <row r="531">
      <c r="A531" t="inlineStr">
        <is>
          <t>PLANNED EXPENSES</t>
        </is>
      </c>
      <c r="B531" t="inlineStr">
        <is>
          <t>O32</t>
        </is>
      </c>
      <c r="C531" t="n">
        <v>32</v>
      </c>
      <c r="D531" t="n">
        <v>15</v>
      </c>
      <c r="E531" t="inlineStr">
        <is>
          <t>Output</t>
        </is>
      </c>
      <c r="F531" t="inlineStr">
        <is>
          <t>'=SUM(C32:N32)</t>
        </is>
      </c>
      <c r="G531" t="n">
        <v>24000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10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inlineStr">
        <is>
          <t>G000004</t>
        </is>
      </c>
      <c r="T531" t="inlineStr">
        <is>
          <t>Vertical</t>
        </is>
      </c>
      <c r="U531" t="n">
        <v>2</v>
      </c>
      <c r="V531" t="b">
        <v>1</v>
      </c>
      <c r="W531" t="inlineStr">
        <is>
          <t>PLANNED EXPENSES!O32:O33</t>
        </is>
      </c>
      <c r="X531">
        <f>SUM(R[0]C[-12]:R[0]C[-1])</f>
        <v/>
      </c>
    </row>
    <row r="532">
      <c r="A532" t="inlineStr">
        <is>
          <t>PLANNED EXPENSES</t>
        </is>
      </c>
      <c r="B532" t="inlineStr">
        <is>
          <t>P32</t>
        </is>
      </c>
      <c r="C532" t="n">
        <v>32</v>
      </c>
      <c r="D532" t="n">
        <v>16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n">
        <v/>
      </c>
      <c r="P532" t="n">
        <v/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PLANNED EXPENSES</t>
        </is>
      </c>
      <c r="B533" t="inlineStr">
        <is>
          <t>A33</t>
        </is>
      </c>
      <c r="C533" t="n">
        <v>33</v>
      </c>
      <c r="D533" t="n">
        <v>1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n">
        <v/>
      </c>
      <c r="P533" t="n">
        <v/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</row>
    <row r="534">
      <c r="A534" t="inlineStr">
        <is>
          <t>PLANNED EXPENSES</t>
        </is>
      </c>
      <c r="B534" t="inlineStr">
        <is>
          <t>B33</t>
        </is>
      </c>
      <c r="C534" t="n">
        <v>33</v>
      </c>
      <c r="D534" t="n">
        <v>2</v>
      </c>
      <c r="E534" t="inlineStr">
        <is>
          <t>Input</t>
        </is>
      </c>
      <c r="F534" t="n">
        <v/>
      </c>
      <c r="G534" t="inlineStr">
        <is>
          <t>Training-related travel costs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12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left</t>
        </is>
      </c>
      <c r="P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PLANNED EXPENSES</t>
        </is>
      </c>
      <c r="B535" t="inlineStr">
        <is>
          <t>C33</t>
        </is>
      </c>
      <c r="C535" t="n">
        <v>33</v>
      </c>
      <c r="D535" t="n">
        <v>3</v>
      </c>
      <c r="E535" t="inlineStr">
        <is>
          <t>Input</t>
        </is>
      </c>
      <c r="F535" t="n">
        <v/>
      </c>
      <c r="G535" t="n">
        <v>2000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10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PLANNED EXPENSES</t>
        </is>
      </c>
      <c r="B536" t="inlineStr">
        <is>
          <t>D33</t>
        </is>
      </c>
      <c r="C536" t="n">
        <v>33</v>
      </c>
      <c r="D536" t="n">
        <v>4</v>
      </c>
      <c r="E536" t="inlineStr">
        <is>
          <t>Input</t>
        </is>
      </c>
      <c r="F536" t="n">
        <v/>
      </c>
      <c r="G536" t="n">
        <v>2000</v>
      </c>
      <c r="H536" t="inlineStr"/>
      <c r="I536" t="inlineStr">
        <is>
          <t>"$"#,##0.00_);[Red]\("$"#,##0.00\)</t>
        </is>
      </c>
      <c r="J536" t="b">
        <v>0</v>
      </c>
      <c r="K536" t="b">
        <v>0</v>
      </c>
      <c r="L536" t="n">
        <v>10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PLANNED EXPENSES</t>
        </is>
      </c>
      <c r="B537" t="inlineStr">
        <is>
          <t>E33</t>
        </is>
      </c>
      <c r="C537" t="n">
        <v>33</v>
      </c>
      <c r="D537" t="n">
        <v>5</v>
      </c>
      <c r="E537" t="inlineStr">
        <is>
          <t>Input</t>
        </is>
      </c>
      <c r="F537" t="n">
        <v/>
      </c>
      <c r="G537" t="n">
        <v>2000</v>
      </c>
      <c r="H537" t="inlineStr"/>
      <c r="I537" t="inlineStr">
        <is>
          <t>"$"#,##0.00_);[Red]\("$"#,##0.00\)</t>
        </is>
      </c>
      <c r="J537" t="b">
        <v>0</v>
      </c>
      <c r="K537" t="b">
        <v>0</v>
      </c>
      <c r="L537" t="n">
        <v>10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PLANNED EXPENSES</t>
        </is>
      </c>
      <c r="B538" t="inlineStr">
        <is>
          <t>F33</t>
        </is>
      </c>
      <c r="C538" t="n">
        <v>33</v>
      </c>
      <c r="D538" t="n">
        <v>6</v>
      </c>
      <c r="E538" t="inlineStr">
        <is>
          <t>Input</t>
        </is>
      </c>
      <c r="F538" t="n">
        <v/>
      </c>
      <c r="G538" t="n">
        <v>2000</v>
      </c>
      <c r="H538" t="inlineStr"/>
      <c r="I538" t="inlineStr">
        <is>
          <t>"$"#,##0.00_);[Red]\("$"#,##0.00\)</t>
        </is>
      </c>
      <c r="J538" t="b">
        <v>0</v>
      </c>
      <c r="K538" t="b">
        <v>0</v>
      </c>
      <c r="L538" t="n">
        <v>10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PLANNED EXPENSES</t>
        </is>
      </c>
      <c r="B539" t="inlineStr">
        <is>
          <t>G33</t>
        </is>
      </c>
      <c r="C539" t="n">
        <v>33</v>
      </c>
      <c r="D539" t="n">
        <v>7</v>
      </c>
      <c r="E539" t="inlineStr">
        <is>
          <t>Input</t>
        </is>
      </c>
      <c r="F539" t="n">
        <v/>
      </c>
      <c r="G539" t="n">
        <v>2000</v>
      </c>
      <c r="H539" t="inlineStr"/>
      <c r="I539" t="inlineStr">
        <is>
          <t>"$"#,##0.00_);[Red]\("$"#,##0.00\)</t>
        </is>
      </c>
      <c r="J539" t="b">
        <v>0</v>
      </c>
      <c r="K539" t="b">
        <v>0</v>
      </c>
      <c r="L539" t="n">
        <v>10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PLANNED EXPENSES</t>
        </is>
      </c>
      <c r="B540" t="inlineStr">
        <is>
          <t>H33</t>
        </is>
      </c>
      <c r="C540" t="n">
        <v>33</v>
      </c>
      <c r="D540" t="n">
        <v>8</v>
      </c>
      <c r="E540" t="inlineStr">
        <is>
          <t>Input</t>
        </is>
      </c>
      <c r="F540" t="n">
        <v/>
      </c>
      <c r="G540" t="n">
        <v>2000</v>
      </c>
      <c r="H540" t="inlineStr"/>
      <c r="I540" t="inlineStr">
        <is>
          <t>"$"#,##0.00_);[Red]\("$"#,##0.00\)</t>
        </is>
      </c>
      <c r="J540" t="b">
        <v>0</v>
      </c>
      <c r="K540" t="b">
        <v>0</v>
      </c>
      <c r="L540" t="n">
        <v>10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PLANNED EXPENSES</t>
        </is>
      </c>
      <c r="B541" t="inlineStr">
        <is>
          <t>I33</t>
        </is>
      </c>
      <c r="C541" t="n">
        <v>33</v>
      </c>
      <c r="D541" t="n">
        <v>9</v>
      </c>
      <c r="E541" t="inlineStr">
        <is>
          <t>Input</t>
        </is>
      </c>
      <c r="F541" t="n">
        <v/>
      </c>
      <c r="G541" t="n">
        <v>2000</v>
      </c>
      <c r="H541" t="inlineStr"/>
      <c r="I541" t="inlineStr">
        <is>
          <t>"$"#,##0.00_);[Red]\("$"#,##0.00\)</t>
        </is>
      </c>
      <c r="J541" t="b">
        <v>0</v>
      </c>
      <c r="K541" t="b">
        <v>0</v>
      </c>
      <c r="L541" t="n">
        <v>10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PLANNED EXPENSES</t>
        </is>
      </c>
      <c r="B542" t="inlineStr">
        <is>
          <t>J33</t>
        </is>
      </c>
      <c r="C542" t="n">
        <v>33</v>
      </c>
      <c r="D542" t="n">
        <v>10</v>
      </c>
      <c r="E542" t="inlineStr">
        <is>
          <t>Input</t>
        </is>
      </c>
      <c r="F542" t="n">
        <v/>
      </c>
      <c r="G542" t="n">
        <v>2000</v>
      </c>
      <c r="H542" t="inlineStr"/>
      <c r="I542" t="inlineStr">
        <is>
          <t>"$"#,##0.00_);[Red]\("$"#,##0.00\)</t>
        </is>
      </c>
      <c r="J542" t="b">
        <v>0</v>
      </c>
      <c r="K542" t="b">
        <v>0</v>
      </c>
      <c r="L542" t="n">
        <v>10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PLANNED EXPENSES</t>
        </is>
      </c>
      <c r="B543" t="inlineStr">
        <is>
          <t>K33</t>
        </is>
      </c>
      <c r="C543" t="n">
        <v>33</v>
      </c>
      <c r="D543" t="n">
        <v>11</v>
      </c>
      <c r="E543" t="inlineStr">
        <is>
          <t>Input</t>
        </is>
      </c>
      <c r="F543" t="n">
        <v/>
      </c>
      <c r="G543" t="n">
        <v>2000</v>
      </c>
      <c r="H543" t="inlineStr"/>
      <c r="I543" t="inlineStr">
        <is>
          <t>"$"#,##0.00_);[Red]\("$"#,##0.00\)</t>
        </is>
      </c>
      <c r="J543" t="b">
        <v>0</v>
      </c>
      <c r="K543" t="b">
        <v>0</v>
      </c>
      <c r="L543" t="n">
        <v>10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PLANNED EXPENSES</t>
        </is>
      </c>
      <c r="B544" t="inlineStr">
        <is>
          <t>L33</t>
        </is>
      </c>
      <c r="C544" t="n">
        <v>33</v>
      </c>
      <c r="D544" t="n">
        <v>12</v>
      </c>
      <c r="E544" t="inlineStr">
        <is>
          <t>Input</t>
        </is>
      </c>
      <c r="F544" t="n">
        <v/>
      </c>
      <c r="G544" t="n">
        <v>2000</v>
      </c>
      <c r="H544" t="inlineStr"/>
      <c r="I544" t="inlineStr">
        <is>
          <t>"$"#,##0.00_);[Red]\("$"#,##0.00\)</t>
        </is>
      </c>
      <c r="J544" t="b">
        <v>0</v>
      </c>
      <c r="K544" t="b">
        <v>0</v>
      </c>
      <c r="L544" t="n">
        <v>10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PLANNED EXPENSES</t>
        </is>
      </c>
      <c r="B545" t="inlineStr">
        <is>
          <t>M33</t>
        </is>
      </c>
      <c r="C545" t="n">
        <v>33</v>
      </c>
      <c r="D545" t="n">
        <v>13</v>
      </c>
      <c r="E545" t="inlineStr">
        <is>
          <t>Input</t>
        </is>
      </c>
      <c r="F545" t="n">
        <v/>
      </c>
      <c r="G545" t="n">
        <v>2000</v>
      </c>
      <c r="H545" t="inlineStr"/>
      <c r="I545" t="inlineStr">
        <is>
          <t>"$"#,##0.00_);[Red]\("$"#,##0.00\)</t>
        </is>
      </c>
      <c r="J545" t="b">
        <v>0</v>
      </c>
      <c r="K545" t="b">
        <v>0</v>
      </c>
      <c r="L545" t="n">
        <v>10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center</t>
        </is>
      </c>
      <c r="P545" t="inlineStr">
        <is>
          <t>center</t>
        </is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PLANNED EXPENSES</t>
        </is>
      </c>
      <c r="B546" t="inlineStr">
        <is>
          <t>N33</t>
        </is>
      </c>
      <c r="C546" t="n">
        <v>33</v>
      </c>
      <c r="D546" t="n">
        <v>14</v>
      </c>
      <c r="E546" t="inlineStr">
        <is>
          <t>Input</t>
        </is>
      </c>
      <c r="F546" t="n">
        <v/>
      </c>
      <c r="G546" t="n">
        <v>2000</v>
      </c>
      <c r="H546" t="inlineStr"/>
      <c r="I546" t="inlineStr">
        <is>
          <t>"$"#,##0.00_);[Red]\("$"#,##0.00\)</t>
        </is>
      </c>
      <c r="J546" t="b">
        <v>0</v>
      </c>
      <c r="K546" t="b">
        <v>0</v>
      </c>
      <c r="L546" t="n">
        <v>10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center</t>
        </is>
      </c>
      <c r="P546" t="inlineStr">
        <is>
          <t>center</t>
        </is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PLANNED EXPENSES</t>
        </is>
      </c>
      <c r="B547" t="inlineStr">
        <is>
          <t>O33</t>
        </is>
      </c>
      <c r="C547" t="n">
        <v>33</v>
      </c>
      <c r="D547" t="n">
        <v>15</v>
      </c>
      <c r="E547" t="inlineStr">
        <is>
          <t>Output</t>
        </is>
      </c>
      <c r="F547" t="inlineStr">
        <is>
          <t>'=SUM(C33:N33)</t>
        </is>
      </c>
      <c r="G547" t="n">
        <v>24000</v>
      </c>
      <c r="H547" t="inlineStr"/>
      <c r="I547" t="inlineStr">
        <is>
          <t>"$"#,##0.00_);[Red]\("$"#,##0.00\)</t>
        </is>
      </c>
      <c r="J547" t="b">
        <v>0</v>
      </c>
      <c r="K547" t="b">
        <v>0</v>
      </c>
      <c r="L547" t="n">
        <v>10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center</t>
        </is>
      </c>
      <c r="P547" t="inlineStr">
        <is>
          <t>center</t>
        </is>
      </c>
      <c r="R547" t="b">
        <v>1</v>
      </c>
      <c r="S547" t="inlineStr">
        <is>
          <t>G000004</t>
        </is>
      </c>
      <c r="T547" t="inlineStr">
        <is>
          <t>Vertical</t>
        </is>
      </c>
      <c r="U547" t="n">
        <v>2</v>
      </c>
      <c r="V547" t="b">
        <v>1</v>
      </c>
      <c r="W547" t="inlineStr">
        <is>
          <t>PLANNED EXPENSES!O32:O33</t>
        </is>
      </c>
      <c r="X547">
        <f>SUM(R[0]C[-12]:R[0]C[-1])</f>
        <v/>
      </c>
    </row>
    <row r="548">
      <c r="A548" t="inlineStr">
        <is>
          <t>PLANNED EXPENSES</t>
        </is>
      </c>
      <c r="B548" t="inlineStr">
        <is>
          <t>P33</t>
        </is>
      </c>
      <c r="C548" t="n">
        <v>33</v>
      </c>
      <c r="D548" t="n">
        <v>16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n">
        <v/>
      </c>
      <c r="P548" t="n">
        <v/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PLANNED EXPENSES</t>
        </is>
      </c>
      <c r="B549" t="inlineStr">
        <is>
          <t>A34</t>
        </is>
      </c>
      <c r="C549" t="n">
        <v>34</v>
      </c>
      <c r="D549" t="n">
        <v>1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n">
        <v/>
      </c>
      <c r="P549" t="n">
        <v/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PLANNED EXPENSES</t>
        </is>
      </c>
      <c r="B550" t="inlineStr">
        <is>
          <t>B34</t>
        </is>
      </c>
      <c r="C550" t="n">
        <v>34</v>
      </c>
      <c r="D550" t="n">
        <v>2</v>
      </c>
      <c r="E550" t="inlineStr">
        <is>
          <t>Input</t>
        </is>
      </c>
      <c r="F550" t="n">
        <v/>
      </c>
      <c r="G550" t="inlineStr">
        <is>
          <t>Subtotal</t>
        </is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12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inlineStr">
        <is>
          <t>left</t>
        </is>
      </c>
      <c r="P550" t="inlineStr">
        <is>
          <t>center</t>
        </is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PLANNED EXPENSES</t>
        </is>
      </c>
      <c r="B551" t="inlineStr">
        <is>
          <t>C34</t>
        </is>
      </c>
      <c r="C551" t="n">
        <v>34</v>
      </c>
      <c r="D551" t="n">
        <v>3</v>
      </c>
      <c r="E551" t="inlineStr">
        <is>
          <t>Output</t>
        </is>
      </c>
      <c r="F551" t="inlineStr">
        <is>
          <t>'=SUBTOTAL(109,TrainingAndTravelPlan[Jan])</t>
        </is>
      </c>
      <c r="G551" t="n">
        <v>4000</v>
      </c>
      <c r="H551" t="inlineStr"/>
      <c r="I551" t="inlineStr">
        <is>
          <t>"$"#,##0.00_);[Red]\("$"#,##0.00\)</t>
        </is>
      </c>
      <c r="J551" t="b">
        <v>0</v>
      </c>
      <c r="K551" t="b">
        <v>0</v>
      </c>
      <c r="L551" t="n">
        <v>10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inlineStr">
        <is>
          <t>center</t>
        </is>
      </c>
      <c r="P551" t="inlineStr">
        <is>
          <t>center</t>
        </is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>
        <f>SUBTOTAL(109,TrainingAndTravelPlan[Jan])</f>
        <v/>
      </c>
    </row>
    <row r="552">
      <c r="A552" t="inlineStr">
        <is>
          <t>PLANNED EXPENSES</t>
        </is>
      </c>
      <c r="B552" t="inlineStr">
        <is>
          <t>D34</t>
        </is>
      </c>
      <c r="C552" t="n">
        <v>34</v>
      </c>
      <c r="D552" t="n">
        <v>4</v>
      </c>
      <c r="E552" t="inlineStr">
        <is>
          <t>Output</t>
        </is>
      </c>
      <c r="F552" t="inlineStr">
        <is>
          <t>'=SUBTOTAL(109,TrainingAndTravelPlan[Feb])</t>
        </is>
      </c>
      <c r="G552" t="n">
        <v>4000</v>
      </c>
      <c r="H552" t="inlineStr"/>
      <c r="I552" t="inlineStr">
        <is>
          <t>"$"#,##0.00_);[Red]\("$"#,##0.00\)</t>
        </is>
      </c>
      <c r="J552" t="b">
        <v>0</v>
      </c>
      <c r="K552" t="b">
        <v>0</v>
      </c>
      <c r="L552" t="n">
        <v>10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inlineStr">
        <is>
          <t>center</t>
        </is>
      </c>
      <c r="P552" t="inlineStr">
        <is>
          <t>center</t>
        </is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>
        <f>SUBTOTAL(109,TrainingAndTravelPlan[Feb])</f>
        <v/>
      </c>
    </row>
    <row r="553">
      <c r="A553" t="inlineStr">
        <is>
          <t>PLANNED EXPENSES</t>
        </is>
      </c>
      <c r="B553" t="inlineStr">
        <is>
          <t>E34</t>
        </is>
      </c>
      <c r="C553" t="n">
        <v>34</v>
      </c>
      <c r="D553" t="n">
        <v>5</v>
      </c>
      <c r="E553" t="inlineStr">
        <is>
          <t>Output</t>
        </is>
      </c>
      <c r="F553" t="inlineStr">
        <is>
          <t>'=SUBTOTAL(109,TrainingAndTravelPlan[Mar])</t>
        </is>
      </c>
      <c r="G553" t="n">
        <v>4000</v>
      </c>
      <c r="H553" t="inlineStr"/>
      <c r="I553" t="inlineStr">
        <is>
          <t>"$"#,##0.00_);[Red]\("$"#,##0.00\)</t>
        </is>
      </c>
      <c r="J553" t="b">
        <v>0</v>
      </c>
      <c r="K553" t="b">
        <v>0</v>
      </c>
      <c r="L553" t="n">
        <v>10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inlineStr">
        <is>
          <t>center</t>
        </is>
      </c>
      <c r="P553" t="inlineStr">
        <is>
          <t>center</t>
        </is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>
        <f>SUBTOTAL(109,TrainingAndTravelPlan[Mar])</f>
        <v/>
      </c>
    </row>
    <row r="554">
      <c r="A554" t="inlineStr">
        <is>
          <t>PLANNED EXPENSES</t>
        </is>
      </c>
      <c r="B554" t="inlineStr">
        <is>
          <t>F34</t>
        </is>
      </c>
      <c r="C554" t="n">
        <v>34</v>
      </c>
      <c r="D554" t="n">
        <v>6</v>
      </c>
      <c r="E554" t="inlineStr">
        <is>
          <t>Output</t>
        </is>
      </c>
      <c r="F554" t="inlineStr">
        <is>
          <t>'=SUBTOTAL(109,TrainingAndTravelPlan[Apr])</t>
        </is>
      </c>
      <c r="G554" t="n">
        <v>4000</v>
      </c>
      <c r="H554" t="inlineStr"/>
      <c r="I554" t="inlineStr">
        <is>
          <t>"$"#,##0.00_);[Red]\("$"#,##0.00\)</t>
        </is>
      </c>
      <c r="J554" t="b">
        <v>0</v>
      </c>
      <c r="K554" t="b">
        <v>0</v>
      </c>
      <c r="L554" t="n">
        <v>10</v>
      </c>
      <c r="M554" t="inlineStr">
        <is>
          <t>Values must be of type &lt;class 'str'&gt;</t>
        </is>
      </c>
      <c r="N554" t="inlineStr">
        <is>
          <t>Values must be of type &lt;class 'str'&gt;</t>
        </is>
      </c>
      <c r="O554" t="inlineStr">
        <is>
          <t>center</t>
        </is>
      </c>
      <c r="P554" t="inlineStr">
        <is>
          <t>center</t>
        </is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>
        <f>SUBTOTAL(109,TrainingAndTravelPlan[Apr])</f>
        <v/>
      </c>
    </row>
    <row r="555">
      <c r="A555" t="inlineStr">
        <is>
          <t>PLANNED EXPENSES</t>
        </is>
      </c>
      <c r="B555" t="inlineStr">
        <is>
          <t>G34</t>
        </is>
      </c>
      <c r="C555" t="n">
        <v>34</v>
      </c>
      <c r="D555" t="n">
        <v>7</v>
      </c>
      <c r="E555" t="inlineStr">
        <is>
          <t>Output</t>
        </is>
      </c>
      <c r="F555" t="inlineStr">
        <is>
          <t>'=SUBTOTAL(109,TrainingAndTravelPlan[May])</t>
        </is>
      </c>
      <c r="G555" t="n">
        <v>4000</v>
      </c>
      <c r="H555" t="inlineStr"/>
      <c r="I555" t="inlineStr">
        <is>
          <t>"$"#,##0.00_);[Red]\("$"#,##0.00\)</t>
        </is>
      </c>
      <c r="J555" t="b">
        <v>0</v>
      </c>
      <c r="K555" t="b">
        <v>0</v>
      </c>
      <c r="L555" t="n">
        <v>10</v>
      </c>
      <c r="M555" t="inlineStr">
        <is>
          <t>Values must be of type &lt;class 'str'&gt;</t>
        </is>
      </c>
      <c r="N555" t="inlineStr">
        <is>
          <t>Values must be of type &lt;class 'str'&gt;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>
        <f>SUBTOTAL(109,TrainingAndTravelPlan[May])</f>
        <v/>
      </c>
    </row>
    <row r="556">
      <c r="A556" t="inlineStr">
        <is>
          <t>PLANNED EXPENSES</t>
        </is>
      </c>
      <c r="B556" t="inlineStr">
        <is>
          <t>H34</t>
        </is>
      </c>
      <c r="C556" t="n">
        <v>34</v>
      </c>
      <c r="D556" t="n">
        <v>8</v>
      </c>
      <c r="E556" t="inlineStr">
        <is>
          <t>Output</t>
        </is>
      </c>
      <c r="F556" t="inlineStr">
        <is>
          <t>'=SUBTOTAL(109,TrainingAndTravelPlan[Jun])</t>
        </is>
      </c>
      <c r="G556" t="n">
        <v>4000</v>
      </c>
      <c r="H556" t="inlineStr"/>
      <c r="I556" t="inlineStr">
        <is>
          <t>"$"#,##0.00_);[Red]\("$"#,##0.00\)</t>
        </is>
      </c>
      <c r="J556" t="b">
        <v>0</v>
      </c>
      <c r="K556" t="b">
        <v>0</v>
      </c>
      <c r="L556" t="n">
        <v>10</v>
      </c>
      <c r="M556" t="inlineStr">
        <is>
          <t>Values must be of type &lt;class 'str'&gt;</t>
        </is>
      </c>
      <c r="N556" t="inlineStr">
        <is>
          <t>Values must be of type &lt;class 'str'&gt;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>
        <f>SUBTOTAL(109,TrainingAndTravelPlan[Jun])</f>
        <v/>
      </c>
    </row>
    <row r="557">
      <c r="A557" t="inlineStr">
        <is>
          <t>PLANNED EXPENSES</t>
        </is>
      </c>
      <c r="B557" t="inlineStr">
        <is>
          <t>I34</t>
        </is>
      </c>
      <c r="C557" t="n">
        <v>34</v>
      </c>
      <c r="D557" t="n">
        <v>9</v>
      </c>
      <c r="E557" t="inlineStr">
        <is>
          <t>Output</t>
        </is>
      </c>
      <c r="F557" t="inlineStr">
        <is>
          <t>'=SUBTOTAL(109,TrainingAndTravelPlan[Jul])</t>
        </is>
      </c>
      <c r="G557" t="n">
        <v>4000</v>
      </c>
      <c r="H557" t="inlineStr"/>
      <c r="I557" t="inlineStr">
        <is>
          <t>"$"#,##0.00_);[Red]\("$"#,##0.00\)</t>
        </is>
      </c>
      <c r="J557" t="b">
        <v>0</v>
      </c>
      <c r="K557" t="b">
        <v>0</v>
      </c>
      <c r="L557" t="n">
        <v>10</v>
      </c>
      <c r="M557" t="inlineStr">
        <is>
          <t>Values must be of type &lt;class 'str'&gt;</t>
        </is>
      </c>
      <c r="N557" t="inlineStr">
        <is>
          <t>Values must be of type &lt;class 'str'&gt;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n">
        <v/>
      </c>
      <c r="T557" t="n">
        <v/>
      </c>
      <c r="U557" t="n">
        <v/>
      </c>
      <c r="V557" t="b">
        <v>0</v>
      </c>
      <c r="W557" t="inlineStr"/>
      <c r="X557">
        <f>SUBTOTAL(109,TrainingAndTravelPlan[Jul])</f>
        <v/>
      </c>
    </row>
    <row r="558">
      <c r="A558" t="inlineStr">
        <is>
          <t>PLANNED EXPENSES</t>
        </is>
      </c>
      <c r="B558" t="inlineStr">
        <is>
          <t>J34</t>
        </is>
      </c>
      <c r="C558" t="n">
        <v>34</v>
      </c>
      <c r="D558" t="n">
        <v>10</v>
      </c>
      <c r="E558" t="inlineStr">
        <is>
          <t>Output</t>
        </is>
      </c>
      <c r="F558" t="inlineStr">
        <is>
          <t>'=SUBTOTAL(109,TrainingAndTravelPlan[Aug])</t>
        </is>
      </c>
      <c r="G558" t="n">
        <v>4000</v>
      </c>
      <c r="H558" t="inlineStr"/>
      <c r="I558" t="inlineStr">
        <is>
          <t>"$"#,##0.00_);[Red]\("$"#,##0.00\)</t>
        </is>
      </c>
      <c r="J558" t="b">
        <v>0</v>
      </c>
      <c r="K558" t="b">
        <v>0</v>
      </c>
      <c r="L558" t="n">
        <v>10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inlineStr">
        <is>
          <t>center</t>
        </is>
      </c>
      <c r="P558" t="inlineStr">
        <is>
          <t>center</t>
        </is>
      </c>
      <c r="R558" t="b">
        <v>1</v>
      </c>
      <c r="S558" t="n">
        <v/>
      </c>
      <c r="T558" t="n">
        <v/>
      </c>
      <c r="U558" t="n">
        <v/>
      </c>
      <c r="V558" t="b">
        <v>0</v>
      </c>
      <c r="W558" t="inlineStr"/>
      <c r="X558">
        <f>SUBTOTAL(109,TrainingAndTravelPlan[Aug])</f>
        <v/>
      </c>
    </row>
    <row r="559">
      <c r="A559" t="inlineStr">
        <is>
          <t>PLANNED EXPENSES</t>
        </is>
      </c>
      <c r="B559" t="inlineStr">
        <is>
          <t>K34</t>
        </is>
      </c>
      <c r="C559" t="n">
        <v>34</v>
      </c>
      <c r="D559" t="n">
        <v>11</v>
      </c>
      <c r="E559" t="inlineStr">
        <is>
          <t>Output</t>
        </is>
      </c>
      <c r="F559" t="inlineStr">
        <is>
          <t>'=SUBTOTAL(109,TrainingAndTravelPlan[Sep])</t>
        </is>
      </c>
      <c r="G559" t="n">
        <v>4000</v>
      </c>
      <c r="H559" t="inlineStr"/>
      <c r="I559" t="inlineStr">
        <is>
          <t>"$"#,##0.00_);[Red]\("$"#,##0.00\)</t>
        </is>
      </c>
      <c r="J559" t="b">
        <v>0</v>
      </c>
      <c r="K559" t="b">
        <v>0</v>
      </c>
      <c r="L559" t="n">
        <v>10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inlineStr">
        <is>
          <t>center</t>
        </is>
      </c>
      <c r="P559" t="inlineStr">
        <is>
          <t>center</t>
        </is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>
        <f>SUBTOTAL(109,TrainingAndTravelPlan[Sep])</f>
        <v/>
      </c>
    </row>
    <row r="560">
      <c r="A560" t="inlineStr">
        <is>
          <t>PLANNED EXPENSES</t>
        </is>
      </c>
      <c r="B560" t="inlineStr">
        <is>
          <t>L34</t>
        </is>
      </c>
      <c r="C560" t="n">
        <v>34</v>
      </c>
      <c r="D560" t="n">
        <v>12</v>
      </c>
      <c r="E560" t="inlineStr">
        <is>
          <t>Output</t>
        </is>
      </c>
      <c r="F560" t="inlineStr">
        <is>
          <t>'=SUBTOTAL(109,TrainingAndTravelPlan[Oct])</t>
        </is>
      </c>
      <c r="G560" t="n">
        <v>4000</v>
      </c>
      <c r="H560" t="inlineStr"/>
      <c r="I560" t="inlineStr">
        <is>
          <t>"$"#,##0.00_);[Red]\("$"#,##0.00\)</t>
        </is>
      </c>
      <c r="J560" t="b">
        <v>0</v>
      </c>
      <c r="K560" t="b">
        <v>0</v>
      </c>
      <c r="L560" t="n">
        <v>10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>
        <f>SUBTOTAL(109,TrainingAndTravelPlan[Oct])</f>
        <v/>
      </c>
    </row>
    <row r="561">
      <c r="A561" t="inlineStr">
        <is>
          <t>PLANNED EXPENSES</t>
        </is>
      </c>
      <c r="B561" t="inlineStr">
        <is>
          <t>M34</t>
        </is>
      </c>
      <c r="C561" t="n">
        <v>34</v>
      </c>
      <c r="D561" t="n">
        <v>13</v>
      </c>
      <c r="E561" t="inlineStr">
        <is>
          <t>Output</t>
        </is>
      </c>
      <c r="F561" t="inlineStr">
        <is>
          <t>'=SUBTOTAL(109,TrainingAndTravelPlan[Nov])</t>
        </is>
      </c>
      <c r="G561" t="n">
        <v>4000</v>
      </c>
      <c r="H561" t="inlineStr"/>
      <c r="I561" t="inlineStr">
        <is>
          <t>"$"#,##0.00_);[Red]\("$"#,##0.00\)</t>
        </is>
      </c>
      <c r="J561" t="b">
        <v>0</v>
      </c>
      <c r="K561" t="b">
        <v>0</v>
      </c>
      <c r="L561" t="n">
        <v>10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>
        <f>SUBTOTAL(109,TrainingAndTravelPlan[Nov])</f>
        <v/>
      </c>
    </row>
    <row r="562">
      <c r="A562" t="inlineStr">
        <is>
          <t>PLANNED EXPENSES</t>
        </is>
      </c>
      <c r="B562" t="inlineStr">
        <is>
          <t>N34</t>
        </is>
      </c>
      <c r="C562" t="n">
        <v>34</v>
      </c>
      <c r="D562" t="n">
        <v>14</v>
      </c>
      <c r="E562" t="inlineStr">
        <is>
          <t>Output</t>
        </is>
      </c>
      <c r="F562" t="inlineStr">
        <is>
          <t>'=SUBTOTAL(109,TrainingAndTravelPlan[Dec])</t>
        </is>
      </c>
      <c r="G562" t="n">
        <v>4000</v>
      </c>
      <c r="H562" t="inlineStr"/>
      <c r="I562" t="inlineStr">
        <is>
          <t>"$"#,##0.00_);[Red]\("$"#,##0.00\)</t>
        </is>
      </c>
      <c r="J562" t="b">
        <v>0</v>
      </c>
      <c r="K562" t="b">
        <v>0</v>
      </c>
      <c r="L562" t="n">
        <v>10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>
        <f>SUBTOTAL(109,TrainingAndTravelPlan[Dec])</f>
        <v/>
      </c>
    </row>
    <row r="563">
      <c r="A563" t="inlineStr">
        <is>
          <t>PLANNED EXPENSES</t>
        </is>
      </c>
      <c r="B563" t="inlineStr">
        <is>
          <t>O34</t>
        </is>
      </c>
      <c r="C563" t="n">
        <v>34</v>
      </c>
      <c r="D563" t="n">
        <v>15</v>
      </c>
      <c r="E563" t="inlineStr">
        <is>
          <t>Output</t>
        </is>
      </c>
      <c r="F563" t="inlineStr">
        <is>
          <t>'=SUBTOTAL(109,TrainingAndTravelPlan[YEAR])</t>
        </is>
      </c>
      <c r="G563" t="n">
        <v>48000</v>
      </c>
      <c r="H563" t="inlineStr"/>
      <c r="I563" t="inlineStr">
        <is>
          <t>"$"#,##0.00_);[Red]\("$"#,##0.00\)</t>
        </is>
      </c>
      <c r="J563" t="b">
        <v>0</v>
      </c>
      <c r="K563" t="b">
        <v>0</v>
      </c>
      <c r="L563" t="n">
        <v>10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>
        <f>SUBTOTAL(109,TrainingAndTravelPlan[YEAR])</f>
        <v/>
      </c>
    </row>
    <row r="564">
      <c r="A564" t="inlineStr">
        <is>
          <t>PLANNED EXPENSES</t>
        </is>
      </c>
      <c r="B564" t="inlineStr">
        <is>
          <t>P34</t>
        </is>
      </c>
      <c r="C564" t="n">
        <v>34</v>
      </c>
      <c r="D564" t="n">
        <v>16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n">
        <v/>
      </c>
      <c r="P564" t="n">
        <v/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PLANNED EXPENSES</t>
        </is>
      </c>
      <c r="B565" t="inlineStr">
        <is>
          <t>A35</t>
        </is>
      </c>
      <c r="C565" t="n">
        <v>35</v>
      </c>
      <c r="D565" t="n">
        <v>1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n">
        <v/>
      </c>
      <c r="P565" t="n">
        <v/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PLANNED EXPENSES</t>
        </is>
      </c>
      <c r="B566" t="inlineStr">
        <is>
          <t>B35</t>
        </is>
      </c>
      <c r="C566" t="n">
        <v>35</v>
      </c>
      <c r="D566" t="n">
        <v>2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10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n">
        <v/>
      </c>
      <c r="P566" t="n">
        <v/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PLANNED EXPENSES</t>
        </is>
      </c>
      <c r="B567" t="inlineStr">
        <is>
          <t>C35</t>
        </is>
      </c>
      <c r="C567" t="n">
        <v>35</v>
      </c>
      <c r="D567" t="n">
        <v>3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10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n">
        <v/>
      </c>
      <c r="P567" t="n">
        <v/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PLANNED EXPENSES</t>
        </is>
      </c>
      <c r="B568" t="inlineStr">
        <is>
          <t>D35</t>
        </is>
      </c>
      <c r="C568" t="n">
        <v>35</v>
      </c>
      <c r="D568" t="n">
        <v>4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1</v>
      </c>
      <c r="K568" t="b">
        <v>0</v>
      </c>
      <c r="L568" t="n">
        <v>10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n">
        <v/>
      </c>
      <c r="P568" t="n">
        <v/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PLANNED EXPENSES</t>
        </is>
      </c>
      <c r="B569" t="inlineStr">
        <is>
          <t>E35</t>
        </is>
      </c>
      <c r="C569" t="n">
        <v>35</v>
      </c>
      <c r="D569" t="n">
        <v>5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1</v>
      </c>
      <c r="K569" t="b">
        <v>0</v>
      </c>
      <c r="L569" t="n">
        <v>10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n">
        <v/>
      </c>
      <c r="P569" t="n">
        <v/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PLANNED EXPENSES</t>
        </is>
      </c>
      <c r="B570" t="inlineStr">
        <is>
          <t>F35</t>
        </is>
      </c>
      <c r="C570" t="n">
        <v>35</v>
      </c>
      <c r="D570" t="n">
        <v>6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1</v>
      </c>
      <c r="K570" t="b">
        <v>0</v>
      </c>
      <c r="L570" t="n">
        <v>10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n">
        <v/>
      </c>
      <c r="P570" t="n">
        <v/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PLANNED EXPENSES</t>
        </is>
      </c>
      <c r="B571" t="inlineStr">
        <is>
          <t>G35</t>
        </is>
      </c>
      <c r="C571" t="n">
        <v>35</v>
      </c>
      <c r="D571" t="n">
        <v>7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1</v>
      </c>
      <c r="K571" t="b">
        <v>0</v>
      </c>
      <c r="L571" t="n">
        <v>10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n">
        <v/>
      </c>
      <c r="P571" t="n">
        <v/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PLANNED EXPENSES</t>
        </is>
      </c>
      <c r="B572" t="inlineStr">
        <is>
          <t>H35</t>
        </is>
      </c>
      <c r="C572" t="n">
        <v>35</v>
      </c>
      <c r="D572" t="n">
        <v>8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1</v>
      </c>
      <c r="K572" t="b">
        <v>0</v>
      </c>
      <c r="L572" t="n">
        <v>10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n">
        <v/>
      </c>
      <c r="P572" t="n">
        <v/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PLANNED EXPENSES</t>
        </is>
      </c>
      <c r="B573" t="inlineStr">
        <is>
          <t>I35</t>
        </is>
      </c>
      <c r="C573" t="n">
        <v>35</v>
      </c>
      <c r="D573" t="n">
        <v>9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1</v>
      </c>
      <c r="K573" t="b">
        <v>0</v>
      </c>
      <c r="L573" t="n">
        <v>10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n">
        <v/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PLANNED EXPENSES</t>
        </is>
      </c>
      <c r="B574" t="inlineStr">
        <is>
          <t>J35</t>
        </is>
      </c>
      <c r="C574" t="n">
        <v>35</v>
      </c>
      <c r="D574" t="n">
        <v>10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1</v>
      </c>
      <c r="K574" t="b">
        <v>0</v>
      </c>
      <c r="L574" t="n">
        <v>10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n">
        <v/>
      </c>
      <c r="P574" t="n">
        <v/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PLANNED EXPENSES</t>
        </is>
      </c>
      <c r="B575" t="inlineStr">
        <is>
          <t>K35</t>
        </is>
      </c>
      <c r="C575" t="n">
        <v>35</v>
      </c>
      <c r="D575" t="n">
        <v>11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10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n">
        <v/>
      </c>
      <c r="P575" t="n">
        <v/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PLANNED EXPENSES</t>
        </is>
      </c>
      <c r="B576" t="inlineStr">
        <is>
          <t>L35</t>
        </is>
      </c>
      <c r="C576" t="n">
        <v>35</v>
      </c>
      <c r="D576" t="n">
        <v>12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1</v>
      </c>
      <c r="K576" t="b">
        <v>0</v>
      </c>
      <c r="L576" t="n">
        <v>10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n">
        <v/>
      </c>
      <c r="P576" t="n">
        <v/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PLANNED EXPENSES</t>
        </is>
      </c>
      <c r="B577" t="inlineStr">
        <is>
          <t>M35</t>
        </is>
      </c>
      <c r="C577" t="n">
        <v>35</v>
      </c>
      <c r="D577" t="n">
        <v>13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1</v>
      </c>
      <c r="K577" t="b">
        <v>0</v>
      </c>
      <c r="L577" t="n">
        <v>10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n">
        <v/>
      </c>
      <c r="P577" t="n">
        <v/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</row>
    <row r="578">
      <c r="A578" t="inlineStr">
        <is>
          <t>PLANNED EXPENSES</t>
        </is>
      </c>
      <c r="B578" t="inlineStr">
        <is>
          <t>N35</t>
        </is>
      </c>
      <c r="C578" t="n">
        <v>35</v>
      </c>
      <c r="D578" t="n">
        <v>14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1</v>
      </c>
      <c r="K578" t="b">
        <v>0</v>
      </c>
      <c r="L578" t="n">
        <v>10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n">
        <v/>
      </c>
      <c r="P578" t="n">
        <v/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</row>
    <row r="579">
      <c r="A579" t="inlineStr">
        <is>
          <t>PLANNED EXPENSES</t>
        </is>
      </c>
      <c r="B579" t="inlineStr">
        <is>
          <t>O35</t>
        </is>
      </c>
      <c r="C579" t="n">
        <v>35</v>
      </c>
      <c r="D579" t="n">
        <v>15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1</v>
      </c>
      <c r="K579" t="b">
        <v>0</v>
      </c>
      <c r="L579" t="n">
        <v>10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n">
        <v/>
      </c>
      <c r="P579" t="n">
        <v/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</row>
    <row r="580">
      <c r="A580" t="inlineStr">
        <is>
          <t>PLANNED EXPENSES</t>
        </is>
      </c>
      <c r="B580" t="inlineStr">
        <is>
          <t>P35</t>
        </is>
      </c>
      <c r="C580" t="n">
        <v>35</v>
      </c>
      <c r="D580" t="n">
        <v>16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n">
        <v/>
      </c>
      <c r="P580" t="n">
        <v/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</row>
    <row r="581">
      <c r="A581" t="inlineStr">
        <is>
          <t>PLANNED EXPENSES</t>
        </is>
      </c>
      <c r="B581" t="inlineStr">
        <is>
          <t>A36</t>
        </is>
      </c>
      <c r="C581" t="n">
        <v>36</v>
      </c>
      <c r="D581" t="n">
        <v>1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n">
        <v/>
      </c>
      <c r="P581" t="n">
        <v/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</row>
    <row r="582">
      <c r="A582" t="inlineStr">
        <is>
          <t>PLANNED EXPENSES</t>
        </is>
      </c>
      <c r="B582" t="inlineStr">
        <is>
          <t>B36</t>
        </is>
      </c>
      <c r="C582" t="n">
        <v>36</v>
      </c>
      <c r="D582" t="n">
        <v>2</v>
      </c>
      <c r="E582" t="inlineStr">
        <is>
          <t>Input</t>
        </is>
      </c>
      <c r="F582" t="n">
        <v/>
      </c>
      <c r="G582" t="inlineStr">
        <is>
          <t>Totals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16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left</t>
        </is>
      </c>
      <c r="P582" t="inlineStr">
        <is>
          <t>center</t>
        </is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</row>
    <row r="583">
      <c r="A583" t="inlineStr">
        <is>
          <t>PLANNED EXPENSES</t>
        </is>
      </c>
      <c r="B583" t="inlineStr">
        <is>
          <t>C36</t>
        </is>
      </c>
      <c r="C583" t="n">
        <v>36</v>
      </c>
      <c r="D583" t="n">
        <v>3</v>
      </c>
      <c r="E583" t="inlineStr">
        <is>
          <t>Input</t>
        </is>
      </c>
      <c r="F583" t="n">
        <v/>
      </c>
      <c r="G583" t="inlineStr">
        <is>
          <t>Jan</t>
        </is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16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</row>
    <row r="584">
      <c r="A584" t="inlineStr">
        <is>
          <t>PLANNED EXPENSES</t>
        </is>
      </c>
      <c r="B584" t="inlineStr">
        <is>
          <t>D36</t>
        </is>
      </c>
      <c r="C584" t="n">
        <v>36</v>
      </c>
      <c r="D584" t="n">
        <v>4</v>
      </c>
      <c r="E584" t="inlineStr">
        <is>
          <t>Input</t>
        </is>
      </c>
      <c r="F584" t="n">
        <v/>
      </c>
      <c r="G584" t="inlineStr">
        <is>
          <t>Feb</t>
        </is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16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PLANNED EXPENSES</t>
        </is>
      </c>
      <c r="B585" t="inlineStr">
        <is>
          <t>E36</t>
        </is>
      </c>
      <c r="C585" t="n">
        <v>36</v>
      </c>
      <c r="D585" t="n">
        <v>5</v>
      </c>
      <c r="E585" t="inlineStr">
        <is>
          <t>Input</t>
        </is>
      </c>
      <c r="F585" t="n">
        <v/>
      </c>
      <c r="G585" t="inlineStr">
        <is>
          <t>Mar</t>
        </is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16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PLANNED EXPENSES</t>
        </is>
      </c>
      <c r="B586" t="inlineStr">
        <is>
          <t>F36</t>
        </is>
      </c>
      <c r="C586" t="n">
        <v>36</v>
      </c>
      <c r="D586" t="n">
        <v>6</v>
      </c>
      <c r="E586" t="inlineStr">
        <is>
          <t>Input</t>
        </is>
      </c>
      <c r="F586" t="n">
        <v/>
      </c>
      <c r="G586" t="inlineStr">
        <is>
          <t>Apr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16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PLANNED EXPENSES</t>
        </is>
      </c>
      <c r="B587" t="inlineStr">
        <is>
          <t>G36</t>
        </is>
      </c>
      <c r="C587" t="n">
        <v>36</v>
      </c>
      <c r="D587" t="n">
        <v>7</v>
      </c>
      <c r="E587" t="inlineStr">
        <is>
          <t>Input</t>
        </is>
      </c>
      <c r="F587" t="n">
        <v/>
      </c>
      <c r="G587" t="inlineStr">
        <is>
          <t>May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16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PLANNED EXPENSES</t>
        </is>
      </c>
      <c r="B588" t="inlineStr">
        <is>
          <t>H36</t>
        </is>
      </c>
      <c r="C588" t="n">
        <v>36</v>
      </c>
      <c r="D588" t="n">
        <v>8</v>
      </c>
      <c r="E588" t="inlineStr">
        <is>
          <t>Input</t>
        </is>
      </c>
      <c r="F588" t="n">
        <v/>
      </c>
      <c r="G588" t="inlineStr">
        <is>
          <t>Jun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16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PLANNED EXPENSES</t>
        </is>
      </c>
      <c r="B589" t="inlineStr">
        <is>
          <t>I36</t>
        </is>
      </c>
      <c r="C589" t="n">
        <v>36</v>
      </c>
      <c r="D589" t="n">
        <v>9</v>
      </c>
      <c r="E589" t="inlineStr">
        <is>
          <t>Input</t>
        </is>
      </c>
      <c r="F589" t="n">
        <v/>
      </c>
      <c r="G589" t="inlineStr">
        <is>
          <t>Jul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16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PLANNED EXPENSES</t>
        </is>
      </c>
      <c r="B590" t="inlineStr">
        <is>
          <t>J36</t>
        </is>
      </c>
      <c r="C590" t="n">
        <v>36</v>
      </c>
      <c r="D590" t="n">
        <v>10</v>
      </c>
      <c r="E590" t="inlineStr">
        <is>
          <t>Input</t>
        </is>
      </c>
      <c r="F590" t="n">
        <v/>
      </c>
      <c r="G590" t="inlineStr">
        <is>
          <t>Aug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16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PLANNED EXPENSES</t>
        </is>
      </c>
      <c r="B591" t="inlineStr">
        <is>
          <t>K36</t>
        </is>
      </c>
      <c r="C591" t="n">
        <v>36</v>
      </c>
      <c r="D591" t="n">
        <v>11</v>
      </c>
      <c r="E591" t="inlineStr">
        <is>
          <t>Input</t>
        </is>
      </c>
      <c r="F591" t="n">
        <v/>
      </c>
      <c r="G591" t="inlineStr">
        <is>
          <t>Sep</t>
        </is>
      </c>
      <c r="H591" t="inlineStr"/>
      <c r="I591" t="inlineStr">
        <is>
          <t>General</t>
        </is>
      </c>
      <c r="J591" t="b">
        <v>1</v>
      </c>
      <c r="K591" t="b">
        <v>0</v>
      </c>
      <c r="L591" t="n">
        <v>16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PLANNED EXPENSES</t>
        </is>
      </c>
      <c r="B592" t="inlineStr">
        <is>
          <t>L36</t>
        </is>
      </c>
      <c r="C592" t="n">
        <v>36</v>
      </c>
      <c r="D592" t="n">
        <v>12</v>
      </c>
      <c r="E592" t="inlineStr">
        <is>
          <t>Input</t>
        </is>
      </c>
      <c r="F592" t="n">
        <v/>
      </c>
      <c r="G592" t="inlineStr">
        <is>
          <t>Oct</t>
        </is>
      </c>
      <c r="H592" t="inlineStr"/>
      <c r="I592" t="inlineStr">
        <is>
          <t>General</t>
        </is>
      </c>
      <c r="J592" t="b">
        <v>1</v>
      </c>
      <c r="K592" t="b">
        <v>0</v>
      </c>
      <c r="L592" t="n">
        <v>16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PLANNED EXPENSES</t>
        </is>
      </c>
      <c r="B593" t="inlineStr">
        <is>
          <t>M36</t>
        </is>
      </c>
      <c r="C593" t="n">
        <v>36</v>
      </c>
      <c r="D593" t="n">
        <v>13</v>
      </c>
      <c r="E593" t="inlineStr">
        <is>
          <t>Input</t>
        </is>
      </c>
      <c r="F593" t="n">
        <v/>
      </c>
      <c r="G593" t="inlineStr">
        <is>
          <t>Nov</t>
        </is>
      </c>
      <c r="H593" t="inlineStr"/>
      <c r="I593" t="inlineStr">
        <is>
          <t>General</t>
        </is>
      </c>
      <c r="J593" t="b">
        <v>1</v>
      </c>
      <c r="K593" t="b">
        <v>0</v>
      </c>
      <c r="L593" t="n">
        <v>16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PLANNED EXPENSES</t>
        </is>
      </c>
      <c r="B594" t="inlineStr">
        <is>
          <t>N36</t>
        </is>
      </c>
      <c r="C594" t="n">
        <v>36</v>
      </c>
      <c r="D594" t="n">
        <v>14</v>
      </c>
      <c r="E594" t="inlineStr">
        <is>
          <t>Input</t>
        </is>
      </c>
      <c r="F594" t="n">
        <v/>
      </c>
      <c r="G594" t="inlineStr">
        <is>
          <t>Dec</t>
        </is>
      </c>
      <c r="H594" t="inlineStr"/>
      <c r="I594" t="inlineStr">
        <is>
          <t>General</t>
        </is>
      </c>
      <c r="J594" t="b">
        <v>1</v>
      </c>
      <c r="K594" t="b">
        <v>0</v>
      </c>
      <c r="L594" t="n">
        <v>16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inlineStr">
        <is>
          <t>center</t>
        </is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PLANNED EXPENSES</t>
        </is>
      </c>
      <c r="B595" t="inlineStr">
        <is>
          <t>O36</t>
        </is>
      </c>
      <c r="C595" t="n">
        <v>36</v>
      </c>
      <c r="D595" t="n">
        <v>15</v>
      </c>
      <c r="E595" t="inlineStr">
        <is>
          <t>Input</t>
        </is>
      </c>
      <c r="F595" t="n">
        <v/>
      </c>
      <c r="G595" t="inlineStr">
        <is>
          <t>Year</t>
        </is>
      </c>
      <c r="H595" t="inlineStr"/>
      <c r="I595" t="inlineStr">
        <is>
          <t>General</t>
        </is>
      </c>
      <c r="J595" t="b">
        <v>1</v>
      </c>
      <c r="K595" t="b">
        <v>0</v>
      </c>
      <c r="L595" t="n">
        <v>16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inlineStr">
        <is>
          <t>center</t>
        </is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PLANNED EXPENSES</t>
        </is>
      </c>
      <c r="B596" t="inlineStr">
        <is>
          <t>P36</t>
        </is>
      </c>
      <c r="C596" t="n">
        <v>36</v>
      </c>
      <c r="D596" t="n">
        <v>16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n">
        <v/>
      </c>
      <c r="P596" t="n">
        <v/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PLANNED EXPENSES</t>
        </is>
      </c>
      <c r="B597" t="inlineStr">
        <is>
          <t>A37</t>
        </is>
      </c>
      <c r="C597" t="n">
        <v>37</v>
      </c>
      <c r="D597" t="n">
        <v>1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n">
        <v/>
      </c>
      <c r="P597" t="n">
        <v/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PLANNED EXPENSES</t>
        </is>
      </c>
      <c r="B598" t="inlineStr">
        <is>
          <t>B37</t>
        </is>
      </c>
      <c r="C598" t="n">
        <v>37</v>
      </c>
      <c r="D598" t="n">
        <v>2</v>
      </c>
      <c r="E598" t="inlineStr">
        <is>
          <t>Input</t>
        </is>
      </c>
      <c r="F598" t="n">
        <v/>
      </c>
      <c r="G598" t="inlineStr">
        <is>
          <t>Monthly planned expenses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12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left</t>
        </is>
      </c>
      <c r="P598" t="inlineStr">
        <is>
          <t>center</t>
        </is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PLANNED EXPENSES</t>
        </is>
      </c>
      <c r="B599" t="inlineStr">
        <is>
          <t>C37</t>
        </is>
      </c>
      <c r="C599" t="n">
        <v>37</v>
      </c>
      <c r="D599" t="n">
        <v>3</v>
      </c>
      <c r="E599" t="inlineStr">
        <is>
          <t>Calculation</t>
        </is>
      </c>
      <c r="F599" t="inlineStr">
        <is>
          <t>'=TrainingAndTravelPlan[[#Totals],[Jan]]+MarketingPlan[[#Totals],[Jan]]+OfficePlan[[#Totals],[Jan]]+EmployeePlan[[#Totals],[Jan]]</t>
        </is>
      </c>
      <c r="G599" t="n">
        <v>131720</v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10</v>
      </c>
      <c r="M599" t="inlineStr">
        <is>
          <t>Values must be of type &lt;class 'str'&gt;</t>
        </is>
      </c>
      <c r="N599" t="inlineStr">
        <is>
          <t>Values must be of type &lt;class 'str'&gt;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>
        <f>TrainingAndTravelPlan[[#Totals],[Jan]]+MarketingPlan[[#Totals],[Jan]]+OfficePlan[[#Totals],[Jan]]+EmployeePlan[[#Totals],[Jan]]</f>
        <v/>
      </c>
    </row>
    <row r="600">
      <c r="A600" t="inlineStr">
        <is>
          <t>PLANNED EXPENSES</t>
        </is>
      </c>
      <c r="B600" t="inlineStr">
        <is>
          <t>D37</t>
        </is>
      </c>
      <c r="C600" t="n">
        <v>37</v>
      </c>
      <c r="D600" t="n">
        <v>4</v>
      </c>
      <c r="E600" t="inlineStr">
        <is>
          <t>Calculation</t>
        </is>
      </c>
      <c r="F600" t="inlineStr">
        <is>
          <t>'=TrainingAndTravelPlan[[#Totals],[Feb]]+MarketingPlan[[#Totals],[Feb]]+OfficePlan[[#Totals],[Feb]]+EmployeePlan[[#Totals],[Feb]]</t>
        </is>
      </c>
      <c r="G600" t="n">
        <v>126820</v>
      </c>
      <c r="H600" t="inlineStr"/>
      <c r="I600" t="inlineStr">
        <is>
          <t>"$"#,##0.00_);[Red]\("$"#,##0.00\)</t>
        </is>
      </c>
      <c r="J600" t="b">
        <v>0</v>
      </c>
      <c r="K600" t="b">
        <v>0</v>
      </c>
      <c r="L600" t="n">
        <v>10</v>
      </c>
      <c r="M600" t="inlineStr">
        <is>
          <t>Values must be of type &lt;class 'str'&gt;</t>
        </is>
      </c>
      <c r="N600" t="inlineStr">
        <is>
          <t>Values must be of type &lt;class 'str'&gt;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n">
        <v/>
      </c>
      <c r="T600" t="n">
        <v/>
      </c>
      <c r="U600" t="n">
        <v/>
      </c>
      <c r="V600" t="b">
        <v>0</v>
      </c>
      <c r="W600" t="inlineStr"/>
      <c r="X600">
        <f>TrainingAndTravelPlan[[#Totals],[Feb]]+MarketingPlan[[#Totals],[Feb]]+OfficePlan[[#Totals],[Feb]]+EmployeePlan[[#Totals],[Feb]]</f>
        <v/>
      </c>
    </row>
    <row r="601">
      <c r="A601" t="inlineStr">
        <is>
          <t>PLANNED EXPENSES</t>
        </is>
      </c>
      <c r="B601" t="inlineStr">
        <is>
          <t>E37</t>
        </is>
      </c>
      <c r="C601" t="n">
        <v>37</v>
      </c>
      <c r="D601" t="n">
        <v>5</v>
      </c>
      <c r="E601" t="inlineStr">
        <is>
          <t>Calculation</t>
        </is>
      </c>
      <c r="F601" t="inlineStr">
        <is>
          <t>'=TrainingAndTravelPlan[[#Totals],[Mar]]+MarketingPlan[[#Totals],[Mar]]+OfficePlan[[#Totals],[Mar]]+EmployeePlan[[#Totals],[Mar]]</t>
        </is>
      </c>
      <c r="G601" t="n">
        <v>126820</v>
      </c>
      <c r="H601" t="inlineStr"/>
      <c r="I601" t="inlineStr">
        <is>
          <t>"$"#,##0.00_);[Red]\("$"#,##0.00\)</t>
        </is>
      </c>
      <c r="J601" t="b">
        <v>0</v>
      </c>
      <c r="K601" t="b">
        <v>0</v>
      </c>
      <c r="L601" t="n">
        <v>10</v>
      </c>
      <c r="M601" t="inlineStr">
        <is>
          <t>Values must be of type &lt;class 'str'&gt;</t>
        </is>
      </c>
      <c r="N601" t="inlineStr">
        <is>
          <t>Values must be of type &lt;class 'str'&gt;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>
        <f>TrainingAndTravelPlan[[#Totals],[Mar]]+MarketingPlan[[#Totals],[Mar]]+OfficePlan[[#Totals],[Mar]]+EmployeePlan[[#Totals],[Mar]]</f>
        <v/>
      </c>
    </row>
    <row r="602">
      <c r="A602" t="inlineStr">
        <is>
          <t>PLANNED EXPENSES</t>
        </is>
      </c>
      <c r="B602" t="inlineStr">
        <is>
          <t>F37</t>
        </is>
      </c>
      <c r="C602" t="n">
        <v>37</v>
      </c>
      <c r="D602" t="n">
        <v>6</v>
      </c>
      <c r="E602" t="inlineStr">
        <is>
          <t>Calculation</t>
        </is>
      </c>
      <c r="F602" t="inlineStr">
        <is>
          <t>'=TrainingAndTravelPlan[[#Totals],[Apr]]+MarketingPlan[[#Totals],[Apr]]+OfficePlan[[#Totals],[Apr]]+EmployeePlan[[#Totals],[Apr]]</t>
        </is>
      </c>
      <c r="G602" t="n">
        <v>137695</v>
      </c>
      <c r="H602" t="inlineStr"/>
      <c r="I602" t="inlineStr">
        <is>
          <t>"$"#,##0.00_);[Red]\("$"#,##0.00\)</t>
        </is>
      </c>
      <c r="J602" t="b">
        <v>0</v>
      </c>
      <c r="K602" t="b">
        <v>0</v>
      </c>
      <c r="L602" t="n">
        <v>10</v>
      </c>
      <c r="M602" t="inlineStr">
        <is>
          <t>Values must be of type &lt;class 'str'&gt;</t>
        </is>
      </c>
      <c r="N602" t="inlineStr">
        <is>
          <t>Values must be of type &lt;class 'str'&gt;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>
        <f>TrainingAndTravelPlan[[#Totals],[Apr]]+MarketingPlan[[#Totals],[Apr]]+OfficePlan[[#Totals],[Apr]]+EmployeePlan[[#Totals],[Apr]]</f>
        <v/>
      </c>
    </row>
    <row r="603">
      <c r="A603" t="inlineStr">
        <is>
          <t>PLANNED EXPENSES</t>
        </is>
      </c>
      <c r="B603" t="inlineStr">
        <is>
          <t>G37</t>
        </is>
      </c>
      <c r="C603" t="n">
        <v>37</v>
      </c>
      <c r="D603" t="n">
        <v>7</v>
      </c>
      <c r="E603" t="inlineStr">
        <is>
          <t>Calculation</t>
        </is>
      </c>
      <c r="F603" t="inlineStr">
        <is>
          <t>'=TrainingAndTravelPlan[[#Totals],[May]]+MarketingPlan[[#Totals],[May]]+OfficePlan[[#Totals],[May]]+EmployeePlan[[#Totals],[May]]</t>
        </is>
      </c>
      <c r="G603" t="n">
        <v>129695</v>
      </c>
      <c r="H603" t="inlineStr"/>
      <c r="I603" t="inlineStr">
        <is>
          <t>"$"#,##0.00_);[Red]\("$"#,##0.00\)</t>
        </is>
      </c>
      <c r="J603" t="b">
        <v>0</v>
      </c>
      <c r="K603" t="b">
        <v>0</v>
      </c>
      <c r="L603" t="n">
        <v>10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inlineStr">
        <is>
          <t>center</t>
        </is>
      </c>
      <c r="P603" t="inlineStr">
        <is>
          <t>center</t>
        </is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>
        <f>TrainingAndTravelPlan[[#Totals],[May]]+MarketingPlan[[#Totals],[May]]+OfficePlan[[#Totals],[May]]+EmployeePlan[[#Totals],[May]]</f>
        <v/>
      </c>
    </row>
    <row r="604">
      <c r="A604" t="inlineStr">
        <is>
          <t>PLANNED EXPENSES</t>
        </is>
      </c>
      <c r="B604" t="inlineStr">
        <is>
          <t>H37</t>
        </is>
      </c>
      <c r="C604" t="n">
        <v>37</v>
      </c>
      <c r="D604" t="n">
        <v>8</v>
      </c>
      <c r="E604" t="inlineStr">
        <is>
          <t>Calculation</t>
        </is>
      </c>
      <c r="F604" t="inlineStr">
        <is>
          <t>'=TrainingAndTravelPlan[[#Totals],[Jun]]+MarketingPlan[[#Totals],[Jun]]+OfficePlan[[#Totals],[Jun]]+EmployeePlan[[#Totals],[Jun]]</t>
        </is>
      </c>
      <c r="G604" t="n">
        <v>130495</v>
      </c>
      <c r="H604" t="inlineStr"/>
      <c r="I604" t="inlineStr">
        <is>
          <t>"$"#,##0.00_);[Red]\("$"#,##0.00\)</t>
        </is>
      </c>
      <c r="J604" t="b">
        <v>0</v>
      </c>
      <c r="K604" t="b">
        <v>0</v>
      </c>
      <c r="L604" t="n">
        <v>10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inlineStr">
        <is>
          <t>center</t>
        </is>
      </c>
      <c r="P604" t="inlineStr">
        <is>
          <t>center</t>
        </is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>
        <f>TrainingAndTravelPlan[[#Totals],[Jun]]+MarketingPlan[[#Totals],[Jun]]+OfficePlan[[#Totals],[Jun]]+EmployeePlan[[#Totals],[Jun]]</f>
        <v/>
      </c>
    </row>
    <row r="605">
      <c r="A605" t="inlineStr">
        <is>
          <t>PLANNED EXPENSES</t>
        </is>
      </c>
      <c r="B605" t="inlineStr">
        <is>
          <t>I37</t>
        </is>
      </c>
      <c r="C605" t="n">
        <v>37</v>
      </c>
      <c r="D605" t="n">
        <v>9</v>
      </c>
      <c r="E605" t="inlineStr">
        <is>
          <t>Calculation</t>
        </is>
      </c>
      <c r="F605" t="inlineStr">
        <is>
          <t>'=TrainingAndTravelPlan[[#Totals],[Jul]]+MarketingPlan[[#Totals],[Jul]]+OfficePlan[[#Totals],[Jul]]+EmployeePlan[[#Totals],[Jul]]</t>
        </is>
      </c>
      <c r="G605" t="n">
        <v>134695</v>
      </c>
      <c r="H605" t="inlineStr"/>
      <c r="I605" t="inlineStr">
        <is>
          <t>"$"#,##0.00_);[Red]\("$"#,##0.00\)</t>
        </is>
      </c>
      <c r="J605" t="b">
        <v>0</v>
      </c>
      <c r="K605" t="b">
        <v>0</v>
      </c>
      <c r="L605" t="n">
        <v>10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inlineStr">
        <is>
          <t>center</t>
        </is>
      </c>
      <c r="P605" t="inlineStr">
        <is>
          <t>center</t>
        </is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>
        <f>TrainingAndTravelPlan[[#Totals],[Jul]]+MarketingPlan[[#Totals],[Jul]]+OfficePlan[[#Totals],[Jul]]+EmployeePlan[[#Totals],[Jul]]</f>
        <v/>
      </c>
    </row>
    <row r="606">
      <c r="A606" t="inlineStr">
        <is>
          <t>PLANNED EXPENSES</t>
        </is>
      </c>
      <c r="B606" t="inlineStr">
        <is>
          <t>J37</t>
        </is>
      </c>
      <c r="C606" t="n">
        <v>37</v>
      </c>
      <c r="D606" t="n">
        <v>10</v>
      </c>
      <c r="E606" t="inlineStr">
        <is>
          <t>Calculation</t>
        </is>
      </c>
      <c r="F606" t="inlineStr">
        <is>
          <t>'=TrainingAndTravelPlan[[#Totals],[Aug]]+MarketingPlan[[#Totals],[Aug]]+OfficePlan[[#Totals],[Aug]]+EmployeePlan[[#Totals],[Aug]]</t>
        </is>
      </c>
      <c r="G606" t="n">
        <v>138918</v>
      </c>
      <c r="H606" t="inlineStr"/>
      <c r="I606" t="inlineStr">
        <is>
          <t>"$"#,##0.00_);[Red]\("$"#,##0.00\)</t>
        </is>
      </c>
      <c r="J606" t="b">
        <v>0</v>
      </c>
      <c r="K606" t="b">
        <v>0</v>
      </c>
      <c r="L606" t="n">
        <v>10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inlineStr">
        <is>
          <t>center</t>
        </is>
      </c>
      <c r="P606" t="inlineStr">
        <is>
          <t>center</t>
        </is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>
        <f>TrainingAndTravelPlan[[#Totals],[Aug]]+MarketingPlan[[#Totals],[Aug]]+OfficePlan[[#Totals],[Aug]]+EmployeePlan[[#Totals],[Aug]]</f>
        <v/>
      </c>
    </row>
    <row r="607">
      <c r="A607" t="inlineStr">
        <is>
          <t>PLANNED EXPENSES</t>
        </is>
      </c>
      <c r="B607" t="inlineStr">
        <is>
          <t>K37</t>
        </is>
      </c>
      <c r="C607" t="n">
        <v>37</v>
      </c>
      <c r="D607" t="n">
        <v>11</v>
      </c>
      <c r="E607" t="inlineStr">
        <is>
          <t>Calculation</t>
        </is>
      </c>
      <c r="F607" t="inlineStr">
        <is>
          <t>'=TrainingAndTravelPlan[[#Totals],[Sep]]+MarketingPlan[[#Totals],[Sep]]+OfficePlan[[#Totals],[Sep]]+EmployeePlan[[#Totals],[Sep]]</t>
        </is>
      </c>
      <c r="G607" t="n">
        <v>135918</v>
      </c>
      <c r="H607" t="inlineStr"/>
      <c r="I607" t="inlineStr">
        <is>
          <t>"$"#,##0.00_);[Red]\("$"#,##0.00\)</t>
        </is>
      </c>
      <c r="J607" t="b">
        <v>0</v>
      </c>
      <c r="K607" t="b">
        <v>0</v>
      </c>
      <c r="L607" t="n">
        <v>10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inlineStr">
        <is>
          <t>center</t>
        </is>
      </c>
      <c r="P607" t="inlineStr">
        <is>
          <t>center</t>
        </is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>
        <f>TrainingAndTravelPlan[[#Totals],[Sep]]+MarketingPlan[[#Totals],[Sep]]+OfficePlan[[#Totals],[Sep]]+EmployeePlan[[#Totals],[Sep]]</f>
        <v/>
      </c>
    </row>
    <row r="608">
      <c r="A608" t="inlineStr">
        <is>
          <t>PLANNED EXPENSES</t>
        </is>
      </c>
      <c r="B608" t="inlineStr">
        <is>
          <t>L37</t>
        </is>
      </c>
      <c r="C608" t="n">
        <v>37</v>
      </c>
      <c r="D608" t="n">
        <v>12</v>
      </c>
      <c r="E608" t="inlineStr">
        <is>
          <t>Calculation</t>
        </is>
      </c>
      <c r="F608" t="inlineStr">
        <is>
          <t>'=TrainingAndTravelPlan[[#Totals],[Oct]]+MarketingPlan[[#Totals],[Oct]]+OfficePlan[[#Totals],[Oct]]+EmployeePlan[[#Totals],[Oct]]</t>
        </is>
      </c>
      <c r="G608" t="n">
        <v>140918</v>
      </c>
      <c r="H608" t="inlineStr"/>
      <c r="I608" t="inlineStr">
        <is>
          <t>"$"#,##0.00_);[Red]\("$"#,##0.00\)</t>
        </is>
      </c>
      <c r="J608" t="b">
        <v>0</v>
      </c>
      <c r="K608" t="b">
        <v>0</v>
      </c>
      <c r="L608" t="n">
        <v>10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inlineStr">
        <is>
          <t>center</t>
        </is>
      </c>
      <c r="P608" t="inlineStr">
        <is>
          <t>center</t>
        </is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>
        <f>TrainingAndTravelPlan[[#Totals],[Oct]]+MarketingPlan[[#Totals],[Oct]]+OfficePlan[[#Totals],[Oct]]+EmployeePlan[[#Totals],[Oct]]</f>
        <v/>
      </c>
    </row>
    <row r="609">
      <c r="A609" t="inlineStr">
        <is>
          <t>PLANNED EXPENSES</t>
        </is>
      </c>
      <c r="B609" t="inlineStr">
        <is>
          <t>M37</t>
        </is>
      </c>
      <c r="C609" t="n">
        <v>37</v>
      </c>
      <c r="D609" t="n">
        <v>13</v>
      </c>
      <c r="E609" t="inlineStr">
        <is>
          <t>Calculation</t>
        </is>
      </c>
      <c r="F609" t="inlineStr">
        <is>
          <t>'=TrainingAndTravelPlan[[#Totals],[Nov]]+MarketingPlan[[#Totals],[Nov]]+OfficePlan[[#Totals],[Nov]]+EmployeePlan[[#Totals],[Nov]]</t>
        </is>
      </c>
      <c r="G609" t="n">
        <v>136218</v>
      </c>
      <c r="H609" t="inlineStr"/>
      <c r="I609" t="inlineStr">
        <is>
          <t>"$"#,##0.00_);[Red]\("$"#,##0.00\)</t>
        </is>
      </c>
      <c r="J609" t="b">
        <v>0</v>
      </c>
      <c r="K609" t="b">
        <v>0</v>
      </c>
      <c r="L609" t="n">
        <v>10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inlineStr">
        <is>
          <t>center</t>
        </is>
      </c>
      <c r="P609" t="inlineStr">
        <is>
          <t>center</t>
        </is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>
        <f>TrainingAndTravelPlan[[#Totals],[Nov]]+MarketingPlan[[#Totals],[Nov]]+OfficePlan[[#Totals],[Nov]]+EmployeePlan[[#Totals],[Nov]]</f>
        <v/>
      </c>
    </row>
    <row r="610">
      <c r="A610" t="inlineStr">
        <is>
          <t>PLANNED EXPENSES</t>
        </is>
      </c>
      <c r="B610" t="inlineStr">
        <is>
          <t>N37</t>
        </is>
      </c>
      <c r="C610" t="n">
        <v>37</v>
      </c>
      <c r="D610" t="n">
        <v>14</v>
      </c>
      <c r="E610" t="inlineStr">
        <is>
          <t>Calculation</t>
        </is>
      </c>
      <c r="F610" t="inlineStr">
        <is>
          <t>'=TrainingAndTravelPlan[[#Totals],[Dec]]+MarketingPlan[[#Totals],[Dec]]+OfficePlan[[#Totals],[Dec]]+EmployeePlan[[#Totals],[Dec]]</t>
        </is>
      </c>
      <c r="G610" t="n">
        <v>140018</v>
      </c>
      <c r="H610" t="inlineStr"/>
      <c r="I610" t="inlineStr">
        <is>
          <t>"$"#,##0.00_);[Red]\("$"#,##0.00\)</t>
        </is>
      </c>
      <c r="J610" t="b">
        <v>0</v>
      </c>
      <c r="K610" t="b">
        <v>0</v>
      </c>
      <c r="L610" t="n">
        <v>10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inlineStr">
        <is>
          <t>center</t>
        </is>
      </c>
      <c r="P610" t="inlineStr">
        <is>
          <t>center</t>
        </is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>
        <f>TrainingAndTravelPlan[[#Totals],[Dec]]+MarketingPlan[[#Totals],[Dec]]+OfficePlan[[#Totals],[Dec]]+EmployeePlan[[#Totals],[Dec]]</f>
        <v/>
      </c>
    </row>
    <row r="611">
      <c r="A611" t="inlineStr">
        <is>
          <t>PLANNED EXPENSES</t>
        </is>
      </c>
      <c r="B611" t="inlineStr">
        <is>
          <t>O37</t>
        </is>
      </c>
      <c r="C611" t="n">
        <v>37</v>
      </c>
      <c r="D611" t="n">
        <v>15</v>
      </c>
      <c r="E611" t="inlineStr">
        <is>
          <t>Calculation</t>
        </is>
      </c>
      <c r="F611" t="inlineStr">
        <is>
          <t>'=TrainingAndTravelPlan[[#Totals],[YEAR]]+MarketingPlan[[#Totals],[YEAR]]+OfficePlan[[#Totals],[YEAR]]+EmployeePlan[[#Totals],[YEAR]]</t>
        </is>
      </c>
      <c r="G611" t="n">
        <v>1609930</v>
      </c>
      <c r="H611" t="inlineStr"/>
      <c r="I611" t="inlineStr">
        <is>
          <t>"$"#,##0.00_);[Red]\("$"#,##0.00\)</t>
        </is>
      </c>
      <c r="J611" t="b">
        <v>0</v>
      </c>
      <c r="K611" t="b">
        <v>0</v>
      </c>
      <c r="L611" t="n">
        <v>10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inlineStr">
        <is>
          <t>center</t>
        </is>
      </c>
      <c r="P611" t="inlineStr">
        <is>
          <t>center</t>
        </is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>
        <f>TrainingAndTravelPlan[[#Totals],[YEAR]]+MarketingPlan[[#Totals],[YEAR]]+OfficePlan[[#Totals],[YEAR]]+EmployeePlan[[#Totals],[YEAR]]</f>
        <v/>
      </c>
    </row>
    <row r="612">
      <c r="A612" t="inlineStr">
        <is>
          <t>PLANNED EXPENSES</t>
        </is>
      </c>
      <c r="B612" t="inlineStr">
        <is>
          <t>P37</t>
        </is>
      </c>
      <c r="C612" t="n">
        <v>37</v>
      </c>
      <c r="D612" t="n">
        <v>16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n">
        <v/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PLANNED EXPENSES</t>
        </is>
      </c>
      <c r="B613" t="inlineStr">
        <is>
          <t>A38</t>
        </is>
      </c>
      <c r="C613" t="n">
        <v>38</v>
      </c>
      <c r="D613" t="n">
        <v>1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PLANNED EXPENSES</t>
        </is>
      </c>
      <c r="B614" t="inlineStr">
        <is>
          <t>B38</t>
        </is>
      </c>
      <c r="C614" t="n">
        <v>38</v>
      </c>
      <c r="D614" t="n">
        <v>2</v>
      </c>
      <c r="E614" t="inlineStr">
        <is>
          <t>Input</t>
        </is>
      </c>
      <c r="F614" t="n">
        <v/>
      </c>
      <c r="G614" t="inlineStr">
        <is>
          <t>TOTAL planned expenses</t>
        </is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12</v>
      </c>
      <c r="M614" t="inlineStr">
        <is>
          <t>Values must be of type &lt;class 'str'&gt;</t>
        </is>
      </c>
      <c r="N614" t="inlineStr">
        <is>
          <t>Values must be of type &lt;class 'str'&gt;</t>
        </is>
      </c>
      <c r="O614" t="inlineStr">
        <is>
          <t>left</t>
        </is>
      </c>
      <c r="P614" t="inlineStr">
        <is>
          <t>center</t>
        </is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PLANNED EXPENSES</t>
        </is>
      </c>
      <c r="B615" t="inlineStr">
        <is>
          <t>C38</t>
        </is>
      </c>
      <c r="C615" t="n">
        <v>38</v>
      </c>
      <c r="D615" t="n">
        <v>3</v>
      </c>
      <c r="E615" t="inlineStr">
        <is>
          <t>Output</t>
        </is>
      </c>
      <c r="F615" t="inlineStr">
        <is>
          <t>'=SUM($C$37:C37)</t>
        </is>
      </c>
      <c r="G615" t="n">
        <v>131720</v>
      </c>
      <c r="H615" t="inlineStr"/>
      <c r="I615" t="inlineStr">
        <is>
          <t>"$"#,##0.00_);[Red]\("$"#,##0.00\)</t>
        </is>
      </c>
      <c r="J615" t="b">
        <v>0</v>
      </c>
      <c r="K615" t="b">
        <v>0</v>
      </c>
      <c r="L615" t="n">
        <v>10</v>
      </c>
      <c r="M615" t="inlineStr">
        <is>
          <t>Values must be of type &lt;class 'str'&gt;</t>
        </is>
      </c>
      <c r="N615" t="inlineStr">
        <is>
          <t>Values must be of type &lt;class 'str'&gt;</t>
        </is>
      </c>
      <c r="O615" t="inlineStr">
        <is>
          <t>center</t>
        </is>
      </c>
      <c r="P615" t="inlineStr">
        <is>
          <t>center</t>
        </is>
      </c>
      <c r="R615" t="b">
        <v>1</v>
      </c>
      <c r="S615" t="inlineStr">
        <is>
          <t>G000006</t>
        </is>
      </c>
      <c r="T615" t="inlineStr">
        <is>
          <t>Horizontal</t>
        </is>
      </c>
      <c r="U615" t="n">
        <v>12</v>
      </c>
      <c r="V615" t="b">
        <v>1</v>
      </c>
      <c r="W615" t="inlineStr">
        <is>
          <t>PLANNED EXPENSES!C38:N38</t>
        </is>
      </c>
      <c r="X615">
        <f>SUM(R37C3:R[-1]C[0])</f>
        <v/>
      </c>
    </row>
    <row r="616">
      <c r="A616" t="inlineStr">
        <is>
          <t>PLANNED EXPENSES</t>
        </is>
      </c>
      <c r="B616" t="inlineStr">
        <is>
          <t>D38</t>
        </is>
      </c>
      <c r="C616" t="n">
        <v>38</v>
      </c>
      <c r="D616" t="n">
        <v>4</v>
      </c>
      <c r="E616" t="inlineStr">
        <is>
          <t>Output</t>
        </is>
      </c>
      <c r="F616" t="inlineStr">
        <is>
          <t>'=SUM($C$37:D37)</t>
        </is>
      </c>
      <c r="G616" t="n">
        <v>258540</v>
      </c>
      <c r="H616" t="inlineStr"/>
      <c r="I616" t="inlineStr">
        <is>
          <t>"$"#,##0.00_);[Red]\("$"#,##0.00\)</t>
        </is>
      </c>
      <c r="J616" t="b">
        <v>0</v>
      </c>
      <c r="K616" t="b">
        <v>0</v>
      </c>
      <c r="L616" t="n">
        <v>10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inlineStr">
        <is>
          <t>center</t>
        </is>
      </c>
      <c r="P616" t="inlineStr">
        <is>
          <t>center</t>
        </is>
      </c>
      <c r="R616" t="b">
        <v>1</v>
      </c>
      <c r="S616" t="inlineStr">
        <is>
          <t>G000006</t>
        </is>
      </c>
      <c r="T616" t="inlineStr">
        <is>
          <t>Horizontal</t>
        </is>
      </c>
      <c r="U616" t="n">
        <v>12</v>
      </c>
      <c r="V616" t="b">
        <v>1</v>
      </c>
      <c r="W616" t="inlineStr">
        <is>
          <t>PLANNED EXPENSES!C38:N38</t>
        </is>
      </c>
      <c r="X616">
        <f>SUM(R37C3:R[-1]C[0])</f>
        <v/>
      </c>
    </row>
    <row r="617">
      <c r="A617" t="inlineStr">
        <is>
          <t>PLANNED EXPENSES</t>
        </is>
      </c>
      <c r="B617" t="inlineStr">
        <is>
          <t>E38</t>
        </is>
      </c>
      <c r="C617" t="n">
        <v>38</v>
      </c>
      <c r="D617" t="n">
        <v>5</v>
      </c>
      <c r="E617" t="inlineStr">
        <is>
          <t>Output</t>
        </is>
      </c>
      <c r="F617" t="inlineStr">
        <is>
          <t>'=SUM($C$37:E37)</t>
        </is>
      </c>
      <c r="G617" t="n">
        <v>385360</v>
      </c>
      <c r="H617" t="inlineStr"/>
      <c r="I617" t="inlineStr">
        <is>
          <t>"$"#,##0.00_);[Red]\("$"#,##0.00\)</t>
        </is>
      </c>
      <c r="J617" t="b">
        <v>0</v>
      </c>
      <c r="K617" t="b">
        <v>0</v>
      </c>
      <c r="L617" t="n">
        <v>10</v>
      </c>
      <c r="M617" t="inlineStr">
        <is>
          <t>Values must be of type &lt;class 'str'&gt;</t>
        </is>
      </c>
      <c r="N617" t="inlineStr">
        <is>
          <t>Values must be of type &lt;class 'str'&gt;</t>
        </is>
      </c>
      <c r="O617" t="inlineStr">
        <is>
          <t>center</t>
        </is>
      </c>
      <c r="P617" t="inlineStr">
        <is>
          <t>center</t>
        </is>
      </c>
      <c r="R617" t="b">
        <v>1</v>
      </c>
      <c r="S617" t="inlineStr">
        <is>
          <t>G000006</t>
        </is>
      </c>
      <c r="T617" t="inlineStr">
        <is>
          <t>Horizontal</t>
        </is>
      </c>
      <c r="U617" t="n">
        <v>12</v>
      </c>
      <c r="V617" t="b">
        <v>1</v>
      </c>
      <c r="W617" t="inlineStr">
        <is>
          <t>PLANNED EXPENSES!C38:N38</t>
        </is>
      </c>
      <c r="X617">
        <f>SUM(R37C3:R[-1]C[0])</f>
        <v/>
      </c>
    </row>
    <row r="618">
      <c r="A618" t="inlineStr">
        <is>
          <t>PLANNED EXPENSES</t>
        </is>
      </c>
      <c r="B618" t="inlineStr">
        <is>
          <t>F38</t>
        </is>
      </c>
      <c r="C618" t="n">
        <v>38</v>
      </c>
      <c r="D618" t="n">
        <v>6</v>
      </c>
      <c r="E618" t="inlineStr">
        <is>
          <t>Output</t>
        </is>
      </c>
      <c r="F618" t="inlineStr">
        <is>
          <t>'=SUM($C$37:F37)</t>
        </is>
      </c>
      <c r="G618" t="n">
        <v>523055</v>
      </c>
      <c r="H618" t="inlineStr"/>
      <c r="I618" t="inlineStr">
        <is>
          <t>"$"#,##0.00_);[Red]\("$"#,##0.00\)</t>
        </is>
      </c>
      <c r="J618" t="b">
        <v>0</v>
      </c>
      <c r="K618" t="b">
        <v>0</v>
      </c>
      <c r="L618" t="n">
        <v>10</v>
      </c>
      <c r="M618" t="inlineStr">
        <is>
          <t>Values must be of type &lt;class 'str'&gt;</t>
        </is>
      </c>
      <c r="N618" t="inlineStr">
        <is>
          <t>Values must be of type &lt;class 'str'&gt;</t>
        </is>
      </c>
      <c r="O618" t="inlineStr">
        <is>
          <t>center</t>
        </is>
      </c>
      <c r="P618" t="inlineStr">
        <is>
          <t>center</t>
        </is>
      </c>
      <c r="R618" t="b">
        <v>1</v>
      </c>
      <c r="S618" t="inlineStr">
        <is>
          <t>G000006</t>
        </is>
      </c>
      <c r="T618" t="inlineStr">
        <is>
          <t>Horizontal</t>
        </is>
      </c>
      <c r="U618" t="n">
        <v>12</v>
      </c>
      <c r="V618" t="b">
        <v>1</v>
      </c>
      <c r="W618" t="inlineStr">
        <is>
          <t>PLANNED EXPENSES!C38:N38</t>
        </is>
      </c>
      <c r="X618">
        <f>SUM(R37C3:R[-1]C[0])</f>
        <v/>
      </c>
    </row>
    <row r="619">
      <c r="A619" t="inlineStr">
        <is>
          <t>PLANNED EXPENSES</t>
        </is>
      </c>
      <c r="B619" t="inlineStr">
        <is>
          <t>G38</t>
        </is>
      </c>
      <c r="C619" t="n">
        <v>38</v>
      </c>
      <c r="D619" t="n">
        <v>7</v>
      </c>
      <c r="E619" t="inlineStr">
        <is>
          <t>Output</t>
        </is>
      </c>
      <c r="F619" t="inlineStr">
        <is>
          <t>'=SUM($C$37:G37)</t>
        </is>
      </c>
      <c r="G619" t="n">
        <v>652750</v>
      </c>
      <c r="H619" t="inlineStr"/>
      <c r="I619" t="inlineStr">
        <is>
          <t>"$"#,##0.00_);[Red]\("$"#,##0.00\)</t>
        </is>
      </c>
      <c r="J619" t="b">
        <v>0</v>
      </c>
      <c r="K619" t="b">
        <v>0</v>
      </c>
      <c r="L619" t="n">
        <v>10</v>
      </c>
      <c r="M619" t="inlineStr">
        <is>
          <t>Values must be of type &lt;class 'str'&gt;</t>
        </is>
      </c>
      <c r="N619" t="inlineStr">
        <is>
          <t>Values must be of type &lt;class 'str'&gt;</t>
        </is>
      </c>
      <c r="O619" t="inlineStr">
        <is>
          <t>center</t>
        </is>
      </c>
      <c r="P619" t="inlineStr">
        <is>
          <t>center</t>
        </is>
      </c>
      <c r="R619" t="b">
        <v>1</v>
      </c>
      <c r="S619" t="inlineStr">
        <is>
          <t>G000006</t>
        </is>
      </c>
      <c r="T619" t="inlineStr">
        <is>
          <t>Horizontal</t>
        </is>
      </c>
      <c r="U619" t="n">
        <v>12</v>
      </c>
      <c r="V619" t="b">
        <v>1</v>
      </c>
      <c r="W619" t="inlineStr">
        <is>
          <t>PLANNED EXPENSES!C38:N38</t>
        </is>
      </c>
      <c r="X619">
        <f>SUM(R37C3:R[-1]C[0])</f>
        <v/>
      </c>
    </row>
    <row r="620">
      <c r="A620" t="inlineStr">
        <is>
          <t>PLANNED EXPENSES</t>
        </is>
      </c>
      <c r="B620" t="inlineStr">
        <is>
          <t>H38</t>
        </is>
      </c>
      <c r="C620" t="n">
        <v>38</v>
      </c>
      <c r="D620" t="n">
        <v>8</v>
      </c>
      <c r="E620" t="inlineStr">
        <is>
          <t>Output</t>
        </is>
      </c>
      <c r="F620" t="inlineStr">
        <is>
          <t>'=SUM($C$37:H37)</t>
        </is>
      </c>
      <c r="G620" t="n">
        <v>783245</v>
      </c>
      <c r="H620" t="inlineStr"/>
      <c r="I620" t="inlineStr">
        <is>
          <t>"$"#,##0.00_);[Red]\("$"#,##0.00\)</t>
        </is>
      </c>
      <c r="J620" t="b">
        <v>0</v>
      </c>
      <c r="K620" t="b">
        <v>0</v>
      </c>
      <c r="L620" t="n">
        <v>10</v>
      </c>
      <c r="M620" t="inlineStr">
        <is>
          <t>Values must be of type &lt;class 'str'&gt;</t>
        </is>
      </c>
      <c r="N620" t="inlineStr">
        <is>
          <t>Values must be of type &lt;class 'str'&gt;</t>
        </is>
      </c>
      <c r="O620" t="inlineStr">
        <is>
          <t>center</t>
        </is>
      </c>
      <c r="P620" t="inlineStr">
        <is>
          <t>center</t>
        </is>
      </c>
      <c r="R620" t="b">
        <v>1</v>
      </c>
      <c r="S620" t="inlineStr">
        <is>
          <t>G000006</t>
        </is>
      </c>
      <c r="T620" t="inlineStr">
        <is>
          <t>Horizontal</t>
        </is>
      </c>
      <c r="U620" t="n">
        <v>12</v>
      </c>
      <c r="V620" t="b">
        <v>1</v>
      </c>
      <c r="W620" t="inlineStr">
        <is>
          <t>PLANNED EXPENSES!C38:N38</t>
        </is>
      </c>
      <c r="X620">
        <f>SUM(R37C3:R[-1]C[0])</f>
        <v/>
      </c>
    </row>
    <row r="621">
      <c r="A621" t="inlineStr">
        <is>
          <t>PLANNED EXPENSES</t>
        </is>
      </c>
      <c r="B621" t="inlineStr">
        <is>
          <t>I38</t>
        </is>
      </c>
      <c r="C621" t="n">
        <v>38</v>
      </c>
      <c r="D621" t="n">
        <v>9</v>
      </c>
      <c r="E621" t="inlineStr">
        <is>
          <t>Output</t>
        </is>
      </c>
      <c r="F621" t="inlineStr">
        <is>
          <t>'=SUM($C$37:I37)</t>
        </is>
      </c>
      <c r="G621" t="n">
        <v>917940</v>
      </c>
      <c r="H621" t="inlineStr"/>
      <c r="I621" t="inlineStr">
        <is>
          <t>"$"#,##0.00_);[Red]\("$"#,##0.00\)</t>
        </is>
      </c>
      <c r="J621" t="b">
        <v>0</v>
      </c>
      <c r="K621" t="b">
        <v>0</v>
      </c>
      <c r="L621" t="n">
        <v>10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inlineStr">
        <is>
          <t>center</t>
        </is>
      </c>
      <c r="P621" t="inlineStr">
        <is>
          <t>center</t>
        </is>
      </c>
      <c r="R621" t="b">
        <v>1</v>
      </c>
      <c r="S621" t="inlineStr">
        <is>
          <t>G000006</t>
        </is>
      </c>
      <c r="T621" t="inlineStr">
        <is>
          <t>Horizontal</t>
        </is>
      </c>
      <c r="U621" t="n">
        <v>12</v>
      </c>
      <c r="V621" t="b">
        <v>1</v>
      </c>
      <c r="W621" t="inlineStr">
        <is>
          <t>PLANNED EXPENSES!C38:N38</t>
        </is>
      </c>
      <c r="X621">
        <f>SUM(R37C3:R[-1]C[0])</f>
        <v/>
      </c>
    </row>
    <row r="622">
      <c r="A622" t="inlineStr">
        <is>
          <t>PLANNED EXPENSES</t>
        </is>
      </c>
      <c r="B622" t="inlineStr">
        <is>
          <t>J38</t>
        </is>
      </c>
      <c r="C622" t="n">
        <v>38</v>
      </c>
      <c r="D622" t="n">
        <v>10</v>
      </c>
      <c r="E622" t="inlineStr">
        <is>
          <t>Output</t>
        </is>
      </c>
      <c r="F622" t="inlineStr">
        <is>
          <t>'=SUM($C$37:J37)</t>
        </is>
      </c>
      <c r="G622" t="n">
        <v>1056858</v>
      </c>
      <c r="H622" t="inlineStr"/>
      <c r="I622" t="inlineStr">
        <is>
          <t>"$"#,##0.00_);[Red]\("$"#,##0.00\)</t>
        </is>
      </c>
      <c r="J622" t="b">
        <v>0</v>
      </c>
      <c r="K622" t="b">
        <v>0</v>
      </c>
      <c r="L622" t="n">
        <v>10</v>
      </c>
      <c r="M622" t="inlineStr">
        <is>
          <t>Values must be of type &lt;class 'str'&gt;</t>
        </is>
      </c>
      <c r="N622" t="inlineStr">
        <is>
          <t>Values must be of type &lt;class 'str'&gt;</t>
        </is>
      </c>
      <c r="O622" t="inlineStr">
        <is>
          <t>center</t>
        </is>
      </c>
      <c r="P622" t="inlineStr">
        <is>
          <t>center</t>
        </is>
      </c>
      <c r="R622" t="b">
        <v>1</v>
      </c>
      <c r="S622" t="inlineStr">
        <is>
          <t>G000006</t>
        </is>
      </c>
      <c r="T622" t="inlineStr">
        <is>
          <t>Horizontal</t>
        </is>
      </c>
      <c r="U622" t="n">
        <v>12</v>
      </c>
      <c r="V622" t="b">
        <v>1</v>
      </c>
      <c r="W622" t="inlineStr">
        <is>
          <t>PLANNED EXPENSES!C38:N38</t>
        </is>
      </c>
      <c r="X622">
        <f>SUM(R37C3:R[-1]C[0])</f>
        <v/>
      </c>
    </row>
    <row r="623">
      <c r="A623" t="inlineStr">
        <is>
          <t>PLANNED EXPENSES</t>
        </is>
      </c>
      <c r="B623" t="inlineStr">
        <is>
          <t>K38</t>
        </is>
      </c>
      <c r="C623" t="n">
        <v>38</v>
      </c>
      <c r="D623" t="n">
        <v>11</v>
      </c>
      <c r="E623" t="inlineStr">
        <is>
          <t>Output</t>
        </is>
      </c>
      <c r="F623" t="inlineStr">
        <is>
          <t>'=SUM($C$37:K37)</t>
        </is>
      </c>
      <c r="G623" t="n">
        <v>1192776</v>
      </c>
      <c r="H623" t="inlineStr"/>
      <c r="I623" t="inlineStr">
        <is>
          <t>"$"#,##0.00_);[Red]\("$"#,##0.00\)</t>
        </is>
      </c>
      <c r="J623" t="b">
        <v>0</v>
      </c>
      <c r="K623" t="b">
        <v>0</v>
      </c>
      <c r="L623" t="n">
        <v>10</v>
      </c>
      <c r="M623" t="inlineStr">
        <is>
          <t>Values must be of type &lt;class 'str'&gt;</t>
        </is>
      </c>
      <c r="N623" t="inlineStr">
        <is>
          <t>Values must be of type &lt;class 'str'&gt;</t>
        </is>
      </c>
      <c r="O623" t="inlineStr">
        <is>
          <t>center</t>
        </is>
      </c>
      <c r="P623" t="inlineStr">
        <is>
          <t>center</t>
        </is>
      </c>
      <c r="R623" t="b">
        <v>1</v>
      </c>
      <c r="S623" t="inlineStr">
        <is>
          <t>G000006</t>
        </is>
      </c>
      <c r="T623" t="inlineStr">
        <is>
          <t>Horizontal</t>
        </is>
      </c>
      <c r="U623" t="n">
        <v>12</v>
      </c>
      <c r="V623" t="b">
        <v>1</v>
      </c>
      <c r="W623" t="inlineStr">
        <is>
          <t>PLANNED EXPENSES!C38:N38</t>
        </is>
      </c>
      <c r="X623">
        <f>SUM(R37C3:R[-1]C[0])</f>
        <v/>
      </c>
    </row>
    <row r="624">
      <c r="A624" t="inlineStr">
        <is>
          <t>PLANNED EXPENSES</t>
        </is>
      </c>
      <c r="B624" t="inlineStr">
        <is>
          <t>L38</t>
        </is>
      </c>
      <c r="C624" t="n">
        <v>38</v>
      </c>
      <c r="D624" t="n">
        <v>12</v>
      </c>
      <c r="E624" t="inlineStr">
        <is>
          <t>Output</t>
        </is>
      </c>
      <c r="F624" t="inlineStr">
        <is>
          <t>'=SUM($C$37:L37)</t>
        </is>
      </c>
      <c r="G624" t="n">
        <v>1333694</v>
      </c>
      <c r="H624" t="inlineStr"/>
      <c r="I624" t="inlineStr">
        <is>
          <t>"$"#,##0.00_);[Red]\("$"#,##0.00\)</t>
        </is>
      </c>
      <c r="J624" t="b">
        <v>0</v>
      </c>
      <c r="K624" t="b">
        <v>0</v>
      </c>
      <c r="L624" t="n">
        <v>10</v>
      </c>
      <c r="M624" t="inlineStr">
        <is>
          <t>Values must be of type &lt;class 'str'&gt;</t>
        </is>
      </c>
      <c r="N624" t="inlineStr">
        <is>
          <t>Values must be of type &lt;class 'str'&gt;</t>
        </is>
      </c>
      <c r="O624" t="inlineStr">
        <is>
          <t>center</t>
        </is>
      </c>
      <c r="P624" t="inlineStr">
        <is>
          <t>center</t>
        </is>
      </c>
      <c r="R624" t="b">
        <v>1</v>
      </c>
      <c r="S624" t="inlineStr">
        <is>
          <t>G000006</t>
        </is>
      </c>
      <c r="T624" t="inlineStr">
        <is>
          <t>Horizontal</t>
        </is>
      </c>
      <c r="U624" t="n">
        <v>12</v>
      </c>
      <c r="V624" t="b">
        <v>1</v>
      </c>
      <c r="W624" t="inlineStr">
        <is>
          <t>PLANNED EXPENSES!C38:N38</t>
        </is>
      </c>
      <c r="X624">
        <f>SUM(R37C3:R[-1]C[0])</f>
        <v/>
      </c>
    </row>
    <row r="625">
      <c r="A625" t="inlineStr">
        <is>
          <t>PLANNED EXPENSES</t>
        </is>
      </c>
      <c r="B625" t="inlineStr">
        <is>
          <t>M38</t>
        </is>
      </c>
      <c r="C625" t="n">
        <v>38</v>
      </c>
      <c r="D625" t="n">
        <v>13</v>
      </c>
      <c r="E625" t="inlineStr">
        <is>
          <t>Output</t>
        </is>
      </c>
      <c r="F625" t="inlineStr">
        <is>
          <t>'=SUM($C$37:M37)</t>
        </is>
      </c>
      <c r="G625" t="n">
        <v>1469912</v>
      </c>
      <c r="H625" t="inlineStr"/>
      <c r="I625" t="inlineStr">
        <is>
          <t>"$"#,##0.00_);[Red]\("$"#,##0.00\)</t>
        </is>
      </c>
      <c r="J625" t="b">
        <v>0</v>
      </c>
      <c r="K625" t="b">
        <v>0</v>
      </c>
      <c r="L625" t="n">
        <v>10</v>
      </c>
      <c r="M625" t="inlineStr">
        <is>
          <t>Values must be of type &lt;class 'str'&gt;</t>
        </is>
      </c>
      <c r="N625" t="inlineStr">
        <is>
          <t>Values must be of type &lt;class 'str'&gt;</t>
        </is>
      </c>
      <c r="O625" t="inlineStr">
        <is>
          <t>center</t>
        </is>
      </c>
      <c r="P625" t="inlineStr">
        <is>
          <t>center</t>
        </is>
      </c>
      <c r="R625" t="b">
        <v>1</v>
      </c>
      <c r="S625" t="inlineStr">
        <is>
          <t>G000006</t>
        </is>
      </c>
      <c r="T625" t="inlineStr">
        <is>
          <t>Horizontal</t>
        </is>
      </c>
      <c r="U625" t="n">
        <v>12</v>
      </c>
      <c r="V625" t="b">
        <v>1</v>
      </c>
      <c r="W625" t="inlineStr">
        <is>
          <t>PLANNED EXPENSES!C38:N38</t>
        </is>
      </c>
      <c r="X625">
        <f>SUM(R37C3:R[-1]C[0])</f>
        <v/>
      </c>
    </row>
    <row r="626">
      <c r="A626" t="inlineStr">
        <is>
          <t>PLANNED EXPENSES</t>
        </is>
      </c>
      <c r="B626" t="inlineStr">
        <is>
          <t>N38</t>
        </is>
      </c>
      <c r="C626" t="n">
        <v>38</v>
      </c>
      <c r="D626" t="n">
        <v>14</v>
      </c>
      <c r="E626" t="inlineStr">
        <is>
          <t>Output</t>
        </is>
      </c>
      <c r="F626" t="inlineStr">
        <is>
          <t>'=SUM($C$37:N37)</t>
        </is>
      </c>
      <c r="G626" t="n">
        <v>1609930</v>
      </c>
      <c r="H626" t="inlineStr"/>
      <c r="I626" t="inlineStr">
        <is>
          <t>"$"#,##0.00_);[Red]\("$"#,##0.00\)</t>
        </is>
      </c>
      <c r="J626" t="b">
        <v>0</v>
      </c>
      <c r="K626" t="b">
        <v>0</v>
      </c>
      <c r="L626" t="n">
        <v>10</v>
      </c>
      <c r="M626" t="inlineStr">
        <is>
          <t>Values must be of type &lt;class 'str'&gt;</t>
        </is>
      </c>
      <c r="N626" t="inlineStr">
        <is>
          <t>Values must be of type &lt;class 'str'&gt;</t>
        </is>
      </c>
      <c r="O626" t="inlineStr">
        <is>
          <t>center</t>
        </is>
      </c>
      <c r="P626" t="inlineStr">
        <is>
          <t>center</t>
        </is>
      </c>
      <c r="R626" t="b">
        <v>1</v>
      </c>
      <c r="S626" t="inlineStr">
        <is>
          <t>G000006</t>
        </is>
      </c>
      <c r="T626" t="inlineStr">
        <is>
          <t>Horizontal</t>
        </is>
      </c>
      <c r="U626" t="n">
        <v>12</v>
      </c>
      <c r="V626" t="b">
        <v>1</v>
      </c>
      <c r="W626" t="inlineStr">
        <is>
          <t>PLANNED EXPENSES!C38:N38</t>
        </is>
      </c>
      <c r="X626">
        <f>SUM(R37C3:R[-1]C[0])</f>
        <v/>
      </c>
    </row>
    <row r="627">
      <c r="A627" t="inlineStr">
        <is>
          <t>PLANNED EXPENSES</t>
        </is>
      </c>
      <c r="B627" t="inlineStr">
        <is>
          <t>O38</t>
        </is>
      </c>
      <c r="C627" t="n">
        <v>38</v>
      </c>
      <c r="D627" t="n">
        <v>15</v>
      </c>
      <c r="E627" t="inlineStr">
        <is>
          <t>Input</t>
        </is>
      </c>
      <c r="F627" t="n">
        <v/>
      </c>
      <c r="H627" t="inlineStr"/>
      <c r="I627" t="inlineStr">
        <is>
          <t>"$"#,##0.00_);[Red]\("$"#,##0.00\)</t>
        </is>
      </c>
      <c r="J627" t="b">
        <v>0</v>
      </c>
      <c r="K627" t="b">
        <v>0</v>
      </c>
      <c r="L627" t="n">
        <v>10</v>
      </c>
      <c r="M627" t="inlineStr">
        <is>
          <t>Values must be of type &lt;class 'str'&gt;</t>
        </is>
      </c>
      <c r="N627" t="inlineStr">
        <is>
          <t>Values must be of type &lt;class 'str'&gt;</t>
        </is>
      </c>
      <c r="O627" t="inlineStr">
        <is>
          <t>center</t>
        </is>
      </c>
      <c r="P627" t="inlineStr">
        <is>
          <t>center</t>
        </is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PLANNED EXPENSES</t>
        </is>
      </c>
      <c r="B628" t="inlineStr">
        <is>
          <t>P38</t>
        </is>
      </c>
      <c r="C628" t="n">
        <v>38</v>
      </c>
      <c r="D628" t="n">
        <v>16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M628" t="inlineStr">
        <is>
          <t>Values must be of type &lt;class 'str'&gt;</t>
        </is>
      </c>
      <c r="N628" t="inlineStr">
        <is>
          <t>Values must be of type &lt;class 'str'&gt;</t>
        </is>
      </c>
      <c r="O628" t="n">
        <v/>
      </c>
      <c r="P628" t="n">
        <v/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PLANNED EXPENSES</t>
        </is>
      </c>
      <c r="B629" t="inlineStr">
        <is>
          <t>A39</t>
        </is>
      </c>
      <c r="C629" t="n">
        <v>39</v>
      </c>
      <c r="D629" t="n">
        <v>1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M629" t="inlineStr">
        <is>
          <t>Values must be of type &lt;class 'str'&gt;</t>
        </is>
      </c>
      <c r="N629" t="inlineStr">
        <is>
          <t>Values must be of type &lt;class 'str'&gt;</t>
        </is>
      </c>
      <c r="O629" t="n">
        <v/>
      </c>
      <c r="P629" t="n">
        <v/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PLANNED EXPENSES</t>
        </is>
      </c>
      <c r="B630" t="inlineStr">
        <is>
          <t>B39</t>
        </is>
      </c>
      <c r="C630" t="n">
        <v>39</v>
      </c>
      <c r="D630" t="n">
        <v>2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M630" t="inlineStr">
        <is>
          <t>Values must be of type &lt;class 'str'&gt;</t>
        </is>
      </c>
      <c r="N630" t="inlineStr">
        <is>
          <t>Values must be of type &lt;class 'str'&gt;</t>
        </is>
      </c>
      <c r="O630" t="n">
        <v/>
      </c>
      <c r="P630" t="n">
        <v/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PLANNED EXPENSES</t>
        </is>
      </c>
      <c r="B631" t="inlineStr">
        <is>
          <t>C39</t>
        </is>
      </c>
      <c r="C631" t="n">
        <v>39</v>
      </c>
      <c r="D631" t="n">
        <v>3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M631" t="inlineStr">
        <is>
          <t>Values must be of type &lt;class 'str'&gt;</t>
        </is>
      </c>
      <c r="N631" t="inlineStr">
        <is>
          <t>Values must be of type &lt;class 'str'&gt;</t>
        </is>
      </c>
      <c r="O631" t="n">
        <v/>
      </c>
      <c r="P631" t="n">
        <v/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PLANNED EXPENSES</t>
        </is>
      </c>
      <c r="B632" t="inlineStr">
        <is>
          <t>D39</t>
        </is>
      </c>
      <c r="C632" t="n">
        <v>39</v>
      </c>
      <c r="D632" t="n">
        <v>4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M632" t="inlineStr">
        <is>
          <t>Values must be of type &lt;class 'str'&gt;</t>
        </is>
      </c>
      <c r="N632" t="inlineStr">
        <is>
          <t>Values must be of type &lt;class 'str'&gt;</t>
        </is>
      </c>
      <c r="O632" t="n">
        <v/>
      </c>
      <c r="P632" t="n">
        <v/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PLANNED EXPENSES</t>
        </is>
      </c>
      <c r="B633" t="inlineStr">
        <is>
          <t>E39</t>
        </is>
      </c>
      <c r="C633" t="n">
        <v>39</v>
      </c>
      <c r="D633" t="n">
        <v>5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M633" t="inlineStr">
        <is>
          <t>Values must be of type &lt;class 'str'&gt;</t>
        </is>
      </c>
      <c r="N633" t="inlineStr">
        <is>
          <t>Values must be of type &lt;class 'str'&gt;</t>
        </is>
      </c>
      <c r="O633" t="n">
        <v/>
      </c>
      <c r="P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</row>
    <row r="634">
      <c r="A634" t="inlineStr">
        <is>
          <t>PLANNED EXPENSES</t>
        </is>
      </c>
      <c r="B634" t="inlineStr">
        <is>
          <t>F39</t>
        </is>
      </c>
      <c r="C634" t="n">
        <v>39</v>
      </c>
      <c r="D634" t="n">
        <v>6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M634" t="inlineStr">
        <is>
          <t>Values must be of type &lt;class 'str'&gt;</t>
        </is>
      </c>
      <c r="N634" t="inlineStr">
        <is>
          <t>Values must be of type &lt;class 'str'&gt;</t>
        </is>
      </c>
      <c r="O634" t="n">
        <v/>
      </c>
      <c r="P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PLANNED EXPENSES</t>
        </is>
      </c>
      <c r="B635" t="inlineStr">
        <is>
          <t>G39</t>
        </is>
      </c>
      <c r="C635" t="n">
        <v>39</v>
      </c>
      <c r="D635" t="n">
        <v>7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M635" t="inlineStr">
        <is>
          <t>Values must be of type &lt;class 'str'&gt;</t>
        </is>
      </c>
      <c r="N635" t="inlineStr">
        <is>
          <t>Values must be of type &lt;class 'str'&gt;</t>
        </is>
      </c>
      <c r="O635" t="n">
        <v/>
      </c>
      <c r="P635" t="n">
        <v/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PLANNED EXPENSES</t>
        </is>
      </c>
      <c r="B636" t="inlineStr">
        <is>
          <t>H39</t>
        </is>
      </c>
      <c r="C636" t="n">
        <v>39</v>
      </c>
      <c r="D636" t="n">
        <v>8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M636" t="inlineStr">
        <is>
          <t>Values must be of type &lt;class 'str'&gt;</t>
        </is>
      </c>
      <c r="N636" t="inlineStr">
        <is>
          <t>Values must be of type &lt;class 'str'&gt;</t>
        </is>
      </c>
      <c r="O636" t="n">
        <v/>
      </c>
      <c r="P636" t="n">
        <v/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PLANNED EXPENSES</t>
        </is>
      </c>
      <c r="B637" t="inlineStr">
        <is>
          <t>I39</t>
        </is>
      </c>
      <c r="C637" t="n">
        <v>39</v>
      </c>
      <c r="D637" t="n">
        <v>9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M637" t="inlineStr">
        <is>
          <t>Values must be of type &lt;class 'str'&gt;</t>
        </is>
      </c>
      <c r="N637" t="inlineStr">
        <is>
          <t>Values must be of type &lt;class 'str'&gt;</t>
        </is>
      </c>
      <c r="O637" t="n">
        <v/>
      </c>
      <c r="P637" t="n">
        <v/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PLANNED EXPENSES</t>
        </is>
      </c>
      <c r="B638" t="inlineStr">
        <is>
          <t>J39</t>
        </is>
      </c>
      <c r="C638" t="n">
        <v>39</v>
      </c>
      <c r="D638" t="n">
        <v>10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M638" t="inlineStr">
        <is>
          <t>Values must be of type &lt;class 'str'&gt;</t>
        </is>
      </c>
      <c r="N638" t="inlineStr">
        <is>
          <t>Values must be of type &lt;class 'str'&gt;</t>
        </is>
      </c>
      <c r="O638" t="n">
        <v/>
      </c>
      <c r="P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PLANNED EXPENSES</t>
        </is>
      </c>
      <c r="B639" t="inlineStr">
        <is>
          <t>K39</t>
        </is>
      </c>
      <c r="C639" t="n">
        <v>39</v>
      </c>
      <c r="D639" t="n">
        <v>11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10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n">
        <v/>
      </c>
      <c r="P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PLANNED EXPENSES</t>
        </is>
      </c>
      <c r="B640" t="inlineStr">
        <is>
          <t>L39</t>
        </is>
      </c>
      <c r="C640" t="n">
        <v>39</v>
      </c>
      <c r="D640" t="n">
        <v>12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M640" t="inlineStr">
        <is>
          <t>Values must be of type &lt;class 'str'&gt;</t>
        </is>
      </c>
      <c r="N640" t="inlineStr">
        <is>
          <t>Values must be of type &lt;class 'str'&gt;</t>
        </is>
      </c>
      <c r="O640" t="n">
        <v/>
      </c>
      <c r="P640" t="n">
        <v/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PLANNED EXPENSES</t>
        </is>
      </c>
      <c r="B641" t="inlineStr">
        <is>
          <t>M39</t>
        </is>
      </c>
      <c r="C641" t="n">
        <v>39</v>
      </c>
      <c r="D641" t="n">
        <v>13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10</v>
      </c>
      <c r="M641" t="inlineStr">
        <is>
          <t>Values must be of type &lt;class 'str'&gt;</t>
        </is>
      </c>
      <c r="N641" t="inlineStr">
        <is>
          <t>Values must be of type &lt;class 'str'&gt;</t>
        </is>
      </c>
      <c r="O641" t="n">
        <v/>
      </c>
      <c r="P641" t="n">
        <v/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PLANNED EXPENSES</t>
        </is>
      </c>
      <c r="B642" t="inlineStr">
        <is>
          <t>N39</t>
        </is>
      </c>
      <c r="C642" t="n">
        <v>39</v>
      </c>
      <c r="D642" t="n">
        <v>14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10</v>
      </c>
      <c r="M642" t="inlineStr">
        <is>
          <t>Values must be of type &lt;class 'str'&gt;</t>
        </is>
      </c>
      <c r="N642" t="inlineStr">
        <is>
          <t>Values must be of type &lt;class 'str'&gt;</t>
        </is>
      </c>
      <c r="O642" t="n">
        <v/>
      </c>
      <c r="P642" t="n">
        <v/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PLANNED EXPENSES</t>
        </is>
      </c>
      <c r="B643" t="inlineStr">
        <is>
          <t>O39</t>
        </is>
      </c>
      <c r="C643" t="n">
        <v>39</v>
      </c>
      <c r="D643" t="n">
        <v>15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10</v>
      </c>
      <c r="M643" t="inlineStr">
        <is>
          <t>Values must be of type &lt;class 'str'&gt;</t>
        </is>
      </c>
      <c r="N643" t="inlineStr">
        <is>
          <t>Values must be of type &lt;class 'str'&gt;</t>
        </is>
      </c>
      <c r="O643" t="n">
        <v/>
      </c>
      <c r="P643" t="n">
        <v/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</row>
    <row r="644">
      <c r="A644" t="inlineStr">
        <is>
          <t>PLANNED EXPENSES</t>
        </is>
      </c>
      <c r="B644" t="inlineStr">
        <is>
          <t>P39</t>
        </is>
      </c>
      <c r="C644" t="n">
        <v>39</v>
      </c>
      <c r="D644" t="n">
        <v>16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M644" t="inlineStr">
        <is>
          <t>Values must be of type &lt;class 'str'&gt;</t>
        </is>
      </c>
      <c r="N644" t="inlineStr">
        <is>
          <t>Values must be of type &lt;class 'str'&gt;</t>
        </is>
      </c>
      <c r="O644" t="n">
        <v/>
      </c>
      <c r="P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ACTUAL EXPENSES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ACTUAL EXPENSES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ACTUAL EXPENSES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ACTUAL EXPENSES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ACTUAL EXPENSES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ACTUAL EXPENSES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left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ACTUAL EXPENSES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ACTUAL EXPENSES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ACTUAL EXPENSES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inlineStr">
        <is>
          <t>top</t>
        </is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ACTUAL EXPENSES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left</t>
        </is>
      </c>
      <c r="P11" t="inlineStr">
        <is>
          <t>top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ACTUAL EXPENSES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inlineStr">
        <is>
          <t>top</t>
        </is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ACTUAL EXPENSES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left</t>
        </is>
      </c>
      <c r="P13" t="inlineStr">
        <is>
          <t>top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ACTUAL EXPENSES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left</t>
        </is>
      </c>
      <c r="P14" t="inlineStr">
        <is>
          <t>top</t>
        </is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ACTUAL EXPENSES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left</t>
        </is>
      </c>
      <c r="P15" t="inlineStr">
        <is>
          <t>top</t>
        </is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ACTUAL EXPENSES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left</t>
        </is>
      </c>
      <c r="P16" t="inlineStr">
        <is>
          <t>top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ACTUAL EXPENSES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 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inlineStr">
        <is>
          <t>top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ACTUAL EXPENSES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left</t>
        </is>
      </c>
      <c r="P18" t="inlineStr">
        <is>
          <t>top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ACTUAL EXPENSES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Output</t>
        </is>
      </c>
      <c r="F19" t="inlineStr">
        <is>
          <t>'='PLANNED EXPENSES'!B2:D3</t>
        </is>
      </c>
      <c r="G19" t="inlineStr">
        <is>
          <t>SBO Banking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48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>
        <f>'PLANNED EXPENSES'!R[0]C[0]:R[1]C[2]</f>
        <v/>
      </c>
    </row>
    <row r="20">
      <c r="A20" t="inlineStr">
        <is>
          <t>ACTUAL EXPENSES</t>
        </is>
      </c>
      <c r="B20" t="inlineStr">
        <is>
          <t>G2</t>
        </is>
      </c>
      <c r="C20" t="n">
        <v>2</v>
      </c>
      <c r="D20" t="n">
        <v>7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14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ACTUAL EXPENSES</t>
        </is>
      </c>
      <c r="B21" t="inlineStr">
        <is>
          <t>H2</t>
        </is>
      </c>
      <c r="C21" t="n">
        <v>2</v>
      </c>
      <c r="D21" t="n">
        <v>8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14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ACTUAL EXPENSES</t>
        </is>
      </c>
      <c r="B22" t="inlineStr">
        <is>
          <t>I2</t>
        </is>
      </c>
      <c r="C22" t="n">
        <v>2</v>
      </c>
      <c r="D22" t="n">
        <v>9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top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ACTUAL EXPENSES</t>
        </is>
      </c>
      <c r="B23" t="inlineStr">
        <is>
          <t>J2</t>
        </is>
      </c>
      <c r="C23" t="n">
        <v>2</v>
      </c>
      <c r="D23" t="n">
        <v>10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left</t>
        </is>
      </c>
      <c r="P23" t="inlineStr">
        <is>
          <t>top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ACTUAL EXPENSES</t>
        </is>
      </c>
      <c r="B24" t="inlineStr">
        <is>
          <t>K2</t>
        </is>
      </c>
      <c r="C24" t="n">
        <v>2</v>
      </c>
      <c r="D24" t="n">
        <v>11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ACTUAL EXPENSES</t>
        </is>
      </c>
      <c r="B25" t="inlineStr">
        <is>
          <t>L2</t>
        </is>
      </c>
      <c r="C25" t="n">
        <v>2</v>
      </c>
      <c r="D25" t="n">
        <v>12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16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left</t>
        </is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ACTUAL EXPENSES</t>
        </is>
      </c>
      <c r="B26" t="inlineStr">
        <is>
          <t>M2</t>
        </is>
      </c>
      <c r="C26" t="n">
        <v>2</v>
      </c>
      <c r="D26" t="n">
        <v>13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16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inlineStr">
        <is>
          <t>left</t>
        </is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ACTUAL EXPENSES</t>
        </is>
      </c>
      <c r="B27" t="inlineStr">
        <is>
          <t>N2</t>
        </is>
      </c>
      <c r="C27" t="n">
        <v>2</v>
      </c>
      <c r="D27" t="n">
        <v>14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14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center</t>
        </is>
      </c>
      <c r="P27" t="inlineStr">
        <is>
          <t>top</t>
        </is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ACTUAL EXPENSES</t>
        </is>
      </c>
      <c r="B28" t="inlineStr">
        <is>
          <t>O2</t>
        </is>
      </c>
      <c r="C28" t="n">
        <v>2</v>
      </c>
      <c r="D28" t="n">
        <v>15</v>
      </c>
      <c r="E28" t="inlineStr">
        <is>
          <t>Output</t>
        </is>
      </c>
      <c r="F28" t="inlineStr">
        <is>
          <t>'=worksheet_title</t>
        </is>
      </c>
      <c r="G28" t="inlineStr">
        <is>
          <t>Detailed expense estimates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16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right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>
        <f>worksheet_title</f>
        <v/>
      </c>
    </row>
    <row r="29">
      <c r="A29" t="inlineStr">
        <is>
          <t>ACTUAL EXPENSES</t>
        </is>
      </c>
      <c r="B29" t="inlineStr">
        <is>
          <t>P2</t>
        </is>
      </c>
      <c r="C29" t="n">
        <v>2</v>
      </c>
      <c r="D29" t="n">
        <v>16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left</t>
        </is>
      </c>
      <c r="P29" t="inlineStr">
        <is>
          <t>top</t>
        </is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ACTUAL EXPENSES</t>
        </is>
      </c>
      <c r="B30" t="inlineStr">
        <is>
          <t>A3</t>
        </is>
      </c>
      <c r="C30" t="n">
        <v>3</v>
      </c>
      <c r="D30" t="n">
        <v>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left</t>
        </is>
      </c>
      <c r="P30" t="inlineStr">
        <is>
          <t>top</t>
        </is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ACTUAL EXPENSES</t>
        </is>
      </c>
      <c r="B31" t="inlineStr">
        <is>
          <t>G3</t>
        </is>
      </c>
      <c r="C31" t="n">
        <v>3</v>
      </c>
      <c r="D31" t="n">
        <v>7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inlineStr">
        <is>
          <t>left</t>
        </is>
      </c>
      <c r="P31" t="inlineStr">
        <is>
          <t>top</t>
        </is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ACTUAL EXPENSES</t>
        </is>
      </c>
      <c r="B32" t="inlineStr">
        <is>
          <t>H3</t>
        </is>
      </c>
      <c r="C32" t="n">
        <v>3</v>
      </c>
      <c r="D32" t="n">
        <v>8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left</t>
        </is>
      </c>
      <c r="P32" t="inlineStr">
        <is>
          <t>top</t>
        </is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ACTUAL EXPENSES</t>
        </is>
      </c>
      <c r="B33" t="inlineStr">
        <is>
          <t>I3</t>
        </is>
      </c>
      <c r="C33" t="n">
        <v>3</v>
      </c>
      <c r="D33" t="n">
        <v>9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top</t>
        </is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ACTUAL EXPENSES</t>
        </is>
      </c>
      <c r="B34" t="inlineStr">
        <is>
          <t>J3</t>
        </is>
      </c>
      <c r="C34" t="n">
        <v>3</v>
      </c>
      <c r="D34" t="n">
        <v>10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left</t>
        </is>
      </c>
      <c r="P34" t="inlineStr">
        <is>
          <t>top</t>
        </is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ACTUAL EXPENSES</t>
        </is>
      </c>
      <c r="B35" t="inlineStr">
        <is>
          <t>K3</t>
        </is>
      </c>
      <c r="C35" t="n">
        <v>3</v>
      </c>
      <c r="D35" t="n">
        <v>11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ACTUAL EXPENSES</t>
        </is>
      </c>
      <c r="B36" t="inlineStr">
        <is>
          <t>L3</t>
        </is>
      </c>
      <c r="C36" t="n">
        <v>3</v>
      </c>
      <c r="D36" t="n">
        <v>12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1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top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ACTUAL EXPENSES</t>
        </is>
      </c>
      <c r="B37" t="inlineStr">
        <is>
          <t>M3</t>
        </is>
      </c>
      <c r="C37" t="n">
        <v>3</v>
      </c>
      <c r="D37" t="n">
        <v>13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1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left</t>
        </is>
      </c>
      <c r="P37" t="inlineStr">
        <is>
          <t>top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ACTUAL EXPENSES</t>
        </is>
      </c>
      <c r="B38" t="inlineStr">
        <is>
          <t>N3</t>
        </is>
      </c>
      <c r="C38" t="n">
        <v>3</v>
      </c>
      <c r="D38" t="n">
        <v>14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14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center</t>
        </is>
      </c>
      <c r="P38" t="inlineStr">
        <is>
          <t>top</t>
        </is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ACTUAL EXPENSES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Input</t>
        </is>
      </c>
      <c r="F39" t="n">
        <v/>
      </c>
      <c r="G39" t="inlineStr">
        <is>
          <t>Shaded cells are calculations</t>
        </is>
      </c>
      <c r="H39" t="inlineStr"/>
      <c r="I39" t="inlineStr">
        <is>
          <t>General</t>
        </is>
      </c>
      <c r="J39" t="b">
        <v>0</v>
      </c>
      <c r="K39" t="b">
        <v>1</v>
      </c>
      <c r="L39" t="n">
        <v>12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right</t>
        </is>
      </c>
      <c r="P39" t="inlineStr">
        <is>
          <t>top</t>
        </is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ACTUAL EXPENSES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left</t>
        </is>
      </c>
      <c r="P40" t="inlineStr">
        <is>
          <t>top</t>
        </is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ACTUAL EXPENSES</t>
        </is>
      </c>
      <c r="B41" t="inlineStr">
        <is>
          <t>A4</t>
        </is>
      </c>
      <c r="C41" t="n">
        <v>4</v>
      </c>
      <c r="D41" t="n">
        <v>1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left</t>
        </is>
      </c>
      <c r="P41" t="inlineStr">
        <is>
          <t>top</t>
        </is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ACTUAL EXPENSES</t>
        </is>
      </c>
      <c r="B42" t="inlineStr">
        <is>
          <t>B4</t>
        </is>
      </c>
      <c r="C42" t="n">
        <v>4</v>
      </c>
      <c r="D42" t="n">
        <v>2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36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left</t>
        </is>
      </c>
      <c r="P42" t="inlineStr">
        <is>
          <t>top</t>
        </is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ACTUAL EXPENSES</t>
        </is>
      </c>
      <c r="B43" t="inlineStr">
        <is>
          <t>C4</t>
        </is>
      </c>
      <c r="C43" t="n">
        <v>4</v>
      </c>
      <c r="D43" t="n">
        <v>3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36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left</t>
        </is>
      </c>
      <c r="P43" t="inlineStr">
        <is>
          <t>top</t>
        </is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ACTUAL EXPENSES</t>
        </is>
      </c>
      <c r="B44" t="inlineStr">
        <is>
          <t>D4</t>
        </is>
      </c>
      <c r="C44" t="n">
        <v>4</v>
      </c>
      <c r="D44" t="n">
        <v>4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36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left</t>
        </is>
      </c>
      <c r="P44" t="inlineStr">
        <is>
          <t>top</t>
        </is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ACTUAL EXPENSES</t>
        </is>
      </c>
      <c r="B45" t="inlineStr">
        <is>
          <t>E4</t>
        </is>
      </c>
      <c r="C45" t="n">
        <v>4</v>
      </c>
      <c r="D45" t="n">
        <v>5</v>
      </c>
      <c r="E45" t="inlineStr">
        <is>
          <t>Input</t>
        </is>
      </c>
      <c r="F45" t="n">
        <v/>
      </c>
      <c r="H45" t="inlineStr"/>
      <c r="I45" t="inlineStr">
        <is>
          <t>_("$"* #,##0_);_("$"* \(#,##0\);_("$"* "-"??_);_(@_)</t>
        </is>
      </c>
      <c r="J45" t="b">
        <v>1</v>
      </c>
      <c r="K45" t="b">
        <v>0</v>
      </c>
      <c r="L45" t="n">
        <v>10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left</t>
        </is>
      </c>
      <c r="P45" t="inlineStr">
        <is>
          <t>top</t>
        </is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ACTUAL EXPENSES</t>
        </is>
      </c>
      <c r="B46" t="inlineStr">
        <is>
          <t>F4</t>
        </is>
      </c>
      <c r="C46" t="n">
        <v>4</v>
      </c>
      <c r="D46" t="n">
        <v>6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left</t>
        </is>
      </c>
      <c r="P46" t="inlineStr">
        <is>
          <t>top</t>
        </is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ACTUAL EXPENSES</t>
        </is>
      </c>
      <c r="B47" t="inlineStr">
        <is>
          <t>G4</t>
        </is>
      </c>
      <c r="C47" t="n">
        <v>4</v>
      </c>
      <c r="D47" t="n">
        <v>7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top</t>
        </is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ACTUAL EXPENSES</t>
        </is>
      </c>
      <c r="B48" t="inlineStr">
        <is>
          <t>H4</t>
        </is>
      </c>
      <c r="C48" t="n">
        <v>4</v>
      </c>
      <c r="D48" t="n">
        <v>8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left</t>
        </is>
      </c>
      <c r="P48" t="inlineStr">
        <is>
          <t>top</t>
        </is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ACTUAL EXPENSES</t>
        </is>
      </c>
      <c r="B49" t="inlineStr">
        <is>
          <t>I4</t>
        </is>
      </c>
      <c r="C49" t="n">
        <v>4</v>
      </c>
      <c r="D49" t="n">
        <v>9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left</t>
        </is>
      </c>
      <c r="P49" t="inlineStr">
        <is>
          <t>top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ACTUAL EXPENSES</t>
        </is>
      </c>
      <c r="B50" t="inlineStr">
        <is>
          <t>J4</t>
        </is>
      </c>
      <c r="C50" t="n">
        <v>4</v>
      </c>
      <c r="D50" t="n">
        <v>10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left</t>
        </is>
      </c>
      <c r="P50" t="inlineStr">
        <is>
          <t>top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ACTUAL EXPENSES</t>
        </is>
      </c>
      <c r="B51" t="inlineStr">
        <is>
          <t>K4</t>
        </is>
      </c>
      <c r="C51" t="n">
        <v>4</v>
      </c>
      <c r="D51" t="n">
        <v>11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1</v>
      </c>
      <c r="L51" t="n">
        <v>11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left</t>
        </is>
      </c>
      <c r="P51" t="inlineStr">
        <is>
          <t>top</t>
        </is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ACTUAL EXPENSES</t>
        </is>
      </c>
      <c r="B52" t="inlineStr">
        <is>
          <t>L4</t>
        </is>
      </c>
      <c r="C52" t="n">
        <v>4</v>
      </c>
      <c r="D52" t="n">
        <v>12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1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top</t>
        </is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ACTUAL EXPENSES</t>
        </is>
      </c>
      <c r="B53" t="inlineStr">
        <is>
          <t>M4</t>
        </is>
      </c>
      <c r="C53" t="n">
        <v>4</v>
      </c>
      <c r="D53" t="n">
        <v>13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1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left</t>
        </is>
      </c>
      <c r="P53" t="inlineStr">
        <is>
          <t>top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ACTUAL EXPENSES</t>
        </is>
      </c>
      <c r="B54" t="inlineStr">
        <is>
          <t>N4</t>
        </is>
      </c>
      <c r="C54" t="n">
        <v>4</v>
      </c>
      <c r="D54" t="n">
        <v>14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14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top</t>
        </is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ACTUAL EXPENSES</t>
        </is>
      </c>
      <c r="B55" t="inlineStr">
        <is>
          <t>O4</t>
        </is>
      </c>
      <c r="C55" t="n">
        <v>4</v>
      </c>
      <c r="D55" t="n">
        <v>15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14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top</t>
        </is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ACTUAL EXPENSES</t>
        </is>
      </c>
      <c r="B56" t="inlineStr">
        <is>
          <t>P4</t>
        </is>
      </c>
      <c r="C56" t="n">
        <v>4</v>
      </c>
      <c r="D56" t="n">
        <v>16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left</t>
        </is>
      </c>
      <c r="P56" t="inlineStr">
        <is>
          <t>top</t>
        </is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ACTUAL EXPENSES</t>
        </is>
      </c>
      <c r="B57" t="inlineStr">
        <is>
          <t>A5</t>
        </is>
      </c>
      <c r="C57" t="n">
        <v>5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left</t>
        </is>
      </c>
      <c r="P57" t="inlineStr">
        <is>
          <t>top</t>
        </is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ACTUAL EXPENSES</t>
        </is>
      </c>
      <c r="B58" t="inlineStr">
        <is>
          <t>B5</t>
        </is>
      </c>
      <c r="C58" t="n">
        <v>5</v>
      </c>
      <c r="D58" t="n">
        <v>2</v>
      </c>
      <c r="E58" t="inlineStr">
        <is>
          <t>Input</t>
        </is>
      </c>
      <c r="F58" t="n">
        <v/>
      </c>
      <c r="G58" t="inlineStr">
        <is>
          <t>ACTUAL EXPENSES</t>
        </is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16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left</t>
        </is>
      </c>
      <c r="P58" t="inlineStr">
        <is>
          <t>center</t>
        </is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ACTUAL EXPENSES</t>
        </is>
      </c>
      <c r="B59" t="inlineStr">
        <is>
          <t>C5</t>
        </is>
      </c>
      <c r="C59" t="n">
        <v>5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16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inlineStr">
        <is>
          <t>center</t>
        </is>
      </c>
      <c r="P59" t="inlineStr">
        <is>
          <t>center</t>
        </is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ACTUAL EXPENSES</t>
        </is>
      </c>
      <c r="B60" t="inlineStr">
        <is>
          <t>D5</t>
        </is>
      </c>
      <c r="C60" t="n">
        <v>5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16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center</t>
        </is>
      </c>
      <c r="P60" t="inlineStr">
        <is>
          <t>center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ACTUAL EXPENSES</t>
        </is>
      </c>
      <c r="B61" t="inlineStr">
        <is>
          <t>E5</t>
        </is>
      </c>
      <c r="C61" t="n">
        <v>5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_("$"* #,##0_);_("$"* \(#,##0\);_("$"* "-"??_);_(@_)</t>
        </is>
      </c>
      <c r="J61" t="b">
        <v>1</v>
      </c>
      <c r="K61" t="b">
        <v>0</v>
      </c>
      <c r="L61" t="n">
        <v>16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center</t>
        </is>
      </c>
      <c r="P61" t="inlineStr">
        <is>
          <t>center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ACTUAL EXPENSES</t>
        </is>
      </c>
      <c r="B62" t="inlineStr">
        <is>
          <t>F5</t>
        </is>
      </c>
      <c r="C62" t="n">
        <v>5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16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center</t>
        </is>
      </c>
      <c r="P62" t="inlineStr">
        <is>
          <t>center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ACTUAL EXPENSES</t>
        </is>
      </c>
      <c r="B63" t="inlineStr">
        <is>
          <t>G5</t>
        </is>
      </c>
      <c r="C63" t="n">
        <v>5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16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ACTUAL EXPENSES</t>
        </is>
      </c>
      <c r="B64" t="inlineStr">
        <is>
          <t>H5</t>
        </is>
      </c>
      <c r="C64" t="n">
        <v>5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16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ACTUAL EXPENSES</t>
        </is>
      </c>
      <c r="B65" t="inlineStr">
        <is>
          <t>I5</t>
        </is>
      </c>
      <c r="C65" t="n">
        <v>5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_("$"* #,##0_);_("$"* \(#,##0\);_("$"* "-"??_);_(@_)</t>
        </is>
      </c>
      <c r="J65" t="b">
        <v>1</v>
      </c>
      <c r="K65" t="b">
        <v>0</v>
      </c>
      <c r="L65" t="n">
        <v>16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ACTUAL EXPENSES</t>
        </is>
      </c>
      <c r="B66" t="inlineStr">
        <is>
          <t>J5</t>
        </is>
      </c>
      <c r="C66" t="n">
        <v>5</v>
      </c>
      <c r="D66" t="n">
        <v>10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16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ACTUAL EXPENSES</t>
        </is>
      </c>
      <c r="B67" t="inlineStr">
        <is>
          <t>K5</t>
        </is>
      </c>
      <c r="C67" t="n">
        <v>5</v>
      </c>
      <c r="D67" t="n">
        <v>11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16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inlineStr">
        <is>
          <t>center</t>
        </is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ACTUAL EXPENSES</t>
        </is>
      </c>
      <c r="B68" t="inlineStr">
        <is>
          <t>L5</t>
        </is>
      </c>
      <c r="C68" t="n">
        <v>5</v>
      </c>
      <c r="D68" t="n">
        <v>12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16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inlineStr">
        <is>
          <t>center</t>
        </is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ACTUAL EXPENSES</t>
        </is>
      </c>
      <c r="B69" t="inlineStr">
        <is>
          <t>M5</t>
        </is>
      </c>
      <c r="C69" t="n">
        <v>5</v>
      </c>
      <c r="D69" t="n">
        <v>13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16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inlineStr">
        <is>
          <t>center</t>
        </is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ACTUAL EXPENSES</t>
        </is>
      </c>
      <c r="B70" t="inlineStr">
        <is>
          <t>N5</t>
        </is>
      </c>
      <c r="C70" t="n">
        <v>5</v>
      </c>
      <c r="D70" t="n">
        <v>14</v>
      </c>
      <c r="E70" t="inlineStr">
        <is>
          <t>Input</t>
        </is>
      </c>
      <c r="F70" t="n">
        <v/>
      </c>
      <c r="H70" t="inlineStr"/>
      <c r="I70" t="inlineStr">
        <is>
          <t>_("$"* #,##0_);_("$"* \(#,##0\);_("$"* "-"??_);_(@_)</t>
        </is>
      </c>
      <c r="J70" t="b">
        <v>1</v>
      </c>
      <c r="K70" t="b">
        <v>0</v>
      </c>
      <c r="L70" t="n">
        <v>16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center</t>
        </is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ACTUAL EXPENSES</t>
        </is>
      </c>
      <c r="B71" t="inlineStr">
        <is>
          <t>O5</t>
        </is>
      </c>
      <c r="C71" t="n">
        <v>5</v>
      </c>
      <c r="D71" t="n">
        <v>15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16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ACTUAL EXPENSES</t>
        </is>
      </c>
      <c r="B72" t="inlineStr">
        <is>
          <t>P5</t>
        </is>
      </c>
      <c r="C72" t="n">
        <v>5</v>
      </c>
      <c r="D72" t="n">
        <v>16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n">
        <v/>
      </c>
      <c r="P72" t="inlineStr">
        <is>
          <t>center</t>
        </is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ACTUAL EXPENSES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16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n">
        <v/>
      </c>
      <c r="P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ACTUAL EXPENSES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inlineStr">
        <is>
          <t>Employee costs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16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left</t>
        </is>
      </c>
      <c r="P74" t="inlineStr">
        <is>
          <t>center</t>
        </is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ACTUAL EXPENSES</t>
        </is>
      </c>
      <c r="B75" t="inlineStr">
        <is>
          <t>C6</t>
        </is>
      </c>
      <c r="C75" t="n">
        <v>6</v>
      </c>
      <c r="D75" t="n">
        <v>3</v>
      </c>
      <c r="E75" t="inlineStr">
        <is>
          <t>Input</t>
        </is>
      </c>
      <c r="F75" t="n">
        <v/>
      </c>
      <c r="G75" t="inlineStr">
        <is>
          <t>Jan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16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inlineStr">
        <is>
          <t>center</t>
        </is>
      </c>
      <c r="P75" t="inlineStr">
        <is>
          <t>center</t>
        </is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ACTUAL EXPENSES</t>
        </is>
      </c>
      <c r="B76" t="inlineStr">
        <is>
          <t>D6</t>
        </is>
      </c>
      <c r="C76" t="n">
        <v>6</v>
      </c>
      <c r="D76" t="n">
        <v>4</v>
      </c>
      <c r="E76" t="inlineStr">
        <is>
          <t>Input</t>
        </is>
      </c>
      <c r="F76" t="n">
        <v/>
      </c>
      <c r="G76" t="inlineStr">
        <is>
          <t>Feb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16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center</t>
        </is>
      </c>
      <c r="P76" t="inlineStr">
        <is>
          <t>center</t>
        </is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ACTUAL EXPENSES</t>
        </is>
      </c>
      <c r="B77" t="inlineStr">
        <is>
          <t>E6</t>
        </is>
      </c>
      <c r="C77" t="n">
        <v>6</v>
      </c>
      <c r="D77" t="n">
        <v>5</v>
      </c>
      <c r="E77" t="inlineStr">
        <is>
          <t>Input</t>
        </is>
      </c>
      <c r="F77" t="n">
        <v/>
      </c>
      <c r="G77" t="inlineStr">
        <is>
          <t>Mar</t>
        </is>
      </c>
      <c r="H77" t="inlineStr"/>
      <c r="I77" t="inlineStr">
        <is>
          <t>_("$"* #,##0_);_("$"* \(#,##0\);_("$"* "-"??_);_(@_)</t>
        </is>
      </c>
      <c r="J77" t="b">
        <v>0</v>
      </c>
      <c r="K77" t="b">
        <v>0</v>
      </c>
      <c r="L77" t="n">
        <v>16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center</t>
        </is>
      </c>
      <c r="P77" t="inlineStr">
        <is>
          <t>center</t>
        </is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ACTUAL EXPENSES</t>
        </is>
      </c>
      <c r="B78" t="inlineStr">
        <is>
          <t>F6</t>
        </is>
      </c>
      <c r="C78" t="n">
        <v>6</v>
      </c>
      <c r="D78" t="n">
        <v>6</v>
      </c>
      <c r="E78" t="inlineStr">
        <is>
          <t>Input</t>
        </is>
      </c>
      <c r="F78" t="n">
        <v/>
      </c>
      <c r="G78" t="inlineStr">
        <is>
          <t>Apr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16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center</t>
        </is>
      </c>
      <c r="P78" t="inlineStr">
        <is>
          <t>center</t>
        </is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ACTUAL EXPENSES</t>
        </is>
      </c>
      <c r="B79" t="inlineStr">
        <is>
          <t>G6</t>
        </is>
      </c>
      <c r="C79" t="n">
        <v>6</v>
      </c>
      <c r="D79" t="n">
        <v>7</v>
      </c>
      <c r="E79" t="inlineStr">
        <is>
          <t>Input</t>
        </is>
      </c>
      <c r="F79" t="n">
        <v/>
      </c>
      <c r="G79" t="inlineStr">
        <is>
          <t>May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16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center</t>
        </is>
      </c>
      <c r="P79" t="inlineStr">
        <is>
          <t>center</t>
        </is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ACTUAL EXPENSES</t>
        </is>
      </c>
      <c r="B80" t="inlineStr">
        <is>
          <t>H6</t>
        </is>
      </c>
      <c r="C80" t="n">
        <v>6</v>
      </c>
      <c r="D80" t="n">
        <v>8</v>
      </c>
      <c r="E80" t="inlineStr">
        <is>
          <t>Input</t>
        </is>
      </c>
      <c r="F80" t="n">
        <v/>
      </c>
      <c r="G80" t="inlineStr">
        <is>
          <t>Jun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16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inlineStr">
        <is>
          <t>center</t>
        </is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ACTUAL EXPENSES</t>
        </is>
      </c>
      <c r="B81" t="inlineStr">
        <is>
          <t>I6</t>
        </is>
      </c>
      <c r="C81" t="n">
        <v>6</v>
      </c>
      <c r="D81" t="n">
        <v>9</v>
      </c>
      <c r="E81" t="inlineStr">
        <is>
          <t>Input</t>
        </is>
      </c>
      <c r="F81" t="n">
        <v/>
      </c>
      <c r="G81" t="inlineStr">
        <is>
          <t>Jul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16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ACTUAL EXPENSES</t>
        </is>
      </c>
      <c r="B82" t="inlineStr">
        <is>
          <t>J6</t>
        </is>
      </c>
      <c r="C82" t="n">
        <v>6</v>
      </c>
      <c r="D82" t="n">
        <v>10</v>
      </c>
      <c r="E82" t="inlineStr">
        <is>
          <t>Input</t>
        </is>
      </c>
      <c r="F82" t="n">
        <v/>
      </c>
      <c r="G82" t="inlineStr">
        <is>
          <t>Aug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16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ACTUAL EXPENSES</t>
        </is>
      </c>
      <c r="B83" t="inlineStr">
        <is>
          <t>K6</t>
        </is>
      </c>
      <c r="C83" t="n">
        <v>6</v>
      </c>
      <c r="D83" t="n">
        <v>11</v>
      </c>
      <c r="E83" t="inlineStr">
        <is>
          <t>Input</t>
        </is>
      </c>
      <c r="F83" t="n">
        <v/>
      </c>
      <c r="G83" t="inlineStr">
        <is>
          <t>Sep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16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ACTUAL EXPENSES</t>
        </is>
      </c>
      <c r="B84" t="inlineStr">
        <is>
          <t>L6</t>
        </is>
      </c>
      <c r="C84" t="n">
        <v>6</v>
      </c>
      <c r="D84" t="n">
        <v>12</v>
      </c>
      <c r="E84" t="inlineStr">
        <is>
          <t>Input</t>
        </is>
      </c>
      <c r="F84" t="n">
        <v/>
      </c>
      <c r="G84" t="inlineStr">
        <is>
          <t>Oct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16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ACTUAL EXPENSES</t>
        </is>
      </c>
      <c r="B85" t="inlineStr">
        <is>
          <t>M6</t>
        </is>
      </c>
      <c r="C85" t="n">
        <v>6</v>
      </c>
      <c r="D85" t="n">
        <v>13</v>
      </c>
      <c r="E85" t="inlineStr">
        <is>
          <t>Input</t>
        </is>
      </c>
      <c r="F85" t="n">
        <v/>
      </c>
      <c r="G85" t="inlineStr">
        <is>
          <t>Nov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16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ACTUAL EXPENSES</t>
        </is>
      </c>
      <c r="B86" t="inlineStr">
        <is>
          <t>N6</t>
        </is>
      </c>
      <c r="C86" t="n">
        <v>6</v>
      </c>
      <c r="D86" t="n">
        <v>14</v>
      </c>
      <c r="E86" t="inlineStr">
        <is>
          <t>Input</t>
        </is>
      </c>
      <c r="F86" t="n">
        <v/>
      </c>
      <c r="G86" t="inlineStr">
        <is>
          <t>Dec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16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ACTUAL EXPENSES</t>
        </is>
      </c>
      <c r="B87" t="inlineStr">
        <is>
          <t>O6</t>
        </is>
      </c>
      <c r="C87" t="n">
        <v>6</v>
      </c>
      <c r="D87" t="n">
        <v>15</v>
      </c>
      <c r="E87" t="inlineStr">
        <is>
          <t>Input</t>
        </is>
      </c>
      <c r="F87" t="n">
        <v/>
      </c>
      <c r="G87" t="inlineStr">
        <is>
          <t>YEAR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16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ACTUAL EXPENSES</t>
        </is>
      </c>
      <c r="B88" t="inlineStr">
        <is>
          <t>P6</t>
        </is>
      </c>
      <c r="C88" t="n">
        <v>6</v>
      </c>
      <c r="D88" t="n">
        <v>16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16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ACTUAL EXPENSES</t>
        </is>
      </c>
      <c r="B89" t="inlineStr">
        <is>
          <t>A7</t>
        </is>
      </c>
      <c r="C89" t="n">
        <v>7</v>
      </c>
      <c r="D89" t="n">
        <v>1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ACTUAL EXPENSES</t>
        </is>
      </c>
      <c r="B90" t="inlineStr">
        <is>
          <t>B7</t>
        </is>
      </c>
      <c r="C90" t="n">
        <v>7</v>
      </c>
      <c r="D90" t="n">
        <v>2</v>
      </c>
      <c r="E90" t="inlineStr">
        <is>
          <t>Input</t>
        </is>
      </c>
      <c r="F90" t="n">
        <v/>
      </c>
      <c r="G90" t="inlineStr">
        <is>
          <t>Wages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12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left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ACTUAL EXPENSES</t>
        </is>
      </c>
      <c r="B91" t="inlineStr">
        <is>
          <t>C7</t>
        </is>
      </c>
      <c r="C91" t="n">
        <v>7</v>
      </c>
      <c r="D91" t="n">
        <v>3</v>
      </c>
      <c r="E91" t="inlineStr">
        <is>
          <t>Input</t>
        </is>
      </c>
      <c r="F91" t="n">
        <v/>
      </c>
      <c r="G91" t="n">
        <v>85000</v>
      </c>
      <c r="H91" t="inlineStr"/>
      <c r="I91" t="inlineStr">
        <is>
          <t>"$"#,##0.00_);[Red]\("$"#,##0.00\)</t>
        </is>
      </c>
      <c r="J91" t="b">
        <v>0</v>
      </c>
      <c r="K91" t="b">
        <v>0</v>
      </c>
      <c r="L91" t="n">
        <v>10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inlineStr">
        <is>
          <t>center</t>
        </is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ACTUAL EXPENSES</t>
        </is>
      </c>
      <c r="B92" t="inlineStr">
        <is>
          <t>D7</t>
        </is>
      </c>
      <c r="C92" t="n">
        <v>7</v>
      </c>
      <c r="D92" t="n">
        <v>4</v>
      </c>
      <c r="E92" t="inlineStr">
        <is>
          <t>Input</t>
        </is>
      </c>
      <c r="F92" t="n">
        <v/>
      </c>
      <c r="G92" t="n">
        <v>85000</v>
      </c>
      <c r="H92" t="inlineStr"/>
      <c r="I92" t="inlineStr">
        <is>
          <t>"$"#,##0.00_);[Red]\("$"#,##0.00\)</t>
        </is>
      </c>
      <c r="J92" t="b">
        <v>0</v>
      </c>
      <c r="K92" t="b">
        <v>0</v>
      </c>
      <c r="L92" t="n">
        <v>10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inlineStr">
        <is>
          <t>center</t>
        </is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ACTUAL EXPENSES</t>
        </is>
      </c>
      <c r="B93" t="inlineStr">
        <is>
          <t>E7</t>
        </is>
      </c>
      <c r="C93" t="n">
        <v>7</v>
      </c>
      <c r="D93" t="n">
        <v>5</v>
      </c>
      <c r="E93" t="inlineStr">
        <is>
          <t>Input</t>
        </is>
      </c>
      <c r="F93" t="n">
        <v/>
      </c>
      <c r="G93" t="n">
        <v>85000</v>
      </c>
      <c r="H93" t="inlineStr"/>
      <c r="I93" t="inlineStr">
        <is>
          <t>"$"#,##0.00_);[Red]\("$"#,##0.00\)</t>
        </is>
      </c>
      <c r="J93" t="b">
        <v>0</v>
      </c>
      <c r="K93" t="b">
        <v>0</v>
      </c>
      <c r="L93" t="n">
        <v>10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center</t>
        </is>
      </c>
      <c r="P93" t="inlineStr">
        <is>
          <t>center</t>
        </is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ACTUAL EXPENSES</t>
        </is>
      </c>
      <c r="B94" t="inlineStr">
        <is>
          <t>F7</t>
        </is>
      </c>
      <c r="C94" t="n">
        <v>7</v>
      </c>
      <c r="D94" t="n">
        <v>6</v>
      </c>
      <c r="E94" t="inlineStr">
        <is>
          <t>Input</t>
        </is>
      </c>
      <c r="F94" t="n">
        <v/>
      </c>
      <c r="G94" t="n">
        <v>88000</v>
      </c>
      <c r="H94" t="inlineStr"/>
      <c r="I94" t="inlineStr">
        <is>
          <t>"$"#,##0.00_);[Red]\("$"#,##0.00\)</t>
        </is>
      </c>
      <c r="J94" t="b">
        <v>0</v>
      </c>
      <c r="K94" t="b">
        <v>0</v>
      </c>
      <c r="L94" t="n">
        <v>10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center</t>
        </is>
      </c>
      <c r="P94" t="inlineStr">
        <is>
          <t>center</t>
        </is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ACTUAL EXPENSES</t>
        </is>
      </c>
      <c r="B95" t="inlineStr">
        <is>
          <t>G7</t>
        </is>
      </c>
      <c r="C95" t="n">
        <v>7</v>
      </c>
      <c r="D95" t="n">
        <v>7</v>
      </c>
      <c r="E95" t="inlineStr">
        <is>
          <t>Input</t>
        </is>
      </c>
      <c r="F95" t="n">
        <v/>
      </c>
      <c r="G95" t="n">
        <v>88000</v>
      </c>
      <c r="H95" t="inlineStr"/>
      <c r="I95" t="inlineStr">
        <is>
          <t>"$"#,##0.00_);[Red]\("$"#,##0.00\)</t>
        </is>
      </c>
      <c r="J95" t="b">
        <v>0</v>
      </c>
      <c r="K95" t="b">
        <v>0</v>
      </c>
      <c r="L95" t="n">
        <v>10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center</t>
        </is>
      </c>
      <c r="P95" t="inlineStr">
        <is>
          <t>center</t>
        </is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ACTUAL EXPENSES</t>
        </is>
      </c>
      <c r="B96" t="inlineStr">
        <is>
          <t>H7</t>
        </is>
      </c>
      <c r="C96" t="n">
        <v>7</v>
      </c>
      <c r="D96" t="n">
        <v>8</v>
      </c>
      <c r="E96" t="inlineStr">
        <is>
          <t>Input</t>
        </is>
      </c>
      <c r="F96" t="n">
        <v/>
      </c>
      <c r="G96" t="n">
        <v>88000</v>
      </c>
      <c r="H96" t="inlineStr"/>
      <c r="I96" t="inlineStr">
        <is>
          <t>"$"#,##0.00_);[Red]\("$"#,##0.00\)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inlineStr">
        <is>
          <t>center</t>
        </is>
      </c>
      <c r="P96" t="inlineStr">
        <is>
          <t>center</t>
        </is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ACTUAL EXPENSES</t>
        </is>
      </c>
      <c r="B97" t="inlineStr">
        <is>
          <t>I7</t>
        </is>
      </c>
      <c r="C97" t="n">
        <v>7</v>
      </c>
      <c r="D97" t="n">
        <v>9</v>
      </c>
      <c r="E97" t="inlineStr">
        <is>
          <t>Input</t>
        </is>
      </c>
      <c r="F97" t="n">
        <v/>
      </c>
      <c r="H97" t="inlineStr"/>
      <c r="I97" t="inlineStr">
        <is>
          <t>"$"#,##0.00_);[Red]\("$"#,##0.00\)</t>
        </is>
      </c>
      <c r="J97" t="b">
        <v>0</v>
      </c>
      <c r="K97" t="b">
        <v>0</v>
      </c>
      <c r="L97" t="n">
        <v>10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center</t>
        </is>
      </c>
      <c r="P97" t="inlineStr">
        <is>
          <t>center</t>
        </is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ACTUAL EXPENSES</t>
        </is>
      </c>
      <c r="B98" t="inlineStr">
        <is>
          <t>J7</t>
        </is>
      </c>
      <c r="C98" t="n">
        <v>7</v>
      </c>
      <c r="D98" t="n">
        <v>10</v>
      </c>
      <c r="E98" t="inlineStr">
        <is>
          <t>Input</t>
        </is>
      </c>
      <c r="F98" t="n">
        <v/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inlineStr">
        <is>
          <t>center</t>
        </is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ACTUAL EXPENSES</t>
        </is>
      </c>
      <c r="B99" t="inlineStr">
        <is>
          <t>K7</t>
        </is>
      </c>
      <c r="C99" t="n">
        <v>7</v>
      </c>
      <c r="D99" t="n">
        <v>11</v>
      </c>
      <c r="E99" t="inlineStr">
        <is>
          <t>Input</t>
        </is>
      </c>
      <c r="F99" t="n">
        <v/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inlineStr">
        <is>
          <t>center</t>
        </is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ACTUAL EXPENSES</t>
        </is>
      </c>
      <c r="B100" t="inlineStr">
        <is>
          <t>L7</t>
        </is>
      </c>
      <c r="C100" t="n">
        <v>7</v>
      </c>
      <c r="D100" t="n">
        <v>12</v>
      </c>
      <c r="E100" t="inlineStr">
        <is>
          <t>Input</t>
        </is>
      </c>
      <c r="F100" t="n">
        <v/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inlineStr">
        <is>
          <t>center</t>
        </is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ACTUAL EXPENSES</t>
        </is>
      </c>
      <c r="B101" t="inlineStr">
        <is>
          <t>M7</t>
        </is>
      </c>
      <c r="C101" t="n">
        <v>7</v>
      </c>
      <c r="D101" t="n">
        <v>13</v>
      </c>
      <c r="E101" t="inlineStr">
        <is>
          <t>Input</t>
        </is>
      </c>
      <c r="F101" t="n">
        <v/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inlineStr">
        <is>
          <t>center</t>
        </is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ACTUAL EXPENSES</t>
        </is>
      </c>
      <c r="B102" t="inlineStr">
        <is>
          <t>N7</t>
        </is>
      </c>
      <c r="C102" t="n">
        <v>7</v>
      </c>
      <c r="D102" t="n">
        <v>14</v>
      </c>
      <c r="E102" t="inlineStr">
        <is>
          <t>Input</t>
        </is>
      </c>
      <c r="F102" t="n">
        <v/>
      </c>
      <c r="H102" t="inlineStr"/>
      <c r="I102" t="inlineStr">
        <is>
          <t>"$"#,##0.00_);[Red]\("$"#,##0.00\)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ACTUAL EXPENSES</t>
        </is>
      </c>
      <c r="B103" t="inlineStr">
        <is>
          <t>O7</t>
        </is>
      </c>
      <c r="C103" t="n">
        <v>7</v>
      </c>
      <c r="D103" t="n">
        <v>15</v>
      </c>
      <c r="E103" t="inlineStr">
        <is>
          <t>Output</t>
        </is>
      </c>
      <c r="F103" t="inlineStr">
        <is>
          <t>'=SUM(C7:N7)</t>
        </is>
      </c>
      <c r="G103" t="n">
        <v>519000</v>
      </c>
      <c r="H103" t="inlineStr"/>
      <c r="I103" t="inlineStr">
        <is>
          <t>"$"#,##0.00_);[Red]\("$"#,##0.00\)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inlineStr">
        <is>
          <t>center</t>
        </is>
      </c>
      <c r="R103" t="b">
        <v>1</v>
      </c>
      <c r="S103" t="inlineStr">
        <is>
          <t>G000007</t>
        </is>
      </c>
      <c r="T103" t="inlineStr">
        <is>
          <t>Vertical</t>
        </is>
      </c>
      <c r="U103" t="n">
        <v>2</v>
      </c>
      <c r="V103" t="b">
        <v>1</v>
      </c>
      <c r="W103" t="inlineStr">
        <is>
          <t>ACTUAL EXPENSES!O7:O8</t>
        </is>
      </c>
      <c r="X103">
        <f>SUM(R[0]C[-12]:R[0]C[-1])</f>
        <v/>
      </c>
    </row>
    <row r="104">
      <c r="A104" t="inlineStr">
        <is>
          <t>ACTUAL EXPENSES</t>
        </is>
      </c>
      <c r="B104" t="inlineStr">
        <is>
          <t>P7</t>
        </is>
      </c>
      <c r="C104" t="n">
        <v>7</v>
      </c>
      <c r="D104" t="n">
        <v>16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ACTUAL EXPENSES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ACTUAL EXPENSES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Input</t>
        </is>
      </c>
      <c r="F106" t="n">
        <v/>
      </c>
      <c r="G106" t="inlineStr">
        <is>
          <t>Benefits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12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left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ACTUAL EXPENSES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'=C7*0.27</t>
        </is>
      </c>
      <c r="G107" t="n">
        <v>22950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12</v>
      </c>
      <c r="V107" t="b">
        <v>1</v>
      </c>
      <c r="W107" t="inlineStr">
        <is>
          <t>ACTUAL EXPENSES!C8:N8</t>
        </is>
      </c>
      <c r="X107">
        <f>R[-1]C[0]*0.27</f>
        <v/>
      </c>
    </row>
    <row r="108">
      <c r="A108" t="inlineStr">
        <is>
          <t>ACTUAL EXPENSES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'=D7*0.27</t>
        </is>
      </c>
      <c r="G108" t="n">
        <v>22950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inlineStr">
        <is>
          <t>G000011</t>
        </is>
      </c>
      <c r="T108" t="inlineStr">
        <is>
          <t>Horizontal</t>
        </is>
      </c>
      <c r="U108" t="n">
        <v>12</v>
      </c>
      <c r="V108" t="b">
        <v>1</v>
      </c>
      <c r="W108" t="inlineStr">
        <is>
          <t>ACTUAL EXPENSES!C8:N8</t>
        </is>
      </c>
      <c r="X108">
        <f>R[-1]C[0]*0.27</f>
        <v/>
      </c>
    </row>
    <row r="109">
      <c r="A109" t="inlineStr">
        <is>
          <t>ACTUAL EXPENSES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'=E7*0.27</t>
        </is>
      </c>
      <c r="G109" t="n">
        <v>22950</v>
      </c>
      <c r="H109" t="inlineStr"/>
      <c r="I109" t="inlineStr">
        <is>
          <t>"$"#,##0.00_);[Red]\("$"#,##0.00\)</t>
        </is>
      </c>
      <c r="J109" t="b">
        <v>0</v>
      </c>
      <c r="K109" t="b">
        <v>0</v>
      </c>
      <c r="L109" t="n">
        <v>10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inlineStr">
        <is>
          <t>G000011</t>
        </is>
      </c>
      <c r="T109" t="inlineStr">
        <is>
          <t>Horizontal</t>
        </is>
      </c>
      <c r="U109" t="n">
        <v>12</v>
      </c>
      <c r="V109" t="b">
        <v>1</v>
      </c>
      <c r="W109" t="inlineStr">
        <is>
          <t>ACTUAL EXPENSES!C8:N8</t>
        </is>
      </c>
      <c r="X109">
        <f>R[-1]C[0]*0.27</f>
        <v/>
      </c>
    </row>
    <row r="110">
      <c r="A110" t="inlineStr">
        <is>
          <t>ACTUAL EXPENSES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'=F7*0.27</t>
        </is>
      </c>
      <c r="G110" t="n">
        <v>23760</v>
      </c>
      <c r="H110" t="inlineStr"/>
      <c r="I110" t="inlineStr">
        <is>
          <t>"$"#,##0.00_);[Red]\("$"#,##0.00\)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inlineStr">
        <is>
          <t>G000011</t>
        </is>
      </c>
      <c r="T110" t="inlineStr">
        <is>
          <t>Horizontal</t>
        </is>
      </c>
      <c r="U110" t="n">
        <v>12</v>
      </c>
      <c r="V110" t="b">
        <v>1</v>
      </c>
      <c r="W110" t="inlineStr">
        <is>
          <t>ACTUAL EXPENSES!C8:N8</t>
        </is>
      </c>
      <c r="X110">
        <f>R[-1]C[0]*0.27</f>
        <v/>
      </c>
    </row>
    <row r="111">
      <c r="A111" t="inlineStr">
        <is>
          <t>ACTUAL EXPENSES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'=G7*0.27</t>
        </is>
      </c>
      <c r="G111" t="n">
        <v>23760</v>
      </c>
      <c r="H111" t="inlineStr"/>
      <c r="I111" t="inlineStr">
        <is>
          <t>"$"#,##0.00_);[Red]\("$"#,##0.00\)</t>
        </is>
      </c>
      <c r="J111" t="b">
        <v>0</v>
      </c>
      <c r="K111" t="b">
        <v>0</v>
      </c>
      <c r="L111" t="n">
        <v>10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inlineStr">
        <is>
          <t>G000011</t>
        </is>
      </c>
      <c r="T111" t="inlineStr">
        <is>
          <t>Horizontal</t>
        </is>
      </c>
      <c r="U111" t="n">
        <v>12</v>
      </c>
      <c r="V111" t="b">
        <v>1</v>
      </c>
      <c r="W111" t="inlineStr">
        <is>
          <t>ACTUAL EXPENSES!C8:N8</t>
        </is>
      </c>
      <c r="X111">
        <f>R[-1]C[0]*0.27</f>
        <v/>
      </c>
    </row>
    <row r="112">
      <c r="A112" t="inlineStr">
        <is>
          <t>ACTUAL EXPENSES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'=H7*0.27</t>
        </is>
      </c>
      <c r="G112" t="n">
        <v>23760</v>
      </c>
      <c r="H112" t="inlineStr"/>
      <c r="I112" t="inlineStr">
        <is>
          <t>"$"#,##0.00_);[Red]\("$"#,##0.00\)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inlineStr">
        <is>
          <t>G000011</t>
        </is>
      </c>
      <c r="T112" t="inlineStr">
        <is>
          <t>Horizontal</t>
        </is>
      </c>
      <c r="U112" t="n">
        <v>12</v>
      </c>
      <c r="V112" t="b">
        <v>1</v>
      </c>
      <c r="W112" t="inlineStr">
        <is>
          <t>ACTUAL EXPENSES!C8:N8</t>
        </is>
      </c>
      <c r="X112">
        <f>R[-1]C[0]*0.27</f>
        <v/>
      </c>
    </row>
    <row r="113">
      <c r="A113" t="inlineStr">
        <is>
          <t>ACTUAL EXPENSES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'=I7*0.27</t>
        </is>
      </c>
      <c r="G113" t="n">
        <v>0</v>
      </c>
      <c r="H113" t="inlineStr"/>
      <c r="I113" t="inlineStr">
        <is>
          <t>"$"#,##0.00_);[Red]\("$"#,##0.00\)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inlineStr">
        <is>
          <t>G000011</t>
        </is>
      </c>
      <c r="T113" t="inlineStr">
        <is>
          <t>Horizontal</t>
        </is>
      </c>
      <c r="U113" t="n">
        <v>12</v>
      </c>
      <c r="V113" t="b">
        <v>1</v>
      </c>
      <c r="W113" t="inlineStr">
        <is>
          <t>ACTUAL EXPENSES!C8:N8</t>
        </is>
      </c>
      <c r="X113">
        <f>R[-1]C[0]*0.27</f>
        <v/>
      </c>
    </row>
    <row r="114">
      <c r="A114" t="inlineStr">
        <is>
          <t>ACTUAL EXPENSES</t>
        </is>
      </c>
      <c r="B114" t="inlineStr">
        <is>
          <t>J8</t>
        </is>
      </c>
      <c r="C114" t="n">
        <v>8</v>
      </c>
      <c r="D114" t="n">
        <v>10</v>
      </c>
      <c r="E114" t="inlineStr">
        <is>
          <t>Calculation</t>
        </is>
      </c>
      <c r="F114" t="inlineStr">
        <is>
          <t>'=J7*0.27</t>
        </is>
      </c>
      <c r="G114" t="n">
        <v>0</v>
      </c>
      <c r="H114" t="inlineStr"/>
      <c r="I114" t="inlineStr">
        <is>
          <t>"$"#,##0.00_);[Red]\("$"#,##0.00\)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inlineStr">
        <is>
          <t>G000011</t>
        </is>
      </c>
      <c r="T114" t="inlineStr">
        <is>
          <t>Horizontal</t>
        </is>
      </c>
      <c r="U114" t="n">
        <v>12</v>
      </c>
      <c r="V114" t="b">
        <v>1</v>
      </c>
      <c r="W114" t="inlineStr">
        <is>
          <t>ACTUAL EXPENSES!C8:N8</t>
        </is>
      </c>
      <c r="X114">
        <f>R[-1]C[0]*0.27</f>
        <v/>
      </c>
    </row>
    <row r="115">
      <c r="A115" t="inlineStr">
        <is>
          <t>ACTUAL EXPENSES</t>
        </is>
      </c>
      <c r="B115" t="inlineStr">
        <is>
          <t>K8</t>
        </is>
      </c>
      <c r="C115" t="n">
        <v>8</v>
      </c>
      <c r="D115" t="n">
        <v>11</v>
      </c>
      <c r="E115" t="inlineStr">
        <is>
          <t>Calculation</t>
        </is>
      </c>
      <c r="F115" t="inlineStr">
        <is>
          <t>'=K7*0.27</t>
        </is>
      </c>
      <c r="G115" t="n">
        <v>0</v>
      </c>
      <c r="H115" t="inlineStr"/>
      <c r="I115" t="inlineStr">
        <is>
          <t>"$"#,##0.00_);[Red]\("$"#,##0.00\)</t>
        </is>
      </c>
      <c r="J115" t="b">
        <v>0</v>
      </c>
      <c r="K115" t="b">
        <v>0</v>
      </c>
      <c r="L115" t="n">
        <v>10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inlineStr">
        <is>
          <t>center</t>
        </is>
      </c>
      <c r="P115" t="inlineStr">
        <is>
          <t>center</t>
        </is>
      </c>
      <c r="R115" t="b">
        <v>1</v>
      </c>
      <c r="S115" t="inlineStr">
        <is>
          <t>G000011</t>
        </is>
      </c>
      <c r="T115" t="inlineStr">
        <is>
          <t>Horizontal</t>
        </is>
      </c>
      <c r="U115" t="n">
        <v>12</v>
      </c>
      <c r="V115" t="b">
        <v>1</v>
      </c>
      <c r="W115" t="inlineStr">
        <is>
          <t>ACTUAL EXPENSES!C8:N8</t>
        </is>
      </c>
      <c r="X115">
        <f>R[-1]C[0]*0.27</f>
        <v/>
      </c>
    </row>
    <row r="116">
      <c r="A116" t="inlineStr">
        <is>
          <t>ACTUAL EXPENSES</t>
        </is>
      </c>
      <c r="B116" t="inlineStr">
        <is>
          <t>L8</t>
        </is>
      </c>
      <c r="C116" t="n">
        <v>8</v>
      </c>
      <c r="D116" t="n">
        <v>12</v>
      </c>
      <c r="E116" t="inlineStr">
        <is>
          <t>Calculation</t>
        </is>
      </c>
      <c r="F116" t="inlineStr">
        <is>
          <t>'=L7*0.27</t>
        </is>
      </c>
      <c r="G116" t="n">
        <v>0</v>
      </c>
      <c r="H116" t="inlineStr"/>
      <c r="I116" t="inlineStr">
        <is>
          <t>"$"#,##0.00_);[Red]\("$"#,##0.00\)</t>
        </is>
      </c>
      <c r="J116" t="b">
        <v>0</v>
      </c>
      <c r="K116" t="b">
        <v>0</v>
      </c>
      <c r="L116" t="n">
        <v>10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center</t>
        </is>
      </c>
      <c r="P116" t="inlineStr">
        <is>
          <t>center</t>
        </is>
      </c>
      <c r="R116" t="b">
        <v>1</v>
      </c>
      <c r="S116" t="inlineStr">
        <is>
          <t>G000011</t>
        </is>
      </c>
      <c r="T116" t="inlineStr">
        <is>
          <t>Horizontal</t>
        </is>
      </c>
      <c r="U116" t="n">
        <v>12</v>
      </c>
      <c r="V116" t="b">
        <v>1</v>
      </c>
      <c r="W116" t="inlineStr">
        <is>
          <t>ACTUAL EXPENSES!C8:N8</t>
        </is>
      </c>
      <c r="X116">
        <f>R[-1]C[0]*0.27</f>
        <v/>
      </c>
    </row>
    <row r="117">
      <c r="A117" t="inlineStr">
        <is>
          <t>ACTUAL EXPENSES</t>
        </is>
      </c>
      <c r="B117" t="inlineStr">
        <is>
          <t>M8</t>
        </is>
      </c>
      <c r="C117" t="n">
        <v>8</v>
      </c>
      <c r="D117" t="n">
        <v>13</v>
      </c>
      <c r="E117" t="inlineStr">
        <is>
          <t>Calculation</t>
        </is>
      </c>
      <c r="F117" t="inlineStr">
        <is>
          <t>'=M7*0.27</t>
        </is>
      </c>
      <c r="G117" t="n">
        <v>0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G000011</t>
        </is>
      </c>
      <c r="T117" t="inlineStr">
        <is>
          <t>Horizontal</t>
        </is>
      </c>
      <c r="U117" t="n">
        <v>12</v>
      </c>
      <c r="V117" t="b">
        <v>1</v>
      </c>
      <c r="W117" t="inlineStr">
        <is>
          <t>ACTUAL EXPENSES!C8:N8</t>
        </is>
      </c>
      <c r="X117">
        <f>R[-1]C[0]*0.27</f>
        <v/>
      </c>
    </row>
    <row r="118">
      <c r="A118" t="inlineStr">
        <is>
          <t>ACTUAL EXPENSES</t>
        </is>
      </c>
      <c r="B118" t="inlineStr">
        <is>
          <t>N8</t>
        </is>
      </c>
      <c r="C118" t="n">
        <v>8</v>
      </c>
      <c r="D118" t="n">
        <v>14</v>
      </c>
      <c r="E118" t="inlineStr">
        <is>
          <t>Calculation</t>
        </is>
      </c>
      <c r="F118" t="inlineStr">
        <is>
          <t>'=N7*0.27</t>
        </is>
      </c>
      <c r="G118" t="n">
        <v>0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G000011</t>
        </is>
      </c>
      <c r="T118" t="inlineStr">
        <is>
          <t>Horizontal</t>
        </is>
      </c>
      <c r="U118" t="n">
        <v>12</v>
      </c>
      <c r="V118" t="b">
        <v>1</v>
      </c>
      <c r="W118" t="inlineStr">
        <is>
          <t>ACTUAL EXPENSES!C8:N8</t>
        </is>
      </c>
      <c r="X118">
        <f>R[-1]C[0]*0.27</f>
        <v/>
      </c>
    </row>
    <row r="119">
      <c r="A119" t="inlineStr">
        <is>
          <t>ACTUAL EXPENSES</t>
        </is>
      </c>
      <c r="B119" t="inlineStr">
        <is>
          <t>O8</t>
        </is>
      </c>
      <c r="C119" t="n">
        <v>8</v>
      </c>
      <c r="D119" t="n">
        <v>15</v>
      </c>
      <c r="E119" t="inlineStr">
        <is>
          <t>Output</t>
        </is>
      </c>
      <c r="F119" t="inlineStr">
        <is>
          <t>'=SUM(C8:N8)</t>
        </is>
      </c>
      <c r="G119" t="n">
        <v>140130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G000007</t>
        </is>
      </c>
      <c r="T119" t="inlineStr">
        <is>
          <t>Vertical</t>
        </is>
      </c>
      <c r="U119" t="n">
        <v>2</v>
      </c>
      <c r="V119" t="b">
        <v>1</v>
      </c>
      <c r="W119" t="inlineStr">
        <is>
          <t>ACTUAL EXPENSES!O7:O8</t>
        </is>
      </c>
      <c r="X119">
        <f>SUM(R[0]C[-12]:R[0]C[-1])</f>
        <v/>
      </c>
    </row>
    <row r="120">
      <c r="A120" t="inlineStr">
        <is>
          <t>ACTUAL EXPENSES</t>
        </is>
      </c>
      <c r="B120" t="inlineStr">
        <is>
          <t>P8</t>
        </is>
      </c>
      <c r="C120" t="n">
        <v>8</v>
      </c>
      <c r="D120" t="n">
        <v>16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ACTUAL EXPENSES</t>
        </is>
      </c>
      <c r="B121" t="inlineStr">
        <is>
          <t>A9</t>
        </is>
      </c>
      <c r="C121" t="n">
        <v>9</v>
      </c>
      <c r="D121" t="n">
        <v>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ACTUAL EXPENSES</t>
        </is>
      </c>
      <c r="B122" t="inlineStr">
        <is>
          <t>B9</t>
        </is>
      </c>
      <c r="C122" t="n">
        <v>9</v>
      </c>
      <c r="D122" t="n">
        <v>2</v>
      </c>
      <c r="E122" t="inlineStr">
        <is>
          <t>Input</t>
        </is>
      </c>
      <c r="F122" t="n">
        <v/>
      </c>
      <c r="G122" t="inlineStr">
        <is>
          <t>Subtotal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12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left</t>
        </is>
      </c>
      <c r="P122" t="inlineStr">
        <is>
          <t>center</t>
        </is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ACTUAL EXPENSES</t>
        </is>
      </c>
      <c r="B123" t="inlineStr">
        <is>
          <t>C9</t>
        </is>
      </c>
      <c r="C123" t="n">
        <v>9</v>
      </c>
      <c r="D123" t="n">
        <v>3</v>
      </c>
      <c r="E123" t="inlineStr">
        <is>
          <t>Output</t>
        </is>
      </c>
      <c r="F123" t="inlineStr">
        <is>
          <t>'=SUBTOTAL(109,EmployeeActual[Jan])</t>
        </is>
      </c>
      <c r="G123" t="n">
        <v>107950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>
        <f>SUBTOTAL(109,EmployeeActual[Jan])</f>
        <v/>
      </c>
    </row>
    <row r="124">
      <c r="A124" t="inlineStr">
        <is>
          <t>ACTUAL EXPENSES</t>
        </is>
      </c>
      <c r="B124" t="inlineStr">
        <is>
          <t>D9</t>
        </is>
      </c>
      <c r="C124" t="n">
        <v>9</v>
      </c>
      <c r="D124" t="n">
        <v>4</v>
      </c>
      <c r="E124" t="inlineStr">
        <is>
          <t>Output</t>
        </is>
      </c>
      <c r="F124" t="inlineStr">
        <is>
          <t>'=SUBTOTAL(109,EmployeeActual[Feb])</t>
        </is>
      </c>
      <c r="G124" t="n">
        <v>107950</v>
      </c>
      <c r="H124" t="inlineStr"/>
      <c r="I124" t="inlineStr">
        <is>
          <t>"$"#,##0.00_);[Red]\("$"#,##0.00\)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inlineStr">
        <is>
          <t>center</t>
        </is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>
        <f>SUBTOTAL(109,EmployeeActual[Feb])</f>
        <v/>
      </c>
    </row>
    <row r="125">
      <c r="A125" t="inlineStr">
        <is>
          <t>ACTUAL EXPENSES</t>
        </is>
      </c>
      <c r="B125" t="inlineStr">
        <is>
          <t>E9</t>
        </is>
      </c>
      <c r="C125" t="n">
        <v>9</v>
      </c>
      <c r="D125" t="n">
        <v>5</v>
      </c>
      <c r="E125" t="inlineStr">
        <is>
          <t>Output</t>
        </is>
      </c>
      <c r="F125" t="inlineStr">
        <is>
          <t>'=SUBTOTAL(109,EmployeeActual[Mar])</t>
        </is>
      </c>
      <c r="G125" t="n">
        <v>107950</v>
      </c>
      <c r="H125" t="inlineStr"/>
      <c r="I125" t="inlineStr">
        <is>
          <t>"$"#,##0.00_);[Red]\("$"#,##0.00\)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inlineStr">
        <is>
          <t>center</t>
        </is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>
        <f>SUBTOTAL(109,EmployeeActual[Mar])</f>
        <v/>
      </c>
    </row>
    <row r="126">
      <c r="A126" t="inlineStr">
        <is>
          <t>ACTUAL EXPENSES</t>
        </is>
      </c>
      <c r="B126" t="inlineStr">
        <is>
          <t>F9</t>
        </is>
      </c>
      <c r="C126" t="n">
        <v>9</v>
      </c>
      <c r="D126" t="n">
        <v>6</v>
      </c>
      <c r="E126" t="inlineStr">
        <is>
          <t>Output</t>
        </is>
      </c>
      <c r="F126" t="inlineStr">
        <is>
          <t>'=SUBTOTAL(109,EmployeeActual[Apr])</t>
        </is>
      </c>
      <c r="G126" t="n">
        <v>111760</v>
      </c>
      <c r="H126" t="inlineStr"/>
      <c r="I126" t="inlineStr">
        <is>
          <t>"$"#,##0.00_);[Red]\("$"#,##0.00\)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inlineStr">
        <is>
          <t>center</t>
        </is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>
        <f>SUBTOTAL(109,EmployeeActual[Apr])</f>
        <v/>
      </c>
    </row>
    <row r="127">
      <c r="A127" t="inlineStr">
        <is>
          <t>ACTUAL EXPENSES</t>
        </is>
      </c>
      <c r="B127" t="inlineStr">
        <is>
          <t>G9</t>
        </is>
      </c>
      <c r="C127" t="n">
        <v>9</v>
      </c>
      <c r="D127" t="n">
        <v>7</v>
      </c>
      <c r="E127" t="inlineStr">
        <is>
          <t>Output</t>
        </is>
      </c>
      <c r="F127" t="inlineStr">
        <is>
          <t>'=SUBTOTAL(109,EmployeeActual[May])</t>
        </is>
      </c>
      <c r="G127" t="n">
        <v>111760</v>
      </c>
      <c r="H127" t="inlineStr"/>
      <c r="I127" t="inlineStr">
        <is>
          <t>"$"#,##0.00_);[Red]\("$"#,##0.00\)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inlineStr">
        <is>
          <t>center</t>
        </is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>
        <f>SUBTOTAL(109,EmployeeActual[May])</f>
        <v/>
      </c>
    </row>
    <row r="128">
      <c r="A128" t="inlineStr">
        <is>
          <t>ACTUAL EXPENSES</t>
        </is>
      </c>
      <c r="B128" t="inlineStr">
        <is>
          <t>H9</t>
        </is>
      </c>
      <c r="C128" t="n">
        <v>9</v>
      </c>
      <c r="D128" t="n">
        <v>8</v>
      </c>
      <c r="E128" t="inlineStr">
        <is>
          <t>Output</t>
        </is>
      </c>
      <c r="F128" t="inlineStr">
        <is>
          <t>'=SUBTOTAL(109,EmployeeActual[Jun])</t>
        </is>
      </c>
      <c r="G128" t="n">
        <v>111760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>
        <f>SUBTOTAL(109,EmployeeActual[Jun])</f>
        <v/>
      </c>
    </row>
    <row r="129">
      <c r="A129" t="inlineStr">
        <is>
          <t>ACTUAL EXPENSES</t>
        </is>
      </c>
      <c r="B129" t="inlineStr">
        <is>
          <t>I9</t>
        </is>
      </c>
      <c r="C129" t="n">
        <v>9</v>
      </c>
      <c r="D129" t="n">
        <v>9</v>
      </c>
      <c r="E129" t="inlineStr">
        <is>
          <t>Output</t>
        </is>
      </c>
      <c r="F129" t="inlineStr">
        <is>
          <t>'=SUBTOTAL(109,EmployeeActual[Jul])</t>
        </is>
      </c>
      <c r="G129" t="n">
        <v>0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10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>
        <f>SUBTOTAL(109,EmployeeActual[Jul])</f>
        <v/>
      </c>
    </row>
    <row r="130">
      <c r="A130" t="inlineStr">
        <is>
          <t>ACTUAL EXPENSES</t>
        </is>
      </c>
      <c r="B130" t="inlineStr">
        <is>
          <t>J9</t>
        </is>
      </c>
      <c r="C130" t="n">
        <v>9</v>
      </c>
      <c r="D130" t="n">
        <v>10</v>
      </c>
      <c r="E130" t="inlineStr">
        <is>
          <t>Output</t>
        </is>
      </c>
      <c r="F130" t="inlineStr">
        <is>
          <t>'=SUBTOTAL(109,EmployeeActual[Aug])</t>
        </is>
      </c>
      <c r="G130" t="n">
        <v>0</v>
      </c>
      <c r="H130" t="inlineStr"/>
      <c r="I130" t="inlineStr">
        <is>
          <t>"$"#,##0.00_);[Red]\("$"#,##0.00\)</t>
        </is>
      </c>
      <c r="J130" t="b">
        <v>0</v>
      </c>
      <c r="K130" t="b">
        <v>0</v>
      </c>
      <c r="L130" t="n">
        <v>10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inlineStr">
        <is>
          <t>center</t>
        </is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>
        <f>SUBTOTAL(109,EmployeeActual[Aug])</f>
        <v/>
      </c>
    </row>
    <row r="131">
      <c r="A131" t="inlineStr">
        <is>
          <t>ACTUAL EXPENSES</t>
        </is>
      </c>
      <c r="B131" t="inlineStr">
        <is>
          <t>K9</t>
        </is>
      </c>
      <c r="C131" t="n">
        <v>9</v>
      </c>
      <c r="D131" t="n">
        <v>11</v>
      </c>
      <c r="E131" t="inlineStr">
        <is>
          <t>Output</t>
        </is>
      </c>
      <c r="F131" t="inlineStr">
        <is>
          <t>'=SUBTOTAL(109,EmployeeActual[Sep])</t>
        </is>
      </c>
      <c r="G131" t="n">
        <v>0</v>
      </c>
      <c r="H131" t="inlineStr"/>
      <c r="I131" t="inlineStr">
        <is>
          <t>"$"#,##0.00_);[Red]\("$"#,##0.00\)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inlineStr">
        <is>
          <t>center</t>
        </is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>
        <f>SUBTOTAL(109,EmployeeActual[Sep])</f>
        <v/>
      </c>
    </row>
    <row r="132">
      <c r="A132" t="inlineStr">
        <is>
          <t>ACTUAL EXPENSES</t>
        </is>
      </c>
      <c r="B132" t="inlineStr">
        <is>
          <t>L9</t>
        </is>
      </c>
      <c r="C132" t="n">
        <v>9</v>
      </c>
      <c r="D132" t="n">
        <v>12</v>
      </c>
      <c r="E132" t="inlineStr">
        <is>
          <t>Output</t>
        </is>
      </c>
      <c r="F132" t="inlineStr">
        <is>
          <t>'=SUBTOTAL(109,EmployeeActual[Oct])</t>
        </is>
      </c>
      <c r="G132" t="n">
        <v>0</v>
      </c>
      <c r="H132" t="inlineStr"/>
      <c r="I132" t="inlineStr">
        <is>
          <t>"$"#,##0.00_);[Red]\("$"#,##0.00\)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inlineStr">
        <is>
          <t>center</t>
        </is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>
        <f>SUBTOTAL(109,EmployeeActual[Oct])</f>
        <v/>
      </c>
    </row>
    <row r="133">
      <c r="A133" t="inlineStr">
        <is>
          <t>ACTUAL EXPENSES</t>
        </is>
      </c>
      <c r="B133" t="inlineStr">
        <is>
          <t>M9</t>
        </is>
      </c>
      <c r="C133" t="n">
        <v>9</v>
      </c>
      <c r="D133" t="n">
        <v>13</v>
      </c>
      <c r="E133" t="inlineStr">
        <is>
          <t>Output</t>
        </is>
      </c>
      <c r="F133" t="inlineStr">
        <is>
          <t>'=SUBTOTAL(109,EmployeeActual[Nov])</t>
        </is>
      </c>
      <c r="G133" t="n">
        <v>0</v>
      </c>
      <c r="H133" t="inlineStr"/>
      <c r="I133" t="inlineStr">
        <is>
          <t>"$"#,##0.00_);[Red]\("$"#,##0.00\)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inlineStr">
        <is>
          <t>center</t>
        </is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>
        <f>SUBTOTAL(109,EmployeeActual[Nov])</f>
        <v/>
      </c>
    </row>
    <row r="134">
      <c r="A134" t="inlineStr">
        <is>
          <t>ACTUAL EXPENSES</t>
        </is>
      </c>
      <c r="B134" t="inlineStr">
        <is>
          <t>N9</t>
        </is>
      </c>
      <c r="C134" t="n">
        <v>9</v>
      </c>
      <c r="D134" t="n">
        <v>14</v>
      </c>
      <c r="E134" t="inlineStr">
        <is>
          <t>Output</t>
        </is>
      </c>
      <c r="F134" t="inlineStr">
        <is>
          <t>'=SUBTOTAL(109,EmployeeActual[Dec])</t>
        </is>
      </c>
      <c r="G134" t="n">
        <v>0</v>
      </c>
      <c r="H134" t="inlineStr"/>
      <c r="I134" t="inlineStr">
        <is>
          <t>"$"#,##0.00_);[Red]\("$"#,##0.00\)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center</t>
        </is>
      </c>
      <c r="P134" t="inlineStr">
        <is>
          <t>center</t>
        </is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>
        <f>SUBTOTAL(109,EmployeeActual[Dec])</f>
        <v/>
      </c>
    </row>
    <row r="135">
      <c r="A135" t="inlineStr">
        <is>
          <t>ACTUAL EXPENSES</t>
        </is>
      </c>
      <c r="B135" t="inlineStr">
        <is>
          <t>O9</t>
        </is>
      </c>
      <c r="C135" t="n">
        <v>9</v>
      </c>
      <c r="D135" t="n">
        <v>15</v>
      </c>
      <c r="E135" t="inlineStr">
        <is>
          <t>Output</t>
        </is>
      </c>
      <c r="F135" t="inlineStr">
        <is>
          <t>'=SUBTOTAL(109,EmployeeActual[YEAR])</t>
        </is>
      </c>
      <c r="G135" t="n">
        <v>659130</v>
      </c>
      <c r="H135" t="inlineStr"/>
      <c r="I135" t="inlineStr">
        <is>
          <t>"$"#,##0.00_);[Red]\("$"#,##0.00\)</t>
        </is>
      </c>
      <c r="J135" t="b">
        <v>0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center</t>
        </is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>
        <f>SUBTOTAL(109,EmployeeActual[YEAR])</f>
        <v/>
      </c>
    </row>
    <row r="136">
      <c r="A136" t="inlineStr">
        <is>
          <t>ACTUAL EXPENSES</t>
        </is>
      </c>
      <c r="B136" t="inlineStr">
        <is>
          <t>P9</t>
        </is>
      </c>
      <c r="C136" t="n">
        <v>9</v>
      </c>
      <c r="D136" t="n">
        <v>16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ACTUAL EXPENSES</t>
        </is>
      </c>
      <c r="B137" t="inlineStr">
        <is>
          <t>A10</t>
        </is>
      </c>
      <c r="C137" t="n">
        <v>10</v>
      </c>
      <c r="D137" t="n">
        <v>1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n">
        <v/>
      </c>
      <c r="P137" t="n">
        <v/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ACTUAL EXPENSES</t>
        </is>
      </c>
      <c r="B138" t="inlineStr">
        <is>
          <t>B10</t>
        </is>
      </c>
      <c r="C138" t="n">
        <v>10</v>
      </c>
      <c r="D138" t="n">
        <v>2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n">
        <v/>
      </c>
      <c r="P138" t="n">
        <v/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ACTUAL EXPENSES</t>
        </is>
      </c>
      <c r="B139" t="inlineStr">
        <is>
          <t>C10</t>
        </is>
      </c>
      <c r="C139" t="n">
        <v>10</v>
      </c>
      <c r="D139" t="n">
        <v>3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n">
        <v/>
      </c>
      <c r="P139" t="n">
        <v/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ACTUAL EXPENSES</t>
        </is>
      </c>
      <c r="B140" t="inlineStr">
        <is>
          <t>D10</t>
        </is>
      </c>
      <c r="C140" t="n">
        <v>10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n">
        <v/>
      </c>
      <c r="P140" t="n">
        <v/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ACTUAL EXPENSES</t>
        </is>
      </c>
      <c r="B141" t="inlineStr">
        <is>
          <t>E10</t>
        </is>
      </c>
      <c r="C141" t="n">
        <v>10</v>
      </c>
      <c r="D141" t="n">
        <v>5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n">
        <v/>
      </c>
      <c r="P141" t="n">
        <v/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ACTUAL EXPENSES</t>
        </is>
      </c>
      <c r="B142" t="inlineStr">
        <is>
          <t>F10</t>
        </is>
      </c>
      <c r="C142" t="n">
        <v>10</v>
      </c>
      <c r="D142" t="n">
        <v>6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n">
        <v/>
      </c>
      <c r="P142" t="n">
        <v/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ACTUAL EXPENSES</t>
        </is>
      </c>
      <c r="B143" t="inlineStr">
        <is>
          <t>G10</t>
        </is>
      </c>
      <c r="C143" t="n">
        <v>10</v>
      </c>
      <c r="D143" t="n">
        <v>7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n">
        <v/>
      </c>
      <c r="P143" t="n">
        <v/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ACTUAL EXPENSES</t>
        </is>
      </c>
      <c r="B144" t="inlineStr">
        <is>
          <t>H10</t>
        </is>
      </c>
      <c r="C144" t="n">
        <v>10</v>
      </c>
      <c r="D144" t="n">
        <v>8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n">
        <v/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ACTUAL EXPENSES</t>
        </is>
      </c>
      <c r="B145" t="inlineStr">
        <is>
          <t>I10</t>
        </is>
      </c>
      <c r="C145" t="n">
        <v>10</v>
      </c>
      <c r="D145" t="n">
        <v>9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n">
        <v/>
      </c>
      <c r="P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ACTUAL EXPENSES</t>
        </is>
      </c>
      <c r="B146" t="inlineStr">
        <is>
          <t>J10</t>
        </is>
      </c>
      <c r="C146" t="n">
        <v>10</v>
      </c>
      <c r="D146" t="n">
        <v>10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ACTUAL EXPENSES</t>
        </is>
      </c>
      <c r="B147" t="inlineStr">
        <is>
          <t>K10</t>
        </is>
      </c>
      <c r="C147" t="n">
        <v>10</v>
      </c>
      <c r="D147" t="n">
        <v>11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n">
        <v/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ACTUAL EXPENSES</t>
        </is>
      </c>
      <c r="B148" t="inlineStr">
        <is>
          <t>L10</t>
        </is>
      </c>
      <c r="C148" t="n">
        <v>10</v>
      </c>
      <c r="D148" t="n">
        <v>12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n">
        <v/>
      </c>
      <c r="P148" t="n">
        <v/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ACTUAL EXPENSES</t>
        </is>
      </c>
      <c r="B149" t="inlineStr">
        <is>
          <t>M10</t>
        </is>
      </c>
      <c r="C149" t="n">
        <v>10</v>
      </c>
      <c r="D149" t="n">
        <v>13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n">
        <v/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ACTUAL EXPENSES</t>
        </is>
      </c>
      <c r="B150" t="inlineStr">
        <is>
          <t>N10</t>
        </is>
      </c>
      <c r="C150" t="n">
        <v>10</v>
      </c>
      <c r="D150" t="n">
        <v>14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ACTUAL EXPENSES</t>
        </is>
      </c>
      <c r="B151" t="inlineStr">
        <is>
          <t>O10</t>
        </is>
      </c>
      <c r="C151" t="n">
        <v>10</v>
      </c>
      <c r="D151" t="n">
        <v>15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ACTUAL EXPENSES</t>
        </is>
      </c>
      <c r="B152" t="inlineStr">
        <is>
          <t>P10</t>
        </is>
      </c>
      <c r="C152" t="n">
        <v>10</v>
      </c>
      <c r="D152" t="n">
        <v>16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ACTUAL EXPENSES</t>
        </is>
      </c>
      <c r="B153" t="inlineStr">
        <is>
          <t>A11</t>
        </is>
      </c>
      <c r="C153" t="n">
        <v>11</v>
      </c>
      <c r="D153" t="n">
        <v>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16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ACTUAL EXPENSES</t>
        </is>
      </c>
      <c r="B154" t="inlineStr">
        <is>
          <t>B11</t>
        </is>
      </c>
      <c r="C154" t="n">
        <v>11</v>
      </c>
      <c r="D154" t="n">
        <v>2</v>
      </c>
      <c r="E154" t="inlineStr">
        <is>
          <t>Input</t>
        </is>
      </c>
      <c r="F154" t="n">
        <v/>
      </c>
      <c r="G154" t="inlineStr">
        <is>
          <t>Office costs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16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left</t>
        </is>
      </c>
      <c r="P154" t="inlineStr">
        <is>
          <t>center</t>
        </is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ACTUAL EXPENSES</t>
        </is>
      </c>
      <c r="B155" t="inlineStr">
        <is>
          <t>C11</t>
        </is>
      </c>
      <c r="C155" t="n">
        <v>11</v>
      </c>
      <c r="D155" t="n">
        <v>3</v>
      </c>
      <c r="E155" t="inlineStr">
        <is>
          <t>Input</t>
        </is>
      </c>
      <c r="F155" t="n">
        <v/>
      </c>
      <c r="G155" t="inlineStr">
        <is>
          <t>Jan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16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inlineStr">
        <is>
          <t>center</t>
        </is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ACTUAL EXPENSES</t>
        </is>
      </c>
      <c r="B156" t="inlineStr">
        <is>
          <t>D11</t>
        </is>
      </c>
      <c r="C156" t="n">
        <v>11</v>
      </c>
      <c r="D156" t="n">
        <v>4</v>
      </c>
      <c r="E156" t="inlineStr">
        <is>
          <t>Input</t>
        </is>
      </c>
      <c r="F156" t="n">
        <v/>
      </c>
      <c r="G156" t="inlineStr">
        <is>
          <t>Feb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16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center</t>
        </is>
      </c>
      <c r="P156" t="inlineStr">
        <is>
          <t>center</t>
        </is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ACTUAL EXPENSES</t>
        </is>
      </c>
      <c r="B157" t="inlineStr">
        <is>
          <t>E11</t>
        </is>
      </c>
      <c r="C157" t="n">
        <v>11</v>
      </c>
      <c r="D157" t="n">
        <v>5</v>
      </c>
      <c r="E157" t="inlineStr">
        <is>
          <t>Input</t>
        </is>
      </c>
      <c r="F157" t="n">
        <v/>
      </c>
      <c r="G157" t="inlineStr">
        <is>
          <t>Mar</t>
        </is>
      </c>
      <c r="H157" t="inlineStr"/>
      <c r="I157" t="inlineStr">
        <is>
          <t>_("$"* #,##0_);_("$"* \(#,##0\);_("$"* "-"??_);_(@_)</t>
        </is>
      </c>
      <c r="J157" t="b">
        <v>0</v>
      </c>
      <c r="K157" t="b">
        <v>0</v>
      </c>
      <c r="L157" t="n">
        <v>16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inlineStr">
        <is>
          <t>center</t>
        </is>
      </c>
      <c r="P157" t="inlineStr">
        <is>
          <t>center</t>
        </is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ACTUAL EXPENSES</t>
        </is>
      </c>
      <c r="B158" t="inlineStr">
        <is>
          <t>F11</t>
        </is>
      </c>
      <c r="C158" t="n">
        <v>11</v>
      </c>
      <c r="D158" t="n">
        <v>6</v>
      </c>
      <c r="E158" t="inlineStr">
        <is>
          <t>Input</t>
        </is>
      </c>
      <c r="F158" t="n">
        <v/>
      </c>
      <c r="G158" t="inlineStr">
        <is>
          <t>Apr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16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inlineStr">
        <is>
          <t>center</t>
        </is>
      </c>
      <c r="P158" t="inlineStr">
        <is>
          <t>center</t>
        </is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ACTUAL EXPENSES</t>
        </is>
      </c>
      <c r="B159" t="inlineStr">
        <is>
          <t>G11</t>
        </is>
      </c>
      <c r="C159" t="n">
        <v>11</v>
      </c>
      <c r="D159" t="n">
        <v>7</v>
      </c>
      <c r="E159" t="inlineStr">
        <is>
          <t>Input</t>
        </is>
      </c>
      <c r="F159" t="n">
        <v/>
      </c>
      <c r="G159" t="inlineStr">
        <is>
          <t>May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16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center</t>
        </is>
      </c>
      <c r="P159" t="inlineStr">
        <is>
          <t>center</t>
        </is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ACTUAL EXPENSES</t>
        </is>
      </c>
      <c r="B160" t="inlineStr">
        <is>
          <t>H11</t>
        </is>
      </c>
      <c r="C160" t="n">
        <v>11</v>
      </c>
      <c r="D160" t="n">
        <v>8</v>
      </c>
      <c r="E160" t="inlineStr">
        <is>
          <t>Input</t>
        </is>
      </c>
      <c r="F160" t="n">
        <v/>
      </c>
      <c r="G160" t="inlineStr">
        <is>
          <t>Jun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16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inlineStr">
        <is>
          <t>center</t>
        </is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ACTUAL EXPENSES</t>
        </is>
      </c>
      <c r="B161" t="inlineStr">
        <is>
          <t>I11</t>
        </is>
      </c>
      <c r="C161" t="n">
        <v>11</v>
      </c>
      <c r="D161" t="n">
        <v>9</v>
      </c>
      <c r="E161" t="inlineStr">
        <is>
          <t>Input</t>
        </is>
      </c>
      <c r="F161" t="n">
        <v/>
      </c>
      <c r="G161" t="inlineStr">
        <is>
          <t>Jul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16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inlineStr">
        <is>
          <t>center</t>
        </is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ACTUAL EXPENSES</t>
        </is>
      </c>
      <c r="B162" t="inlineStr">
        <is>
          <t>J11</t>
        </is>
      </c>
      <c r="C162" t="n">
        <v>11</v>
      </c>
      <c r="D162" t="n">
        <v>10</v>
      </c>
      <c r="E162" t="inlineStr">
        <is>
          <t>Input</t>
        </is>
      </c>
      <c r="F162" t="n">
        <v/>
      </c>
      <c r="G162" t="inlineStr">
        <is>
          <t>Aug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16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inlineStr">
        <is>
          <t>center</t>
        </is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ACTUAL EXPENSES</t>
        </is>
      </c>
      <c r="B163" t="inlineStr">
        <is>
          <t>K11</t>
        </is>
      </c>
      <c r="C163" t="n">
        <v>11</v>
      </c>
      <c r="D163" t="n">
        <v>11</v>
      </c>
      <c r="E163" t="inlineStr">
        <is>
          <t>Input</t>
        </is>
      </c>
      <c r="F163" t="n">
        <v/>
      </c>
      <c r="G163" t="inlineStr">
        <is>
          <t>Sep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16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inlineStr">
        <is>
          <t>center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ACTUAL EXPENSES</t>
        </is>
      </c>
      <c r="B164" t="inlineStr">
        <is>
          <t>L11</t>
        </is>
      </c>
      <c r="C164" t="n">
        <v>11</v>
      </c>
      <c r="D164" t="n">
        <v>12</v>
      </c>
      <c r="E164" t="inlineStr">
        <is>
          <t>Input</t>
        </is>
      </c>
      <c r="F164" t="n">
        <v/>
      </c>
      <c r="G164" t="inlineStr">
        <is>
          <t>Oct</t>
        </is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16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inlineStr">
        <is>
          <t>center</t>
        </is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ACTUAL EXPENSES</t>
        </is>
      </c>
      <c r="B165" t="inlineStr">
        <is>
          <t>M11</t>
        </is>
      </c>
      <c r="C165" t="n">
        <v>11</v>
      </c>
      <c r="D165" t="n">
        <v>13</v>
      </c>
      <c r="E165" t="inlineStr">
        <is>
          <t>Input</t>
        </is>
      </c>
      <c r="F165" t="n">
        <v/>
      </c>
      <c r="G165" t="inlineStr">
        <is>
          <t>Nov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16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inlineStr">
        <is>
          <t>center</t>
        </is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ACTUAL EXPENSES</t>
        </is>
      </c>
      <c r="B166" t="inlineStr">
        <is>
          <t>N11</t>
        </is>
      </c>
      <c r="C166" t="n">
        <v>11</v>
      </c>
      <c r="D166" t="n">
        <v>14</v>
      </c>
      <c r="E166" t="inlineStr">
        <is>
          <t>Input</t>
        </is>
      </c>
      <c r="F166" t="n">
        <v/>
      </c>
      <c r="G166" t="inlineStr">
        <is>
          <t>Dec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16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inlineStr">
        <is>
          <t>center</t>
        </is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ACTUAL EXPENSES</t>
        </is>
      </c>
      <c r="B167" t="inlineStr">
        <is>
          <t>O11</t>
        </is>
      </c>
      <c r="C167" t="n">
        <v>11</v>
      </c>
      <c r="D167" t="n">
        <v>15</v>
      </c>
      <c r="E167" t="inlineStr">
        <is>
          <t>Input</t>
        </is>
      </c>
      <c r="F167" t="n">
        <v/>
      </c>
      <c r="G167" t="inlineStr">
        <is>
          <t>YEAR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16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inlineStr">
        <is>
          <t>center</t>
        </is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ACTUAL EXPENSES</t>
        </is>
      </c>
      <c r="B168" t="inlineStr">
        <is>
          <t>P11</t>
        </is>
      </c>
      <c r="C168" t="n">
        <v>11</v>
      </c>
      <c r="D168" t="n">
        <v>16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16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ACTUAL EXPENSES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n">
        <v/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ACTUAL EXPENSES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Input</t>
        </is>
      </c>
      <c r="F170" t="n">
        <v/>
      </c>
      <c r="G170" t="inlineStr">
        <is>
          <t>Office lease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12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left</t>
        </is>
      </c>
      <c r="P170" t="inlineStr">
        <is>
          <t>center</t>
        </is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ACTUAL EXPENSES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Input</t>
        </is>
      </c>
      <c r="F171" t="n">
        <v/>
      </c>
      <c r="G171" t="n">
        <v>9800</v>
      </c>
      <c r="H171" t="inlineStr"/>
      <c r="I171" t="inlineStr">
        <is>
          <t>"$"#,##0.00_);[Red]\("$"#,##0.00\)</t>
        </is>
      </c>
      <c r="J171" t="b">
        <v>0</v>
      </c>
      <c r="K171" t="b">
        <v>0</v>
      </c>
      <c r="L171" t="n">
        <v>10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inlineStr">
        <is>
          <t>center</t>
        </is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ACTUAL EXPENSES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Input</t>
        </is>
      </c>
      <c r="F172" t="n">
        <v/>
      </c>
      <c r="G172" t="n">
        <v>9800</v>
      </c>
      <c r="H172" t="inlineStr"/>
      <c r="I172" t="inlineStr">
        <is>
          <t>"$"#,##0.00_);[Red]\("$"#,##0.00\)</t>
        </is>
      </c>
      <c r="J172" t="b">
        <v>0</v>
      </c>
      <c r="K172" t="b">
        <v>0</v>
      </c>
      <c r="L172" t="n">
        <v>10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inlineStr">
        <is>
          <t>center</t>
        </is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ACTUAL EXPENSES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Input</t>
        </is>
      </c>
      <c r="F173" t="n">
        <v/>
      </c>
      <c r="G173" t="n">
        <v>9800</v>
      </c>
      <c r="H173" t="inlineStr"/>
      <c r="I173" t="inlineStr">
        <is>
          <t>"$"#,##0.00_);[Red]\("$"#,##0.00\)</t>
        </is>
      </c>
      <c r="J173" t="b">
        <v>0</v>
      </c>
      <c r="K173" t="b">
        <v>0</v>
      </c>
      <c r="L173" t="n">
        <v>10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center</t>
        </is>
      </c>
      <c r="P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ACTUAL EXPENSES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Input</t>
        </is>
      </c>
      <c r="F174" t="n">
        <v/>
      </c>
      <c r="G174" t="n">
        <v>9800</v>
      </c>
      <c r="H174" t="inlineStr"/>
      <c r="I174" t="inlineStr">
        <is>
          <t>"$"#,##0.00_);[Red]\("$"#,##0.00\)</t>
        </is>
      </c>
      <c r="J174" t="b">
        <v>0</v>
      </c>
      <c r="K174" t="b">
        <v>0</v>
      </c>
      <c r="L174" t="n">
        <v>10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inlineStr">
        <is>
          <t>center</t>
        </is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ACTUAL EXPENSES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Input</t>
        </is>
      </c>
      <c r="F175" t="n">
        <v/>
      </c>
      <c r="G175" t="n">
        <v>9800</v>
      </c>
      <c r="H175" t="inlineStr"/>
      <c r="I175" t="inlineStr">
        <is>
          <t>"$"#,##0.00_);[Red]\("$"#,##0.00\)</t>
        </is>
      </c>
      <c r="J175" t="b">
        <v>0</v>
      </c>
      <c r="K175" t="b">
        <v>0</v>
      </c>
      <c r="L175" t="n">
        <v>10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ACTUAL EXPENSES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Input</t>
        </is>
      </c>
      <c r="F176" t="n">
        <v/>
      </c>
      <c r="G176" t="n">
        <v>9800</v>
      </c>
      <c r="H176" t="inlineStr"/>
      <c r="I176" t="inlineStr">
        <is>
          <t>"$"#,##0.00_);[Red]\("$"#,##0.00\)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ACTUAL EXPENSES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Input</t>
        </is>
      </c>
      <c r="F177" t="n">
        <v/>
      </c>
      <c r="H177" t="inlineStr"/>
      <c r="I177" t="inlineStr">
        <is>
          <t>"$"#,##0.00_);[Red]\("$"#,##0.00\)</t>
        </is>
      </c>
      <c r="J177" t="b">
        <v>0</v>
      </c>
      <c r="K177" t="b">
        <v>0</v>
      </c>
      <c r="L177" t="n">
        <v>10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inlineStr">
        <is>
          <t>center</t>
        </is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ACTUAL EXPENSES</t>
        </is>
      </c>
      <c r="B178" t="inlineStr">
        <is>
          <t>J12</t>
        </is>
      </c>
      <c r="C178" t="n">
        <v>12</v>
      </c>
      <c r="D178" t="n">
        <v>10</v>
      </c>
      <c r="E178" t="inlineStr">
        <is>
          <t>Input</t>
        </is>
      </c>
      <c r="F178" t="n">
        <v/>
      </c>
      <c r="H178" t="inlineStr"/>
      <c r="I178" t="inlineStr">
        <is>
          <t>"$"#,##0.00_);[Red]\("$"#,##0.00\)</t>
        </is>
      </c>
      <c r="J178" t="b">
        <v>0</v>
      </c>
      <c r="K178" t="b">
        <v>0</v>
      </c>
      <c r="L178" t="n">
        <v>10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inlineStr">
        <is>
          <t>center</t>
        </is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ACTUAL EXPENSES</t>
        </is>
      </c>
      <c r="B179" t="inlineStr">
        <is>
          <t>K12</t>
        </is>
      </c>
      <c r="C179" t="n">
        <v>12</v>
      </c>
      <c r="D179" t="n">
        <v>11</v>
      </c>
      <c r="E179" t="inlineStr">
        <is>
          <t>Input</t>
        </is>
      </c>
      <c r="F179" t="n">
        <v/>
      </c>
      <c r="H179" t="inlineStr"/>
      <c r="I179" t="inlineStr">
        <is>
          <t>"$"#,##0.00_);[Red]\("$"#,##0.00\)</t>
        </is>
      </c>
      <c r="J179" t="b">
        <v>0</v>
      </c>
      <c r="K179" t="b">
        <v>0</v>
      </c>
      <c r="L179" t="n">
        <v>10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P179" t="inlineStr">
        <is>
          <t>center</t>
        </is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ACTUAL EXPENSES</t>
        </is>
      </c>
      <c r="B180" t="inlineStr">
        <is>
          <t>L12</t>
        </is>
      </c>
      <c r="C180" t="n">
        <v>12</v>
      </c>
      <c r="D180" t="n">
        <v>12</v>
      </c>
      <c r="E180" t="inlineStr">
        <is>
          <t>Input</t>
        </is>
      </c>
      <c r="F180" t="n">
        <v/>
      </c>
      <c r="H180" t="inlineStr"/>
      <c r="I180" t="inlineStr">
        <is>
          <t>"$"#,##0.00_);[Red]\("$"#,##0.00\)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P180" t="inlineStr">
        <is>
          <t>center</t>
        </is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ACTUAL EXPENSES</t>
        </is>
      </c>
      <c r="B181" t="inlineStr">
        <is>
          <t>M12</t>
        </is>
      </c>
      <c r="C181" t="n">
        <v>12</v>
      </c>
      <c r="D181" t="n">
        <v>13</v>
      </c>
      <c r="E181" t="inlineStr">
        <is>
          <t>Input</t>
        </is>
      </c>
      <c r="F181" t="n">
        <v/>
      </c>
      <c r="H181" t="inlineStr"/>
      <c r="I181" t="inlineStr">
        <is>
          <t>"$"#,##0.00_);[Red]\("$"#,##0.00\)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inlineStr">
        <is>
          <t>center</t>
        </is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ACTUAL EXPENSES</t>
        </is>
      </c>
      <c r="B182" t="inlineStr">
        <is>
          <t>N12</t>
        </is>
      </c>
      <c r="C182" t="n">
        <v>12</v>
      </c>
      <c r="D182" t="n">
        <v>14</v>
      </c>
      <c r="E182" t="inlineStr">
        <is>
          <t>Input</t>
        </is>
      </c>
      <c r="F182" t="n">
        <v/>
      </c>
      <c r="H182" t="inlineStr"/>
      <c r="I182" t="inlineStr">
        <is>
          <t>"$"#,##0.00_);[Red]\("$"#,##0.00\)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inlineStr">
        <is>
          <t>center</t>
        </is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ACTUAL EXPENSES</t>
        </is>
      </c>
      <c r="B183" t="inlineStr">
        <is>
          <t>O12</t>
        </is>
      </c>
      <c r="C183" t="n">
        <v>12</v>
      </c>
      <c r="D183" t="n">
        <v>15</v>
      </c>
      <c r="E183" t="inlineStr">
        <is>
          <t>Output</t>
        </is>
      </c>
      <c r="F183" t="inlineStr">
        <is>
          <t>'=SUM(C12:N12)</t>
        </is>
      </c>
      <c r="G183" t="n">
        <v>58800</v>
      </c>
      <c r="H183" t="inlineStr"/>
      <c r="I183" t="inlineStr">
        <is>
          <t>"$"#,##0.00_);[Red]\("$"#,##0.00\)</t>
        </is>
      </c>
      <c r="J183" t="b">
        <v>0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inlineStr">
        <is>
          <t>G000008</t>
        </is>
      </c>
      <c r="T183" t="inlineStr">
        <is>
          <t>Vertical</t>
        </is>
      </c>
      <c r="U183" t="n">
        <v>8</v>
      </c>
      <c r="V183" t="b">
        <v>1</v>
      </c>
      <c r="W183" t="inlineStr">
        <is>
          <t>ACTUAL EXPENSES!O12:O19</t>
        </is>
      </c>
      <c r="X183">
        <f>SUM(R[0]C[-12]:R[0]C[-1])</f>
        <v/>
      </c>
    </row>
    <row r="184">
      <c r="A184" t="inlineStr">
        <is>
          <t>ACTUAL EXPENSES</t>
        </is>
      </c>
      <c r="B184" t="inlineStr">
        <is>
          <t>P12</t>
        </is>
      </c>
      <c r="C184" t="n">
        <v>12</v>
      </c>
      <c r="D184" t="n">
        <v>16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n">
        <v/>
      </c>
      <c r="P184" t="n">
        <v/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ACTUAL EXPENSES</t>
        </is>
      </c>
      <c r="B185" t="inlineStr">
        <is>
          <t>A13</t>
        </is>
      </c>
      <c r="C185" t="n">
        <v>13</v>
      </c>
      <c r="D185" t="n">
        <v>1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n">
        <v/>
      </c>
      <c r="P185" t="n">
        <v/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ACTUAL EXPENSES</t>
        </is>
      </c>
      <c r="B186" t="inlineStr">
        <is>
          <t>B13</t>
        </is>
      </c>
      <c r="C186" t="n">
        <v>13</v>
      </c>
      <c r="D186" t="n">
        <v>2</v>
      </c>
      <c r="E186" t="inlineStr">
        <is>
          <t>Input</t>
        </is>
      </c>
      <c r="F186" t="n">
        <v/>
      </c>
      <c r="G186" t="inlineStr">
        <is>
          <t>Gas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12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left</t>
        </is>
      </c>
      <c r="P186" t="inlineStr">
        <is>
          <t>center</t>
        </is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ACTUAL EXPENSES</t>
        </is>
      </c>
      <c r="B187" t="inlineStr">
        <is>
          <t>C13</t>
        </is>
      </c>
      <c r="C187" t="n">
        <v>13</v>
      </c>
      <c r="D187" t="n">
        <v>3</v>
      </c>
      <c r="E187" t="inlineStr">
        <is>
          <t>Input</t>
        </is>
      </c>
      <c r="F187" t="n">
        <v/>
      </c>
      <c r="G187" t="n">
        <v>4</v>
      </c>
      <c r="H187" t="inlineStr"/>
      <c r="I187" t="inlineStr">
        <is>
          <t>"$"#,##0.00_);[Red]\("$"#,##0.00\)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ACTUAL EXPENSES</t>
        </is>
      </c>
      <c r="B188" t="inlineStr">
        <is>
          <t>D13</t>
        </is>
      </c>
      <c r="C188" t="n">
        <v>13</v>
      </c>
      <c r="D188" t="n">
        <v>4</v>
      </c>
      <c r="E188" t="inlineStr">
        <is>
          <t>Input</t>
        </is>
      </c>
      <c r="F188" t="n">
        <v/>
      </c>
      <c r="G188" t="n">
        <v>430</v>
      </c>
      <c r="H188" t="inlineStr"/>
      <c r="I188" t="inlineStr">
        <is>
          <t>"$"#,##0.00_);[Red]\("$"#,##0.00\)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ACTUAL EXPENSES</t>
        </is>
      </c>
      <c r="B189" t="inlineStr">
        <is>
          <t>E13</t>
        </is>
      </c>
      <c r="C189" t="n">
        <v>13</v>
      </c>
      <c r="D189" t="n">
        <v>5</v>
      </c>
      <c r="E189" t="inlineStr">
        <is>
          <t>Input</t>
        </is>
      </c>
      <c r="F189" t="n">
        <v/>
      </c>
      <c r="G189" t="n">
        <v>385</v>
      </c>
      <c r="H189" t="inlineStr"/>
      <c r="I189" t="inlineStr">
        <is>
          <t>"$"#,##0.00_);[Red]\("$"#,##0.00\)</t>
        </is>
      </c>
      <c r="J189" t="b">
        <v>0</v>
      </c>
      <c r="K189" t="b">
        <v>0</v>
      </c>
      <c r="L189" t="n">
        <v>10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ACTUAL EXPENSES</t>
        </is>
      </c>
      <c r="B190" t="inlineStr">
        <is>
          <t>F13</t>
        </is>
      </c>
      <c r="C190" t="n">
        <v>13</v>
      </c>
      <c r="D190" t="n">
        <v>6</v>
      </c>
      <c r="E190" t="inlineStr">
        <is>
          <t>Input</t>
        </is>
      </c>
      <c r="F190" t="n">
        <v/>
      </c>
      <c r="G190" t="n">
        <v>230</v>
      </c>
      <c r="H190" t="inlineStr"/>
      <c r="I190" t="inlineStr">
        <is>
          <t>"$"#,##0.00_);[Red]\("$"#,##0.00\)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ACTUAL EXPENSES</t>
        </is>
      </c>
      <c r="B191" t="inlineStr">
        <is>
          <t>G13</t>
        </is>
      </c>
      <c r="C191" t="n">
        <v>13</v>
      </c>
      <c r="D191" t="n">
        <v>7</v>
      </c>
      <c r="E191" t="inlineStr">
        <is>
          <t>Input</t>
        </is>
      </c>
      <c r="F191" t="n">
        <v/>
      </c>
      <c r="G191" t="n">
        <v>87</v>
      </c>
      <c r="H191" t="inlineStr"/>
      <c r="I191" t="inlineStr">
        <is>
          <t>"$"#,##0.00_);[Red]\("$"#,##0.00\)</t>
        </is>
      </c>
      <c r="J191" t="b">
        <v>0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ACTUAL EXPENSES</t>
        </is>
      </c>
      <c r="B192" t="inlineStr">
        <is>
          <t>H13</t>
        </is>
      </c>
      <c r="C192" t="n">
        <v>13</v>
      </c>
      <c r="D192" t="n">
        <v>8</v>
      </c>
      <c r="E192" t="inlineStr">
        <is>
          <t>Input</t>
        </is>
      </c>
      <c r="F192" t="n">
        <v/>
      </c>
      <c r="G192" t="n">
        <v>88</v>
      </c>
      <c r="H192" t="inlineStr"/>
      <c r="I192" t="inlineStr">
        <is>
          <t>"$"#,##0.00_);[Red]\("$"#,##0.00\)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ACTUAL EXPENSES</t>
        </is>
      </c>
      <c r="B193" t="inlineStr">
        <is>
          <t>I13</t>
        </is>
      </c>
      <c r="C193" t="n">
        <v>13</v>
      </c>
      <c r="D193" t="n">
        <v>9</v>
      </c>
      <c r="E193" t="inlineStr">
        <is>
          <t>Input</t>
        </is>
      </c>
      <c r="F193" t="n">
        <v/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10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ACTUAL EXPENSES</t>
        </is>
      </c>
      <c r="B194" t="inlineStr">
        <is>
          <t>J13</t>
        </is>
      </c>
      <c r="C194" t="n">
        <v>13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ACTUAL EXPENSES</t>
        </is>
      </c>
      <c r="B195" t="inlineStr">
        <is>
          <t>K13</t>
        </is>
      </c>
      <c r="C195" t="n">
        <v>13</v>
      </c>
      <c r="D195" t="n">
        <v>11</v>
      </c>
      <c r="E195" t="inlineStr">
        <is>
          <t>Input</t>
        </is>
      </c>
      <c r="F195" t="n">
        <v/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inlineStr">
        <is>
          <t>center</t>
        </is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ACTUAL EXPENSES</t>
        </is>
      </c>
      <c r="B196" t="inlineStr">
        <is>
          <t>L13</t>
        </is>
      </c>
      <c r="C196" t="n">
        <v>13</v>
      </c>
      <c r="D196" t="n">
        <v>12</v>
      </c>
      <c r="E196" t="inlineStr">
        <is>
          <t>Input</t>
        </is>
      </c>
      <c r="F196" t="n">
        <v/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inlineStr">
        <is>
          <t>center</t>
        </is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ACTUAL EXPENSES</t>
        </is>
      </c>
      <c r="B197" t="inlineStr">
        <is>
          <t>M13</t>
        </is>
      </c>
      <c r="C197" t="n">
        <v>13</v>
      </c>
      <c r="D197" t="n">
        <v>13</v>
      </c>
      <c r="E197" t="inlineStr">
        <is>
          <t>Input</t>
        </is>
      </c>
      <c r="F197" t="n">
        <v/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inlineStr">
        <is>
          <t>center</t>
        </is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ACTUAL EXPENSES</t>
        </is>
      </c>
      <c r="B198" t="inlineStr">
        <is>
          <t>N13</t>
        </is>
      </c>
      <c r="C198" t="n">
        <v>13</v>
      </c>
      <c r="D198" t="n">
        <v>14</v>
      </c>
      <c r="E198" t="inlineStr">
        <is>
          <t>Input</t>
        </is>
      </c>
      <c r="F198" t="n">
        <v/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ACTUAL EXPENSES</t>
        </is>
      </c>
      <c r="B199" t="inlineStr">
        <is>
          <t>O13</t>
        </is>
      </c>
      <c r="C199" t="n">
        <v>13</v>
      </c>
      <c r="D199" t="n">
        <v>15</v>
      </c>
      <c r="E199" t="inlineStr">
        <is>
          <t>Output</t>
        </is>
      </c>
      <c r="F199" t="inlineStr">
        <is>
          <t>'=SUM(C13:N13)</t>
        </is>
      </c>
      <c r="G199" t="n">
        <v>1224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G000008</t>
        </is>
      </c>
      <c r="T199" t="inlineStr">
        <is>
          <t>Vertical</t>
        </is>
      </c>
      <c r="U199" t="n">
        <v>8</v>
      </c>
      <c r="V199" t="b">
        <v>1</v>
      </c>
      <c r="W199" t="inlineStr">
        <is>
          <t>ACTUAL EXPENSES!O12:O19</t>
        </is>
      </c>
      <c r="X199">
        <f>SUM(R[0]C[-12]:R[0]C[-1])</f>
        <v/>
      </c>
    </row>
    <row r="200">
      <c r="A200" t="inlineStr">
        <is>
          <t>ACTUAL EXPENSES</t>
        </is>
      </c>
      <c r="B200" t="inlineStr">
        <is>
          <t>P13</t>
        </is>
      </c>
      <c r="C200" t="n">
        <v>13</v>
      </c>
      <c r="D200" t="n">
        <v>16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n">
        <v/>
      </c>
      <c r="P200" t="n">
        <v/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ACTUAL EXPENSES</t>
        </is>
      </c>
      <c r="B201" t="inlineStr">
        <is>
          <t>A14</t>
        </is>
      </c>
      <c r="C201" t="n">
        <v>14</v>
      </c>
      <c r="D201" t="n">
        <v>1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14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n">
        <v/>
      </c>
      <c r="P201" t="n">
        <v/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ACTUAL EXPENSES</t>
        </is>
      </c>
      <c r="B202" t="inlineStr">
        <is>
          <t>B14</t>
        </is>
      </c>
      <c r="C202" t="n">
        <v>14</v>
      </c>
      <c r="D202" t="n">
        <v>2</v>
      </c>
      <c r="E202" t="inlineStr">
        <is>
          <t>Input</t>
        </is>
      </c>
      <c r="F202" t="n">
        <v/>
      </c>
      <c r="G202" t="inlineStr">
        <is>
          <t>Electric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12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left</t>
        </is>
      </c>
      <c r="P202" t="inlineStr">
        <is>
          <t>center</t>
        </is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ACTUAL EXPENSES</t>
        </is>
      </c>
      <c r="B203" t="inlineStr">
        <is>
          <t>C14</t>
        </is>
      </c>
      <c r="C203" t="n">
        <v>14</v>
      </c>
      <c r="D203" t="n">
        <v>3</v>
      </c>
      <c r="E203" t="inlineStr">
        <is>
          <t>Input</t>
        </is>
      </c>
      <c r="F203" t="n">
        <v/>
      </c>
      <c r="G203" t="n">
        <v>288</v>
      </c>
      <c r="H203" t="inlineStr"/>
      <c r="I203" t="inlineStr">
        <is>
          <t>"$"#,##0.00_);[Red]\("$"#,##0.00\)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ACTUAL EXPENSES</t>
        </is>
      </c>
      <c r="B204" t="inlineStr">
        <is>
          <t>D14</t>
        </is>
      </c>
      <c r="C204" t="n">
        <v>14</v>
      </c>
      <c r="D204" t="n">
        <v>4</v>
      </c>
      <c r="E204" t="inlineStr">
        <is>
          <t>Input</t>
        </is>
      </c>
      <c r="F204" t="n">
        <v/>
      </c>
      <c r="G204" t="n">
        <v>278</v>
      </c>
      <c r="H204" t="inlineStr"/>
      <c r="I204" t="inlineStr">
        <is>
          <t>"$"#,##0.00_);[Red]\("$"#,##0.00\)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ACTUAL EXPENSES</t>
        </is>
      </c>
      <c r="B205" t="inlineStr">
        <is>
          <t>E14</t>
        </is>
      </c>
      <c r="C205" t="n">
        <v>14</v>
      </c>
      <c r="D205" t="n">
        <v>5</v>
      </c>
      <c r="E205" t="inlineStr">
        <is>
          <t>Input</t>
        </is>
      </c>
      <c r="F205" t="n">
        <v/>
      </c>
      <c r="G205" t="n">
        <v>268</v>
      </c>
      <c r="H205" t="inlineStr"/>
      <c r="I205" t="inlineStr">
        <is>
          <t>"$"#,##0.00_);[Red]\("$"#,##0.00\)</t>
        </is>
      </c>
      <c r="J205" t="b">
        <v>0</v>
      </c>
      <c r="K205" t="b">
        <v>0</v>
      </c>
      <c r="L205" t="n">
        <v>10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ACTUAL EXPENSES</t>
        </is>
      </c>
      <c r="B206" t="inlineStr">
        <is>
          <t>F14</t>
        </is>
      </c>
      <c r="C206" t="n">
        <v>14</v>
      </c>
      <c r="D206" t="n">
        <v>6</v>
      </c>
      <c r="E206" t="inlineStr">
        <is>
          <t>Input</t>
        </is>
      </c>
      <c r="F206" t="n">
        <v/>
      </c>
      <c r="G206" t="n">
        <v>299</v>
      </c>
      <c r="H206" t="inlineStr"/>
      <c r="I206" t="inlineStr">
        <is>
          <t>"$"#,##0.00_);[Red]\("$"#,##0.00\)</t>
        </is>
      </c>
      <c r="J206" t="b">
        <v>0</v>
      </c>
      <c r="K206" t="b">
        <v>0</v>
      </c>
      <c r="L206" t="n">
        <v>10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ACTUAL EXPENSES</t>
        </is>
      </c>
      <c r="B207" t="inlineStr">
        <is>
          <t>G14</t>
        </is>
      </c>
      <c r="C207" t="n">
        <v>14</v>
      </c>
      <c r="D207" t="n">
        <v>7</v>
      </c>
      <c r="E207" t="inlineStr">
        <is>
          <t>Input</t>
        </is>
      </c>
      <c r="F207" t="n">
        <v/>
      </c>
      <c r="G207" t="n">
        <v>306</v>
      </c>
      <c r="H207" t="inlineStr"/>
      <c r="I207" t="inlineStr">
        <is>
          <t>"$"#,##0.00_);[Red]\("$"#,##0.00\)</t>
        </is>
      </c>
      <c r="J207" t="b">
        <v>0</v>
      </c>
      <c r="K207" t="b">
        <v>0</v>
      </c>
      <c r="L207" t="n">
        <v>10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center</t>
        </is>
      </c>
      <c r="P207" t="inlineStr">
        <is>
          <t>center</t>
        </is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ACTUAL EXPENSES</t>
        </is>
      </c>
      <c r="B208" t="inlineStr">
        <is>
          <t>H14</t>
        </is>
      </c>
      <c r="C208" t="n">
        <v>14</v>
      </c>
      <c r="D208" t="n">
        <v>8</v>
      </c>
      <c r="E208" t="inlineStr">
        <is>
          <t>Input</t>
        </is>
      </c>
      <c r="F208" t="n">
        <v/>
      </c>
      <c r="G208" t="n">
        <v>290</v>
      </c>
      <c r="H208" t="inlineStr"/>
      <c r="I208" t="inlineStr">
        <is>
          <t>"$"#,##0.00_);[Red]\("$"#,##0.00\)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ACTUAL EXPENSES</t>
        </is>
      </c>
      <c r="B209" t="inlineStr">
        <is>
          <t>I14</t>
        </is>
      </c>
      <c r="C209" t="n">
        <v>14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ACTUAL EXPENSES</t>
        </is>
      </c>
      <c r="B210" t="inlineStr">
        <is>
          <t>J14</t>
        </is>
      </c>
      <c r="C210" t="n">
        <v>14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inlineStr">
        <is>
          <t>center</t>
        </is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ACTUAL EXPENSES</t>
        </is>
      </c>
      <c r="B211" t="inlineStr">
        <is>
          <t>K14</t>
        </is>
      </c>
      <c r="C211" t="n">
        <v>14</v>
      </c>
      <c r="D211" t="n">
        <v>11</v>
      </c>
      <c r="E211" t="inlineStr">
        <is>
          <t>Input</t>
        </is>
      </c>
      <c r="F211" t="n">
        <v/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inlineStr">
        <is>
          <t>center</t>
        </is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ACTUAL EXPENSES</t>
        </is>
      </c>
      <c r="B212" t="inlineStr">
        <is>
          <t>L14</t>
        </is>
      </c>
      <c r="C212" t="n">
        <v>14</v>
      </c>
      <c r="D212" t="n">
        <v>12</v>
      </c>
      <c r="E212" t="inlineStr">
        <is>
          <t>Input</t>
        </is>
      </c>
      <c r="F212" t="n">
        <v/>
      </c>
      <c r="H212" t="inlineStr"/>
      <c r="I212" t="inlineStr">
        <is>
          <t>"$"#,##0.00_);[Red]\("$"#,##0.00\)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center</t>
        </is>
      </c>
      <c r="P212" t="inlineStr">
        <is>
          <t>center</t>
        </is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ACTUAL EXPENSES</t>
        </is>
      </c>
      <c r="B213" t="inlineStr">
        <is>
          <t>M14</t>
        </is>
      </c>
      <c r="C213" t="n">
        <v>14</v>
      </c>
      <c r="D213" t="n">
        <v>13</v>
      </c>
      <c r="E213" t="inlineStr">
        <is>
          <t>Input</t>
        </is>
      </c>
      <c r="F213" t="n">
        <v/>
      </c>
      <c r="H213" t="inlineStr"/>
      <c r="I213" t="inlineStr">
        <is>
          <t>"$"#,##0.00_);[Red]\("$"#,##0.00\)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inlineStr">
        <is>
          <t>center</t>
        </is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ACTUAL EXPENSES</t>
        </is>
      </c>
      <c r="B214" t="inlineStr">
        <is>
          <t>N14</t>
        </is>
      </c>
      <c r="C214" t="n">
        <v>14</v>
      </c>
      <c r="D214" t="n">
        <v>14</v>
      </c>
      <c r="E214" t="inlineStr">
        <is>
          <t>Input</t>
        </is>
      </c>
      <c r="F214" t="n">
        <v/>
      </c>
      <c r="H214" t="inlineStr"/>
      <c r="I214" t="inlineStr">
        <is>
          <t>"$"#,##0.00_);[Red]\("$"#,##0.00\)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inlineStr">
        <is>
          <t>center</t>
        </is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ACTUAL EXPENSES</t>
        </is>
      </c>
      <c r="B215" t="inlineStr">
        <is>
          <t>O14</t>
        </is>
      </c>
      <c r="C215" t="n">
        <v>14</v>
      </c>
      <c r="D215" t="n">
        <v>15</v>
      </c>
      <c r="E215" t="inlineStr">
        <is>
          <t>Output</t>
        </is>
      </c>
      <c r="F215" t="inlineStr">
        <is>
          <t>'=SUM(C14:N14)</t>
        </is>
      </c>
      <c r="G215" t="n">
        <v>1729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G000008</t>
        </is>
      </c>
      <c r="T215" t="inlineStr">
        <is>
          <t>Vertical</t>
        </is>
      </c>
      <c r="U215" t="n">
        <v>8</v>
      </c>
      <c r="V215" t="b">
        <v>1</v>
      </c>
      <c r="W215" t="inlineStr">
        <is>
          <t>ACTUAL EXPENSES!O12:O19</t>
        </is>
      </c>
      <c r="X215">
        <f>SUM(R[0]C[-12]:R[0]C[-1])</f>
        <v/>
      </c>
    </row>
    <row r="216">
      <c r="A216" t="inlineStr">
        <is>
          <t>ACTUAL EXPENSES</t>
        </is>
      </c>
      <c r="B216" t="inlineStr">
        <is>
          <t>P14</t>
        </is>
      </c>
      <c r="C216" t="n">
        <v>14</v>
      </c>
      <c r="D216" t="n">
        <v>16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ACTUAL EXPENSES</t>
        </is>
      </c>
      <c r="B217" t="inlineStr">
        <is>
          <t>A15</t>
        </is>
      </c>
      <c r="C217" t="n">
        <v>15</v>
      </c>
      <c r="D217" t="n">
        <v>1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ACTUAL EXPENSES</t>
        </is>
      </c>
      <c r="B218" t="inlineStr">
        <is>
          <t>B15</t>
        </is>
      </c>
      <c r="C218" t="n">
        <v>15</v>
      </c>
      <c r="D218" t="n">
        <v>2</v>
      </c>
      <c r="E218" t="inlineStr">
        <is>
          <t>Input</t>
        </is>
      </c>
      <c r="F218" t="n">
        <v/>
      </c>
      <c r="G218" t="inlineStr">
        <is>
          <t>Water</t>
        </is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12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left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ACTUAL EXPENSES</t>
        </is>
      </c>
      <c r="B219" t="inlineStr">
        <is>
          <t>C15</t>
        </is>
      </c>
      <c r="C219" t="n">
        <v>15</v>
      </c>
      <c r="D219" t="n">
        <v>3</v>
      </c>
      <c r="E219" t="inlineStr">
        <is>
          <t>Input</t>
        </is>
      </c>
      <c r="F219" t="n">
        <v/>
      </c>
      <c r="G219" t="n">
        <v>35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ACTUAL EXPENSES</t>
        </is>
      </c>
      <c r="B220" t="inlineStr">
        <is>
          <t>D15</t>
        </is>
      </c>
      <c r="C220" t="n">
        <v>15</v>
      </c>
      <c r="D220" t="n">
        <v>4</v>
      </c>
      <c r="E220" t="inlineStr">
        <is>
          <t>Input</t>
        </is>
      </c>
      <c r="F220" t="n">
        <v/>
      </c>
      <c r="G220" t="n">
        <v>33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ACTUAL EXPENSES</t>
        </is>
      </c>
      <c r="B221" t="inlineStr">
        <is>
          <t>E15</t>
        </is>
      </c>
      <c r="C221" t="n">
        <v>15</v>
      </c>
      <c r="D221" t="n">
        <v>5</v>
      </c>
      <c r="E221" t="inlineStr">
        <is>
          <t>Input</t>
        </is>
      </c>
      <c r="F221" t="n">
        <v/>
      </c>
      <c r="G221" t="n">
        <v>34</v>
      </c>
      <c r="H221" t="inlineStr"/>
      <c r="I221" t="inlineStr">
        <is>
          <t>"$"#,##0.00_);[Red]\("$"#,##0.00\)</t>
        </is>
      </c>
      <c r="J221" t="b">
        <v>0</v>
      </c>
      <c r="K221" t="b">
        <v>0</v>
      </c>
      <c r="L221" t="n">
        <v>10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ACTUAL EXPENSES</t>
        </is>
      </c>
      <c r="B222" t="inlineStr">
        <is>
          <t>F15</t>
        </is>
      </c>
      <c r="C222" t="n">
        <v>15</v>
      </c>
      <c r="D222" t="n">
        <v>6</v>
      </c>
      <c r="E222" t="inlineStr">
        <is>
          <t>Input</t>
        </is>
      </c>
      <c r="F222" t="n">
        <v/>
      </c>
      <c r="G222" t="n">
        <v>36</v>
      </c>
      <c r="H222" t="inlineStr"/>
      <c r="I222" t="inlineStr">
        <is>
          <t>"$"#,##0.00_);[Red]\("$"#,##0.00\)</t>
        </is>
      </c>
      <c r="J222" t="b">
        <v>0</v>
      </c>
      <c r="K222" t="b">
        <v>0</v>
      </c>
      <c r="L222" t="n">
        <v>10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ACTUAL EXPENSES</t>
        </is>
      </c>
      <c r="B223" t="inlineStr">
        <is>
          <t>G15</t>
        </is>
      </c>
      <c r="C223" t="n">
        <v>15</v>
      </c>
      <c r="D223" t="n">
        <v>7</v>
      </c>
      <c r="E223" t="inlineStr">
        <is>
          <t>Input</t>
        </is>
      </c>
      <c r="F223" t="n">
        <v/>
      </c>
      <c r="G223" t="n">
        <v>34</v>
      </c>
      <c r="H223" t="inlineStr"/>
      <c r="I223" t="inlineStr">
        <is>
          <t>"$"#,##0.00_);[Red]\("$"#,##0.00\)</t>
        </is>
      </c>
      <c r="J223" t="b">
        <v>0</v>
      </c>
      <c r="K223" t="b">
        <v>0</v>
      </c>
      <c r="L223" t="n">
        <v>10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center</t>
        </is>
      </c>
      <c r="P223" t="inlineStr">
        <is>
          <t>center</t>
        </is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ACTUAL EXPENSES</t>
        </is>
      </c>
      <c r="B224" t="inlineStr">
        <is>
          <t>H15</t>
        </is>
      </c>
      <c r="C224" t="n">
        <v>15</v>
      </c>
      <c r="D224" t="n">
        <v>8</v>
      </c>
      <c r="E224" t="inlineStr">
        <is>
          <t>Input</t>
        </is>
      </c>
      <c r="F224" t="n">
        <v/>
      </c>
      <c r="G224" t="n">
        <v>36</v>
      </c>
      <c r="H224" t="inlineStr"/>
      <c r="I224" t="inlineStr">
        <is>
          <t>"$"#,##0.00_);[Red]\("$"#,##0.00\)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inlineStr">
        <is>
          <t>center</t>
        </is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ACTUAL EXPENSES</t>
        </is>
      </c>
      <c r="B225" t="inlineStr">
        <is>
          <t>I15</t>
        </is>
      </c>
      <c r="C225" t="n">
        <v>15</v>
      </c>
      <c r="D225" t="n">
        <v>9</v>
      </c>
      <c r="E225" t="inlineStr">
        <is>
          <t>Input</t>
        </is>
      </c>
      <c r="F225" t="n">
        <v/>
      </c>
      <c r="H225" t="inlineStr"/>
      <c r="I225" t="inlineStr">
        <is>
          <t>"$"#,##0.00_);[Red]\("$"#,##0.00\)</t>
        </is>
      </c>
      <c r="J225" t="b">
        <v>0</v>
      </c>
      <c r="K225" t="b">
        <v>0</v>
      </c>
      <c r="L225" t="n">
        <v>10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inlineStr">
        <is>
          <t>center</t>
        </is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ACTUAL EXPENSES</t>
        </is>
      </c>
      <c r="B226" t="inlineStr">
        <is>
          <t>J15</t>
        </is>
      </c>
      <c r="C226" t="n">
        <v>15</v>
      </c>
      <c r="D226" t="n">
        <v>10</v>
      </c>
      <c r="E226" t="inlineStr">
        <is>
          <t>Input</t>
        </is>
      </c>
      <c r="F226" t="n">
        <v/>
      </c>
      <c r="H226" t="inlineStr"/>
      <c r="I226" t="inlineStr">
        <is>
          <t>"$"#,##0.00_);[Red]\("$"#,##0.00\)</t>
        </is>
      </c>
      <c r="J226" t="b">
        <v>0</v>
      </c>
      <c r="K226" t="b">
        <v>0</v>
      </c>
      <c r="L226" t="n">
        <v>10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center</t>
        </is>
      </c>
      <c r="P226" t="inlineStr">
        <is>
          <t>center</t>
        </is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ACTUAL EXPENSES</t>
        </is>
      </c>
      <c r="B227" t="inlineStr">
        <is>
          <t>K15</t>
        </is>
      </c>
      <c r="C227" t="n">
        <v>15</v>
      </c>
      <c r="D227" t="n">
        <v>11</v>
      </c>
      <c r="E227" t="inlineStr">
        <is>
          <t>Input</t>
        </is>
      </c>
      <c r="F227" t="n">
        <v/>
      </c>
      <c r="H227" t="inlineStr"/>
      <c r="I227" t="inlineStr">
        <is>
          <t>"$"#,##0.00_);[Red]\("$"#,##0.00\)</t>
        </is>
      </c>
      <c r="J227" t="b">
        <v>0</v>
      </c>
      <c r="K227" t="b">
        <v>0</v>
      </c>
      <c r="L227" t="n">
        <v>10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center</t>
        </is>
      </c>
      <c r="P227" t="inlineStr">
        <is>
          <t>center</t>
        </is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ACTUAL EXPENSES</t>
        </is>
      </c>
      <c r="B228" t="inlineStr">
        <is>
          <t>L15</t>
        </is>
      </c>
      <c r="C228" t="n">
        <v>15</v>
      </c>
      <c r="D228" t="n">
        <v>12</v>
      </c>
      <c r="E228" t="inlineStr">
        <is>
          <t>Input</t>
        </is>
      </c>
      <c r="F228" t="n">
        <v/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inlineStr">
        <is>
          <t>center</t>
        </is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ACTUAL EXPENSES</t>
        </is>
      </c>
      <c r="B229" t="inlineStr">
        <is>
          <t>M15</t>
        </is>
      </c>
      <c r="C229" t="n">
        <v>15</v>
      </c>
      <c r="D229" t="n">
        <v>13</v>
      </c>
      <c r="E229" t="inlineStr">
        <is>
          <t>Input</t>
        </is>
      </c>
      <c r="F229" t="n">
        <v/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inlineStr">
        <is>
          <t>center</t>
        </is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ACTUAL EXPENSES</t>
        </is>
      </c>
      <c r="B230" t="inlineStr">
        <is>
          <t>N15</t>
        </is>
      </c>
      <c r="C230" t="n">
        <v>15</v>
      </c>
      <c r="D230" t="n">
        <v>14</v>
      </c>
      <c r="E230" t="inlineStr">
        <is>
          <t>Input</t>
        </is>
      </c>
      <c r="F230" t="n">
        <v/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inlineStr">
        <is>
          <t>center</t>
        </is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ACTUAL EXPENSES</t>
        </is>
      </c>
      <c r="B231" t="inlineStr">
        <is>
          <t>O15</t>
        </is>
      </c>
      <c r="C231" t="n">
        <v>15</v>
      </c>
      <c r="D231" t="n">
        <v>15</v>
      </c>
      <c r="E231" t="inlineStr">
        <is>
          <t>Output</t>
        </is>
      </c>
      <c r="F231" t="inlineStr">
        <is>
          <t>'=SUM(C15:N15)</t>
        </is>
      </c>
      <c r="G231" t="n">
        <v>208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G000008</t>
        </is>
      </c>
      <c r="T231" t="inlineStr">
        <is>
          <t>Vertical</t>
        </is>
      </c>
      <c r="U231" t="n">
        <v>8</v>
      </c>
      <c r="V231" t="b">
        <v>1</v>
      </c>
      <c r="W231" t="inlineStr">
        <is>
          <t>ACTUAL EXPENSES!O12:O19</t>
        </is>
      </c>
      <c r="X231">
        <f>SUM(R[0]C[-12]:R[0]C[-1])</f>
        <v/>
      </c>
    </row>
    <row r="232">
      <c r="A232" t="inlineStr">
        <is>
          <t>ACTUAL EXPENSES</t>
        </is>
      </c>
      <c r="B232" t="inlineStr">
        <is>
          <t>P15</t>
        </is>
      </c>
      <c r="C232" t="n">
        <v>15</v>
      </c>
      <c r="D232" t="n">
        <v>16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14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n">
        <v/>
      </c>
      <c r="P232" t="n">
        <v/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ACTUAL EXPENSES</t>
        </is>
      </c>
      <c r="B233" t="inlineStr">
        <is>
          <t>A16</t>
        </is>
      </c>
      <c r="C233" t="n">
        <v>16</v>
      </c>
      <c r="D233" t="n">
        <v>1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14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ACTUAL EXPENSES</t>
        </is>
      </c>
      <c r="B234" t="inlineStr">
        <is>
          <t>B16</t>
        </is>
      </c>
      <c r="C234" t="n">
        <v>16</v>
      </c>
      <c r="D234" t="n">
        <v>2</v>
      </c>
      <c r="E234" t="inlineStr">
        <is>
          <t>Input</t>
        </is>
      </c>
      <c r="F234" t="n">
        <v/>
      </c>
      <c r="G234" t="inlineStr">
        <is>
          <t>Telephone</t>
        </is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12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left</t>
        </is>
      </c>
      <c r="P234" t="inlineStr">
        <is>
          <t>center</t>
        </is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ACTUAL EXPENSES</t>
        </is>
      </c>
      <c r="B235" t="inlineStr">
        <is>
          <t>C16</t>
        </is>
      </c>
      <c r="C235" t="n">
        <v>16</v>
      </c>
      <c r="D235" t="n">
        <v>3</v>
      </c>
      <c r="E235" t="inlineStr">
        <is>
          <t>Input</t>
        </is>
      </c>
      <c r="F235" t="n">
        <v/>
      </c>
      <c r="G235" t="n">
        <v>224</v>
      </c>
      <c r="H235" t="inlineStr"/>
      <c r="I235" t="inlineStr">
        <is>
          <t>"$"#,##0.00_);[Red]\("$"#,##0.00\)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inlineStr">
        <is>
          <t>center</t>
        </is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ACTUAL EXPENSES</t>
        </is>
      </c>
      <c r="B236" t="inlineStr">
        <is>
          <t>D16</t>
        </is>
      </c>
      <c r="C236" t="n">
        <v>16</v>
      </c>
      <c r="D236" t="n">
        <v>4</v>
      </c>
      <c r="E236" t="inlineStr">
        <is>
          <t>Input</t>
        </is>
      </c>
      <c r="F236" t="n">
        <v/>
      </c>
      <c r="G236" t="n">
        <v>235</v>
      </c>
      <c r="H236" t="inlineStr"/>
      <c r="I236" t="inlineStr">
        <is>
          <t>"$"#,##0.00_);[Red]\("$"#,##0.00\)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ACTUAL EXPENSES</t>
        </is>
      </c>
      <c r="B237" t="inlineStr">
        <is>
          <t>E16</t>
        </is>
      </c>
      <c r="C237" t="n">
        <v>16</v>
      </c>
      <c r="D237" t="n">
        <v>5</v>
      </c>
      <c r="E237" t="inlineStr">
        <is>
          <t>Input</t>
        </is>
      </c>
      <c r="F237" t="n">
        <v/>
      </c>
      <c r="G237" t="n">
        <v>265</v>
      </c>
      <c r="H237" t="inlineStr"/>
      <c r="I237" t="inlineStr">
        <is>
          <t>"$"#,##0.00_);[Red]\("$"#,##0.00\)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ACTUAL EXPENSES</t>
        </is>
      </c>
      <c r="B238" t="inlineStr">
        <is>
          <t>F16</t>
        </is>
      </c>
      <c r="C238" t="n">
        <v>16</v>
      </c>
      <c r="D238" t="n">
        <v>6</v>
      </c>
      <c r="E238" t="inlineStr">
        <is>
          <t>Input</t>
        </is>
      </c>
      <c r="F238" t="n">
        <v/>
      </c>
      <c r="G238" t="n">
        <v>245</v>
      </c>
      <c r="H238" t="inlineStr"/>
      <c r="I238" t="inlineStr">
        <is>
          <t>"$"#,##0.00_);[Red]\("$"#,##0.00\)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ACTUAL EXPENSES</t>
        </is>
      </c>
      <c r="B239" t="inlineStr">
        <is>
          <t>G16</t>
        </is>
      </c>
      <c r="C239" t="n">
        <v>16</v>
      </c>
      <c r="D239" t="n">
        <v>7</v>
      </c>
      <c r="E239" t="inlineStr">
        <is>
          <t>Input</t>
        </is>
      </c>
      <c r="F239" t="n">
        <v/>
      </c>
      <c r="G239" t="n">
        <v>245</v>
      </c>
      <c r="H239" t="inlineStr"/>
      <c r="I239" t="inlineStr">
        <is>
          <t>"$"#,##0.00_);[Red]\("$"#,##0.00\)</t>
        </is>
      </c>
      <c r="J239" t="b">
        <v>0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ACTUAL EXPENSES</t>
        </is>
      </c>
      <c r="B240" t="inlineStr">
        <is>
          <t>H16</t>
        </is>
      </c>
      <c r="C240" t="n">
        <v>16</v>
      </c>
      <c r="D240" t="n">
        <v>8</v>
      </c>
      <c r="E240" t="inlineStr">
        <is>
          <t>Input</t>
        </is>
      </c>
      <c r="F240" t="n">
        <v/>
      </c>
      <c r="G240" t="n">
        <v>220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ACTUAL EXPENSES</t>
        </is>
      </c>
      <c r="B241" t="inlineStr">
        <is>
          <t>I16</t>
        </is>
      </c>
      <c r="C241" t="n">
        <v>16</v>
      </c>
      <c r="D241" t="n">
        <v>9</v>
      </c>
      <c r="E241" t="inlineStr">
        <is>
          <t>Input</t>
        </is>
      </c>
      <c r="F241" t="n">
        <v/>
      </c>
      <c r="H241" t="inlineStr"/>
      <c r="I241" t="inlineStr">
        <is>
          <t>"$"#,##0.00_);[Red]\("$"#,##0.00\)</t>
        </is>
      </c>
      <c r="J241" t="b">
        <v>0</v>
      </c>
      <c r="K241" t="b">
        <v>0</v>
      </c>
      <c r="L241" t="n">
        <v>10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inlineStr">
        <is>
          <t>center</t>
        </is>
      </c>
      <c r="P241" t="inlineStr">
        <is>
          <t>center</t>
        </is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ACTUAL EXPENSES</t>
        </is>
      </c>
      <c r="B242" t="inlineStr">
        <is>
          <t>J16</t>
        </is>
      </c>
      <c r="C242" t="n">
        <v>16</v>
      </c>
      <c r="D242" t="n">
        <v>10</v>
      </c>
      <c r="E242" t="inlineStr">
        <is>
          <t>Input</t>
        </is>
      </c>
      <c r="F242" t="n">
        <v/>
      </c>
      <c r="H242" t="inlineStr"/>
      <c r="I242" t="inlineStr">
        <is>
          <t>"$"#,##0.00_);[Red]\("$"#,##0.00\)</t>
        </is>
      </c>
      <c r="J242" t="b">
        <v>0</v>
      </c>
      <c r="K242" t="b">
        <v>0</v>
      </c>
      <c r="L242" t="n">
        <v>10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inlineStr">
        <is>
          <t>center</t>
        </is>
      </c>
      <c r="P242" t="inlineStr">
        <is>
          <t>center</t>
        </is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ACTUAL EXPENSES</t>
        </is>
      </c>
      <c r="B243" t="inlineStr">
        <is>
          <t>K16</t>
        </is>
      </c>
      <c r="C243" t="n">
        <v>16</v>
      </c>
      <c r="D243" t="n">
        <v>11</v>
      </c>
      <c r="E243" t="inlineStr">
        <is>
          <t>Input</t>
        </is>
      </c>
      <c r="F243" t="n">
        <v/>
      </c>
      <c r="H243" t="inlineStr"/>
      <c r="I243" t="inlineStr">
        <is>
          <t>"$"#,##0.00_);[Red]\("$"#,##0.00\)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inlineStr">
        <is>
          <t>center</t>
        </is>
      </c>
      <c r="P243" t="inlineStr">
        <is>
          <t>center</t>
        </is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ACTUAL EXPENSES</t>
        </is>
      </c>
      <c r="B244" t="inlineStr">
        <is>
          <t>L16</t>
        </is>
      </c>
      <c r="C244" t="n">
        <v>16</v>
      </c>
      <c r="D244" t="n">
        <v>12</v>
      </c>
      <c r="E244" t="inlineStr">
        <is>
          <t>Input</t>
        </is>
      </c>
      <c r="F244" t="n">
        <v/>
      </c>
      <c r="H244" t="inlineStr"/>
      <c r="I244" t="inlineStr">
        <is>
          <t>"$"#,##0.00_);[Red]\("$"#,##0.00\)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center</t>
        </is>
      </c>
      <c r="P244" t="inlineStr">
        <is>
          <t>center</t>
        </is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ACTUAL EXPENSES</t>
        </is>
      </c>
      <c r="B245" t="inlineStr">
        <is>
          <t>M16</t>
        </is>
      </c>
      <c r="C245" t="n">
        <v>16</v>
      </c>
      <c r="D245" t="n">
        <v>13</v>
      </c>
      <c r="E245" t="inlineStr">
        <is>
          <t>Input</t>
        </is>
      </c>
      <c r="F245" t="n">
        <v/>
      </c>
      <c r="H245" t="inlineStr"/>
      <c r="I245" t="inlineStr">
        <is>
          <t>"$"#,##0.00_);[Red]\("$"#,##0.00\)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inlineStr">
        <is>
          <t>center</t>
        </is>
      </c>
      <c r="P245" t="inlineStr">
        <is>
          <t>center</t>
        </is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ACTUAL EXPENSES</t>
        </is>
      </c>
      <c r="B246" t="inlineStr">
        <is>
          <t>N16</t>
        </is>
      </c>
      <c r="C246" t="n">
        <v>16</v>
      </c>
      <c r="D246" t="n">
        <v>14</v>
      </c>
      <c r="E246" t="inlineStr">
        <is>
          <t>Input</t>
        </is>
      </c>
      <c r="F246" t="n">
        <v/>
      </c>
      <c r="H246" t="inlineStr"/>
      <c r="I246" t="inlineStr">
        <is>
          <t>"$"#,##0.00_);[Red]\("$"#,##0.00\)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center</t>
        </is>
      </c>
      <c r="P246" t="inlineStr">
        <is>
          <t>center</t>
        </is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ACTUAL EXPENSES</t>
        </is>
      </c>
      <c r="B247" t="inlineStr">
        <is>
          <t>O16</t>
        </is>
      </c>
      <c r="C247" t="n">
        <v>16</v>
      </c>
      <c r="D247" t="n">
        <v>15</v>
      </c>
      <c r="E247" t="inlineStr">
        <is>
          <t>Output</t>
        </is>
      </c>
      <c r="F247" t="inlineStr">
        <is>
          <t>'=SUM(C16:N16)</t>
        </is>
      </c>
      <c r="G247" t="n">
        <v>1434</v>
      </c>
      <c r="H247" t="inlineStr"/>
      <c r="I247" t="inlineStr">
        <is>
          <t>"$"#,##0.00_);[Red]\("$"#,##0.00\)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G000008</t>
        </is>
      </c>
      <c r="T247" t="inlineStr">
        <is>
          <t>Vertical</t>
        </is>
      </c>
      <c r="U247" t="n">
        <v>8</v>
      </c>
      <c r="V247" t="b">
        <v>1</v>
      </c>
      <c r="W247" t="inlineStr">
        <is>
          <t>ACTUAL EXPENSES!O12:O19</t>
        </is>
      </c>
      <c r="X247">
        <f>SUM(R[0]C[-12]:R[0]C[-1])</f>
        <v/>
      </c>
    </row>
    <row r="248">
      <c r="A248" t="inlineStr">
        <is>
          <t>ACTUAL EXPENSES</t>
        </is>
      </c>
      <c r="B248" t="inlineStr">
        <is>
          <t>P16</t>
        </is>
      </c>
      <c r="C248" t="n">
        <v>16</v>
      </c>
      <c r="D248" t="n">
        <v>16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P248" t="n">
        <v/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ACTUAL EXPENSES</t>
        </is>
      </c>
      <c r="B249" t="inlineStr">
        <is>
          <t>A17</t>
        </is>
      </c>
      <c r="C249" t="n">
        <v>17</v>
      </c>
      <c r="D249" t="n">
        <v>1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n">
        <v/>
      </c>
      <c r="P249" t="n">
        <v/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ACTUAL EXPENSES</t>
        </is>
      </c>
      <c r="B250" t="inlineStr">
        <is>
          <t>B17</t>
        </is>
      </c>
      <c r="C250" t="n">
        <v>17</v>
      </c>
      <c r="D250" t="n">
        <v>2</v>
      </c>
      <c r="E250" t="inlineStr">
        <is>
          <t>Input</t>
        </is>
      </c>
      <c r="F250" t="n">
        <v/>
      </c>
      <c r="G250" t="inlineStr">
        <is>
          <t>Internet access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12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left</t>
        </is>
      </c>
      <c r="P250" t="inlineStr">
        <is>
          <t>center</t>
        </is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ACTUAL EXPENSES</t>
        </is>
      </c>
      <c r="B251" t="inlineStr">
        <is>
          <t>C17</t>
        </is>
      </c>
      <c r="C251" t="n">
        <v>17</v>
      </c>
      <c r="D251" t="n">
        <v>3</v>
      </c>
      <c r="E251" t="inlineStr">
        <is>
          <t>Input</t>
        </is>
      </c>
      <c r="F251" t="n">
        <v/>
      </c>
      <c r="G251" t="n">
        <v>180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ACTUAL EXPENSES</t>
        </is>
      </c>
      <c r="B252" t="inlineStr">
        <is>
          <t>D17</t>
        </is>
      </c>
      <c r="C252" t="n">
        <v>17</v>
      </c>
      <c r="D252" t="n">
        <v>4</v>
      </c>
      <c r="E252" t="inlineStr">
        <is>
          <t>Input</t>
        </is>
      </c>
      <c r="F252" t="n">
        <v/>
      </c>
      <c r="G252" t="n">
        <v>180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ACTUAL EXPENSES</t>
        </is>
      </c>
      <c r="B253" t="inlineStr">
        <is>
          <t>E17</t>
        </is>
      </c>
      <c r="C253" t="n">
        <v>17</v>
      </c>
      <c r="D253" t="n">
        <v>5</v>
      </c>
      <c r="E253" t="inlineStr">
        <is>
          <t>Input</t>
        </is>
      </c>
      <c r="F253" t="n">
        <v/>
      </c>
      <c r="G253" t="n">
        <v>180</v>
      </c>
      <c r="H253" t="inlineStr"/>
      <c r="I253" t="inlineStr">
        <is>
          <t>"$"#,##0.00_);[Red]\("$"#,##0.00\)</t>
        </is>
      </c>
      <c r="J253" t="b">
        <v>0</v>
      </c>
      <c r="K253" t="b">
        <v>0</v>
      </c>
      <c r="L253" t="n">
        <v>10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P253" t="inlineStr">
        <is>
          <t>center</t>
        </is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ACTUAL EXPENSES</t>
        </is>
      </c>
      <c r="B254" t="inlineStr">
        <is>
          <t>F17</t>
        </is>
      </c>
      <c r="C254" t="n">
        <v>17</v>
      </c>
      <c r="D254" t="n">
        <v>6</v>
      </c>
      <c r="E254" t="inlineStr">
        <is>
          <t>Input</t>
        </is>
      </c>
      <c r="F254" t="n">
        <v/>
      </c>
      <c r="G254" t="n">
        <v>180</v>
      </c>
      <c r="H254" t="inlineStr"/>
      <c r="I254" t="inlineStr">
        <is>
          <t>"$"#,##0.00_);[Red]\("$"#,##0.00\)</t>
        </is>
      </c>
      <c r="J254" t="b">
        <v>0</v>
      </c>
      <c r="K254" t="b">
        <v>0</v>
      </c>
      <c r="L254" t="n">
        <v>10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ACTUAL EXPENSES</t>
        </is>
      </c>
      <c r="B255" t="inlineStr">
        <is>
          <t>G17</t>
        </is>
      </c>
      <c r="C255" t="n">
        <v>17</v>
      </c>
      <c r="D255" t="n">
        <v>7</v>
      </c>
      <c r="E255" t="inlineStr">
        <is>
          <t>Input</t>
        </is>
      </c>
      <c r="F255" t="n">
        <v/>
      </c>
      <c r="G255" t="n">
        <v>180</v>
      </c>
      <c r="H255" t="inlineStr"/>
      <c r="I255" t="inlineStr">
        <is>
          <t>"$"#,##0.00_);[Red]\("$"#,##0.00\)</t>
        </is>
      </c>
      <c r="J255" t="b">
        <v>0</v>
      </c>
      <c r="K255" t="b">
        <v>0</v>
      </c>
      <c r="L255" t="n">
        <v>10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ACTUAL EXPENSES</t>
        </is>
      </c>
      <c r="B256" t="inlineStr">
        <is>
          <t>H17</t>
        </is>
      </c>
      <c r="C256" t="n">
        <v>17</v>
      </c>
      <c r="D256" t="n">
        <v>8</v>
      </c>
      <c r="E256" t="inlineStr">
        <is>
          <t>Input</t>
        </is>
      </c>
      <c r="F256" t="n">
        <v/>
      </c>
      <c r="G256" t="n">
        <v>180</v>
      </c>
      <c r="H256" t="inlineStr"/>
      <c r="I256" t="inlineStr">
        <is>
          <t>"$"#,##0.00_);[Red]\("$"#,##0.00\)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ACTUAL EXPENSES</t>
        </is>
      </c>
      <c r="B257" t="inlineStr">
        <is>
          <t>I17</t>
        </is>
      </c>
      <c r="C257" t="n">
        <v>17</v>
      </c>
      <c r="D257" t="n">
        <v>9</v>
      </c>
      <c r="E257" t="inlineStr">
        <is>
          <t>Input</t>
        </is>
      </c>
      <c r="F257" t="n">
        <v/>
      </c>
      <c r="H257" t="inlineStr"/>
      <c r="I257" t="inlineStr">
        <is>
          <t>"$"#,##0.00_);[Red]\("$"#,##0.00\)</t>
        </is>
      </c>
      <c r="J257" t="b">
        <v>0</v>
      </c>
      <c r="K257" t="b">
        <v>0</v>
      </c>
      <c r="L257" t="n">
        <v>10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inlineStr">
        <is>
          <t>center</t>
        </is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ACTUAL EXPENSES</t>
        </is>
      </c>
      <c r="B258" t="inlineStr">
        <is>
          <t>J17</t>
        </is>
      </c>
      <c r="C258" t="n">
        <v>17</v>
      </c>
      <c r="D258" t="n">
        <v>10</v>
      </c>
      <c r="E258" t="inlineStr">
        <is>
          <t>Input</t>
        </is>
      </c>
      <c r="F258" t="n">
        <v/>
      </c>
      <c r="H258" t="inlineStr"/>
      <c r="I258" t="inlineStr">
        <is>
          <t>"$"#,##0.00_);[Red]\("$"#,##0.00\)</t>
        </is>
      </c>
      <c r="J258" t="b">
        <v>0</v>
      </c>
      <c r="K258" t="b">
        <v>0</v>
      </c>
      <c r="L258" t="n">
        <v>10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inlineStr">
        <is>
          <t>center</t>
        </is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ACTUAL EXPENSES</t>
        </is>
      </c>
      <c r="B259" t="inlineStr">
        <is>
          <t>K17</t>
        </is>
      </c>
      <c r="C259" t="n">
        <v>17</v>
      </c>
      <c r="D259" t="n">
        <v>11</v>
      </c>
      <c r="E259" t="inlineStr">
        <is>
          <t>Input</t>
        </is>
      </c>
      <c r="F259" t="n">
        <v/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inlineStr">
        <is>
          <t>center</t>
        </is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ACTUAL EXPENSES</t>
        </is>
      </c>
      <c r="B260" t="inlineStr">
        <is>
          <t>L17</t>
        </is>
      </c>
      <c r="C260" t="n">
        <v>17</v>
      </c>
      <c r="D260" t="n">
        <v>12</v>
      </c>
      <c r="E260" t="inlineStr">
        <is>
          <t>Input</t>
        </is>
      </c>
      <c r="F260" t="n">
        <v/>
      </c>
      <c r="H260" t="inlineStr"/>
      <c r="I260" t="inlineStr">
        <is>
          <t>"$"#,##0.00_);[Red]\("$"#,##0.00\)</t>
        </is>
      </c>
      <c r="J260" t="b">
        <v>0</v>
      </c>
      <c r="K260" t="b">
        <v>0</v>
      </c>
      <c r="L260" t="n">
        <v>10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inlineStr">
        <is>
          <t>center</t>
        </is>
      </c>
      <c r="P260" t="inlineStr">
        <is>
          <t>center</t>
        </is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ACTUAL EXPENSES</t>
        </is>
      </c>
      <c r="B261" t="inlineStr">
        <is>
          <t>M17</t>
        </is>
      </c>
      <c r="C261" t="n">
        <v>17</v>
      </c>
      <c r="D261" t="n">
        <v>13</v>
      </c>
      <c r="E261" t="inlineStr">
        <is>
          <t>Input</t>
        </is>
      </c>
      <c r="F261" t="n">
        <v/>
      </c>
      <c r="H261" t="inlineStr"/>
      <c r="I261" t="inlineStr">
        <is>
          <t>"$"#,##0.00_);[Red]\("$"#,##0.00\)</t>
        </is>
      </c>
      <c r="J261" t="b">
        <v>0</v>
      </c>
      <c r="K261" t="b">
        <v>0</v>
      </c>
      <c r="L261" t="n">
        <v>10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ACTUAL EXPENSES</t>
        </is>
      </c>
      <c r="B262" t="inlineStr">
        <is>
          <t>N17</t>
        </is>
      </c>
      <c r="C262" t="n">
        <v>17</v>
      </c>
      <c r="D262" t="n">
        <v>14</v>
      </c>
      <c r="E262" t="inlineStr">
        <is>
          <t>Input</t>
        </is>
      </c>
      <c r="F262" t="n">
        <v/>
      </c>
      <c r="H262" t="inlineStr"/>
      <c r="I262" t="inlineStr">
        <is>
          <t>"$"#,##0.00_);[Red]\("$"#,##0.00\)</t>
        </is>
      </c>
      <c r="J262" t="b">
        <v>0</v>
      </c>
      <c r="K262" t="b">
        <v>0</v>
      </c>
      <c r="L262" t="n">
        <v>10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ACTUAL EXPENSES</t>
        </is>
      </c>
      <c r="B263" t="inlineStr">
        <is>
          <t>O17</t>
        </is>
      </c>
      <c r="C263" t="n">
        <v>17</v>
      </c>
      <c r="D263" t="n">
        <v>15</v>
      </c>
      <c r="E263" t="inlineStr">
        <is>
          <t>Output</t>
        </is>
      </c>
      <c r="F263" t="inlineStr">
        <is>
          <t>'=SUM(C17:N17)</t>
        </is>
      </c>
      <c r="G263" t="n">
        <v>1080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G000008</t>
        </is>
      </c>
      <c r="T263" t="inlineStr">
        <is>
          <t>Vertical</t>
        </is>
      </c>
      <c r="U263" t="n">
        <v>8</v>
      </c>
      <c r="V263" t="b">
        <v>1</v>
      </c>
      <c r="W263" t="inlineStr">
        <is>
          <t>ACTUAL EXPENSES!O12:O19</t>
        </is>
      </c>
      <c r="X263">
        <f>SUM(R[0]C[-12]:R[0]C[-1])</f>
        <v/>
      </c>
    </row>
    <row r="264">
      <c r="A264" t="inlineStr">
        <is>
          <t>ACTUAL EXPENSES</t>
        </is>
      </c>
      <c r="B264" t="inlineStr">
        <is>
          <t>P17</t>
        </is>
      </c>
      <c r="C264" t="n">
        <v>17</v>
      </c>
      <c r="D264" t="n">
        <v>16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ACTUAL EXPENSES</t>
        </is>
      </c>
      <c r="B265" t="inlineStr">
        <is>
          <t>A18</t>
        </is>
      </c>
      <c r="C265" t="n">
        <v>18</v>
      </c>
      <c r="D265" t="n">
        <v>1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ACTUAL EXPENSES</t>
        </is>
      </c>
      <c r="B266" t="inlineStr">
        <is>
          <t>B18</t>
        </is>
      </c>
      <c r="C266" t="n">
        <v>18</v>
      </c>
      <c r="D266" t="n">
        <v>2</v>
      </c>
      <c r="E266" t="inlineStr">
        <is>
          <t>Input</t>
        </is>
      </c>
      <c r="F266" t="n">
        <v/>
      </c>
      <c r="G266" t="inlineStr">
        <is>
          <t>Office supplies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12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left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ACTUAL EXPENSES</t>
        </is>
      </c>
      <c r="B267" t="inlineStr">
        <is>
          <t>C18</t>
        </is>
      </c>
      <c r="C267" t="n">
        <v>18</v>
      </c>
      <c r="D267" t="n">
        <v>3</v>
      </c>
      <c r="E267" t="inlineStr">
        <is>
          <t>Input</t>
        </is>
      </c>
      <c r="F267" t="n">
        <v/>
      </c>
      <c r="G267" t="n">
        <v>256</v>
      </c>
      <c r="H267" t="inlineStr"/>
      <c r="I267" t="inlineStr">
        <is>
          <t>"$"#,##0.00_);[Red]\("$"#,##0.00\)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ACTUAL EXPENSES</t>
        </is>
      </c>
      <c r="B268" t="inlineStr">
        <is>
          <t>D18</t>
        </is>
      </c>
      <c r="C268" t="n">
        <v>18</v>
      </c>
      <c r="D268" t="n">
        <v>4</v>
      </c>
      <c r="E268" t="inlineStr">
        <is>
          <t>Input</t>
        </is>
      </c>
      <c r="F268" t="n">
        <v/>
      </c>
      <c r="G268" t="n">
        <v>142</v>
      </c>
      <c r="H268" t="inlineStr"/>
      <c r="I268" t="inlineStr">
        <is>
          <t>"$"#,##0.00_);[Red]\("$"#,##0.00\)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ACTUAL EXPENSES</t>
        </is>
      </c>
      <c r="B269" t="inlineStr">
        <is>
          <t>E18</t>
        </is>
      </c>
      <c r="C269" t="n">
        <v>18</v>
      </c>
      <c r="D269" t="n">
        <v>5</v>
      </c>
      <c r="E269" t="inlineStr">
        <is>
          <t>Input</t>
        </is>
      </c>
      <c r="F269" t="n">
        <v/>
      </c>
      <c r="G269" t="n">
        <v>160</v>
      </c>
      <c r="H269" t="inlineStr"/>
      <c r="I269" t="inlineStr">
        <is>
          <t>"$"#,##0.00_);[Red]\("$"#,##0.00\)</t>
        </is>
      </c>
      <c r="J269" t="b">
        <v>0</v>
      </c>
      <c r="K269" t="b">
        <v>0</v>
      </c>
      <c r="L269" t="n">
        <v>10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ACTUAL EXPENSES</t>
        </is>
      </c>
      <c r="B270" t="inlineStr">
        <is>
          <t>F18</t>
        </is>
      </c>
      <c r="C270" t="n">
        <v>18</v>
      </c>
      <c r="D270" t="n">
        <v>6</v>
      </c>
      <c r="E270" t="inlineStr">
        <is>
          <t>Input</t>
        </is>
      </c>
      <c r="F270" t="n">
        <v/>
      </c>
      <c r="G270" t="n">
        <v>221</v>
      </c>
      <c r="H270" t="inlineStr"/>
      <c r="I270" t="inlineStr">
        <is>
          <t>"$"#,##0.00_);[Red]\("$"#,##0.00\)</t>
        </is>
      </c>
      <c r="J270" t="b">
        <v>0</v>
      </c>
      <c r="K270" t="b">
        <v>0</v>
      </c>
      <c r="L270" t="n">
        <v>10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inlineStr">
        <is>
          <t>center</t>
        </is>
      </c>
      <c r="P270" t="inlineStr">
        <is>
          <t>center</t>
        </is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ACTUAL EXPENSES</t>
        </is>
      </c>
      <c r="B271" t="inlineStr">
        <is>
          <t>G18</t>
        </is>
      </c>
      <c r="C271" t="n">
        <v>18</v>
      </c>
      <c r="D271" t="n">
        <v>7</v>
      </c>
      <c r="E271" t="inlineStr">
        <is>
          <t>Input</t>
        </is>
      </c>
      <c r="F271" t="n">
        <v/>
      </c>
      <c r="G271" t="n">
        <v>256</v>
      </c>
      <c r="H271" t="inlineStr"/>
      <c r="I271" t="inlineStr">
        <is>
          <t>"$"#,##0.00_);[Red]\("$"#,##0.00\)</t>
        </is>
      </c>
      <c r="J271" t="b">
        <v>0</v>
      </c>
      <c r="K271" t="b">
        <v>0</v>
      </c>
      <c r="L271" t="n">
        <v>10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center</t>
        </is>
      </c>
      <c r="P271" t="inlineStr">
        <is>
          <t>center</t>
        </is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ACTUAL EXPENSES</t>
        </is>
      </c>
      <c r="B272" t="inlineStr">
        <is>
          <t>H18</t>
        </is>
      </c>
      <c r="C272" t="n">
        <v>18</v>
      </c>
      <c r="D272" t="n">
        <v>8</v>
      </c>
      <c r="E272" t="inlineStr">
        <is>
          <t>Input</t>
        </is>
      </c>
      <c r="F272" t="n">
        <v/>
      </c>
      <c r="G272" t="n">
        <v>240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ACTUAL EXPENSES</t>
        </is>
      </c>
      <c r="B273" t="inlineStr">
        <is>
          <t>I18</t>
        </is>
      </c>
      <c r="C273" t="n">
        <v>18</v>
      </c>
      <c r="D273" t="n">
        <v>9</v>
      </c>
      <c r="E273" t="inlineStr">
        <is>
          <t>Input</t>
        </is>
      </c>
      <c r="F273" t="n">
        <v/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10</v>
      </c>
      <c r="M273" t="inlineStr">
        <is>
          <t>Values must be of type &lt;class 'str'&gt;</t>
        </is>
      </c>
      <c r="N273" t="inlineStr">
        <is>
          <t>Values must be of type &lt;class 'str'&gt;</t>
        </is>
      </c>
      <c r="O273" t="inlineStr">
        <is>
          <t>center</t>
        </is>
      </c>
      <c r="P273" t="inlineStr">
        <is>
          <t>center</t>
        </is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ACTUAL EXPENSES</t>
        </is>
      </c>
      <c r="B274" t="inlineStr">
        <is>
          <t>J18</t>
        </is>
      </c>
      <c r="C274" t="n">
        <v>18</v>
      </c>
      <c r="D274" t="n">
        <v>10</v>
      </c>
      <c r="E274" t="inlineStr">
        <is>
          <t>Input</t>
        </is>
      </c>
      <c r="F274" t="n">
        <v/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10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inlineStr">
        <is>
          <t>center</t>
        </is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ACTUAL EXPENSES</t>
        </is>
      </c>
      <c r="B275" t="inlineStr">
        <is>
          <t>K18</t>
        </is>
      </c>
      <c r="C275" t="n">
        <v>18</v>
      </c>
      <c r="D275" t="n">
        <v>11</v>
      </c>
      <c r="E275" t="inlineStr">
        <is>
          <t>Input</t>
        </is>
      </c>
      <c r="F275" t="n">
        <v/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inlineStr">
        <is>
          <t>center</t>
        </is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ACTUAL EXPENSES</t>
        </is>
      </c>
      <c r="B276" t="inlineStr">
        <is>
          <t>L18</t>
        </is>
      </c>
      <c r="C276" t="n">
        <v>18</v>
      </c>
      <c r="D276" t="n">
        <v>12</v>
      </c>
      <c r="E276" t="inlineStr">
        <is>
          <t>Input</t>
        </is>
      </c>
      <c r="F276" t="n">
        <v/>
      </c>
      <c r="H276" t="inlineStr"/>
      <c r="I276" t="inlineStr">
        <is>
          <t>"$"#,##0.00_);[Red]\("$"#,##0.00\)</t>
        </is>
      </c>
      <c r="J276" t="b">
        <v>0</v>
      </c>
      <c r="K276" t="b">
        <v>0</v>
      </c>
      <c r="L276" t="n">
        <v>10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center</t>
        </is>
      </c>
      <c r="P276" t="inlineStr">
        <is>
          <t>center</t>
        </is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ACTUAL EXPENSES</t>
        </is>
      </c>
      <c r="B277" t="inlineStr">
        <is>
          <t>M18</t>
        </is>
      </c>
      <c r="C277" t="n">
        <v>18</v>
      </c>
      <c r="D277" t="n">
        <v>13</v>
      </c>
      <c r="E277" t="inlineStr">
        <is>
          <t>Input</t>
        </is>
      </c>
      <c r="F277" t="n">
        <v/>
      </c>
      <c r="H277" t="inlineStr"/>
      <c r="I277" t="inlineStr">
        <is>
          <t>"$"#,##0.00_);[Red]\("$"#,##0.00\)</t>
        </is>
      </c>
      <c r="J277" t="b">
        <v>0</v>
      </c>
      <c r="K277" t="b">
        <v>0</v>
      </c>
      <c r="L277" t="n">
        <v>10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P277" t="inlineStr">
        <is>
          <t>center</t>
        </is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ACTUAL EXPENSES</t>
        </is>
      </c>
      <c r="B278" t="inlineStr">
        <is>
          <t>N18</t>
        </is>
      </c>
      <c r="C278" t="n">
        <v>18</v>
      </c>
      <c r="D278" t="n">
        <v>14</v>
      </c>
      <c r="E278" t="inlineStr">
        <is>
          <t>Input</t>
        </is>
      </c>
      <c r="F278" t="n">
        <v/>
      </c>
      <c r="H278" t="inlineStr"/>
      <c r="I278" t="inlineStr">
        <is>
          <t>"$"#,##0.00_);[Red]\("$"#,##0.00\)</t>
        </is>
      </c>
      <c r="J278" t="b">
        <v>0</v>
      </c>
      <c r="K278" t="b">
        <v>0</v>
      </c>
      <c r="L278" t="n">
        <v>10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P278" t="inlineStr">
        <is>
          <t>center</t>
        </is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ACTUAL EXPENSES</t>
        </is>
      </c>
      <c r="B279" t="inlineStr">
        <is>
          <t>O18</t>
        </is>
      </c>
      <c r="C279" t="n">
        <v>18</v>
      </c>
      <c r="D279" t="n">
        <v>15</v>
      </c>
      <c r="E279" t="inlineStr">
        <is>
          <t>Output</t>
        </is>
      </c>
      <c r="F279" t="inlineStr">
        <is>
          <t>'=SUM(C18:N18)</t>
        </is>
      </c>
      <c r="G279" t="n">
        <v>1275</v>
      </c>
      <c r="H279" t="inlineStr"/>
      <c r="I279" t="inlineStr">
        <is>
          <t>"$"#,##0.00_);[Red]\("$"#,##0.00\)</t>
        </is>
      </c>
      <c r="J279" t="b">
        <v>0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inlineStr">
        <is>
          <t>center</t>
        </is>
      </c>
      <c r="R279" t="b">
        <v>1</v>
      </c>
      <c r="S279" t="inlineStr">
        <is>
          <t>G000008</t>
        </is>
      </c>
      <c r="T279" t="inlineStr">
        <is>
          <t>Vertical</t>
        </is>
      </c>
      <c r="U279" t="n">
        <v>8</v>
      </c>
      <c r="V279" t="b">
        <v>1</v>
      </c>
      <c r="W279" t="inlineStr">
        <is>
          <t>ACTUAL EXPENSES!O12:O19</t>
        </is>
      </c>
      <c r="X279">
        <f>SUM(R[0]C[-12]:R[0]C[-1])</f>
        <v/>
      </c>
    </row>
    <row r="280">
      <c r="A280" t="inlineStr">
        <is>
          <t>ACTUAL EXPENSES</t>
        </is>
      </c>
      <c r="B280" t="inlineStr">
        <is>
          <t>P18</t>
        </is>
      </c>
      <c r="C280" t="n">
        <v>18</v>
      </c>
      <c r="D280" t="n">
        <v>16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n">
        <v/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ACTUAL EXPENSES</t>
        </is>
      </c>
      <c r="B281" t="inlineStr">
        <is>
          <t>A19</t>
        </is>
      </c>
      <c r="C281" t="n">
        <v>19</v>
      </c>
      <c r="D281" t="n">
        <v>1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ACTUAL EXPENSES</t>
        </is>
      </c>
      <c r="B282" t="inlineStr">
        <is>
          <t>B19</t>
        </is>
      </c>
      <c r="C282" t="n">
        <v>19</v>
      </c>
      <c r="D282" t="n">
        <v>2</v>
      </c>
      <c r="E282" t="inlineStr">
        <is>
          <t>Input</t>
        </is>
      </c>
      <c r="F282" t="n">
        <v/>
      </c>
      <c r="G282" t="inlineStr">
        <is>
          <t>Security</t>
        </is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12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left</t>
        </is>
      </c>
      <c r="P282" t="inlineStr">
        <is>
          <t>center</t>
        </is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ACTUAL EXPENSES</t>
        </is>
      </c>
      <c r="B283" t="inlineStr">
        <is>
          <t>C19</t>
        </is>
      </c>
      <c r="C283" t="n">
        <v>19</v>
      </c>
      <c r="D283" t="n">
        <v>3</v>
      </c>
      <c r="E283" t="inlineStr">
        <is>
          <t>Input</t>
        </is>
      </c>
      <c r="F283" t="n">
        <v/>
      </c>
      <c r="G283" t="n">
        <v>600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ACTUAL EXPENSES</t>
        </is>
      </c>
      <c r="B284" t="inlineStr">
        <is>
          <t>D19</t>
        </is>
      </c>
      <c r="C284" t="n">
        <v>19</v>
      </c>
      <c r="D284" t="n">
        <v>4</v>
      </c>
      <c r="E284" t="inlineStr">
        <is>
          <t>Input</t>
        </is>
      </c>
      <c r="F284" t="n">
        <v/>
      </c>
      <c r="G284" t="n">
        <v>600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ACTUAL EXPENSES</t>
        </is>
      </c>
      <c r="B285" t="inlineStr">
        <is>
          <t>E19</t>
        </is>
      </c>
      <c r="C285" t="n">
        <v>19</v>
      </c>
      <c r="D285" t="n">
        <v>5</v>
      </c>
      <c r="E285" t="inlineStr">
        <is>
          <t>Input</t>
        </is>
      </c>
      <c r="F285" t="n">
        <v/>
      </c>
      <c r="G285" t="n">
        <v>600</v>
      </c>
      <c r="H285" t="inlineStr"/>
      <c r="I285" t="inlineStr">
        <is>
          <t>"$"#,##0.00_);[Red]\("$"#,##0.00\)</t>
        </is>
      </c>
      <c r="J285" t="b">
        <v>0</v>
      </c>
      <c r="K285" t="b">
        <v>0</v>
      </c>
      <c r="L285" t="n">
        <v>10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ACTUAL EXPENSES</t>
        </is>
      </c>
      <c r="B286" t="inlineStr">
        <is>
          <t>F19</t>
        </is>
      </c>
      <c r="C286" t="n">
        <v>19</v>
      </c>
      <c r="D286" t="n">
        <v>6</v>
      </c>
      <c r="E286" t="inlineStr">
        <is>
          <t>Input</t>
        </is>
      </c>
      <c r="F286" t="n">
        <v/>
      </c>
      <c r="G286" t="n">
        <v>600</v>
      </c>
      <c r="H286" t="inlineStr"/>
      <c r="I286" t="inlineStr">
        <is>
          <t>"$"#,##0.00_);[Red]\("$"#,##0.00\)</t>
        </is>
      </c>
      <c r="J286" t="b">
        <v>0</v>
      </c>
      <c r="K286" t="b">
        <v>0</v>
      </c>
      <c r="L286" t="n">
        <v>10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ACTUAL EXPENSES</t>
        </is>
      </c>
      <c r="B287" t="inlineStr">
        <is>
          <t>G19</t>
        </is>
      </c>
      <c r="C287" t="n">
        <v>19</v>
      </c>
      <c r="D287" t="n">
        <v>7</v>
      </c>
      <c r="E287" t="inlineStr">
        <is>
          <t>Input</t>
        </is>
      </c>
      <c r="F287" t="n">
        <v/>
      </c>
      <c r="G287" t="n">
        <v>600</v>
      </c>
      <c r="H287" t="inlineStr"/>
      <c r="I287" t="inlineStr">
        <is>
          <t>"$"#,##0.00_);[Red]\("$"#,##0.00\)</t>
        </is>
      </c>
      <c r="J287" t="b">
        <v>0</v>
      </c>
      <c r="K287" t="b">
        <v>0</v>
      </c>
      <c r="L287" t="n">
        <v>10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ACTUAL EXPENSES</t>
        </is>
      </c>
      <c r="B288" t="inlineStr">
        <is>
          <t>H19</t>
        </is>
      </c>
      <c r="C288" t="n">
        <v>19</v>
      </c>
      <c r="D288" t="n">
        <v>8</v>
      </c>
      <c r="E288" t="inlineStr">
        <is>
          <t>Input</t>
        </is>
      </c>
      <c r="F288" t="n">
        <v/>
      </c>
      <c r="G288" t="n">
        <v>600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ACTUAL EXPENSES</t>
        </is>
      </c>
      <c r="B289" t="inlineStr">
        <is>
          <t>I19</t>
        </is>
      </c>
      <c r="C289" t="n">
        <v>19</v>
      </c>
      <c r="D289" t="n">
        <v>9</v>
      </c>
      <c r="E289" t="inlineStr">
        <is>
          <t>Input</t>
        </is>
      </c>
      <c r="F289" t="n">
        <v/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10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ACTUAL EXPENSES</t>
        </is>
      </c>
      <c r="B290" t="inlineStr">
        <is>
          <t>J19</t>
        </is>
      </c>
      <c r="C290" t="n">
        <v>19</v>
      </c>
      <c r="D290" t="n">
        <v>10</v>
      </c>
      <c r="E290" t="inlineStr">
        <is>
          <t>Input</t>
        </is>
      </c>
      <c r="F290" t="n">
        <v/>
      </c>
      <c r="H290" t="inlineStr"/>
      <c r="I290" t="inlineStr">
        <is>
          <t>"$"#,##0.00_);[Red]\("$"#,##0.00\)</t>
        </is>
      </c>
      <c r="J290" t="b">
        <v>0</v>
      </c>
      <c r="K290" t="b">
        <v>0</v>
      </c>
      <c r="L290" t="n">
        <v>10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ACTUAL EXPENSES</t>
        </is>
      </c>
      <c r="B291" t="inlineStr">
        <is>
          <t>K19</t>
        </is>
      </c>
      <c r="C291" t="n">
        <v>19</v>
      </c>
      <c r="D291" t="n">
        <v>11</v>
      </c>
      <c r="E291" t="inlineStr">
        <is>
          <t>Input</t>
        </is>
      </c>
      <c r="F291" t="n">
        <v/>
      </c>
      <c r="H291" t="inlineStr"/>
      <c r="I291" t="inlineStr">
        <is>
          <t>"$"#,##0.00_);[Red]\("$"#,##0.00\)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ACTUAL EXPENSES</t>
        </is>
      </c>
      <c r="B292" t="inlineStr">
        <is>
          <t>L19</t>
        </is>
      </c>
      <c r="C292" t="n">
        <v>19</v>
      </c>
      <c r="D292" t="n">
        <v>12</v>
      </c>
      <c r="E292" t="inlineStr">
        <is>
          <t>Input</t>
        </is>
      </c>
      <c r="F292" t="n">
        <v/>
      </c>
      <c r="H292" t="inlineStr"/>
      <c r="I292" t="inlineStr">
        <is>
          <t>"$"#,##0.00_);[Red]\("$"#,##0.00\)</t>
        </is>
      </c>
      <c r="J292" t="b">
        <v>0</v>
      </c>
      <c r="K292" t="b">
        <v>0</v>
      </c>
      <c r="L292" t="n">
        <v>10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center</t>
        </is>
      </c>
      <c r="P292" t="inlineStr">
        <is>
          <t>center</t>
        </is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ACTUAL EXPENSES</t>
        </is>
      </c>
      <c r="B293" t="inlineStr">
        <is>
          <t>M19</t>
        </is>
      </c>
      <c r="C293" t="n">
        <v>19</v>
      </c>
      <c r="D293" t="n">
        <v>13</v>
      </c>
      <c r="E293" t="inlineStr">
        <is>
          <t>Input</t>
        </is>
      </c>
      <c r="F293" t="n">
        <v/>
      </c>
      <c r="H293" t="inlineStr"/>
      <c r="I293" t="inlineStr">
        <is>
          <t>"$"#,##0.00_);[Red]\("$"#,##0.00\)</t>
        </is>
      </c>
      <c r="J293" t="b">
        <v>0</v>
      </c>
      <c r="K293" t="b">
        <v>0</v>
      </c>
      <c r="L293" t="n">
        <v>10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inlineStr">
        <is>
          <t>center</t>
        </is>
      </c>
      <c r="P293" t="inlineStr">
        <is>
          <t>center</t>
        </is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ACTUAL EXPENSES</t>
        </is>
      </c>
      <c r="B294" t="inlineStr">
        <is>
          <t>N19</t>
        </is>
      </c>
      <c r="C294" t="n">
        <v>19</v>
      </c>
      <c r="D294" t="n">
        <v>14</v>
      </c>
      <c r="E294" t="inlineStr">
        <is>
          <t>Input</t>
        </is>
      </c>
      <c r="F294" t="n">
        <v/>
      </c>
      <c r="H294" t="inlineStr"/>
      <c r="I294" t="inlineStr">
        <is>
          <t>"$"#,##0.00_);[Red]\("$"#,##0.00\)</t>
        </is>
      </c>
      <c r="J294" t="b">
        <v>0</v>
      </c>
      <c r="K294" t="b">
        <v>0</v>
      </c>
      <c r="L294" t="n">
        <v>10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center</t>
        </is>
      </c>
      <c r="P294" t="inlineStr">
        <is>
          <t>center</t>
        </is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ACTUAL EXPENSES</t>
        </is>
      </c>
      <c r="B295" t="inlineStr">
        <is>
          <t>O19</t>
        </is>
      </c>
      <c r="C295" t="n">
        <v>19</v>
      </c>
      <c r="D295" t="n">
        <v>15</v>
      </c>
      <c r="E295" t="inlineStr">
        <is>
          <t>Output</t>
        </is>
      </c>
      <c r="F295" t="inlineStr">
        <is>
          <t>'=SUM(C19:N19)</t>
        </is>
      </c>
      <c r="G295" t="n">
        <v>3600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G000008</t>
        </is>
      </c>
      <c r="T295" t="inlineStr">
        <is>
          <t>Vertical</t>
        </is>
      </c>
      <c r="U295" t="n">
        <v>8</v>
      </c>
      <c r="V295" t="b">
        <v>1</v>
      </c>
      <c r="W295" t="inlineStr">
        <is>
          <t>ACTUAL EXPENSES!O12:O19</t>
        </is>
      </c>
      <c r="X295">
        <f>SUM(R[0]C[-12]:R[0]C[-1])</f>
        <v/>
      </c>
    </row>
    <row r="296">
      <c r="A296" t="inlineStr">
        <is>
          <t>ACTUAL EXPENSES</t>
        </is>
      </c>
      <c r="B296" t="inlineStr">
        <is>
          <t>P19</t>
        </is>
      </c>
      <c r="C296" t="n">
        <v>19</v>
      </c>
      <c r="D296" t="n">
        <v>16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14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n">
        <v/>
      </c>
      <c r="P296" t="n">
        <v/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ACTUAL EXPENSES</t>
        </is>
      </c>
      <c r="B297" t="inlineStr">
        <is>
          <t>A20</t>
        </is>
      </c>
      <c r="C297" t="n">
        <v>20</v>
      </c>
      <c r="D297" t="n">
        <v>1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14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n">
        <v/>
      </c>
      <c r="P297" t="n">
        <v/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ACTUAL EXPENSES</t>
        </is>
      </c>
      <c r="B298" t="inlineStr">
        <is>
          <t>B20</t>
        </is>
      </c>
      <c r="C298" t="n">
        <v>20</v>
      </c>
      <c r="D298" t="n">
        <v>2</v>
      </c>
      <c r="E298" t="inlineStr">
        <is>
          <t>Input</t>
        </is>
      </c>
      <c r="F298" t="n">
        <v/>
      </c>
      <c r="G298" t="inlineStr">
        <is>
          <t>Subtotal</t>
        </is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12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inlineStr">
        <is>
          <t>left</t>
        </is>
      </c>
      <c r="P298" t="inlineStr">
        <is>
          <t>center</t>
        </is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ACTUAL EXPENSES</t>
        </is>
      </c>
      <c r="B299" t="inlineStr">
        <is>
          <t>C20</t>
        </is>
      </c>
      <c r="C299" t="n">
        <v>20</v>
      </c>
      <c r="D299" t="n">
        <v>3</v>
      </c>
      <c r="E299" t="inlineStr">
        <is>
          <t>Output</t>
        </is>
      </c>
      <c r="F299" t="inlineStr">
        <is>
          <t>'=SUBTOTAL(109,OfficeActual[Jan])</t>
        </is>
      </c>
      <c r="G299" t="n">
        <v>11387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>
        <f>SUBTOTAL(109,OfficeActual[Jan])</f>
        <v/>
      </c>
    </row>
    <row r="300">
      <c r="A300" t="inlineStr">
        <is>
          <t>ACTUAL EXPENSES</t>
        </is>
      </c>
      <c r="B300" t="inlineStr">
        <is>
          <t>D20</t>
        </is>
      </c>
      <c r="C300" t="n">
        <v>20</v>
      </c>
      <c r="D300" t="n">
        <v>4</v>
      </c>
      <c r="E300" t="inlineStr">
        <is>
          <t>Output</t>
        </is>
      </c>
      <c r="F300" t="inlineStr">
        <is>
          <t>'=SUBTOTAL(109,OfficeActual[Feb])</t>
        </is>
      </c>
      <c r="G300" t="n">
        <v>11698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>
        <f>SUBTOTAL(109,OfficeActual[Feb])</f>
        <v/>
      </c>
    </row>
    <row r="301">
      <c r="A301" t="inlineStr">
        <is>
          <t>ACTUAL EXPENSES</t>
        </is>
      </c>
      <c r="B301" t="inlineStr">
        <is>
          <t>E20</t>
        </is>
      </c>
      <c r="C301" t="n">
        <v>20</v>
      </c>
      <c r="D301" t="n">
        <v>5</v>
      </c>
      <c r="E301" t="inlineStr">
        <is>
          <t>Output</t>
        </is>
      </c>
      <c r="F301" t="inlineStr">
        <is>
          <t>'=SUBTOTAL(109,OfficeActual[Mar])</t>
        </is>
      </c>
      <c r="G301" t="n">
        <v>11692</v>
      </c>
      <c r="H301" t="inlineStr"/>
      <c r="I301" t="inlineStr">
        <is>
          <t>"$"#,##0.00_);[Red]\("$"#,##0.00\)</t>
        </is>
      </c>
      <c r="J301" t="b">
        <v>0</v>
      </c>
      <c r="K301" t="b">
        <v>0</v>
      </c>
      <c r="L301" t="n">
        <v>10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>
        <f>SUBTOTAL(109,OfficeActual[Mar])</f>
        <v/>
      </c>
    </row>
    <row r="302">
      <c r="A302" t="inlineStr">
        <is>
          <t>ACTUAL EXPENSES</t>
        </is>
      </c>
      <c r="B302" t="inlineStr">
        <is>
          <t>F20</t>
        </is>
      </c>
      <c r="C302" t="n">
        <v>20</v>
      </c>
      <c r="D302" t="n">
        <v>6</v>
      </c>
      <c r="E302" t="inlineStr">
        <is>
          <t>Output</t>
        </is>
      </c>
      <c r="F302" t="inlineStr">
        <is>
          <t>'=SUBTOTAL(109,OfficeActual[Apr])</t>
        </is>
      </c>
      <c r="G302" t="n">
        <v>11611</v>
      </c>
      <c r="H302" t="inlineStr"/>
      <c r="I302" t="inlineStr">
        <is>
          <t>"$"#,##0.00_);[Red]\("$"#,##0.00\)</t>
        </is>
      </c>
      <c r="J302" t="b">
        <v>0</v>
      </c>
      <c r="K302" t="b">
        <v>0</v>
      </c>
      <c r="L302" t="n">
        <v>10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center</t>
        </is>
      </c>
      <c r="P302" t="inlineStr">
        <is>
          <t>center</t>
        </is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>
        <f>SUBTOTAL(109,OfficeActual[Apr])</f>
        <v/>
      </c>
    </row>
    <row r="303">
      <c r="A303" t="inlineStr">
        <is>
          <t>ACTUAL EXPENSES</t>
        </is>
      </c>
      <c r="B303" t="inlineStr">
        <is>
          <t>G20</t>
        </is>
      </c>
      <c r="C303" t="n">
        <v>20</v>
      </c>
      <c r="D303" t="n">
        <v>7</v>
      </c>
      <c r="E303" t="inlineStr">
        <is>
          <t>Output</t>
        </is>
      </c>
      <c r="F303" t="inlineStr">
        <is>
          <t>'=SUBTOTAL(109,OfficeActual[May])</t>
        </is>
      </c>
      <c r="G303" t="n">
        <v>11508</v>
      </c>
      <c r="H303" t="inlineStr"/>
      <c r="I303" t="inlineStr">
        <is>
          <t>"$"#,##0.00_);[Red]\("$"#,##0.00\)</t>
        </is>
      </c>
      <c r="J303" t="b">
        <v>0</v>
      </c>
      <c r="K303" t="b">
        <v>0</v>
      </c>
      <c r="L303" t="n">
        <v>10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inlineStr">
        <is>
          <t>center</t>
        </is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>
        <f>SUBTOTAL(109,OfficeActual[May])</f>
        <v/>
      </c>
    </row>
    <row r="304">
      <c r="A304" t="inlineStr">
        <is>
          <t>ACTUAL EXPENSES</t>
        </is>
      </c>
      <c r="B304" t="inlineStr">
        <is>
          <t>H20</t>
        </is>
      </c>
      <c r="C304" t="n">
        <v>20</v>
      </c>
      <c r="D304" t="n">
        <v>8</v>
      </c>
      <c r="E304" t="inlineStr">
        <is>
          <t>Output</t>
        </is>
      </c>
      <c r="F304" t="inlineStr">
        <is>
          <t>'=SUBTOTAL(109,OfficeActual[Jun])</t>
        </is>
      </c>
      <c r="G304" t="n">
        <v>11454</v>
      </c>
      <c r="H304" t="inlineStr"/>
      <c r="I304" t="inlineStr">
        <is>
          <t>"$"#,##0.00_);[Red]\("$"#,##0.00\)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>
        <f>SUBTOTAL(109,OfficeActual[Jun])</f>
        <v/>
      </c>
    </row>
    <row r="305">
      <c r="A305" t="inlineStr">
        <is>
          <t>ACTUAL EXPENSES</t>
        </is>
      </c>
      <c r="B305" t="inlineStr">
        <is>
          <t>I20</t>
        </is>
      </c>
      <c r="C305" t="n">
        <v>20</v>
      </c>
      <c r="D305" t="n">
        <v>9</v>
      </c>
      <c r="E305" t="inlineStr">
        <is>
          <t>Output</t>
        </is>
      </c>
      <c r="F305" t="inlineStr">
        <is>
          <t>'=SUBTOTAL(109,OfficeActual[Jul])</t>
        </is>
      </c>
      <c r="G305" t="n">
        <v>0</v>
      </c>
      <c r="H305" t="inlineStr"/>
      <c r="I305" t="inlineStr">
        <is>
          <t>"$"#,##0.00_);[Red]\("$"#,##0.00\)</t>
        </is>
      </c>
      <c r="J305" t="b">
        <v>0</v>
      </c>
      <c r="K305" t="b">
        <v>0</v>
      </c>
      <c r="L305" t="n">
        <v>10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>
        <f>SUBTOTAL(109,OfficeActual[Jul])</f>
        <v/>
      </c>
    </row>
    <row r="306">
      <c r="A306" t="inlineStr">
        <is>
          <t>ACTUAL EXPENSES</t>
        </is>
      </c>
      <c r="B306" t="inlineStr">
        <is>
          <t>J20</t>
        </is>
      </c>
      <c r="C306" t="n">
        <v>20</v>
      </c>
      <c r="D306" t="n">
        <v>10</v>
      </c>
      <c r="E306" t="inlineStr">
        <is>
          <t>Output</t>
        </is>
      </c>
      <c r="F306" t="inlineStr">
        <is>
          <t>'=SUBTOTAL(109,OfficeActual[Aug])</t>
        </is>
      </c>
      <c r="G306" t="n">
        <v>0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10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>
        <f>SUBTOTAL(109,OfficeActual[Aug])</f>
        <v/>
      </c>
    </row>
    <row r="307">
      <c r="A307" t="inlineStr">
        <is>
          <t>ACTUAL EXPENSES</t>
        </is>
      </c>
      <c r="B307" t="inlineStr">
        <is>
          <t>K20</t>
        </is>
      </c>
      <c r="C307" t="n">
        <v>20</v>
      </c>
      <c r="D307" t="n">
        <v>11</v>
      </c>
      <c r="E307" t="inlineStr">
        <is>
          <t>Output</t>
        </is>
      </c>
      <c r="F307" t="inlineStr">
        <is>
          <t>'=SUBTOTAL(109,OfficeActual[Sep])</t>
        </is>
      </c>
      <c r="G307" t="n">
        <v>0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>
        <f>SUBTOTAL(109,OfficeActual[Sep])</f>
        <v/>
      </c>
    </row>
    <row r="308">
      <c r="A308" t="inlineStr">
        <is>
          <t>ACTUAL EXPENSES</t>
        </is>
      </c>
      <c r="B308" t="inlineStr">
        <is>
          <t>L20</t>
        </is>
      </c>
      <c r="C308" t="n">
        <v>20</v>
      </c>
      <c r="D308" t="n">
        <v>12</v>
      </c>
      <c r="E308" t="inlineStr">
        <is>
          <t>Output</t>
        </is>
      </c>
      <c r="F308" t="inlineStr">
        <is>
          <t>'=SUBTOTAL(109,OfficeActual[Oct])</t>
        </is>
      </c>
      <c r="G308" t="n">
        <v>0</v>
      </c>
      <c r="H308" t="inlineStr"/>
      <c r="I308" t="inlineStr">
        <is>
          <t>"$"#,##0.00_);[Red]\("$"#,##0.00\)</t>
        </is>
      </c>
      <c r="J308" t="b">
        <v>0</v>
      </c>
      <c r="K308" t="b">
        <v>0</v>
      </c>
      <c r="L308" t="n">
        <v>10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>
        <f>SUBTOTAL(109,OfficeActual[Oct])</f>
        <v/>
      </c>
    </row>
    <row r="309">
      <c r="A309" t="inlineStr">
        <is>
          <t>ACTUAL EXPENSES</t>
        </is>
      </c>
      <c r="B309" t="inlineStr">
        <is>
          <t>M20</t>
        </is>
      </c>
      <c r="C309" t="n">
        <v>20</v>
      </c>
      <c r="D309" t="n">
        <v>13</v>
      </c>
      <c r="E309" t="inlineStr">
        <is>
          <t>Output</t>
        </is>
      </c>
      <c r="F309" t="inlineStr">
        <is>
          <t>'=SUBTOTAL(109,OfficeActual[Nov])</t>
        </is>
      </c>
      <c r="G309" t="n">
        <v>0</v>
      </c>
      <c r="H309" t="inlineStr"/>
      <c r="I309" t="inlineStr">
        <is>
          <t>"$"#,##0.00_);[Red]\("$"#,##0.00\)</t>
        </is>
      </c>
      <c r="J309" t="b">
        <v>0</v>
      </c>
      <c r="K309" t="b">
        <v>0</v>
      </c>
      <c r="L309" t="n">
        <v>10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>
        <f>SUBTOTAL(109,OfficeActual[Nov])</f>
        <v/>
      </c>
    </row>
    <row r="310">
      <c r="A310" t="inlineStr">
        <is>
          <t>ACTUAL EXPENSES</t>
        </is>
      </c>
      <c r="B310" t="inlineStr">
        <is>
          <t>N20</t>
        </is>
      </c>
      <c r="C310" t="n">
        <v>20</v>
      </c>
      <c r="D310" t="n">
        <v>14</v>
      </c>
      <c r="E310" t="inlineStr">
        <is>
          <t>Output</t>
        </is>
      </c>
      <c r="F310" t="inlineStr">
        <is>
          <t>'=SUBTOTAL(109,OfficeActual[Dec])</t>
        </is>
      </c>
      <c r="G310" t="n">
        <v>0</v>
      </c>
      <c r="H310" t="inlineStr"/>
      <c r="I310" t="inlineStr">
        <is>
          <t>"$"#,##0.00_);[Red]\("$"#,##0.00\)</t>
        </is>
      </c>
      <c r="J310" t="b">
        <v>0</v>
      </c>
      <c r="K310" t="b">
        <v>0</v>
      </c>
      <c r="L310" t="n">
        <v>10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>
        <f>SUBTOTAL(109,OfficeActual[Dec])</f>
        <v/>
      </c>
    </row>
    <row r="311">
      <c r="A311" t="inlineStr">
        <is>
          <t>ACTUAL EXPENSES</t>
        </is>
      </c>
      <c r="B311" t="inlineStr">
        <is>
          <t>O20</t>
        </is>
      </c>
      <c r="C311" t="n">
        <v>20</v>
      </c>
      <c r="D311" t="n">
        <v>15</v>
      </c>
      <c r="E311" t="inlineStr">
        <is>
          <t>Output</t>
        </is>
      </c>
      <c r="F311" t="inlineStr">
        <is>
          <t>'=SUBTOTAL(109,OfficeActual[YEAR])</t>
        </is>
      </c>
      <c r="G311" t="n">
        <v>69350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>
        <f>SUBTOTAL(109,OfficeActual[YEAR])</f>
        <v/>
      </c>
    </row>
    <row r="312">
      <c r="A312" t="inlineStr">
        <is>
          <t>ACTUAL EXPENSES</t>
        </is>
      </c>
      <c r="B312" t="inlineStr">
        <is>
          <t>P20</t>
        </is>
      </c>
      <c r="C312" t="n">
        <v>20</v>
      </c>
      <c r="D312" t="n">
        <v>16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ACTUAL EXPENSES</t>
        </is>
      </c>
      <c r="B313" t="inlineStr">
        <is>
          <t>A21</t>
        </is>
      </c>
      <c r="C313" t="n">
        <v>21</v>
      </c>
      <c r="D313" t="n">
        <v>1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ACTUAL EXPENSES</t>
        </is>
      </c>
      <c r="B314" t="inlineStr">
        <is>
          <t>B21</t>
        </is>
      </c>
      <c r="C314" t="n">
        <v>21</v>
      </c>
      <c r="D314" t="n">
        <v>2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ACTUAL EXPENSES</t>
        </is>
      </c>
      <c r="B315" t="inlineStr">
        <is>
          <t>C21</t>
        </is>
      </c>
      <c r="C315" t="n">
        <v>21</v>
      </c>
      <c r="D315" t="n">
        <v>3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ACTUAL EXPENSES</t>
        </is>
      </c>
      <c r="B316" t="inlineStr">
        <is>
          <t>D21</t>
        </is>
      </c>
      <c r="C316" t="n">
        <v>21</v>
      </c>
      <c r="D316" t="n">
        <v>4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ACTUAL EXPENSES</t>
        </is>
      </c>
      <c r="B317" t="inlineStr">
        <is>
          <t>E21</t>
        </is>
      </c>
      <c r="C317" t="n">
        <v>21</v>
      </c>
      <c r="D317" t="n">
        <v>5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ACTUAL EXPENSES</t>
        </is>
      </c>
      <c r="B318" t="inlineStr">
        <is>
          <t>F21</t>
        </is>
      </c>
      <c r="C318" t="n">
        <v>21</v>
      </c>
      <c r="D318" t="n">
        <v>6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ACTUAL EXPENSES</t>
        </is>
      </c>
      <c r="B319" t="inlineStr">
        <is>
          <t>G21</t>
        </is>
      </c>
      <c r="C319" t="n">
        <v>21</v>
      </c>
      <c r="D319" t="n">
        <v>7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ACTUAL EXPENSES</t>
        </is>
      </c>
      <c r="B320" t="inlineStr">
        <is>
          <t>H21</t>
        </is>
      </c>
      <c r="C320" t="n">
        <v>21</v>
      </c>
      <c r="D320" t="n">
        <v>8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ACTUAL EXPENSES</t>
        </is>
      </c>
      <c r="B321" t="inlineStr">
        <is>
          <t>I21</t>
        </is>
      </c>
      <c r="C321" t="n">
        <v>21</v>
      </c>
      <c r="D321" t="n">
        <v>9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ACTUAL EXPENSES</t>
        </is>
      </c>
      <c r="B322" t="inlineStr">
        <is>
          <t>J21</t>
        </is>
      </c>
      <c r="C322" t="n">
        <v>21</v>
      </c>
      <c r="D322" t="n">
        <v>10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ACTUAL EXPENSES</t>
        </is>
      </c>
      <c r="B323" t="inlineStr">
        <is>
          <t>K21</t>
        </is>
      </c>
      <c r="C323" t="n">
        <v>21</v>
      </c>
      <c r="D323" t="n">
        <v>11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ACTUAL EXPENSES</t>
        </is>
      </c>
      <c r="B324" t="inlineStr">
        <is>
          <t>L21</t>
        </is>
      </c>
      <c r="C324" t="n">
        <v>21</v>
      </c>
      <c r="D324" t="n">
        <v>12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10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n">
        <v/>
      </c>
      <c r="P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ACTUAL EXPENSES</t>
        </is>
      </c>
      <c r="B325" t="inlineStr">
        <is>
          <t>M21</t>
        </is>
      </c>
      <c r="C325" t="n">
        <v>21</v>
      </c>
      <c r="D325" t="n">
        <v>13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10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ACTUAL EXPENSES</t>
        </is>
      </c>
      <c r="B326" t="inlineStr">
        <is>
          <t>N21</t>
        </is>
      </c>
      <c r="C326" t="n">
        <v>21</v>
      </c>
      <c r="D326" t="n">
        <v>14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10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n">
        <v/>
      </c>
      <c r="P326" t="n">
        <v/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ACTUAL EXPENSES</t>
        </is>
      </c>
      <c r="B327" t="inlineStr">
        <is>
          <t>O21</t>
        </is>
      </c>
      <c r="C327" t="n">
        <v>21</v>
      </c>
      <c r="D327" t="n">
        <v>15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n">
        <v/>
      </c>
      <c r="P327" t="n">
        <v/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ACTUAL EXPENSES</t>
        </is>
      </c>
      <c r="B328" t="inlineStr">
        <is>
          <t>P21</t>
        </is>
      </c>
      <c r="C328" t="n">
        <v>21</v>
      </c>
      <c r="D328" t="n">
        <v>16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ACTUAL EXPENSES</t>
        </is>
      </c>
      <c r="B329" t="inlineStr">
        <is>
          <t>A22</t>
        </is>
      </c>
      <c r="C329" t="n">
        <v>22</v>
      </c>
      <c r="D329" t="n">
        <v>1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16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n">
        <v/>
      </c>
      <c r="P329" t="n">
        <v/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ACTUAL EXPENSES</t>
        </is>
      </c>
      <c r="B330" t="inlineStr">
        <is>
          <t>B22</t>
        </is>
      </c>
      <c r="C330" t="n">
        <v>22</v>
      </c>
      <c r="D330" t="n">
        <v>2</v>
      </c>
      <c r="E330" t="inlineStr">
        <is>
          <t>Input</t>
        </is>
      </c>
      <c r="F330" t="n">
        <v/>
      </c>
      <c r="G330" t="inlineStr">
        <is>
          <t>Marketing costs</t>
        </is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16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left</t>
        </is>
      </c>
      <c r="P330" t="inlineStr">
        <is>
          <t>center</t>
        </is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ACTUAL EXPENSES</t>
        </is>
      </c>
      <c r="B331" t="inlineStr">
        <is>
          <t>C22</t>
        </is>
      </c>
      <c r="C331" t="n">
        <v>22</v>
      </c>
      <c r="D331" t="n">
        <v>3</v>
      </c>
      <c r="E331" t="inlineStr">
        <is>
          <t>Input</t>
        </is>
      </c>
      <c r="F331" t="n">
        <v/>
      </c>
      <c r="G331" t="inlineStr">
        <is>
          <t>Jan</t>
        </is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16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ACTUAL EXPENSES</t>
        </is>
      </c>
      <c r="B332" t="inlineStr">
        <is>
          <t>D22</t>
        </is>
      </c>
      <c r="C332" t="n">
        <v>22</v>
      </c>
      <c r="D332" t="n">
        <v>4</v>
      </c>
      <c r="E332" t="inlineStr">
        <is>
          <t>Input</t>
        </is>
      </c>
      <c r="F332" t="n">
        <v/>
      </c>
      <c r="G332" t="inlineStr">
        <is>
          <t>Feb</t>
        </is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16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ACTUAL EXPENSES</t>
        </is>
      </c>
      <c r="B333" t="inlineStr">
        <is>
          <t>E22</t>
        </is>
      </c>
      <c r="C333" t="n">
        <v>22</v>
      </c>
      <c r="D333" t="n">
        <v>5</v>
      </c>
      <c r="E333" t="inlineStr">
        <is>
          <t>Input</t>
        </is>
      </c>
      <c r="F333" t="n">
        <v/>
      </c>
      <c r="G333" t="inlineStr">
        <is>
          <t>Mar</t>
        </is>
      </c>
      <c r="H333" t="inlineStr"/>
      <c r="I333" t="inlineStr">
        <is>
          <t>_("$"* #,##0_);_("$"* \(#,##0\);_("$"* "-"??_);_(@_)</t>
        </is>
      </c>
      <c r="J333" t="b">
        <v>0</v>
      </c>
      <c r="K333" t="b">
        <v>0</v>
      </c>
      <c r="L333" t="n">
        <v>16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ACTUAL EXPENSES</t>
        </is>
      </c>
      <c r="B334" t="inlineStr">
        <is>
          <t>F22</t>
        </is>
      </c>
      <c r="C334" t="n">
        <v>22</v>
      </c>
      <c r="D334" t="n">
        <v>6</v>
      </c>
      <c r="E334" t="inlineStr">
        <is>
          <t>Input</t>
        </is>
      </c>
      <c r="F334" t="n">
        <v/>
      </c>
      <c r="G334" t="inlineStr">
        <is>
          <t>Apr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16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ACTUAL EXPENSES</t>
        </is>
      </c>
      <c r="B335" t="inlineStr">
        <is>
          <t>G22</t>
        </is>
      </c>
      <c r="C335" t="n">
        <v>22</v>
      </c>
      <c r="D335" t="n">
        <v>7</v>
      </c>
      <c r="E335" t="inlineStr">
        <is>
          <t>Input</t>
        </is>
      </c>
      <c r="F335" t="n">
        <v/>
      </c>
      <c r="G335" t="inlineStr">
        <is>
          <t>May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16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ACTUAL EXPENSES</t>
        </is>
      </c>
      <c r="B336" t="inlineStr">
        <is>
          <t>H22</t>
        </is>
      </c>
      <c r="C336" t="n">
        <v>22</v>
      </c>
      <c r="D336" t="n">
        <v>8</v>
      </c>
      <c r="E336" t="inlineStr">
        <is>
          <t>Input</t>
        </is>
      </c>
      <c r="F336" t="n">
        <v/>
      </c>
      <c r="G336" t="inlineStr">
        <is>
          <t>Jun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16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ACTUAL EXPENSES</t>
        </is>
      </c>
      <c r="B337" t="inlineStr">
        <is>
          <t>I22</t>
        </is>
      </c>
      <c r="C337" t="n">
        <v>22</v>
      </c>
      <c r="D337" t="n">
        <v>9</v>
      </c>
      <c r="E337" t="inlineStr">
        <is>
          <t>Input</t>
        </is>
      </c>
      <c r="F337" t="n">
        <v/>
      </c>
      <c r="G337" t="inlineStr">
        <is>
          <t>Jul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16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ACTUAL EXPENSES</t>
        </is>
      </c>
      <c r="B338" t="inlineStr">
        <is>
          <t>J22</t>
        </is>
      </c>
      <c r="C338" t="n">
        <v>22</v>
      </c>
      <c r="D338" t="n">
        <v>10</v>
      </c>
      <c r="E338" t="inlineStr">
        <is>
          <t>Input</t>
        </is>
      </c>
      <c r="F338" t="n">
        <v/>
      </c>
      <c r="G338" t="inlineStr">
        <is>
          <t>Aug</t>
        </is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16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ACTUAL EXPENSES</t>
        </is>
      </c>
      <c r="B339" t="inlineStr">
        <is>
          <t>K22</t>
        </is>
      </c>
      <c r="C339" t="n">
        <v>22</v>
      </c>
      <c r="D339" t="n">
        <v>11</v>
      </c>
      <c r="E339" t="inlineStr">
        <is>
          <t>Input</t>
        </is>
      </c>
      <c r="F339" t="n">
        <v/>
      </c>
      <c r="G339" t="inlineStr">
        <is>
          <t>Sep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16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ACTUAL EXPENSES</t>
        </is>
      </c>
      <c r="B340" t="inlineStr">
        <is>
          <t>L22</t>
        </is>
      </c>
      <c r="C340" t="n">
        <v>22</v>
      </c>
      <c r="D340" t="n">
        <v>12</v>
      </c>
      <c r="E340" t="inlineStr">
        <is>
          <t>Input</t>
        </is>
      </c>
      <c r="F340" t="n">
        <v/>
      </c>
      <c r="G340" t="inlineStr">
        <is>
          <t>Oct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16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ACTUAL EXPENSES</t>
        </is>
      </c>
      <c r="B341" t="inlineStr">
        <is>
          <t>M22</t>
        </is>
      </c>
      <c r="C341" t="n">
        <v>22</v>
      </c>
      <c r="D341" t="n">
        <v>13</v>
      </c>
      <c r="E341" t="inlineStr">
        <is>
          <t>Input</t>
        </is>
      </c>
      <c r="F341" t="n">
        <v/>
      </c>
      <c r="G341" t="inlineStr">
        <is>
          <t>Nov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16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ACTUAL EXPENSES</t>
        </is>
      </c>
      <c r="B342" t="inlineStr">
        <is>
          <t>N22</t>
        </is>
      </c>
      <c r="C342" t="n">
        <v>22</v>
      </c>
      <c r="D342" t="n">
        <v>14</v>
      </c>
      <c r="E342" t="inlineStr">
        <is>
          <t>Input</t>
        </is>
      </c>
      <c r="F342" t="n">
        <v/>
      </c>
      <c r="G342" t="inlineStr">
        <is>
          <t>Dec</t>
        </is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16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center</t>
        </is>
      </c>
      <c r="P342" t="inlineStr">
        <is>
          <t>center</t>
        </is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ACTUAL EXPENSES</t>
        </is>
      </c>
      <c r="B343" t="inlineStr">
        <is>
          <t>O22</t>
        </is>
      </c>
      <c r="C343" t="n">
        <v>22</v>
      </c>
      <c r="D343" t="n">
        <v>15</v>
      </c>
      <c r="E343" t="inlineStr">
        <is>
          <t>Input</t>
        </is>
      </c>
      <c r="F343" t="n">
        <v/>
      </c>
      <c r="G343" t="inlineStr">
        <is>
          <t>YEAR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16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center</t>
        </is>
      </c>
      <c r="P343" t="inlineStr">
        <is>
          <t>center</t>
        </is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ACTUAL EXPENSES</t>
        </is>
      </c>
      <c r="B344" t="inlineStr">
        <is>
          <t>P22</t>
        </is>
      </c>
      <c r="C344" t="n">
        <v>22</v>
      </c>
      <c r="D344" t="n">
        <v>16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16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n">
        <v/>
      </c>
      <c r="P344" t="n">
        <v/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ACTUAL EXPENSES</t>
        </is>
      </c>
      <c r="B345" t="inlineStr">
        <is>
          <t>A23</t>
        </is>
      </c>
      <c r="C345" t="n">
        <v>23</v>
      </c>
      <c r="D345" t="n">
        <v>1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M345" t="inlineStr">
        <is>
          <t>Values must be of type &lt;class 'str'&gt;</t>
        </is>
      </c>
      <c r="N345" t="inlineStr">
        <is>
          <t>Values must be of type &lt;class 'str'&gt;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ACTUAL EXPENSES</t>
        </is>
      </c>
      <c r="B346" t="inlineStr">
        <is>
          <t>B23</t>
        </is>
      </c>
      <c r="C346" t="n">
        <v>23</v>
      </c>
      <c r="D346" t="n">
        <v>2</v>
      </c>
      <c r="E346" t="inlineStr">
        <is>
          <t>Input</t>
        </is>
      </c>
      <c r="F346" t="n">
        <v/>
      </c>
      <c r="G346" t="inlineStr">
        <is>
          <t>Web site hosting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12</v>
      </c>
      <c r="M346" t="inlineStr">
        <is>
          <t>Values must be of type &lt;class 'str'&gt;</t>
        </is>
      </c>
      <c r="N346" t="inlineStr">
        <is>
          <t>Values must be of type &lt;class 'str'&gt;</t>
        </is>
      </c>
      <c r="O346" t="inlineStr">
        <is>
          <t>left</t>
        </is>
      </c>
      <c r="P346" t="inlineStr">
        <is>
          <t>center</t>
        </is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ACTUAL EXPENSES</t>
        </is>
      </c>
      <c r="B347" t="inlineStr">
        <is>
          <t>C23</t>
        </is>
      </c>
      <c r="C347" t="n">
        <v>23</v>
      </c>
      <c r="D347" t="n">
        <v>3</v>
      </c>
      <c r="E347" t="inlineStr">
        <is>
          <t>Input</t>
        </is>
      </c>
      <c r="F347" t="n">
        <v/>
      </c>
      <c r="G347" t="n">
        <v>500</v>
      </c>
      <c r="H347" t="inlineStr"/>
      <c r="I347" t="inlineStr">
        <is>
          <t>"$"#,##0.00_);[Red]\("$"#,##0.00\)</t>
        </is>
      </c>
      <c r="J347" t="b">
        <v>0</v>
      </c>
      <c r="K347" t="b">
        <v>0</v>
      </c>
      <c r="L347" t="n">
        <v>10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ACTUAL EXPENSES</t>
        </is>
      </c>
      <c r="B348" t="inlineStr">
        <is>
          <t>D23</t>
        </is>
      </c>
      <c r="C348" t="n">
        <v>23</v>
      </c>
      <c r="D348" t="n">
        <v>4</v>
      </c>
      <c r="E348" t="inlineStr">
        <is>
          <t>Input</t>
        </is>
      </c>
      <c r="F348" t="n">
        <v/>
      </c>
      <c r="G348" t="n">
        <v>500</v>
      </c>
      <c r="H348" t="inlineStr"/>
      <c r="I348" t="inlineStr">
        <is>
          <t>"$"#,##0.00_);[Red]\("$"#,##0.00\)</t>
        </is>
      </c>
      <c r="J348" t="b">
        <v>0</v>
      </c>
      <c r="K348" t="b">
        <v>0</v>
      </c>
      <c r="L348" t="n">
        <v>10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ACTUAL EXPENSES</t>
        </is>
      </c>
      <c r="B349" t="inlineStr">
        <is>
          <t>E23</t>
        </is>
      </c>
      <c r="C349" t="n">
        <v>23</v>
      </c>
      <c r="D349" t="n">
        <v>5</v>
      </c>
      <c r="E349" t="inlineStr">
        <is>
          <t>Input</t>
        </is>
      </c>
      <c r="F349" t="n">
        <v/>
      </c>
      <c r="G349" t="n">
        <v>500</v>
      </c>
      <c r="H349" t="inlineStr"/>
      <c r="I349" t="inlineStr">
        <is>
          <t>"$"#,##0.00_);[Red]\("$"#,##0.00\)</t>
        </is>
      </c>
      <c r="J349" t="b">
        <v>0</v>
      </c>
      <c r="K349" t="b">
        <v>0</v>
      </c>
      <c r="L349" t="n">
        <v>10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inlineStr">
        <is>
          <t>center</t>
        </is>
      </c>
      <c r="P349" t="inlineStr">
        <is>
          <t>center</t>
        </is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ACTUAL EXPENSES</t>
        </is>
      </c>
      <c r="B350" t="inlineStr">
        <is>
          <t>F23</t>
        </is>
      </c>
      <c r="C350" t="n">
        <v>23</v>
      </c>
      <c r="D350" t="n">
        <v>6</v>
      </c>
      <c r="E350" t="inlineStr">
        <is>
          <t>Input</t>
        </is>
      </c>
      <c r="F350" t="n">
        <v/>
      </c>
      <c r="G350" t="n">
        <v>500</v>
      </c>
      <c r="H350" t="inlineStr"/>
      <c r="I350" t="inlineStr">
        <is>
          <t>"$"#,##0.00_);[Red]\("$"#,##0.00\)</t>
        </is>
      </c>
      <c r="J350" t="b">
        <v>0</v>
      </c>
      <c r="K350" t="b">
        <v>0</v>
      </c>
      <c r="L350" t="n">
        <v>10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center</t>
        </is>
      </c>
      <c r="P350" t="inlineStr">
        <is>
          <t>center</t>
        </is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ACTUAL EXPENSES</t>
        </is>
      </c>
      <c r="B351" t="inlineStr">
        <is>
          <t>G23</t>
        </is>
      </c>
      <c r="C351" t="n">
        <v>23</v>
      </c>
      <c r="D351" t="n">
        <v>7</v>
      </c>
      <c r="E351" t="inlineStr">
        <is>
          <t>Input</t>
        </is>
      </c>
      <c r="F351" t="n">
        <v/>
      </c>
      <c r="G351" t="n">
        <v>500</v>
      </c>
      <c r="H351" t="inlineStr"/>
      <c r="I351" t="inlineStr">
        <is>
          <t>"$"#,##0.00_);[Red]\("$"#,##0.00\)</t>
        </is>
      </c>
      <c r="J351" t="b">
        <v>0</v>
      </c>
      <c r="K351" t="b">
        <v>0</v>
      </c>
      <c r="L351" t="n">
        <v>10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center</t>
        </is>
      </c>
      <c r="P351" t="inlineStr">
        <is>
          <t>center</t>
        </is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ACTUAL EXPENSES</t>
        </is>
      </c>
      <c r="B352" t="inlineStr">
        <is>
          <t>H23</t>
        </is>
      </c>
      <c r="C352" t="n">
        <v>23</v>
      </c>
      <c r="D352" t="n">
        <v>8</v>
      </c>
      <c r="E352" t="inlineStr">
        <is>
          <t>Input</t>
        </is>
      </c>
      <c r="F352" t="n">
        <v/>
      </c>
      <c r="G352" t="n">
        <v>500</v>
      </c>
      <c r="H352" t="inlineStr"/>
      <c r="I352" t="inlineStr">
        <is>
          <t>"$"#,##0.00_);[Red]\("$"#,##0.00\)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inlineStr">
        <is>
          <t>center</t>
        </is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ACTUAL EXPENSES</t>
        </is>
      </c>
      <c r="B353" t="inlineStr">
        <is>
          <t>I23</t>
        </is>
      </c>
      <c r="C353" t="n">
        <v>23</v>
      </c>
      <c r="D353" t="n">
        <v>9</v>
      </c>
      <c r="E353" t="inlineStr">
        <is>
          <t>Input</t>
        </is>
      </c>
      <c r="F353" t="n">
        <v/>
      </c>
      <c r="H353" t="inlineStr"/>
      <c r="I353" t="inlineStr">
        <is>
          <t>"$"#,##0.00_);[Red]\("$"#,##0.00\)</t>
        </is>
      </c>
      <c r="J353" t="b">
        <v>0</v>
      </c>
      <c r="K353" t="b">
        <v>0</v>
      </c>
      <c r="L353" t="n">
        <v>10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ACTUAL EXPENSES</t>
        </is>
      </c>
      <c r="B354" t="inlineStr">
        <is>
          <t>J23</t>
        </is>
      </c>
      <c r="C354" t="n">
        <v>23</v>
      </c>
      <c r="D354" t="n">
        <v>10</v>
      </c>
      <c r="E354" t="inlineStr">
        <is>
          <t>Input</t>
        </is>
      </c>
      <c r="F354" t="n">
        <v/>
      </c>
      <c r="H354" t="inlineStr"/>
      <c r="I354" t="inlineStr">
        <is>
          <t>"$"#,##0.00_);[Red]\("$"#,##0.00\)</t>
        </is>
      </c>
      <c r="J354" t="b">
        <v>0</v>
      </c>
      <c r="K354" t="b">
        <v>0</v>
      </c>
      <c r="L354" t="n">
        <v>10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ACTUAL EXPENSES</t>
        </is>
      </c>
      <c r="B355" t="inlineStr">
        <is>
          <t>K23</t>
        </is>
      </c>
      <c r="C355" t="n">
        <v>23</v>
      </c>
      <c r="D355" t="n">
        <v>11</v>
      </c>
      <c r="E355" t="inlineStr">
        <is>
          <t>Input</t>
        </is>
      </c>
      <c r="F355" t="n">
        <v/>
      </c>
      <c r="H355" t="inlineStr"/>
      <c r="I355" t="inlineStr">
        <is>
          <t>"$"#,##0.00_);[Red]\("$"#,##0.00\)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ACTUAL EXPENSES</t>
        </is>
      </c>
      <c r="B356" t="inlineStr">
        <is>
          <t>L23</t>
        </is>
      </c>
      <c r="C356" t="n">
        <v>23</v>
      </c>
      <c r="D356" t="n">
        <v>12</v>
      </c>
      <c r="E356" t="inlineStr">
        <is>
          <t>Input</t>
        </is>
      </c>
      <c r="F356" t="n">
        <v/>
      </c>
      <c r="H356" t="inlineStr"/>
      <c r="I356" t="inlineStr">
        <is>
          <t>"$"#,##0.00_);[Red]\("$"#,##0.00\)</t>
        </is>
      </c>
      <c r="J356" t="b">
        <v>0</v>
      </c>
      <c r="K356" t="b">
        <v>0</v>
      </c>
      <c r="L356" t="n">
        <v>10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ACTUAL EXPENSES</t>
        </is>
      </c>
      <c r="B357" t="inlineStr">
        <is>
          <t>M23</t>
        </is>
      </c>
      <c r="C357" t="n">
        <v>23</v>
      </c>
      <c r="D357" t="n">
        <v>13</v>
      </c>
      <c r="E357" t="inlineStr">
        <is>
          <t>Input</t>
        </is>
      </c>
      <c r="F357" t="n">
        <v/>
      </c>
      <c r="H357" t="inlineStr"/>
      <c r="I357" t="inlineStr">
        <is>
          <t>"$"#,##0.00_);[Red]\("$"#,##0.00\)</t>
        </is>
      </c>
      <c r="J357" t="b">
        <v>0</v>
      </c>
      <c r="K357" t="b">
        <v>0</v>
      </c>
      <c r="L357" t="n">
        <v>10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ACTUAL EXPENSES</t>
        </is>
      </c>
      <c r="B358" t="inlineStr">
        <is>
          <t>N23</t>
        </is>
      </c>
      <c r="C358" t="n">
        <v>23</v>
      </c>
      <c r="D358" t="n">
        <v>14</v>
      </c>
      <c r="E358" t="inlineStr">
        <is>
          <t>Input</t>
        </is>
      </c>
      <c r="F358" t="n">
        <v/>
      </c>
      <c r="H358" t="inlineStr"/>
      <c r="I358" t="inlineStr">
        <is>
          <t>"$"#,##0.00_);[Red]\("$"#,##0.00\)</t>
        </is>
      </c>
      <c r="J358" t="b">
        <v>0</v>
      </c>
      <c r="K358" t="b">
        <v>0</v>
      </c>
      <c r="L358" t="n">
        <v>10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ACTUAL EXPENSES</t>
        </is>
      </c>
      <c r="B359" t="inlineStr">
        <is>
          <t>O23</t>
        </is>
      </c>
      <c r="C359" t="n">
        <v>23</v>
      </c>
      <c r="D359" t="n">
        <v>15</v>
      </c>
      <c r="E359" t="inlineStr">
        <is>
          <t>Output</t>
        </is>
      </c>
      <c r="F359" t="inlineStr">
        <is>
          <t>'=SUM(C23:N23)</t>
        </is>
      </c>
      <c r="G359" t="n">
        <v>3000</v>
      </c>
      <c r="H359" t="inlineStr"/>
      <c r="I359" t="inlineStr">
        <is>
          <t>"$"#,##0.00_);[Red]\("$"#,##0.00\)</t>
        </is>
      </c>
      <c r="J359" t="b">
        <v>0</v>
      </c>
      <c r="K359" t="b">
        <v>0</v>
      </c>
      <c r="L359" t="n">
        <v>10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G000009</t>
        </is>
      </c>
      <c r="T359" t="inlineStr">
        <is>
          <t>Vertical</t>
        </is>
      </c>
      <c r="U359" t="n">
        <v>6</v>
      </c>
      <c r="V359" t="b">
        <v>1</v>
      </c>
      <c r="W359" t="inlineStr">
        <is>
          <t>ACTUAL EXPENSES!O23:O28</t>
        </is>
      </c>
      <c r="X359">
        <f>SUM(R[0]C[-12]:R[0]C[-1])</f>
        <v/>
      </c>
    </row>
    <row r="360">
      <c r="A360" t="inlineStr">
        <is>
          <t>ACTUAL EXPENSES</t>
        </is>
      </c>
      <c r="B360" t="inlineStr">
        <is>
          <t>P23</t>
        </is>
      </c>
      <c r="C360" t="n">
        <v>23</v>
      </c>
      <c r="D360" t="n">
        <v>16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n">
        <v/>
      </c>
      <c r="P360" t="n">
        <v/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ACTUAL EXPENSES</t>
        </is>
      </c>
      <c r="B361" t="inlineStr">
        <is>
          <t>A24</t>
        </is>
      </c>
      <c r="C361" t="n">
        <v>24</v>
      </c>
      <c r="D361" t="n">
        <v>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n">
        <v/>
      </c>
      <c r="P361" t="n">
        <v/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ACTUAL EXPENSES</t>
        </is>
      </c>
      <c r="B362" t="inlineStr">
        <is>
          <t>B24</t>
        </is>
      </c>
      <c r="C362" t="n">
        <v>24</v>
      </c>
      <c r="D362" t="n">
        <v>2</v>
      </c>
      <c r="E362" t="inlineStr">
        <is>
          <t>Input</t>
        </is>
      </c>
      <c r="F362" t="n">
        <v/>
      </c>
      <c r="G362" t="inlineStr">
        <is>
          <t>Web site updates</t>
        </is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12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left</t>
        </is>
      </c>
      <c r="P362" t="inlineStr">
        <is>
          <t>center</t>
        </is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ACTUAL EXPENSES</t>
        </is>
      </c>
      <c r="B363" t="inlineStr">
        <is>
          <t>C24</t>
        </is>
      </c>
      <c r="C363" t="n">
        <v>24</v>
      </c>
      <c r="D363" t="n">
        <v>3</v>
      </c>
      <c r="E363" t="inlineStr">
        <is>
          <t>Input</t>
        </is>
      </c>
      <c r="F363" t="n">
        <v/>
      </c>
      <c r="G363" t="n">
        <v>200</v>
      </c>
      <c r="H363" t="inlineStr"/>
      <c r="I363" t="inlineStr">
        <is>
          <t>"$"#,##0.00_);[Red]\("$"#,##0.00\)</t>
        </is>
      </c>
      <c r="J363" t="b">
        <v>0</v>
      </c>
      <c r="K363" t="b">
        <v>0</v>
      </c>
      <c r="L363" t="n">
        <v>10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ACTUAL EXPENSES</t>
        </is>
      </c>
      <c r="B364" t="inlineStr">
        <is>
          <t>D24</t>
        </is>
      </c>
      <c r="C364" t="n">
        <v>24</v>
      </c>
      <c r="D364" t="n">
        <v>4</v>
      </c>
      <c r="E364" t="inlineStr">
        <is>
          <t>Input</t>
        </is>
      </c>
      <c r="F364" t="n">
        <v/>
      </c>
      <c r="G364" t="n">
        <v>200</v>
      </c>
      <c r="H364" t="inlineStr"/>
      <c r="I364" t="inlineStr">
        <is>
          <t>"$"#,##0.00_);[Red]\("$"#,##0.00\)</t>
        </is>
      </c>
      <c r="J364" t="b">
        <v>0</v>
      </c>
      <c r="K364" t="b">
        <v>0</v>
      </c>
      <c r="L364" t="n">
        <v>10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ACTUAL EXPENSES</t>
        </is>
      </c>
      <c r="B365" t="inlineStr">
        <is>
          <t>E24</t>
        </is>
      </c>
      <c r="C365" t="n">
        <v>24</v>
      </c>
      <c r="D365" t="n">
        <v>5</v>
      </c>
      <c r="E365" t="inlineStr">
        <is>
          <t>Input</t>
        </is>
      </c>
      <c r="F365" t="n">
        <v/>
      </c>
      <c r="G365" t="n">
        <v>200</v>
      </c>
      <c r="H365" t="inlineStr"/>
      <c r="I365" t="inlineStr">
        <is>
          <t>"$"#,##0.00_);[Red]\("$"#,##0.00\)</t>
        </is>
      </c>
      <c r="J365" t="b">
        <v>0</v>
      </c>
      <c r="K365" t="b">
        <v>0</v>
      </c>
      <c r="L365" t="n">
        <v>10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ACTUAL EXPENSES</t>
        </is>
      </c>
      <c r="B366" t="inlineStr">
        <is>
          <t>F24</t>
        </is>
      </c>
      <c r="C366" t="n">
        <v>24</v>
      </c>
      <c r="D366" t="n">
        <v>6</v>
      </c>
      <c r="E366" t="inlineStr">
        <is>
          <t>Input</t>
        </is>
      </c>
      <c r="F366" t="n">
        <v/>
      </c>
      <c r="G366" t="n">
        <v>200</v>
      </c>
      <c r="H366" t="inlineStr"/>
      <c r="I366" t="inlineStr">
        <is>
          <t>"$"#,##0.00_);[Red]\("$"#,##0.00\)</t>
        </is>
      </c>
      <c r="J366" t="b">
        <v>0</v>
      </c>
      <c r="K366" t="b">
        <v>0</v>
      </c>
      <c r="L366" t="n">
        <v>10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ACTUAL EXPENSES</t>
        </is>
      </c>
      <c r="B367" t="inlineStr">
        <is>
          <t>G24</t>
        </is>
      </c>
      <c r="C367" t="n">
        <v>24</v>
      </c>
      <c r="D367" t="n">
        <v>7</v>
      </c>
      <c r="E367" t="inlineStr">
        <is>
          <t>Input</t>
        </is>
      </c>
      <c r="F367" t="n">
        <v/>
      </c>
      <c r="G367" t="n">
        <v>200</v>
      </c>
      <c r="H367" t="inlineStr"/>
      <c r="I367" t="inlineStr">
        <is>
          <t>"$"#,##0.00_);[Red]\("$"#,##0.00\)</t>
        </is>
      </c>
      <c r="J367" t="b">
        <v>0</v>
      </c>
      <c r="K367" t="b">
        <v>0</v>
      </c>
      <c r="L367" t="n">
        <v>10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ACTUAL EXPENSES</t>
        </is>
      </c>
      <c r="B368" t="inlineStr">
        <is>
          <t>H24</t>
        </is>
      </c>
      <c r="C368" t="n">
        <v>24</v>
      </c>
      <c r="D368" t="n">
        <v>8</v>
      </c>
      <c r="E368" t="inlineStr">
        <is>
          <t>Input</t>
        </is>
      </c>
      <c r="F368" t="n">
        <v/>
      </c>
      <c r="G368" t="n">
        <v>1500</v>
      </c>
      <c r="H368" t="inlineStr"/>
      <c r="I368" t="inlineStr">
        <is>
          <t>"$"#,##0.00_);[Red]\("$"#,##0.00\)</t>
        </is>
      </c>
      <c r="J368" t="b">
        <v>0</v>
      </c>
      <c r="K368" t="b">
        <v>0</v>
      </c>
      <c r="L368" t="n">
        <v>10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ACTUAL EXPENSES</t>
        </is>
      </c>
      <c r="B369" t="inlineStr">
        <is>
          <t>I24</t>
        </is>
      </c>
      <c r="C369" t="n">
        <v>24</v>
      </c>
      <c r="D369" t="n">
        <v>9</v>
      </c>
      <c r="E369" t="inlineStr">
        <is>
          <t>Input</t>
        </is>
      </c>
      <c r="F369" t="n">
        <v/>
      </c>
      <c r="H369" t="inlineStr"/>
      <c r="I369" t="inlineStr">
        <is>
          <t>"$"#,##0.00_);[Red]\("$"#,##0.00\)</t>
        </is>
      </c>
      <c r="J369" t="b">
        <v>0</v>
      </c>
      <c r="K369" t="b">
        <v>0</v>
      </c>
      <c r="L369" t="n">
        <v>10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inlineStr">
        <is>
          <t>center</t>
        </is>
      </c>
      <c r="P369" t="inlineStr">
        <is>
          <t>center</t>
        </is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ACTUAL EXPENSES</t>
        </is>
      </c>
      <c r="B370" t="inlineStr">
        <is>
          <t>J24</t>
        </is>
      </c>
      <c r="C370" t="n">
        <v>24</v>
      </c>
      <c r="D370" t="n">
        <v>10</v>
      </c>
      <c r="E370" t="inlineStr">
        <is>
          <t>Input</t>
        </is>
      </c>
      <c r="F370" t="n">
        <v/>
      </c>
      <c r="H370" t="inlineStr"/>
      <c r="I370" t="inlineStr">
        <is>
          <t>"$"#,##0.00_);[Red]\("$"#,##0.00\)</t>
        </is>
      </c>
      <c r="J370" t="b">
        <v>0</v>
      </c>
      <c r="K370" t="b">
        <v>0</v>
      </c>
      <c r="L370" t="n">
        <v>10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inlineStr">
        <is>
          <t>center</t>
        </is>
      </c>
      <c r="P370" t="inlineStr">
        <is>
          <t>center</t>
        </is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ACTUAL EXPENSES</t>
        </is>
      </c>
      <c r="B371" t="inlineStr">
        <is>
          <t>K24</t>
        </is>
      </c>
      <c r="C371" t="n">
        <v>24</v>
      </c>
      <c r="D371" t="n">
        <v>11</v>
      </c>
      <c r="E371" t="inlineStr">
        <is>
          <t>Input</t>
        </is>
      </c>
      <c r="F371" t="n">
        <v/>
      </c>
      <c r="H371" t="inlineStr"/>
      <c r="I371" t="inlineStr">
        <is>
          <t>"$"#,##0.00_);[Red]\("$"#,##0.00\)</t>
        </is>
      </c>
      <c r="J371" t="b">
        <v>0</v>
      </c>
      <c r="K371" t="b">
        <v>0</v>
      </c>
      <c r="L371" t="n">
        <v>10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inlineStr">
        <is>
          <t>center</t>
        </is>
      </c>
      <c r="P371" t="inlineStr">
        <is>
          <t>center</t>
        </is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ACTUAL EXPENSES</t>
        </is>
      </c>
      <c r="B372" t="inlineStr">
        <is>
          <t>L24</t>
        </is>
      </c>
      <c r="C372" t="n">
        <v>24</v>
      </c>
      <c r="D372" t="n">
        <v>12</v>
      </c>
      <c r="E372" t="inlineStr">
        <is>
          <t>Input</t>
        </is>
      </c>
      <c r="F372" t="n">
        <v/>
      </c>
      <c r="H372" t="inlineStr"/>
      <c r="I372" t="inlineStr">
        <is>
          <t>"$"#,##0.00_);[Red]\("$"#,##0.00\)</t>
        </is>
      </c>
      <c r="J372" t="b">
        <v>0</v>
      </c>
      <c r="K372" t="b">
        <v>0</v>
      </c>
      <c r="L372" t="n">
        <v>10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inlineStr">
        <is>
          <t>center</t>
        </is>
      </c>
      <c r="P372" t="inlineStr">
        <is>
          <t>center</t>
        </is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ACTUAL EXPENSES</t>
        </is>
      </c>
      <c r="B373" t="inlineStr">
        <is>
          <t>M24</t>
        </is>
      </c>
      <c r="C373" t="n">
        <v>24</v>
      </c>
      <c r="D373" t="n">
        <v>13</v>
      </c>
      <c r="E373" t="inlineStr">
        <is>
          <t>Input</t>
        </is>
      </c>
      <c r="F373" t="n">
        <v/>
      </c>
      <c r="H373" t="inlineStr"/>
      <c r="I373" t="inlineStr">
        <is>
          <t>"$"#,##0.00_);[Red]\("$"#,##0.00\)</t>
        </is>
      </c>
      <c r="J373" t="b">
        <v>0</v>
      </c>
      <c r="K373" t="b">
        <v>0</v>
      </c>
      <c r="L373" t="n">
        <v>10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inlineStr">
        <is>
          <t>center</t>
        </is>
      </c>
      <c r="P373" t="inlineStr">
        <is>
          <t>center</t>
        </is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ACTUAL EXPENSES</t>
        </is>
      </c>
      <c r="B374" t="inlineStr">
        <is>
          <t>N24</t>
        </is>
      </c>
      <c r="C374" t="n">
        <v>24</v>
      </c>
      <c r="D374" t="n">
        <v>14</v>
      </c>
      <c r="E374" t="inlineStr">
        <is>
          <t>Input</t>
        </is>
      </c>
      <c r="F374" t="n">
        <v/>
      </c>
      <c r="H374" t="inlineStr"/>
      <c r="I374" t="inlineStr">
        <is>
          <t>"$"#,##0.00_);[Red]\("$"#,##0.00\)</t>
        </is>
      </c>
      <c r="J374" t="b">
        <v>0</v>
      </c>
      <c r="K374" t="b">
        <v>0</v>
      </c>
      <c r="L374" t="n">
        <v>10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center</t>
        </is>
      </c>
      <c r="P374" t="inlineStr">
        <is>
          <t>center</t>
        </is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ACTUAL EXPENSES</t>
        </is>
      </c>
      <c r="B375" t="inlineStr">
        <is>
          <t>O24</t>
        </is>
      </c>
      <c r="C375" t="n">
        <v>24</v>
      </c>
      <c r="D375" t="n">
        <v>15</v>
      </c>
      <c r="E375" t="inlineStr">
        <is>
          <t>Output</t>
        </is>
      </c>
      <c r="F375" t="inlineStr">
        <is>
          <t>'=SUM(C24:N24)</t>
        </is>
      </c>
      <c r="G375" t="n">
        <v>2500</v>
      </c>
      <c r="H375" t="inlineStr"/>
      <c r="I375" t="inlineStr">
        <is>
          <t>"$"#,##0.00_);[Red]\("$"#,##0.00\)</t>
        </is>
      </c>
      <c r="J375" t="b">
        <v>0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inlineStr">
        <is>
          <t>G000009</t>
        </is>
      </c>
      <c r="T375" t="inlineStr">
        <is>
          <t>Vertical</t>
        </is>
      </c>
      <c r="U375" t="n">
        <v>6</v>
      </c>
      <c r="V375" t="b">
        <v>1</v>
      </c>
      <c r="W375" t="inlineStr">
        <is>
          <t>ACTUAL EXPENSES!O23:O28</t>
        </is>
      </c>
      <c r="X375">
        <f>SUM(R[0]C[-12]:R[0]C[-1])</f>
        <v/>
      </c>
    </row>
    <row r="376">
      <c r="A376" t="inlineStr">
        <is>
          <t>ACTUAL EXPENSES</t>
        </is>
      </c>
      <c r="B376" t="inlineStr">
        <is>
          <t>P24</t>
        </is>
      </c>
      <c r="C376" t="n">
        <v>24</v>
      </c>
      <c r="D376" t="n">
        <v>16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n">
        <v/>
      </c>
      <c r="P376" t="n">
        <v/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ACTUAL EXPENSES</t>
        </is>
      </c>
      <c r="B377" t="inlineStr">
        <is>
          <t>A25</t>
        </is>
      </c>
      <c r="C377" t="n">
        <v>25</v>
      </c>
      <c r="D377" t="n">
        <v>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n">
        <v/>
      </c>
      <c r="P377" t="n">
        <v/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ACTUAL EXPENSES</t>
        </is>
      </c>
      <c r="B378" t="inlineStr">
        <is>
          <t>B25</t>
        </is>
      </c>
      <c r="C378" t="n">
        <v>25</v>
      </c>
      <c r="D378" t="n">
        <v>2</v>
      </c>
      <c r="E378" t="inlineStr">
        <is>
          <t>Input</t>
        </is>
      </c>
      <c r="F378" t="n">
        <v/>
      </c>
      <c r="G378" t="inlineStr">
        <is>
          <t>Collateral preparation</t>
        </is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12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inlineStr">
        <is>
          <t>left</t>
        </is>
      </c>
      <c r="P378" t="inlineStr">
        <is>
          <t>center</t>
        </is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ACTUAL EXPENSES</t>
        </is>
      </c>
      <c r="B379" t="inlineStr">
        <is>
          <t>C25</t>
        </is>
      </c>
      <c r="C379" t="n">
        <v>25</v>
      </c>
      <c r="D379" t="n">
        <v>3</v>
      </c>
      <c r="E379" t="inlineStr">
        <is>
          <t>Input</t>
        </is>
      </c>
      <c r="F379" t="n">
        <v/>
      </c>
      <c r="G379" t="n">
        <v>4800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ACTUAL EXPENSES</t>
        </is>
      </c>
      <c r="B380" t="inlineStr">
        <is>
          <t>D25</t>
        </is>
      </c>
      <c r="C380" t="n">
        <v>25</v>
      </c>
      <c r="D380" t="n">
        <v>4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ACTUAL EXPENSES</t>
        </is>
      </c>
      <c r="B381" t="inlineStr">
        <is>
          <t>E25</t>
        </is>
      </c>
      <c r="C381" t="n">
        <v>25</v>
      </c>
      <c r="D381" t="n">
        <v>5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"$"#,##0.00_);[Red]\("$"#,##0.00\)</t>
        </is>
      </c>
      <c r="J381" t="b">
        <v>0</v>
      </c>
      <c r="K381" t="b">
        <v>0</v>
      </c>
      <c r="L381" t="n">
        <v>10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ACTUAL EXPENSES</t>
        </is>
      </c>
      <c r="B382" t="inlineStr">
        <is>
          <t>F25</t>
        </is>
      </c>
      <c r="C382" t="n">
        <v>25</v>
      </c>
      <c r="D382" t="n">
        <v>6</v>
      </c>
      <c r="E382" t="inlineStr">
        <is>
          <t>Input</t>
        </is>
      </c>
      <c r="F382" t="n">
        <v/>
      </c>
      <c r="G382" t="n">
        <v>5500</v>
      </c>
      <c r="H382" t="inlineStr"/>
      <c r="I382" t="inlineStr">
        <is>
          <t>"$"#,##0.00_);[Red]\("$"#,##0.00\)</t>
        </is>
      </c>
      <c r="J382" t="b">
        <v>0</v>
      </c>
      <c r="K382" t="b">
        <v>0</v>
      </c>
      <c r="L382" t="n">
        <v>10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ACTUAL EXPENSES</t>
        </is>
      </c>
      <c r="B383" t="inlineStr">
        <is>
          <t>G25</t>
        </is>
      </c>
      <c r="C383" t="n">
        <v>25</v>
      </c>
      <c r="D383" t="n">
        <v>7</v>
      </c>
      <c r="E383" t="inlineStr">
        <is>
          <t>Input</t>
        </is>
      </c>
      <c r="F383" t="n">
        <v/>
      </c>
      <c r="G383" t="n">
        <v>0</v>
      </c>
      <c r="H383" t="inlineStr"/>
      <c r="I383" t="inlineStr">
        <is>
          <t>"$"#,##0.00_);[Red]\("$"#,##0.00\)</t>
        </is>
      </c>
      <c r="J383" t="b">
        <v>0</v>
      </c>
      <c r="K383" t="b">
        <v>0</v>
      </c>
      <c r="L383" t="n">
        <v>10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ACTUAL EXPENSES</t>
        </is>
      </c>
      <c r="B384" t="inlineStr">
        <is>
          <t>H25</t>
        </is>
      </c>
      <c r="C384" t="n">
        <v>25</v>
      </c>
      <c r="D384" t="n">
        <v>8</v>
      </c>
      <c r="E384" t="inlineStr">
        <is>
          <t>Input</t>
        </is>
      </c>
      <c r="F384" t="n">
        <v/>
      </c>
      <c r="G384" t="n">
        <v>0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ACTUAL EXPENSES</t>
        </is>
      </c>
      <c r="B385" t="inlineStr">
        <is>
          <t>I25</t>
        </is>
      </c>
      <c r="C385" t="n">
        <v>25</v>
      </c>
      <c r="D385" t="n">
        <v>9</v>
      </c>
      <c r="E385" t="inlineStr">
        <is>
          <t>Input</t>
        </is>
      </c>
      <c r="F385" t="n">
        <v/>
      </c>
      <c r="H385" t="inlineStr"/>
      <c r="I385" t="inlineStr">
        <is>
          <t>"$"#,##0.00_);[Red]\("$"#,##0.00\)</t>
        </is>
      </c>
      <c r="J385" t="b">
        <v>0</v>
      </c>
      <c r="K385" t="b">
        <v>0</v>
      </c>
      <c r="L385" t="n">
        <v>10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inlineStr">
        <is>
          <t>center</t>
        </is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ACTUAL EXPENSES</t>
        </is>
      </c>
      <c r="B386" t="inlineStr">
        <is>
          <t>J25</t>
        </is>
      </c>
      <c r="C386" t="n">
        <v>25</v>
      </c>
      <c r="D386" t="n">
        <v>10</v>
      </c>
      <c r="E386" t="inlineStr">
        <is>
          <t>Input</t>
        </is>
      </c>
      <c r="F386" t="n">
        <v/>
      </c>
      <c r="H386" t="inlineStr"/>
      <c r="I386" t="inlineStr">
        <is>
          <t>"$"#,##0.00_);[Red]\("$"#,##0.00\)</t>
        </is>
      </c>
      <c r="J386" t="b">
        <v>0</v>
      </c>
      <c r="K386" t="b">
        <v>0</v>
      </c>
      <c r="L386" t="n">
        <v>10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inlineStr">
        <is>
          <t>center</t>
        </is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ACTUAL EXPENSES</t>
        </is>
      </c>
      <c r="B387" t="inlineStr">
        <is>
          <t>K25</t>
        </is>
      </c>
      <c r="C387" t="n">
        <v>25</v>
      </c>
      <c r="D387" t="n">
        <v>11</v>
      </c>
      <c r="E387" t="inlineStr">
        <is>
          <t>Input</t>
        </is>
      </c>
      <c r="F387" t="n">
        <v/>
      </c>
      <c r="H387" t="inlineStr"/>
      <c r="I387" t="inlineStr">
        <is>
          <t>"$"#,##0.00_);[Red]\("$"#,##0.00\)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inlineStr">
        <is>
          <t>center</t>
        </is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ACTUAL EXPENSES</t>
        </is>
      </c>
      <c r="B388" t="inlineStr">
        <is>
          <t>L25</t>
        </is>
      </c>
      <c r="C388" t="n">
        <v>25</v>
      </c>
      <c r="D388" t="n">
        <v>12</v>
      </c>
      <c r="E388" t="inlineStr">
        <is>
          <t>Input</t>
        </is>
      </c>
      <c r="F388" t="n">
        <v/>
      </c>
      <c r="H388" t="inlineStr"/>
      <c r="I388" t="inlineStr">
        <is>
          <t>"$"#,##0.00_);[Red]\("$"#,##0.00\)</t>
        </is>
      </c>
      <c r="J388" t="b">
        <v>0</v>
      </c>
      <c r="K388" t="b">
        <v>0</v>
      </c>
      <c r="L388" t="n">
        <v>10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center</t>
        </is>
      </c>
      <c r="P388" t="inlineStr">
        <is>
          <t>center</t>
        </is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ACTUAL EXPENSES</t>
        </is>
      </c>
      <c r="B389" t="inlineStr">
        <is>
          <t>M25</t>
        </is>
      </c>
      <c r="C389" t="n">
        <v>25</v>
      </c>
      <c r="D389" t="n">
        <v>13</v>
      </c>
      <c r="E389" t="inlineStr">
        <is>
          <t>Input</t>
        </is>
      </c>
      <c r="F389" t="n">
        <v/>
      </c>
      <c r="H389" t="inlineStr"/>
      <c r="I389" t="inlineStr">
        <is>
          <t>"$"#,##0.00_);[Red]\("$"#,##0.00\)</t>
        </is>
      </c>
      <c r="J389" t="b">
        <v>0</v>
      </c>
      <c r="K389" t="b">
        <v>0</v>
      </c>
      <c r="L389" t="n">
        <v>10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inlineStr">
        <is>
          <t>center</t>
        </is>
      </c>
      <c r="P389" t="inlineStr">
        <is>
          <t>center</t>
        </is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ACTUAL EXPENSES</t>
        </is>
      </c>
      <c r="B390" t="inlineStr">
        <is>
          <t>N25</t>
        </is>
      </c>
      <c r="C390" t="n">
        <v>25</v>
      </c>
      <c r="D390" t="n">
        <v>14</v>
      </c>
      <c r="E390" t="inlineStr">
        <is>
          <t>Input</t>
        </is>
      </c>
      <c r="F390" t="n">
        <v/>
      </c>
      <c r="H390" t="inlineStr"/>
      <c r="I390" t="inlineStr">
        <is>
          <t>"$"#,##0.00_);[Red]\("$"#,##0.00\)</t>
        </is>
      </c>
      <c r="J390" t="b">
        <v>0</v>
      </c>
      <c r="K390" t="b">
        <v>0</v>
      </c>
      <c r="L390" t="n">
        <v>10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center</t>
        </is>
      </c>
      <c r="P390" t="inlineStr">
        <is>
          <t>center</t>
        </is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ACTUAL EXPENSES</t>
        </is>
      </c>
      <c r="B391" t="inlineStr">
        <is>
          <t>O25</t>
        </is>
      </c>
      <c r="C391" t="n">
        <v>25</v>
      </c>
      <c r="D391" t="n">
        <v>15</v>
      </c>
      <c r="E391" t="inlineStr">
        <is>
          <t>Output</t>
        </is>
      </c>
      <c r="F391" t="inlineStr">
        <is>
          <t>'=SUM(C25:N25)</t>
        </is>
      </c>
      <c r="G391" t="n">
        <v>10300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G000009</t>
        </is>
      </c>
      <c r="T391" t="inlineStr">
        <is>
          <t>Vertical</t>
        </is>
      </c>
      <c r="U391" t="n">
        <v>6</v>
      </c>
      <c r="V391" t="b">
        <v>1</v>
      </c>
      <c r="W391" t="inlineStr">
        <is>
          <t>ACTUAL EXPENSES!O23:O28</t>
        </is>
      </c>
      <c r="X391">
        <f>SUM(R[0]C[-12]:R[0]C[-1])</f>
        <v/>
      </c>
    </row>
    <row r="392">
      <c r="A392" t="inlineStr">
        <is>
          <t>ACTUAL EXPENSES</t>
        </is>
      </c>
      <c r="B392" t="inlineStr">
        <is>
          <t>P25</t>
        </is>
      </c>
      <c r="C392" t="n">
        <v>25</v>
      </c>
      <c r="D392" t="n">
        <v>16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n">
        <v/>
      </c>
      <c r="P392" t="n">
        <v/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ACTUAL EXPENSES</t>
        </is>
      </c>
      <c r="B393" t="inlineStr">
        <is>
          <t>A26</t>
        </is>
      </c>
      <c r="C393" t="n">
        <v>26</v>
      </c>
      <c r="D393" t="n">
        <v>1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n">
        <v/>
      </c>
      <c r="P393" t="n">
        <v/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ACTUAL EXPENSES</t>
        </is>
      </c>
      <c r="B394" t="inlineStr">
        <is>
          <t>B26</t>
        </is>
      </c>
      <c r="C394" t="n">
        <v>26</v>
      </c>
      <c r="D394" t="n">
        <v>2</v>
      </c>
      <c r="E394" t="inlineStr">
        <is>
          <t>Input</t>
        </is>
      </c>
      <c r="F394" t="n">
        <v/>
      </c>
      <c r="G394" t="inlineStr">
        <is>
          <t>Collateral printing</t>
        </is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12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left</t>
        </is>
      </c>
      <c r="P394" t="inlineStr">
        <is>
          <t>center</t>
        </is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ACTUAL EXPENSES</t>
        </is>
      </c>
      <c r="B395" t="inlineStr">
        <is>
          <t>C26</t>
        </is>
      </c>
      <c r="C395" t="n">
        <v>26</v>
      </c>
      <c r="D395" t="n">
        <v>3</v>
      </c>
      <c r="E395" t="inlineStr">
        <is>
          <t>Input</t>
        </is>
      </c>
      <c r="F395" t="n">
        <v/>
      </c>
      <c r="G395" t="n">
        <v>100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ACTUAL EXPENSES</t>
        </is>
      </c>
      <c r="B396" t="inlineStr">
        <is>
          <t>D26</t>
        </is>
      </c>
      <c r="C396" t="n">
        <v>26</v>
      </c>
      <c r="D396" t="n">
        <v>4</v>
      </c>
      <c r="E396" t="inlineStr">
        <is>
          <t>Input</t>
        </is>
      </c>
      <c r="F396" t="n">
        <v/>
      </c>
      <c r="G396" t="n">
        <v>500</v>
      </c>
      <c r="H396" t="inlineStr"/>
      <c r="I396" t="inlineStr">
        <is>
          <t>"$"#,##0.00_);[Red]\("$"#,##0.00\)</t>
        </is>
      </c>
      <c r="J396" t="b">
        <v>0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inlineStr">
        <is>
          <t>center</t>
        </is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ACTUAL EXPENSES</t>
        </is>
      </c>
      <c r="B397" t="inlineStr">
        <is>
          <t>E26</t>
        </is>
      </c>
      <c r="C397" t="n">
        <v>26</v>
      </c>
      <c r="D397" t="n">
        <v>5</v>
      </c>
      <c r="E397" t="inlineStr">
        <is>
          <t>Input</t>
        </is>
      </c>
      <c r="F397" t="n">
        <v/>
      </c>
      <c r="G397" t="n">
        <v>100</v>
      </c>
      <c r="H397" t="inlineStr"/>
      <c r="I397" t="inlineStr">
        <is>
          <t>"$"#,##0.00_);[Red]\("$"#,##0.00\)</t>
        </is>
      </c>
      <c r="J397" t="b">
        <v>0</v>
      </c>
      <c r="K397" t="b">
        <v>0</v>
      </c>
      <c r="L397" t="n">
        <v>10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inlineStr">
        <is>
          <t>center</t>
        </is>
      </c>
      <c r="P397" t="inlineStr">
        <is>
          <t>center</t>
        </is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ACTUAL EXPENSES</t>
        </is>
      </c>
      <c r="B398" t="inlineStr">
        <is>
          <t>F26</t>
        </is>
      </c>
      <c r="C398" t="n">
        <v>26</v>
      </c>
      <c r="D398" t="n">
        <v>6</v>
      </c>
      <c r="E398" t="inlineStr">
        <is>
          <t>Input</t>
        </is>
      </c>
      <c r="F398" t="n">
        <v/>
      </c>
      <c r="G398" t="n">
        <v>100</v>
      </c>
      <c r="H398" t="inlineStr"/>
      <c r="I398" t="inlineStr">
        <is>
          <t>"$"#,##0.00_);[Red]\("$"#,##0.00\)</t>
        </is>
      </c>
      <c r="J398" t="b">
        <v>0</v>
      </c>
      <c r="K398" t="b">
        <v>0</v>
      </c>
      <c r="L398" t="n">
        <v>10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ACTUAL EXPENSES</t>
        </is>
      </c>
      <c r="B399" t="inlineStr">
        <is>
          <t>G26</t>
        </is>
      </c>
      <c r="C399" t="n">
        <v>26</v>
      </c>
      <c r="D399" t="n">
        <v>7</v>
      </c>
      <c r="E399" t="inlineStr">
        <is>
          <t>Input</t>
        </is>
      </c>
      <c r="F399" t="n">
        <v/>
      </c>
      <c r="G399" t="n">
        <v>600</v>
      </c>
      <c r="H399" t="inlineStr"/>
      <c r="I399" t="inlineStr">
        <is>
          <t>"$"#,##0.00_);[Red]\("$"#,##0.00\)</t>
        </is>
      </c>
      <c r="J399" t="b">
        <v>0</v>
      </c>
      <c r="K399" t="b">
        <v>0</v>
      </c>
      <c r="L399" t="n">
        <v>10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ACTUAL EXPENSES</t>
        </is>
      </c>
      <c r="B400" t="inlineStr">
        <is>
          <t>H26</t>
        </is>
      </c>
      <c r="C400" t="n">
        <v>26</v>
      </c>
      <c r="D400" t="n">
        <v>8</v>
      </c>
      <c r="E400" t="inlineStr">
        <is>
          <t>Input</t>
        </is>
      </c>
      <c r="F400" t="n">
        <v/>
      </c>
      <c r="G400" t="n">
        <v>180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ACTUAL EXPENSES</t>
        </is>
      </c>
      <c r="B401" t="inlineStr">
        <is>
          <t>I26</t>
        </is>
      </c>
      <c r="C401" t="n">
        <v>26</v>
      </c>
      <c r="D401" t="n">
        <v>9</v>
      </c>
      <c r="E401" t="inlineStr">
        <is>
          <t>Input</t>
        </is>
      </c>
      <c r="F401" t="n">
        <v/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10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ACTUAL EXPENSES</t>
        </is>
      </c>
      <c r="B402" t="inlineStr">
        <is>
          <t>J26</t>
        </is>
      </c>
      <c r="C402" t="n">
        <v>26</v>
      </c>
      <c r="D402" t="n">
        <v>10</v>
      </c>
      <c r="E402" t="inlineStr">
        <is>
          <t>Input</t>
        </is>
      </c>
      <c r="F402" t="n">
        <v/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10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ACTUAL EXPENSES</t>
        </is>
      </c>
      <c r="B403" t="inlineStr">
        <is>
          <t>K26</t>
        </is>
      </c>
      <c r="C403" t="n">
        <v>26</v>
      </c>
      <c r="D403" t="n">
        <v>11</v>
      </c>
      <c r="E403" t="inlineStr">
        <is>
          <t>Input</t>
        </is>
      </c>
      <c r="F403" t="n">
        <v/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ACTUAL EXPENSES</t>
        </is>
      </c>
      <c r="B404" t="inlineStr">
        <is>
          <t>L26</t>
        </is>
      </c>
      <c r="C404" t="n">
        <v>26</v>
      </c>
      <c r="D404" t="n">
        <v>12</v>
      </c>
      <c r="E404" t="inlineStr">
        <is>
          <t>Input</t>
        </is>
      </c>
      <c r="F404" t="n">
        <v/>
      </c>
      <c r="H404" t="inlineStr"/>
      <c r="I404" t="inlineStr">
        <is>
          <t>"$"#,##0.00_);[Red]\("$"#,##0.00\)</t>
        </is>
      </c>
      <c r="J404" t="b">
        <v>0</v>
      </c>
      <c r="K404" t="b">
        <v>0</v>
      </c>
      <c r="L404" t="n">
        <v>10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ACTUAL EXPENSES</t>
        </is>
      </c>
      <c r="B405" t="inlineStr">
        <is>
          <t>M26</t>
        </is>
      </c>
      <c r="C405" t="n">
        <v>26</v>
      </c>
      <c r="D405" t="n">
        <v>13</v>
      </c>
      <c r="E405" t="inlineStr">
        <is>
          <t>Input</t>
        </is>
      </c>
      <c r="F405" t="n">
        <v/>
      </c>
      <c r="H405" t="inlineStr"/>
      <c r="I405" t="inlineStr">
        <is>
          <t>"$"#,##0.00_);[Red]\("$"#,##0.00\)</t>
        </is>
      </c>
      <c r="J405" t="b">
        <v>0</v>
      </c>
      <c r="K405" t="b">
        <v>0</v>
      </c>
      <c r="L405" t="n">
        <v>10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ACTUAL EXPENSES</t>
        </is>
      </c>
      <c r="B406" t="inlineStr">
        <is>
          <t>N26</t>
        </is>
      </c>
      <c r="C406" t="n">
        <v>26</v>
      </c>
      <c r="D406" t="n">
        <v>14</v>
      </c>
      <c r="E406" t="inlineStr">
        <is>
          <t>Input</t>
        </is>
      </c>
      <c r="F406" t="n">
        <v/>
      </c>
      <c r="H406" t="inlineStr"/>
      <c r="I406" t="inlineStr">
        <is>
          <t>"$"#,##0.00_);[Red]\("$"#,##0.00\)</t>
        </is>
      </c>
      <c r="J406" t="b">
        <v>0</v>
      </c>
      <c r="K406" t="b">
        <v>0</v>
      </c>
      <c r="L406" t="n">
        <v>10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ACTUAL EXPENSES</t>
        </is>
      </c>
      <c r="B407" t="inlineStr">
        <is>
          <t>O26</t>
        </is>
      </c>
      <c r="C407" t="n">
        <v>26</v>
      </c>
      <c r="D407" t="n">
        <v>15</v>
      </c>
      <c r="E407" t="inlineStr">
        <is>
          <t>Output</t>
        </is>
      </c>
      <c r="F407" t="inlineStr">
        <is>
          <t>'=SUM(C26:N26)</t>
        </is>
      </c>
      <c r="G407" t="n">
        <v>1580</v>
      </c>
      <c r="H407" t="inlineStr"/>
      <c r="I407" t="inlineStr">
        <is>
          <t>"$"#,##0.00_);[Red]\("$"#,##0.00\)</t>
        </is>
      </c>
      <c r="J407" t="b">
        <v>0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inlineStr">
        <is>
          <t>G000009</t>
        </is>
      </c>
      <c r="T407" t="inlineStr">
        <is>
          <t>Vertical</t>
        </is>
      </c>
      <c r="U407" t="n">
        <v>6</v>
      </c>
      <c r="V407" t="b">
        <v>1</v>
      </c>
      <c r="W407" t="inlineStr">
        <is>
          <t>ACTUAL EXPENSES!O23:O28</t>
        </is>
      </c>
      <c r="X407">
        <f>SUM(R[0]C[-12]:R[0]C[-1])</f>
        <v/>
      </c>
    </row>
    <row r="408">
      <c r="A408" t="inlineStr">
        <is>
          <t>ACTUAL EXPENSES</t>
        </is>
      </c>
      <c r="B408" t="inlineStr">
        <is>
          <t>P26</t>
        </is>
      </c>
      <c r="C408" t="n">
        <v>26</v>
      </c>
      <c r="D408" t="n">
        <v>16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14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n">
        <v/>
      </c>
      <c r="P408" t="n">
        <v/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ACTUAL EXPENSES</t>
        </is>
      </c>
      <c r="B409" t="inlineStr">
        <is>
          <t>A27</t>
        </is>
      </c>
      <c r="C409" t="n">
        <v>27</v>
      </c>
      <c r="D409" t="n">
        <v>1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14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n">
        <v/>
      </c>
      <c r="P409" t="n">
        <v/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ACTUAL EXPENSES</t>
        </is>
      </c>
      <c r="B410" t="inlineStr">
        <is>
          <t>B27</t>
        </is>
      </c>
      <c r="C410" t="n">
        <v>27</v>
      </c>
      <c r="D410" t="n">
        <v>2</v>
      </c>
      <c r="E410" t="inlineStr">
        <is>
          <t>Input</t>
        </is>
      </c>
      <c r="F410" t="n">
        <v/>
      </c>
      <c r="G410" t="inlineStr">
        <is>
          <t>Marketing events</t>
        </is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12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left</t>
        </is>
      </c>
      <c r="P410" t="inlineStr">
        <is>
          <t>center</t>
        </is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ACTUAL EXPENSES</t>
        </is>
      </c>
      <c r="B411" t="inlineStr">
        <is>
          <t>C27</t>
        </is>
      </c>
      <c r="C411" t="n">
        <v>27</v>
      </c>
      <c r="D411" t="n">
        <v>3</v>
      </c>
      <c r="E411" t="inlineStr">
        <is>
          <t>Input</t>
        </is>
      </c>
      <c r="F411" t="n">
        <v/>
      </c>
      <c r="G411" t="n">
        <v>1800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ACTUAL EXPENSES</t>
        </is>
      </c>
      <c r="B412" t="inlineStr">
        <is>
          <t>D27</t>
        </is>
      </c>
      <c r="C412" t="n">
        <v>27</v>
      </c>
      <c r="D412" t="n">
        <v>4</v>
      </c>
      <c r="E412" t="inlineStr">
        <is>
          <t>Input</t>
        </is>
      </c>
      <c r="F412" t="n">
        <v/>
      </c>
      <c r="G412" t="n">
        <v>2200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ACTUAL EXPENSES</t>
        </is>
      </c>
      <c r="B413" t="inlineStr">
        <is>
          <t>E27</t>
        </is>
      </c>
      <c r="C413" t="n">
        <v>27</v>
      </c>
      <c r="D413" t="n">
        <v>5</v>
      </c>
      <c r="E413" t="inlineStr">
        <is>
          <t>Input</t>
        </is>
      </c>
      <c r="F413" t="n">
        <v/>
      </c>
      <c r="G413" t="n">
        <v>2200</v>
      </c>
      <c r="H413" t="inlineStr"/>
      <c r="I413" t="inlineStr">
        <is>
          <t>"$"#,##0.00_);[Red]\("$"#,##0.00\)</t>
        </is>
      </c>
      <c r="J413" t="b">
        <v>0</v>
      </c>
      <c r="K413" t="b">
        <v>0</v>
      </c>
      <c r="L413" t="n">
        <v>10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ACTUAL EXPENSES</t>
        </is>
      </c>
      <c r="B414" t="inlineStr">
        <is>
          <t>F27</t>
        </is>
      </c>
      <c r="C414" t="n">
        <v>27</v>
      </c>
      <c r="D414" t="n">
        <v>6</v>
      </c>
      <c r="E414" t="inlineStr">
        <is>
          <t>Input</t>
        </is>
      </c>
      <c r="F414" t="n">
        <v/>
      </c>
      <c r="G414" t="n">
        <v>4700</v>
      </c>
      <c r="H414" t="inlineStr"/>
      <c r="I414" t="inlineStr">
        <is>
          <t>"$"#,##0.00_);[Red]\("$"#,##0.00\)</t>
        </is>
      </c>
      <c r="J414" t="b">
        <v>0</v>
      </c>
      <c r="K414" t="b">
        <v>0</v>
      </c>
      <c r="L414" t="n">
        <v>10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inlineStr">
        <is>
          <t>center</t>
        </is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ACTUAL EXPENSES</t>
        </is>
      </c>
      <c r="B415" t="inlineStr">
        <is>
          <t>G27</t>
        </is>
      </c>
      <c r="C415" t="n">
        <v>27</v>
      </c>
      <c r="D415" t="n">
        <v>7</v>
      </c>
      <c r="E415" t="inlineStr">
        <is>
          <t>Input</t>
        </is>
      </c>
      <c r="F415" t="n">
        <v/>
      </c>
      <c r="G415" t="n">
        <v>1500</v>
      </c>
      <c r="H415" t="inlineStr"/>
      <c r="I415" t="inlineStr">
        <is>
          <t>"$"#,##0.00_);[Red]\("$"#,##0.00\)</t>
        </is>
      </c>
      <c r="J415" t="b">
        <v>0</v>
      </c>
      <c r="K415" t="b">
        <v>0</v>
      </c>
      <c r="L415" t="n">
        <v>10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ACTUAL EXPENSES</t>
        </is>
      </c>
      <c r="B416" t="inlineStr">
        <is>
          <t>H27</t>
        </is>
      </c>
      <c r="C416" t="n">
        <v>27</v>
      </c>
      <c r="D416" t="n">
        <v>8</v>
      </c>
      <c r="E416" t="inlineStr">
        <is>
          <t>Input</t>
        </is>
      </c>
      <c r="F416" t="n">
        <v/>
      </c>
      <c r="G416" t="n">
        <v>2300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ACTUAL EXPENSES</t>
        </is>
      </c>
      <c r="B417" t="inlineStr">
        <is>
          <t>I27</t>
        </is>
      </c>
      <c r="C417" t="n">
        <v>27</v>
      </c>
      <c r="D417" t="n">
        <v>9</v>
      </c>
      <c r="E417" t="inlineStr">
        <is>
          <t>Input</t>
        </is>
      </c>
      <c r="F417" t="n">
        <v/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10</v>
      </c>
      <c r="M417" t="inlineStr">
        <is>
          <t>Values must be of type &lt;class 'str'&gt;</t>
        </is>
      </c>
      <c r="N417" t="inlineStr">
        <is>
          <t>Values must be of type &lt;class 'str'&gt;</t>
        </is>
      </c>
      <c r="O417" t="inlineStr">
        <is>
          <t>center</t>
        </is>
      </c>
      <c r="P417" t="inlineStr">
        <is>
          <t>center</t>
        </is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ACTUAL EXPENSES</t>
        </is>
      </c>
      <c r="B418" t="inlineStr">
        <is>
          <t>J27</t>
        </is>
      </c>
      <c r="C418" t="n">
        <v>27</v>
      </c>
      <c r="D418" t="n">
        <v>10</v>
      </c>
      <c r="E418" t="inlineStr">
        <is>
          <t>Input</t>
        </is>
      </c>
      <c r="F418" t="n">
        <v/>
      </c>
      <c r="H418" t="inlineStr"/>
      <c r="I418" t="inlineStr">
        <is>
          <t>"$"#,##0.00_);[Red]\("$"#,##0.00\)</t>
        </is>
      </c>
      <c r="J418" t="b">
        <v>0</v>
      </c>
      <c r="K418" t="b">
        <v>0</v>
      </c>
      <c r="L418" t="n">
        <v>10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inlineStr">
        <is>
          <t>center</t>
        </is>
      </c>
      <c r="P418" t="inlineStr">
        <is>
          <t>center</t>
        </is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ACTUAL EXPENSES</t>
        </is>
      </c>
      <c r="B419" t="inlineStr">
        <is>
          <t>K27</t>
        </is>
      </c>
      <c r="C419" t="n">
        <v>27</v>
      </c>
      <c r="D419" t="n">
        <v>11</v>
      </c>
      <c r="E419" t="inlineStr">
        <is>
          <t>Input</t>
        </is>
      </c>
      <c r="F419" t="n">
        <v/>
      </c>
      <c r="H419" t="inlineStr"/>
      <c r="I419" t="inlineStr">
        <is>
          <t>"$"#,##0.00_);[Red]\("$"#,##0.00\)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inlineStr">
        <is>
          <t>center</t>
        </is>
      </c>
      <c r="P419" t="inlineStr">
        <is>
          <t>center</t>
        </is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ACTUAL EXPENSES</t>
        </is>
      </c>
      <c r="B420" t="inlineStr">
        <is>
          <t>L27</t>
        </is>
      </c>
      <c r="C420" t="n">
        <v>27</v>
      </c>
      <c r="D420" t="n">
        <v>12</v>
      </c>
      <c r="E420" t="inlineStr">
        <is>
          <t>Input</t>
        </is>
      </c>
      <c r="F420" t="n">
        <v/>
      </c>
      <c r="H420" t="inlineStr"/>
      <c r="I420" t="inlineStr">
        <is>
          <t>"$"#,##0.00_);[Red]\("$"#,##0.00\)</t>
        </is>
      </c>
      <c r="J420" t="b">
        <v>0</v>
      </c>
      <c r="K420" t="b">
        <v>0</v>
      </c>
      <c r="L420" t="n">
        <v>10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inlineStr">
        <is>
          <t>center</t>
        </is>
      </c>
      <c r="P420" t="inlineStr">
        <is>
          <t>center</t>
        </is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ACTUAL EXPENSES</t>
        </is>
      </c>
      <c r="B421" t="inlineStr">
        <is>
          <t>M27</t>
        </is>
      </c>
      <c r="C421" t="n">
        <v>27</v>
      </c>
      <c r="D421" t="n">
        <v>13</v>
      </c>
      <c r="E421" t="inlineStr">
        <is>
          <t>Input</t>
        </is>
      </c>
      <c r="F421" t="n">
        <v/>
      </c>
      <c r="H421" t="inlineStr"/>
      <c r="I421" t="inlineStr">
        <is>
          <t>"$"#,##0.00_);[Red]\("$"#,##0.00\)</t>
        </is>
      </c>
      <c r="J421" t="b">
        <v>0</v>
      </c>
      <c r="K421" t="b">
        <v>0</v>
      </c>
      <c r="L421" t="n">
        <v>10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inlineStr">
        <is>
          <t>center</t>
        </is>
      </c>
      <c r="P421" t="inlineStr">
        <is>
          <t>center</t>
        </is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ACTUAL EXPENSES</t>
        </is>
      </c>
      <c r="B422" t="inlineStr">
        <is>
          <t>N27</t>
        </is>
      </c>
      <c r="C422" t="n">
        <v>27</v>
      </c>
      <c r="D422" t="n">
        <v>14</v>
      </c>
      <c r="E422" t="inlineStr">
        <is>
          <t>Input</t>
        </is>
      </c>
      <c r="F422" t="n">
        <v/>
      </c>
      <c r="H422" t="inlineStr"/>
      <c r="I422" t="inlineStr">
        <is>
          <t>"$"#,##0.00_);[Red]\("$"#,##0.00\)</t>
        </is>
      </c>
      <c r="J422" t="b">
        <v>0</v>
      </c>
      <c r="K422" t="b">
        <v>0</v>
      </c>
      <c r="L422" t="n">
        <v>10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center</t>
        </is>
      </c>
      <c r="P422" t="inlineStr">
        <is>
          <t>center</t>
        </is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ACTUAL EXPENSES</t>
        </is>
      </c>
      <c r="B423" t="inlineStr">
        <is>
          <t>O27</t>
        </is>
      </c>
      <c r="C423" t="n">
        <v>27</v>
      </c>
      <c r="D423" t="n">
        <v>15</v>
      </c>
      <c r="E423" t="inlineStr">
        <is>
          <t>Output</t>
        </is>
      </c>
      <c r="F423" t="inlineStr">
        <is>
          <t>'=SUM(C27:N27)</t>
        </is>
      </c>
      <c r="G423" t="n">
        <v>14700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inlineStr">
        <is>
          <t>G000009</t>
        </is>
      </c>
      <c r="T423" t="inlineStr">
        <is>
          <t>Vertical</t>
        </is>
      </c>
      <c r="U423" t="n">
        <v>6</v>
      </c>
      <c r="V423" t="b">
        <v>1</v>
      </c>
      <c r="W423" t="inlineStr">
        <is>
          <t>ACTUAL EXPENSES!O23:O28</t>
        </is>
      </c>
      <c r="X423">
        <f>SUM(R[0]C[-12]:R[0]C[-1])</f>
        <v/>
      </c>
    </row>
    <row r="424">
      <c r="A424" t="inlineStr">
        <is>
          <t>ACTUAL EXPENSES</t>
        </is>
      </c>
      <c r="B424" t="inlineStr">
        <is>
          <t>P27</t>
        </is>
      </c>
      <c r="C424" t="n">
        <v>27</v>
      </c>
      <c r="D424" t="n">
        <v>16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n">
        <v/>
      </c>
      <c r="P424" t="n">
        <v/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ACTUAL EXPENSES</t>
        </is>
      </c>
      <c r="B425" t="inlineStr">
        <is>
          <t>A28</t>
        </is>
      </c>
      <c r="C425" t="n">
        <v>28</v>
      </c>
      <c r="D425" t="n">
        <v>1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n">
        <v/>
      </c>
      <c r="P425" t="n">
        <v/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ACTUAL EXPENSES</t>
        </is>
      </c>
      <c r="B426" t="inlineStr">
        <is>
          <t>B28</t>
        </is>
      </c>
      <c r="C426" t="n">
        <v>28</v>
      </c>
      <c r="D426" t="n">
        <v>2</v>
      </c>
      <c r="E426" t="inlineStr">
        <is>
          <t>Input</t>
        </is>
      </c>
      <c r="F426" t="n">
        <v/>
      </c>
      <c r="G426" t="inlineStr">
        <is>
          <t>Miscellaneous expenses</t>
        </is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12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left</t>
        </is>
      </c>
      <c r="P426" t="inlineStr">
        <is>
          <t>center</t>
        </is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ACTUAL EXPENSES</t>
        </is>
      </c>
      <c r="B427" t="inlineStr">
        <is>
          <t>C28</t>
        </is>
      </c>
      <c r="C427" t="n">
        <v>28</v>
      </c>
      <c r="D427" t="n">
        <v>3</v>
      </c>
      <c r="E427" t="inlineStr">
        <is>
          <t>Input</t>
        </is>
      </c>
      <c r="F427" t="n">
        <v/>
      </c>
      <c r="G427" t="n">
        <v>145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ACTUAL EXPENSES</t>
        </is>
      </c>
      <c r="B428" t="inlineStr">
        <is>
          <t>D28</t>
        </is>
      </c>
      <c r="C428" t="n">
        <v>28</v>
      </c>
      <c r="D428" t="n">
        <v>4</v>
      </c>
      <c r="E428" t="inlineStr">
        <is>
          <t>Input</t>
        </is>
      </c>
      <c r="F428" t="n">
        <v/>
      </c>
      <c r="G428" t="n">
        <v>156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ACTUAL EXPENSES</t>
        </is>
      </c>
      <c r="B429" t="inlineStr">
        <is>
          <t>E28</t>
        </is>
      </c>
      <c r="C429" t="n">
        <v>28</v>
      </c>
      <c r="D429" t="n">
        <v>5</v>
      </c>
      <c r="E429" t="inlineStr">
        <is>
          <t>Input</t>
        </is>
      </c>
      <c r="F429" t="n">
        <v/>
      </c>
      <c r="G429" t="n">
        <v>123</v>
      </c>
      <c r="H429" t="inlineStr"/>
      <c r="I429" t="inlineStr">
        <is>
          <t>"$"#,##0.00_);[Red]\("$"#,##0.00\)</t>
        </is>
      </c>
      <c r="J429" t="b">
        <v>0</v>
      </c>
      <c r="K429" t="b">
        <v>0</v>
      </c>
      <c r="L429" t="n">
        <v>10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inlineStr">
        <is>
          <t>center</t>
        </is>
      </c>
      <c r="P429" t="inlineStr">
        <is>
          <t>center</t>
        </is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ACTUAL EXPENSES</t>
        </is>
      </c>
      <c r="B430" t="inlineStr">
        <is>
          <t>F28</t>
        </is>
      </c>
      <c r="C430" t="n">
        <v>28</v>
      </c>
      <c r="D430" t="n">
        <v>6</v>
      </c>
      <c r="E430" t="inlineStr">
        <is>
          <t>Input</t>
        </is>
      </c>
      <c r="F430" t="n">
        <v/>
      </c>
      <c r="G430" t="n">
        <v>223</v>
      </c>
      <c r="H430" t="inlineStr"/>
      <c r="I430" t="inlineStr">
        <is>
          <t>"$"#,##0.00_);[Red]\("$"#,##0.00\)</t>
        </is>
      </c>
      <c r="J430" t="b">
        <v>0</v>
      </c>
      <c r="K430" t="b">
        <v>0</v>
      </c>
      <c r="L430" t="n">
        <v>10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center</t>
        </is>
      </c>
      <c r="P430" t="inlineStr">
        <is>
          <t>center</t>
        </is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ACTUAL EXPENSES</t>
        </is>
      </c>
      <c r="B431" t="inlineStr">
        <is>
          <t>G28</t>
        </is>
      </c>
      <c r="C431" t="n">
        <v>28</v>
      </c>
      <c r="D431" t="n">
        <v>7</v>
      </c>
      <c r="E431" t="inlineStr">
        <is>
          <t>Input</t>
        </is>
      </c>
      <c r="F431" t="n">
        <v/>
      </c>
      <c r="G431" t="n">
        <v>187</v>
      </c>
      <c r="H431" t="inlineStr"/>
      <c r="I431" t="inlineStr">
        <is>
          <t>"$"#,##0.00_);[Red]\("$"#,##0.00\)</t>
        </is>
      </c>
      <c r="J431" t="b">
        <v>0</v>
      </c>
      <c r="K431" t="b">
        <v>0</v>
      </c>
      <c r="L431" t="n">
        <v>10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ACTUAL EXPENSES</t>
        </is>
      </c>
      <c r="B432" t="inlineStr">
        <is>
          <t>H28</t>
        </is>
      </c>
      <c r="C432" t="n">
        <v>28</v>
      </c>
      <c r="D432" t="n">
        <v>8</v>
      </c>
      <c r="E432" t="inlineStr">
        <is>
          <t>Input</t>
        </is>
      </c>
      <c r="F432" t="n">
        <v/>
      </c>
      <c r="G432" t="n">
        <v>245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ACTUAL EXPENSES</t>
        </is>
      </c>
      <c r="B433" t="inlineStr">
        <is>
          <t>I28</t>
        </is>
      </c>
      <c r="C433" t="n">
        <v>28</v>
      </c>
      <c r="D433" t="n">
        <v>9</v>
      </c>
      <c r="E433" t="inlineStr">
        <is>
          <t>Input</t>
        </is>
      </c>
      <c r="F433" t="n">
        <v/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10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inlineStr">
        <is>
          <t>center</t>
        </is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ACTUAL EXPENSES</t>
        </is>
      </c>
      <c r="B434" t="inlineStr">
        <is>
          <t>J28</t>
        </is>
      </c>
      <c r="C434" t="n">
        <v>28</v>
      </c>
      <c r="D434" t="n">
        <v>10</v>
      </c>
      <c r="E434" t="inlineStr">
        <is>
          <t>Input</t>
        </is>
      </c>
      <c r="F434" t="n">
        <v/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10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inlineStr">
        <is>
          <t>center</t>
        </is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ACTUAL EXPENSES</t>
        </is>
      </c>
      <c r="B435" t="inlineStr">
        <is>
          <t>K28</t>
        </is>
      </c>
      <c r="C435" t="n">
        <v>28</v>
      </c>
      <c r="D435" t="n">
        <v>11</v>
      </c>
      <c r="E435" t="inlineStr">
        <is>
          <t>Input</t>
        </is>
      </c>
      <c r="F435" t="n">
        <v/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inlineStr">
        <is>
          <t>center</t>
        </is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ACTUAL EXPENSES</t>
        </is>
      </c>
      <c r="B436" t="inlineStr">
        <is>
          <t>L28</t>
        </is>
      </c>
      <c r="C436" t="n">
        <v>28</v>
      </c>
      <c r="D436" t="n">
        <v>12</v>
      </c>
      <c r="E436" t="inlineStr">
        <is>
          <t>Input</t>
        </is>
      </c>
      <c r="F436" t="n">
        <v/>
      </c>
      <c r="H436" t="inlineStr"/>
      <c r="I436" t="inlineStr">
        <is>
          <t>"$"#,##0.00_);[Red]\("$"#,##0.00\)</t>
        </is>
      </c>
      <c r="J436" t="b">
        <v>0</v>
      </c>
      <c r="K436" t="b">
        <v>0</v>
      </c>
      <c r="L436" t="n">
        <v>10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center</t>
        </is>
      </c>
      <c r="P436" t="inlineStr">
        <is>
          <t>center</t>
        </is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ACTUAL EXPENSES</t>
        </is>
      </c>
      <c r="B437" t="inlineStr">
        <is>
          <t>M28</t>
        </is>
      </c>
      <c r="C437" t="n">
        <v>28</v>
      </c>
      <c r="D437" t="n">
        <v>13</v>
      </c>
      <c r="E437" t="inlineStr">
        <is>
          <t>Input</t>
        </is>
      </c>
      <c r="F437" t="n">
        <v/>
      </c>
      <c r="H437" t="inlineStr"/>
      <c r="I437" t="inlineStr">
        <is>
          <t>"$"#,##0.00_);[Red]\("$"#,##0.00\)</t>
        </is>
      </c>
      <c r="J437" t="b">
        <v>0</v>
      </c>
      <c r="K437" t="b">
        <v>0</v>
      </c>
      <c r="L437" t="n">
        <v>10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inlineStr">
        <is>
          <t>center</t>
        </is>
      </c>
      <c r="P437" t="inlineStr">
        <is>
          <t>center</t>
        </is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ACTUAL EXPENSES</t>
        </is>
      </c>
      <c r="B438" t="inlineStr">
        <is>
          <t>N28</t>
        </is>
      </c>
      <c r="C438" t="n">
        <v>28</v>
      </c>
      <c r="D438" t="n">
        <v>14</v>
      </c>
      <c r="E438" t="inlineStr">
        <is>
          <t>Input</t>
        </is>
      </c>
      <c r="F438" t="n">
        <v/>
      </c>
      <c r="H438" t="inlineStr"/>
      <c r="I438" t="inlineStr">
        <is>
          <t>"$"#,##0.00_);[Red]\("$"#,##0.00\)</t>
        </is>
      </c>
      <c r="J438" t="b">
        <v>0</v>
      </c>
      <c r="K438" t="b">
        <v>0</v>
      </c>
      <c r="L438" t="n">
        <v>10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center</t>
        </is>
      </c>
      <c r="P438" t="inlineStr">
        <is>
          <t>center</t>
        </is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ACTUAL EXPENSES</t>
        </is>
      </c>
      <c r="B439" t="inlineStr">
        <is>
          <t>O28</t>
        </is>
      </c>
      <c r="C439" t="n">
        <v>28</v>
      </c>
      <c r="D439" t="n">
        <v>15</v>
      </c>
      <c r="E439" t="inlineStr">
        <is>
          <t>Output</t>
        </is>
      </c>
      <c r="F439" t="inlineStr">
        <is>
          <t>'=SUM(C28:N28)</t>
        </is>
      </c>
      <c r="G439" t="n">
        <v>1079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G000009</t>
        </is>
      </c>
      <c r="T439" t="inlineStr">
        <is>
          <t>Vertical</t>
        </is>
      </c>
      <c r="U439" t="n">
        <v>6</v>
      </c>
      <c r="V439" t="b">
        <v>1</v>
      </c>
      <c r="W439" t="inlineStr">
        <is>
          <t>ACTUAL EXPENSES!O23:O28</t>
        </is>
      </c>
      <c r="X439">
        <f>SUM(R[0]C[-12]:R[0]C[-1])</f>
        <v/>
      </c>
    </row>
    <row r="440">
      <c r="A440" t="inlineStr">
        <is>
          <t>ACTUAL EXPENSES</t>
        </is>
      </c>
      <c r="B440" t="inlineStr">
        <is>
          <t>P28</t>
        </is>
      </c>
      <c r="C440" t="n">
        <v>28</v>
      </c>
      <c r="D440" t="n">
        <v>16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14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n">
        <v/>
      </c>
      <c r="P440" t="n">
        <v/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ACTUAL EXPENSES</t>
        </is>
      </c>
      <c r="B441" t="inlineStr">
        <is>
          <t>A29</t>
        </is>
      </c>
      <c r="C441" t="n">
        <v>29</v>
      </c>
      <c r="D441" t="n">
        <v>1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14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n">
        <v/>
      </c>
      <c r="P441" t="n">
        <v/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ACTUAL EXPENSES</t>
        </is>
      </c>
      <c r="B442" t="inlineStr">
        <is>
          <t>B29</t>
        </is>
      </c>
      <c r="C442" t="n">
        <v>29</v>
      </c>
      <c r="D442" t="n">
        <v>2</v>
      </c>
      <c r="E442" t="inlineStr">
        <is>
          <t>Input</t>
        </is>
      </c>
      <c r="F442" t="n">
        <v/>
      </c>
      <c r="G442" t="inlineStr">
        <is>
          <t>Subtotal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12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left</t>
        </is>
      </c>
      <c r="P442" t="inlineStr">
        <is>
          <t>center</t>
        </is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ACTUAL EXPENSES</t>
        </is>
      </c>
      <c r="B443" t="inlineStr">
        <is>
          <t>C29</t>
        </is>
      </c>
      <c r="C443" t="n">
        <v>29</v>
      </c>
      <c r="D443" t="n">
        <v>3</v>
      </c>
      <c r="E443" t="inlineStr">
        <is>
          <t>Output</t>
        </is>
      </c>
      <c r="F443" t="inlineStr">
        <is>
          <t>'=SUBTOTAL(109,MarketingActual[Jan])</t>
        </is>
      </c>
      <c r="G443" t="n">
        <v>7545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>
        <f>SUBTOTAL(109,MarketingActual[Jan])</f>
        <v/>
      </c>
    </row>
    <row r="444">
      <c r="A444" t="inlineStr">
        <is>
          <t>ACTUAL EXPENSES</t>
        </is>
      </c>
      <c r="B444" t="inlineStr">
        <is>
          <t>D29</t>
        </is>
      </c>
      <c r="C444" t="n">
        <v>29</v>
      </c>
      <c r="D444" t="n">
        <v>4</v>
      </c>
      <c r="E444" t="inlineStr">
        <is>
          <t>Output</t>
        </is>
      </c>
      <c r="F444" t="inlineStr">
        <is>
          <t>'=SUBTOTAL(109,MarketingActual[Feb])</t>
        </is>
      </c>
      <c r="G444" t="n">
        <v>3556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>
        <f>SUBTOTAL(109,MarketingActual[Feb])</f>
        <v/>
      </c>
    </row>
    <row r="445">
      <c r="A445" t="inlineStr">
        <is>
          <t>ACTUAL EXPENSES</t>
        </is>
      </c>
      <c r="B445" t="inlineStr">
        <is>
          <t>E29</t>
        </is>
      </c>
      <c r="C445" t="n">
        <v>29</v>
      </c>
      <c r="D445" t="n">
        <v>5</v>
      </c>
      <c r="E445" t="inlineStr">
        <is>
          <t>Output</t>
        </is>
      </c>
      <c r="F445" t="inlineStr">
        <is>
          <t>'=SUBTOTAL(109,MarketingActual[Mar])</t>
        </is>
      </c>
      <c r="G445" t="n">
        <v>3123</v>
      </c>
      <c r="H445" t="inlineStr"/>
      <c r="I445" t="inlineStr">
        <is>
          <t>"$"#,##0.00_);[Red]\("$"#,##0.00\)</t>
        </is>
      </c>
      <c r="J445" t="b">
        <v>0</v>
      </c>
      <c r="K445" t="b">
        <v>0</v>
      </c>
      <c r="L445" t="n">
        <v>10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>
        <f>SUBTOTAL(109,MarketingActual[Mar])</f>
        <v/>
      </c>
    </row>
    <row r="446">
      <c r="A446" t="inlineStr">
        <is>
          <t>ACTUAL EXPENSES</t>
        </is>
      </c>
      <c r="B446" t="inlineStr">
        <is>
          <t>F29</t>
        </is>
      </c>
      <c r="C446" t="n">
        <v>29</v>
      </c>
      <c r="D446" t="n">
        <v>6</v>
      </c>
      <c r="E446" t="inlineStr">
        <is>
          <t>Output</t>
        </is>
      </c>
      <c r="F446" t="inlineStr">
        <is>
          <t>'=SUBTOTAL(109,MarketingActual[Apr])</t>
        </is>
      </c>
      <c r="G446" t="n">
        <v>11223</v>
      </c>
      <c r="H446" t="inlineStr"/>
      <c r="I446" t="inlineStr">
        <is>
          <t>"$"#,##0.00_);[Red]\("$"#,##0.00\)</t>
        </is>
      </c>
      <c r="J446" t="b">
        <v>0</v>
      </c>
      <c r="K446" t="b">
        <v>0</v>
      </c>
      <c r="L446" t="n">
        <v>10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>
        <f>SUBTOTAL(109,MarketingActual[Apr])</f>
        <v/>
      </c>
    </row>
    <row r="447">
      <c r="A447" t="inlineStr">
        <is>
          <t>ACTUAL EXPENSES</t>
        </is>
      </c>
      <c r="B447" t="inlineStr">
        <is>
          <t>G29</t>
        </is>
      </c>
      <c r="C447" t="n">
        <v>29</v>
      </c>
      <c r="D447" t="n">
        <v>7</v>
      </c>
      <c r="E447" t="inlineStr">
        <is>
          <t>Output</t>
        </is>
      </c>
      <c r="F447" t="inlineStr">
        <is>
          <t>'=SUBTOTAL(109,MarketingActual[May])</t>
        </is>
      </c>
      <c r="G447" t="n">
        <v>2987</v>
      </c>
      <c r="H447" t="inlineStr"/>
      <c r="I447" t="inlineStr">
        <is>
          <t>"$"#,##0.00_);[Red]\("$"#,##0.00\)</t>
        </is>
      </c>
      <c r="J447" t="b">
        <v>0</v>
      </c>
      <c r="K447" t="b">
        <v>0</v>
      </c>
      <c r="L447" t="n">
        <v>10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>
        <f>SUBTOTAL(109,MarketingActual[May])</f>
        <v/>
      </c>
    </row>
    <row r="448">
      <c r="A448" t="inlineStr">
        <is>
          <t>ACTUAL EXPENSES</t>
        </is>
      </c>
      <c r="B448" t="inlineStr">
        <is>
          <t>H29</t>
        </is>
      </c>
      <c r="C448" t="n">
        <v>29</v>
      </c>
      <c r="D448" t="n">
        <v>8</v>
      </c>
      <c r="E448" t="inlineStr">
        <is>
          <t>Output</t>
        </is>
      </c>
      <c r="F448" t="inlineStr">
        <is>
          <t>'=SUBTOTAL(109,MarketingActual[Jun])</t>
        </is>
      </c>
      <c r="G448" t="n">
        <v>4725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>
        <f>SUBTOTAL(109,MarketingActual[Jun])</f>
        <v/>
      </c>
    </row>
    <row r="449">
      <c r="A449" t="inlineStr">
        <is>
          <t>ACTUAL EXPENSES</t>
        </is>
      </c>
      <c r="B449" t="inlineStr">
        <is>
          <t>I29</t>
        </is>
      </c>
      <c r="C449" t="n">
        <v>29</v>
      </c>
      <c r="D449" t="n">
        <v>9</v>
      </c>
      <c r="E449" t="inlineStr">
        <is>
          <t>Output</t>
        </is>
      </c>
      <c r="F449" t="inlineStr">
        <is>
          <t>'=SUBTOTAL(109,MarketingActual[Jul])</t>
        </is>
      </c>
      <c r="G449" t="n">
        <v>0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10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>
        <f>SUBTOTAL(109,MarketingActual[Jul])</f>
        <v/>
      </c>
    </row>
    <row r="450">
      <c r="A450" t="inlineStr">
        <is>
          <t>ACTUAL EXPENSES</t>
        </is>
      </c>
      <c r="B450" t="inlineStr">
        <is>
          <t>J29</t>
        </is>
      </c>
      <c r="C450" t="n">
        <v>29</v>
      </c>
      <c r="D450" t="n">
        <v>10</v>
      </c>
      <c r="E450" t="inlineStr">
        <is>
          <t>Output</t>
        </is>
      </c>
      <c r="F450" t="inlineStr">
        <is>
          <t>'=SUBTOTAL(109,MarketingActual[Aug])</t>
        </is>
      </c>
      <c r="G450" t="n">
        <v>0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10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>
        <f>SUBTOTAL(109,MarketingActual[Aug])</f>
        <v/>
      </c>
    </row>
    <row r="451">
      <c r="A451" t="inlineStr">
        <is>
          <t>ACTUAL EXPENSES</t>
        </is>
      </c>
      <c r="B451" t="inlineStr">
        <is>
          <t>K29</t>
        </is>
      </c>
      <c r="C451" t="n">
        <v>29</v>
      </c>
      <c r="D451" t="n">
        <v>11</v>
      </c>
      <c r="E451" t="inlineStr">
        <is>
          <t>Output</t>
        </is>
      </c>
      <c r="F451" t="inlineStr">
        <is>
          <t>'=SUBTOTAL(109,MarketingActual[Sep])</t>
        </is>
      </c>
      <c r="G451" t="n">
        <v>0</v>
      </c>
      <c r="H451" t="inlineStr"/>
      <c r="I451" t="inlineStr">
        <is>
          <t>"$"#,##0.00_);[Red]\("$"#,##0.00\)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>
        <f>SUBTOTAL(109,MarketingActual[Sep])</f>
        <v/>
      </c>
    </row>
    <row r="452">
      <c r="A452" t="inlineStr">
        <is>
          <t>ACTUAL EXPENSES</t>
        </is>
      </c>
      <c r="B452" t="inlineStr">
        <is>
          <t>L29</t>
        </is>
      </c>
      <c r="C452" t="n">
        <v>29</v>
      </c>
      <c r="D452" t="n">
        <v>12</v>
      </c>
      <c r="E452" t="inlineStr">
        <is>
          <t>Output</t>
        </is>
      </c>
      <c r="F452" t="inlineStr">
        <is>
          <t>'=SUBTOTAL(109,MarketingActual[Oct])</t>
        </is>
      </c>
      <c r="G452" t="n">
        <v>0</v>
      </c>
      <c r="H452" t="inlineStr"/>
      <c r="I452" t="inlineStr">
        <is>
          <t>"$"#,##0.00_);[Red]\("$"#,##0.00\)</t>
        </is>
      </c>
      <c r="J452" t="b">
        <v>0</v>
      </c>
      <c r="K452" t="b">
        <v>0</v>
      </c>
      <c r="L452" t="n">
        <v>10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>
        <f>SUBTOTAL(109,MarketingActual[Oct])</f>
        <v/>
      </c>
    </row>
    <row r="453">
      <c r="A453" t="inlineStr">
        <is>
          <t>ACTUAL EXPENSES</t>
        </is>
      </c>
      <c r="B453" t="inlineStr">
        <is>
          <t>M29</t>
        </is>
      </c>
      <c r="C453" t="n">
        <v>29</v>
      </c>
      <c r="D453" t="n">
        <v>13</v>
      </c>
      <c r="E453" t="inlineStr">
        <is>
          <t>Output</t>
        </is>
      </c>
      <c r="F453" t="inlineStr">
        <is>
          <t>'=SUBTOTAL(109,MarketingActual[Nov])</t>
        </is>
      </c>
      <c r="G453" t="n">
        <v>0</v>
      </c>
      <c r="H453" t="inlineStr"/>
      <c r="I453" t="inlineStr">
        <is>
          <t>"$"#,##0.00_);[Red]\("$"#,##0.00\)</t>
        </is>
      </c>
      <c r="J453" t="b">
        <v>0</v>
      </c>
      <c r="K453" t="b">
        <v>0</v>
      </c>
      <c r="L453" t="n">
        <v>10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>
        <f>SUBTOTAL(109,MarketingActual[Nov])</f>
        <v/>
      </c>
    </row>
    <row r="454">
      <c r="A454" t="inlineStr">
        <is>
          <t>ACTUAL EXPENSES</t>
        </is>
      </c>
      <c r="B454" t="inlineStr">
        <is>
          <t>N29</t>
        </is>
      </c>
      <c r="C454" t="n">
        <v>29</v>
      </c>
      <c r="D454" t="n">
        <v>14</v>
      </c>
      <c r="E454" t="inlineStr">
        <is>
          <t>Output</t>
        </is>
      </c>
      <c r="F454" t="inlineStr">
        <is>
          <t>'=SUBTOTAL(109,MarketingActual[Dec])</t>
        </is>
      </c>
      <c r="G454" t="n">
        <v>0</v>
      </c>
      <c r="H454" t="inlineStr"/>
      <c r="I454" t="inlineStr">
        <is>
          <t>"$"#,##0.00_);[Red]\("$"#,##0.00\)</t>
        </is>
      </c>
      <c r="J454" t="b">
        <v>0</v>
      </c>
      <c r="K454" t="b">
        <v>0</v>
      </c>
      <c r="L454" t="n">
        <v>10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>
        <f>SUBTOTAL(109,MarketingActual[Dec])</f>
        <v/>
      </c>
    </row>
    <row r="455">
      <c r="A455" t="inlineStr">
        <is>
          <t>ACTUAL EXPENSES</t>
        </is>
      </c>
      <c r="B455" t="inlineStr">
        <is>
          <t>O29</t>
        </is>
      </c>
      <c r="C455" t="n">
        <v>29</v>
      </c>
      <c r="D455" t="n">
        <v>15</v>
      </c>
      <c r="E455" t="inlineStr">
        <is>
          <t>Output</t>
        </is>
      </c>
      <c r="F455" t="inlineStr">
        <is>
          <t>'=SUBTOTAL(109,MarketingActual[YEAR])</t>
        </is>
      </c>
      <c r="G455" t="n">
        <v>33159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>
        <f>SUBTOTAL(109,MarketingActual[YEAR])</f>
        <v/>
      </c>
    </row>
    <row r="456">
      <c r="A456" t="inlineStr">
        <is>
          <t>ACTUAL EXPENSES</t>
        </is>
      </c>
      <c r="B456" t="inlineStr">
        <is>
          <t>P29</t>
        </is>
      </c>
      <c r="C456" t="n">
        <v>29</v>
      </c>
      <c r="D456" t="n">
        <v>16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n">
        <v/>
      </c>
      <c r="P456" t="n">
        <v/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ACTUAL EXPENSES</t>
        </is>
      </c>
      <c r="B457" t="inlineStr">
        <is>
          <t>A30</t>
        </is>
      </c>
      <c r="C457" t="n">
        <v>30</v>
      </c>
      <c r="D457" t="n">
        <v>1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n">
        <v/>
      </c>
      <c r="P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ACTUAL EXPENSES</t>
        </is>
      </c>
      <c r="B458" t="inlineStr">
        <is>
          <t>B30</t>
        </is>
      </c>
      <c r="C458" t="n">
        <v>30</v>
      </c>
      <c r="D458" t="n">
        <v>2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1</v>
      </c>
      <c r="K458" t="b">
        <v>0</v>
      </c>
      <c r="L458" t="n">
        <v>10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n">
        <v/>
      </c>
      <c r="P458" t="n">
        <v/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ACTUAL EXPENSES</t>
        </is>
      </c>
      <c r="B459" t="inlineStr">
        <is>
          <t>C30</t>
        </is>
      </c>
      <c r="C459" t="n">
        <v>30</v>
      </c>
      <c r="D459" t="n">
        <v>3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1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n">
        <v/>
      </c>
      <c r="P459" t="n">
        <v/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ACTUAL EXPENSES</t>
        </is>
      </c>
      <c r="B460" t="inlineStr">
        <is>
          <t>D30</t>
        </is>
      </c>
      <c r="C460" t="n">
        <v>30</v>
      </c>
      <c r="D460" t="n">
        <v>4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1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n">
        <v/>
      </c>
      <c r="P460" t="n">
        <v/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ACTUAL EXPENSES</t>
        </is>
      </c>
      <c r="B461" t="inlineStr">
        <is>
          <t>E30</t>
        </is>
      </c>
      <c r="C461" t="n">
        <v>30</v>
      </c>
      <c r="D461" t="n">
        <v>5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1</v>
      </c>
      <c r="K461" t="b">
        <v>0</v>
      </c>
      <c r="L461" t="n">
        <v>10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n">
        <v/>
      </c>
      <c r="P461" t="n">
        <v/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ACTUAL EXPENSES</t>
        </is>
      </c>
      <c r="B462" t="inlineStr">
        <is>
          <t>F30</t>
        </is>
      </c>
      <c r="C462" t="n">
        <v>30</v>
      </c>
      <c r="D462" t="n">
        <v>6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1</v>
      </c>
      <c r="K462" t="b">
        <v>0</v>
      </c>
      <c r="L462" t="n">
        <v>10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n">
        <v/>
      </c>
      <c r="P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ACTUAL EXPENSES</t>
        </is>
      </c>
      <c r="B463" t="inlineStr">
        <is>
          <t>G30</t>
        </is>
      </c>
      <c r="C463" t="n">
        <v>30</v>
      </c>
      <c r="D463" t="n">
        <v>7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n">
        <v/>
      </c>
      <c r="P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ACTUAL EXPENSES</t>
        </is>
      </c>
      <c r="B464" t="inlineStr">
        <is>
          <t>H30</t>
        </is>
      </c>
      <c r="C464" t="n">
        <v>30</v>
      </c>
      <c r="D464" t="n">
        <v>8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n">
        <v/>
      </c>
      <c r="P464" t="n">
        <v/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ACTUAL EXPENSES</t>
        </is>
      </c>
      <c r="B465" t="inlineStr">
        <is>
          <t>I30</t>
        </is>
      </c>
      <c r="C465" t="n">
        <v>30</v>
      </c>
      <c r="D465" t="n">
        <v>9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1</v>
      </c>
      <c r="K465" t="b">
        <v>0</v>
      </c>
      <c r="L465" t="n">
        <v>10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n">
        <v/>
      </c>
      <c r="P465" t="n">
        <v/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ACTUAL EXPENSES</t>
        </is>
      </c>
      <c r="B466" t="inlineStr">
        <is>
          <t>J30</t>
        </is>
      </c>
      <c r="C466" t="n">
        <v>30</v>
      </c>
      <c r="D466" t="n">
        <v>10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1</v>
      </c>
      <c r="K466" t="b">
        <v>0</v>
      </c>
      <c r="L466" t="n">
        <v>10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n">
        <v/>
      </c>
      <c r="P466" t="n">
        <v/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ACTUAL EXPENSES</t>
        </is>
      </c>
      <c r="B467" t="inlineStr">
        <is>
          <t>K30</t>
        </is>
      </c>
      <c r="C467" t="n">
        <v>30</v>
      </c>
      <c r="D467" t="n">
        <v>11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1</v>
      </c>
      <c r="K467" t="b">
        <v>0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n">
        <v/>
      </c>
      <c r="P467" t="n">
        <v/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ACTUAL EXPENSES</t>
        </is>
      </c>
      <c r="B468" t="inlineStr">
        <is>
          <t>L30</t>
        </is>
      </c>
      <c r="C468" t="n">
        <v>30</v>
      </c>
      <c r="D468" t="n">
        <v>12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1</v>
      </c>
      <c r="K468" t="b">
        <v>0</v>
      </c>
      <c r="L468" t="n">
        <v>10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ACTUAL EXPENSES</t>
        </is>
      </c>
      <c r="B469" t="inlineStr">
        <is>
          <t>M30</t>
        </is>
      </c>
      <c r="C469" t="n">
        <v>30</v>
      </c>
      <c r="D469" t="n">
        <v>13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1</v>
      </c>
      <c r="K469" t="b">
        <v>0</v>
      </c>
      <c r="L469" t="n">
        <v>10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ACTUAL EXPENSES</t>
        </is>
      </c>
      <c r="B470" t="inlineStr">
        <is>
          <t>N30</t>
        </is>
      </c>
      <c r="C470" t="n">
        <v>30</v>
      </c>
      <c r="D470" t="n">
        <v>14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1</v>
      </c>
      <c r="K470" t="b">
        <v>0</v>
      </c>
      <c r="L470" t="n">
        <v>10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n">
        <v/>
      </c>
      <c r="P470" t="n">
        <v/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ACTUAL EXPENSES</t>
        </is>
      </c>
      <c r="B471" t="inlineStr">
        <is>
          <t>O30</t>
        </is>
      </c>
      <c r="C471" t="n">
        <v>30</v>
      </c>
      <c r="D471" t="n">
        <v>15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1</v>
      </c>
      <c r="K471" t="b">
        <v>0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n">
        <v/>
      </c>
      <c r="P471" t="n">
        <v/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ACTUAL EXPENSES</t>
        </is>
      </c>
      <c r="B472" t="inlineStr">
        <is>
          <t>P30</t>
        </is>
      </c>
      <c r="C472" t="n">
        <v>30</v>
      </c>
      <c r="D472" t="n">
        <v>16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n">
        <v/>
      </c>
      <c r="P472" t="n">
        <v/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ACTUAL EXPENSES</t>
        </is>
      </c>
      <c r="B473" t="inlineStr">
        <is>
          <t>A31</t>
        </is>
      </c>
      <c r="C473" t="n">
        <v>31</v>
      </c>
      <c r="D473" t="n">
        <v>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16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n">
        <v/>
      </c>
      <c r="P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ACTUAL EXPENSES</t>
        </is>
      </c>
      <c r="B474" t="inlineStr">
        <is>
          <t>B31</t>
        </is>
      </c>
      <c r="C474" t="n">
        <v>31</v>
      </c>
      <c r="D474" t="n">
        <v>2</v>
      </c>
      <c r="E474" t="inlineStr">
        <is>
          <t>Input</t>
        </is>
      </c>
      <c r="F474" t="n">
        <v/>
      </c>
      <c r="G474" t="inlineStr">
        <is>
          <t>Training/travel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16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left</t>
        </is>
      </c>
      <c r="P474" t="inlineStr">
        <is>
          <t>center</t>
        </is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ACTUAL EXPENSES</t>
        </is>
      </c>
      <c r="B475" t="inlineStr">
        <is>
          <t>C31</t>
        </is>
      </c>
      <c r="C475" t="n">
        <v>31</v>
      </c>
      <c r="D475" t="n">
        <v>3</v>
      </c>
      <c r="E475" t="inlineStr">
        <is>
          <t>Input</t>
        </is>
      </c>
      <c r="F475" t="n">
        <v/>
      </c>
      <c r="G475" t="inlineStr">
        <is>
          <t>Jan</t>
        </is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16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ACTUAL EXPENSES</t>
        </is>
      </c>
      <c r="B476" t="inlineStr">
        <is>
          <t>D31</t>
        </is>
      </c>
      <c r="C476" t="n">
        <v>31</v>
      </c>
      <c r="D476" t="n">
        <v>4</v>
      </c>
      <c r="E476" t="inlineStr">
        <is>
          <t>Input</t>
        </is>
      </c>
      <c r="F476" t="n">
        <v/>
      </c>
      <c r="G476" t="inlineStr">
        <is>
          <t>Feb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16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ACTUAL EXPENSES</t>
        </is>
      </c>
      <c r="B477" t="inlineStr">
        <is>
          <t>E31</t>
        </is>
      </c>
      <c r="C477" t="n">
        <v>31</v>
      </c>
      <c r="D477" t="n">
        <v>5</v>
      </c>
      <c r="E477" t="inlineStr">
        <is>
          <t>Input</t>
        </is>
      </c>
      <c r="F477" t="n">
        <v/>
      </c>
      <c r="G477" t="inlineStr">
        <is>
          <t>Mar</t>
        </is>
      </c>
      <c r="H477" t="inlineStr"/>
      <c r="I477" t="inlineStr">
        <is>
          <t>_("$"* #,##0_);_("$"* \(#,##0\);_("$"* "-"??_);_(@_)</t>
        </is>
      </c>
      <c r="J477" t="b">
        <v>0</v>
      </c>
      <c r="K477" t="b">
        <v>0</v>
      </c>
      <c r="L477" t="n">
        <v>16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inlineStr">
        <is>
          <t>center</t>
        </is>
      </c>
      <c r="P477" t="inlineStr">
        <is>
          <t>center</t>
        </is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ACTUAL EXPENSES</t>
        </is>
      </c>
      <c r="B478" t="inlineStr">
        <is>
          <t>F31</t>
        </is>
      </c>
      <c r="C478" t="n">
        <v>31</v>
      </c>
      <c r="D478" t="n">
        <v>6</v>
      </c>
      <c r="E478" t="inlineStr">
        <is>
          <t>Input</t>
        </is>
      </c>
      <c r="F478" t="n">
        <v/>
      </c>
      <c r="G478" t="inlineStr">
        <is>
          <t>Apr</t>
        </is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16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inlineStr">
        <is>
          <t>center</t>
        </is>
      </c>
      <c r="P478" t="inlineStr">
        <is>
          <t>center</t>
        </is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ACTUAL EXPENSES</t>
        </is>
      </c>
      <c r="B479" t="inlineStr">
        <is>
          <t>G31</t>
        </is>
      </c>
      <c r="C479" t="n">
        <v>31</v>
      </c>
      <c r="D479" t="n">
        <v>7</v>
      </c>
      <c r="E479" t="inlineStr">
        <is>
          <t>Input</t>
        </is>
      </c>
      <c r="F479" t="n">
        <v/>
      </c>
      <c r="G479" t="inlineStr">
        <is>
          <t>May</t>
        </is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16</v>
      </c>
      <c r="M479" t="inlineStr">
        <is>
          <t>Values must be of type &lt;class 'str'&gt;</t>
        </is>
      </c>
      <c r="N479" t="inlineStr">
        <is>
          <t>Values must be of type &lt;class 'str'&gt;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ACTUAL EXPENSES</t>
        </is>
      </c>
      <c r="B480" t="inlineStr">
        <is>
          <t>H31</t>
        </is>
      </c>
      <c r="C480" t="n">
        <v>31</v>
      </c>
      <c r="D480" t="n">
        <v>8</v>
      </c>
      <c r="E480" t="inlineStr">
        <is>
          <t>Input</t>
        </is>
      </c>
      <c r="F480" t="n">
        <v/>
      </c>
      <c r="G480" t="inlineStr">
        <is>
          <t>Jun</t>
        </is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16</v>
      </c>
      <c r="M480" t="inlineStr">
        <is>
          <t>Values must be of type &lt;class 'str'&gt;</t>
        </is>
      </c>
      <c r="N480" t="inlineStr">
        <is>
          <t>Values must be of type &lt;class 'str'&gt;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ACTUAL EXPENSES</t>
        </is>
      </c>
      <c r="B481" t="inlineStr">
        <is>
          <t>I31</t>
        </is>
      </c>
      <c r="C481" t="n">
        <v>31</v>
      </c>
      <c r="D481" t="n">
        <v>9</v>
      </c>
      <c r="E481" t="inlineStr">
        <is>
          <t>Input</t>
        </is>
      </c>
      <c r="F481" t="n">
        <v/>
      </c>
      <c r="G481" t="inlineStr">
        <is>
          <t>Jul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16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ACTUAL EXPENSES</t>
        </is>
      </c>
      <c r="B482" t="inlineStr">
        <is>
          <t>J31</t>
        </is>
      </c>
      <c r="C482" t="n">
        <v>31</v>
      </c>
      <c r="D482" t="n">
        <v>10</v>
      </c>
      <c r="E482" t="inlineStr">
        <is>
          <t>Input</t>
        </is>
      </c>
      <c r="F482" t="n">
        <v/>
      </c>
      <c r="G482" t="inlineStr">
        <is>
          <t>Aug</t>
        </is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16</v>
      </c>
      <c r="M482" t="inlineStr">
        <is>
          <t>Values must be of type &lt;class 'str'&gt;</t>
        </is>
      </c>
      <c r="N482" t="inlineStr">
        <is>
          <t>Values must be of type &lt;class 'str'&gt;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ACTUAL EXPENSES</t>
        </is>
      </c>
      <c r="B483" t="inlineStr">
        <is>
          <t>K31</t>
        </is>
      </c>
      <c r="C483" t="n">
        <v>31</v>
      </c>
      <c r="D483" t="n">
        <v>11</v>
      </c>
      <c r="E483" t="inlineStr">
        <is>
          <t>Input</t>
        </is>
      </c>
      <c r="F483" t="n">
        <v/>
      </c>
      <c r="G483" t="inlineStr">
        <is>
          <t>Sep</t>
        </is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16</v>
      </c>
      <c r="M483" t="inlineStr">
        <is>
          <t>Values must be of type &lt;class 'str'&gt;</t>
        </is>
      </c>
      <c r="N483" t="inlineStr">
        <is>
          <t>Values must be of type &lt;class 'str'&gt;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ACTUAL EXPENSES</t>
        </is>
      </c>
      <c r="B484" t="inlineStr">
        <is>
          <t>L31</t>
        </is>
      </c>
      <c r="C484" t="n">
        <v>31</v>
      </c>
      <c r="D484" t="n">
        <v>12</v>
      </c>
      <c r="E484" t="inlineStr">
        <is>
          <t>Input</t>
        </is>
      </c>
      <c r="F484" t="n">
        <v/>
      </c>
      <c r="G484" t="inlineStr">
        <is>
          <t>Oct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16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center</t>
        </is>
      </c>
      <c r="P484" t="inlineStr">
        <is>
          <t>center</t>
        </is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ACTUAL EXPENSES</t>
        </is>
      </c>
      <c r="B485" t="inlineStr">
        <is>
          <t>M31</t>
        </is>
      </c>
      <c r="C485" t="n">
        <v>31</v>
      </c>
      <c r="D485" t="n">
        <v>13</v>
      </c>
      <c r="E485" t="inlineStr">
        <is>
          <t>Input</t>
        </is>
      </c>
      <c r="F485" t="n">
        <v/>
      </c>
      <c r="G485" t="inlineStr">
        <is>
          <t>Nov</t>
        </is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16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inlineStr">
        <is>
          <t>center</t>
        </is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ACTUAL EXPENSES</t>
        </is>
      </c>
      <c r="B486" t="inlineStr">
        <is>
          <t>N31</t>
        </is>
      </c>
      <c r="C486" t="n">
        <v>31</v>
      </c>
      <c r="D486" t="n">
        <v>14</v>
      </c>
      <c r="E486" t="inlineStr">
        <is>
          <t>Input</t>
        </is>
      </c>
      <c r="F486" t="n">
        <v/>
      </c>
      <c r="G486" t="inlineStr">
        <is>
          <t>Dec</t>
        </is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16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inlineStr">
        <is>
          <t>center</t>
        </is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ACTUAL EXPENSES</t>
        </is>
      </c>
      <c r="B487" t="inlineStr">
        <is>
          <t>O31</t>
        </is>
      </c>
      <c r="C487" t="n">
        <v>31</v>
      </c>
      <c r="D487" t="n">
        <v>15</v>
      </c>
      <c r="E487" t="inlineStr">
        <is>
          <t>Input</t>
        </is>
      </c>
      <c r="F487" t="n">
        <v/>
      </c>
      <c r="G487" t="inlineStr">
        <is>
          <t>YEAR</t>
        </is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16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inlineStr">
        <is>
          <t>center</t>
        </is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ACTUAL EXPENSES</t>
        </is>
      </c>
      <c r="B488" t="inlineStr">
        <is>
          <t>P31</t>
        </is>
      </c>
      <c r="C488" t="n">
        <v>31</v>
      </c>
      <c r="D488" t="n">
        <v>16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16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n">
        <v/>
      </c>
      <c r="P488" t="n">
        <v/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ACTUAL EXPENSES</t>
        </is>
      </c>
      <c r="B489" t="inlineStr">
        <is>
          <t>A32</t>
        </is>
      </c>
      <c r="C489" t="n">
        <v>32</v>
      </c>
      <c r="D489" t="n">
        <v>1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n">
        <v/>
      </c>
      <c r="P489" t="n">
        <v/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ACTUAL EXPENSES</t>
        </is>
      </c>
      <c r="B490" t="inlineStr">
        <is>
          <t>B32</t>
        </is>
      </c>
      <c r="C490" t="n">
        <v>32</v>
      </c>
      <c r="D490" t="n">
        <v>2</v>
      </c>
      <c r="E490" t="inlineStr">
        <is>
          <t>Input</t>
        </is>
      </c>
      <c r="F490" t="n">
        <v/>
      </c>
      <c r="G490" t="inlineStr">
        <is>
          <t>Training classes</t>
        </is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12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left</t>
        </is>
      </c>
      <c r="P490" t="inlineStr">
        <is>
          <t>center</t>
        </is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ACTUAL EXPENSES</t>
        </is>
      </c>
      <c r="B491" t="inlineStr">
        <is>
          <t>C32</t>
        </is>
      </c>
      <c r="C491" t="n">
        <v>32</v>
      </c>
      <c r="D491" t="n">
        <v>3</v>
      </c>
      <c r="E491" t="inlineStr">
        <is>
          <t>Input</t>
        </is>
      </c>
      <c r="F491" t="n">
        <v/>
      </c>
      <c r="G491" t="n">
        <v>1600</v>
      </c>
      <c r="H491" t="inlineStr"/>
      <c r="I491" t="inlineStr">
        <is>
          <t>"$"#,##0.00_);[Red]\("$"#,##0.00\)</t>
        </is>
      </c>
      <c r="J491" t="b">
        <v>0</v>
      </c>
      <c r="K491" t="b">
        <v>0</v>
      </c>
      <c r="L491" t="n">
        <v>10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ACTUAL EXPENSES</t>
        </is>
      </c>
      <c r="B492" t="inlineStr">
        <is>
          <t>D32</t>
        </is>
      </c>
      <c r="C492" t="n">
        <v>32</v>
      </c>
      <c r="D492" t="n">
        <v>4</v>
      </c>
      <c r="E492" t="inlineStr">
        <is>
          <t>Input</t>
        </is>
      </c>
      <c r="F492" t="n">
        <v/>
      </c>
      <c r="G492" t="n">
        <v>2400</v>
      </c>
      <c r="H492" t="inlineStr"/>
      <c r="I492" t="inlineStr">
        <is>
          <t>"$"#,##0.00_);[Red]\("$"#,##0.00\)</t>
        </is>
      </c>
      <c r="J492" t="b">
        <v>0</v>
      </c>
      <c r="K492" t="b">
        <v>0</v>
      </c>
      <c r="L492" t="n">
        <v>10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ACTUAL EXPENSES</t>
        </is>
      </c>
      <c r="B493" t="inlineStr">
        <is>
          <t>E32</t>
        </is>
      </c>
      <c r="C493" t="n">
        <v>32</v>
      </c>
      <c r="D493" t="n">
        <v>5</v>
      </c>
      <c r="E493" t="inlineStr">
        <is>
          <t>Input</t>
        </is>
      </c>
      <c r="F493" t="n">
        <v/>
      </c>
      <c r="G493" t="n">
        <v>1400</v>
      </c>
      <c r="H493" t="inlineStr"/>
      <c r="I493" t="inlineStr">
        <is>
          <t>"$"#,##0.00_);[Red]\("$"#,##0.00\)</t>
        </is>
      </c>
      <c r="J493" t="b">
        <v>0</v>
      </c>
      <c r="K493" t="b">
        <v>0</v>
      </c>
      <c r="L493" t="n">
        <v>10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ACTUAL EXPENSES</t>
        </is>
      </c>
      <c r="B494" t="inlineStr">
        <is>
          <t>F32</t>
        </is>
      </c>
      <c r="C494" t="n">
        <v>32</v>
      </c>
      <c r="D494" t="n">
        <v>6</v>
      </c>
      <c r="E494" t="inlineStr">
        <is>
          <t>Input</t>
        </is>
      </c>
      <c r="F494" t="n">
        <v/>
      </c>
      <c r="G494" t="n">
        <v>1600</v>
      </c>
      <c r="H494" t="inlineStr"/>
      <c r="I494" t="inlineStr">
        <is>
          <t>"$"#,##0.00_);[Red]\("$"#,##0.00\)</t>
        </is>
      </c>
      <c r="J494" t="b">
        <v>0</v>
      </c>
      <c r="K494" t="b">
        <v>0</v>
      </c>
      <c r="L494" t="n">
        <v>10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ACTUAL EXPENSES</t>
        </is>
      </c>
      <c r="B495" t="inlineStr">
        <is>
          <t>G32</t>
        </is>
      </c>
      <c r="C495" t="n">
        <v>32</v>
      </c>
      <c r="D495" t="n">
        <v>7</v>
      </c>
      <c r="E495" t="inlineStr">
        <is>
          <t>Input</t>
        </is>
      </c>
      <c r="F495" t="n">
        <v/>
      </c>
      <c r="G495" t="n">
        <v>1200</v>
      </c>
      <c r="H495" t="inlineStr"/>
      <c r="I495" t="inlineStr">
        <is>
          <t>"$"#,##0.00_);[Red]\("$"#,##0.00\)</t>
        </is>
      </c>
      <c r="J495" t="b">
        <v>0</v>
      </c>
      <c r="K495" t="b">
        <v>0</v>
      </c>
      <c r="L495" t="n">
        <v>10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ACTUAL EXPENSES</t>
        </is>
      </c>
      <c r="B496" t="inlineStr">
        <is>
          <t>H32</t>
        </is>
      </c>
      <c r="C496" t="n">
        <v>32</v>
      </c>
      <c r="D496" t="n">
        <v>8</v>
      </c>
      <c r="E496" t="inlineStr">
        <is>
          <t>Input</t>
        </is>
      </c>
      <c r="F496" t="n">
        <v/>
      </c>
      <c r="G496" t="n">
        <v>2800</v>
      </c>
      <c r="H496" t="inlineStr"/>
      <c r="I496" t="inlineStr">
        <is>
          <t>"$"#,##0.00_);[Red]\("$"#,##0.00\)</t>
        </is>
      </c>
      <c r="J496" t="b">
        <v>0</v>
      </c>
      <c r="K496" t="b">
        <v>0</v>
      </c>
      <c r="L496" t="n">
        <v>10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ACTUAL EXPENSES</t>
        </is>
      </c>
      <c r="B497" t="inlineStr">
        <is>
          <t>I32</t>
        </is>
      </c>
      <c r="C497" t="n">
        <v>32</v>
      </c>
      <c r="D497" t="n">
        <v>9</v>
      </c>
      <c r="E497" t="inlineStr">
        <is>
          <t>Input</t>
        </is>
      </c>
      <c r="F497" t="n">
        <v/>
      </c>
      <c r="H497" t="inlineStr"/>
      <c r="I497" t="inlineStr">
        <is>
          <t>"$"#,##0.00_);[Red]\("$"#,##0.00\)</t>
        </is>
      </c>
      <c r="J497" t="b">
        <v>0</v>
      </c>
      <c r="K497" t="b">
        <v>0</v>
      </c>
      <c r="L497" t="n">
        <v>10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ACTUAL EXPENSES</t>
        </is>
      </c>
      <c r="B498" t="inlineStr">
        <is>
          <t>J32</t>
        </is>
      </c>
      <c r="C498" t="n">
        <v>32</v>
      </c>
      <c r="D498" t="n">
        <v>10</v>
      </c>
      <c r="E498" t="inlineStr">
        <is>
          <t>Input</t>
        </is>
      </c>
      <c r="F498" t="n">
        <v/>
      </c>
      <c r="H498" t="inlineStr"/>
      <c r="I498" t="inlineStr">
        <is>
          <t>"$"#,##0.00_);[Red]\("$"#,##0.00\)</t>
        </is>
      </c>
      <c r="J498" t="b">
        <v>0</v>
      </c>
      <c r="K498" t="b">
        <v>0</v>
      </c>
      <c r="L498" t="n">
        <v>10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ACTUAL EXPENSES</t>
        </is>
      </c>
      <c r="B499" t="inlineStr">
        <is>
          <t>K32</t>
        </is>
      </c>
      <c r="C499" t="n">
        <v>32</v>
      </c>
      <c r="D499" t="n">
        <v>11</v>
      </c>
      <c r="E499" t="inlineStr">
        <is>
          <t>Input</t>
        </is>
      </c>
      <c r="F499" t="n">
        <v/>
      </c>
      <c r="H499" t="inlineStr"/>
      <c r="I499" t="inlineStr">
        <is>
          <t>"$"#,##0.00_);[Red]\("$"#,##0.00\)</t>
        </is>
      </c>
      <c r="J499" t="b">
        <v>0</v>
      </c>
      <c r="K499" t="b">
        <v>0</v>
      </c>
      <c r="L499" t="n">
        <v>10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inlineStr">
        <is>
          <t>center</t>
        </is>
      </c>
      <c r="P499" t="inlineStr">
        <is>
          <t>center</t>
        </is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ACTUAL EXPENSES</t>
        </is>
      </c>
      <c r="B500" t="inlineStr">
        <is>
          <t>L32</t>
        </is>
      </c>
      <c r="C500" t="n">
        <v>32</v>
      </c>
      <c r="D500" t="n">
        <v>12</v>
      </c>
      <c r="E500" t="inlineStr">
        <is>
          <t>Input</t>
        </is>
      </c>
      <c r="F500" t="n">
        <v/>
      </c>
      <c r="H500" t="inlineStr"/>
      <c r="I500" t="inlineStr">
        <is>
          <t>"$"#,##0.00_);[Red]\("$"#,##0.00\)</t>
        </is>
      </c>
      <c r="J500" t="b">
        <v>0</v>
      </c>
      <c r="K500" t="b">
        <v>0</v>
      </c>
      <c r="L500" t="n">
        <v>10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inlineStr">
        <is>
          <t>center</t>
        </is>
      </c>
      <c r="P500" t="inlineStr">
        <is>
          <t>center</t>
        </is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ACTUAL EXPENSES</t>
        </is>
      </c>
      <c r="B501" t="inlineStr">
        <is>
          <t>M32</t>
        </is>
      </c>
      <c r="C501" t="n">
        <v>32</v>
      </c>
      <c r="D501" t="n">
        <v>13</v>
      </c>
      <c r="E501" t="inlineStr">
        <is>
          <t>Input</t>
        </is>
      </c>
      <c r="F501" t="n">
        <v/>
      </c>
      <c r="H501" t="inlineStr"/>
      <c r="I501" t="inlineStr">
        <is>
          <t>"$"#,##0.00_);[Red]\("$"#,##0.00\)</t>
        </is>
      </c>
      <c r="J501" t="b">
        <v>0</v>
      </c>
      <c r="K501" t="b">
        <v>0</v>
      </c>
      <c r="L501" t="n">
        <v>10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inlineStr">
        <is>
          <t>center</t>
        </is>
      </c>
      <c r="P501" t="inlineStr">
        <is>
          <t>center</t>
        </is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ACTUAL EXPENSES</t>
        </is>
      </c>
      <c r="B502" t="inlineStr">
        <is>
          <t>N32</t>
        </is>
      </c>
      <c r="C502" t="n">
        <v>32</v>
      </c>
      <c r="D502" t="n">
        <v>14</v>
      </c>
      <c r="E502" t="inlineStr">
        <is>
          <t>Input</t>
        </is>
      </c>
      <c r="F502" t="n">
        <v/>
      </c>
      <c r="H502" t="inlineStr"/>
      <c r="I502" t="inlineStr">
        <is>
          <t>"$"#,##0.00_);[Red]\("$"#,##0.00\)</t>
        </is>
      </c>
      <c r="J502" t="b">
        <v>0</v>
      </c>
      <c r="K502" t="b">
        <v>0</v>
      </c>
      <c r="L502" t="n">
        <v>10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center</t>
        </is>
      </c>
      <c r="P502" t="inlineStr">
        <is>
          <t>center</t>
        </is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ACTUAL EXPENSES</t>
        </is>
      </c>
      <c r="B503" t="inlineStr">
        <is>
          <t>O32</t>
        </is>
      </c>
      <c r="C503" t="n">
        <v>32</v>
      </c>
      <c r="D503" t="n">
        <v>15</v>
      </c>
      <c r="E503" t="inlineStr">
        <is>
          <t>Output</t>
        </is>
      </c>
      <c r="F503" t="inlineStr">
        <is>
          <t>'=SUM(C32:N32)</t>
        </is>
      </c>
      <c r="G503" t="n">
        <v>11000</v>
      </c>
      <c r="H503" t="inlineStr"/>
      <c r="I503" t="inlineStr">
        <is>
          <t>"$"#,##0.00_);[Red]\("$"#,##0.00\)</t>
        </is>
      </c>
      <c r="J503" t="b">
        <v>0</v>
      </c>
      <c r="K503" t="b">
        <v>0</v>
      </c>
      <c r="L503" t="n">
        <v>10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G000010</t>
        </is>
      </c>
      <c r="T503" t="inlineStr">
        <is>
          <t>Vertical</t>
        </is>
      </c>
      <c r="U503" t="n">
        <v>2</v>
      </c>
      <c r="V503" t="b">
        <v>1</v>
      </c>
      <c r="W503" t="inlineStr">
        <is>
          <t>ACTUAL EXPENSES!O32:O33</t>
        </is>
      </c>
      <c r="X503">
        <f>SUM(R[0]C[-12]:R[0]C[-1])</f>
        <v/>
      </c>
    </row>
    <row r="504">
      <c r="A504" t="inlineStr">
        <is>
          <t>ACTUAL EXPENSES</t>
        </is>
      </c>
      <c r="B504" t="inlineStr">
        <is>
          <t>P32</t>
        </is>
      </c>
      <c r="C504" t="n">
        <v>32</v>
      </c>
      <c r="D504" t="n">
        <v>16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n">
        <v/>
      </c>
      <c r="P504" t="n">
        <v/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ACTUAL EXPENSES</t>
        </is>
      </c>
      <c r="B505" t="inlineStr">
        <is>
          <t>A33</t>
        </is>
      </c>
      <c r="C505" t="n">
        <v>33</v>
      </c>
      <c r="D505" t="n">
        <v>1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n">
        <v/>
      </c>
      <c r="P505" t="n">
        <v/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ACTUAL EXPENSES</t>
        </is>
      </c>
      <c r="B506" t="inlineStr">
        <is>
          <t>B33</t>
        </is>
      </c>
      <c r="C506" t="n">
        <v>33</v>
      </c>
      <c r="D506" t="n">
        <v>2</v>
      </c>
      <c r="E506" t="inlineStr">
        <is>
          <t>Input</t>
        </is>
      </c>
      <c r="F506" t="n">
        <v/>
      </c>
      <c r="G506" t="inlineStr">
        <is>
          <t>Training-related travel costs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12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left</t>
        </is>
      </c>
      <c r="P506" t="inlineStr">
        <is>
          <t>center</t>
        </is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ACTUAL EXPENSES</t>
        </is>
      </c>
      <c r="B507" t="inlineStr">
        <is>
          <t>C33</t>
        </is>
      </c>
      <c r="C507" t="n">
        <v>33</v>
      </c>
      <c r="D507" t="n">
        <v>3</v>
      </c>
      <c r="E507" t="inlineStr">
        <is>
          <t>Input</t>
        </is>
      </c>
      <c r="F507" t="n">
        <v/>
      </c>
      <c r="G507" t="n">
        <v>1200</v>
      </c>
      <c r="H507" t="inlineStr"/>
      <c r="I507" t="inlineStr">
        <is>
          <t>"$"#,##0.00_);[Red]\("$"#,##0.00\)</t>
        </is>
      </c>
      <c r="J507" t="b">
        <v>0</v>
      </c>
      <c r="K507" t="b">
        <v>0</v>
      </c>
      <c r="L507" t="n">
        <v>10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ACTUAL EXPENSES</t>
        </is>
      </c>
      <c r="B508" t="inlineStr">
        <is>
          <t>D33</t>
        </is>
      </c>
      <c r="C508" t="n">
        <v>33</v>
      </c>
      <c r="D508" t="n">
        <v>4</v>
      </c>
      <c r="E508" t="inlineStr">
        <is>
          <t>Input</t>
        </is>
      </c>
      <c r="F508" t="n">
        <v/>
      </c>
      <c r="G508" t="n">
        <v>2200</v>
      </c>
      <c r="H508" t="inlineStr"/>
      <c r="I508" t="inlineStr">
        <is>
          <t>"$"#,##0.00_);[Red]\("$"#,##0.00\)</t>
        </is>
      </c>
      <c r="J508" t="b">
        <v>0</v>
      </c>
      <c r="K508" t="b">
        <v>0</v>
      </c>
      <c r="L508" t="n">
        <v>10</v>
      </c>
      <c r="M508" t="inlineStr">
        <is>
          <t>Values must be of type &lt;class 'str'&gt;</t>
        </is>
      </c>
      <c r="N508" t="inlineStr">
        <is>
          <t>Values must be of type &lt;class 'str'&gt;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ACTUAL EXPENSES</t>
        </is>
      </c>
      <c r="B509" t="inlineStr">
        <is>
          <t>E33</t>
        </is>
      </c>
      <c r="C509" t="n">
        <v>33</v>
      </c>
      <c r="D509" t="n">
        <v>5</v>
      </c>
      <c r="E509" t="inlineStr">
        <is>
          <t>Input</t>
        </is>
      </c>
      <c r="F509" t="n">
        <v/>
      </c>
      <c r="G509" t="n">
        <v>1400</v>
      </c>
      <c r="H509" t="inlineStr"/>
      <c r="I509" t="inlineStr">
        <is>
          <t>"$"#,##0.00_);[Red]\("$"#,##0.00\)</t>
        </is>
      </c>
      <c r="J509" t="b">
        <v>0</v>
      </c>
      <c r="K509" t="b">
        <v>0</v>
      </c>
      <c r="L509" t="n">
        <v>10</v>
      </c>
      <c r="M509" t="inlineStr">
        <is>
          <t>Values must be of type &lt;class 'str'&gt;</t>
        </is>
      </c>
      <c r="N509" t="inlineStr">
        <is>
          <t>Values must be of type &lt;class 'str'&gt;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ACTUAL EXPENSES</t>
        </is>
      </c>
      <c r="B510" t="inlineStr">
        <is>
          <t>F33</t>
        </is>
      </c>
      <c r="C510" t="n">
        <v>33</v>
      </c>
      <c r="D510" t="n">
        <v>6</v>
      </c>
      <c r="E510" t="inlineStr">
        <is>
          <t>Input</t>
        </is>
      </c>
      <c r="F510" t="n">
        <v/>
      </c>
      <c r="G510" t="n">
        <v>1200</v>
      </c>
      <c r="H510" t="inlineStr"/>
      <c r="I510" t="inlineStr">
        <is>
          <t>"$"#,##0.00_);[Red]\("$"#,##0.00\)</t>
        </is>
      </c>
      <c r="J510" t="b">
        <v>0</v>
      </c>
      <c r="K510" t="b">
        <v>0</v>
      </c>
      <c r="L510" t="n">
        <v>10</v>
      </c>
      <c r="M510" t="inlineStr">
        <is>
          <t>Values must be of type &lt;class 'str'&gt;</t>
        </is>
      </c>
      <c r="N510" t="inlineStr">
        <is>
          <t>Values must be of type &lt;class 'str'&gt;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ACTUAL EXPENSES</t>
        </is>
      </c>
      <c r="B511" t="inlineStr">
        <is>
          <t>G33</t>
        </is>
      </c>
      <c r="C511" t="n">
        <v>33</v>
      </c>
      <c r="D511" t="n">
        <v>7</v>
      </c>
      <c r="E511" t="inlineStr">
        <is>
          <t>Input</t>
        </is>
      </c>
      <c r="F511" t="n">
        <v/>
      </c>
      <c r="G511" t="n">
        <v>800</v>
      </c>
      <c r="H511" t="inlineStr"/>
      <c r="I511" t="inlineStr">
        <is>
          <t>"$"#,##0.00_);[Red]\("$"#,##0.00\)</t>
        </is>
      </c>
      <c r="J511" t="b">
        <v>0</v>
      </c>
      <c r="K511" t="b">
        <v>0</v>
      </c>
      <c r="L511" t="n">
        <v>10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ACTUAL EXPENSES</t>
        </is>
      </c>
      <c r="B512" t="inlineStr">
        <is>
          <t>H33</t>
        </is>
      </c>
      <c r="C512" t="n">
        <v>33</v>
      </c>
      <c r="D512" t="n">
        <v>8</v>
      </c>
      <c r="E512" t="inlineStr">
        <is>
          <t>Input</t>
        </is>
      </c>
      <c r="F512" t="n">
        <v/>
      </c>
      <c r="G512" t="n">
        <v>3500</v>
      </c>
      <c r="H512" t="inlineStr"/>
      <c r="I512" t="inlineStr">
        <is>
          <t>"$"#,##0.00_);[Red]\("$"#,##0.00\)</t>
        </is>
      </c>
      <c r="J512" t="b">
        <v>0</v>
      </c>
      <c r="K512" t="b">
        <v>0</v>
      </c>
      <c r="L512" t="n">
        <v>10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ACTUAL EXPENSES</t>
        </is>
      </c>
      <c r="B513" t="inlineStr">
        <is>
          <t>I33</t>
        </is>
      </c>
      <c r="C513" t="n">
        <v>33</v>
      </c>
      <c r="D513" t="n">
        <v>9</v>
      </c>
      <c r="E513" t="inlineStr">
        <is>
          <t>Input</t>
        </is>
      </c>
      <c r="F513" t="n">
        <v/>
      </c>
      <c r="H513" t="inlineStr"/>
      <c r="I513" t="inlineStr">
        <is>
          <t>"$"#,##0.00_);[Red]\("$"#,##0.00\)</t>
        </is>
      </c>
      <c r="J513" t="b">
        <v>0</v>
      </c>
      <c r="K513" t="b">
        <v>0</v>
      </c>
      <c r="L513" t="n">
        <v>10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inlineStr">
        <is>
          <t>center</t>
        </is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ACTUAL EXPENSES</t>
        </is>
      </c>
      <c r="B514" t="inlineStr">
        <is>
          <t>J33</t>
        </is>
      </c>
      <c r="C514" t="n">
        <v>33</v>
      </c>
      <c r="D514" t="n">
        <v>10</v>
      </c>
      <c r="E514" t="inlineStr">
        <is>
          <t>Input</t>
        </is>
      </c>
      <c r="F514" t="n">
        <v/>
      </c>
      <c r="H514" t="inlineStr"/>
      <c r="I514" t="inlineStr">
        <is>
          <t>"$"#,##0.00_);[Red]\("$"#,##0.00\)</t>
        </is>
      </c>
      <c r="J514" t="b">
        <v>0</v>
      </c>
      <c r="K514" t="b">
        <v>0</v>
      </c>
      <c r="L514" t="n">
        <v>10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inlineStr">
        <is>
          <t>center</t>
        </is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ACTUAL EXPENSES</t>
        </is>
      </c>
      <c r="B515" t="inlineStr">
        <is>
          <t>K33</t>
        </is>
      </c>
      <c r="C515" t="n">
        <v>33</v>
      </c>
      <c r="D515" t="n">
        <v>11</v>
      </c>
      <c r="E515" t="inlineStr">
        <is>
          <t>Input</t>
        </is>
      </c>
      <c r="F515" t="n">
        <v/>
      </c>
      <c r="H515" t="inlineStr"/>
      <c r="I515" t="inlineStr">
        <is>
          <t>"$"#,##0.00_);[Red]\("$"#,##0.00\)</t>
        </is>
      </c>
      <c r="J515" t="b">
        <v>0</v>
      </c>
      <c r="K515" t="b">
        <v>0</v>
      </c>
      <c r="L515" t="n">
        <v>10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inlineStr">
        <is>
          <t>center</t>
        </is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ACTUAL EXPENSES</t>
        </is>
      </c>
      <c r="B516" t="inlineStr">
        <is>
          <t>L33</t>
        </is>
      </c>
      <c r="C516" t="n">
        <v>33</v>
      </c>
      <c r="D516" t="n">
        <v>12</v>
      </c>
      <c r="E516" t="inlineStr">
        <is>
          <t>Input</t>
        </is>
      </c>
      <c r="F516" t="n">
        <v/>
      </c>
      <c r="H516" t="inlineStr"/>
      <c r="I516" t="inlineStr">
        <is>
          <t>"$"#,##0.00_);[Red]\("$"#,##0.00\)</t>
        </is>
      </c>
      <c r="J516" t="b">
        <v>0</v>
      </c>
      <c r="K516" t="b">
        <v>0</v>
      </c>
      <c r="L516" t="n">
        <v>10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inlineStr">
        <is>
          <t>center</t>
        </is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ACTUAL EXPENSES</t>
        </is>
      </c>
      <c r="B517" t="inlineStr">
        <is>
          <t>M33</t>
        </is>
      </c>
      <c r="C517" t="n">
        <v>33</v>
      </c>
      <c r="D517" t="n">
        <v>13</v>
      </c>
      <c r="E517" t="inlineStr">
        <is>
          <t>Input</t>
        </is>
      </c>
      <c r="F517" t="n">
        <v/>
      </c>
      <c r="H517" t="inlineStr"/>
      <c r="I517" t="inlineStr">
        <is>
          <t>"$"#,##0.00_);[Red]\("$"#,##0.00\)</t>
        </is>
      </c>
      <c r="J517" t="b">
        <v>0</v>
      </c>
      <c r="K517" t="b">
        <v>0</v>
      </c>
      <c r="L517" t="n">
        <v>10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inlineStr">
        <is>
          <t>center</t>
        </is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ACTUAL EXPENSES</t>
        </is>
      </c>
      <c r="B518" t="inlineStr">
        <is>
          <t>N33</t>
        </is>
      </c>
      <c r="C518" t="n">
        <v>33</v>
      </c>
      <c r="D518" t="n">
        <v>14</v>
      </c>
      <c r="E518" t="inlineStr">
        <is>
          <t>Input</t>
        </is>
      </c>
      <c r="F518" t="n">
        <v/>
      </c>
      <c r="H518" t="inlineStr"/>
      <c r="I518" t="inlineStr">
        <is>
          <t>"$"#,##0.00_);[Red]\("$"#,##0.00\)</t>
        </is>
      </c>
      <c r="J518" t="b">
        <v>0</v>
      </c>
      <c r="K518" t="b">
        <v>0</v>
      </c>
      <c r="L518" t="n">
        <v>10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inlineStr">
        <is>
          <t>center</t>
        </is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ACTUAL EXPENSES</t>
        </is>
      </c>
      <c r="B519" t="inlineStr">
        <is>
          <t>O33</t>
        </is>
      </c>
      <c r="C519" t="n">
        <v>33</v>
      </c>
      <c r="D519" t="n">
        <v>15</v>
      </c>
      <c r="E519" t="inlineStr">
        <is>
          <t>Output</t>
        </is>
      </c>
      <c r="F519" t="inlineStr">
        <is>
          <t>'=SUM(C33:N33)</t>
        </is>
      </c>
      <c r="G519" t="n">
        <v>10300</v>
      </c>
      <c r="H519" t="inlineStr"/>
      <c r="I519" t="inlineStr">
        <is>
          <t>"$"#,##0.00_);[Red]\("$"#,##0.00\)</t>
        </is>
      </c>
      <c r="J519" t="b">
        <v>0</v>
      </c>
      <c r="K519" t="b">
        <v>0</v>
      </c>
      <c r="L519" t="n">
        <v>10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G000010</t>
        </is>
      </c>
      <c r="T519" t="inlineStr">
        <is>
          <t>Vertical</t>
        </is>
      </c>
      <c r="U519" t="n">
        <v>2</v>
      </c>
      <c r="V519" t="b">
        <v>1</v>
      </c>
      <c r="W519" t="inlineStr">
        <is>
          <t>ACTUAL EXPENSES!O32:O33</t>
        </is>
      </c>
      <c r="X519">
        <f>SUM(R[0]C[-12]:R[0]C[-1])</f>
        <v/>
      </c>
    </row>
    <row r="520">
      <c r="A520" t="inlineStr">
        <is>
          <t>ACTUAL EXPENSES</t>
        </is>
      </c>
      <c r="B520" t="inlineStr">
        <is>
          <t>P33</t>
        </is>
      </c>
      <c r="C520" t="n">
        <v>33</v>
      </c>
      <c r="D520" t="n">
        <v>16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n">
        <v/>
      </c>
      <c r="P520" t="n">
        <v/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ACTUAL EXPENSES</t>
        </is>
      </c>
      <c r="B521" t="inlineStr">
        <is>
          <t>A34</t>
        </is>
      </c>
      <c r="C521" t="n">
        <v>34</v>
      </c>
      <c r="D521" t="n">
        <v>1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n">
        <v/>
      </c>
      <c r="P521" t="n">
        <v/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ACTUAL EXPENSES</t>
        </is>
      </c>
      <c r="B522" t="inlineStr">
        <is>
          <t>B34</t>
        </is>
      </c>
      <c r="C522" t="n">
        <v>34</v>
      </c>
      <c r="D522" t="n">
        <v>2</v>
      </c>
      <c r="E522" t="inlineStr">
        <is>
          <t>Input</t>
        </is>
      </c>
      <c r="F522" t="n">
        <v/>
      </c>
      <c r="G522" t="inlineStr">
        <is>
          <t>Subtotal</t>
        </is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12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left</t>
        </is>
      </c>
      <c r="P522" t="inlineStr">
        <is>
          <t>center</t>
        </is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ACTUAL EXPENSES</t>
        </is>
      </c>
      <c r="B523" t="inlineStr">
        <is>
          <t>C34</t>
        </is>
      </c>
      <c r="C523" t="n">
        <v>34</v>
      </c>
      <c r="D523" t="n">
        <v>3</v>
      </c>
      <c r="E523" t="inlineStr">
        <is>
          <t>Output</t>
        </is>
      </c>
      <c r="F523" t="inlineStr">
        <is>
          <t>'=SUBTOTAL(109,TrainingAndTravelActual[Jan])</t>
        </is>
      </c>
      <c r="G523" t="n">
        <v>2800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10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>
        <f>SUBTOTAL(109,TrainingAndTravelActual[Jan])</f>
        <v/>
      </c>
    </row>
    <row r="524">
      <c r="A524" t="inlineStr">
        <is>
          <t>ACTUAL EXPENSES</t>
        </is>
      </c>
      <c r="B524" t="inlineStr">
        <is>
          <t>D34</t>
        </is>
      </c>
      <c r="C524" t="n">
        <v>34</v>
      </c>
      <c r="D524" t="n">
        <v>4</v>
      </c>
      <c r="E524" t="inlineStr">
        <is>
          <t>Output</t>
        </is>
      </c>
      <c r="F524" t="inlineStr">
        <is>
          <t>'=SUBTOTAL(109,TrainingAndTravelActual[Feb])</t>
        </is>
      </c>
      <c r="G524" t="n">
        <v>4600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10</v>
      </c>
      <c r="M524" t="inlineStr">
        <is>
          <t>Values must be of type &lt;class 'str'&gt;</t>
        </is>
      </c>
      <c r="N524" t="inlineStr">
        <is>
          <t>Values must be of type &lt;class 'str'&gt;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n">
        <v/>
      </c>
      <c r="T524" t="n">
        <v/>
      </c>
      <c r="U524" t="n">
        <v/>
      </c>
      <c r="V524" t="b">
        <v>0</v>
      </c>
      <c r="W524" t="inlineStr"/>
      <c r="X524">
        <f>SUBTOTAL(109,TrainingAndTravelActual[Feb])</f>
        <v/>
      </c>
    </row>
    <row r="525">
      <c r="A525" t="inlineStr">
        <is>
          <t>ACTUAL EXPENSES</t>
        </is>
      </c>
      <c r="B525" t="inlineStr">
        <is>
          <t>E34</t>
        </is>
      </c>
      <c r="C525" t="n">
        <v>34</v>
      </c>
      <c r="D525" t="n">
        <v>5</v>
      </c>
      <c r="E525" t="inlineStr">
        <is>
          <t>Output</t>
        </is>
      </c>
      <c r="F525" t="inlineStr">
        <is>
          <t>'=SUBTOTAL(109,TrainingAndTravelActual[Mar])</t>
        </is>
      </c>
      <c r="G525" t="n">
        <v>2800</v>
      </c>
      <c r="H525" t="inlineStr"/>
      <c r="I525" t="inlineStr">
        <is>
          <t>"$"#,##0.00_);[Red]\("$"#,##0.00\)</t>
        </is>
      </c>
      <c r="J525" t="b">
        <v>0</v>
      </c>
      <c r="K525" t="b">
        <v>0</v>
      </c>
      <c r="L525" t="n">
        <v>10</v>
      </c>
      <c r="M525" t="inlineStr">
        <is>
          <t>Values must be of type &lt;class 'str'&gt;</t>
        </is>
      </c>
      <c r="N525" t="inlineStr">
        <is>
          <t>Values must be of type &lt;class 'str'&gt;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>
        <f>SUBTOTAL(109,TrainingAndTravelActual[Mar])</f>
        <v/>
      </c>
    </row>
    <row r="526">
      <c r="A526" t="inlineStr">
        <is>
          <t>ACTUAL EXPENSES</t>
        </is>
      </c>
      <c r="B526" t="inlineStr">
        <is>
          <t>F34</t>
        </is>
      </c>
      <c r="C526" t="n">
        <v>34</v>
      </c>
      <c r="D526" t="n">
        <v>6</v>
      </c>
      <c r="E526" t="inlineStr">
        <is>
          <t>Output</t>
        </is>
      </c>
      <c r="F526" t="inlineStr">
        <is>
          <t>'=SUBTOTAL(109,TrainingAndTravelActual[Apr])</t>
        </is>
      </c>
      <c r="G526" t="n">
        <v>2800</v>
      </c>
      <c r="H526" t="inlineStr"/>
      <c r="I526" t="inlineStr">
        <is>
          <t>"$"#,##0.00_);[Red]\("$"#,##0.00\)</t>
        </is>
      </c>
      <c r="J526" t="b">
        <v>0</v>
      </c>
      <c r="K526" t="b">
        <v>0</v>
      </c>
      <c r="L526" t="n">
        <v>10</v>
      </c>
      <c r="M526" t="inlineStr">
        <is>
          <t>Values must be of type &lt;class 'str'&gt;</t>
        </is>
      </c>
      <c r="N526" t="inlineStr">
        <is>
          <t>Values must be of type &lt;class 'str'&gt;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>
        <f>SUBTOTAL(109,TrainingAndTravelActual[Apr])</f>
        <v/>
      </c>
    </row>
    <row r="527">
      <c r="A527" t="inlineStr">
        <is>
          <t>ACTUAL EXPENSES</t>
        </is>
      </c>
      <c r="B527" t="inlineStr">
        <is>
          <t>G34</t>
        </is>
      </c>
      <c r="C527" t="n">
        <v>34</v>
      </c>
      <c r="D527" t="n">
        <v>7</v>
      </c>
      <c r="E527" t="inlineStr">
        <is>
          <t>Output</t>
        </is>
      </c>
      <c r="F527" t="inlineStr">
        <is>
          <t>'=SUBTOTAL(109,TrainingAndTravelActual[May])</t>
        </is>
      </c>
      <c r="G527" t="n">
        <v>2000</v>
      </c>
      <c r="H527" t="inlineStr"/>
      <c r="I527" t="inlineStr">
        <is>
          <t>"$"#,##0.00_);[Red]\("$"#,##0.00\)</t>
        </is>
      </c>
      <c r="J527" t="b">
        <v>0</v>
      </c>
      <c r="K527" t="b">
        <v>0</v>
      </c>
      <c r="L527" t="n">
        <v>10</v>
      </c>
      <c r="M527" t="inlineStr">
        <is>
          <t>Values must be of type &lt;class 'str'&gt;</t>
        </is>
      </c>
      <c r="N527" t="inlineStr">
        <is>
          <t>Values must be of type &lt;class 'str'&gt;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>
        <f>SUBTOTAL(109,TrainingAndTravelActual[May])</f>
        <v/>
      </c>
    </row>
    <row r="528">
      <c r="A528" t="inlineStr">
        <is>
          <t>ACTUAL EXPENSES</t>
        </is>
      </c>
      <c r="B528" t="inlineStr">
        <is>
          <t>H34</t>
        </is>
      </c>
      <c r="C528" t="n">
        <v>34</v>
      </c>
      <c r="D528" t="n">
        <v>8</v>
      </c>
      <c r="E528" t="inlineStr">
        <is>
          <t>Output</t>
        </is>
      </c>
      <c r="F528" t="inlineStr">
        <is>
          <t>'=SUBTOTAL(109,TrainingAndTravelActual[Jun])</t>
        </is>
      </c>
      <c r="G528" t="n">
        <v>6300</v>
      </c>
      <c r="H528" t="inlineStr"/>
      <c r="I528" t="inlineStr">
        <is>
          <t>"$"#,##0.00_);[Red]\("$"#,##0.00\)</t>
        </is>
      </c>
      <c r="J528" t="b">
        <v>0</v>
      </c>
      <c r="K528" t="b">
        <v>0</v>
      </c>
      <c r="L528" t="n">
        <v>10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>
        <f>SUBTOTAL(109,TrainingAndTravelActual[Jun])</f>
        <v/>
      </c>
    </row>
    <row r="529">
      <c r="A529" t="inlineStr">
        <is>
          <t>ACTUAL EXPENSES</t>
        </is>
      </c>
      <c r="B529" t="inlineStr">
        <is>
          <t>I34</t>
        </is>
      </c>
      <c r="C529" t="n">
        <v>34</v>
      </c>
      <c r="D529" t="n">
        <v>9</v>
      </c>
      <c r="E529" t="inlineStr">
        <is>
          <t>Output</t>
        </is>
      </c>
      <c r="F529" t="inlineStr">
        <is>
          <t>'=SUBTOTAL(109,TrainingAndTravelActual[Jul])</t>
        </is>
      </c>
      <c r="G529" t="n">
        <v>0</v>
      </c>
      <c r="H529" t="inlineStr"/>
      <c r="I529" t="inlineStr">
        <is>
          <t>"$"#,##0.00_);[Red]\("$"#,##0.00\)</t>
        </is>
      </c>
      <c r="J529" t="b">
        <v>0</v>
      </c>
      <c r="K529" t="b">
        <v>0</v>
      </c>
      <c r="L529" t="n">
        <v>10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>
        <f>SUBTOTAL(109,TrainingAndTravelActual[Jul])</f>
        <v/>
      </c>
    </row>
    <row r="530">
      <c r="A530" t="inlineStr">
        <is>
          <t>ACTUAL EXPENSES</t>
        </is>
      </c>
      <c r="B530" t="inlineStr">
        <is>
          <t>J34</t>
        </is>
      </c>
      <c r="C530" t="n">
        <v>34</v>
      </c>
      <c r="D530" t="n">
        <v>10</v>
      </c>
      <c r="E530" t="inlineStr">
        <is>
          <t>Output</t>
        </is>
      </c>
      <c r="F530" t="inlineStr">
        <is>
          <t>'=SUBTOTAL(109,TrainingAndTravelActual[Aug])</t>
        </is>
      </c>
      <c r="G530" t="n">
        <v>0</v>
      </c>
      <c r="H530" t="inlineStr"/>
      <c r="I530" t="inlineStr">
        <is>
          <t>"$"#,##0.00_);[Red]\("$"#,##0.00\)</t>
        </is>
      </c>
      <c r="J530" t="b">
        <v>0</v>
      </c>
      <c r="K530" t="b">
        <v>0</v>
      </c>
      <c r="L530" t="n">
        <v>10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>
        <f>SUBTOTAL(109,TrainingAndTravelActual[Aug])</f>
        <v/>
      </c>
    </row>
    <row r="531">
      <c r="A531" t="inlineStr">
        <is>
          <t>ACTUAL EXPENSES</t>
        </is>
      </c>
      <c r="B531" t="inlineStr">
        <is>
          <t>K34</t>
        </is>
      </c>
      <c r="C531" t="n">
        <v>34</v>
      </c>
      <c r="D531" t="n">
        <v>11</v>
      </c>
      <c r="E531" t="inlineStr">
        <is>
          <t>Output</t>
        </is>
      </c>
      <c r="F531" t="inlineStr">
        <is>
          <t>'=SUBTOTAL(109,TrainingAndTravelActual[Sep])</t>
        </is>
      </c>
      <c r="G531" t="n">
        <v>0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10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>
        <f>SUBTOTAL(109,TrainingAndTravelActual[Sep])</f>
        <v/>
      </c>
    </row>
    <row r="532">
      <c r="A532" t="inlineStr">
        <is>
          <t>ACTUAL EXPENSES</t>
        </is>
      </c>
      <c r="B532" t="inlineStr">
        <is>
          <t>L34</t>
        </is>
      </c>
      <c r="C532" t="n">
        <v>34</v>
      </c>
      <c r="D532" t="n">
        <v>12</v>
      </c>
      <c r="E532" t="inlineStr">
        <is>
          <t>Output</t>
        </is>
      </c>
      <c r="F532" t="inlineStr">
        <is>
          <t>'=SUBTOTAL(109,TrainingAndTravelActual[Oct])</t>
        </is>
      </c>
      <c r="G532" t="n">
        <v>0</v>
      </c>
      <c r="H532" t="inlineStr"/>
      <c r="I532" t="inlineStr">
        <is>
          <t>"$"#,##0.00_);[Red]\("$"#,##0.00\)</t>
        </is>
      </c>
      <c r="J532" t="b">
        <v>0</v>
      </c>
      <c r="K532" t="b">
        <v>0</v>
      </c>
      <c r="L532" t="n">
        <v>10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inlineStr">
        <is>
          <t>center</t>
        </is>
      </c>
      <c r="P532" t="inlineStr">
        <is>
          <t>center</t>
        </is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>
        <f>SUBTOTAL(109,TrainingAndTravelActual[Oct])</f>
        <v/>
      </c>
    </row>
    <row r="533">
      <c r="A533" t="inlineStr">
        <is>
          <t>ACTUAL EXPENSES</t>
        </is>
      </c>
      <c r="B533" t="inlineStr">
        <is>
          <t>M34</t>
        </is>
      </c>
      <c r="C533" t="n">
        <v>34</v>
      </c>
      <c r="D533" t="n">
        <v>13</v>
      </c>
      <c r="E533" t="inlineStr">
        <is>
          <t>Output</t>
        </is>
      </c>
      <c r="F533" t="inlineStr">
        <is>
          <t>'=SUBTOTAL(109,TrainingAndTravelActual[Nov])</t>
        </is>
      </c>
      <c r="G533" t="n">
        <v>0</v>
      </c>
      <c r="H533" t="inlineStr"/>
      <c r="I533" t="inlineStr">
        <is>
          <t>"$"#,##0.00_);[Red]\("$"#,##0.00\)</t>
        </is>
      </c>
      <c r="J533" t="b">
        <v>0</v>
      </c>
      <c r="K533" t="b">
        <v>0</v>
      </c>
      <c r="L533" t="n">
        <v>10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>
        <f>SUBTOTAL(109,TrainingAndTravelActual[Nov])</f>
        <v/>
      </c>
    </row>
    <row r="534">
      <c r="A534" t="inlineStr">
        <is>
          <t>ACTUAL EXPENSES</t>
        </is>
      </c>
      <c r="B534" t="inlineStr">
        <is>
          <t>N34</t>
        </is>
      </c>
      <c r="C534" t="n">
        <v>34</v>
      </c>
      <c r="D534" t="n">
        <v>14</v>
      </c>
      <c r="E534" t="inlineStr">
        <is>
          <t>Output</t>
        </is>
      </c>
      <c r="F534" t="inlineStr">
        <is>
          <t>'=SUBTOTAL(109,TrainingAndTravelActual[Dec])</t>
        </is>
      </c>
      <c r="G534" t="n">
        <v>0</v>
      </c>
      <c r="H534" t="inlineStr"/>
      <c r="I534" t="inlineStr">
        <is>
          <t>"$"#,##0.00_);[Red]\("$"#,##0.00\)</t>
        </is>
      </c>
      <c r="J534" t="b">
        <v>0</v>
      </c>
      <c r="K534" t="b">
        <v>0</v>
      </c>
      <c r="L534" t="n">
        <v>10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>
        <f>SUBTOTAL(109,TrainingAndTravelActual[Dec])</f>
        <v/>
      </c>
    </row>
    <row r="535">
      <c r="A535" t="inlineStr">
        <is>
          <t>ACTUAL EXPENSES</t>
        </is>
      </c>
      <c r="B535" t="inlineStr">
        <is>
          <t>O34</t>
        </is>
      </c>
      <c r="C535" t="n">
        <v>34</v>
      </c>
      <c r="D535" t="n">
        <v>15</v>
      </c>
      <c r="E535" t="inlineStr">
        <is>
          <t>Output</t>
        </is>
      </c>
      <c r="F535" t="inlineStr">
        <is>
          <t>'=SUBTOTAL(109,TrainingAndTravelActual[YEAR])</t>
        </is>
      </c>
      <c r="G535" t="n">
        <v>21300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10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>
        <f>SUBTOTAL(109,TrainingAndTravelActual[YEAR])</f>
        <v/>
      </c>
    </row>
    <row r="536">
      <c r="A536" t="inlineStr">
        <is>
          <t>ACTUAL EXPENSES</t>
        </is>
      </c>
      <c r="B536" t="inlineStr">
        <is>
          <t>P34</t>
        </is>
      </c>
      <c r="C536" t="n">
        <v>34</v>
      </c>
      <c r="D536" t="n">
        <v>16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n">
        <v/>
      </c>
      <c r="P536" t="n">
        <v/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ACTUAL EXPENSES</t>
        </is>
      </c>
      <c r="B537" t="inlineStr">
        <is>
          <t>A35</t>
        </is>
      </c>
      <c r="C537" t="n">
        <v>35</v>
      </c>
      <c r="D537" t="n">
        <v>1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n">
        <v/>
      </c>
      <c r="P537" t="n">
        <v/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ACTUAL EXPENSES</t>
        </is>
      </c>
      <c r="B538" t="inlineStr">
        <is>
          <t>B35</t>
        </is>
      </c>
      <c r="C538" t="n">
        <v>35</v>
      </c>
      <c r="D538" t="n">
        <v>2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10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n">
        <v/>
      </c>
      <c r="P538" t="n">
        <v/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ACTUAL EXPENSES</t>
        </is>
      </c>
      <c r="B539" t="inlineStr">
        <is>
          <t>C35</t>
        </is>
      </c>
      <c r="C539" t="n">
        <v>35</v>
      </c>
      <c r="D539" t="n">
        <v>3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10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n">
        <v/>
      </c>
      <c r="P539" t="n">
        <v/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ACTUAL EXPENSES</t>
        </is>
      </c>
      <c r="B540" t="inlineStr">
        <is>
          <t>D35</t>
        </is>
      </c>
      <c r="C540" t="n">
        <v>35</v>
      </c>
      <c r="D540" t="n">
        <v>4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10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n">
        <v/>
      </c>
      <c r="P540" t="n">
        <v/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ACTUAL EXPENSES</t>
        </is>
      </c>
      <c r="B541" t="inlineStr">
        <is>
          <t>E35</t>
        </is>
      </c>
      <c r="C541" t="n">
        <v>35</v>
      </c>
      <c r="D541" t="n">
        <v>5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10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n">
        <v/>
      </c>
      <c r="P541" t="n">
        <v/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ACTUAL EXPENSES</t>
        </is>
      </c>
      <c r="B542" t="inlineStr">
        <is>
          <t>F35</t>
        </is>
      </c>
      <c r="C542" t="n">
        <v>35</v>
      </c>
      <c r="D542" t="n">
        <v>6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10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n">
        <v/>
      </c>
      <c r="P542" t="n">
        <v/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ACTUAL EXPENSES</t>
        </is>
      </c>
      <c r="B543" t="inlineStr">
        <is>
          <t>G35</t>
        </is>
      </c>
      <c r="C543" t="n">
        <v>35</v>
      </c>
      <c r="D543" t="n">
        <v>7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10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n">
        <v/>
      </c>
      <c r="P543" t="n">
        <v/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ACTUAL EXPENSES</t>
        </is>
      </c>
      <c r="B544" t="inlineStr">
        <is>
          <t>H35</t>
        </is>
      </c>
      <c r="C544" t="n">
        <v>35</v>
      </c>
      <c r="D544" t="n">
        <v>8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10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n">
        <v/>
      </c>
      <c r="P544" t="n">
        <v/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ACTUAL EXPENSES</t>
        </is>
      </c>
      <c r="B545" t="inlineStr">
        <is>
          <t>I35</t>
        </is>
      </c>
      <c r="C545" t="n">
        <v>35</v>
      </c>
      <c r="D545" t="n">
        <v>9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1</v>
      </c>
      <c r="K545" t="b">
        <v>0</v>
      </c>
      <c r="L545" t="n">
        <v>10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n">
        <v/>
      </c>
      <c r="P545" t="n">
        <v/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ACTUAL EXPENSES</t>
        </is>
      </c>
      <c r="B546" t="inlineStr">
        <is>
          <t>J35</t>
        </is>
      </c>
      <c r="C546" t="n">
        <v>35</v>
      </c>
      <c r="D546" t="n">
        <v>10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1</v>
      </c>
      <c r="K546" t="b">
        <v>0</v>
      </c>
      <c r="L546" t="n">
        <v>10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n">
        <v/>
      </c>
      <c r="P546" t="n">
        <v/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ACTUAL EXPENSES</t>
        </is>
      </c>
      <c r="B547" t="inlineStr">
        <is>
          <t>K35</t>
        </is>
      </c>
      <c r="C547" t="n">
        <v>35</v>
      </c>
      <c r="D547" t="n">
        <v>11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1</v>
      </c>
      <c r="K547" t="b">
        <v>0</v>
      </c>
      <c r="L547" t="n">
        <v>10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n">
        <v/>
      </c>
      <c r="P547" t="n">
        <v/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ACTUAL EXPENSES</t>
        </is>
      </c>
      <c r="B548" t="inlineStr">
        <is>
          <t>L35</t>
        </is>
      </c>
      <c r="C548" t="n">
        <v>35</v>
      </c>
      <c r="D548" t="n">
        <v>12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1</v>
      </c>
      <c r="K548" t="b">
        <v>0</v>
      </c>
      <c r="L548" t="n">
        <v>10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n">
        <v/>
      </c>
      <c r="P548" t="n">
        <v/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ACTUAL EXPENSES</t>
        </is>
      </c>
      <c r="B549" t="inlineStr">
        <is>
          <t>M35</t>
        </is>
      </c>
      <c r="C549" t="n">
        <v>35</v>
      </c>
      <c r="D549" t="n">
        <v>13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1</v>
      </c>
      <c r="K549" t="b">
        <v>0</v>
      </c>
      <c r="L549" t="n">
        <v>10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n">
        <v/>
      </c>
      <c r="P549" t="n">
        <v/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ACTUAL EXPENSES</t>
        </is>
      </c>
      <c r="B550" t="inlineStr">
        <is>
          <t>N35</t>
        </is>
      </c>
      <c r="C550" t="n">
        <v>35</v>
      </c>
      <c r="D550" t="n">
        <v>14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1</v>
      </c>
      <c r="K550" t="b">
        <v>0</v>
      </c>
      <c r="L550" t="n">
        <v>10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n">
        <v/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ACTUAL EXPENSES</t>
        </is>
      </c>
      <c r="B551" t="inlineStr">
        <is>
          <t>O35</t>
        </is>
      </c>
      <c r="C551" t="n">
        <v>35</v>
      </c>
      <c r="D551" t="n">
        <v>15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1</v>
      </c>
      <c r="K551" t="b">
        <v>0</v>
      </c>
      <c r="L551" t="n">
        <v>10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n">
        <v/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ACTUAL EXPENSES</t>
        </is>
      </c>
      <c r="B552" t="inlineStr">
        <is>
          <t>P35</t>
        </is>
      </c>
      <c r="C552" t="n">
        <v>35</v>
      </c>
      <c r="D552" t="n">
        <v>16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n">
        <v/>
      </c>
      <c r="P552" t="n">
        <v/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ACTUAL EXPENSES</t>
        </is>
      </c>
      <c r="B553" t="inlineStr">
        <is>
          <t>A36</t>
        </is>
      </c>
      <c r="C553" t="n">
        <v>36</v>
      </c>
      <c r="D553" t="n">
        <v>1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n">
        <v/>
      </c>
      <c r="P553" t="inlineStr">
        <is>
          <t>center</t>
        </is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ACTUAL EXPENSES</t>
        </is>
      </c>
      <c r="B554" t="inlineStr">
        <is>
          <t>B36</t>
        </is>
      </c>
      <c r="C554" t="n">
        <v>36</v>
      </c>
      <c r="D554" t="n">
        <v>2</v>
      </c>
      <c r="E554" t="inlineStr">
        <is>
          <t>Input</t>
        </is>
      </c>
      <c r="F554" t="n">
        <v/>
      </c>
      <c r="G554" t="inlineStr">
        <is>
          <t>Totals</t>
        </is>
      </c>
      <c r="H554" t="inlineStr"/>
      <c r="I554" t="inlineStr">
        <is>
          <t>General</t>
        </is>
      </c>
      <c r="J554" t="b">
        <v>1</v>
      </c>
      <c r="K554" t="b">
        <v>0</v>
      </c>
      <c r="L554" t="n">
        <v>16</v>
      </c>
      <c r="M554" t="inlineStr">
        <is>
          <t>Values must be of type &lt;class 'str'&gt;</t>
        </is>
      </c>
      <c r="N554" t="inlineStr">
        <is>
          <t>Values must be of type &lt;class 'str'&gt;</t>
        </is>
      </c>
      <c r="O554" t="inlineStr">
        <is>
          <t>left</t>
        </is>
      </c>
      <c r="P554" t="inlineStr">
        <is>
          <t>center</t>
        </is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ACTUAL EXPENSES</t>
        </is>
      </c>
      <c r="B555" t="inlineStr">
        <is>
          <t>C36</t>
        </is>
      </c>
      <c r="C555" t="n">
        <v>36</v>
      </c>
      <c r="D555" t="n">
        <v>3</v>
      </c>
      <c r="E555" t="inlineStr">
        <is>
          <t>Input</t>
        </is>
      </c>
      <c r="F555" t="n">
        <v/>
      </c>
      <c r="G555" t="inlineStr">
        <is>
          <t>Jan</t>
        </is>
      </c>
      <c r="H555" t="inlineStr"/>
      <c r="I555" t="inlineStr">
        <is>
          <t>General</t>
        </is>
      </c>
      <c r="J555" t="b">
        <v>1</v>
      </c>
      <c r="K555" t="b">
        <v>0</v>
      </c>
      <c r="L555" t="n">
        <v>16</v>
      </c>
      <c r="M555" t="inlineStr">
        <is>
          <t>Values must be of type &lt;class 'str'&gt;</t>
        </is>
      </c>
      <c r="N555" t="inlineStr">
        <is>
          <t>Values must be of type &lt;class 'str'&gt;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ACTUAL EXPENSES</t>
        </is>
      </c>
      <c r="B556" t="inlineStr">
        <is>
          <t>D36</t>
        </is>
      </c>
      <c r="C556" t="n">
        <v>36</v>
      </c>
      <c r="D556" t="n">
        <v>4</v>
      </c>
      <c r="E556" t="inlineStr">
        <is>
          <t>Input</t>
        </is>
      </c>
      <c r="F556" t="n">
        <v/>
      </c>
      <c r="G556" t="inlineStr">
        <is>
          <t>Feb</t>
        </is>
      </c>
      <c r="H556" t="inlineStr"/>
      <c r="I556" t="inlineStr">
        <is>
          <t>General</t>
        </is>
      </c>
      <c r="J556" t="b">
        <v>1</v>
      </c>
      <c r="K556" t="b">
        <v>0</v>
      </c>
      <c r="L556" t="n">
        <v>16</v>
      </c>
      <c r="M556" t="inlineStr">
        <is>
          <t>Values must be of type &lt;class 'str'&gt;</t>
        </is>
      </c>
      <c r="N556" t="inlineStr">
        <is>
          <t>Values must be of type &lt;class 'str'&gt;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ACTUAL EXPENSES</t>
        </is>
      </c>
      <c r="B557" t="inlineStr">
        <is>
          <t>E36</t>
        </is>
      </c>
      <c r="C557" t="n">
        <v>36</v>
      </c>
      <c r="D557" t="n">
        <v>5</v>
      </c>
      <c r="E557" t="inlineStr">
        <is>
          <t>Input</t>
        </is>
      </c>
      <c r="F557" t="n">
        <v/>
      </c>
      <c r="G557" t="inlineStr">
        <is>
          <t>Mar</t>
        </is>
      </c>
      <c r="H557" t="inlineStr"/>
      <c r="I557" t="inlineStr">
        <is>
          <t>General</t>
        </is>
      </c>
      <c r="J557" t="b">
        <v>1</v>
      </c>
      <c r="K557" t="b">
        <v>0</v>
      </c>
      <c r="L557" t="n">
        <v>16</v>
      </c>
      <c r="M557" t="inlineStr">
        <is>
          <t>Values must be of type &lt;class 'str'&gt;</t>
        </is>
      </c>
      <c r="N557" t="inlineStr">
        <is>
          <t>Values must be of type &lt;class 'str'&gt;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</row>
    <row r="558">
      <c r="A558" t="inlineStr">
        <is>
          <t>ACTUAL EXPENSES</t>
        </is>
      </c>
      <c r="B558" t="inlineStr">
        <is>
          <t>F36</t>
        </is>
      </c>
      <c r="C558" t="n">
        <v>36</v>
      </c>
      <c r="D558" t="n">
        <v>6</v>
      </c>
      <c r="E558" t="inlineStr">
        <is>
          <t>Input</t>
        </is>
      </c>
      <c r="F558" t="n">
        <v/>
      </c>
      <c r="G558" t="inlineStr">
        <is>
          <t>Apr</t>
        </is>
      </c>
      <c r="H558" t="inlineStr"/>
      <c r="I558" t="inlineStr">
        <is>
          <t>General</t>
        </is>
      </c>
      <c r="J558" t="b">
        <v>1</v>
      </c>
      <c r="K558" t="b">
        <v>0</v>
      </c>
      <c r="L558" t="n">
        <v>16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inlineStr">
        <is>
          <t>center</t>
        </is>
      </c>
      <c r="P558" t="inlineStr">
        <is>
          <t>center</t>
        </is>
      </c>
      <c r="R558" t="b">
        <v>1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</row>
    <row r="559">
      <c r="A559" t="inlineStr">
        <is>
          <t>ACTUAL EXPENSES</t>
        </is>
      </c>
      <c r="B559" t="inlineStr">
        <is>
          <t>G36</t>
        </is>
      </c>
      <c r="C559" t="n">
        <v>36</v>
      </c>
      <c r="D559" t="n">
        <v>7</v>
      </c>
      <c r="E559" t="inlineStr">
        <is>
          <t>Input</t>
        </is>
      </c>
      <c r="F559" t="n">
        <v/>
      </c>
      <c r="G559" t="inlineStr">
        <is>
          <t>May</t>
        </is>
      </c>
      <c r="H559" t="inlineStr"/>
      <c r="I559" t="inlineStr">
        <is>
          <t>General</t>
        </is>
      </c>
      <c r="J559" t="b">
        <v>1</v>
      </c>
      <c r="K559" t="b">
        <v>0</v>
      </c>
      <c r="L559" t="n">
        <v>16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inlineStr">
        <is>
          <t>center</t>
        </is>
      </c>
      <c r="P559" t="inlineStr">
        <is>
          <t>center</t>
        </is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ACTUAL EXPENSES</t>
        </is>
      </c>
      <c r="B560" t="inlineStr">
        <is>
          <t>H36</t>
        </is>
      </c>
      <c r="C560" t="n">
        <v>36</v>
      </c>
      <c r="D560" t="n">
        <v>8</v>
      </c>
      <c r="E560" t="inlineStr">
        <is>
          <t>Input</t>
        </is>
      </c>
      <c r="F560" t="n">
        <v/>
      </c>
      <c r="G560" t="inlineStr">
        <is>
          <t>Jun</t>
        </is>
      </c>
      <c r="H560" t="inlineStr"/>
      <c r="I560" t="inlineStr">
        <is>
          <t>General</t>
        </is>
      </c>
      <c r="J560" t="b">
        <v>1</v>
      </c>
      <c r="K560" t="b">
        <v>0</v>
      </c>
      <c r="L560" t="n">
        <v>16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ACTUAL EXPENSES</t>
        </is>
      </c>
      <c r="B561" t="inlineStr">
        <is>
          <t>I36</t>
        </is>
      </c>
      <c r="C561" t="n">
        <v>36</v>
      </c>
      <c r="D561" t="n">
        <v>9</v>
      </c>
      <c r="E561" t="inlineStr">
        <is>
          <t>Input</t>
        </is>
      </c>
      <c r="F561" t="n">
        <v/>
      </c>
      <c r="G561" t="inlineStr">
        <is>
          <t>Jul</t>
        </is>
      </c>
      <c r="H561" t="inlineStr"/>
      <c r="I561" t="inlineStr">
        <is>
          <t>General</t>
        </is>
      </c>
      <c r="J561" t="b">
        <v>1</v>
      </c>
      <c r="K561" t="b">
        <v>0</v>
      </c>
      <c r="L561" t="n">
        <v>16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ACTUAL EXPENSES</t>
        </is>
      </c>
      <c r="B562" t="inlineStr">
        <is>
          <t>J36</t>
        </is>
      </c>
      <c r="C562" t="n">
        <v>36</v>
      </c>
      <c r="D562" t="n">
        <v>10</v>
      </c>
      <c r="E562" t="inlineStr">
        <is>
          <t>Input</t>
        </is>
      </c>
      <c r="F562" t="n">
        <v/>
      </c>
      <c r="G562" t="inlineStr">
        <is>
          <t>Aug</t>
        </is>
      </c>
      <c r="H562" t="inlineStr"/>
      <c r="I562" t="inlineStr">
        <is>
          <t>General</t>
        </is>
      </c>
      <c r="J562" t="b">
        <v>1</v>
      </c>
      <c r="K562" t="b">
        <v>0</v>
      </c>
      <c r="L562" t="n">
        <v>16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ACTUAL EXPENSES</t>
        </is>
      </c>
      <c r="B563" t="inlineStr">
        <is>
          <t>K36</t>
        </is>
      </c>
      <c r="C563" t="n">
        <v>36</v>
      </c>
      <c r="D563" t="n">
        <v>11</v>
      </c>
      <c r="E563" t="inlineStr">
        <is>
          <t>Input</t>
        </is>
      </c>
      <c r="F563" t="n">
        <v/>
      </c>
      <c r="G563" t="inlineStr">
        <is>
          <t>Sep</t>
        </is>
      </c>
      <c r="H563" t="inlineStr"/>
      <c r="I563" t="inlineStr">
        <is>
          <t>General</t>
        </is>
      </c>
      <c r="J563" t="b">
        <v>1</v>
      </c>
      <c r="K563" t="b">
        <v>0</v>
      </c>
      <c r="L563" t="n">
        <v>16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ACTUAL EXPENSES</t>
        </is>
      </c>
      <c r="B564" t="inlineStr">
        <is>
          <t>L36</t>
        </is>
      </c>
      <c r="C564" t="n">
        <v>36</v>
      </c>
      <c r="D564" t="n">
        <v>12</v>
      </c>
      <c r="E564" t="inlineStr">
        <is>
          <t>Input</t>
        </is>
      </c>
      <c r="F564" t="n">
        <v/>
      </c>
      <c r="G564" t="inlineStr">
        <is>
          <t>Oct</t>
        </is>
      </c>
      <c r="H564" t="inlineStr"/>
      <c r="I564" t="inlineStr">
        <is>
          <t>General</t>
        </is>
      </c>
      <c r="J564" t="b">
        <v>1</v>
      </c>
      <c r="K564" t="b">
        <v>0</v>
      </c>
      <c r="L564" t="n">
        <v>16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ACTUAL EXPENSES</t>
        </is>
      </c>
      <c r="B565" t="inlineStr">
        <is>
          <t>M36</t>
        </is>
      </c>
      <c r="C565" t="n">
        <v>36</v>
      </c>
      <c r="D565" t="n">
        <v>13</v>
      </c>
      <c r="E565" t="inlineStr">
        <is>
          <t>Input</t>
        </is>
      </c>
      <c r="F565" t="n">
        <v/>
      </c>
      <c r="G565" t="inlineStr">
        <is>
          <t>Nov</t>
        </is>
      </c>
      <c r="H565" t="inlineStr"/>
      <c r="I565" t="inlineStr">
        <is>
          <t>General</t>
        </is>
      </c>
      <c r="J565" t="b">
        <v>1</v>
      </c>
      <c r="K565" t="b">
        <v>0</v>
      </c>
      <c r="L565" t="n">
        <v>16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ACTUAL EXPENSES</t>
        </is>
      </c>
      <c r="B566" t="inlineStr">
        <is>
          <t>N36</t>
        </is>
      </c>
      <c r="C566" t="n">
        <v>36</v>
      </c>
      <c r="D566" t="n">
        <v>14</v>
      </c>
      <c r="E566" t="inlineStr">
        <is>
          <t>Input</t>
        </is>
      </c>
      <c r="F566" t="n">
        <v/>
      </c>
      <c r="G566" t="inlineStr">
        <is>
          <t>Dec</t>
        </is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16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ACTUAL EXPENSES</t>
        </is>
      </c>
      <c r="B567" t="inlineStr">
        <is>
          <t>O36</t>
        </is>
      </c>
      <c r="C567" t="n">
        <v>36</v>
      </c>
      <c r="D567" t="n">
        <v>15</v>
      </c>
      <c r="E567" t="inlineStr">
        <is>
          <t>Input</t>
        </is>
      </c>
      <c r="F567" t="n">
        <v/>
      </c>
      <c r="G567" t="inlineStr">
        <is>
          <t>Year</t>
        </is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16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inlineStr">
        <is>
          <t>center</t>
        </is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ACTUAL EXPENSES</t>
        </is>
      </c>
      <c r="B568" t="inlineStr">
        <is>
          <t>P36</t>
        </is>
      </c>
      <c r="C568" t="n">
        <v>36</v>
      </c>
      <c r="D568" t="n">
        <v>16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n">
        <v/>
      </c>
      <c r="P568" t="n">
        <v/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ACTUAL EXPENSES</t>
        </is>
      </c>
      <c r="B569" t="inlineStr">
        <is>
          <t>A37</t>
        </is>
      </c>
      <c r="C569" t="n">
        <v>37</v>
      </c>
      <c r="D569" t="n">
        <v>1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n">
        <v/>
      </c>
      <c r="P569" t="n">
        <v/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ACTUAL EXPENSES</t>
        </is>
      </c>
      <c r="B570" t="inlineStr">
        <is>
          <t>B37</t>
        </is>
      </c>
      <c r="C570" t="n">
        <v>37</v>
      </c>
      <c r="D570" t="n">
        <v>2</v>
      </c>
      <c r="E570" t="inlineStr">
        <is>
          <t>Input</t>
        </is>
      </c>
      <c r="F570" t="n">
        <v/>
      </c>
      <c r="G570" t="inlineStr">
        <is>
          <t>Monthly actual expenses</t>
        </is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12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inlineStr">
        <is>
          <t>left</t>
        </is>
      </c>
      <c r="P570" t="inlineStr">
        <is>
          <t>center</t>
        </is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ACTUAL EXPENSES</t>
        </is>
      </c>
      <c r="B571" t="inlineStr">
        <is>
          <t>C37</t>
        </is>
      </c>
      <c r="C571" t="n">
        <v>37</v>
      </c>
      <c r="D571" t="n">
        <v>3</v>
      </c>
      <c r="E571" t="inlineStr">
        <is>
          <t>Calculation</t>
        </is>
      </c>
      <c r="F571" t="inlineStr">
        <is>
          <t>'=TrainingAndTravelActual[[#Totals],[Jan]]+MarketingActual[[#Totals],[Jan]]+OfficeActual[[#Totals],[Jan]]+EmployeeActual[[#Totals],[Jan]]</t>
        </is>
      </c>
      <c r="G571" t="n">
        <v>129682</v>
      </c>
      <c r="H571" t="inlineStr"/>
      <c r="I571" t="inlineStr">
        <is>
          <t>"$"#,##0.00_);[Red]\("$"#,##0.00\)</t>
        </is>
      </c>
      <c r="J571" t="b">
        <v>0</v>
      </c>
      <c r="K571" t="b">
        <v>0</v>
      </c>
      <c r="L571" t="n">
        <v>10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>
        <f>TrainingAndTravelActual[[#Totals],[Jan]]+MarketingActual[[#Totals],[Jan]]+OfficeActual[[#Totals],[Jan]]+EmployeeActual[[#Totals],[Jan]]</f>
        <v/>
      </c>
    </row>
    <row r="572">
      <c r="A572" t="inlineStr">
        <is>
          <t>ACTUAL EXPENSES</t>
        </is>
      </c>
      <c r="B572" t="inlineStr">
        <is>
          <t>D37</t>
        </is>
      </c>
      <c r="C572" t="n">
        <v>37</v>
      </c>
      <c r="D572" t="n">
        <v>4</v>
      </c>
      <c r="E572" t="inlineStr">
        <is>
          <t>Calculation</t>
        </is>
      </c>
      <c r="F572" t="inlineStr">
        <is>
          <t>'=TrainingAndTravelActual[[#Totals],[Feb]]+MarketingActual[[#Totals],[Feb]]+OfficeActual[[#Totals],[Feb]]+EmployeeActual[[#Totals],[Feb]]</t>
        </is>
      </c>
      <c r="G572" t="n">
        <v>127804</v>
      </c>
      <c r="H572" t="inlineStr"/>
      <c r="I572" t="inlineStr">
        <is>
          <t>"$"#,##0.00_);[Red]\("$"#,##0.00\)</t>
        </is>
      </c>
      <c r="J572" t="b">
        <v>0</v>
      </c>
      <c r="K572" t="b">
        <v>0</v>
      </c>
      <c r="L572" t="n">
        <v>10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inlineStr">
        <is>
          <t>center</t>
        </is>
      </c>
      <c r="P572" t="inlineStr">
        <is>
          <t>center</t>
        </is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>
        <f>TrainingAndTravelActual[[#Totals],[Feb]]+MarketingActual[[#Totals],[Feb]]+OfficeActual[[#Totals],[Feb]]+EmployeeActual[[#Totals],[Feb]]</f>
        <v/>
      </c>
    </row>
    <row r="573">
      <c r="A573" t="inlineStr">
        <is>
          <t>ACTUAL EXPENSES</t>
        </is>
      </c>
      <c r="B573" t="inlineStr">
        <is>
          <t>E37</t>
        </is>
      </c>
      <c r="C573" t="n">
        <v>37</v>
      </c>
      <c r="D573" t="n">
        <v>5</v>
      </c>
      <c r="E573" t="inlineStr">
        <is>
          <t>Calculation</t>
        </is>
      </c>
      <c r="F573" t="inlineStr">
        <is>
          <t>'=TrainingAndTravelActual[[#Totals],[Mar]]+MarketingActual[[#Totals],[Mar]]+OfficeActual[[#Totals],[Mar]]+EmployeeActual[[#Totals],[Mar]]</t>
        </is>
      </c>
      <c r="G573" t="n">
        <v>125565</v>
      </c>
      <c r="H573" t="inlineStr"/>
      <c r="I573" t="inlineStr">
        <is>
          <t>"$"#,##0.00_);[Red]\("$"#,##0.00\)</t>
        </is>
      </c>
      <c r="J573" t="b">
        <v>0</v>
      </c>
      <c r="K573" t="b">
        <v>0</v>
      </c>
      <c r="L573" t="n">
        <v>10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inlineStr">
        <is>
          <t>center</t>
        </is>
      </c>
      <c r="P573" t="inlineStr">
        <is>
          <t>center</t>
        </is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>
        <f>TrainingAndTravelActual[[#Totals],[Mar]]+MarketingActual[[#Totals],[Mar]]+OfficeActual[[#Totals],[Mar]]+EmployeeActual[[#Totals],[Mar]]</f>
        <v/>
      </c>
    </row>
    <row r="574">
      <c r="A574" t="inlineStr">
        <is>
          <t>ACTUAL EXPENSES</t>
        </is>
      </c>
      <c r="B574" t="inlineStr">
        <is>
          <t>F37</t>
        </is>
      </c>
      <c r="C574" t="n">
        <v>37</v>
      </c>
      <c r="D574" t="n">
        <v>6</v>
      </c>
      <c r="E574" t="inlineStr">
        <is>
          <t>Calculation</t>
        </is>
      </c>
      <c r="F574" t="inlineStr">
        <is>
          <t>'=TrainingAndTravelActual[[#Totals],[Apr]]+MarketingActual[[#Totals],[Apr]]+OfficeActual[[#Totals],[Apr]]+EmployeeActual[[#Totals],[Apr]]</t>
        </is>
      </c>
      <c r="G574" t="n">
        <v>137394</v>
      </c>
      <c r="H574" t="inlineStr"/>
      <c r="I574" t="inlineStr">
        <is>
          <t>"$"#,##0.00_);[Red]\("$"#,##0.00\)</t>
        </is>
      </c>
      <c r="J574" t="b">
        <v>0</v>
      </c>
      <c r="K574" t="b">
        <v>0</v>
      </c>
      <c r="L574" t="n">
        <v>10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inlineStr">
        <is>
          <t>center</t>
        </is>
      </c>
      <c r="P574" t="inlineStr">
        <is>
          <t>center</t>
        </is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>
        <f>TrainingAndTravelActual[[#Totals],[Apr]]+MarketingActual[[#Totals],[Apr]]+OfficeActual[[#Totals],[Apr]]+EmployeeActual[[#Totals],[Apr]]</f>
        <v/>
      </c>
    </row>
    <row r="575">
      <c r="A575" t="inlineStr">
        <is>
          <t>ACTUAL EXPENSES</t>
        </is>
      </c>
      <c r="B575" t="inlineStr">
        <is>
          <t>G37</t>
        </is>
      </c>
      <c r="C575" t="n">
        <v>37</v>
      </c>
      <c r="D575" t="n">
        <v>7</v>
      </c>
      <c r="E575" t="inlineStr">
        <is>
          <t>Calculation</t>
        </is>
      </c>
      <c r="F575" t="inlineStr">
        <is>
          <t>'=TrainingAndTravelActual[[#Totals],[May]]+MarketingActual[[#Totals],[May]]+OfficeActual[[#Totals],[May]]+EmployeeActual[[#Totals],[May]]</t>
        </is>
      </c>
      <c r="G575" t="n">
        <v>128255</v>
      </c>
      <c r="H575" t="inlineStr"/>
      <c r="I575" t="inlineStr">
        <is>
          <t>"$"#,##0.00_);[Red]\("$"#,##0.00\)</t>
        </is>
      </c>
      <c r="J575" t="b">
        <v>0</v>
      </c>
      <c r="K575" t="b">
        <v>0</v>
      </c>
      <c r="L575" t="n">
        <v>10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center</t>
        </is>
      </c>
      <c r="P575" t="inlineStr">
        <is>
          <t>center</t>
        </is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>
        <f>TrainingAndTravelActual[[#Totals],[May]]+MarketingActual[[#Totals],[May]]+OfficeActual[[#Totals],[May]]+EmployeeActual[[#Totals],[May]]</f>
        <v/>
      </c>
    </row>
    <row r="576">
      <c r="A576" t="inlineStr">
        <is>
          <t>ACTUAL EXPENSES</t>
        </is>
      </c>
      <c r="B576" t="inlineStr">
        <is>
          <t>H37</t>
        </is>
      </c>
      <c r="C576" t="n">
        <v>37</v>
      </c>
      <c r="D576" t="n">
        <v>8</v>
      </c>
      <c r="E576" t="inlineStr">
        <is>
          <t>Calculation</t>
        </is>
      </c>
      <c r="F576" t="inlineStr">
        <is>
          <t>'=TrainingAndTravelActual[[#Totals],[Jun]]+MarketingActual[[#Totals],[Jun]]+OfficeActual[[#Totals],[Jun]]+EmployeeActual[[#Totals],[Jun]]</t>
        </is>
      </c>
      <c r="G576" t="n">
        <v>134239</v>
      </c>
      <c r="H576" t="inlineStr"/>
      <c r="I576" t="inlineStr">
        <is>
          <t>"$"#,##0.00_);[Red]\("$"#,##0.00\)</t>
        </is>
      </c>
      <c r="J576" t="b">
        <v>0</v>
      </c>
      <c r="K576" t="b">
        <v>0</v>
      </c>
      <c r="L576" t="n">
        <v>10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inlineStr">
        <is>
          <t>center</t>
        </is>
      </c>
      <c r="P576" t="inlineStr">
        <is>
          <t>center</t>
        </is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>
        <f>TrainingAndTravelActual[[#Totals],[Jun]]+MarketingActual[[#Totals],[Jun]]+OfficeActual[[#Totals],[Jun]]+EmployeeActual[[#Totals],[Jun]]</f>
        <v/>
      </c>
    </row>
    <row r="577">
      <c r="A577" t="inlineStr">
        <is>
          <t>ACTUAL EXPENSES</t>
        </is>
      </c>
      <c r="B577" t="inlineStr">
        <is>
          <t>I37</t>
        </is>
      </c>
      <c r="C577" t="n">
        <v>37</v>
      </c>
      <c r="D577" t="n">
        <v>9</v>
      </c>
      <c r="E577" t="inlineStr">
        <is>
          <t>Calculation</t>
        </is>
      </c>
      <c r="F577" t="inlineStr">
        <is>
          <t>'=TrainingAndTravelActual[[#Totals],[Jul]]+MarketingActual[[#Totals],[Jul]]+OfficeActual[[#Totals],[Jul]]+EmployeeActual[[#Totals],[Jul]]</t>
        </is>
      </c>
      <c r="G577" t="n">
        <v>0</v>
      </c>
      <c r="H577" t="inlineStr"/>
      <c r="I577" t="inlineStr">
        <is>
          <t>"$"#,##0.00_);[Red]\("$"#,##0.00\)</t>
        </is>
      </c>
      <c r="J577" t="b">
        <v>0</v>
      </c>
      <c r="K577" t="b">
        <v>0</v>
      </c>
      <c r="L577" t="n">
        <v>10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inlineStr">
        <is>
          <t>center</t>
        </is>
      </c>
      <c r="P577" t="inlineStr">
        <is>
          <t>center</t>
        </is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>
        <f>TrainingAndTravelActual[[#Totals],[Jul]]+MarketingActual[[#Totals],[Jul]]+OfficeActual[[#Totals],[Jul]]+EmployeeActual[[#Totals],[Jul]]</f>
        <v/>
      </c>
    </row>
    <row r="578">
      <c r="A578" t="inlineStr">
        <is>
          <t>ACTUAL EXPENSES</t>
        </is>
      </c>
      <c r="B578" t="inlineStr">
        <is>
          <t>J37</t>
        </is>
      </c>
      <c r="C578" t="n">
        <v>37</v>
      </c>
      <c r="D578" t="n">
        <v>10</v>
      </c>
      <c r="E578" t="inlineStr">
        <is>
          <t>Calculation</t>
        </is>
      </c>
      <c r="F578" t="inlineStr">
        <is>
          <t>'=TrainingAndTravelActual[[#Totals],[Aug]]+MarketingActual[[#Totals],[Aug]]+OfficeActual[[#Totals],[Aug]]+EmployeeActual[[#Totals],[Aug]]</t>
        </is>
      </c>
      <c r="G578" t="n">
        <v>0</v>
      </c>
      <c r="H578" t="inlineStr"/>
      <c r="I578" t="inlineStr">
        <is>
          <t>"$"#,##0.00_);[Red]\("$"#,##0.00\)</t>
        </is>
      </c>
      <c r="J578" t="b">
        <v>0</v>
      </c>
      <c r="K578" t="b">
        <v>0</v>
      </c>
      <c r="L578" t="n">
        <v>10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>
        <f>TrainingAndTravelActual[[#Totals],[Aug]]+MarketingActual[[#Totals],[Aug]]+OfficeActual[[#Totals],[Aug]]+EmployeeActual[[#Totals],[Aug]]</f>
        <v/>
      </c>
    </row>
    <row r="579">
      <c r="A579" t="inlineStr">
        <is>
          <t>ACTUAL EXPENSES</t>
        </is>
      </c>
      <c r="B579" t="inlineStr">
        <is>
          <t>K37</t>
        </is>
      </c>
      <c r="C579" t="n">
        <v>37</v>
      </c>
      <c r="D579" t="n">
        <v>11</v>
      </c>
      <c r="E579" t="inlineStr">
        <is>
          <t>Calculation</t>
        </is>
      </c>
      <c r="F579" t="inlineStr">
        <is>
          <t>'=TrainingAndTravelActual[[#Totals],[Sep]]+MarketingActual[[#Totals],[Sep]]+OfficeActual[[#Totals],[Sep]]+EmployeeActual[[#Totals],[Sep]]</t>
        </is>
      </c>
      <c r="G579" t="n">
        <v>0</v>
      </c>
      <c r="H579" t="inlineStr"/>
      <c r="I579" t="inlineStr">
        <is>
          <t>"$"#,##0.00_);[Red]\("$"#,##0.00\)</t>
        </is>
      </c>
      <c r="J579" t="b">
        <v>0</v>
      </c>
      <c r="K579" t="b">
        <v>0</v>
      </c>
      <c r="L579" t="n">
        <v>10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>
        <f>TrainingAndTravelActual[[#Totals],[Sep]]+MarketingActual[[#Totals],[Sep]]+OfficeActual[[#Totals],[Sep]]+EmployeeActual[[#Totals],[Sep]]</f>
        <v/>
      </c>
    </row>
    <row r="580">
      <c r="A580" t="inlineStr">
        <is>
          <t>ACTUAL EXPENSES</t>
        </is>
      </c>
      <c r="B580" t="inlineStr">
        <is>
          <t>L37</t>
        </is>
      </c>
      <c r="C580" t="n">
        <v>37</v>
      </c>
      <c r="D580" t="n">
        <v>12</v>
      </c>
      <c r="E580" t="inlineStr">
        <is>
          <t>Calculation</t>
        </is>
      </c>
      <c r="F580" t="inlineStr">
        <is>
          <t>'=TrainingAndTravelActual[[#Totals],[Oct]]+MarketingActual[[#Totals],[Oct]]+OfficeActual[[#Totals],[Oct]]+EmployeeActual[[#Totals],[Oct]]</t>
        </is>
      </c>
      <c r="G580" t="n">
        <v>0</v>
      </c>
      <c r="H580" t="inlineStr"/>
      <c r="I580" t="inlineStr">
        <is>
          <t>"$"#,##0.00_);[Red]\("$"#,##0.00\)</t>
        </is>
      </c>
      <c r="J580" t="b">
        <v>0</v>
      </c>
      <c r="K580" t="b">
        <v>0</v>
      </c>
      <c r="L580" t="n">
        <v>10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>
        <f>TrainingAndTravelActual[[#Totals],[Oct]]+MarketingActual[[#Totals],[Oct]]+OfficeActual[[#Totals],[Oct]]+EmployeeActual[[#Totals],[Oct]]</f>
        <v/>
      </c>
    </row>
    <row r="581">
      <c r="A581" t="inlineStr">
        <is>
          <t>ACTUAL EXPENSES</t>
        </is>
      </c>
      <c r="B581" t="inlineStr">
        <is>
          <t>M37</t>
        </is>
      </c>
      <c r="C581" t="n">
        <v>37</v>
      </c>
      <c r="D581" t="n">
        <v>13</v>
      </c>
      <c r="E581" t="inlineStr">
        <is>
          <t>Calculation</t>
        </is>
      </c>
      <c r="F581" t="inlineStr">
        <is>
          <t>'=TrainingAndTravelActual[[#Totals],[Nov]]+MarketingActual[[#Totals],[Nov]]+OfficeActual[[#Totals],[Nov]]+EmployeeActual[[#Totals],[Nov]]</t>
        </is>
      </c>
      <c r="G581" t="n">
        <v>0</v>
      </c>
      <c r="H581" t="inlineStr"/>
      <c r="I581" t="inlineStr">
        <is>
          <t>"$"#,##0.00_);[Red]\("$"#,##0.00\)</t>
        </is>
      </c>
      <c r="J581" t="b">
        <v>0</v>
      </c>
      <c r="K581" t="b">
        <v>0</v>
      </c>
      <c r="L581" t="n">
        <v>10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>
        <f>TrainingAndTravelActual[[#Totals],[Nov]]+MarketingActual[[#Totals],[Nov]]+OfficeActual[[#Totals],[Nov]]+EmployeeActual[[#Totals],[Nov]]</f>
        <v/>
      </c>
    </row>
    <row r="582">
      <c r="A582" t="inlineStr">
        <is>
          <t>ACTUAL EXPENSES</t>
        </is>
      </c>
      <c r="B582" t="inlineStr">
        <is>
          <t>N37</t>
        </is>
      </c>
      <c r="C582" t="n">
        <v>37</v>
      </c>
      <c r="D582" t="n">
        <v>14</v>
      </c>
      <c r="E582" t="inlineStr">
        <is>
          <t>Calculation</t>
        </is>
      </c>
      <c r="F582" t="inlineStr">
        <is>
          <t>'=TrainingAndTravelActual[[#Totals],[Dec]]+MarketingActual[[#Totals],[Dec]]+OfficeActual[[#Totals],[Dec]]+EmployeeActual[[#Totals],[Dec]]</t>
        </is>
      </c>
      <c r="G582" t="n">
        <v>0</v>
      </c>
      <c r="H582" t="inlineStr"/>
      <c r="I582" t="inlineStr">
        <is>
          <t>"$"#,##0.00_);[Red]\("$"#,##0.00\)</t>
        </is>
      </c>
      <c r="J582" t="b">
        <v>0</v>
      </c>
      <c r="K582" t="b">
        <v>0</v>
      </c>
      <c r="L582" t="n">
        <v>10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>
        <f>TrainingAndTravelActual[[#Totals],[Dec]]+MarketingActual[[#Totals],[Dec]]+OfficeActual[[#Totals],[Dec]]+EmployeeActual[[#Totals],[Dec]]</f>
        <v/>
      </c>
    </row>
    <row r="583">
      <c r="A583" t="inlineStr">
        <is>
          <t>ACTUAL EXPENSES</t>
        </is>
      </c>
      <c r="B583" t="inlineStr">
        <is>
          <t>O37</t>
        </is>
      </c>
      <c r="C583" t="n">
        <v>37</v>
      </c>
      <c r="D583" t="n">
        <v>15</v>
      </c>
      <c r="E583" t="inlineStr">
        <is>
          <t>Calculation</t>
        </is>
      </c>
      <c r="F583" t="inlineStr">
        <is>
          <t>'=TrainingAndTravelActual[[#Totals],[YEAR]]+MarketingActual[[#Totals],[YEAR]]+OfficeActual[[#Totals],[YEAR]]+EmployeeActual[[#Totals],[YEAR]]</t>
        </is>
      </c>
      <c r="G583" t="n">
        <v>782939</v>
      </c>
      <c r="H583" t="inlineStr"/>
      <c r="I583" t="inlineStr">
        <is>
          <t>"$"#,##0.00_);[Red]\("$"#,##0.00\)</t>
        </is>
      </c>
      <c r="J583" t="b">
        <v>0</v>
      </c>
      <c r="K583" t="b">
        <v>0</v>
      </c>
      <c r="L583" t="n">
        <v>10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>
        <f>TrainingAndTravelActual[[#Totals],[YEAR]]+MarketingActual[[#Totals],[YEAR]]+OfficeActual[[#Totals],[YEAR]]+EmployeeActual[[#Totals],[YEAR]]</f>
        <v/>
      </c>
    </row>
    <row r="584">
      <c r="A584" t="inlineStr">
        <is>
          <t>ACTUAL EXPENSES</t>
        </is>
      </c>
      <c r="B584" t="inlineStr">
        <is>
          <t>P37</t>
        </is>
      </c>
      <c r="C584" t="n">
        <v>37</v>
      </c>
      <c r="D584" t="n">
        <v>16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14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n">
        <v/>
      </c>
      <c r="P584" t="n">
        <v/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ACTUAL EXPENSES</t>
        </is>
      </c>
      <c r="B585" t="inlineStr">
        <is>
          <t>A38</t>
        </is>
      </c>
      <c r="C585" t="n">
        <v>38</v>
      </c>
      <c r="D585" t="n">
        <v>1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14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n">
        <v/>
      </c>
      <c r="P585" t="n">
        <v/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ACTUAL EXPENSES</t>
        </is>
      </c>
      <c r="B586" t="inlineStr">
        <is>
          <t>B38</t>
        </is>
      </c>
      <c r="C586" t="n">
        <v>38</v>
      </c>
      <c r="D586" t="n">
        <v>2</v>
      </c>
      <c r="E586" t="inlineStr">
        <is>
          <t>Input</t>
        </is>
      </c>
      <c r="F586" t="n">
        <v/>
      </c>
      <c r="G586" t="inlineStr">
        <is>
          <t>TOTAL actual expenses</t>
        </is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12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left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ACTUAL EXPENSES</t>
        </is>
      </c>
      <c r="B587" t="inlineStr">
        <is>
          <t>C38</t>
        </is>
      </c>
      <c r="C587" t="n">
        <v>38</v>
      </c>
      <c r="D587" t="n">
        <v>3</v>
      </c>
      <c r="E587" t="inlineStr">
        <is>
          <t>Output</t>
        </is>
      </c>
      <c r="F587" t="inlineStr">
        <is>
          <t>'=SUM($C$37:C37)</t>
        </is>
      </c>
      <c r="G587" t="n">
        <v>129682</v>
      </c>
      <c r="H587" t="inlineStr"/>
      <c r="I587" t="inlineStr">
        <is>
          <t>"$"#,##0.00_);[Red]\("$"#,##0.00\)</t>
        </is>
      </c>
      <c r="J587" t="b">
        <v>0</v>
      </c>
      <c r="K587" t="b">
        <v>0</v>
      </c>
      <c r="L587" t="n">
        <v>10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inlineStr">
        <is>
          <t>G000012</t>
        </is>
      </c>
      <c r="T587" t="inlineStr">
        <is>
          <t>Horizontal</t>
        </is>
      </c>
      <c r="U587" t="n">
        <v>12</v>
      </c>
      <c r="V587" t="b">
        <v>1</v>
      </c>
      <c r="W587" t="inlineStr">
        <is>
          <t>ACTUAL EXPENSES!C38:N38</t>
        </is>
      </c>
      <c r="X587">
        <f>SUM(R37C3:R[-1]C[0])</f>
        <v/>
      </c>
    </row>
    <row r="588">
      <c r="A588" t="inlineStr">
        <is>
          <t>ACTUAL EXPENSES</t>
        </is>
      </c>
      <c r="B588" t="inlineStr">
        <is>
          <t>D38</t>
        </is>
      </c>
      <c r="C588" t="n">
        <v>38</v>
      </c>
      <c r="D588" t="n">
        <v>4</v>
      </c>
      <c r="E588" t="inlineStr">
        <is>
          <t>Output</t>
        </is>
      </c>
      <c r="F588" t="inlineStr">
        <is>
          <t>'=SUM($C$37:D37)</t>
        </is>
      </c>
      <c r="G588" t="n">
        <v>257486</v>
      </c>
      <c r="H588" t="inlineStr"/>
      <c r="I588" t="inlineStr">
        <is>
          <t>"$"#,##0.00_);[Red]\("$"#,##0.00\)</t>
        </is>
      </c>
      <c r="J588" t="b">
        <v>0</v>
      </c>
      <c r="K588" t="b">
        <v>0</v>
      </c>
      <c r="L588" t="n">
        <v>10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inlineStr">
        <is>
          <t>G000012</t>
        </is>
      </c>
      <c r="T588" t="inlineStr">
        <is>
          <t>Horizontal</t>
        </is>
      </c>
      <c r="U588" t="n">
        <v>12</v>
      </c>
      <c r="V588" t="b">
        <v>1</v>
      </c>
      <c r="W588" t="inlineStr">
        <is>
          <t>ACTUAL EXPENSES!C38:N38</t>
        </is>
      </c>
      <c r="X588">
        <f>SUM(R37C3:R[-1]C[0])</f>
        <v/>
      </c>
    </row>
    <row r="589">
      <c r="A589" t="inlineStr">
        <is>
          <t>ACTUAL EXPENSES</t>
        </is>
      </c>
      <c r="B589" t="inlineStr">
        <is>
          <t>E38</t>
        </is>
      </c>
      <c r="C589" t="n">
        <v>38</v>
      </c>
      <c r="D589" t="n">
        <v>5</v>
      </c>
      <c r="E589" t="inlineStr">
        <is>
          <t>Output</t>
        </is>
      </c>
      <c r="F589" t="inlineStr">
        <is>
          <t>'=SUM($C$37:E37)</t>
        </is>
      </c>
      <c r="G589" t="n">
        <v>383051</v>
      </c>
      <c r="H589" t="inlineStr"/>
      <c r="I589" t="inlineStr">
        <is>
          <t>"$"#,##0.00_);[Red]\("$"#,##0.00\)</t>
        </is>
      </c>
      <c r="J589" t="b">
        <v>0</v>
      </c>
      <c r="K589" t="b">
        <v>0</v>
      </c>
      <c r="L589" t="n">
        <v>10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inlineStr">
        <is>
          <t>G000012</t>
        </is>
      </c>
      <c r="T589" t="inlineStr">
        <is>
          <t>Horizontal</t>
        </is>
      </c>
      <c r="U589" t="n">
        <v>12</v>
      </c>
      <c r="V589" t="b">
        <v>1</v>
      </c>
      <c r="W589" t="inlineStr">
        <is>
          <t>ACTUAL EXPENSES!C38:N38</t>
        </is>
      </c>
      <c r="X589">
        <f>SUM(R37C3:R[-1]C[0])</f>
        <v/>
      </c>
    </row>
    <row r="590">
      <c r="A590" t="inlineStr">
        <is>
          <t>ACTUAL EXPENSES</t>
        </is>
      </c>
      <c r="B590" t="inlineStr">
        <is>
          <t>F38</t>
        </is>
      </c>
      <c r="C590" t="n">
        <v>38</v>
      </c>
      <c r="D590" t="n">
        <v>6</v>
      </c>
      <c r="E590" t="inlineStr">
        <is>
          <t>Output</t>
        </is>
      </c>
      <c r="F590" t="inlineStr">
        <is>
          <t>'=SUM($C$37:F37)</t>
        </is>
      </c>
      <c r="G590" t="n">
        <v>520445</v>
      </c>
      <c r="H590" t="inlineStr"/>
      <c r="I590" t="inlineStr">
        <is>
          <t>"$"#,##0.00_);[Red]\("$"#,##0.00\)</t>
        </is>
      </c>
      <c r="J590" t="b">
        <v>0</v>
      </c>
      <c r="K590" t="b">
        <v>0</v>
      </c>
      <c r="L590" t="n">
        <v>10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inlineStr">
        <is>
          <t>G000012</t>
        </is>
      </c>
      <c r="T590" t="inlineStr">
        <is>
          <t>Horizontal</t>
        </is>
      </c>
      <c r="U590" t="n">
        <v>12</v>
      </c>
      <c r="V590" t="b">
        <v>1</v>
      </c>
      <c r="W590" t="inlineStr">
        <is>
          <t>ACTUAL EXPENSES!C38:N38</t>
        </is>
      </c>
      <c r="X590">
        <f>SUM(R37C3:R[-1]C[0])</f>
        <v/>
      </c>
    </row>
    <row r="591">
      <c r="A591" t="inlineStr">
        <is>
          <t>ACTUAL EXPENSES</t>
        </is>
      </c>
      <c r="B591" t="inlineStr">
        <is>
          <t>G38</t>
        </is>
      </c>
      <c r="C591" t="n">
        <v>38</v>
      </c>
      <c r="D591" t="n">
        <v>7</v>
      </c>
      <c r="E591" t="inlineStr">
        <is>
          <t>Output</t>
        </is>
      </c>
      <c r="F591" t="inlineStr">
        <is>
          <t>'=SUM($C$37:G37)</t>
        </is>
      </c>
      <c r="G591" t="n">
        <v>648700</v>
      </c>
      <c r="H591" t="inlineStr"/>
      <c r="I591" t="inlineStr">
        <is>
          <t>"$"#,##0.00_);[Red]\("$"#,##0.00\)</t>
        </is>
      </c>
      <c r="J591" t="b">
        <v>0</v>
      </c>
      <c r="K591" t="b">
        <v>0</v>
      </c>
      <c r="L591" t="n">
        <v>10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inlineStr">
        <is>
          <t>G000012</t>
        </is>
      </c>
      <c r="T591" t="inlineStr">
        <is>
          <t>Horizontal</t>
        </is>
      </c>
      <c r="U591" t="n">
        <v>12</v>
      </c>
      <c r="V591" t="b">
        <v>1</v>
      </c>
      <c r="W591" t="inlineStr">
        <is>
          <t>ACTUAL EXPENSES!C38:N38</t>
        </is>
      </c>
      <c r="X591">
        <f>SUM(R37C3:R[-1]C[0])</f>
        <v/>
      </c>
    </row>
    <row r="592">
      <c r="A592" t="inlineStr">
        <is>
          <t>ACTUAL EXPENSES</t>
        </is>
      </c>
      <c r="B592" t="inlineStr">
        <is>
          <t>H38</t>
        </is>
      </c>
      <c r="C592" t="n">
        <v>38</v>
      </c>
      <c r="D592" t="n">
        <v>8</v>
      </c>
      <c r="E592" t="inlineStr">
        <is>
          <t>Output</t>
        </is>
      </c>
      <c r="F592" t="inlineStr">
        <is>
          <t>'=SUM($C$37:H37)</t>
        </is>
      </c>
      <c r="G592" t="n">
        <v>782939</v>
      </c>
      <c r="H592" t="inlineStr"/>
      <c r="I592" t="inlineStr">
        <is>
          <t>"$"#,##0.00_);[Red]\("$"#,##0.00\)</t>
        </is>
      </c>
      <c r="J592" t="b">
        <v>0</v>
      </c>
      <c r="K592" t="b">
        <v>0</v>
      </c>
      <c r="L592" t="n">
        <v>10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G000012</t>
        </is>
      </c>
      <c r="T592" t="inlineStr">
        <is>
          <t>Horizontal</t>
        </is>
      </c>
      <c r="U592" t="n">
        <v>12</v>
      </c>
      <c r="V592" t="b">
        <v>1</v>
      </c>
      <c r="W592" t="inlineStr">
        <is>
          <t>ACTUAL EXPENSES!C38:N38</t>
        </is>
      </c>
      <c r="X592">
        <f>SUM(R37C3:R[-1]C[0])</f>
        <v/>
      </c>
    </row>
    <row r="593">
      <c r="A593" t="inlineStr">
        <is>
          <t>ACTUAL EXPENSES</t>
        </is>
      </c>
      <c r="B593" t="inlineStr">
        <is>
          <t>I38</t>
        </is>
      </c>
      <c r="C593" t="n">
        <v>38</v>
      </c>
      <c r="D593" t="n">
        <v>9</v>
      </c>
      <c r="E593" t="inlineStr">
        <is>
          <t>Output</t>
        </is>
      </c>
      <c r="F593" t="inlineStr">
        <is>
          <t>'=SUM($C$37:I37)</t>
        </is>
      </c>
      <c r="G593" t="n">
        <v>782939</v>
      </c>
      <c r="H593" t="inlineStr"/>
      <c r="I593" t="inlineStr">
        <is>
          <t>"$"#,##0.00_);[Red]\("$"#,##0.00\)</t>
        </is>
      </c>
      <c r="J593" t="b">
        <v>0</v>
      </c>
      <c r="K593" t="b">
        <v>0</v>
      </c>
      <c r="L593" t="n">
        <v>10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G000012</t>
        </is>
      </c>
      <c r="T593" t="inlineStr">
        <is>
          <t>Horizontal</t>
        </is>
      </c>
      <c r="U593" t="n">
        <v>12</v>
      </c>
      <c r="V593" t="b">
        <v>1</v>
      </c>
      <c r="W593" t="inlineStr">
        <is>
          <t>ACTUAL EXPENSES!C38:N38</t>
        </is>
      </c>
      <c r="X593">
        <f>SUM(R37C3:R[-1]C[0])</f>
        <v/>
      </c>
    </row>
    <row r="594">
      <c r="A594" t="inlineStr">
        <is>
          <t>ACTUAL EXPENSES</t>
        </is>
      </c>
      <c r="B594" t="inlineStr">
        <is>
          <t>J38</t>
        </is>
      </c>
      <c r="C594" t="n">
        <v>38</v>
      </c>
      <c r="D594" t="n">
        <v>10</v>
      </c>
      <c r="E594" t="inlineStr">
        <is>
          <t>Output</t>
        </is>
      </c>
      <c r="F594" t="inlineStr">
        <is>
          <t>'=SUM($C$37:J37)</t>
        </is>
      </c>
      <c r="G594" t="n">
        <v>782939</v>
      </c>
      <c r="H594" t="inlineStr"/>
      <c r="I594" t="inlineStr">
        <is>
          <t>"$"#,##0.00_);[Red]\("$"#,##0.00\)</t>
        </is>
      </c>
      <c r="J594" t="b">
        <v>0</v>
      </c>
      <c r="K594" t="b">
        <v>0</v>
      </c>
      <c r="L594" t="n">
        <v>10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inlineStr">
        <is>
          <t>center</t>
        </is>
      </c>
      <c r="R594" t="b">
        <v>1</v>
      </c>
      <c r="S594" t="inlineStr">
        <is>
          <t>G000012</t>
        </is>
      </c>
      <c r="T594" t="inlineStr">
        <is>
          <t>Horizontal</t>
        </is>
      </c>
      <c r="U594" t="n">
        <v>12</v>
      </c>
      <c r="V594" t="b">
        <v>1</v>
      </c>
      <c r="W594" t="inlineStr">
        <is>
          <t>ACTUAL EXPENSES!C38:N38</t>
        </is>
      </c>
      <c r="X594">
        <f>SUM(R37C3:R[-1]C[0])</f>
        <v/>
      </c>
    </row>
    <row r="595">
      <c r="A595" t="inlineStr">
        <is>
          <t>ACTUAL EXPENSES</t>
        </is>
      </c>
      <c r="B595" t="inlineStr">
        <is>
          <t>K38</t>
        </is>
      </c>
      <c r="C595" t="n">
        <v>38</v>
      </c>
      <c r="D595" t="n">
        <v>11</v>
      </c>
      <c r="E595" t="inlineStr">
        <is>
          <t>Output</t>
        </is>
      </c>
      <c r="F595" t="inlineStr">
        <is>
          <t>'=SUM($C$37:K37)</t>
        </is>
      </c>
      <c r="G595" t="n">
        <v>782939</v>
      </c>
      <c r="H595" t="inlineStr"/>
      <c r="I595" t="inlineStr">
        <is>
          <t>"$"#,##0.00_);[Red]\("$"#,##0.00\)</t>
        </is>
      </c>
      <c r="J595" t="b">
        <v>0</v>
      </c>
      <c r="K595" t="b">
        <v>0</v>
      </c>
      <c r="L595" t="n">
        <v>10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inlineStr">
        <is>
          <t>center</t>
        </is>
      </c>
      <c r="R595" t="b">
        <v>1</v>
      </c>
      <c r="S595" t="inlineStr">
        <is>
          <t>G000012</t>
        </is>
      </c>
      <c r="T595" t="inlineStr">
        <is>
          <t>Horizontal</t>
        </is>
      </c>
      <c r="U595" t="n">
        <v>12</v>
      </c>
      <c r="V595" t="b">
        <v>1</v>
      </c>
      <c r="W595" t="inlineStr">
        <is>
          <t>ACTUAL EXPENSES!C38:N38</t>
        </is>
      </c>
      <c r="X595">
        <f>SUM(R37C3:R[-1]C[0])</f>
        <v/>
      </c>
    </row>
    <row r="596">
      <c r="A596" t="inlineStr">
        <is>
          <t>ACTUAL EXPENSES</t>
        </is>
      </c>
      <c r="B596" t="inlineStr">
        <is>
          <t>L38</t>
        </is>
      </c>
      <c r="C596" t="n">
        <v>38</v>
      </c>
      <c r="D596" t="n">
        <v>12</v>
      </c>
      <c r="E596" t="inlineStr">
        <is>
          <t>Output</t>
        </is>
      </c>
      <c r="F596" t="inlineStr">
        <is>
          <t>'=SUM($C$37:L37)</t>
        </is>
      </c>
      <c r="G596" t="n">
        <v>782939</v>
      </c>
      <c r="H596" t="inlineStr"/>
      <c r="I596" t="inlineStr">
        <is>
          <t>"$"#,##0.00_);[Red]\("$"#,##0.00\)</t>
        </is>
      </c>
      <c r="J596" t="b">
        <v>0</v>
      </c>
      <c r="K596" t="b">
        <v>0</v>
      </c>
      <c r="L596" t="n">
        <v>10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G000012</t>
        </is>
      </c>
      <c r="T596" t="inlineStr">
        <is>
          <t>Horizontal</t>
        </is>
      </c>
      <c r="U596" t="n">
        <v>12</v>
      </c>
      <c r="V596" t="b">
        <v>1</v>
      </c>
      <c r="W596" t="inlineStr">
        <is>
          <t>ACTUAL EXPENSES!C38:N38</t>
        </is>
      </c>
      <c r="X596">
        <f>SUM(R37C3:R[-1]C[0])</f>
        <v/>
      </c>
    </row>
    <row r="597">
      <c r="A597" t="inlineStr">
        <is>
          <t>ACTUAL EXPENSES</t>
        </is>
      </c>
      <c r="B597" t="inlineStr">
        <is>
          <t>M38</t>
        </is>
      </c>
      <c r="C597" t="n">
        <v>38</v>
      </c>
      <c r="D597" t="n">
        <v>13</v>
      </c>
      <c r="E597" t="inlineStr">
        <is>
          <t>Output</t>
        </is>
      </c>
      <c r="F597" t="inlineStr">
        <is>
          <t>'=SUM($C$37:M37)</t>
        </is>
      </c>
      <c r="G597" t="n">
        <v>782939</v>
      </c>
      <c r="H597" t="inlineStr"/>
      <c r="I597" t="inlineStr">
        <is>
          <t>"$"#,##0.00_);[Red]\("$"#,##0.00\)</t>
        </is>
      </c>
      <c r="J597" t="b">
        <v>0</v>
      </c>
      <c r="K597" t="b">
        <v>0</v>
      </c>
      <c r="L597" t="n">
        <v>10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G000012</t>
        </is>
      </c>
      <c r="T597" t="inlineStr">
        <is>
          <t>Horizontal</t>
        </is>
      </c>
      <c r="U597" t="n">
        <v>12</v>
      </c>
      <c r="V597" t="b">
        <v>1</v>
      </c>
      <c r="W597" t="inlineStr">
        <is>
          <t>ACTUAL EXPENSES!C38:N38</t>
        </is>
      </c>
      <c r="X597">
        <f>SUM(R37C3:R[-1]C[0])</f>
        <v/>
      </c>
    </row>
    <row r="598">
      <c r="A598" t="inlineStr">
        <is>
          <t>ACTUAL EXPENSES</t>
        </is>
      </c>
      <c r="B598" t="inlineStr">
        <is>
          <t>N38</t>
        </is>
      </c>
      <c r="C598" t="n">
        <v>38</v>
      </c>
      <c r="D598" t="n">
        <v>14</v>
      </c>
      <c r="E598" t="inlineStr">
        <is>
          <t>Output</t>
        </is>
      </c>
      <c r="F598" t="inlineStr">
        <is>
          <t>'=SUM($C$37:N37)</t>
        </is>
      </c>
      <c r="G598" t="n">
        <v>782939</v>
      </c>
      <c r="H598" t="inlineStr"/>
      <c r="I598" t="inlineStr">
        <is>
          <t>"$"#,##0.00_);[Red]\("$"#,##0.00\)</t>
        </is>
      </c>
      <c r="J598" t="b">
        <v>0</v>
      </c>
      <c r="K598" t="b">
        <v>0</v>
      </c>
      <c r="L598" t="n">
        <v>10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G000012</t>
        </is>
      </c>
      <c r="T598" t="inlineStr">
        <is>
          <t>Horizontal</t>
        </is>
      </c>
      <c r="U598" t="n">
        <v>12</v>
      </c>
      <c r="V598" t="b">
        <v>1</v>
      </c>
      <c r="W598" t="inlineStr">
        <is>
          <t>ACTUAL EXPENSES!C38:N38</t>
        </is>
      </c>
      <c r="X598">
        <f>SUM(R37C3:R[-1]C[0])</f>
        <v/>
      </c>
    </row>
    <row r="599">
      <c r="A599" t="inlineStr">
        <is>
          <t>ACTUAL EXPENSES</t>
        </is>
      </c>
      <c r="B599" t="inlineStr">
        <is>
          <t>O38</t>
        </is>
      </c>
      <c r="C599" t="n">
        <v>38</v>
      </c>
      <c r="D599" t="n">
        <v>15</v>
      </c>
      <c r="E599" t="inlineStr">
        <is>
          <t>Input</t>
        </is>
      </c>
      <c r="F599" t="n">
        <v/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10</v>
      </c>
      <c r="M599" t="inlineStr">
        <is>
          <t>Values must be of type &lt;class 'str'&gt;</t>
        </is>
      </c>
      <c r="N599" t="inlineStr">
        <is>
          <t>Values must be of type &lt;class 'str'&gt;</t>
        </is>
      </c>
      <c r="O599" t="inlineStr">
        <is>
          <t>center</t>
        </is>
      </c>
      <c r="P599" t="inlineStr">
        <is>
          <t>center</t>
        </is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</row>
    <row r="600">
      <c r="A600" t="inlineStr">
        <is>
          <t>ACTUAL EXPENSES</t>
        </is>
      </c>
      <c r="B600" t="inlineStr">
        <is>
          <t>P38</t>
        </is>
      </c>
      <c r="C600" t="n">
        <v>38</v>
      </c>
      <c r="D600" t="n">
        <v>16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M600" t="inlineStr">
        <is>
          <t>Values must be of type &lt;class 'str'&gt;</t>
        </is>
      </c>
      <c r="N600" t="inlineStr">
        <is>
          <t>Values must be of type &lt;class 'str'&gt;</t>
        </is>
      </c>
      <c r="O600" t="n">
        <v/>
      </c>
      <c r="P600" t="n">
        <v/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ACTUAL EXPENSES</t>
        </is>
      </c>
      <c r="B601" t="inlineStr">
        <is>
          <t>A39</t>
        </is>
      </c>
      <c r="C601" t="n">
        <v>39</v>
      </c>
      <c r="D601" t="n">
        <v>1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M601" t="inlineStr">
        <is>
          <t>Values must be of type &lt;class 'str'&gt;</t>
        </is>
      </c>
      <c r="N601" t="inlineStr">
        <is>
          <t>Values must be of type &lt;class 'str'&gt;</t>
        </is>
      </c>
      <c r="O601" t="n">
        <v/>
      </c>
      <c r="P601" t="n">
        <v/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ACTUAL EXPENSES</t>
        </is>
      </c>
      <c r="B602" t="inlineStr">
        <is>
          <t>B39</t>
        </is>
      </c>
      <c r="C602" t="n">
        <v>39</v>
      </c>
      <c r="D602" t="n">
        <v>2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10</v>
      </c>
      <c r="M602" t="inlineStr">
        <is>
          <t>Values must be of type &lt;class 'str'&gt;</t>
        </is>
      </c>
      <c r="N602" t="inlineStr">
        <is>
          <t>Values must be of type &lt;class 'str'&gt;</t>
        </is>
      </c>
      <c r="O602" t="n">
        <v/>
      </c>
      <c r="P602" t="n">
        <v/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ACTUAL EXPENSES</t>
        </is>
      </c>
      <c r="B603" t="inlineStr">
        <is>
          <t>C39</t>
        </is>
      </c>
      <c r="C603" t="n">
        <v>39</v>
      </c>
      <c r="D603" t="n">
        <v>3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10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n">
        <v/>
      </c>
      <c r="P603" t="n">
        <v/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ACTUAL EXPENSES</t>
        </is>
      </c>
      <c r="B604" t="inlineStr">
        <is>
          <t>D39</t>
        </is>
      </c>
      <c r="C604" t="n">
        <v>39</v>
      </c>
      <c r="D604" t="n">
        <v>4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10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n">
        <v/>
      </c>
      <c r="P604" t="n">
        <v/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ACTUAL EXPENSES</t>
        </is>
      </c>
      <c r="B605" t="inlineStr">
        <is>
          <t>E39</t>
        </is>
      </c>
      <c r="C605" t="n">
        <v>39</v>
      </c>
      <c r="D605" t="n">
        <v>5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10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n">
        <v/>
      </c>
      <c r="P605" t="n">
        <v/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ACTUAL EXPENSES</t>
        </is>
      </c>
      <c r="B606" t="inlineStr">
        <is>
          <t>F39</t>
        </is>
      </c>
      <c r="C606" t="n">
        <v>39</v>
      </c>
      <c r="D606" t="n">
        <v>6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10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n">
        <v/>
      </c>
      <c r="P606" t="n">
        <v/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ACTUAL EXPENSES</t>
        </is>
      </c>
      <c r="B607" t="inlineStr">
        <is>
          <t>G39</t>
        </is>
      </c>
      <c r="C607" t="n">
        <v>39</v>
      </c>
      <c r="D607" t="n">
        <v>7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n">
        <v/>
      </c>
      <c r="P607" t="n">
        <v/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ACTUAL EXPENSES</t>
        </is>
      </c>
      <c r="B608" t="inlineStr">
        <is>
          <t>H39</t>
        </is>
      </c>
      <c r="C608" t="n">
        <v>39</v>
      </c>
      <c r="D608" t="n">
        <v>8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10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n">
        <v/>
      </c>
      <c r="P608" t="n">
        <v/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</row>
    <row r="609">
      <c r="A609" t="inlineStr">
        <is>
          <t>ACTUAL EXPENSES</t>
        </is>
      </c>
      <c r="B609" t="inlineStr">
        <is>
          <t>I39</t>
        </is>
      </c>
      <c r="C609" t="n">
        <v>39</v>
      </c>
      <c r="D609" t="n">
        <v>9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n">
        <v/>
      </c>
      <c r="P609" t="n">
        <v/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ACTUAL EXPENSES</t>
        </is>
      </c>
      <c r="B610" t="inlineStr">
        <is>
          <t>J39</t>
        </is>
      </c>
      <c r="C610" t="n">
        <v>39</v>
      </c>
      <c r="D610" t="n">
        <v>10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n">
        <v/>
      </c>
      <c r="P610" t="n">
        <v/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ACTUAL EXPENSES</t>
        </is>
      </c>
      <c r="B611" t="inlineStr">
        <is>
          <t>K39</t>
        </is>
      </c>
      <c r="C611" t="n">
        <v>39</v>
      </c>
      <c r="D611" t="n">
        <v>11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n">
        <v/>
      </c>
      <c r="P611" t="n">
        <v/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</row>
    <row r="612">
      <c r="A612" t="inlineStr">
        <is>
          <t>ACTUAL EXPENSES</t>
        </is>
      </c>
      <c r="B612" t="inlineStr">
        <is>
          <t>L39</t>
        </is>
      </c>
      <c r="C612" t="n">
        <v>39</v>
      </c>
      <c r="D612" t="n">
        <v>12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n">
        <v/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ACTUAL EXPENSES</t>
        </is>
      </c>
      <c r="B613" t="inlineStr">
        <is>
          <t>M39</t>
        </is>
      </c>
      <c r="C613" t="n">
        <v>39</v>
      </c>
      <c r="D613" t="n">
        <v>13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ACTUAL EXPENSES</t>
        </is>
      </c>
      <c r="B614" t="inlineStr">
        <is>
          <t>N39</t>
        </is>
      </c>
      <c r="C614" t="n">
        <v>39</v>
      </c>
      <c r="D614" t="n">
        <v>14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M614" t="inlineStr">
        <is>
          <t>Values must be of type &lt;class 'str'&gt;</t>
        </is>
      </c>
      <c r="N614" t="inlineStr">
        <is>
          <t>Values must be of type &lt;class 'str'&gt;</t>
        </is>
      </c>
      <c r="O614" t="n">
        <v/>
      </c>
      <c r="P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ACTUAL EXPENSES</t>
        </is>
      </c>
      <c r="B615" t="inlineStr">
        <is>
          <t>O39</t>
        </is>
      </c>
      <c r="C615" t="n">
        <v>39</v>
      </c>
      <c r="D615" t="n">
        <v>15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M615" t="inlineStr">
        <is>
          <t>Values must be of type &lt;class 'str'&gt;</t>
        </is>
      </c>
      <c r="N615" t="inlineStr">
        <is>
          <t>Values must be of type &lt;class 'str'&gt;</t>
        </is>
      </c>
      <c r="O615" t="n">
        <v/>
      </c>
      <c r="P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ACTUAL EXPENSES</t>
        </is>
      </c>
      <c r="B616" t="inlineStr">
        <is>
          <t>P39</t>
        </is>
      </c>
      <c r="C616" t="n">
        <v>39</v>
      </c>
      <c r="D616" t="n">
        <v>16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n">
        <v/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EXPENSE VARIANCES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EXPENSE VARIANCES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EXPENSE VARIANCES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EXPENSE VARIANCES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EXPENSE VARIANCES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EXPENSE VARIANCES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left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EXPENSE VARIANCES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EXPENSE VARIANCES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EXPENSE VARIANCES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inlineStr">
        <is>
          <t>top</t>
        </is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EXPENSE VARIANCES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left</t>
        </is>
      </c>
      <c r="P11" t="inlineStr">
        <is>
          <t>top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EXPENSE VARIANCES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inlineStr">
        <is>
          <t>top</t>
        </is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EXPENSE VARIANCES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left</t>
        </is>
      </c>
      <c r="P13" t="inlineStr">
        <is>
          <t>top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EXPENSE VARIANCES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left</t>
        </is>
      </c>
      <c r="P14" t="inlineStr">
        <is>
          <t>top</t>
        </is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EXPENSE VARIANCES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left</t>
        </is>
      </c>
      <c r="P15" t="inlineStr">
        <is>
          <t>top</t>
        </is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EXPENSE VARIANCES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left</t>
        </is>
      </c>
      <c r="P16" t="inlineStr">
        <is>
          <t>top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EXPENSE VARIANCES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 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inlineStr">
        <is>
          <t>top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EXPENSE VARIANCES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left</t>
        </is>
      </c>
      <c r="P18" t="inlineStr">
        <is>
          <t>top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EXPENSE VARIANCES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Output</t>
        </is>
      </c>
      <c r="F19" t="inlineStr">
        <is>
          <t>'='PLANNED EXPENSES'!B2:D3</t>
        </is>
      </c>
      <c r="G19" t="inlineStr">
        <is>
          <t>SBO Banking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48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>
        <f>'PLANNED EXPENSES'!R[0]C[0]:R[1]C[2]</f>
        <v/>
      </c>
    </row>
    <row r="20">
      <c r="A20" t="inlineStr">
        <is>
          <t>EXPENSE VARIANCES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14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EXPENSE VARIANCES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14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EXPENSE VARIANCES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top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EXPENSE VARIANCES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left</t>
        </is>
      </c>
      <c r="P23" t="inlineStr">
        <is>
          <t>top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EXPENSE VARIANCES</t>
        </is>
      </c>
      <c r="B24" t="inlineStr">
        <is>
          <t>J2</t>
        </is>
      </c>
      <c r="C24" t="n">
        <v>2</v>
      </c>
      <c r="D24" t="n">
        <v>10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left</t>
        </is>
      </c>
      <c r="P24" t="inlineStr">
        <is>
          <t>top</t>
        </is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EXPENSE VARIANCES</t>
        </is>
      </c>
      <c r="B25" t="inlineStr">
        <is>
          <t>K2</t>
        </is>
      </c>
      <c r="C25" t="n">
        <v>2</v>
      </c>
      <c r="D25" t="n">
        <v>11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EXPENSE VARIANCES</t>
        </is>
      </c>
      <c r="B26" t="inlineStr">
        <is>
          <t>L2</t>
        </is>
      </c>
      <c r="C26" t="n">
        <v>2</v>
      </c>
      <c r="D26" t="n">
        <v>12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EXPENSE VARIANCES</t>
        </is>
      </c>
      <c r="B27" t="inlineStr">
        <is>
          <t>M2</t>
        </is>
      </c>
      <c r="C27" t="n">
        <v>2</v>
      </c>
      <c r="D27" t="n">
        <v>13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EXPENSE VARIANCES</t>
        </is>
      </c>
      <c r="B28" t="inlineStr">
        <is>
          <t>N2</t>
        </is>
      </c>
      <c r="C28" t="n">
        <v>2</v>
      </c>
      <c r="D28" t="n">
        <v>14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14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center</t>
        </is>
      </c>
      <c r="P28" t="inlineStr">
        <is>
          <t>top</t>
        </is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EXPENSE VARIANCES</t>
        </is>
      </c>
      <c r="B29" t="inlineStr">
        <is>
          <t>O2</t>
        </is>
      </c>
      <c r="C29" t="n">
        <v>2</v>
      </c>
      <c r="D29" t="n">
        <v>15</v>
      </c>
      <c r="E29" t="inlineStr">
        <is>
          <t>Output</t>
        </is>
      </c>
      <c r="F29" t="inlineStr">
        <is>
          <t>'=worksheet_title</t>
        </is>
      </c>
      <c r="G29" t="inlineStr">
        <is>
          <t>Detailed expense estimates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16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right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>
        <f>worksheet_title</f>
        <v/>
      </c>
    </row>
    <row r="30">
      <c r="A30" t="inlineStr">
        <is>
          <t>EXPENSE VARIANCES</t>
        </is>
      </c>
      <c r="B30" t="inlineStr">
        <is>
          <t>P2</t>
        </is>
      </c>
      <c r="C30" t="n">
        <v>2</v>
      </c>
      <c r="D30" t="n">
        <v>16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16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EXPENSE VARIANCES</t>
        </is>
      </c>
      <c r="B31" t="inlineStr">
        <is>
          <t>Q2</t>
        </is>
      </c>
      <c r="C31" t="n">
        <v>2</v>
      </c>
      <c r="D31" t="n">
        <v>17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16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right</t>
        </is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EXPENSE VARIANCES</t>
        </is>
      </c>
      <c r="B32" t="inlineStr">
        <is>
          <t>A3</t>
        </is>
      </c>
      <c r="C32" t="n">
        <v>3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left</t>
        </is>
      </c>
      <c r="P32" t="inlineStr">
        <is>
          <t>top</t>
        </is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EXPENSE VARIANCES</t>
        </is>
      </c>
      <c r="B33" t="inlineStr">
        <is>
          <t>F3</t>
        </is>
      </c>
      <c r="C33" t="n">
        <v>3</v>
      </c>
      <c r="D33" t="n">
        <v>6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14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top</t>
        </is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EXPENSE VARIANCES</t>
        </is>
      </c>
      <c r="B34" t="inlineStr">
        <is>
          <t>G3</t>
        </is>
      </c>
      <c r="C34" t="n">
        <v>3</v>
      </c>
      <c r="D34" t="n">
        <v>7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14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left</t>
        </is>
      </c>
      <c r="P34" t="inlineStr">
        <is>
          <t>top</t>
        </is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EXPENSE VARIANCES</t>
        </is>
      </c>
      <c r="B35" t="inlineStr">
        <is>
          <t>H3</t>
        </is>
      </c>
      <c r="C35" t="n">
        <v>3</v>
      </c>
      <c r="D35" t="n">
        <v>8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14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left</t>
        </is>
      </c>
      <c r="P35" t="inlineStr">
        <is>
          <t>top</t>
        </is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EXPENSE VARIANCES</t>
        </is>
      </c>
      <c r="B36" t="inlineStr">
        <is>
          <t>I3</t>
        </is>
      </c>
      <c r="C36" t="n">
        <v>3</v>
      </c>
      <c r="D36" t="n">
        <v>9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14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top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EXPENSE VARIANCES</t>
        </is>
      </c>
      <c r="B37" t="inlineStr">
        <is>
          <t>J3</t>
        </is>
      </c>
      <c r="C37" t="n">
        <v>3</v>
      </c>
      <c r="D37" t="n">
        <v>10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14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left</t>
        </is>
      </c>
      <c r="P37" t="inlineStr">
        <is>
          <t>top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EXPENSE VARIANCES</t>
        </is>
      </c>
      <c r="B38" t="inlineStr">
        <is>
          <t>K3</t>
        </is>
      </c>
      <c r="C38" t="n">
        <v>3</v>
      </c>
      <c r="D38" t="n">
        <v>11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EXPENSE VARIANCES</t>
        </is>
      </c>
      <c r="B39" t="inlineStr">
        <is>
          <t>L3</t>
        </is>
      </c>
      <c r="C39" t="n">
        <v>3</v>
      </c>
      <c r="D39" t="n">
        <v>12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EXPENSE VARIANCES</t>
        </is>
      </c>
      <c r="B40" t="inlineStr">
        <is>
          <t>M3</t>
        </is>
      </c>
      <c r="C40" t="n">
        <v>3</v>
      </c>
      <c r="D40" t="n">
        <v>13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EXPENSE VARIANCES</t>
        </is>
      </c>
      <c r="B41" t="inlineStr">
        <is>
          <t>N3</t>
        </is>
      </c>
      <c r="C41" t="n">
        <v>3</v>
      </c>
      <c r="D41" t="n">
        <v>14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14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center</t>
        </is>
      </c>
      <c r="P41" t="inlineStr">
        <is>
          <t>top</t>
        </is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EXPENSE VARIANCES</t>
        </is>
      </c>
      <c r="B42" t="inlineStr">
        <is>
          <t>O3</t>
        </is>
      </c>
      <c r="C42" t="n">
        <v>3</v>
      </c>
      <c r="D42" t="n">
        <v>15</v>
      </c>
      <c r="E42" t="inlineStr">
        <is>
          <t>Input</t>
        </is>
      </c>
      <c r="F42" t="n">
        <v/>
      </c>
      <c r="G42" t="inlineStr">
        <is>
          <t>Shaded cells are calculations</t>
        </is>
      </c>
      <c r="H42" t="inlineStr"/>
      <c r="I42" t="inlineStr">
        <is>
          <t>General</t>
        </is>
      </c>
      <c r="J42" t="b">
        <v>0</v>
      </c>
      <c r="K42" t="b">
        <v>1</v>
      </c>
      <c r="L42" t="n">
        <v>12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right</t>
        </is>
      </c>
      <c r="P42" t="inlineStr">
        <is>
          <t>top</t>
        </is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EXPENSE VARIANCES</t>
        </is>
      </c>
      <c r="B43" t="inlineStr">
        <is>
          <t>P3</t>
        </is>
      </c>
      <c r="C43" t="n">
        <v>3</v>
      </c>
      <c r="D43" t="n">
        <v>16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16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right</t>
        </is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EXPENSE VARIANCES</t>
        </is>
      </c>
      <c r="B44" t="inlineStr">
        <is>
          <t>Q3</t>
        </is>
      </c>
      <c r="C44" t="n">
        <v>3</v>
      </c>
      <c r="D44" t="n">
        <v>17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16</v>
      </c>
      <c r="M44" t="inlineStr">
        <is>
          <t>Values must be of type &lt;class 'str'&gt;</t>
        </is>
      </c>
      <c r="N44" t="inlineStr">
        <is>
          <t>00000000</t>
        </is>
      </c>
      <c r="O44" t="inlineStr">
        <is>
          <t>right</t>
        </is>
      </c>
      <c r="P44" t="n">
        <v/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EXPENSE VARIANCES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left</t>
        </is>
      </c>
      <c r="P45" t="inlineStr">
        <is>
          <t>top</t>
        </is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EXPENSE VARIANCES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48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left</t>
        </is>
      </c>
      <c r="P46" t="inlineStr">
        <is>
          <t>center</t>
        </is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EXPENSE VARIANCES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48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center</t>
        </is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EXPENSE VARIANCES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48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left</t>
        </is>
      </c>
      <c r="P48" t="inlineStr">
        <is>
          <t>center</t>
        </is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EXPENSE VARIANCES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48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left</t>
        </is>
      </c>
      <c r="P49" t="inlineStr">
        <is>
          <t>center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EXPENSE VARIANCES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left</t>
        </is>
      </c>
      <c r="P50" t="inlineStr">
        <is>
          <t>top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EXPENSE VARIANCES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left</t>
        </is>
      </c>
      <c r="P51" t="inlineStr">
        <is>
          <t>top</t>
        </is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EXPENSE VARIANCES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top</t>
        </is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EXPENSE VARIANCES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left</t>
        </is>
      </c>
      <c r="P53" t="inlineStr">
        <is>
          <t>top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EXPENSE VARIANCES</t>
        </is>
      </c>
      <c r="B54" t="inlineStr">
        <is>
          <t>J4</t>
        </is>
      </c>
      <c r="C54" t="n">
        <v>4</v>
      </c>
      <c r="D54" t="n">
        <v>10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left</t>
        </is>
      </c>
      <c r="P54" t="inlineStr">
        <is>
          <t>top</t>
        </is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EXPENSE VARIANCES</t>
        </is>
      </c>
      <c r="B55" t="inlineStr">
        <is>
          <t>K4</t>
        </is>
      </c>
      <c r="C55" t="n">
        <v>4</v>
      </c>
      <c r="D55" t="n">
        <v>11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EXPENSE VARIANCES</t>
        </is>
      </c>
      <c r="B56" t="inlineStr">
        <is>
          <t>L4</t>
        </is>
      </c>
      <c r="C56" t="n">
        <v>4</v>
      </c>
      <c r="D56" t="n">
        <v>12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EXPENSE VARIANCES</t>
        </is>
      </c>
      <c r="B57" t="inlineStr">
        <is>
          <t>M4</t>
        </is>
      </c>
      <c r="C57" t="n">
        <v>4</v>
      </c>
      <c r="D57" t="n">
        <v>13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EXPENSE VARIANCES</t>
        </is>
      </c>
      <c r="B58" t="inlineStr">
        <is>
          <t>N4</t>
        </is>
      </c>
      <c r="C58" t="n">
        <v>4</v>
      </c>
      <c r="D58" t="n">
        <v>14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14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inlineStr">
        <is>
          <t>top</t>
        </is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EXPENSE VARIANCES</t>
        </is>
      </c>
      <c r="B59" t="inlineStr">
        <is>
          <t>O4</t>
        </is>
      </c>
      <c r="C59" t="n">
        <v>4</v>
      </c>
      <c r="D59" t="n">
        <v>15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EXPENSE VARIANCES</t>
        </is>
      </c>
      <c r="B60" t="inlineStr">
        <is>
          <t>P4</t>
        </is>
      </c>
      <c r="C60" t="n">
        <v>4</v>
      </c>
      <c r="D60" t="n">
        <v>16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1</v>
      </c>
      <c r="L60" t="n">
        <v>11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right</t>
        </is>
      </c>
      <c r="P60" t="inlineStr">
        <is>
          <t>top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EXPENSE VARIANCES</t>
        </is>
      </c>
      <c r="B61" t="inlineStr">
        <is>
          <t>Q4</t>
        </is>
      </c>
      <c r="C61" t="n">
        <v>4</v>
      </c>
      <c r="D61" t="n">
        <v>17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1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inlineStr">
        <is>
          <t>right</t>
        </is>
      </c>
      <c r="P61" t="inlineStr">
        <is>
          <t>top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EXPENSE VARIANCES</t>
        </is>
      </c>
      <c r="B62" t="inlineStr">
        <is>
          <t>A5</t>
        </is>
      </c>
      <c r="C62" t="n">
        <v>5</v>
      </c>
      <c r="D62" t="n">
        <v>1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left</t>
        </is>
      </c>
      <c r="P62" t="inlineStr">
        <is>
          <t>top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EXPENSE VARIANCES</t>
        </is>
      </c>
      <c r="B63" t="inlineStr">
        <is>
          <t>B5</t>
        </is>
      </c>
      <c r="C63" t="n">
        <v>5</v>
      </c>
      <c r="D63" t="n">
        <v>2</v>
      </c>
      <c r="E63" t="inlineStr">
        <is>
          <t>Input</t>
        </is>
      </c>
      <c r="F63" t="n">
        <v/>
      </c>
      <c r="G63" t="inlineStr">
        <is>
          <t>EXPENSE VARIANCES</t>
        </is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16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left</t>
        </is>
      </c>
      <c r="P63" t="inlineStr">
        <is>
          <t>center</t>
        </is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EXPENSE VARIANCES</t>
        </is>
      </c>
      <c r="B64" t="inlineStr">
        <is>
          <t>C5</t>
        </is>
      </c>
      <c r="C64" t="n">
        <v>5</v>
      </c>
      <c r="D64" t="n">
        <v>3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16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EXPENSE VARIANCES</t>
        </is>
      </c>
      <c r="B65" t="inlineStr">
        <is>
          <t>D5</t>
        </is>
      </c>
      <c r="C65" t="n">
        <v>5</v>
      </c>
      <c r="D65" t="n">
        <v>4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16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EXPENSE VARIANCES</t>
        </is>
      </c>
      <c r="B66" t="inlineStr">
        <is>
          <t>E5</t>
        </is>
      </c>
      <c r="C66" t="n">
        <v>5</v>
      </c>
      <c r="D66" t="n">
        <v>5</v>
      </c>
      <c r="E66" t="inlineStr">
        <is>
          <t>Input</t>
        </is>
      </c>
      <c r="F66" t="n">
        <v/>
      </c>
      <c r="H66" t="inlineStr"/>
      <c r="I66" t="inlineStr">
        <is>
          <t>_("$"* #,##0_);_("$"* \(#,##0\);_("$"* "-"??_);_(@_)</t>
        </is>
      </c>
      <c r="J66" t="b">
        <v>1</v>
      </c>
      <c r="K66" t="b">
        <v>0</v>
      </c>
      <c r="L66" t="n">
        <v>16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EXPENSE VARIANCES</t>
        </is>
      </c>
      <c r="B67" t="inlineStr">
        <is>
          <t>F5</t>
        </is>
      </c>
      <c r="C67" t="n">
        <v>5</v>
      </c>
      <c r="D67" t="n">
        <v>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16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inlineStr">
        <is>
          <t>center</t>
        </is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EXPENSE VARIANCES</t>
        </is>
      </c>
      <c r="B68" t="inlineStr">
        <is>
          <t>G5</t>
        </is>
      </c>
      <c r="C68" t="n">
        <v>5</v>
      </c>
      <c r="D68" t="n">
        <v>7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16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inlineStr">
        <is>
          <t>center</t>
        </is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EXPENSE VARIANCES</t>
        </is>
      </c>
      <c r="B69" t="inlineStr">
        <is>
          <t>H5</t>
        </is>
      </c>
      <c r="C69" t="n">
        <v>5</v>
      </c>
      <c r="D69" t="n">
        <v>8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16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inlineStr">
        <is>
          <t>center</t>
        </is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EXPENSE VARIANCES</t>
        </is>
      </c>
      <c r="B70" t="inlineStr">
        <is>
          <t>I5</t>
        </is>
      </c>
      <c r="C70" t="n">
        <v>5</v>
      </c>
      <c r="D70" t="n">
        <v>9</v>
      </c>
      <c r="E70" t="inlineStr">
        <is>
          <t>Input</t>
        </is>
      </c>
      <c r="F70" t="n">
        <v/>
      </c>
      <c r="H70" t="inlineStr"/>
      <c r="I70" t="inlineStr">
        <is>
          <t>_("$"* #,##0_);_("$"* \(#,##0\);_("$"* "-"??_);_(@_)</t>
        </is>
      </c>
      <c r="J70" t="b">
        <v>1</v>
      </c>
      <c r="K70" t="b">
        <v>0</v>
      </c>
      <c r="L70" t="n">
        <v>16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center</t>
        </is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EXPENSE VARIANCES</t>
        </is>
      </c>
      <c r="B71" t="inlineStr">
        <is>
          <t>J5</t>
        </is>
      </c>
      <c r="C71" t="n">
        <v>5</v>
      </c>
      <c r="D71" t="n">
        <v>10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16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EXPENSE VARIANCES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16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center</t>
        </is>
      </c>
      <c r="P72" t="inlineStr">
        <is>
          <t>center</t>
        </is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EXPENSE VARIANCES</t>
        </is>
      </c>
      <c r="B73" t="inlineStr">
        <is>
          <t>L5</t>
        </is>
      </c>
      <c r="C73" t="n">
        <v>5</v>
      </c>
      <c r="D73" t="n">
        <v>12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16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inlineStr">
        <is>
          <t>center</t>
        </is>
      </c>
      <c r="P73" t="inlineStr">
        <is>
          <t>center</t>
        </is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EXPENSE VARIANCES</t>
        </is>
      </c>
      <c r="B74" t="inlineStr">
        <is>
          <t>M5</t>
        </is>
      </c>
      <c r="C74" t="n">
        <v>5</v>
      </c>
      <c r="D74" t="n">
        <v>13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16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center</t>
        </is>
      </c>
      <c r="P74" t="inlineStr">
        <is>
          <t>center</t>
        </is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EXPENSE VARIANCES</t>
        </is>
      </c>
      <c r="B75" t="inlineStr">
        <is>
          <t>N5</t>
        </is>
      </c>
      <c r="C75" t="n">
        <v>5</v>
      </c>
      <c r="D75" t="n">
        <v>14</v>
      </c>
      <c r="E75" t="inlineStr">
        <is>
          <t>Input</t>
        </is>
      </c>
      <c r="F75" t="n">
        <v/>
      </c>
      <c r="H75" t="inlineStr"/>
      <c r="I75" t="inlineStr">
        <is>
          <t>_("$"* #,##0_);_("$"* \(#,##0\);_("$"* "-"??_);_(@_)</t>
        </is>
      </c>
      <c r="J75" t="b">
        <v>1</v>
      </c>
      <c r="K75" t="b">
        <v>0</v>
      </c>
      <c r="L75" t="n">
        <v>16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inlineStr">
        <is>
          <t>center</t>
        </is>
      </c>
      <c r="P75" t="inlineStr">
        <is>
          <t>center</t>
        </is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EXPENSE VARIANCES</t>
        </is>
      </c>
      <c r="B76" t="inlineStr">
        <is>
          <t>O5</t>
        </is>
      </c>
      <c r="C76" t="n">
        <v>5</v>
      </c>
      <c r="D76" t="n">
        <v>15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16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center</t>
        </is>
      </c>
      <c r="P76" t="inlineStr">
        <is>
          <t>center</t>
        </is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EXPENSE VARIANCES</t>
        </is>
      </c>
      <c r="B77" t="inlineStr">
        <is>
          <t>P5</t>
        </is>
      </c>
      <c r="C77" t="n">
        <v>5</v>
      </c>
      <c r="D77" t="n">
        <v>16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n">
        <v/>
      </c>
      <c r="P77" t="inlineStr">
        <is>
          <t>center</t>
        </is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EXPENSE VARIANCES</t>
        </is>
      </c>
      <c r="B78" t="inlineStr">
        <is>
          <t>A6</t>
        </is>
      </c>
      <c r="C78" t="n">
        <v>6</v>
      </c>
      <c r="D78" t="n">
        <v>1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16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EXPENSE VARIANCES</t>
        </is>
      </c>
      <c r="B79" t="inlineStr">
        <is>
          <t>B6</t>
        </is>
      </c>
      <c r="C79" t="n">
        <v>6</v>
      </c>
      <c r="D79" t="n">
        <v>2</v>
      </c>
      <c r="E79" t="inlineStr">
        <is>
          <t>Input</t>
        </is>
      </c>
      <c r="F79" t="n">
        <v/>
      </c>
      <c r="G79" t="inlineStr">
        <is>
          <t>Employee costs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16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left</t>
        </is>
      </c>
      <c r="P79" t="inlineStr">
        <is>
          <t>center</t>
        </is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EXPENSE VARIANCES</t>
        </is>
      </c>
      <c r="B80" t="inlineStr">
        <is>
          <t>C6</t>
        </is>
      </c>
      <c r="C80" t="n">
        <v>6</v>
      </c>
      <c r="D80" t="n">
        <v>3</v>
      </c>
      <c r="E80" t="inlineStr">
        <is>
          <t>Input</t>
        </is>
      </c>
      <c r="F80" t="n">
        <v/>
      </c>
      <c r="G80" t="inlineStr">
        <is>
          <t>Jan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16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inlineStr">
        <is>
          <t>center</t>
        </is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EXPENSE VARIANCES</t>
        </is>
      </c>
      <c r="B81" t="inlineStr">
        <is>
          <t>D6</t>
        </is>
      </c>
      <c r="C81" t="n">
        <v>6</v>
      </c>
      <c r="D81" t="n">
        <v>4</v>
      </c>
      <c r="E81" t="inlineStr">
        <is>
          <t>Input</t>
        </is>
      </c>
      <c r="F81" t="n">
        <v/>
      </c>
      <c r="G81" t="inlineStr">
        <is>
          <t>Feb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16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EXPENSE VARIANCES</t>
        </is>
      </c>
      <c r="B82" t="inlineStr">
        <is>
          <t>E6</t>
        </is>
      </c>
      <c r="C82" t="n">
        <v>6</v>
      </c>
      <c r="D82" t="n">
        <v>5</v>
      </c>
      <c r="E82" t="inlineStr">
        <is>
          <t>Input</t>
        </is>
      </c>
      <c r="F82" t="n">
        <v/>
      </c>
      <c r="G82" t="inlineStr">
        <is>
          <t>Mar</t>
        </is>
      </c>
      <c r="H82" t="inlineStr"/>
      <c r="I82" t="inlineStr">
        <is>
          <t>_("$"* #,##0_);_("$"* \(#,##0\);_("$"* "-"??_);_(@_)</t>
        </is>
      </c>
      <c r="J82" t="b">
        <v>0</v>
      </c>
      <c r="K82" t="b">
        <v>0</v>
      </c>
      <c r="L82" t="n">
        <v>16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EXPENSE VARIANCES</t>
        </is>
      </c>
      <c r="B83" t="inlineStr">
        <is>
          <t>F6</t>
        </is>
      </c>
      <c r="C83" t="n">
        <v>6</v>
      </c>
      <c r="D83" t="n">
        <v>6</v>
      </c>
      <c r="E83" t="inlineStr">
        <is>
          <t>Input</t>
        </is>
      </c>
      <c r="F83" t="n">
        <v/>
      </c>
      <c r="G83" t="inlineStr">
        <is>
          <t>Apr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16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EXPENSE VARIANCES</t>
        </is>
      </c>
      <c r="B84" t="inlineStr">
        <is>
          <t>G6</t>
        </is>
      </c>
      <c r="C84" t="n">
        <v>6</v>
      </c>
      <c r="D84" t="n">
        <v>7</v>
      </c>
      <c r="E84" t="inlineStr">
        <is>
          <t>Input</t>
        </is>
      </c>
      <c r="F84" t="n">
        <v/>
      </c>
      <c r="G84" t="inlineStr">
        <is>
          <t>May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16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EXPENSE VARIANCES</t>
        </is>
      </c>
      <c r="B85" t="inlineStr">
        <is>
          <t>H6</t>
        </is>
      </c>
      <c r="C85" t="n">
        <v>6</v>
      </c>
      <c r="D85" t="n">
        <v>8</v>
      </c>
      <c r="E85" t="inlineStr">
        <is>
          <t>Input</t>
        </is>
      </c>
      <c r="F85" t="n">
        <v/>
      </c>
      <c r="G85" t="inlineStr">
        <is>
          <t>Jun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16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EXPENSE VARIANCES</t>
        </is>
      </c>
      <c r="B86" t="inlineStr">
        <is>
          <t>I6</t>
        </is>
      </c>
      <c r="C86" t="n">
        <v>6</v>
      </c>
      <c r="D86" t="n">
        <v>9</v>
      </c>
      <c r="E86" t="inlineStr">
        <is>
          <t>Input</t>
        </is>
      </c>
      <c r="F86" t="n">
        <v/>
      </c>
      <c r="G86" t="inlineStr">
        <is>
          <t>Jul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16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EXPENSE VARIANCES</t>
        </is>
      </c>
      <c r="B87" t="inlineStr">
        <is>
          <t>J6</t>
        </is>
      </c>
      <c r="C87" t="n">
        <v>6</v>
      </c>
      <c r="D87" t="n">
        <v>10</v>
      </c>
      <c r="E87" t="inlineStr">
        <is>
          <t>Input</t>
        </is>
      </c>
      <c r="F87" t="n">
        <v/>
      </c>
      <c r="G87" t="inlineStr">
        <is>
          <t>Aug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16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EXPENSE VARIANCES</t>
        </is>
      </c>
      <c r="B88" t="inlineStr">
        <is>
          <t>K6</t>
        </is>
      </c>
      <c r="C88" t="n">
        <v>6</v>
      </c>
      <c r="D88" t="n">
        <v>11</v>
      </c>
      <c r="E88" t="inlineStr">
        <is>
          <t>Input</t>
        </is>
      </c>
      <c r="F88" t="n">
        <v/>
      </c>
      <c r="G88" t="inlineStr">
        <is>
          <t>Sep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16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center</t>
        </is>
      </c>
      <c r="P88" t="inlineStr">
        <is>
          <t>center</t>
        </is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EXPENSE VARIANCES</t>
        </is>
      </c>
      <c r="B89" t="inlineStr">
        <is>
          <t>L6</t>
        </is>
      </c>
      <c r="C89" t="n">
        <v>6</v>
      </c>
      <c r="D89" t="n">
        <v>12</v>
      </c>
      <c r="E89" t="inlineStr">
        <is>
          <t>Input</t>
        </is>
      </c>
      <c r="F89" t="n">
        <v/>
      </c>
      <c r="G89" t="inlineStr">
        <is>
          <t>Oct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16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inlineStr">
        <is>
          <t>center</t>
        </is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EXPENSE VARIANCES</t>
        </is>
      </c>
      <c r="B90" t="inlineStr">
        <is>
          <t>M6</t>
        </is>
      </c>
      <c r="C90" t="n">
        <v>6</v>
      </c>
      <c r="D90" t="n">
        <v>13</v>
      </c>
      <c r="E90" t="inlineStr">
        <is>
          <t>Input</t>
        </is>
      </c>
      <c r="F90" t="n">
        <v/>
      </c>
      <c r="G90" t="inlineStr">
        <is>
          <t>Nov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16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EXPENSE VARIANCES</t>
        </is>
      </c>
      <c r="B91" t="inlineStr">
        <is>
          <t>N6</t>
        </is>
      </c>
      <c r="C91" t="n">
        <v>6</v>
      </c>
      <c r="D91" t="n">
        <v>14</v>
      </c>
      <c r="E91" t="inlineStr">
        <is>
          <t>Input</t>
        </is>
      </c>
      <c r="F91" t="n">
        <v/>
      </c>
      <c r="G91" t="inlineStr">
        <is>
          <t>Dec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16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inlineStr">
        <is>
          <t>center</t>
        </is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EXPENSE VARIANCES</t>
        </is>
      </c>
      <c r="B92" t="inlineStr">
        <is>
          <t>O6</t>
        </is>
      </c>
      <c r="C92" t="n">
        <v>6</v>
      </c>
      <c r="D92" t="n">
        <v>15</v>
      </c>
      <c r="E92" t="inlineStr">
        <is>
          <t>Input</t>
        </is>
      </c>
      <c r="F92" t="n">
        <v/>
      </c>
      <c r="G92" t="inlineStr">
        <is>
          <t>YEAR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16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inlineStr">
        <is>
          <t>center</t>
        </is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EXPENSE VARIANCES</t>
        </is>
      </c>
      <c r="B93" t="inlineStr">
        <is>
          <t>P6</t>
        </is>
      </c>
      <c r="C93" t="n">
        <v>6</v>
      </c>
      <c r="D93" t="n">
        <v>16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16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EXPENSE VARIANCES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EXPENSE VARIANCES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Input</t>
        </is>
      </c>
      <c r="F95" t="n">
        <v/>
      </c>
      <c r="G95" t="inlineStr">
        <is>
          <t>Wages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12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left</t>
        </is>
      </c>
      <c r="P95" t="inlineStr">
        <is>
          <t>center</t>
        </is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EXPENSE VARIANCES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Output</t>
        </is>
      </c>
      <c r="F96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G96" t="n">
        <v>0</v>
      </c>
      <c r="H96" t="inlineStr"/>
      <c r="I96" t="inlineStr">
        <is>
          <t>"$"#,##0.00_);[Red]\("$"#,##0.00\)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inlineStr">
        <is>
          <t>center</t>
        </is>
      </c>
      <c r="P96" t="inlineStr">
        <is>
          <t>center</t>
        </is>
      </c>
      <c r="R96" t="b">
        <v>1</v>
      </c>
      <c r="S96" t="inlineStr">
        <is>
          <t>G000013</t>
        </is>
      </c>
      <c r="T96" t="inlineStr">
        <is>
          <t>Vertical</t>
        </is>
      </c>
      <c r="U96" t="n">
        <v>2</v>
      </c>
      <c r="V96" t="b">
        <v>1</v>
      </c>
      <c r="W96" t="inlineStr">
        <is>
          <t>EXPENSE VARIANCES!C7:C8</t>
        </is>
      </c>
      <c r="X96">
        <f>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f>
        <v/>
      </c>
    </row>
    <row r="97">
      <c r="A97" t="inlineStr">
        <is>
          <t>EXPENSE VARIANCES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Output</t>
        </is>
      </c>
      <c r="F97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G97" t="n">
        <v>0</v>
      </c>
      <c r="H97" t="inlineStr"/>
      <c r="I97" t="inlineStr">
        <is>
          <t>"$"#,##0.00_);[Red]\("$"#,##0.00\)</t>
        </is>
      </c>
      <c r="J97" t="b">
        <v>0</v>
      </c>
      <c r="K97" t="b">
        <v>0</v>
      </c>
      <c r="L97" t="n">
        <v>10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center</t>
        </is>
      </c>
      <c r="P97" t="inlineStr">
        <is>
          <t>center</t>
        </is>
      </c>
      <c r="R97" t="b">
        <v>1</v>
      </c>
      <c r="S97" t="inlineStr">
        <is>
          <t>G000014</t>
        </is>
      </c>
      <c r="T97" t="inlineStr">
        <is>
          <t>Vertical</t>
        </is>
      </c>
      <c r="U97" t="n">
        <v>2</v>
      </c>
      <c r="V97" t="b">
        <v>1</v>
      </c>
      <c r="W97" t="inlineStr">
        <is>
          <t>EXPENSE VARIANCES!D7:D8</t>
        </is>
      </c>
      <c r="X97">
        <f>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f>
        <v/>
      </c>
    </row>
    <row r="98">
      <c r="A98" t="inlineStr">
        <is>
          <t>EXPENSE VARIANCES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Output</t>
        </is>
      </c>
      <c r="F98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G98" t="n">
        <v>0</v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inlineStr">
        <is>
          <t>center</t>
        </is>
      </c>
      <c r="R98" t="b">
        <v>1</v>
      </c>
      <c r="S98" t="inlineStr">
        <is>
          <t>G000015</t>
        </is>
      </c>
      <c r="T98" t="inlineStr">
        <is>
          <t>Vertical</t>
        </is>
      </c>
      <c r="U98" t="n">
        <v>2</v>
      </c>
      <c r="V98" t="b">
        <v>1</v>
      </c>
      <c r="W98" t="inlineStr">
        <is>
          <t>EXPENSE VARIANCES!E7:E8</t>
        </is>
      </c>
      <c r="X98">
        <f>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f>
        <v/>
      </c>
    </row>
    <row r="99">
      <c r="A99" t="inlineStr">
        <is>
          <t>EXPENSE VARIANCES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Output</t>
        </is>
      </c>
      <c r="F99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G99" t="n">
        <v>-500</v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inlineStr">
        <is>
          <t>center</t>
        </is>
      </c>
      <c r="R99" t="b">
        <v>1</v>
      </c>
      <c r="S99" t="inlineStr">
        <is>
          <t>G000016</t>
        </is>
      </c>
      <c r="T99" t="inlineStr">
        <is>
          <t>Vertical</t>
        </is>
      </c>
      <c r="U99" t="n">
        <v>2</v>
      </c>
      <c r="V99" t="b">
        <v>1</v>
      </c>
      <c r="W99" t="inlineStr">
        <is>
          <t>EXPENSE VARIANCES!F7:F8</t>
        </is>
      </c>
      <c r="X99">
        <f>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f>
        <v/>
      </c>
    </row>
    <row r="100">
      <c r="A100" t="inlineStr">
        <is>
          <t>EXPENSE VARIANCES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Output</t>
        </is>
      </c>
      <c r="F100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G100" t="n">
        <v>-500</v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inlineStr">
        <is>
          <t>center</t>
        </is>
      </c>
      <c r="R100" t="b">
        <v>1</v>
      </c>
      <c r="S100" t="inlineStr">
        <is>
          <t>G000017</t>
        </is>
      </c>
      <c r="T100" t="inlineStr">
        <is>
          <t>Vertical</t>
        </is>
      </c>
      <c r="U100" t="n">
        <v>2</v>
      </c>
      <c r="V100" t="b">
        <v>1</v>
      </c>
      <c r="W100" t="inlineStr">
        <is>
          <t>EXPENSE VARIANCES!G7:G8</t>
        </is>
      </c>
      <c r="X100">
        <f>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f>
        <v/>
      </c>
    </row>
    <row r="101">
      <c r="A101" t="inlineStr">
        <is>
          <t>EXPENSE VARIANCES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Output</t>
        </is>
      </c>
      <c r="F101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G101" t="n">
        <v>-500</v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inlineStr">
        <is>
          <t>center</t>
        </is>
      </c>
      <c r="R101" t="b">
        <v>1</v>
      </c>
      <c r="S101" t="inlineStr">
        <is>
          <t>G000018</t>
        </is>
      </c>
      <c r="T101" t="inlineStr">
        <is>
          <t>Vertical</t>
        </is>
      </c>
      <c r="U101" t="n">
        <v>2</v>
      </c>
      <c r="V101" t="b">
        <v>1</v>
      </c>
      <c r="W101" t="inlineStr">
        <is>
          <t>EXPENSE VARIANCES!H7:H8</t>
        </is>
      </c>
      <c r="X101">
        <f>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f>
        <v/>
      </c>
    </row>
    <row r="102">
      <c r="A102" t="inlineStr">
        <is>
          <t>EXPENSE VARIANCES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Output</t>
        </is>
      </c>
      <c r="F102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G102" t="n">
        <v>87500</v>
      </c>
      <c r="H102" t="inlineStr"/>
      <c r="I102" t="inlineStr">
        <is>
          <t>"$"#,##0.00_);[Red]\("$"#,##0.00\)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1</v>
      </c>
      <c r="S102" t="inlineStr">
        <is>
          <t>G000019</t>
        </is>
      </c>
      <c r="T102" t="inlineStr">
        <is>
          <t>Vertical</t>
        </is>
      </c>
      <c r="U102" t="n">
        <v>2</v>
      </c>
      <c r="V102" t="b">
        <v>1</v>
      </c>
      <c r="W102" t="inlineStr">
        <is>
          <t>EXPENSE VARIANCES!I7:I8</t>
        </is>
      </c>
      <c r="X102">
        <f>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f>
        <v/>
      </c>
    </row>
    <row r="103">
      <c r="A103" t="inlineStr">
        <is>
          <t>EXPENSE VARIANCES</t>
        </is>
      </c>
      <c r="B103" t="inlineStr">
        <is>
          <t>J7</t>
        </is>
      </c>
      <c r="C103" t="n">
        <v>7</v>
      </c>
      <c r="D103" t="n">
        <v>10</v>
      </c>
      <c r="E103" t="inlineStr">
        <is>
          <t>Output</t>
        </is>
      </c>
      <c r="F103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G103" t="n">
        <v>92400</v>
      </c>
      <c r="H103" t="inlineStr"/>
      <c r="I103" t="inlineStr">
        <is>
          <t>"$"#,##0.00_);[Red]\("$"#,##0.00\)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inlineStr">
        <is>
          <t>center</t>
        </is>
      </c>
      <c r="R103" t="b">
        <v>1</v>
      </c>
      <c r="S103" t="inlineStr">
        <is>
          <t>G000020</t>
        </is>
      </c>
      <c r="T103" t="inlineStr">
        <is>
          <t>Vertical</t>
        </is>
      </c>
      <c r="U103" t="n">
        <v>2</v>
      </c>
      <c r="V103" t="b">
        <v>1</v>
      </c>
      <c r="W103" t="inlineStr">
        <is>
          <t>EXPENSE VARIANCES!J7:J8</t>
        </is>
      </c>
      <c r="X103">
        <f>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f>
        <v/>
      </c>
    </row>
    <row r="104">
      <c r="A104" t="inlineStr">
        <is>
          <t>EXPENSE VARIANCES</t>
        </is>
      </c>
      <c r="B104" t="inlineStr">
        <is>
          <t>K7</t>
        </is>
      </c>
      <c r="C104" t="n">
        <v>7</v>
      </c>
      <c r="D104" t="n">
        <v>11</v>
      </c>
      <c r="E104" t="inlineStr">
        <is>
          <t>Output</t>
        </is>
      </c>
      <c r="F104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G104" t="n">
        <v>92400</v>
      </c>
      <c r="H104" t="inlineStr"/>
      <c r="I104" t="inlineStr">
        <is>
          <t>"$"#,##0.00_);[Red]\("$"#,##0.00\)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inlineStr">
        <is>
          <t>G000021</t>
        </is>
      </c>
      <c r="T104" t="inlineStr">
        <is>
          <t>Vertical</t>
        </is>
      </c>
      <c r="U104" t="n">
        <v>2</v>
      </c>
      <c r="V104" t="b">
        <v>1</v>
      </c>
      <c r="W104" t="inlineStr">
        <is>
          <t>EXPENSE VARIANCES!K7:K8</t>
        </is>
      </c>
      <c r="X104">
        <f>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f>
        <v/>
      </c>
    </row>
    <row r="105">
      <c r="A105" t="inlineStr">
        <is>
          <t>EXPENSE VARIANCES</t>
        </is>
      </c>
      <c r="B105" t="inlineStr">
        <is>
          <t>L7</t>
        </is>
      </c>
      <c r="C105" t="n">
        <v>7</v>
      </c>
      <c r="D105" t="n">
        <v>12</v>
      </c>
      <c r="E105" t="inlineStr">
        <is>
          <t>Output</t>
        </is>
      </c>
      <c r="F105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G105" t="n">
        <v>92400</v>
      </c>
      <c r="H105" t="inlineStr"/>
      <c r="I105" t="inlineStr">
        <is>
          <t>"$"#,##0.00_);[Red]\("$"#,##0.00\)</t>
        </is>
      </c>
      <c r="J105" t="b">
        <v>0</v>
      </c>
      <c r="K105" t="b">
        <v>0</v>
      </c>
      <c r="L105" t="n">
        <v>10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inlineStr">
        <is>
          <t>G000022</t>
        </is>
      </c>
      <c r="T105" t="inlineStr">
        <is>
          <t>Vertical</t>
        </is>
      </c>
      <c r="U105" t="n">
        <v>2</v>
      </c>
      <c r="V105" t="b">
        <v>1</v>
      </c>
      <c r="W105" t="inlineStr">
        <is>
          <t>EXPENSE VARIANCES!L7:L8</t>
        </is>
      </c>
      <c r="X105">
        <f>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f>
        <v/>
      </c>
    </row>
    <row r="106">
      <c r="A106" t="inlineStr">
        <is>
          <t>EXPENSE VARIANCES</t>
        </is>
      </c>
      <c r="B106" t="inlineStr">
        <is>
          <t>M7</t>
        </is>
      </c>
      <c r="C106" t="n">
        <v>7</v>
      </c>
      <c r="D106" t="n">
        <v>13</v>
      </c>
      <c r="E106" t="inlineStr">
        <is>
          <t>Output</t>
        </is>
      </c>
      <c r="F106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G106" t="n">
        <v>92400</v>
      </c>
      <c r="H106" t="inlineStr"/>
      <c r="I106" t="inlineStr">
        <is>
          <t>"$"#,##0.00_);[Red]\("$"#,##0.00\)</t>
        </is>
      </c>
      <c r="J106" t="b">
        <v>0</v>
      </c>
      <c r="K106" t="b">
        <v>0</v>
      </c>
      <c r="L106" t="n">
        <v>10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inlineStr">
        <is>
          <t>G000023</t>
        </is>
      </c>
      <c r="T106" t="inlineStr">
        <is>
          <t>Vertical</t>
        </is>
      </c>
      <c r="U106" t="n">
        <v>2</v>
      </c>
      <c r="V106" t="b">
        <v>1</v>
      </c>
      <c r="W106" t="inlineStr">
        <is>
          <t>EXPENSE VARIANCES!M7:M8</t>
        </is>
      </c>
      <c r="X106">
        <f>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f>
        <v/>
      </c>
    </row>
    <row r="107">
      <c r="A107" t="inlineStr">
        <is>
          <t>EXPENSE VARIANCES</t>
        </is>
      </c>
      <c r="B107" t="inlineStr">
        <is>
          <t>N7</t>
        </is>
      </c>
      <c r="C107" t="n">
        <v>7</v>
      </c>
      <c r="D107" t="n">
        <v>14</v>
      </c>
      <c r="E107" t="inlineStr">
        <is>
          <t>Output</t>
        </is>
      </c>
      <c r="F107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G107" t="n">
        <v>92400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inlineStr">
        <is>
          <t>G000024</t>
        </is>
      </c>
      <c r="T107" t="inlineStr">
        <is>
          <t>Vertical</t>
        </is>
      </c>
      <c r="U107" t="n">
        <v>2</v>
      </c>
      <c r="V107" t="b">
        <v>1</v>
      </c>
      <c r="W107" t="inlineStr">
        <is>
          <t>EXPENSE VARIANCES!N7:N8</t>
        </is>
      </c>
      <c r="X107">
        <f>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f>
        <v/>
      </c>
    </row>
    <row r="108">
      <c r="A108" t="inlineStr">
        <is>
          <t>EXPENSE VARIANCES</t>
        </is>
      </c>
      <c r="B108" t="inlineStr">
        <is>
          <t>O7</t>
        </is>
      </c>
      <c r="C108" t="n">
        <v>7</v>
      </c>
      <c r="D108" t="n">
        <v>15</v>
      </c>
      <c r="E108" t="inlineStr">
        <is>
          <t>Output</t>
        </is>
      </c>
      <c r="F108" t="inlineStr">
        <is>
          <t>'=SUM(EmployeeVariances[[#This Row],[Jan]:[Dec]])</t>
        </is>
      </c>
      <c r="G108" t="n">
        <v>548000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inlineStr">
        <is>
          <t>G000025</t>
        </is>
      </c>
      <c r="T108" t="inlineStr">
        <is>
          <t>Vertical</t>
        </is>
      </c>
      <c r="U108" t="n">
        <v>2</v>
      </c>
      <c r="V108" t="b">
        <v>1</v>
      </c>
      <c r="W108" t="inlineStr">
        <is>
          <t>EXPENSE VARIANCES!O7:O8</t>
        </is>
      </c>
      <c r="X108">
        <f>SUM(EmployeeVariances[[#This Row],[Jan]:[Dec]])</f>
        <v/>
      </c>
    </row>
    <row r="109">
      <c r="A109" t="inlineStr">
        <is>
          <t>EXPENSE VARIANCES</t>
        </is>
      </c>
      <c r="B109" t="inlineStr">
        <is>
          <t>P7</t>
        </is>
      </c>
      <c r="C109" t="n">
        <v>7</v>
      </c>
      <c r="D109" t="n">
        <v>16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EXPENSE VARIANCES</t>
        </is>
      </c>
      <c r="B110" t="inlineStr">
        <is>
          <t>A8</t>
        </is>
      </c>
      <c r="C110" t="n">
        <v>8</v>
      </c>
      <c r="D110" t="n">
        <v>1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n">
        <v/>
      </c>
      <c r="P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EXPENSE VARIANCES</t>
        </is>
      </c>
      <c r="B111" t="inlineStr">
        <is>
          <t>B8</t>
        </is>
      </c>
      <c r="C111" t="n">
        <v>8</v>
      </c>
      <c r="D111" t="n">
        <v>2</v>
      </c>
      <c r="E111" t="inlineStr">
        <is>
          <t>Input</t>
        </is>
      </c>
      <c r="F111" t="n">
        <v/>
      </c>
      <c r="G111" t="inlineStr">
        <is>
          <t>Benefits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12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left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EXPENSE VARIANCES</t>
        </is>
      </c>
      <c r="B112" t="inlineStr">
        <is>
          <t>C8</t>
        </is>
      </c>
      <c r="C112" t="n">
        <v>8</v>
      </c>
      <c r="D112" t="n">
        <v>3</v>
      </c>
      <c r="E112" t="inlineStr">
        <is>
          <t>Output</t>
        </is>
      </c>
      <c r="F112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G112" t="n">
        <v>0</v>
      </c>
      <c r="H112" t="inlineStr"/>
      <c r="I112" t="inlineStr">
        <is>
          <t>"$"#,##0.00_);[Red]\("$"#,##0.00\)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inlineStr">
        <is>
          <t>G000013</t>
        </is>
      </c>
      <c r="T112" t="inlineStr">
        <is>
          <t>Vertical</t>
        </is>
      </c>
      <c r="U112" t="n">
        <v>2</v>
      </c>
      <c r="V112" t="b">
        <v>1</v>
      </c>
      <c r="W112" t="inlineStr">
        <is>
          <t>EXPENSE VARIANCES!C7:C8</t>
        </is>
      </c>
      <c r="X112">
        <f>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f>
        <v/>
      </c>
    </row>
    <row r="113">
      <c r="A113" t="inlineStr">
        <is>
          <t>EXPENSE VARIANCES</t>
        </is>
      </c>
      <c r="B113" t="inlineStr">
        <is>
          <t>D8</t>
        </is>
      </c>
      <c r="C113" t="n">
        <v>8</v>
      </c>
      <c r="D113" t="n">
        <v>4</v>
      </c>
      <c r="E113" t="inlineStr">
        <is>
          <t>Output</t>
        </is>
      </c>
      <c r="F113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G113" t="n">
        <v>0</v>
      </c>
      <c r="H113" t="inlineStr"/>
      <c r="I113" t="inlineStr">
        <is>
          <t>"$"#,##0.00_);[Red]\("$"#,##0.00\)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inlineStr">
        <is>
          <t>G000014</t>
        </is>
      </c>
      <c r="T113" t="inlineStr">
        <is>
          <t>Vertical</t>
        </is>
      </c>
      <c r="U113" t="n">
        <v>2</v>
      </c>
      <c r="V113" t="b">
        <v>1</v>
      </c>
      <c r="W113" t="inlineStr">
        <is>
          <t>EXPENSE VARIANCES!D7:D8</t>
        </is>
      </c>
      <c r="X113">
        <f>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f>
        <v/>
      </c>
    </row>
    <row r="114">
      <c r="A114" t="inlineStr">
        <is>
          <t>EXPENSE VARIANCES</t>
        </is>
      </c>
      <c r="B114" t="inlineStr">
        <is>
          <t>E8</t>
        </is>
      </c>
      <c r="C114" t="n">
        <v>8</v>
      </c>
      <c r="D114" t="n">
        <v>5</v>
      </c>
      <c r="E114" t="inlineStr">
        <is>
          <t>Output</t>
        </is>
      </c>
      <c r="F114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G114" t="n">
        <v>0</v>
      </c>
      <c r="H114" t="inlineStr"/>
      <c r="I114" t="inlineStr">
        <is>
          <t>"$"#,##0.00_);[Red]\("$"#,##0.00\)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inlineStr">
        <is>
          <t>G000015</t>
        </is>
      </c>
      <c r="T114" t="inlineStr">
        <is>
          <t>Vertical</t>
        </is>
      </c>
      <c r="U114" t="n">
        <v>2</v>
      </c>
      <c r="V114" t="b">
        <v>1</v>
      </c>
      <c r="W114" t="inlineStr">
        <is>
          <t>EXPENSE VARIANCES!E7:E8</t>
        </is>
      </c>
      <c r="X114">
        <f>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f>
        <v/>
      </c>
    </row>
    <row r="115">
      <c r="A115" t="inlineStr">
        <is>
          <t>EXPENSE VARIANCES</t>
        </is>
      </c>
      <c r="B115" t="inlineStr">
        <is>
          <t>F8</t>
        </is>
      </c>
      <c r="C115" t="n">
        <v>8</v>
      </c>
      <c r="D115" t="n">
        <v>6</v>
      </c>
      <c r="E115" t="inlineStr">
        <is>
          <t>Output</t>
        </is>
      </c>
      <c r="F115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G115" t="n">
        <v>-135</v>
      </c>
      <c r="H115" t="inlineStr"/>
      <c r="I115" t="inlineStr">
        <is>
          <t>"$"#,##0.00_);[Red]\("$"#,##0.00\)</t>
        </is>
      </c>
      <c r="J115" t="b">
        <v>0</v>
      </c>
      <c r="K115" t="b">
        <v>0</v>
      </c>
      <c r="L115" t="n">
        <v>10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inlineStr">
        <is>
          <t>center</t>
        </is>
      </c>
      <c r="P115" t="inlineStr">
        <is>
          <t>center</t>
        </is>
      </c>
      <c r="R115" t="b">
        <v>1</v>
      </c>
      <c r="S115" t="inlineStr">
        <is>
          <t>G000016</t>
        </is>
      </c>
      <c r="T115" t="inlineStr">
        <is>
          <t>Vertical</t>
        </is>
      </c>
      <c r="U115" t="n">
        <v>2</v>
      </c>
      <c r="V115" t="b">
        <v>1</v>
      </c>
      <c r="W115" t="inlineStr">
        <is>
          <t>EXPENSE VARIANCES!F7:F8</t>
        </is>
      </c>
      <c r="X115">
        <f>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f>
        <v/>
      </c>
    </row>
    <row r="116">
      <c r="A116" t="inlineStr">
        <is>
          <t>EXPENSE VARIANCES</t>
        </is>
      </c>
      <c r="B116" t="inlineStr">
        <is>
          <t>G8</t>
        </is>
      </c>
      <c r="C116" t="n">
        <v>8</v>
      </c>
      <c r="D116" t="n">
        <v>7</v>
      </c>
      <c r="E116" t="inlineStr">
        <is>
          <t>Output</t>
        </is>
      </c>
      <c r="F116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G116" t="n">
        <v>-135</v>
      </c>
      <c r="H116" t="inlineStr"/>
      <c r="I116" t="inlineStr">
        <is>
          <t>"$"#,##0.00_);[Red]\("$"#,##0.00\)</t>
        </is>
      </c>
      <c r="J116" t="b">
        <v>0</v>
      </c>
      <c r="K116" t="b">
        <v>0</v>
      </c>
      <c r="L116" t="n">
        <v>10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center</t>
        </is>
      </c>
      <c r="P116" t="inlineStr">
        <is>
          <t>center</t>
        </is>
      </c>
      <c r="R116" t="b">
        <v>1</v>
      </c>
      <c r="S116" t="inlineStr">
        <is>
          <t>G000017</t>
        </is>
      </c>
      <c r="T116" t="inlineStr">
        <is>
          <t>Vertical</t>
        </is>
      </c>
      <c r="U116" t="n">
        <v>2</v>
      </c>
      <c r="V116" t="b">
        <v>1</v>
      </c>
      <c r="W116" t="inlineStr">
        <is>
          <t>EXPENSE VARIANCES!G7:G8</t>
        </is>
      </c>
      <c r="X116">
        <f>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f>
        <v/>
      </c>
    </row>
    <row r="117">
      <c r="A117" t="inlineStr">
        <is>
          <t>EXPENSE VARIANCES</t>
        </is>
      </c>
      <c r="B117" t="inlineStr">
        <is>
          <t>H8</t>
        </is>
      </c>
      <c r="C117" t="n">
        <v>8</v>
      </c>
      <c r="D117" t="n">
        <v>8</v>
      </c>
      <c r="E117" t="inlineStr">
        <is>
          <t>Output</t>
        </is>
      </c>
      <c r="F117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G117" t="n">
        <v>-135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G000018</t>
        </is>
      </c>
      <c r="T117" t="inlineStr">
        <is>
          <t>Vertical</t>
        </is>
      </c>
      <c r="U117" t="n">
        <v>2</v>
      </c>
      <c r="V117" t="b">
        <v>1</v>
      </c>
      <c r="W117" t="inlineStr">
        <is>
          <t>EXPENSE VARIANCES!H7:H8</t>
        </is>
      </c>
      <c r="X117">
        <f>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f>
        <v/>
      </c>
    </row>
    <row r="118">
      <c r="A118" t="inlineStr">
        <is>
          <t>EXPENSE VARIANCES</t>
        </is>
      </c>
      <c r="B118" t="inlineStr">
        <is>
          <t>I8</t>
        </is>
      </c>
      <c r="C118" t="n">
        <v>8</v>
      </c>
      <c r="D118" t="n">
        <v>9</v>
      </c>
      <c r="E118" t="inlineStr">
        <is>
          <t>Output</t>
        </is>
      </c>
      <c r="F118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G118" t="n">
        <v>23625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G000019</t>
        </is>
      </c>
      <c r="T118" t="inlineStr">
        <is>
          <t>Vertical</t>
        </is>
      </c>
      <c r="U118" t="n">
        <v>2</v>
      </c>
      <c r="V118" t="b">
        <v>1</v>
      </c>
      <c r="W118" t="inlineStr">
        <is>
          <t>EXPENSE VARIANCES!I7:I8</t>
        </is>
      </c>
      <c r="X118">
        <f>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f>
        <v/>
      </c>
    </row>
    <row r="119">
      <c r="A119" t="inlineStr">
        <is>
          <t>EXPENSE VARIANCES</t>
        </is>
      </c>
      <c r="B119" t="inlineStr">
        <is>
          <t>J8</t>
        </is>
      </c>
      <c r="C119" t="n">
        <v>8</v>
      </c>
      <c r="D119" t="n">
        <v>10</v>
      </c>
      <c r="E119" t="inlineStr">
        <is>
          <t>Output</t>
        </is>
      </c>
      <c r="F119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G119" t="n">
        <v>24948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G000020</t>
        </is>
      </c>
      <c r="T119" t="inlineStr">
        <is>
          <t>Vertical</t>
        </is>
      </c>
      <c r="U119" t="n">
        <v>2</v>
      </c>
      <c r="V119" t="b">
        <v>1</v>
      </c>
      <c r="W119" t="inlineStr">
        <is>
          <t>EXPENSE VARIANCES!J7:J8</t>
        </is>
      </c>
      <c r="X119">
        <f>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f>
        <v/>
      </c>
    </row>
    <row r="120">
      <c r="A120" t="inlineStr">
        <is>
          <t>EXPENSE VARIANCES</t>
        </is>
      </c>
      <c r="B120" t="inlineStr">
        <is>
          <t>K8</t>
        </is>
      </c>
      <c r="C120" t="n">
        <v>8</v>
      </c>
      <c r="D120" t="n">
        <v>11</v>
      </c>
      <c r="E120" t="inlineStr">
        <is>
          <t>Output</t>
        </is>
      </c>
      <c r="F120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G120" t="n">
        <v>24948</v>
      </c>
      <c r="H120" t="inlineStr"/>
      <c r="I120" t="inlineStr">
        <is>
          <t>"$"#,##0.00_);[Red]\("$"#,##0.00\)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inlineStr">
        <is>
          <t>center</t>
        </is>
      </c>
      <c r="R120" t="b">
        <v>1</v>
      </c>
      <c r="S120" t="inlineStr">
        <is>
          <t>G000021</t>
        </is>
      </c>
      <c r="T120" t="inlineStr">
        <is>
          <t>Vertical</t>
        </is>
      </c>
      <c r="U120" t="n">
        <v>2</v>
      </c>
      <c r="V120" t="b">
        <v>1</v>
      </c>
      <c r="W120" t="inlineStr">
        <is>
          <t>EXPENSE VARIANCES!K7:K8</t>
        </is>
      </c>
      <c r="X120">
        <f>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f>
        <v/>
      </c>
    </row>
    <row r="121">
      <c r="A121" t="inlineStr">
        <is>
          <t>EXPENSE VARIANCES</t>
        </is>
      </c>
      <c r="B121" t="inlineStr">
        <is>
          <t>L8</t>
        </is>
      </c>
      <c r="C121" t="n">
        <v>8</v>
      </c>
      <c r="D121" t="n">
        <v>12</v>
      </c>
      <c r="E121" t="inlineStr">
        <is>
          <t>Output</t>
        </is>
      </c>
      <c r="F121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G121" t="n">
        <v>24948</v>
      </c>
      <c r="H121" t="inlineStr"/>
      <c r="I121" t="inlineStr">
        <is>
          <t>"$"#,##0.00_);[Red]\("$"#,##0.00\)</t>
        </is>
      </c>
      <c r="J121" t="b">
        <v>0</v>
      </c>
      <c r="K121" t="b">
        <v>0</v>
      </c>
      <c r="L121" t="n">
        <v>10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inlineStr">
        <is>
          <t>center</t>
        </is>
      </c>
      <c r="R121" t="b">
        <v>1</v>
      </c>
      <c r="S121" t="inlineStr">
        <is>
          <t>G000022</t>
        </is>
      </c>
      <c r="T121" t="inlineStr">
        <is>
          <t>Vertical</t>
        </is>
      </c>
      <c r="U121" t="n">
        <v>2</v>
      </c>
      <c r="V121" t="b">
        <v>1</v>
      </c>
      <c r="W121" t="inlineStr">
        <is>
          <t>EXPENSE VARIANCES!L7:L8</t>
        </is>
      </c>
      <c r="X121">
        <f>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f>
        <v/>
      </c>
    </row>
    <row r="122">
      <c r="A122" t="inlineStr">
        <is>
          <t>EXPENSE VARIANCES</t>
        </is>
      </c>
      <c r="B122" t="inlineStr">
        <is>
          <t>M8</t>
        </is>
      </c>
      <c r="C122" t="n">
        <v>8</v>
      </c>
      <c r="D122" t="n">
        <v>13</v>
      </c>
      <c r="E122" t="inlineStr">
        <is>
          <t>Output</t>
        </is>
      </c>
      <c r="F122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G122" t="n">
        <v>24948</v>
      </c>
      <c r="H122" t="inlineStr"/>
      <c r="I122" t="inlineStr">
        <is>
          <t>"$"#,##0.00_);[Red]\("$"#,##0.00\)</t>
        </is>
      </c>
      <c r="J122" t="b">
        <v>0</v>
      </c>
      <c r="K122" t="b">
        <v>0</v>
      </c>
      <c r="L122" t="n">
        <v>10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inlineStr">
        <is>
          <t>center</t>
        </is>
      </c>
      <c r="R122" t="b">
        <v>1</v>
      </c>
      <c r="S122" t="inlineStr">
        <is>
          <t>G000023</t>
        </is>
      </c>
      <c r="T122" t="inlineStr">
        <is>
          <t>Vertical</t>
        </is>
      </c>
      <c r="U122" t="n">
        <v>2</v>
      </c>
      <c r="V122" t="b">
        <v>1</v>
      </c>
      <c r="W122" t="inlineStr">
        <is>
          <t>EXPENSE VARIANCES!M7:M8</t>
        </is>
      </c>
      <c r="X122">
        <f>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f>
        <v/>
      </c>
    </row>
    <row r="123">
      <c r="A123" t="inlineStr">
        <is>
          <t>EXPENSE VARIANCES</t>
        </is>
      </c>
      <c r="B123" t="inlineStr">
        <is>
          <t>N8</t>
        </is>
      </c>
      <c r="C123" t="n">
        <v>8</v>
      </c>
      <c r="D123" t="n">
        <v>14</v>
      </c>
      <c r="E123" t="inlineStr">
        <is>
          <t>Output</t>
        </is>
      </c>
      <c r="F123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G123" t="n">
        <v>24948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inlineStr">
        <is>
          <t>G000024</t>
        </is>
      </c>
      <c r="T123" t="inlineStr">
        <is>
          <t>Vertical</t>
        </is>
      </c>
      <c r="U123" t="n">
        <v>2</v>
      </c>
      <c r="V123" t="b">
        <v>1</v>
      </c>
      <c r="W123" t="inlineStr">
        <is>
          <t>EXPENSE VARIANCES!N7:N8</t>
        </is>
      </c>
      <c r="X123">
        <f>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f>
        <v/>
      </c>
    </row>
    <row r="124">
      <c r="A124" t="inlineStr">
        <is>
          <t>EXPENSE VARIANCES</t>
        </is>
      </c>
      <c r="B124" t="inlineStr">
        <is>
          <t>O8</t>
        </is>
      </c>
      <c r="C124" t="n">
        <v>8</v>
      </c>
      <c r="D124" t="n">
        <v>15</v>
      </c>
      <c r="E124" t="inlineStr">
        <is>
          <t>Output</t>
        </is>
      </c>
      <c r="F124" t="inlineStr">
        <is>
          <t>'=SUM(EmployeeVariances[[#This Row],[Jan]:[Dec]])</t>
        </is>
      </c>
      <c r="G124" t="n">
        <v>147960</v>
      </c>
      <c r="H124" t="inlineStr"/>
      <c r="I124" t="inlineStr">
        <is>
          <t>"$"#,##0.00_);[Red]\("$"#,##0.00\)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inlineStr">
        <is>
          <t>center</t>
        </is>
      </c>
      <c r="R124" t="b">
        <v>1</v>
      </c>
      <c r="S124" t="inlineStr">
        <is>
          <t>G000025</t>
        </is>
      </c>
      <c r="T124" t="inlineStr">
        <is>
          <t>Vertical</t>
        </is>
      </c>
      <c r="U124" t="n">
        <v>2</v>
      </c>
      <c r="V124" t="b">
        <v>1</v>
      </c>
      <c r="W124" t="inlineStr">
        <is>
          <t>EXPENSE VARIANCES!O7:O8</t>
        </is>
      </c>
      <c r="X124">
        <f>SUM(EmployeeVariances[[#This Row],[Jan]:[Dec]])</f>
        <v/>
      </c>
    </row>
    <row r="125">
      <c r="A125" t="inlineStr">
        <is>
          <t>EXPENSE VARIANCES</t>
        </is>
      </c>
      <c r="B125" t="inlineStr">
        <is>
          <t>P8</t>
        </is>
      </c>
      <c r="C125" t="n">
        <v>8</v>
      </c>
      <c r="D125" t="n">
        <v>16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EXPENSE VARIANCES</t>
        </is>
      </c>
      <c r="B126" t="inlineStr">
        <is>
          <t>A9</t>
        </is>
      </c>
      <c r="C126" t="n">
        <v>9</v>
      </c>
      <c r="D126" t="n">
        <v>1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EXPENSE VARIANCES</t>
        </is>
      </c>
      <c r="B127" t="inlineStr">
        <is>
          <t>B9</t>
        </is>
      </c>
      <c r="C127" t="n">
        <v>9</v>
      </c>
      <c r="D127" t="n">
        <v>2</v>
      </c>
      <c r="E127" t="inlineStr">
        <is>
          <t>Input</t>
        </is>
      </c>
      <c r="F127" t="n">
        <v/>
      </c>
      <c r="G127" t="inlineStr">
        <is>
          <t>Subtotal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12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left</t>
        </is>
      </c>
      <c r="P127" t="inlineStr">
        <is>
          <t>center</t>
        </is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EXPENSE VARIANCES</t>
        </is>
      </c>
      <c r="B128" t="inlineStr">
        <is>
          <t>C9</t>
        </is>
      </c>
      <c r="C128" t="n">
        <v>9</v>
      </c>
      <c r="D128" t="n">
        <v>3</v>
      </c>
      <c r="E128" t="inlineStr">
        <is>
          <t>Output</t>
        </is>
      </c>
      <c r="F128" t="inlineStr">
        <is>
          <t>'=SUBTOTAL(109,EmployeeVariances[Jan])</t>
        </is>
      </c>
      <c r="G128" t="n">
        <v>0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>
        <f>SUBTOTAL(109,EmployeeVariances[Jan])</f>
        <v/>
      </c>
    </row>
    <row r="129">
      <c r="A129" t="inlineStr">
        <is>
          <t>EXPENSE VARIANCES</t>
        </is>
      </c>
      <c r="B129" t="inlineStr">
        <is>
          <t>D9</t>
        </is>
      </c>
      <c r="C129" t="n">
        <v>9</v>
      </c>
      <c r="D129" t="n">
        <v>4</v>
      </c>
      <c r="E129" t="inlineStr">
        <is>
          <t>Output</t>
        </is>
      </c>
      <c r="F129" t="inlineStr">
        <is>
          <t>'=SUBTOTAL(109,EmployeeVariances[Feb])</t>
        </is>
      </c>
      <c r="G129" t="n">
        <v>0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10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>
        <f>SUBTOTAL(109,EmployeeVariances[Feb])</f>
        <v/>
      </c>
    </row>
    <row r="130">
      <c r="A130" t="inlineStr">
        <is>
          <t>EXPENSE VARIANCES</t>
        </is>
      </c>
      <c r="B130" t="inlineStr">
        <is>
          <t>E9</t>
        </is>
      </c>
      <c r="C130" t="n">
        <v>9</v>
      </c>
      <c r="D130" t="n">
        <v>5</v>
      </c>
      <c r="E130" t="inlineStr">
        <is>
          <t>Output</t>
        </is>
      </c>
      <c r="F130" t="inlineStr">
        <is>
          <t>'=SUBTOTAL(109,EmployeeVariances[Mar])</t>
        </is>
      </c>
      <c r="G130" t="n">
        <v>0</v>
      </c>
      <c r="H130" t="inlineStr"/>
      <c r="I130" t="inlineStr">
        <is>
          <t>"$"#,##0.00_);[Red]\("$"#,##0.00\)</t>
        </is>
      </c>
      <c r="J130" t="b">
        <v>0</v>
      </c>
      <c r="K130" t="b">
        <v>0</v>
      </c>
      <c r="L130" t="n">
        <v>10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inlineStr">
        <is>
          <t>center</t>
        </is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>
        <f>SUBTOTAL(109,EmployeeVariances[Mar])</f>
        <v/>
      </c>
    </row>
    <row r="131">
      <c r="A131" t="inlineStr">
        <is>
          <t>EXPENSE VARIANCES</t>
        </is>
      </c>
      <c r="B131" t="inlineStr">
        <is>
          <t>F9</t>
        </is>
      </c>
      <c r="C131" t="n">
        <v>9</v>
      </c>
      <c r="D131" t="n">
        <v>6</v>
      </c>
      <c r="E131" t="inlineStr">
        <is>
          <t>Output</t>
        </is>
      </c>
      <c r="F131" t="inlineStr">
        <is>
          <t>'=SUBTOTAL(109,EmployeeVariances[Apr])</t>
        </is>
      </c>
      <c r="G131" t="n">
        <v>-635</v>
      </c>
      <c r="H131" t="inlineStr"/>
      <c r="I131" t="inlineStr">
        <is>
          <t>"$"#,##0.00_);[Red]\("$"#,##0.00\)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inlineStr">
        <is>
          <t>center</t>
        </is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>
        <f>SUBTOTAL(109,EmployeeVariances[Apr])</f>
        <v/>
      </c>
    </row>
    <row r="132">
      <c r="A132" t="inlineStr">
        <is>
          <t>EXPENSE VARIANCES</t>
        </is>
      </c>
      <c r="B132" t="inlineStr">
        <is>
          <t>G9</t>
        </is>
      </c>
      <c r="C132" t="n">
        <v>9</v>
      </c>
      <c r="D132" t="n">
        <v>7</v>
      </c>
      <c r="E132" t="inlineStr">
        <is>
          <t>Output</t>
        </is>
      </c>
      <c r="F132" t="inlineStr">
        <is>
          <t>'=SUBTOTAL(109,EmployeeVariances[May])</t>
        </is>
      </c>
      <c r="G132" t="n">
        <v>-635</v>
      </c>
      <c r="H132" t="inlineStr"/>
      <c r="I132" t="inlineStr">
        <is>
          <t>"$"#,##0.00_);[Red]\("$"#,##0.00\)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inlineStr">
        <is>
          <t>center</t>
        </is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>
        <f>SUBTOTAL(109,EmployeeVariances[May])</f>
        <v/>
      </c>
    </row>
    <row r="133">
      <c r="A133" t="inlineStr">
        <is>
          <t>EXPENSE VARIANCES</t>
        </is>
      </c>
      <c r="B133" t="inlineStr">
        <is>
          <t>H9</t>
        </is>
      </c>
      <c r="C133" t="n">
        <v>9</v>
      </c>
      <c r="D133" t="n">
        <v>8</v>
      </c>
      <c r="E133" t="inlineStr">
        <is>
          <t>Output</t>
        </is>
      </c>
      <c r="F133" t="inlineStr">
        <is>
          <t>'=SUBTOTAL(109,EmployeeVariances[Jun])</t>
        </is>
      </c>
      <c r="G133" t="n">
        <v>-635</v>
      </c>
      <c r="H133" t="inlineStr"/>
      <c r="I133" t="inlineStr">
        <is>
          <t>"$"#,##0.00_);[Red]\("$"#,##0.00\)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inlineStr">
        <is>
          <t>center</t>
        </is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>
        <f>SUBTOTAL(109,EmployeeVariances[Jun])</f>
        <v/>
      </c>
    </row>
    <row r="134">
      <c r="A134" t="inlineStr">
        <is>
          <t>EXPENSE VARIANCES</t>
        </is>
      </c>
      <c r="B134" t="inlineStr">
        <is>
          <t>I9</t>
        </is>
      </c>
      <c r="C134" t="n">
        <v>9</v>
      </c>
      <c r="D134" t="n">
        <v>9</v>
      </c>
      <c r="E134" t="inlineStr">
        <is>
          <t>Output</t>
        </is>
      </c>
      <c r="F134" t="inlineStr">
        <is>
          <t>'=SUBTOTAL(109,EmployeeVariances[Jul])</t>
        </is>
      </c>
      <c r="G134" t="n">
        <v>111125</v>
      </c>
      <c r="H134" t="inlineStr"/>
      <c r="I134" t="inlineStr">
        <is>
          <t>"$"#,##0.00_);[Red]\("$"#,##0.00\)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center</t>
        </is>
      </c>
      <c r="P134" t="inlineStr">
        <is>
          <t>center</t>
        </is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>
        <f>SUBTOTAL(109,EmployeeVariances[Jul])</f>
        <v/>
      </c>
    </row>
    <row r="135">
      <c r="A135" t="inlineStr">
        <is>
          <t>EXPENSE VARIANCES</t>
        </is>
      </c>
      <c r="B135" t="inlineStr">
        <is>
          <t>J9</t>
        </is>
      </c>
      <c r="C135" t="n">
        <v>9</v>
      </c>
      <c r="D135" t="n">
        <v>10</v>
      </c>
      <c r="E135" t="inlineStr">
        <is>
          <t>Output</t>
        </is>
      </c>
      <c r="F135" t="inlineStr">
        <is>
          <t>'=SUBTOTAL(109,EmployeeVariances[Aug])</t>
        </is>
      </c>
      <c r="G135" t="n">
        <v>117348</v>
      </c>
      <c r="H135" t="inlineStr"/>
      <c r="I135" t="inlineStr">
        <is>
          <t>"$"#,##0.00_);[Red]\("$"#,##0.00\)</t>
        </is>
      </c>
      <c r="J135" t="b">
        <v>0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center</t>
        </is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>
        <f>SUBTOTAL(109,EmployeeVariances[Aug])</f>
        <v/>
      </c>
    </row>
    <row r="136">
      <c r="A136" t="inlineStr">
        <is>
          <t>EXPENSE VARIANCES</t>
        </is>
      </c>
      <c r="B136" t="inlineStr">
        <is>
          <t>K9</t>
        </is>
      </c>
      <c r="C136" t="n">
        <v>9</v>
      </c>
      <c r="D136" t="n">
        <v>11</v>
      </c>
      <c r="E136" t="inlineStr">
        <is>
          <t>Output</t>
        </is>
      </c>
      <c r="F136" t="inlineStr">
        <is>
          <t>'=SUBTOTAL(109,EmployeeVariances[Sep])</t>
        </is>
      </c>
      <c r="G136" t="n">
        <v>117348</v>
      </c>
      <c r="H136" t="inlineStr"/>
      <c r="I136" t="inlineStr">
        <is>
          <t>"$"#,##0.00_);[Red]\("$"#,##0.00\)</t>
        </is>
      </c>
      <c r="J136" t="b">
        <v>0</v>
      </c>
      <c r="K136" t="b">
        <v>0</v>
      </c>
      <c r="L136" t="n">
        <v>10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inlineStr">
        <is>
          <t>center</t>
        </is>
      </c>
      <c r="P136" t="inlineStr">
        <is>
          <t>center</t>
        </is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>
        <f>SUBTOTAL(109,EmployeeVariances[Sep])</f>
        <v/>
      </c>
    </row>
    <row r="137">
      <c r="A137" t="inlineStr">
        <is>
          <t>EXPENSE VARIANCES</t>
        </is>
      </c>
      <c r="B137" t="inlineStr">
        <is>
          <t>L9</t>
        </is>
      </c>
      <c r="C137" t="n">
        <v>9</v>
      </c>
      <c r="D137" t="n">
        <v>12</v>
      </c>
      <c r="E137" t="inlineStr">
        <is>
          <t>Output</t>
        </is>
      </c>
      <c r="F137" t="inlineStr">
        <is>
          <t>'=SUBTOTAL(109,EmployeeVariances[Oct])</t>
        </is>
      </c>
      <c r="G137" t="n">
        <v>117348</v>
      </c>
      <c r="H137" t="inlineStr"/>
      <c r="I137" t="inlineStr">
        <is>
          <t>"$"#,##0.00_);[Red]\("$"#,##0.00\)</t>
        </is>
      </c>
      <c r="J137" t="b">
        <v>0</v>
      </c>
      <c r="K137" t="b">
        <v>0</v>
      </c>
      <c r="L137" t="n">
        <v>10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inlineStr">
        <is>
          <t>center</t>
        </is>
      </c>
      <c r="P137" t="inlineStr">
        <is>
          <t>center</t>
        </is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>
        <f>SUBTOTAL(109,EmployeeVariances[Oct])</f>
        <v/>
      </c>
    </row>
    <row r="138">
      <c r="A138" t="inlineStr">
        <is>
          <t>EXPENSE VARIANCES</t>
        </is>
      </c>
      <c r="B138" t="inlineStr">
        <is>
          <t>M9</t>
        </is>
      </c>
      <c r="C138" t="n">
        <v>9</v>
      </c>
      <c r="D138" t="n">
        <v>13</v>
      </c>
      <c r="E138" t="inlineStr">
        <is>
          <t>Output</t>
        </is>
      </c>
      <c r="F138" t="inlineStr">
        <is>
          <t>'=SUBTOTAL(109,EmployeeVariances[Nov])</t>
        </is>
      </c>
      <c r="G138" t="n">
        <v>117348</v>
      </c>
      <c r="H138" t="inlineStr"/>
      <c r="I138" t="inlineStr">
        <is>
          <t>"$"#,##0.00_);[Red]\("$"#,##0.00\)</t>
        </is>
      </c>
      <c r="J138" t="b">
        <v>0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inlineStr">
        <is>
          <t>center</t>
        </is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>
        <f>SUBTOTAL(109,EmployeeVariances[Nov])</f>
        <v/>
      </c>
    </row>
    <row r="139">
      <c r="A139" t="inlineStr">
        <is>
          <t>EXPENSE VARIANCES</t>
        </is>
      </c>
      <c r="B139" t="inlineStr">
        <is>
          <t>N9</t>
        </is>
      </c>
      <c r="C139" t="n">
        <v>9</v>
      </c>
      <c r="D139" t="n">
        <v>14</v>
      </c>
      <c r="E139" t="inlineStr">
        <is>
          <t>Output</t>
        </is>
      </c>
      <c r="F139" t="inlineStr">
        <is>
          <t>'=SUBTOTAL(109,EmployeeVariances[Dec])</t>
        </is>
      </c>
      <c r="G139" t="n">
        <v>117348</v>
      </c>
      <c r="H139" t="inlineStr"/>
      <c r="I139" t="inlineStr">
        <is>
          <t>"$"#,##0.00_);[Red]\("$"#,##0.00\)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>
        <f>SUBTOTAL(109,EmployeeVariances[Dec])</f>
        <v/>
      </c>
    </row>
    <row r="140">
      <c r="A140" t="inlineStr">
        <is>
          <t>EXPENSE VARIANCES</t>
        </is>
      </c>
      <c r="B140" t="inlineStr">
        <is>
          <t>O9</t>
        </is>
      </c>
      <c r="C140" t="n">
        <v>9</v>
      </c>
      <c r="D140" t="n">
        <v>15</v>
      </c>
      <c r="E140" t="inlineStr">
        <is>
          <t>Output</t>
        </is>
      </c>
      <c r="F140" t="inlineStr">
        <is>
          <t>'=SUBTOTAL(109,EmployeeVariances[YEAR])</t>
        </is>
      </c>
      <c r="G140" t="n">
        <v>695960</v>
      </c>
      <c r="H140" t="inlineStr"/>
      <c r="I140" t="inlineStr">
        <is>
          <t>"$"#,##0.00_);[Red]\("$"#,##0.00\)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>
        <f>SUBTOTAL(109,EmployeeVariances[YEAR])</f>
        <v/>
      </c>
    </row>
    <row r="141">
      <c r="A141" t="inlineStr">
        <is>
          <t>EXPENSE VARIANCES</t>
        </is>
      </c>
      <c r="B141" t="inlineStr">
        <is>
          <t>P9</t>
        </is>
      </c>
      <c r="C141" t="n">
        <v>9</v>
      </c>
      <c r="D141" t="n">
        <v>16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n">
        <v/>
      </c>
      <c r="P141" t="n">
        <v/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EXPENSE VARIANCES</t>
        </is>
      </c>
      <c r="B142" t="inlineStr">
        <is>
          <t>A10</t>
        </is>
      </c>
      <c r="C142" t="n">
        <v>10</v>
      </c>
      <c r="D142" t="n">
        <v>1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n">
        <v/>
      </c>
      <c r="P142" t="n">
        <v/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EXPENSE VARIANCES</t>
        </is>
      </c>
      <c r="B143" t="inlineStr">
        <is>
          <t>B10</t>
        </is>
      </c>
      <c r="C143" t="n">
        <v>10</v>
      </c>
      <c r="D143" t="n">
        <v>2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left</t>
        </is>
      </c>
      <c r="P143" t="n">
        <v/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EXPENSE VARIANCES</t>
        </is>
      </c>
      <c r="B144" t="inlineStr">
        <is>
          <t>C10</t>
        </is>
      </c>
      <c r="C144" t="n">
        <v>10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inlineStr">
        <is>
          <t>center</t>
        </is>
      </c>
      <c r="P144" t="n">
        <v/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EXPENSE VARIANCES</t>
        </is>
      </c>
      <c r="B145" t="inlineStr">
        <is>
          <t>D10</t>
        </is>
      </c>
      <c r="C145" t="n">
        <v>10</v>
      </c>
      <c r="D145" t="n">
        <v>4</v>
      </c>
      <c r="E145" t="inlineStr">
        <is>
          <t>Input</t>
        </is>
      </c>
      <c r="F145" t="n">
        <v/>
      </c>
      <c r="H145" t="inlineStr"/>
      <c r="I145" t="inlineStr">
        <is>
          <t>#,##0_);(#,##0)</t>
        </is>
      </c>
      <c r="J145" t="b">
        <v>0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right</t>
        </is>
      </c>
      <c r="P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EXPENSE VARIANCES</t>
        </is>
      </c>
      <c r="B146" t="inlineStr">
        <is>
          <t>E10</t>
        </is>
      </c>
      <c r="C146" t="n">
        <v>10</v>
      </c>
      <c r="D146" t="n">
        <v>5</v>
      </c>
      <c r="E146" t="inlineStr">
        <is>
          <t>Input</t>
        </is>
      </c>
      <c r="F146" t="n">
        <v/>
      </c>
      <c r="H146" t="inlineStr"/>
      <c r="I146" t="inlineStr">
        <is>
          <t>#,##0_);(#,##0)</t>
        </is>
      </c>
      <c r="J146" t="b">
        <v>0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right</t>
        </is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EXPENSE VARIANCES</t>
        </is>
      </c>
      <c r="B147" t="inlineStr">
        <is>
          <t>F10</t>
        </is>
      </c>
      <c r="C147" t="n">
        <v>10</v>
      </c>
      <c r="D147" t="n">
        <v>6</v>
      </c>
      <c r="E147" t="inlineStr">
        <is>
          <t>Input</t>
        </is>
      </c>
      <c r="F147" t="n">
        <v/>
      </c>
      <c r="H147" t="inlineStr"/>
      <c r="I147" t="inlineStr">
        <is>
          <t>#,##0_);(#,##0)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right</t>
        </is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EXPENSE VARIANCES</t>
        </is>
      </c>
      <c r="B148" t="inlineStr">
        <is>
          <t>G10</t>
        </is>
      </c>
      <c r="C148" t="n">
        <v>10</v>
      </c>
      <c r="D148" t="n">
        <v>7</v>
      </c>
      <c r="E148" t="inlineStr">
        <is>
          <t>Input</t>
        </is>
      </c>
      <c r="F148" t="n">
        <v/>
      </c>
      <c r="H148" t="inlineStr"/>
      <c r="I148" t="inlineStr">
        <is>
          <t>#,##0_);(#,##0)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right</t>
        </is>
      </c>
      <c r="P148" t="n">
        <v/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EXPENSE VARIANCES</t>
        </is>
      </c>
      <c r="B149" t="inlineStr">
        <is>
          <t>H10</t>
        </is>
      </c>
      <c r="C149" t="n">
        <v>10</v>
      </c>
      <c r="D149" t="n">
        <v>8</v>
      </c>
      <c r="E149" t="inlineStr">
        <is>
          <t>Input</t>
        </is>
      </c>
      <c r="F149" t="n">
        <v/>
      </c>
      <c r="H149" t="inlineStr"/>
      <c r="I149" t="inlineStr">
        <is>
          <t>#,##0_);(#,##0)</t>
        </is>
      </c>
      <c r="J149" t="b">
        <v>0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right</t>
        </is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EXPENSE VARIANCES</t>
        </is>
      </c>
      <c r="B150" t="inlineStr">
        <is>
          <t>I10</t>
        </is>
      </c>
      <c r="C150" t="n">
        <v>10</v>
      </c>
      <c r="D150" t="n">
        <v>9</v>
      </c>
      <c r="E150" t="inlineStr">
        <is>
          <t>Input</t>
        </is>
      </c>
      <c r="F150" t="n">
        <v/>
      </c>
      <c r="H150" t="inlineStr"/>
      <c r="I150" t="inlineStr">
        <is>
          <t>#,##0_);(#,##0)</t>
        </is>
      </c>
      <c r="J150" t="b">
        <v>0</v>
      </c>
      <c r="K150" t="b">
        <v>0</v>
      </c>
      <c r="L150" t="n">
        <v>10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right</t>
        </is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EXPENSE VARIANCES</t>
        </is>
      </c>
      <c r="B151" t="inlineStr">
        <is>
          <t>J10</t>
        </is>
      </c>
      <c r="C151" t="n">
        <v>10</v>
      </c>
      <c r="D151" t="n">
        <v>10</v>
      </c>
      <c r="E151" t="inlineStr">
        <is>
          <t>Input</t>
        </is>
      </c>
      <c r="F151" t="n">
        <v/>
      </c>
      <c r="H151" t="inlineStr"/>
      <c r="I151" t="inlineStr">
        <is>
          <t>#,##0_);(#,##0)</t>
        </is>
      </c>
      <c r="J151" t="b">
        <v>0</v>
      </c>
      <c r="K151" t="b">
        <v>0</v>
      </c>
      <c r="L151" t="n">
        <v>10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right</t>
        </is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EXPENSE VARIANCES</t>
        </is>
      </c>
      <c r="B152" t="inlineStr">
        <is>
          <t>K10</t>
        </is>
      </c>
      <c r="C152" t="n">
        <v>10</v>
      </c>
      <c r="D152" t="n">
        <v>11</v>
      </c>
      <c r="E152" t="inlineStr">
        <is>
          <t>Input</t>
        </is>
      </c>
      <c r="F152" t="n">
        <v/>
      </c>
      <c r="H152" t="inlineStr"/>
      <c r="I152" t="inlineStr">
        <is>
          <t>#,##0_);(#,##0)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right</t>
        </is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EXPENSE VARIANCES</t>
        </is>
      </c>
      <c r="B153" t="inlineStr">
        <is>
          <t>L10</t>
        </is>
      </c>
      <c r="C153" t="n">
        <v>10</v>
      </c>
      <c r="D153" t="n">
        <v>12</v>
      </c>
      <c r="E153" t="inlineStr">
        <is>
          <t>Input</t>
        </is>
      </c>
      <c r="F153" t="n">
        <v/>
      </c>
      <c r="H153" t="inlineStr"/>
      <c r="I153" t="inlineStr">
        <is>
          <t>#,##0_);(#,##0)</t>
        </is>
      </c>
      <c r="J153" t="b">
        <v>0</v>
      </c>
      <c r="K153" t="b">
        <v>0</v>
      </c>
      <c r="L153" t="n">
        <v>10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right</t>
        </is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EXPENSE VARIANCES</t>
        </is>
      </c>
      <c r="B154" t="inlineStr">
        <is>
          <t>M10</t>
        </is>
      </c>
      <c r="C154" t="n">
        <v>10</v>
      </c>
      <c r="D154" t="n">
        <v>13</v>
      </c>
      <c r="E154" t="inlineStr">
        <is>
          <t>Input</t>
        </is>
      </c>
      <c r="F154" t="n">
        <v/>
      </c>
      <c r="H154" t="inlineStr"/>
      <c r="I154" t="inlineStr">
        <is>
          <t>#,##0_);(#,##0)</t>
        </is>
      </c>
      <c r="J154" t="b">
        <v>0</v>
      </c>
      <c r="K154" t="b">
        <v>0</v>
      </c>
      <c r="L154" t="n">
        <v>10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right</t>
        </is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EXPENSE VARIANCES</t>
        </is>
      </c>
      <c r="B155" t="inlineStr">
        <is>
          <t>N10</t>
        </is>
      </c>
      <c r="C155" t="n">
        <v>10</v>
      </c>
      <c r="D155" t="n">
        <v>14</v>
      </c>
      <c r="E155" t="inlineStr">
        <is>
          <t>Input</t>
        </is>
      </c>
      <c r="F155" t="n">
        <v/>
      </c>
      <c r="H155" t="inlineStr"/>
      <c r="I155" t="inlineStr">
        <is>
          <t>#,##0_);(#,##0)</t>
        </is>
      </c>
      <c r="J155" t="b">
        <v>0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right</t>
        </is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EXPENSE VARIANCES</t>
        </is>
      </c>
      <c r="B156" t="inlineStr">
        <is>
          <t>O10</t>
        </is>
      </c>
      <c r="C156" t="n">
        <v>10</v>
      </c>
      <c r="D156" t="n">
        <v>15</v>
      </c>
      <c r="E156" t="inlineStr">
        <is>
          <t>Input</t>
        </is>
      </c>
      <c r="F156" t="n">
        <v/>
      </c>
      <c r="H156" t="inlineStr"/>
      <c r="I156" t="inlineStr">
        <is>
          <t>#,##0_);(#,##0)</t>
        </is>
      </c>
      <c r="J156" t="b">
        <v>1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right</t>
        </is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EXPENSE VARIANCES</t>
        </is>
      </c>
      <c r="B157" t="inlineStr">
        <is>
          <t>P10</t>
        </is>
      </c>
      <c r="C157" t="n">
        <v>10</v>
      </c>
      <c r="D157" t="n">
        <v>16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EXPENSE VARIANCES</t>
        </is>
      </c>
      <c r="B158" t="inlineStr">
        <is>
          <t>A11</t>
        </is>
      </c>
      <c r="C158" t="n">
        <v>11</v>
      </c>
      <c r="D158" t="n">
        <v>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16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EXPENSE VARIANCES</t>
        </is>
      </c>
      <c r="B159" t="inlineStr">
        <is>
          <t>B11</t>
        </is>
      </c>
      <c r="C159" t="n">
        <v>11</v>
      </c>
      <c r="D159" t="n">
        <v>2</v>
      </c>
      <c r="E159" t="inlineStr">
        <is>
          <t>Input</t>
        </is>
      </c>
      <c r="F159" t="n">
        <v/>
      </c>
      <c r="G159" t="inlineStr">
        <is>
          <t>Office costs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16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left</t>
        </is>
      </c>
      <c r="P159" t="inlineStr">
        <is>
          <t>center</t>
        </is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EXPENSE VARIANCES</t>
        </is>
      </c>
      <c r="B160" t="inlineStr">
        <is>
          <t>C11</t>
        </is>
      </c>
      <c r="C160" t="n">
        <v>11</v>
      </c>
      <c r="D160" t="n">
        <v>3</v>
      </c>
      <c r="E160" t="inlineStr">
        <is>
          <t>Input</t>
        </is>
      </c>
      <c r="F160" t="n">
        <v/>
      </c>
      <c r="G160" t="inlineStr">
        <is>
          <t>Jan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16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inlineStr">
        <is>
          <t>center</t>
        </is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EXPENSE VARIANCES</t>
        </is>
      </c>
      <c r="B161" t="inlineStr">
        <is>
          <t>D11</t>
        </is>
      </c>
      <c r="C161" t="n">
        <v>11</v>
      </c>
      <c r="D161" t="n">
        <v>4</v>
      </c>
      <c r="E161" t="inlineStr">
        <is>
          <t>Input</t>
        </is>
      </c>
      <c r="F161" t="n">
        <v/>
      </c>
      <c r="G161" t="inlineStr">
        <is>
          <t>Feb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16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inlineStr">
        <is>
          <t>center</t>
        </is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EXPENSE VARIANCES</t>
        </is>
      </c>
      <c r="B162" t="inlineStr">
        <is>
          <t>E11</t>
        </is>
      </c>
      <c r="C162" t="n">
        <v>11</v>
      </c>
      <c r="D162" t="n">
        <v>5</v>
      </c>
      <c r="E162" t="inlineStr">
        <is>
          <t>Input</t>
        </is>
      </c>
      <c r="F162" t="n">
        <v/>
      </c>
      <c r="G162" t="inlineStr">
        <is>
          <t>Mar</t>
        </is>
      </c>
      <c r="H162" t="inlineStr"/>
      <c r="I162" t="inlineStr">
        <is>
          <t>_("$"* #,##0_);_("$"* \(#,##0\);_("$"* "-"??_);_(@_)</t>
        </is>
      </c>
      <c r="J162" t="b">
        <v>0</v>
      </c>
      <c r="K162" t="b">
        <v>0</v>
      </c>
      <c r="L162" t="n">
        <v>16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inlineStr">
        <is>
          <t>center</t>
        </is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EXPENSE VARIANCES</t>
        </is>
      </c>
      <c r="B163" t="inlineStr">
        <is>
          <t>F11</t>
        </is>
      </c>
      <c r="C163" t="n">
        <v>11</v>
      </c>
      <c r="D163" t="n">
        <v>6</v>
      </c>
      <c r="E163" t="inlineStr">
        <is>
          <t>Input</t>
        </is>
      </c>
      <c r="F163" t="n">
        <v/>
      </c>
      <c r="G163" t="inlineStr">
        <is>
          <t>Apr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16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inlineStr">
        <is>
          <t>center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EXPENSE VARIANCES</t>
        </is>
      </c>
      <c r="B164" t="inlineStr">
        <is>
          <t>G11</t>
        </is>
      </c>
      <c r="C164" t="n">
        <v>11</v>
      </c>
      <c r="D164" t="n">
        <v>7</v>
      </c>
      <c r="E164" t="inlineStr">
        <is>
          <t>Input</t>
        </is>
      </c>
      <c r="F164" t="n">
        <v/>
      </c>
      <c r="G164" t="inlineStr">
        <is>
          <t>May</t>
        </is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16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inlineStr">
        <is>
          <t>center</t>
        </is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EXPENSE VARIANCES</t>
        </is>
      </c>
      <c r="B165" t="inlineStr">
        <is>
          <t>H11</t>
        </is>
      </c>
      <c r="C165" t="n">
        <v>11</v>
      </c>
      <c r="D165" t="n">
        <v>8</v>
      </c>
      <c r="E165" t="inlineStr">
        <is>
          <t>Input</t>
        </is>
      </c>
      <c r="F165" t="n">
        <v/>
      </c>
      <c r="G165" t="inlineStr">
        <is>
          <t>Jun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16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inlineStr">
        <is>
          <t>center</t>
        </is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EXPENSE VARIANCES</t>
        </is>
      </c>
      <c r="B166" t="inlineStr">
        <is>
          <t>I11</t>
        </is>
      </c>
      <c r="C166" t="n">
        <v>11</v>
      </c>
      <c r="D166" t="n">
        <v>9</v>
      </c>
      <c r="E166" t="inlineStr">
        <is>
          <t>Input</t>
        </is>
      </c>
      <c r="F166" t="n">
        <v/>
      </c>
      <c r="G166" t="inlineStr">
        <is>
          <t>Jul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16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inlineStr">
        <is>
          <t>center</t>
        </is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EXPENSE VARIANCES</t>
        </is>
      </c>
      <c r="B167" t="inlineStr">
        <is>
          <t>J11</t>
        </is>
      </c>
      <c r="C167" t="n">
        <v>11</v>
      </c>
      <c r="D167" t="n">
        <v>10</v>
      </c>
      <c r="E167" t="inlineStr">
        <is>
          <t>Input</t>
        </is>
      </c>
      <c r="F167" t="n">
        <v/>
      </c>
      <c r="G167" t="inlineStr">
        <is>
          <t>Aug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16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inlineStr">
        <is>
          <t>center</t>
        </is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EXPENSE VARIANCES</t>
        </is>
      </c>
      <c r="B168" t="inlineStr">
        <is>
          <t>K11</t>
        </is>
      </c>
      <c r="C168" t="n">
        <v>11</v>
      </c>
      <c r="D168" t="n">
        <v>11</v>
      </c>
      <c r="E168" t="inlineStr">
        <is>
          <t>Input</t>
        </is>
      </c>
      <c r="F168" t="n">
        <v/>
      </c>
      <c r="G168" t="inlineStr">
        <is>
          <t>Sep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16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inlineStr">
        <is>
          <t>center</t>
        </is>
      </c>
      <c r="P168" t="inlineStr">
        <is>
          <t>center</t>
        </is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EXPENSE VARIANCES</t>
        </is>
      </c>
      <c r="B169" t="inlineStr">
        <is>
          <t>L11</t>
        </is>
      </c>
      <c r="C169" t="n">
        <v>11</v>
      </c>
      <c r="D169" t="n">
        <v>12</v>
      </c>
      <c r="E169" t="inlineStr">
        <is>
          <t>Input</t>
        </is>
      </c>
      <c r="F169" t="n">
        <v/>
      </c>
      <c r="G169" t="inlineStr">
        <is>
          <t>Oct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16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inlineStr">
        <is>
          <t>center</t>
        </is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EXPENSE VARIANCES</t>
        </is>
      </c>
      <c r="B170" t="inlineStr">
        <is>
          <t>M11</t>
        </is>
      </c>
      <c r="C170" t="n">
        <v>11</v>
      </c>
      <c r="D170" t="n">
        <v>13</v>
      </c>
      <c r="E170" t="inlineStr">
        <is>
          <t>Input</t>
        </is>
      </c>
      <c r="F170" t="n">
        <v/>
      </c>
      <c r="G170" t="inlineStr">
        <is>
          <t>Nov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16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center</t>
        </is>
      </c>
      <c r="P170" t="inlineStr">
        <is>
          <t>center</t>
        </is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EXPENSE VARIANCES</t>
        </is>
      </c>
      <c r="B171" t="inlineStr">
        <is>
          <t>N11</t>
        </is>
      </c>
      <c r="C171" t="n">
        <v>11</v>
      </c>
      <c r="D171" t="n">
        <v>14</v>
      </c>
      <c r="E171" t="inlineStr">
        <is>
          <t>Input</t>
        </is>
      </c>
      <c r="F171" t="n">
        <v/>
      </c>
      <c r="G171" t="inlineStr">
        <is>
          <t>Dec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16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inlineStr">
        <is>
          <t>center</t>
        </is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EXPENSE VARIANCES</t>
        </is>
      </c>
      <c r="B172" t="inlineStr">
        <is>
          <t>O11</t>
        </is>
      </c>
      <c r="C172" t="n">
        <v>11</v>
      </c>
      <c r="D172" t="n">
        <v>15</v>
      </c>
      <c r="E172" t="inlineStr">
        <is>
          <t>Input</t>
        </is>
      </c>
      <c r="F172" t="n">
        <v/>
      </c>
      <c r="G172" t="inlineStr">
        <is>
          <t>YEAR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16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inlineStr">
        <is>
          <t>center</t>
        </is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EXPENSE VARIANCES</t>
        </is>
      </c>
      <c r="B173" t="inlineStr">
        <is>
          <t>P11</t>
        </is>
      </c>
      <c r="C173" t="n">
        <v>11</v>
      </c>
      <c r="D173" t="n">
        <v>16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16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n">
        <v/>
      </c>
      <c r="P173" t="n">
        <v/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EXPENSE VARIANCES</t>
        </is>
      </c>
      <c r="B174" t="inlineStr">
        <is>
          <t>A12</t>
        </is>
      </c>
      <c r="C174" t="n">
        <v>12</v>
      </c>
      <c r="D174" t="n">
        <v>1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n">
        <v/>
      </c>
      <c r="P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EXPENSE VARIANCES</t>
        </is>
      </c>
      <c r="B175" t="inlineStr">
        <is>
          <t>B12</t>
        </is>
      </c>
      <c r="C175" t="n">
        <v>12</v>
      </c>
      <c r="D175" t="n">
        <v>2</v>
      </c>
      <c r="E175" t="inlineStr">
        <is>
          <t>Input</t>
        </is>
      </c>
      <c r="F175" t="n">
        <v/>
      </c>
      <c r="G175" t="inlineStr">
        <is>
          <t>Office lease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12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left</t>
        </is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EXPENSE VARIANCES</t>
        </is>
      </c>
      <c r="B176" t="inlineStr">
        <is>
          <t>C12</t>
        </is>
      </c>
      <c r="C176" t="n">
        <v>12</v>
      </c>
      <c r="D176" t="n">
        <v>3</v>
      </c>
      <c r="E176" t="inlineStr">
        <is>
          <t>Output</t>
        </is>
      </c>
      <c r="F176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176" t="n">
        <v>0</v>
      </c>
      <c r="H176" t="inlineStr"/>
      <c r="I176" t="inlineStr">
        <is>
          <t>"$"#,##0.00_);[Red]\("$"#,##0.00\)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inlineStr">
        <is>
          <t>G000026</t>
        </is>
      </c>
      <c r="T176" t="inlineStr">
        <is>
          <t>Vertical</t>
        </is>
      </c>
      <c r="U176" t="n">
        <v>8</v>
      </c>
      <c r="V176" t="b">
        <v>1</v>
      </c>
      <c r="W176" t="inlineStr">
        <is>
          <t>EXPENSE VARIANCES!C12:C19</t>
        </is>
      </c>
      <c r="X176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177">
      <c r="A177" t="inlineStr">
        <is>
          <t>EXPENSE VARIANCES</t>
        </is>
      </c>
      <c r="B177" t="inlineStr">
        <is>
          <t>D12</t>
        </is>
      </c>
      <c r="C177" t="n">
        <v>12</v>
      </c>
      <c r="D177" t="n">
        <v>4</v>
      </c>
      <c r="E177" t="inlineStr">
        <is>
          <t>Output</t>
        </is>
      </c>
      <c r="F177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177" t="n">
        <v>0</v>
      </c>
      <c r="H177" t="inlineStr"/>
      <c r="I177" t="inlineStr">
        <is>
          <t>"$"#,##0.00_);[Red]\("$"#,##0.00\)</t>
        </is>
      </c>
      <c r="J177" t="b">
        <v>0</v>
      </c>
      <c r="K177" t="b">
        <v>0</v>
      </c>
      <c r="L177" t="n">
        <v>10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inlineStr">
        <is>
          <t>center</t>
        </is>
      </c>
      <c r="R177" t="b">
        <v>1</v>
      </c>
      <c r="S177" t="inlineStr">
        <is>
          <t>G000027</t>
        </is>
      </c>
      <c r="T177" t="inlineStr">
        <is>
          <t>Vertical</t>
        </is>
      </c>
      <c r="U177" t="n">
        <v>8</v>
      </c>
      <c r="V177" t="b">
        <v>1</v>
      </c>
      <c r="W177" t="inlineStr">
        <is>
          <t>EXPENSE VARIANCES!D12:D19</t>
        </is>
      </c>
      <c r="X177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178">
      <c r="A178" t="inlineStr">
        <is>
          <t>EXPENSE VARIANCES</t>
        </is>
      </c>
      <c r="B178" t="inlineStr">
        <is>
          <t>E12</t>
        </is>
      </c>
      <c r="C178" t="n">
        <v>12</v>
      </c>
      <c r="D178" t="n">
        <v>5</v>
      </c>
      <c r="E178" t="inlineStr">
        <is>
          <t>Output</t>
        </is>
      </c>
      <c r="F178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178" t="n">
        <v>0</v>
      </c>
      <c r="H178" t="inlineStr"/>
      <c r="I178" t="inlineStr">
        <is>
          <t>"$"#,##0.00_);[Red]\("$"#,##0.00\)</t>
        </is>
      </c>
      <c r="J178" t="b">
        <v>0</v>
      </c>
      <c r="K178" t="b">
        <v>0</v>
      </c>
      <c r="L178" t="n">
        <v>10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inlineStr">
        <is>
          <t>center</t>
        </is>
      </c>
      <c r="R178" t="b">
        <v>1</v>
      </c>
      <c r="S178" t="inlineStr">
        <is>
          <t>G000028</t>
        </is>
      </c>
      <c r="T178" t="inlineStr">
        <is>
          <t>Vertical</t>
        </is>
      </c>
      <c r="U178" t="n">
        <v>8</v>
      </c>
      <c r="V178" t="b">
        <v>1</v>
      </c>
      <c r="W178" t="inlineStr">
        <is>
          <t>EXPENSE VARIANCES!E12:E19</t>
        </is>
      </c>
      <c r="X178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179">
      <c r="A179" t="inlineStr">
        <is>
          <t>EXPENSE VARIANCES</t>
        </is>
      </c>
      <c r="B179" t="inlineStr">
        <is>
          <t>F12</t>
        </is>
      </c>
      <c r="C179" t="n">
        <v>12</v>
      </c>
      <c r="D179" t="n">
        <v>6</v>
      </c>
      <c r="E179" t="inlineStr">
        <is>
          <t>Output</t>
        </is>
      </c>
      <c r="F179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179" t="n">
        <v>0</v>
      </c>
      <c r="H179" t="inlineStr"/>
      <c r="I179" t="inlineStr">
        <is>
          <t>"$"#,##0.00_);[Red]\("$"#,##0.00\)</t>
        </is>
      </c>
      <c r="J179" t="b">
        <v>0</v>
      </c>
      <c r="K179" t="b">
        <v>0</v>
      </c>
      <c r="L179" t="n">
        <v>10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P179" t="inlineStr">
        <is>
          <t>center</t>
        </is>
      </c>
      <c r="R179" t="b">
        <v>1</v>
      </c>
      <c r="S179" t="inlineStr">
        <is>
          <t>G000029</t>
        </is>
      </c>
      <c r="T179" t="inlineStr">
        <is>
          <t>Vertical</t>
        </is>
      </c>
      <c r="U179" t="n">
        <v>8</v>
      </c>
      <c r="V179" t="b">
        <v>1</v>
      </c>
      <c r="W179" t="inlineStr">
        <is>
          <t>EXPENSE VARIANCES!F12:F19</t>
        </is>
      </c>
      <c r="X179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180">
      <c r="A180" t="inlineStr">
        <is>
          <t>EXPENSE VARIANCES</t>
        </is>
      </c>
      <c r="B180" t="inlineStr">
        <is>
          <t>G12</t>
        </is>
      </c>
      <c r="C180" t="n">
        <v>12</v>
      </c>
      <c r="D180" t="n">
        <v>7</v>
      </c>
      <c r="E180" t="inlineStr">
        <is>
          <t>Output</t>
        </is>
      </c>
      <c r="F180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180" t="n">
        <v>0</v>
      </c>
      <c r="H180" t="inlineStr"/>
      <c r="I180" t="inlineStr">
        <is>
          <t>"$"#,##0.00_);[Red]\("$"#,##0.00\)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P180" t="inlineStr">
        <is>
          <t>center</t>
        </is>
      </c>
      <c r="R180" t="b">
        <v>1</v>
      </c>
      <c r="S180" t="inlineStr">
        <is>
          <t>G000030</t>
        </is>
      </c>
      <c r="T180" t="inlineStr">
        <is>
          <t>Vertical</t>
        </is>
      </c>
      <c r="U180" t="n">
        <v>8</v>
      </c>
      <c r="V180" t="b">
        <v>1</v>
      </c>
      <c r="W180" t="inlineStr">
        <is>
          <t>EXPENSE VARIANCES!G12:G19</t>
        </is>
      </c>
      <c r="X180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181">
      <c r="A181" t="inlineStr">
        <is>
          <t>EXPENSE VARIANCES</t>
        </is>
      </c>
      <c r="B181" t="inlineStr">
        <is>
          <t>H12</t>
        </is>
      </c>
      <c r="C181" t="n">
        <v>12</v>
      </c>
      <c r="D181" t="n">
        <v>8</v>
      </c>
      <c r="E181" t="inlineStr">
        <is>
          <t>Output</t>
        </is>
      </c>
      <c r="F181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181" t="n">
        <v>0</v>
      </c>
      <c r="H181" t="inlineStr"/>
      <c r="I181" t="inlineStr">
        <is>
          <t>"$"#,##0.00_);[Red]\("$"#,##0.00\)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inlineStr">
        <is>
          <t>center</t>
        </is>
      </c>
      <c r="R181" t="b">
        <v>1</v>
      </c>
      <c r="S181" t="inlineStr">
        <is>
          <t>G000031</t>
        </is>
      </c>
      <c r="T181" t="inlineStr">
        <is>
          <t>Vertical</t>
        </is>
      </c>
      <c r="U181" t="n">
        <v>8</v>
      </c>
      <c r="V181" t="b">
        <v>1</v>
      </c>
      <c r="W181" t="inlineStr">
        <is>
          <t>EXPENSE VARIANCES!H12:H19</t>
        </is>
      </c>
      <c r="X181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182">
      <c r="A182" t="inlineStr">
        <is>
          <t>EXPENSE VARIANCES</t>
        </is>
      </c>
      <c r="B182" t="inlineStr">
        <is>
          <t>I12</t>
        </is>
      </c>
      <c r="C182" t="n">
        <v>12</v>
      </c>
      <c r="D182" t="n">
        <v>9</v>
      </c>
      <c r="E182" t="inlineStr">
        <is>
          <t>Output</t>
        </is>
      </c>
      <c r="F182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182" t="n">
        <v>9800</v>
      </c>
      <c r="H182" t="inlineStr"/>
      <c r="I182" t="inlineStr">
        <is>
          <t>"$"#,##0.00_);[Red]\("$"#,##0.00\)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inlineStr">
        <is>
          <t>center</t>
        </is>
      </c>
      <c r="R182" t="b">
        <v>1</v>
      </c>
      <c r="S182" t="inlineStr">
        <is>
          <t>G000032</t>
        </is>
      </c>
      <c r="T182" t="inlineStr">
        <is>
          <t>Vertical</t>
        </is>
      </c>
      <c r="U182" t="n">
        <v>8</v>
      </c>
      <c r="V182" t="b">
        <v>1</v>
      </c>
      <c r="W182" t="inlineStr">
        <is>
          <t>EXPENSE VARIANCES!I12:I19</t>
        </is>
      </c>
      <c r="X182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183">
      <c r="A183" t="inlineStr">
        <is>
          <t>EXPENSE VARIANCES</t>
        </is>
      </c>
      <c r="B183" t="inlineStr">
        <is>
          <t>J12</t>
        </is>
      </c>
      <c r="C183" t="n">
        <v>12</v>
      </c>
      <c r="D183" t="n">
        <v>10</v>
      </c>
      <c r="E183" t="inlineStr">
        <is>
          <t>Output</t>
        </is>
      </c>
      <c r="F183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183" t="n">
        <v>9800</v>
      </c>
      <c r="H183" t="inlineStr"/>
      <c r="I183" t="inlineStr">
        <is>
          <t>"$"#,##0.00_);[Red]\("$"#,##0.00\)</t>
        </is>
      </c>
      <c r="J183" t="b">
        <v>0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inlineStr">
        <is>
          <t>G000033</t>
        </is>
      </c>
      <c r="T183" t="inlineStr">
        <is>
          <t>Vertical</t>
        </is>
      </c>
      <c r="U183" t="n">
        <v>8</v>
      </c>
      <c r="V183" t="b">
        <v>1</v>
      </c>
      <c r="W183" t="inlineStr">
        <is>
          <t>EXPENSE VARIANCES!J12:J19</t>
        </is>
      </c>
      <c r="X183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184">
      <c r="A184" t="inlineStr">
        <is>
          <t>EXPENSE VARIANCES</t>
        </is>
      </c>
      <c r="B184" t="inlineStr">
        <is>
          <t>K12</t>
        </is>
      </c>
      <c r="C184" t="n">
        <v>12</v>
      </c>
      <c r="D184" t="n">
        <v>11</v>
      </c>
      <c r="E184" t="inlineStr">
        <is>
          <t>Output</t>
        </is>
      </c>
      <c r="F184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184" t="n">
        <v>9800</v>
      </c>
      <c r="H184" t="inlineStr"/>
      <c r="I184" t="inlineStr">
        <is>
          <t>"$"#,##0.00_);[Red]\("$"#,##0.00\)</t>
        </is>
      </c>
      <c r="J184" t="b">
        <v>0</v>
      </c>
      <c r="K184" t="b">
        <v>0</v>
      </c>
      <c r="L184" t="n">
        <v>10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center</t>
        </is>
      </c>
      <c r="P184" t="inlineStr">
        <is>
          <t>center</t>
        </is>
      </c>
      <c r="R184" t="b">
        <v>1</v>
      </c>
      <c r="S184" t="inlineStr">
        <is>
          <t>G000034</t>
        </is>
      </c>
      <c r="T184" t="inlineStr">
        <is>
          <t>Vertical</t>
        </is>
      </c>
      <c r="U184" t="n">
        <v>8</v>
      </c>
      <c r="V184" t="b">
        <v>1</v>
      </c>
      <c r="W184" t="inlineStr">
        <is>
          <t>EXPENSE VARIANCES!K12:K19</t>
        </is>
      </c>
      <c r="X184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185">
      <c r="A185" t="inlineStr">
        <is>
          <t>EXPENSE VARIANCES</t>
        </is>
      </c>
      <c r="B185" t="inlineStr">
        <is>
          <t>L12</t>
        </is>
      </c>
      <c r="C185" t="n">
        <v>12</v>
      </c>
      <c r="D185" t="n">
        <v>12</v>
      </c>
      <c r="E185" t="inlineStr">
        <is>
          <t>Output</t>
        </is>
      </c>
      <c r="F185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185" t="n">
        <v>9800</v>
      </c>
      <c r="H185" t="inlineStr"/>
      <c r="I185" t="inlineStr">
        <is>
          <t>"$"#,##0.00_);[Red]\("$"#,##0.00\)</t>
        </is>
      </c>
      <c r="J185" t="b">
        <v>0</v>
      </c>
      <c r="K185" t="b">
        <v>0</v>
      </c>
      <c r="L185" t="n">
        <v>10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inlineStr">
        <is>
          <t>center</t>
        </is>
      </c>
      <c r="P185" t="inlineStr">
        <is>
          <t>center</t>
        </is>
      </c>
      <c r="R185" t="b">
        <v>1</v>
      </c>
      <c r="S185" t="inlineStr">
        <is>
          <t>G000035</t>
        </is>
      </c>
      <c r="T185" t="inlineStr">
        <is>
          <t>Vertical</t>
        </is>
      </c>
      <c r="U185" t="n">
        <v>8</v>
      </c>
      <c r="V185" t="b">
        <v>1</v>
      </c>
      <c r="W185" t="inlineStr">
        <is>
          <t>EXPENSE VARIANCES!L12:L19</t>
        </is>
      </c>
      <c r="X185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186">
      <c r="A186" t="inlineStr">
        <is>
          <t>EXPENSE VARIANCES</t>
        </is>
      </c>
      <c r="B186" t="inlineStr">
        <is>
          <t>M12</t>
        </is>
      </c>
      <c r="C186" t="n">
        <v>12</v>
      </c>
      <c r="D186" t="n">
        <v>13</v>
      </c>
      <c r="E186" t="inlineStr">
        <is>
          <t>Output</t>
        </is>
      </c>
      <c r="F186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186" t="n">
        <v>9800</v>
      </c>
      <c r="H186" t="inlineStr"/>
      <c r="I186" t="inlineStr">
        <is>
          <t>"$"#,##0.00_);[Red]\("$"#,##0.00\)</t>
        </is>
      </c>
      <c r="J186" t="b">
        <v>0</v>
      </c>
      <c r="K186" t="b">
        <v>0</v>
      </c>
      <c r="L186" t="n">
        <v>10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center</t>
        </is>
      </c>
      <c r="P186" t="inlineStr">
        <is>
          <t>center</t>
        </is>
      </c>
      <c r="R186" t="b">
        <v>1</v>
      </c>
      <c r="S186" t="inlineStr">
        <is>
          <t>G000036</t>
        </is>
      </c>
      <c r="T186" t="inlineStr">
        <is>
          <t>Vertical</t>
        </is>
      </c>
      <c r="U186" t="n">
        <v>8</v>
      </c>
      <c r="V186" t="b">
        <v>1</v>
      </c>
      <c r="W186" t="inlineStr">
        <is>
          <t>EXPENSE VARIANCES!M12:M19</t>
        </is>
      </c>
      <c r="X186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187">
      <c r="A187" t="inlineStr">
        <is>
          <t>EXPENSE VARIANCES</t>
        </is>
      </c>
      <c r="B187" t="inlineStr">
        <is>
          <t>N12</t>
        </is>
      </c>
      <c r="C187" t="n">
        <v>12</v>
      </c>
      <c r="D187" t="n">
        <v>14</v>
      </c>
      <c r="E187" t="inlineStr">
        <is>
          <t>Output</t>
        </is>
      </c>
      <c r="F187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187" t="n">
        <v>9800</v>
      </c>
      <c r="H187" t="inlineStr"/>
      <c r="I187" t="inlineStr">
        <is>
          <t>"$"#,##0.00_);[Red]\("$"#,##0.00\)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inlineStr">
        <is>
          <t>G000037</t>
        </is>
      </c>
      <c r="T187" t="inlineStr">
        <is>
          <t>Vertical</t>
        </is>
      </c>
      <c r="U187" t="n">
        <v>8</v>
      </c>
      <c r="V187" t="b">
        <v>1</v>
      </c>
      <c r="W187" t="inlineStr">
        <is>
          <t>EXPENSE VARIANCES!N12:N19</t>
        </is>
      </c>
      <c r="X187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188">
      <c r="A188" t="inlineStr">
        <is>
          <t>EXPENSE VARIANCES</t>
        </is>
      </c>
      <c r="B188" t="inlineStr">
        <is>
          <t>O12</t>
        </is>
      </c>
      <c r="C188" t="n">
        <v>12</v>
      </c>
      <c r="D188" t="n">
        <v>15</v>
      </c>
      <c r="E188" t="inlineStr">
        <is>
          <t>Output</t>
        </is>
      </c>
      <c r="F188" t="inlineStr">
        <is>
          <t>'=SUM(OfficeVariances[[#This Row],[Jan]:[Dec]])</t>
        </is>
      </c>
      <c r="G188" t="n">
        <v>58800</v>
      </c>
      <c r="H188" t="inlineStr"/>
      <c r="I188" t="inlineStr">
        <is>
          <t>"$"#,##0.00_);[Red]\("$"#,##0.00\)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inlineStr">
        <is>
          <t>G000038</t>
        </is>
      </c>
      <c r="T188" t="inlineStr">
        <is>
          <t>Vertical</t>
        </is>
      </c>
      <c r="U188" t="n">
        <v>8</v>
      </c>
      <c r="V188" t="b">
        <v>1</v>
      </c>
      <c r="W188" t="inlineStr">
        <is>
          <t>EXPENSE VARIANCES!O12:O19</t>
        </is>
      </c>
      <c r="X188">
        <f>SUM(OfficeVariances[[#This Row],[Jan]:[Dec]])</f>
        <v/>
      </c>
    </row>
    <row r="189">
      <c r="A189" t="inlineStr">
        <is>
          <t>EXPENSE VARIANCES</t>
        </is>
      </c>
      <c r="B189" t="inlineStr">
        <is>
          <t>P12</t>
        </is>
      </c>
      <c r="C189" t="n">
        <v>12</v>
      </c>
      <c r="D189" t="n">
        <v>16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n">
        <v/>
      </c>
      <c r="P189" t="n">
        <v/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EXPENSE VARIANCES</t>
        </is>
      </c>
      <c r="B190" t="inlineStr">
        <is>
          <t>A13</t>
        </is>
      </c>
      <c r="C190" t="n">
        <v>13</v>
      </c>
      <c r="D190" t="n">
        <v>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n">
        <v/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EXPENSE VARIANCES</t>
        </is>
      </c>
      <c r="B191" t="inlineStr">
        <is>
          <t>B13</t>
        </is>
      </c>
      <c r="C191" t="n">
        <v>13</v>
      </c>
      <c r="D191" t="n">
        <v>2</v>
      </c>
      <c r="E191" t="inlineStr">
        <is>
          <t>Input</t>
        </is>
      </c>
      <c r="F191" t="n">
        <v/>
      </c>
      <c r="G191" t="inlineStr">
        <is>
          <t>Gas</t>
        </is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12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left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EXPENSE VARIANCES</t>
        </is>
      </c>
      <c r="B192" t="inlineStr">
        <is>
          <t>C13</t>
        </is>
      </c>
      <c r="C192" t="n">
        <v>13</v>
      </c>
      <c r="D192" t="n">
        <v>3</v>
      </c>
      <c r="E192" t="inlineStr">
        <is>
          <t>Output</t>
        </is>
      </c>
      <c r="F192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192" t="n">
        <v>296</v>
      </c>
      <c r="H192" t="inlineStr"/>
      <c r="I192" t="inlineStr">
        <is>
          <t>"$"#,##0.00_);[Red]\("$"#,##0.00\)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inlineStr">
        <is>
          <t>G000026</t>
        </is>
      </c>
      <c r="T192" t="inlineStr">
        <is>
          <t>Vertical</t>
        </is>
      </c>
      <c r="U192" t="n">
        <v>8</v>
      </c>
      <c r="V192" t="b">
        <v>1</v>
      </c>
      <c r="W192" t="inlineStr">
        <is>
          <t>EXPENSE VARIANCES!C12:C19</t>
        </is>
      </c>
      <c r="X192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193">
      <c r="A193" t="inlineStr">
        <is>
          <t>EXPENSE VARIANCES</t>
        </is>
      </c>
      <c r="B193" t="inlineStr">
        <is>
          <t>D13</t>
        </is>
      </c>
      <c r="C193" t="n">
        <v>13</v>
      </c>
      <c r="D193" t="n">
        <v>4</v>
      </c>
      <c r="E193" t="inlineStr">
        <is>
          <t>Output</t>
        </is>
      </c>
      <c r="F193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193" t="n">
        <v>-30</v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10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inlineStr">
        <is>
          <t>G000027</t>
        </is>
      </c>
      <c r="T193" t="inlineStr">
        <is>
          <t>Vertical</t>
        </is>
      </c>
      <c r="U193" t="n">
        <v>8</v>
      </c>
      <c r="V193" t="b">
        <v>1</v>
      </c>
      <c r="W193" t="inlineStr">
        <is>
          <t>EXPENSE VARIANCES!D12:D19</t>
        </is>
      </c>
      <c r="X193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194">
      <c r="A194" t="inlineStr">
        <is>
          <t>EXPENSE VARIANCES</t>
        </is>
      </c>
      <c r="B194" t="inlineStr">
        <is>
          <t>E13</t>
        </is>
      </c>
      <c r="C194" t="n">
        <v>13</v>
      </c>
      <c r="D194" t="n">
        <v>5</v>
      </c>
      <c r="E194" t="inlineStr">
        <is>
          <t>Output</t>
        </is>
      </c>
      <c r="F194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194" t="n">
        <v>15</v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inlineStr">
        <is>
          <t>G000028</t>
        </is>
      </c>
      <c r="T194" t="inlineStr">
        <is>
          <t>Vertical</t>
        </is>
      </c>
      <c r="U194" t="n">
        <v>8</v>
      </c>
      <c r="V194" t="b">
        <v>1</v>
      </c>
      <c r="W194" t="inlineStr">
        <is>
          <t>EXPENSE VARIANCES!E12:E19</t>
        </is>
      </c>
      <c r="X194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195">
      <c r="A195" t="inlineStr">
        <is>
          <t>EXPENSE VARIANCES</t>
        </is>
      </c>
      <c r="B195" t="inlineStr">
        <is>
          <t>F13</t>
        </is>
      </c>
      <c r="C195" t="n">
        <v>13</v>
      </c>
      <c r="D195" t="n">
        <v>6</v>
      </c>
      <c r="E195" t="inlineStr">
        <is>
          <t>Output</t>
        </is>
      </c>
      <c r="F195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195" t="n">
        <v>-130</v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inlineStr">
        <is>
          <t>G000029</t>
        </is>
      </c>
      <c r="T195" t="inlineStr">
        <is>
          <t>Vertical</t>
        </is>
      </c>
      <c r="U195" t="n">
        <v>8</v>
      </c>
      <c r="V195" t="b">
        <v>1</v>
      </c>
      <c r="W195" t="inlineStr">
        <is>
          <t>EXPENSE VARIANCES!F12:F19</t>
        </is>
      </c>
      <c r="X195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196">
      <c r="A196" t="inlineStr">
        <is>
          <t>EXPENSE VARIANCES</t>
        </is>
      </c>
      <c r="B196" t="inlineStr">
        <is>
          <t>G13</t>
        </is>
      </c>
      <c r="C196" t="n">
        <v>13</v>
      </c>
      <c r="D196" t="n">
        <v>7</v>
      </c>
      <c r="E196" t="inlineStr">
        <is>
          <t>Output</t>
        </is>
      </c>
      <c r="F196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196" t="n">
        <v>13</v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inlineStr">
        <is>
          <t>G000030</t>
        </is>
      </c>
      <c r="T196" t="inlineStr">
        <is>
          <t>Vertical</t>
        </is>
      </c>
      <c r="U196" t="n">
        <v>8</v>
      </c>
      <c r="V196" t="b">
        <v>1</v>
      </c>
      <c r="W196" t="inlineStr">
        <is>
          <t>EXPENSE VARIANCES!G12:G19</t>
        </is>
      </c>
      <c r="X196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197">
      <c r="A197" t="inlineStr">
        <is>
          <t>EXPENSE VARIANCES</t>
        </is>
      </c>
      <c r="B197" t="inlineStr">
        <is>
          <t>H13</t>
        </is>
      </c>
      <c r="C197" t="n">
        <v>13</v>
      </c>
      <c r="D197" t="n">
        <v>8</v>
      </c>
      <c r="E197" t="inlineStr">
        <is>
          <t>Output</t>
        </is>
      </c>
      <c r="F197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197" t="n">
        <v>12</v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inlineStr">
        <is>
          <t>G000031</t>
        </is>
      </c>
      <c r="T197" t="inlineStr">
        <is>
          <t>Vertical</t>
        </is>
      </c>
      <c r="U197" t="n">
        <v>8</v>
      </c>
      <c r="V197" t="b">
        <v>1</v>
      </c>
      <c r="W197" t="inlineStr">
        <is>
          <t>EXPENSE VARIANCES!H12:H19</t>
        </is>
      </c>
      <c r="X197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198">
      <c r="A198" t="inlineStr">
        <is>
          <t>EXPENSE VARIANCES</t>
        </is>
      </c>
      <c r="B198" t="inlineStr">
        <is>
          <t>I13</t>
        </is>
      </c>
      <c r="C198" t="n">
        <v>13</v>
      </c>
      <c r="D198" t="n">
        <v>9</v>
      </c>
      <c r="E198" t="inlineStr">
        <is>
          <t>Output</t>
        </is>
      </c>
      <c r="F198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198" t="n">
        <v>100</v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inlineStr">
        <is>
          <t>G000032</t>
        </is>
      </c>
      <c r="T198" t="inlineStr">
        <is>
          <t>Vertical</t>
        </is>
      </c>
      <c r="U198" t="n">
        <v>8</v>
      </c>
      <c r="V198" t="b">
        <v>1</v>
      </c>
      <c r="W198" t="inlineStr">
        <is>
          <t>EXPENSE VARIANCES!I12:I19</t>
        </is>
      </c>
      <c r="X198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199">
      <c r="A199" t="inlineStr">
        <is>
          <t>EXPENSE VARIANCES</t>
        </is>
      </c>
      <c r="B199" t="inlineStr">
        <is>
          <t>J13</t>
        </is>
      </c>
      <c r="C199" t="n">
        <v>13</v>
      </c>
      <c r="D199" t="n">
        <v>10</v>
      </c>
      <c r="E199" t="inlineStr">
        <is>
          <t>Output</t>
        </is>
      </c>
      <c r="F199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199" t="n">
        <v>100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G000033</t>
        </is>
      </c>
      <c r="T199" t="inlineStr">
        <is>
          <t>Vertical</t>
        </is>
      </c>
      <c r="U199" t="n">
        <v>8</v>
      </c>
      <c r="V199" t="b">
        <v>1</v>
      </c>
      <c r="W199" t="inlineStr">
        <is>
          <t>EXPENSE VARIANCES!J12:J19</t>
        </is>
      </c>
      <c r="X199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00">
      <c r="A200" t="inlineStr">
        <is>
          <t>EXPENSE VARIANCES</t>
        </is>
      </c>
      <c r="B200" t="inlineStr">
        <is>
          <t>K13</t>
        </is>
      </c>
      <c r="C200" t="n">
        <v>13</v>
      </c>
      <c r="D200" t="n">
        <v>11</v>
      </c>
      <c r="E200" t="inlineStr">
        <is>
          <t>Output</t>
        </is>
      </c>
      <c r="F200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00" t="n">
        <v>100</v>
      </c>
      <c r="H200" t="inlineStr"/>
      <c r="I200" t="inlineStr">
        <is>
          <t>"$"#,##0.00_);[Red]\("$"#,##0.00\)</t>
        </is>
      </c>
      <c r="J200" t="b">
        <v>0</v>
      </c>
      <c r="K200" t="b">
        <v>0</v>
      </c>
      <c r="L200" t="n">
        <v>10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G000034</t>
        </is>
      </c>
      <c r="T200" t="inlineStr">
        <is>
          <t>Vertical</t>
        </is>
      </c>
      <c r="U200" t="n">
        <v>8</v>
      </c>
      <c r="V200" t="b">
        <v>1</v>
      </c>
      <c r="W200" t="inlineStr">
        <is>
          <t>EXPENSE VARIANCES!K12:K19</t>
        </is>
      </c>
      <c r="X200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01">
      <c r="A201" t="inlineStr">
        <is>
          <t>EXPENSE VARIANCES</t>
        </is>
      </c>
      <c r="B201" t="inlineStr">
        <is>
          <t>L13</t>
        </is>
      </c>
      <c r="C201" t="n">
        <v>13</v>
      </c>
      <c r="D201" t="n">
        <v>12</v>
      </c>
      <c r="E201" t="inlineStr">
        <is>
          <t>Output</t>
        </is>
      </c>
      <c r="F201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01" t="n">
        <v>100</v>
      </c>
      <c r="H201" t="inlineStr"/>
      <c r="I201" t="inlineStr">
        <is>
          <t>"$"#,##0.00_);[Red]\("$"#,##0.00\)</t>
        </is>
      </c>
      <c r="J201" t="b">
        <v>0</v>
      </c>
      <c r="K201" t="b">
        <v>0</v>
      </c>
      <c r="L201" t="n">
        <v>10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inlineStr">
        <is>
          <t>G000035</t>
        </is>
      </c>
      <c r="T201" t="inlineStr">
        <is>
          <t>Vertical</t>
        </is>
      </c>
      <c r="U201" t="n">
        <v>8</v>
      </c>
      <c r="V201" t="b">
        <v>1</v>
      </c>
      <c r="W201" t="inlineStr">
        <is>
          <t>EXPENSE VARIANCES!L12:L19</t>
        </is>
      </c>
      <c r="X201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02">
      <c r="A202" t="inlineStr">
        <is>
          <t>EXPENSE VARIANCES</t>
        </is>
      </c>
      <c r="B202" t="inlineStr">
        <is>
          <t>M13</t>
        </is>
      </c>
      <c r="C202" t="n">
        <v>13</v>
      </c>
      <c r="D202" t="n">
        <v>13</v>
      </c>
      <c r="E202" t="inlineStr">
        <is>
          <t>Output</t>
        </is>
      </c>
      <c r="F202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02" t="n">
        <v>400</v>
      </c>
      <c r="H202" t="inlineStr"/>
      <c r="I202" t="inlineStr">
        <is>
          <t>"$"#,##0.00_);[Red]\("$"#,##0.00\)</t>
        </is>
      </c>
      <c r="J202" t="b">
        <v>0</v>
      </c>
      <c r="K202" t="b">
        <v>0</v>
      </c>
      <c r="L202" t="n">
        <v>10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G000036</t>
        </is>
      </c>
      <c r="T202" t="inlineStr">
        <is>
          <t>Vertical</t>
        </is>
      </c>
      <c r="U202" t="n">
        <v>8</v>
      </c>
      <c r="V202" t="b">
        <v>1</v>
      </c>
      <c r="W202" t="inlineStr">
        <is>
          <t>EXPENSE VARIANCES!M12:M19</t>
        </is>
      </c>
      <c r="X202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03">
      <c r="A203" t="inlineStr">
        <is>
          <t>EXPENSE VARIANCES</t>
        </is>
      </c>
      <c r="B203" t="inlineStr">
        <is>
          <t>N13</t>
        </is>
      </c>
      <c r="C203" t="n">
        <v>13</v>
      </c>
      <c r="D203" t="n">
        <v>14</v>
      </c>
      <c r="E203" t="inlineStr">
        <is>
          <t>Output</t>
        </is>
      </c>
      <c r="F203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03" t="n">
        <v>400</v>
      </c>
      <c r="H203" t="inlineStr"/>
      <c r="I203" t="inlineStr">
        <is>
          <t>"$"#,##0.00_);[Red]\("$"#,##0.00\)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G000037</t>
        </is>
      </c>
      <c r="T203" t="inlineStr">
        <is>
          <t>Vertical</t>
        </is>
      </c>
      <c r="U203" t="n">
        <v>8</v>
      </c>
      <c r="V203" t="b">
        <v>1</v>
      </c>
      <c r="W203" t="inlineStr">
        <is>
          <t>EXPENSE VARIANCES!N12:N19</t>
        </is>
      </c>
      <c r="X203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204">
      <c r="A204" t="inlineStr">
        <is>
          <t>EXPENSE VARIANCES</t>
        </is>
      </c>
      <c r="B204" t="inlineStr">
        <is>
          <t>O13</t>
        </is>
      </c>
      <c r="C204" t="n">
        <v>13</v>
      </c>
      <c r="D204" t="n">
        <v>15</v>
      </c>
      <c r="E204" t="inlineStr">
        <is>
          <t>Output</t>
        </is>
      </c>
      <c r="F204" t="inlineStr">
        <is>
          <t>'=SUM(OfficeVariances[[#This Row],[Jan]:[Dec]])</t>
        </is>
      </c>
      <c r="G204" t="n">
        <v>1376</v>
      </c>
      <c r="H204" t="inlineStr"/>
      <c r="I204" t="inlineStr">
        <is>
          <t>"$"#,##0.00_);[Red]\("$"#,##0.00\)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G000038</t>
        </is>
      </c>
      <c r="T204" t="inlineStr">
        <is>
          <t>Vertical</t>
        </is>
      </c>
      <c r="U204" t="n">
        <v>8</v>
      </c>
      <c r="V204" t="b">
        <v>1</v>
      </c>
      <c r="W204" t="inlineStr">
        <is>
          <t>EXPENSE VARIANCES!O12:O19</t>
        </is>
      </c>
      <c r="X204">
        <f>SUM(OfficeVariances[[#This Row],[Jan]:[Dec]])</f>
        <v/>
      </c>
    </row>
    <row r="205">
      <c r="A205" t="inlineStr">
        <is>
          <t>EXPENSE VARIANCES</t>
        </is>
      </c>
      <c r="B205" t="inlineStr">
        <is>
          <t>P13</t>
        </is>
      </c>
      <c r="C205" t="n">
        <v>13</v>
      </c>
      <c r="D205" t="n">
        <v>16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n">
        <v/>
      </c>
      <c r="P205" t="n">
        <v/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EXPENSE VARIANCES</t>
        </is>
      </c>
      <c r="B206" t="inlineStr">
        <is>
          <t>A14</t>
        </is>
      </c>
      <c r="C206" t="n">
        <v>14</v>
      </c>
      <c r="D206" t="n">
        <v>1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n">
        <v/>
      </c>
      <c r="P206" t="n">
        <v/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EXPENSE VARIANCES</t>
        </is>
      </c>
      <c r="B207" t="inlineStr">
        <is>
          <t>B14</t>
        </is>
      </c>
      <c r="C207" t="n">
        <v>14</v>
      </c>
      <c r="D207" t="n">
        <v>2</v>
      </c>
      <c r="E207" t="inlineStr">
        <is>
          <t>Input</t>
        </is>
      </c>
      <c r="F207" t="n">
        <v/>
      </c>
      <c r="G207" t="inlineStr">
        <is>
          <t>Electric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12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left</t>
        </is>
      </c>
      <c r="P207" t="inlineStr">
        <is>
          <t>center</t>
        </is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EXPENSE VARIANCES</t>
        </is>
      </c>
      <c r="B208" t="inlineStr">
        <is>
          <t>C14</t>
        </is>
      </c>
      <c r="C208" t="n">
        <v>14</v>
      </c>
      <c r="D208" t="n">
        <v>3</v>
      </c>
      <c r="E208" t="inlineStr">
        <is>
          <t>Output</t>
        </is>
      </c>
      <c r="F208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08" t="n">
        <v>12</v>
      </c>
      <c r="H208" t="inlineStr"/>
      <c r="I208" t="inlineStr">
        <is>
          <t>"$"#,##0.00_);[Red]\("$"#,##0.00\)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inlineStr">
        <is>
          <t>G000026</t>
        </is>
      </c>
      <c r="T208" t="inlineStr">
        <is>
          <t>Vertical</t>
        </is>
      </c>
      <c r="U208" t="n">
        <v>8</v>
      </c>
      <c r="V208" t="b">
        <v>1</v>
      </c>
      <c r="W208" t="inlineStr">
        <is>
          <t>EXPENSE VARIANCES!C12:C19</t>
        </is>
      </c>
      <c r="X208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209">
      <c r="A209" t="inlineStr">
        <is>
          <t>EXPENSE VARIANCES</t>
        </is>
      </c>
      <c r="B209" t="inlineStr">
        <is>
          <t>D14</t>
        </is>
      </c>
      <c r="C209" t="n">
        <v>14</v>
      </c>
      <c r="D209" t="n">
        <v>4</v>
      </c>
      <c r="E209" t="inlineStr">
        <is>
          <t>Output</t>
        </is>
      </c>
      <c r="F209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09" t="n">
        <v>22</v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G000027</t>
        </is>
      </c>
      <c r="T209" t="inlineStr">
        <is>
          <t>Vertical</t>
        </is>
      </c>
      <c r="U209" t="n">
        <v>8</v>
      </c>
      <c r="V209" t="b">
        <v>1</v>
      </c>
      <c r="W209" t="inlineStr">
        <is>
          <t>EXPENSE VARIANCES!D12:D19</t>
        </is>
      </c>
      <c r="X209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210">
      <c r="A210" t="inlineStr">
        <is>
          <t>EXPENSE VARIANCES</t>
        </is>
      </c>
      <c r="B210" t="inlineStr">
        <is>
          <t>E14</t>
        </is>
      </c>
      <c r="C210" t="n">
        <v>14</v>
      </c>
      <c r="D210" t="n">
        <v>5</v>
      </c>
      <c r="E210" t="inlineStr">
        <is>
          <t>Output</t>
        </is>
      </c>
      <c r="F210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10" t="n">
        <v>32</v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inlineStr">
        <is>
          <t>G000028</t>
        </is>
      </c>
      <c r="T210" t="inlineStr">
        <is>
          <t>Vertical</t>
        </is>
      </c>
      <c r="U210" t="n">
        <v>8</v>
      </c>
      <c r="V210" t="b">
        <v>1</v>
      </c>
      <c r="W210" t="inlineStr">
        <is>
          <t>EXPENSE VARIANCES!E12:E19</t>
        </is>
      </c>
      <c r="X210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211">
      <c r="A211" t="inlineStr">
        <is>
          <t>EXPENSE VARIANCES</t>
        </is>
      </c>
      <c r="B211" t="inlineStr">
        <is>
          <t>F14</t>
        </is>
      </c>
      <c r="C211" t="n">
        <v>14</v>
      </c>
      <c r="D211" t="n">
        <v>6</v>
      </c>
      <c r="E211" t="inlineStr">
        <is>
          <t>Output</t>
        </is>
      </c>
      <c r="F211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11" t="n">
        <v>1</v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inlineStr">
        <is>
          <t>G000029</t>
        </is>
      </c>
      <c r="T211" t="inlineStr">
        <is>
          <t>Vertical</t>
        </is>
      </c>
      <c r="U211" t="n">
        <v>8</v>
      </c>
      <c r="V211" t="b">
        <v>1</v>
      </c>
      <c r="W211" t="inlineStr">
        <is>
          <t>EXPENSE VARIANCES!F12:F19</t>
        </is>
      </c>
      <c r="X211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212">
      <c r="A212" t="inlineStr">
        <is>
          <t>EXPENSE VARIANCES</t>
        </is>
      </c>
      <c r="B212" t="inlineStr">
        <is>
          <t>G14</t>
        </is>
      </c>
      <c r="C212" t="n">
        <v>14</v>
      </c>
      <c r="D212" t="n">
        <v>7</v>
      </c>
      <c r="E212" t="inlineStr">
        <is>
          <t>Output</t>
        </is>
      </c>
      <c r="F212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12" t="n">
        <v>-6</v>
      </c>
      <c r="H212" t="inlineStr"/>
      <c r="I212" t="inlineStr">
        <is>
          <t>"$"#,##0.00_);[Red]\("$"#,##0.00\)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center</t>
        </is>
      </c>
      <c r="P212" t="inlineStr">
        <is>
          <t>center</t>
        </is>
      </c>
      <c r="R212" t="b">
        <v>1</v>
      </c>
      <c r="S212" t="inlineStr">
        <is>
          <t>G000030</t>
        </is>
      </c>
      <c r="T212" t="inlineStr">
        <is>
          <t>Vertical</t>
        </is>
      </c>
      <c r="U212" t="n">
        <v>8</v>
      </c>
      <c r="V212" t="b">
        <v>1</v>
      </c>
      <c r="W212" t="inlineStr">
        <is>
          <t>EXPENSE VARIANCES!G12:G19</t>
        </is>
      </c>
      <c r="X212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213">
      <c r="A213" t="inlineStr">
        <is>
          <t>EXPENSE VARIANCES</t>
        </is>
      </c>
      <c r="B213" t="inlineStr">
        <is>
          <t>H14</t>
        </is>
      </c>
      <c r="C213" t="n">
        <v>14</v>
      </c>
      <c r="D213" t="n">
        <v>8</v>
      </c>
      <c r="E213" t="inlineStr">
        <is>
          <t>Output</t>
        </is>
      </c>
      <c r="F213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13" t="n">
        <v>10</v>
      </c>
      <c r="H213" t="inlineStr"/>
      <c r="I213" t="inlineStr">
        <is>
          <t>"$"#,##0.00_);[Red]\("$"#,##0.00\)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inlineStr">
        <is>
          <t>center</t>
        </is>
      </c>
      <c r="R213" t="b">
        <v>1</v>
      </c>
      <c r="S213" t="inlineStr">
        <is>
          <t>G000031</t>
        </is>
      </c>
      <c r="T213" t="inlineStr">
        <is>
          <t>Vertical</t>
        </is>
      </c>
      <c r="U213" t="n">
        <v>8</v>
      </c>
      <c r="V213" t="b">
        <v>1</v>
      </c>
      <c r="W213" t="inlineStr">
        <is>
          <t>EXPENSE VARIANCES!H12:H19</t>
        </is>
      </c>
      <c r="X213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214">
      <c r="A214" t="inlineStr">
        <is>
          <t>EXPENSE VARIANCES</t>
        </is>
      </c>
      <c r="B214" t="inlineStr">
        <is>
          <t>I14</t>
        </is>
      </c>
      <c r="C214" t="n">
        <v>14</v>
      </c>
      <c r="D214" t="n">
        <v>9</v>
      </c>
      <c r="E214" t="inlineStr">
        <is>
          <t>Output</t>
        </is>
      </c>
      <c r="F214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14" t="n">
        <v>300</v>
      </c>
      <c r="H214" t="inlineStr"/>
      <c r="I214" t="inlineStr">
        <is>
          <t>"$"#,##0.00_);[Red]\("$"#,##0.00\)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inlineStr">
        <is>
          <t>G000032</t>
        </is>
      </c>
      <c r="T214" t="inlineStr">
        <is>
          <t>Vertical</t>
        </is>
      </c>
      <c r="U214" t="n">
        <v>8</v>
      </c>
      <c r="V214" t="b">
        <v>1</v>
      </c>
      <c r="W214" t="inlineStr">
        <is>
          <t>EXPENSE VARIANCES!I12:I19</t>
        </is>
      </c>
      <c r="X214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215">
      <c r="A215" t="inlineStr">
        <is>
          <t>EXPENSE VARIANCES</t>
        </is>
      </c>
      <c r="B215" t="inlineStr">
        <is>
          <t>J14</t>
        </is>
      </c>
      <c r="C215" t="n">
        <v>14</v>
      </c>
      <c r="D215" t="n">
        <v>10</v>
      </c>
      <c r="E215" t="inlineStr">
        <is>
          <t>Output</t>
        </is>
      </c>
      <c r="F215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15" t="n">
        <v>300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G000033</t>
        </is>
      </c>
      <c r="T215" t="inlineStr">
        <is>
          <t>Vertical</t>
        </is>
      </c>
      <c r="U215" t="n">
        <v>8</v>
      </c>
      <c r="V215" t="b">
        <v>1</v>
      </c>
      <c r="W215" t="inlineStr">
        <is>
          <t>EXPENSE VARIANCES!J12:J19</t>
        </is>
      </c>
      <c r="X215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16">
      <c r="A216" t="inlineStr">
        <is>
          <t>EXPENSE VARIANCES</t>
        </is>
      </c>
      <c r="B216" t="inlineStr">
        <is>
          <t>K14</t>
        </is>
      </c>
      <c r="C216" t="n">
        <v>14</v>
      </c>
      <c r="D216" t="n">
        <v>11</v>
      </c>
      <c r="E216" t="inlineStr">
        <is>
          <t>Output</t>
        </is>
      </c>
      <c r="F216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16" t="n">
        <v>300</v>
      </c>
      <c r="H216" t="inlineStr"/>
      <c r="I216" t="inlineStr">
        <is>
          <t>"$"#,##0.00_);[Red]\("$"#,##0.00\)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inlineStr">
        <is>
          <t>G000034</t>
        </is>
      </c>
      <c r="T216" t="inlineStr">
        <is>
          <t>Vertical</t>
        </is>
      </c>
      <c r="U216" t="n">
        <v>8</v>
      </c>
      <c r="V216" t="b">
        <v>1</v>
      </c>
      <c r="W216" t="inlineStr">
        <is>
          <t>EXPENSE VARIANCES!K12:K19</t>
        </is>
      </c>
      <c r="X216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17">
      <c r="A217" t="inlineStr">
        <is>
          <t>EXPENSE VARIANCES</t>
        </is>
      </c>
      <c r="B217" t="inlineStr">
        <is>
          <t>L14</t>
        </is>
      </c>
      <c r="C217" t="n">
        <v>14</v>
      </c>
      <c r="D217" t="n">
        <v>12</v>
      </c>
      <c r="E217" t="inlineStr">
        <is>
          <t>Output</t>
        </is>
      </c>
      <c r="F217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17" t="n">
        <v>300</v>
      </c>
      <c r="H217" t="inlineStr"/>
      <c r="I217" t="inlineStr">
        <is>
          <t>"$"#,##0.00_);[Red]\("$"#,##0.00\)</t>
        </is>
      </c>
      <c r="J217" t="b">
        <v>0</v>
      </c>
      <c r="K217" t="b">
        <v>0</v>
      </c>
      <c r="L217" t="n">
        <v>10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inlineStr">
        <is>
          <t>G000035</t>
        </is>
      </c>
      <c r="T217" t="inlineStr">
        <is>
          <t>Vertical</t>
        </is>
      </c>
      <c r="U217" t="n">
        <v>8</v>
      </c>
      <c r="V217" t="b">
        <v>1</v>
      </c>
      <c r="W217" t="inlineStr">
        <is>
          <t>EXPENSE VARIANCES!L12:L19</t>
        </is>
      </c>
      <c r="X217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18">
      <c r="A218" t="inlineStr">
        <is>
          <t>EXPENSE VARIANCES</t>
        </is>
      </c>
      <c r="B218" t="inlineStr">
        <is>
          <t>M14</t>
        </is>
      </c>
      <c r="C218" t="n">
        <v>14</v>
      </c>
      <c r="D218" t="n">
        <v>13</v>
      </c>
      <c r="E218" t="inlineStr">
        <is>
          <t>Output</t>
        </is>
      </c>
      <c r="F218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18" t="n">
        <v>300</v>
      </c>
      <c r="H218" t="inlineStr"/>
      <c r="I218" t="inlineStr">
        <is>
          <t>"$"#,##0.00_);[Red]\("$"#,##0.00\)</t>
        </is>
      </c>
      <c r="J218" t="b">
        <v>0</v>
      </c>
      <c r="K218" t="b">
        <v>0</v>
      </c>
      <c r="L218" t="n">
        <v>10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inlineStr">
        <is>
          <t>G000036</t>
        </is>
      </c>
      <c r="T218" t="inlineStr">
        <is>
          <t>Vertical</t>
        </is>
      </c>
      <c r="U218" t="n">
        <v>8</v>
      </c>
      <c r="V218" t="b">
        <v>1</v>
      </c>
      <c r="W218" t="inlineStr">
        <is>
          <t>EXPENSE VARIANCES!M12:M19</t>
        </is>
      </c>
      <c r="X218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19">
      <c r="A219" t="inlineStr">
        <is>
          <t>EXPENSE VARIANCES</t>
        </is>
      </c>
      <c r="B219" t="inlineStr">
        <is>
          <t>N14</t>
        </is>
      </c>
      <c r="C219" t="n">
        <v>14</v>
      </c>
      <c r="D219" t="n">
        <v>14</v>
      </c>
      <c r="E219" t="inlineStr">
        <is>
          <t>Output</t>
        </is>
      </c>
      <c r="F219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19" t="n">
        <v>300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inlineStr">
        <is>
          <t>G000037</t>
        </is>
      </c>
      <c r="T219" t="inlineStr">
        <is>
          <t>Vertical</t>
        </is>
      </c>
      <c r="U219" t="n">
        <v>8</v>
      </c>
      <c r="V219" t="b">
        <v>1</v>
      </c>
      <c r="W219" t="inlineStr">
        <is>
          <t>EXPENSE VARIANCES!N12:N19</t>
        </is>
      </c>
      <c r="X219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220">
      <c r="A220" t="inlineStr">
        <is>
          <t>EXPENSE VARIANCES</t>
        </is>
      </c>
      <c r="B220" t="inlineStr">
        <is>
          <t>O14</t>
        </is>
      </c>
      <c r="C220" t="n">
        <v>14</v>
      </c>
      <c r="D220" t="n">
        <v>15</v>
      </c>
      <c r="E220" t="inlineStr">
        <is>
          <t>Output</t>
        </is>
      </c>
      <c r="F220" t="inlineStr">
        <is>
          <t>'=SUM(OfficeVariances[[#This Row],[Jan]:[Dec]])</t>
        </is>
      </c>
      <c r="G220" t="n">
        <v>1871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inlineStr">
        <is>
          <t>G000038</t>
        </is>
      </c>
      <c r="T220" t="inlineStr">
        <is>
          <t>Vertical</t>
        </is>
      </c>
      <c r="U220" t="n">
        <v>8</v>
      </c>
      <c r="V220" t="b">
        <v>1</v>
      </c>
      <c r="W220" t="inlineStr">
        <is>
          <t>EXPENSE VARIANCES!O12:O19</t>
        </is>
      </c>
      <c r="X220">
        <f>SUM(OfficeVariances[[#This Row],[Jan]:[Dec]])</f>
        <v/>
      </c>
    </row>
    <row r="221">
      <c r="A221" t="inlineStr">
        <is>
          <t>EXPENSE VARIANCES</t>
        </is>
      </c>
      <c r="B221" t="inlineStr">
        <is>
          <t>P14</t>
        </is>
      </c>
      <c r="C221" t="n">
        <v>14</v>
      </c>
      <c r="D221" t="n">
        <v>16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EXPENSE VARIANCES</t>
        </is>
      </c>
      <c r="B222" t="inlineStr">
        <is>
          <t>A15</t>
        </is>
      </c>
      <c r="C222" t="n">
        <v>15</v>
      </c>
      <c r="D222" t="n">
        <v>1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n">
        <v/>
      </c>
      <c r="P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EXPENSE VARIANCES</t>
        </is>
      </c>
      <c r="B223" t="inlineStr">
        <is>
          <t>B15</t>
        </is>
      </c>
      <c r="C223" t="n">
        <v>15</v>
      </c>
      <c r="D223" t="n">
        <v>2</v>
      </c>
      <c r="E223" t="inlineStr">
        <is>
          <t>Input</t>
        </is>
      </c>
      <c r="F223" t="n">
        <v/>
      </c>
      <c r="G223" t="inlineStr">
        <is>
          <t>Water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12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left</t>
        </is>
      </c>
      <c r="P223" t="inlineStr">
        <is>
          <t>center</t>
        </is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EXPENSE VARIANCES</t>
        </is>
      </c>
      <c r="B224" t="inlineStr">
        <is>
          <t>C15</t>
        </is>
      </c>
      <c r="C224" t="n">
        <v>15</v>
      </c>
      <c r="D224" t="n">
        <v>3</v>
      </c>
      <c r="E224" t="inlineStr">
        <is>
          <t>Output</t>
        </is>
      </c>
      <c r="F224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24" t="n">
        <v>5</v>
      </c>
      <c r="H224" t="inlineStr"/>
      <c r="I224" t="inlineStr">
        <is>
          <t>"$"#,##0.00_);[Red]\("$"#,##0.00\)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inlineStr">
        <is>
          <t>center</t>
        </is>
      </c>
      <c r="R224" t="b">
        <v>1</v>
      </c>
      <c r="S224" t="inlineStr">
        <is>
          <t>G000026</t>
        </is>
      </c>
      <c r="T224" t="inlineStr">
        <is>
          <t>Vertical</t>
        </is>
      </c>
      <c r="U224" t="n">
        <v>8</v>
      </c>
      <c r="V224" t="b">
        <v>1</v>
      </c>
      <c r="W224" t="inlineStr">
        <is>
          <t>EXPENSE VARIANCES!C12:C19</t>
        </is>
      </c>
      <c r="X224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225">
      <c r="A225" t="inlineStr">
        <is>
          <t>EXPENSE VARIANCES</t>
        </is>
      </c>
      <c r="B225" t="inlineStr">
        <is>
          <t>D15</t>
        </is>
      </c>
      <c r="C225" t="n">
        <v>15</v>
      </c>
      <c r="D225" t="n">
        <v>4</v>
      </c>
      <c r="E225" t="inlineStr">
        <is>
          <t>Output</t>
        </is>
      </c>
      <c r="F225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25" t="n">
        <v>7</v>
      </c>
      <c r="H225" t="inlineStr"/>
      <c r="I225" t="inlineStr">
        <is>
          <t>"$"#,##0.00_);[Red]\("$"#,##0.00\)</t>
        </is>
      </c>
      <c r="J225" t="b">
        <v>0</v>
      </c>
      <c r="K225" t="b">
        <v>0</v>
      </c>
      <c r="L225" t="n">
        <v>10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inlineStr">
        <is>
          <t>center</t>
        </is>
      </c>
      <c r="R225" t="b">
        <v>1</v>
      </c>
      <c r="S225" t="inlineStr">
        <is>
          <t>G000027</t>
        </is>
      </c>
      <c r="T225" t="inlineStr">
        <is>
          <t>Vertical</t>
        </is>
      </c>
      <c r="U225" t="n">
        <v>8</v>
      </c>
      <c r="V225" t="b">
        <v>1</v>
      </c>
      <c r="W225" t="inlineStr">
        <is>
          <t>EXPENSE VARIANCES!D12:D19</t>
        </is>
      </c>
      <c r="X225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226">
      <c r="A226" t="inlineStr">
        <is>
          <t>EXPENSE VARIANCES</t>
        </is>
      </c>
      <c r="B226" t="inlineStr">
        <is>
          <t>E15</t>
        </is>
      </c>
      <c r="C226" t="n">
        <v>15</v>
      </c>
      <c r="D226" t="n">
        <v>5</v>
      </c>
      <c r="E226" t="inlineStr">
        <is>
          <t>Output</t>
        </is>
      </c>
      <c r="F226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26" t="n">
        <v>6</v>
      </c>
      <c r="H226" t="inlineStr"/>
      <c r="I226" t="inlineStr">
        <is>
          <t>"$"#,##0.00_);[Red]\("$"#,##0.00\)</t>
        </is>
      </c>
      <c r="J226" t="b">
        <v>0</v>
      </c>
      <c r="K226" t="b">
        <v>0</v>
      </c>
      <c r="L226" t="n">
        <v>10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center</t>
        </is>
      </c>
      <c r="P226" t="inlineStr">
        <is>
          <t>center</t>
        </is>
      </c>
      <c r="R226" t="b">
        <v>1</v>
      </c>
      <c r="S226" t="inlineStr">
        <is>
          <t>G000028</t>
        </is>
      </c>
      <c r="T226" t="inlineStr">
        <is>
          <t>Vertical</t>
        </is>
      </c>
      <c r="U226" t="n">
        <v>8</v>
      </c>
      <c r="V226" t="b">
        <v>1</v>
      </c>
      <c r="W226" t="inlineStr">
        <is>
          <t>EXPENSE VARIANCES!E12:E19</t>
        </is>
      </c>
      <c r="X226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227">
      <c r="A227" t="inlineStr">
        <is>
          <t>EXPENSE VARIANCES</t>
        </is>
      </c>
      <c r="B227" t="inlineStr">
        <is>
          <t>F15</t>
        </is>
      </c>
      <c r="C227" t="n">
        <v>15</v>
      </c>
      <c r="D227" t="n">
        <v>6</v>
      </c>
      <c r="E227" t="inlineStr">
        <is>
          <t>Output</t>
        </is>
      </c>
      <c r="F227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27" t="n">
        <v>4</v>
      </c>
      <c r="H227" t="inlineStr"/>
      <c r="I227" t="inlineStr">
        <is>
          <t>"$"#,##0.00_);[Red]\("$"#,##0.00\)</t>
        </is>
      </c>
      <c r="J227" t="b">
        <v>0</v>
      </c>
      <c r="K227" t="b">
        <v>0</v>
      </c>
      <c r="L227" t="n">
        <v>10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center</t>
        </is>
      </c>
      <c r="P227" t="inlineStr">
        <is>
          <t>center</t>
        </is>
      </c>
      <c r="R227" t="b">
        <v>1</v>
      </c>
      <c r="S227" t="inlineStr">
        <is>
          <t>G000029</t>
        </is>
      </c>
      <c r="T227" t="inlineStr">
        <is>
          <t>Vertical</t>
        </is>
      </c>
      <c r="U227" t="n">
        <v>8</v>
      </c>
      <c r="V227" t="b">
        <v>1</v>
      </c>
      <c r="W227" t="inlineStr">
        <is>
          <t>EXPENSE VARIANCES!F12:F19</t>
        </is>
      </c>
      <c r="X227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228">
      <c r="A228" t="inlineStr">
        <is>
          <t>EXPENSE VARIANCES</t>
        </is>
      </c>
      <c r="B228" t="inlineStr">
        <is>
          <t>G15</t>
        </is>
      </c>
      <c r="C228" t="n">
        <v>15</v>
      </c>
      <c r="D228" t="n">
        <v>7</v>
      </c>
      <c r="E228" t="inlineStr">
        <is>
          <t>Output</t>
        </is>
      </c>
      <c r="F228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28" t="n">
        <v>6</v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inlineStr">
        <is>
          <t>G000030</t>
        </is>
      </c>
      <c r="T228" t="inlineStr">
        <is>
          <t>Vertical</t>
        </is>
      </c>
      <c r="U228" t="n">
        <v>8</v>
      </c>
      <c r="V228" t="b">
        <v>1</v>
      </c>
      <c r="W228" t="inlineStr">
        <is>
          <t>EXPENSE VARIANCES!G12:G19</t>
        </is>
      </c>
      <c r="X228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229">
      <c r="A229" t="inlineStr">
        <is>
          <t>EXPENSE VARIANCES</t>
        </is>
      </c>
      <c r="B229" t="inlineStr">
        <is>
          <t>H15</t>
        </is>
      </c>
      <c r="C229" t="n">
        <v>15</v>
      </c>
      <c r="D229" t="n">
        <v>8</v>
      </c>
      <c r="E229" t="inlineStr">
        <is>
          <t>Output</t>
        </is>
      </c>
      <c r="F229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29" t="n">
        <v>4</v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inlineStr">
        <is>
          <t>G000031</t>
        </is>
      </c>
      <c r="T229" t="inlineStr">
        <is>
          <t>Vertical</t>
        </is>
      </c>
      <c r="U229" t="n">
        <v>8</v>
      </c>
      <c r="V229" t="b">
        <v>1</v>
      </c>
      <c r="W229" t="inlineStr">
        <is>
          <t>EXPENSE VARIANCES!H12:H19</t>
        </is>
      </c>
      <c r="X229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230">
      <c r="A230" t="inlineStr">
        <is>
          <t>EXPENSE VARIANCES</t>
        </is>
      </c>
      <c r="B230" t="inlineStr">
        <is>
          <t>I15</t>
        </is>
      </c>
      <c r="C230" t="n">
        <v>15</v>
      </c>
      <c r="D230" t="n">
        <v>9</v>
      </c>
      <c r="E230" t="inlineStr">
        <is>
          <t>Output</t>
        </is>
      </c>
      <c r="F230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30" t="n">
        <v>40</v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inlineStr">
        <is>
          <t>G000032</t>
        </is>
      </c>
      <c r="T230" t="inlineStr">
        <is>
          <t>Vertical</t>
        </is>
      </c>
      <c r="U230" t="n">
        <v>8</v>
      </c>
      <c r="V230" t="b">
        <v>1</v>
      </c>
      <c r="W230" t="inlineStr">
        <is>
          <t>EXPENSE VARIANCES!I12:I19</t>
        </is>
      </c>
      <c r="X230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231">
      <c r="A231" t="inlineStr">
        <is>
          <t>EXPENSE VARIANCES</t>
        </is>
      </c>
      <c r="B231" t="inlineStr">
        <is>
          <t>J15</t>
        </is>
      </c>
      <c r="C231" t="n">
        <v>15</v>
      </c>
      <c r="D231" t="n">
        <v>10</v>
      </c>
      <c r="E231" t="inlineStr">
        <is>
          <t>Output</t>
        </is>
      </c>
      <c r="F231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31" t="n">
        <v>40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G000033</t>
        </is>
      </c>
      <c r="T231" t="inlineStr">
        <is>
          <t>Vertical</t>
        </is>
      </c>
      <c r="U231" t="n">
        <v>8</v>
      </c>
      <c r="V231" t="b">
        <v>1</v>
      </c>
      <c r="W231" t="inlineStr">
        <is>
          <t>EXPENSE VARIANCES!J12:J19</t>
        </is>
      </c>
      <c r="X231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32">
      <c r="A232" t="inlineStr">
        <is>
          <t>EXPENSE VARIANCES</t>
        </is>
      </c>
      <c r="B232" t="inlineStr">
        <is>
          <t>K15</t>
        </is>
      </c>
      <c r="C232" t="n">
        <v>15</v>
      </c>
      <c r="D232" t="n">
        <v>11</v>
      </c>
      <c r="E232" t="inlineStr">
        <is>
          <t>Output</t>
        </is>
      </c>
      <c r="F232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32" t="n">
        <v>40</v>
      </c>
      <c r="H232" t="inlineStr"/>
      <c r="I232" t="inlineStr">
        <is>
          <t>"$"#,##0.00_);[Red]\("$"#,##0.00\)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inlineStr">
        <is>
          <t>G000034</t>
        </is>
      </c>
      <c r="T232" t="inlineStr">
        <is>
          <t>Vertical</t>
        </is>
      </c>
      <c r="U232" t="n">
        <v>8</v>
      </c>
      <c r="V232" t="b">
        <v>1</v>
      </c>
      <c r="W232" t="inlineStr">
        <is>
          <t>EXPENSE VARIANCES!K12:K19</t>
        </is>
      </c>
      <c r="X232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33">
      <c r="A233" t="inlineStr">
        <is>
          <t>EXPENSE VARIANCES</t>
        </is>
      </c>
      <c r="B233" t="inlineStr">
        <is>
          <t>L15</t>
        </is>
      </c>
      <c r="C233" t="n">
        <v>15</v>
      </c>
      <c r="D233" t="n">
        <v>12</v>
      </c>
      <c r="E233" t="inlineStr">
        <is>
          <t>Output</t>
        </is>
      </c>
      <c r="F233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33" t="n">
        <v>40</v>
      </c>
      <c r="H233" t="inlineStr"/>
      <c r="I233" t="inlineStr">
        <is>
          <t>"$"#,##0.00_);[Red]\("$"#,##0.00\)</t>
        </is>
      </c>
      <c r="J233" t="b">
        <v>0</v>
      </c>
      <c r="K233" t="b">
        <v>0</v>
      </c>
      <c r="L233" t="n">
        <v>10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inlineStr">
        <is>
          <t>G000035</t>
        </is>
      </c>
      <c r="T233" t="inlineStr">
        <is>
          <t>Vertical</t>
        </is>
      </c>
      <c r="U233" t="n">
        <v>8</v>
      </c>
      <c r="V233" t="b">
        <v>1</v>
      </c>
      <c r="W233" t="inlineStr">
        <is>
          <t>EXPENSE VARIANCES!L12:L19</t>
        </is>
      </c>
      <c r="X233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34">
      <c r="A234" t="inlineStr">
        <is>
          <t>EXPENSE VARIANCES</t>
        </is>
      </c>
      <c r="B234" t="inlineStr">
        <is>
          <t>M15</t>
        </is>
      </c>
      <c r="C234" t="n">
        <v>15</v>
      </c>
      <c r="D234" t="n">
        <v>13</v>
      </c>
      <c r="E234" t="inlineStr">
        <is>
          <t>Output</t>
        </is>
      </c>
      <c r="F234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34" t="n">
        <v>40</v>
      </c>
      <c r="H234" t="inlineStr"/>
      <c r="I234" t="inlineStr">
        <is>
          <t>"$"#,##0.00_);[Red]\("$"#,##0.00\)</t>
        </is>
      </c>
      <c r="J234" t="b">
        <v>0</v>
      </c>
      <c r="K234" t="b">
        <v>0</v>
      </c>
      <c r="L234" t="n">
        <v>10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P234" t="inlineStr">
        <is>
          <t>center</t>
        </is>
      </c>
      <c r="R234" t="b">
        <v>1</v>
      </c>
      <c r="S234" t="inlineStr">
        <is>
          <t>G000036</t>
        </is>
      </c>
      <c r="T234" t="inlineStr">
        <is>
          <t>Vertical</t>
        </is>
      </c>
      <c r="U234" t="n">
        <v>8</v>
      </c>
      <c r="V234" t="b">
        <v>1</v>
      </c>
      <c r="W234" t="inlineStr">
        <is>
          <t>EXPENSE VARIANCES!M12:M19</t>
        </is>
      </c>
      <c r="X234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35">
      <c r="A235" t="inlineStr">
        <is>
          <t>EXPENSE VARIANCES</t>
        </is>
      </c>
      <c r="B235" t="inlineStr">
        <is>
          <t>N15</t>
        </is>
      </c>
      <c r="C235" t="n">
        <v>15</v>
      </c>
      <c r="D235" t="n">
        <v>14</v>
      </c>
      <c r="E235" t="inlineStr">
        <is>
          <t>Output</t>
        </is>
      </c>
      <c r="F235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35" t="n">
        <v>40</v>
      </c>
      <c r="H235" t="inlineStr"/>
      <c r="I235" t="inlineStr">
        <is>
          <t>"$"#,##0.00_);[Red]\("$"#,##0.00\)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inlineStr">
        <is>
          <t>center</t>
        </is>
      </c>
      <c r="R235" t="b">
        <v>1</v>
      </c>
      <c r="S235" t="inlineStr">
        <is>
          <t>G000037</t>
        </is>
      </c>
      <c r="T235" t="inlineStr">
        <is>
          <t>Vertical</t>
        </is>
      </c>
      <c r="U235" t="n">
        <v>8</v>
      </c>
      <c r="V235" t="b">
        <v>1</v>
      </c>
      <c r="W235" t="inlineStr">
        <is>
          <t>EXPENSE VARIANCES!N12:N19</t>
        </is>
      </c>
      <c r="X235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236">
      <c r="A236" t="inlineStr">
        <is>
          <t>EXPENSE VARIANCES</t>
        </is>
      </c>
      <c r="B236" t="inlineStr">
        <is>
          <t>O15</t>
        </is>
      </c>
      <c r="C236" t="n">
        <v>15</v>
      </c>
      <c r="D236" t="n">
        <v>15</v>
      </c>
      <c r="E236" t="inlineStr">
        <is>
          <t>Output</t>
        </is>
      </c>
      <c r="F236" t="inlineStr">
        <is>
          <t>'=SUM(OfficeVariances[[#This Row],[Jan]:[Dec]])</t>
        </is>
      </c>
      <c r="G236" t="n">
        <v>272</v>
      </c>
      <c r="H236" t="inlineStr"/>
      <c r="I236" t="inlineStr">
        <is>
          <t>"$"#,##0.00_);[Red]\("$"#,##0.00\)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inlineStr">
        <is>
          <t>G000038</t>
        </is>
      </c>
      <c r="T236" t="inlineStr">
        <is>
          <t>Vertical</t>
        </is>
      </c>
      <c r="U236" t="n">
        <v>8</v>
      </c>
      <c r="V236" t="b">
        <v>1</v>
      </c>
      <c r="W236" t="inlineStr">
        <is>
          <t>EXPENSE VARIANCES!O12:O19</t>
        </is>
      </c>
      <c r="X236">
        <f>SUM(OfficeVariances[[#This Row],[Jan]:[Dec]])</f>
        <v/>
      </c>
    </row>
    <row r="237">
      <c r="A237" t="inlineStr">
        <is>
          <t>EXPENSE VARIANCES</t>
        </is>
      </c>
      <c r="B237" t="inlineStr">
        <is>
          <t>P15</t>
        </is>
      </c>
      <c r="C237" t="n">
        <v>15</v>
      </c>
      <c r="D237" t="n">
        <v>16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14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n">
        <v/>
      </c>
      <c r="P237" t="n">
        <v/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EXPENSE VARIANCES</t>
        </is>
      </c>
      <c r="B238" t="inlineStr">
        <is>
          <t>A16</t>
        </is>
      </c>
      <c r="C238" t="n">
        <v>16</v>
      </c>
      <c r="D238" t="n">
        <v>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14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EXPENSE VARIANCES</t>
        </is>
      </c>
      <c r="B239" t="inlineStr">
        <is>
          <t>B16</t>
        </is>
      </c>
      <c r="C239" t="n">
        <v>16</v>
      </c>
      <c r="D239" t="n">
        <v>2</v>
      </c>
      <c r="E239" t="inlineStr">
        <is>
          <t>Input</t>
        </is>
      </c>
      <c r="F239" t="n">
        <v/>
      </c>
      <c r="G239" t="inlineStr">
        <is>
          <t>Telephone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12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left</t>
        </is>
      </c>
      <c r="P239" t="inlineStr">
        <is>
          <t>center</t>
        </is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EXPENSE VARIANCES</t>
        </is>
      </c>
      <c r="B240" t="inlineStr">
        <is>
          <t>C16</t>
        </is>
      </c>
      <c r="C240" t="n">
        <v>16</v>
      </c>
      <c r="D240" t="n">
        <v>3</v>
      </c>
      <c r="E240" t="inlineStr">
        <is>
          <t>Output</t>
        </is>
      </c>
      <c r="F240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40" t="n">
        <v>26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G000026</t>
        </is>
      </c>
      <c r="T240" t="inlineStr">
        <is>
          <t>Vertical</t>
        </is>
      </c>
      <c r="U240" t="n">
        <v>8</v>
      </c>
      <c r="V240" t="b">
        <v>1</v>
      </c>
      <c r="W240" t="inlineStr">
        <is>
          <t>EXPENSE VARIANCES!C12:C19</t>
        </is>
      </c>
      <c r="X240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241">
      <c r="A241" t="inlineStr">
        <is>
          <t>EXPENSE VARIANCES</t>
        </is>
      </c>
      <c r="B241" t="inlineStr">
        <is>
          <t>D16</t>
        </is>
      </c>
      <c r="C241" t="n">
        <v>16</v>
      </c>
      <c r="D241" t="n">
        <v>4</v>
      </c>
      <c r="E241" t="inlineStr">
        <is>
          <t>Output</t>
        </is>
      </c>
      <c r="F241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41" t="n">
        <v>15</v>
      </c>
      <c r="H241" t="inlineStr"/>
      <c r="I241" t="inlineStr">
        <is>
          <t>"$"#,##0.00_);[Red]\("$"#,##0.00\)</t>
        </is>
      </c>
      <c r="J241" t="b">
        <v>0</v>
      </c>
      <c r="K241" t="b">
        <v>0</v>
      </c>
      <c r="L241" t="n">
        <v>10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inlineStr">
        <is>
          <t>center</t>
        </is>
      </c>
      <c r="P241" t="inlineStr">
        <is>
          <t>center</t>
        </is>
      </c>
      <c r="R241" t="b">
        <v>1</v>
      </c>
      <c r="S241" t="inlineStr">
        <is>
          <t>G000027</t>
        </is>
      </c>
      <c r="T241" t="inlineStr">
        <is>
          <t>Vertical</t>
        </is>
      </c>
      <c r="U241" t="n">
        <v>8</v>
      </c>
      <c r="V241" t="b">
        <v>1</v>
      </c>
      <c r="W241" t="inlineStr">
        <is>
          <t>EXPENSE VARIANCES!D12:D19</t>
        </is>
      </c>
      <c r="X241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242">
      <c r="A242" t="inlineStr">
        <is>
          <t>EXPENSE VARIANCES</t>
        </is>
      </c>
      <c r="B242" t="inlineStr">
        <is>
          <t>E16</t>
        </is>
      </c>
      <c r="C242" t="n">
        <v>16</v>
      </c>
      <c r="D242" t="n">
        <v>5</v>
      </c>
      <c r="E242" t="inlineStr">
        <is>
          <t>Output</t>
        </is>
      </c>
      <c r="F242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42" t="n">
        <v>-15</v>
      </c>
      <c r="H242" t="inlineStr"/>
      <c r="I242" t="inlineStr">
        <is>
          <t>"$"#,##0.00_);[Red]\("$"#,##0.00\)</t>
        </is>
      </c>
      <c r="J242" t="b">
        <v>0</v>
      </c>
      <c r="K242" t="b">
        <v>0</v>
      </c>
      <c r="L242" t="n">
        <v>10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inlineStr">
        <is>
          <t>center</t>
        </is>
      </c>
      <c r="P242" t="inlineStr">
        <is>
          <t>center</t>
        </is>
      </c>
      <c r="R242" t="b">
        <v>1</v>
      </c>
      <c r="S242" t="inlineStr">
        <is>
          <t>G000028</t>
        </is>
      </c>
      <c r="T242" t="inlineStr">
        <is>
          <t>Vertical</t>
        </is>
      </c>
      <c r="U242" t="n">
        <v>8</v>
      </c>
      <c r="V242" t="b">
        <v>1</v>
      </c>
      <c r="W242" t="inlineStr">
        <is>
          <t>EXPENSE VARIANCES!E12:E19</t>
        </is>
      </c>
      <c r="X242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243">
      <c r="A243" t="inlineStr">
        <is>
          <t>EXPENSE VARIANCES</t>
        </is>
      </c>
      <c r="B243" t="inlineStr">
        <is>
          <t>F16</t>
        </is>
      </c>
      <c r="C243" t="n">
        <v>16</v>
      </c>
      <c r="D243" t="n">
        <v>6</v>
      </c>
      <c r="E243" t="inlineStr">
        <is>
          <t>Output</t>
        </is>
      </c>
      <c r="F243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43" t="n">
        <v>5</v>
      </c>
      <c r="H243" t="inlineStr"/>
      <c r="I243" t="inlineStr">
        <is>
          <t>"$"#,##0.00_);[Red]\("$"#,##0.00\)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inlineStr">
        <is>
          <t>center</t>
        </is>
      </c>
      <c r="P243" t="inlineStr">
        <is>
          <t>center</t>
        </is>
      </c>
      <c r="R243" t="b">
        <v>1</v>
      </c>
      <c r="S243" t="inlineStr">
        <is>
          <t>G000029</t>
        </is>
      </c>
      <c r="T243" t="inlineStr">
        <is>
          <t>Vertical</t>
        </is>
      </c>
      <c r="U243" t="n">
        <v>8</v>
      </c>
      <c r="V243" t="b">
        <v>1</v>
      </c>
      <c r="W243" t="inlineStr">
        <is>
          <t>EXPENSE VARIANCES!F12:F19</t>
        </is>
      </c>
      <c r="X243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244">
      <c r="A244" t="inlineStr">
        <is>
          <t>EXPENSE VARIANCES</t>
        </is>
      </c>
      <c r="B244" t="inlineStr">
        <is>
          <t>G16</t>
        </is>
      </c>
      <c r="C244" t="n">
        <v>16</v>
      </c>
      <c r="D244" t="n">
        <v>7</v>
      </c>
      <c r="E244" t="inlineStr">
        <is>
          <t>Output</t>
        </is>
      </c>
      <c r="F244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44" t="n">
        <v>5</v>
      </c>
      <c r="H244" t="inlineStr"/>
      <c r="I244" t="inlineStr">
        <is>
          <t>"$"#,##0.00_);[Red]\("$"#,##0.00\)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center</t>
        </is>
      </c>
      <c r="P244" t="inlineStr">
        <is>
          <t>center</t>
        </is>
      </c>
      <c r="R244" t="b">
        <v>1</v>
      </c>
      <c r="S244" t="inlineStr">
        <is>
          <t>G000030</t>
        </is>
      </c>
      <c r="T244" t="inlineStr">
        <is>
          <t>Vertical</t>
        </is>
      </c>
      <c r="U244" t="n">
        <v>8</v>
      </c>
      <c r="V244" t="b">
        <v>1</v>
      </c>
      <c r="W244" t="inlineStr">
        <is>
          <t>EXPENSE VARIANCES!G12:G19</t>
        </is>
      </c>
      <c r="X244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245">
      <c r="A245" t="inlineStr">
        <is>
          <t>EXPENSE VARIANCES</t>
        </is>
      </c>
      <c r="B245" t="inlineStr">
        <is>
          <t>H16</t>
        </is>
      </c>
      <c r="C245" t="n">
        <v>16</v>
      </c>
      <c r="D245" t="n">
        <v>8</v>
      </c>
      <c r="E245" t="inlineStr">
        <is>
          <t>Output</t>
        </is>
      </c>
      <c r="F245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45" t="n">
        <v>30</v>
      </c>
      <c r="H245" t="inlineStr"/>
      <c r="I245" t="inlineStr">
        <is>
          <t>"$"#,##0.00_);[Red]\("$"#,##0.00\)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inlineStr">
        <is>
          <t>center</t>
        </is>
      </c>
      <c r="P245" t="inlineStr">
        <is>
          <t>center</t>
        </is>
      </c>
      <c r="R245" t="b">
        <v>1</v>
      </c>
      <c r="S245" t="inlineStr">
        <is>
          <t>G000031</t>
        </is>
      </c>
      <c r="T245" t="inlineStr">
        <is>
          <t>Vertical</t>
        </is>
      </c>
      <c r="U245" t="n">
        <v>8</v>
      </c>
      <c r="V245" t="b">
        <v>1</v>
      </c>
      <c r="W245" t="inlineStr">
        <is>
          <t>EXPENSE VARIANCES!H12:H19</t>
        </is>
      </c>
      <c r="X245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246">
      <c r="A246" t="inlineStr">
        <is>
          <t>EXPENSE VARIANCES</t>
        </is>
      </c>
      <c r="B246" t="inlineStr">
        <is>
          <t>I16</t>
        </is>
      </c>
      <c r="C246" t="n">
        <v>16</v>
      </c>
      <c r="D246" t="n">
        <v>9</v>
      </c>
      <c r="E246" t="inlineStr">
        <is>
          <t>Output</t>
        </is>
      </c>
      <c r="F246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46" t="n">
        <v>250</v>
      </c>
      <c r="H246" t="inlineStr"/>
      <c r="I246" t="inlineStr">
        <is>
          <t>"$"#,##0.00_);[Red]\("$"#,##0.00\)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center</t>
        </is>
      </c>
      <c r="P246" t="inlineStr">
        <is>
          <t>center</t>
        </is>
      </c>
      <c r="R246" t="b">
        <v>1</v>
      </c>
      <c r="S246" t="inlineStr">
        <is>
          <t>G000032</t>
        </is>
      </c>
      <c r="T246" t="inlineStr">
        <is>
          <t>Vertical</t>
        </is>
      </c>
      <c r="U246" t="n">
        <v>8</v>
      </c>
      <c r="V246" t="b">
        <v>1</v>
      </c>
      <c r="W246" t="inlineStr">
        <is>
          <t>EXPENSE VARIANCES!I12:I19</t>
        </is>
      </c>
      <c r="X246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247">
      <c r="A247" t="inlineStr">
        <is>
          <t>EXPENSE VARIANCES</t>
        </is>
      </c>
      <c r="B247" t="inlineStr">
        <is>
          <t>J16</t>
        </is>
      </c>
      <c r="C247" t="n">
        <v>16</v>
      </c>
      <c r="D247" t="n">
        <v>10</v>
      </c>
      <c r="E247" t="inlineStr">
        <is>
          <t>Output</t>
        </is>
      </c>
      <c r="F247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47" t="n">
        <v>250</v>
      </c>
      <c r="H247" t="inlineStr"/>
      <c r="I247" t="inlineStr">
        <is>
          <t>"$"#,##0.00_);[Red]\("$"#,##0.00\)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G000033</t>
        </is>
      </c>
      <c r="T247" t="inlineStr">
        <is>
          <t>Vertical</t>
        </is>
      </c>
      <c r="U247" t="n">
        <v>8</v>
      </c>
      <c r="V247" t="b">
        <v>1</v>
      </c>
      <c r="W247" t="inlineStr">
        <is>
          <t>EXPENSE VARIANCES!J12:J19</t>
        </is>
      </c>
      <c r="X247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48">
      <c r="A248" t="inlineStr">
        <is>
          <t>EXPENSE VARIANCES</t>
        </is>
      </c>
      <c r="B248" t="inlineStr">
        <is>
          <t>K16</t>
        </is>
      </c>
      <c r="C248" t="n">
        <v>16</v>
      </c>
      <c r="D248" t="n">
        <v>11</v>
      </c>
      <c r="E248" t="inlineStr">
        <is>
          <t>Output</t>
        </is>
      </c>
      <c r="F248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48" t="n">
        <v>250</v>
      </c>
      <c r="H248" t="inlineStr"/>
      <c r="I248" t="inlineStr">
        <is>
          <t>"$"#,##0.00_);[Red]\("$"#,##0.00\)</t>
        </is>
      </c>
      <c r="J248" t="b">
        <v>0</v>
      </c>
      <c r="K248" t="b">
        <v>0</v>
      </c>
      <c r="L248" t="n">
        <v>10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inlineStr">
        <is>
          <t>G000034</t>
        </is>
      </c>
      <c r="T248" t="inlineStr">
        <is>
          <t>Vertical</t>
        </is>
      </c>
      <c r="U248" t="n">
        <v>8</v>
      </c>
      <c r="V248" t="b">
        <v>1</v>
      </c>
      <c r="W248" t="inlineStr">
        <is>
          <t>EXPENSE VARIANCES!K12:K19</t>
        </is>
      </c>
      <c r="X248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49">
      <c r="A249" t="inlineStr">
        <is>
          <t>EXPENSE VARIANCES</t>
        </is>
      </c>
      <c r="B249" t="inlineStr">
        <is>
          <t>L16</t>
        </is>
      </c>
      <c r="C249" t="n">
        <v>16</v>
      </c>
      <c r="D249" t="n">
        <v>12</v>
      </c>
      <c r="E249" t="inlineStr">
        <is>
          <t>Output</t>
        </is>
      </c>
      <c r="F249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49" t="n">
        <v>250</v>
      </c>
      <c r="H249" t="inlineStr"/>
      <c r="I249" t="inlineStr">
        <is>
          <t>"$"#,##0.00_);[Red]\("$"#,##0.00\)</t>
        </is>
      </c>
      <c r="J249" t="b">
        <v>0</v>
      </c>
      <c r="K249" t="b">
        <v>0</v>
      </c>
      <c r="L249" t="n">
        <v>10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inlineStr">
        <is>
          <t>G000035</t>
        </is>
      </c>
      <c r="T249" t="inlineStr">
        <is>
          <t>Vertical</t>
        </is>
      </c>
      <c r="U249" t="n">
        <v>8</v>
      </c>
      <c r="V249" t="b">
        <v>1</v>
      </c>
      <c r="W249" t="inlineStr">
        <is>
          <t>EXPENSE VARIANCES!L12:L19</t>
        </is>
      </c>
      <c r="X249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50">
      <c r="A250" t="inlineStr">
        <is>
          <t>EXPENSE VARIANCES</t>
        </is>
      </c>
      <c r="B250" t="inlineStr">
        <is>
          <t>M16</t>
        </is>
      </c>
      <c r="C250" t="n">
        <v>16</v>
      </c>
      <c r="D250" t="n">
        <v>13</v>
      </c>
      <c r="E250" t="inlineStr">
        <is>
          <t>Output</t>
        </is>
      </c>
      <c r="F250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50" t="n">
        <v>250</v>
      </c>
      <c r="H250" t="inlineStr"/>
      <c r="I250" t="inlineStr">
        <is>
          <t>"$"#,##0.00_);[Red]\("$"#,##0.00\)</t>
        </is>
      </c>
      <c r="J250" t="b">
        <v>0</v>
      </c>
      <c r="K250" t="b">
        <v>0</v>
      </c>
      <c r="L250" t="n">
        <v>10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inlineStr">
        <is>
          <t>G000036</t>
        </is>
      </c>
      <c r="T250" t="inlineStr">
        <is>
          <t>Vertical</t>
        </is>
      </c>
      <c r="U250" t="n">
        <v>8</v>
      </c>
      <c r="V250" t="b">
        <v>1</v>
      </c>
      <c r="W250" t="inlineStr">
        <is>
          <t>EXPENSE VARIANCES!M12:M19</t>
        </is>
      </c>
      <c r="X250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51">
      <c r="A251" t="inlineStr">
        <is>
          <t>EXPENSE VARIANCES</t>
        </is>
      </c>
      <c r="B251" t="inlineStr">
        <is>
          <t>N16</t>
        </is>
      </c>
      <c r="C251" t="n">
        <v>16</v>
      </c>
      <c r="D251" t="n">
        <v>14</v>
      </c>
      <c r="E251" t="inlineStr">
        <is>
          <t>Output</t>
        </is>
      </c>
      <c r="F251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51" t="n">
        <v>250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inlineStr">
        <is>
          <t>G000037</t>
        </is>
      </c>
      <c r="T251" t="inlineStr">
        <is>
          <t>Vertical</t>
        </is>
      </c>
      <c r="U251" t="n">
        <v>8</v>
      </c>
      <c r="V251" t="b">
        <v>1</v>
      </c>
      <c r="W251" t="inlineStr">
        <is>
          <t>EXPENSE VARIANCES!N12:N19</t>
        </is>
      </c>
      <c r="X251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252">
      <c r="A252" t="inlineStr">
        <is>
          <t>EXPENSE VARIANCES</t>
        </is>
      </c>
      <c r="B252" t="inlineStr">
        <is>
          <t>O16</t>
        </is>
      </c>
      <c r="C252" t="n">
        <v>16</v>
      </c>
      <c r="D252" t="n">
        <v>15</v>
      </c>
      <c r="E252" t="inlineStr">
        <is>
          <t>Output</t>
        </is>
      </c>
      <c r="F252" t="inlineStr">
        <is>
          <t>'=SUM(OfficeVariances[[#This Row],[Jan]:[Dec]])</t>
        </is>
      </c>
      <c r="G252" t="n">
        <v>1566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inlineStr">
        <is>
          <t>G000038</t>
        </is>
      </c>
      <c r="T252" t="inlineStr">
        <is>
          <t>Vertical</t>
        </is>
      </c>
      <c r="U252" t="n">
        <v>8</v>
      </c>
      <c r="V252" t="b">
        <v>1</v>
      </c>
      <c r="W252" t="inlineStr">
        <is>
          <t>EXPENSE VARIANCES!O12:O19</t>
        </is>
      </c>
      <c r="X252">
        <f>SUM(OfficeVariances[[#This Row],[Jan]:[Dec]])</f>
        <v/>
      </c>
    </row>
    <row r="253">
      <c r="A253" t="inlineStr">
        <is>
          <t>EXPENSE VARIANCES</t>
        </is>
      </c>
      <c r="B253" t="inlineStr">
        <is>
          <t>P16</t>
        </is>
      </c>
      <c r="C253" t="n">
        <v>16</v>
      </c>
      <c r="D253" t="n">
        <v>16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n">
        <v/>
      </c>
      <c r="P253" t="n">
        <v/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EXPENSE VARIANCES</t>
        </is>
      </c>
      <c r="B254" t="inlineStr">
        <is>
          <t>A17</t>
        </is>
      </c>
      <c r="C254" t="n">
        <v>17</v>
      </c>
      <c r="D254" t="n">
        <v>1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n">
        <v/>
      </c>
      <c r="P254" t="n">
        <v/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EXPENSE VARIANCES</t>
        </is>
      </c>
      <c r="B255" t="inlineStr">
        <is>
          <t>B17</t>
        </is>
      </c>
      <c r="C255" t="n">
        <v>17</v>
      </c>
      <c r="D255" t="n">
        <v>2</v>
      </c>
      <c r="E255" t="inlineStr">
        <is>
          <t>Input</t>
        </is>
      </c>
      <c r="F255" t="n">
        <v/>
      </c>
      <c r="G255" t="inlineStr">
        <is>
          <t>Internet access</t>
        </is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12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left</t>
        </is>
      </c>
      <c r="P255" t="inlineStr">
        <is>
          <t>center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EXPENSE VARIANCES</t>
        </is>
      </c>
      <c r="B256" t="inlineStr">
        <is>
          <t>C17</t>
        </is>
      </c>
      <c r="C256" t="n">
        <v>17</v>
      </c>
      <c r="D256" t="n">
        <v>3</v>
      </c>
      <c r="E256" t="inlineStr">
        <is>
          <t>Output</t>
        </is>
      </c>
      <c r="F256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56" t="n">
        <v>0</v>
      </c>
      <c r="H256" t="inlineStr"/>
      <c r="I256" t="inlineStr">
        <is>
          <t>"$"#,##0.00_);[Red]\("$"#,##0.00\)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inlineStr">
        <is>
          <t>G000026</t>
        </is>
      </c>
      <c r="T256" t="inlineStr">
        <is>
          <t>Vertical</t>
        </is>
      </c>
      <c r="U256" t="n">
        <v>8</v>
      </c>
      <c r="V256" t="b">
        <v>1</v>
      </c>
      <c r="W256" t="inlineStr">
        <is>
          <t>EXPENSE VARIANCES!C12:C19</t>
        </is>
      </c>
      <c r="X256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257">
      <c r="A257" t="inlineStr">
        <is>
          <t>EXPENSE VARIANCES</t>
        </is>
      </c>
      <c r="B257" t="inlineStr">
        <is>
          <t>D17</t>
        </is>
      </c>
      <c r="C257" t="n">
        <v>17</v>
      </c>
      <c r="D257" t="n">
        <v>4</v>
      </c>
      <c r="E257" t="inlineStr">
        <is>
          <t>Output</t>
        </is>
      </c>
      <c r="F257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57" t="n">
        <v>0</v>
      </c>
      <c r="H257" t="inlineStr"/>
      <c r="I257" t="inlineStr">
        <is>
          <t>"$"#,##0.00_);[Red]\("$"#,##0.00\)</t>
        </is>
      </c>
      <c r="J257" t="b">
        <v>0</v>
      </c>
      <c r="K257" t="b">
        <v>0</v>
      </c>
      <c r="L257" t="n">
        <v>10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inlineStr">
        <is>
          <t>center</t>
        </is>
      </c>
      <c r="R257" t="b">
        <v>1</v>
      </c>
      <c r="S257" t="inlineStr">
        <is>
          <t>G000027</t>
        </is>
      </c>
      <c r="T257" t="inlineStr">
        <is>
          <t>Vertical</t>
        </is>
      </c>
      <c r="U257" t="n">
        <v>8</v>
      </c>
      <c r="V257" t="b">
        <v>1</v>
      </c>
      <c r="W257" t="inlineStr">
        <is>
          <t>EXPENSE VARIANCES!D12:D19</t>
        </is>
      </c>
      <c r="X257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258">
      <c r="A258" t="inlineStr">
        <is>
          <t>EXPENSE VARIANCES</t>
        </is>
      </c>
      <c r="B258" t="inlineStr">
        <is>
          <t>E17</t>
        </is>
      </c>
      <c r="C258" t="n">
        <v>17</v>
      </c>
      <c r="D258" t="n">
        <v>5</v>
      </c>
      <c r="E258" t="inlineStr">
        <is>
          <t>Output</t>
        </is>
      </c>
      <c r="F258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58" t="n">
        <v>0</v>
      </c>
      <c r="H258" t="inlineStr"/>
      <c r="I258" t="inlineStr">
        <is>
          <t>"$"#,##0.00_);[Red]\("$"#,##0.00\)</t>
        </is>
      </c>
      <c r="J258" t="b">
        <v>0</v>
      </c>
      <c r="K258" t="b">
        <v>0</v>
      </c>
      <c r="L258" t="n">
        <v>10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inlineStr">
        <is>
          <t>G000028</t>
        </is>
      </c>
      <c r="T258" t="inlineStr">
        <is>
          <t>Vertical</t>
        </is>
      </c>
      <c r="U258" t="n">
        <v>8</v>
      </c>
      <c r="V258" t="b">
        <v>1</v>
      </c>
      <c r="W258" t="inlineStr">
        <is>
          <t>EXPENSE VARIANCES!E12:E19</t>
        </is>
      </c>
      <c r="X258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259">
      <c r="A259" t="inlineStr">
        <is>
          <t>EXPENSE VARIANCES</t>
        </is>
      </c>
      <c r="B259" t="inlineStr">
        <is>
          <t>F17</t>
        </is>
      </c>
      <c r="C259" t="n">
        <v>17</v>
      </c>
      <c r="D259" t="n">
        <v>6</v>
      </c>
      <c r="E259" t="inlineStr">
        <is>
          <t>Output</t>
        </is>
      </c>
      <c r="F259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59" t="n">
        <v>0</v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G000029</t>
        </is>
      </c>
      <c r="T259" t="inlineStr">
        <is>
          <t>Vertical</t>
        </is>
      </c>
      <c r="U259" t="n">
        <v>8</v>
      </c>
      <c r="V259" t="b">
        <v>1</v>
      </c>
      <c r="W259" t="inlineStr">
        <is>
          <t>EXPENSE VARIANCES!F12:F19</t>
        </is>
      </c>
      <c r="X259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260">
      <c r="A260" t="inlineStr">
        <is>
          <t>EXPENSE VARIANCES</t>
        </is>
      </c>
      <c r="B260" t="inlineStr">
        <is>
          <t>G17</t>
        </is>
      </c>
      <c r="C260" t="n">
        <v>17</v>
      </c>
      <c r="D260" t="n">
        <v>7</v>
      </c>
      <c r="E260" t="inlineStr">
        <is>
          <t>Output</t>
        </is>
      </c>
      <c r="F260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60" t="n">
        <v>0</v>
      </c>
      <c r="H260" t="inlineStr"/>
      <c r="I260" t="inlineStr">
        <is>
          <t>"$"#,##0.00_);[Red]\("$"#,##0.00\)</t>
        </is>
      </c>
      <c r="J260" t="b">
        <v>0</v>
      </c>
      <c r="K260" t="b">
        <v>0</v>
      </c>
      <c r="L260" t="n">
        <v>10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inlineStr">
        <is>
          <t>center</t>
        </is>
      </c>
      <c r="P260" t="inlineStr">
        <is>
          <t>center</t>
        </is>
      </c>
      <c r="R260" t="b">
        <v>1</v>
      </c>
      <c r="S260" t="inlineStr">
        <is>
          <t>G000030</t>
        </is>
      </c>
      <c r="T260" t="inlineStr">
        <is>
          <t>Vertical</t>
        </is>
      </c>
      <c r="U260" t="n">
        <v>8</v>
      </c>
      <c r="V260" t="b">
        <v>1</v>
      </c>
      <c r="W260" t="inlineStr">
        <is>
          <t>EXPENSE VARIANCES!G12:G19</t>
        </is>
      </c>
      <c r="X260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261">
      <c r="A261" t="inlineStr">
        <is>
          <t>EXPENSE VARIANCES</t>
        </is>
      </c>
      <c r="B261" t="inlineStr">
        <is>
          <t>H17</t>
        </is>
      </c>
      <c r="C261" t="n">
        <v>17</v>
      </c>
      <c r="D261" t="n">
        <v>8</v>
      </c>
      <c r="E261" t="inlineStr">
        <is>
          <t>Output</t>
        </is>
      </c>
      <c r="F261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61" t="n">
        <v>0</v>
      </c>
      <c r="H261" t="inlineStr"/>
      <c r="I261" t="inlineStr">
        <is>
          <t>"$"#,##0.00_);[Red]\("$"#,##0.00\)</t>
        </is>
      </c>
      <c r="J261" t="b">
        <v>0</v>
      </c>
      <c r="K261" t="b">
        <v>0</v>
      </c>
      <c r="L261" t="n">
        <v>10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inlineStr">
        <is>
          <t>G000031</t>
        </is>
      </c>
      <c r="T261" t="inlineStr">
        <is>
          <t>Vertical</t>
        </is>
      </c>
      <c r="U261" t="n">
        <v>8</v>
      </c>
      <c r="V261" t="b">
        <v>1</v>
      </c>
      <c r="W261" t="inlineStr">
        <is>
          <t>EXPENSE VARIANCES!H12:H19</t>
        </is>
      </c>
      <c r="X261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262">
      <c r="A262" t="inlineStr">
        <is>
          <t>EXPENSE VARIANCES</t>
        </is>
      </c>
      <c r="B262" t="inlineStr">
        <is>
          <t>I17</t>
        </is>
      </c>
      <c r="C262" t="n">
        <v>17</v>
      </c>
      <c r="D262" t="n">
        <v>9</v>
      </c>
      <c r="E262" t="inlineStr">
        <is>
          <t>Output</t>
        </is>
      </c>
      <c r="F262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62" t="n">
        <v>180</v>
      </c>
      <c r="H262" t="inlineStr"/>
      <c r="I262" t="inlineStr">
        <is>
          <t>"$"#,##0.00_);[Red]\("$"#,##0.00\)</t>
        </is>
      </c>
      <c r="J262" t="b">
        <v>0</v>
      </c>
      <c r="K262" t="b">
        <v>0</v>
      </c>
      <c r="L262" t="n">
        <v>10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inlineStr">
        <is>
          <t>G000032</t>
        </is>
      </c>
      <c r="T262" t="inlineStr">
        <is>
          <t>Vertical</t>
        </is>
      </c>
      <c r="U262" t="n">
        <v>8</v>
      </c>
      <c r="V262" t="b">
        <v>1</v>
      </c>
      <c r="W262" t="inlineStr">
        <is>
          <t>EXPENSE VARIANCES!I12:I19</t>
        </is>
      </c>
      <c r="X262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263">
      <c r="A263" t="inlineStr">
        <is>
          <t>EXPENSE VARIANCES</t>
        </is>
      </c>
      <c r="B263" t="inlineStr">
        <is>
          <t>J17</t>
        </is>
      </c>
      <c r="C263" t="n">
        <v>17</v>
      </c>
      <c r="D263" t="n">
        <v>10</v>
      </c>
      <c r="E263" t="inlineStr">
        <is>
          <t>Output</t>
        </is>
      </c>
      <c r="F263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63" t="n">
        <v>180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G000033</t>
        </is>
      </c>
      <c r="T263" t="inlineStr">
        <is>
          <t>Vertical</t>
        </is>
      </c>
      <c r="U263" t="n">
        <v>8</v>
      </c>
      <c r="V263" t="b">
        <v>1</v>
      </c>
      <c r="W263" t="inlineStr">
        <is>
          <t>EXPENSE VARIANCES!J12:J19</t>
        </is>
      </c>
      <c r="X263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64">
      <c r="A264" t="inlineStr">
        <is>
          <t>EXPENSE VARIANCES</t>
        </is>
      </c>
      <c r="B264" t="inlineStr">
        <is>
          <t>K17</t>
        </is>
      </c>
      <c r="C264" t="n">
        <v>17</v>
      </c>
      <c r="D264" t="n">
        <v>11</v>
      </c>
      <c r="E264" t="inlineStr">
        <is>
          <t>Output</t>
        </is>
      </c>
      <c r="F264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64" t="n">
        <v>180</v>
      </c>
      <c r="H264" t="inlineStr"/>
      <c r="I264" t="inlineStr">
        <is>
          <t>"$"#,##0.00_);[Red]\("$"#,##0.00\)</t>
        </is>
      </c>
      <c r="J264" t="b">
        <v>0</v>
      </c>
      <c r="K264" t="b">
        <v>0</v>
      </c>
      <c r="L264" t="n">
        <v>10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inlineStr">
        <is>
          <t>G000034</t>
        </is>
      </c>
      <c r="T264" t="inlineStr">
        <is>
          <t>Vertical</t>
        </is>
      </c>
      <c r="U264" t="n">
        <v>8</v>
      </c>
      <c r="V264" t="b">
        <v>1</v>
      </c>
      <c r="W264" t="inlineStr">
        <is>
          <t>EXPENSE VARIANCES!K12:K19</t>
        </is>
      </c>
      <c r="X264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65">
      <c r="A265" t="inlineStr">
        <is>
          <t>EXPENSE VARIANCES</t>
        </is>
      </c>
      <c r="B265" t="inlineStr">
        <is>
          <t>L17</t>
        </is>
      </c>
      <c r="C265" t="n">
        <v>17</v>
      </c>
      <c r="D265" t="n">
        <v>12</v>
      </c>
      <c r="E265" t="inlineStr">
        <is>
          <t>Output</t>
        </is>
      </c>
      <c r="F265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65" t="n">
        <v>180</v>
      </c>
      <c r="H265" t="inlineStr"/>
      <c r="I265" t="inlineStr">
        <is>
          <t>"$"#,##0.00_);[Red]\("$"#,##0.00\)</t>
        </is>
      </c>
      <c r="J265" t="b">
        <v>0</v>
      </c>
      <c r="K265" t="b">
        <v>0</v>
      </c>
      <c r="L265" t="n">
        <v>10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inlineStr">
        <is>
          <t>G000035</t>
        </is>
      </c>
      <c r="T265" t="inlineStr">
        <is>
          <t>Vertical</t>
        </is>
      </c>
      <c r="U265" t="n">
        <v>8</v>
      </c>
      <c r="V265" t="b">
        <v>1</v>
      </c>
      <c r="W265" t="inlineStr">
        <is>
          <t>EXPENSE VARIANCES!L12:L19</t>
        </is>
      </c>
      <c r="X265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66">
      <c r="A266" t="inlineStr">
        <is>
          <t>EXPENSE VARIANCES</t>
        </is>
      </c>
      <c r="B266" t="inlineStr">
        <is>
          <t>M17</t>
        </is>
      </c>
      <c r="C266" t="n">
        <v>17</v>
      </c>
      <c r="D266" t="n">
        <v>13</v>
      </c>
      <c r="E266" t="inlineStr">
        <is>
          <t>Output</t>
        </is>
      </c>
      <c r="F266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66" t="n">
        <v>180</v>
      </c>
      <c r="H266" t="inlineStr"/>
      <c r="I266" t="inlineStr">
        <is>
          <t>"$"#,##0.00_);[Red]\("$"#,##0.00\)</t>
        </is>
      </c>
      <c r="J266" t="b">
        <v>0</v>
      </c>
      <c r="K266" t="b">
        <v>0</v>
      </c>
      <c r="L266" t="n">
        <v>10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inlineStr">
        <is>
          <t>G000036</t>
        </is>
      </c>
      <c r="T266" t="inlineStr">
        <is>
          <t>Vertical</t>
        </is>
      </c>
      <c r="U266" t="n">
        <v>8</v>
      </c>
      <c r="V266" t="b">
        <v>1</v>
      </c>
      <c r="W266" t="inlineStr">
        <is>
          <t>EXPENSE VARIANCES!M12:M19</t>
        </is>
      </c>
      <c r="X266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67">
      <c r="A267" t="inlineStr">
        <is>
          <t>EXPENSE VARIANCES</t>
        </is>
      </c>
      <c r="B267" t="inlineStr">
        <is>
          <t>N17</t>
        </is>
      </c>
      <c r="C267" t="n">
        <v>17</v>
      </c>
      <c r="D267" t="n">
        <v>14</v>
      </c>
      <c r="E267" t="inlineStr">
        <is>
          <t>Output</t>
        </is>
      </c>
      <c r="F267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67" t="n">
        <v>180</v>
      </c>
      <c r="H267" t="inlineStr"/>
      <c r="I267" t="inlineStr">
        <is>
          <t>"$"#,##0.00_);[Red]\("$"#,##0.00\)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inlineStr">
        <is>
          <t>G000037</t>
        </is>
      </c>
      <c r="T267" t="inlineStr">
        <is>
          <t>Vertical</t>
        </is>
      </c>
      <c r="U267" t="n">
        <v>8</v>
      </c>
      <c r="V267" t="b">
        <v>1</v>
      </c>
      <c r="W267" t="inlineStr">
        <is>
          <t>EXPENSE VARIANCES!N12:N19</t>
        </is>
      </c>
      <c r="X267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268">
      <c r="A268" t="inlineStr">
        <is>
          <t>EXPENSE VARIANCES</t>
        </is>
      </c>
      <c r="B268" t="inlineStr">
        <is>
          <t>O17</t>
        </is>
      </c>
      <c r="C268" t="n">
        <v>17</v>
      </c>
      <c r="D268" t="n">
        <v>15</v>
      </c>
      <c r="E268" t="inlineStr">
        <is>
          <t>Output</t>
        </is>
      </c>
      <c r="F268" t="inlineStr">
        <is>
          <t>'=SUM(OfficeVariances[[#This Row],[Jan]:[Dec]])</t>
        </is>
      </c>
      <c r="G268" t="n">
        <v>1080</v>
      </c>
      <c r="H268" t="inlineStr"/>
      <c r="I268" t="inlineStr">
        <is>
          <t>"$"#,##0.00_);[Red]\("$"#,##0.00\)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inlineStr">
        <is>
          <t>G000038</t>
        </is>
      </c>
      <c r="T268" t="inlineStr">
        <is>
          <t>Vertical</t>
        </is>
      </c>
      <c r="U268" t="n">
        <v>8</v>
      </c>
      <c r="V268" t="b">
        <v>1</v>
      </c>
      <c r="W268" t="inlineStr">
        <is>
          <t>EXPENSE VARIANCES!O12:O19</t>
        </is>
      </c>
      <c r="X268">
        <f>SUM(OfficeVariances[[#This Row],[Jan]:[Dec]])</f>
        <v/>
      </c>
    </row>
    <row r="269">
      <c r="A269" t="inlineStr">
        <is>
          <t>EXPENSE VARIANCES</t>
        </is>
      </c>
      <c r="B269" t="inlineStr">
        <is>
          <t>P17</t>
        </is>
      </c>
      <c r="C269" t="n">
        <v>17</v>
      </c>
      <c r="D269" t="n">
        <v>16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n">
        <v/>
      </c>
      <c r="P269" t="n">
        <v/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EXPENSE VARIANCES</t>
        </is>
      </c>
      <c r="B270" t="inlineStr">
        <is>
          <t>A18</t>
        </is>
      </c>
      <c r="C270" t="n">
        <v>18</v>
      </c>
      <c r="D270" t="n">
        <v>1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n">
        <v/>
      </c>
      <c r="P270" t="n">
        <v/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EXPENSE VARIANCES</t>
        </is>
      </c>
      <c r="B271" t="inlineStr">
        <is>
          <t>B18</t>
        </is>
      </c>
      <c r="C271" t="n">
        <v>18</v>
      </c>
      <c r="D271" t="n">
        <v>2</v>
      </c>
      <c r="E271" t="inlineStr">
        <is>
          <t>Input</t>
        </is>
      </c>
      <c r="F271" t="n">
        <v/>
      </c>
      <c r="G271" t="inlineStr">
        <is>
          <t>Office supplies</t>
        </is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12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left</t>
        </is>
      </c>
      <c r="P271" t="inlineStr">
        <is>
          <t>center</t>
        </is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EXPENSE VARIANCES</t>
        </is>
      </c>
      <c r="B272" t="inlineStr">
        <is>
          <t>C18</t>
        </is>
      </c>
      <c r="C272" t="n">
        <v>18</v>
      </c>
      <c r="D272" t="n">
        <v>3</v>
      </c>
      <c r="E272" t="inlineStr">
        <is>
          <t>Output</t>
        </is>
      </c>
      <c r="F272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72" t="n">
        <v>-56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inlineStr">
        <is>
          <t>G000026</t>
        </is>
      </c>
      <c r="T272" t="inlineStr">
        <is>
          <t>Vertical</t>
        </is>
      </c>
      <c r="U272" t="n">
        <v>8</v>
      </c>
      <c r="V272" t="b">
        <v>1</v>
      </c>
      <c r="W272" t="inlineStr">
        <is>
          <t>EXPENSE VARIANCES!C12:C19</t>
        </is>
      </c>
      <c r="X272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273">
      <c r="A273" t="inlineStr">
        <is>
          <t>EXPENSE VARIANCES</t>
        </is>
      </c>
      <c r="B273" t="inlineStr">
        <is>
          <t>D18</t>
        </is>
      </c>
      <c r="C273" t="n">
        <v>18</v>
      </c>
      <c r="D273" t="n">
        <v>4</v>
      </c>
      <c r="E273" t="inlineStr">
        <is>
          <t>Output</t>
        </is>
      </c>
      <c r="F273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73" t="n">
        <v>58</v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10</v>
      </c>
      <c r="M273" t="inlineStr">
        <is>
          <t>Values must be of type &lt;class 'str'&gt;</t>
        </is>
      </c>
      <c r="N273" t="inlineStr">
        <is>
          <t>Values must be of type &lt;class 'str'&gt;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inlineStr">
        <is>
          <t>G000027</t>
        </is>
      </c>
      <c r="T273" t="inlineStr">
        <is>
          <t>Vertical</t>
        </is>
      </c>
      <c r="U273" t="n">
        <v>8</v>
      </c>
      <c r="V273" t="b">
        <v>1</v>
      </c>
      <c r="W273" t="inlineStr">
        <is>
          <t>EXPENSE VARIANCES!D12:D19</t>
        </is>
      </c>
      <c r="X273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274">
      <c r="A274" t="inlineStr">
        <is>
          <t>EXPENSE VARIANCES</t>
        </is>
      </c>
      <c r="B274" t="inlineStr">
        <is>
          <t>E18</t>
        </is>
      </c>
      <c r="C274" t="n">
        <v>18</v>
      </c>
      <c r="D274" t="n">
        <v>5</v>
      </c>
      <c r="E274" t="inlineStr">
        <is>
          <t>Output</t>
        </is>
      </c>
      <c r="F274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74" t="n">
        <v>40</v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10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inlineStr">
        <is>
          <t>G000028</t>
        </is>
      </c>
      <c r="T274" t="inlineStr">
        <is>
          <t>Vertical</t>
        </is>
      </c>
      <c r="U274" t="n">
        <v>8</v>
      </c>
      <c r="V274" t="b">
        <v>1</v>
      </c>
      <c r="W274" t="inlineStr">
        <is>
          <t>EXPENSE VARIANCES!E12:E19</t>
        </is>
      </c>
      <c r="X274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275">
      <c r="A275" t="inlineStr">
        <is>
          <t>EXPENSE VARIANCES</t>
        </is>
      </c>
      <c r="B275" t="inlineStr">
        <is>
          <t>F18</t>
        </is>
      </c>
      <c r="C275" t="n">
        <v>18</v>
      </c>
      <c r="D275" t="n">
        <v>6</v>
      </c>
      <c r="E275" t="inlineStr">
        <is>
          <t>Output</t>
        </is>
      </c>
      <c r="F275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75" t="n">
        <v>-21</v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G000029</t>
        </is>
      </c>
      <c r="T275" t="inlineStr">
        <is>
          <t>Vertical</t>
        </is>
      </c>
      <c r="U275" t="n">
        <v>8</v>
      </c>
      <c r="V275" t="b">
        <v>1</v>
      </c>
      <c r="W275" t="inlineStr">
        <is>
          <t>EXPENSE VARIANCES!F12:F19</t>
        </is>
      </c>
      <c r="X275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276">
      <c r="A276" t="inlineStr">
        <is>
          <t>EXPENSE VARIANCES</t>
        </is>
      </c>
      <c r="B276" t="inlineStr">
        <is>
          <t>G18</t>
        </is>
      </c>
      <c r="C276" t="n">
        <v>18</v>
      </c>
      <c r="D276" t="n">
        <v>7</v>
      </c>
      <c r="E276" t="inlineStr">
        <is>
          <t>Output</t>
        </is>
      </c>
      <c r="F276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76" t="n">
        <v>-56</v>
      </c>
      <c r="H276" t="inlineStr"/>
      <c r="I276" t="inlineStr">
        <is>
          <t>"$"#,##0.00_);[Red]\("$"#,##0.00\)</t>
        </is>
      </c>
      <c r="J276" t="b">
        <v>0</v>
      </c>
      <c r="K276" t="b">
        <v>0</v>
      </c>
      <c r="L276" t="n">
        <v>10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center</t>
        </is>
      </c>
      <c r="P276" t="inlineStr">
        <is>
          <t>center</t>
        </is>
      </c>
      <c r="R276" t="b">
        <v>1</v>
      </c>
      <c r="S276" t="inlineStr">
        <is>
          <t>G000030</t>
        </is>
      </c>
      <c r="T276" t="inlineStr">
        <is>
          <t>Vertical</t>
        </is>
      </c>
      <c r="U276" t="n">
        <v>8</v>
      </c>
      <c r="V276" t="b">
        <v>1</v>
      </c>
      <c r="W276" t="inlineStr">
        <is>
          <t>EXPENSE VARIANCES!G12:G19</t>
        </is>
      </c>
      <c r="X276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277">
      <c r="A277" t="inlineStr">
        <is>
          <t>EXPENSE VARIANCES</t>
        </is>
      </c>
      <c r="B277" t="inlineStr">
        <is>
          <t>H18</t>
        </is>
      </c>
      <c r="C277" t="n">
        <v>18</v>
      </c>
      <c r="D277" t="n">
        <v>8</v>
      </c>
      <c r="E277" t="inlineStr">
        <is>
          <t>Output</t>
        </is>
      </c>
      <c r="F277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77" t="n">
        <v>-40</v>
      </c>
      <c r="H277" t="inlineStr"/>
      <c r="I277" t="inlineStr">
        <is>
          <t>"$"#,##0.00_);[Red]\("$"#,##0.00\)</t>
        </is>
      </c>
      <c r="J277" t="b">
        <v>0</v>
      </c>
      <c r="K277" t="b">
        <v>0</v>
      </c>
      <c r="L277" t="n">
        <v>10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P277" t="inlineStr">
        <is>
          <t>center</t>
        </is>
      </c>
      <c r="R277" t="b">
        <v>1</v>
      </c>
      <c r="S277" t="inlineStr">
        <is>
          <t>G000031</t>
        </is>
      </c>
      <c r="T277" t="inlineStr">
        <is>
          <t>Vertical</t>
        </is>
      </c>
      <c r="U277" t="n">
        <v>8</v>
      </c>
      <c r="V277" t="b">
        <v>1</v>
      </c>
      <c r="W277" t="inlineStr">
        <is>
          <t>EXPENSE VARIANCES!H12:H19</t>
        </is>
      </c>
      <c r="X277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278">
      <c r="A278" t="inlineStr">
        <is>
          <t>EXPENSE VARIANCES</t>
        </is>
      </c>
      <c r="B278" t="inlineStr">
        <is>
          <t>I18</t>
        </is>
      </c>
      <c r="C278" t="n">
        <v>18</v>
      </c>
      <c r="D278" t="n">
        <v>9</v>
      </c>
      <c r="E278" t="inlineStr">
        <is>
          <t>Output</t>
        </is>
      </c>
      <c r="F278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78" t="n">
        <v>200</v>
      </c>
      <c r="H278" t="inlineStr"/>
      <c r="I278" t="inlineStr">
        <is>
          <t>"$"#,##0.00_);[Red]\("$"#,##0.00\)</t>
        </is>
      </c>
      <c r="J278" t="b">
        <v>0</v>
      </c>
      <c r="K278" t="b">
        <v>0</v>
      </c>
      <c r="L278" t="n">
        <v>10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P278" t="inlineStr">
        <is>
          <t>center</t>
        </is>
      </c>
      <c r="R278" t="b">
        <v>1</v>
      </c>
      <c r="S278" t="inlineStr">
        <is>
          <t>G000032</t>
        </is>
      </c>
      <c r="T278" t="inlineStr">
        <is>
          <t>Vertical</t>
        </is>
      </c>
      <c r="U278" t="n">
        <v>8</v>
      </c>
      <c r="V278" t="b">
        <v>1</v>
      </c>
      <c r="W278" t="inlineStr">
        <is>
          <t>EXPENSE VARIANCES!I12:I19</t>
        </is>
      </c>
      <c r="X278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279">
      <c r="A279" t="inlineStr">
        <is>
          <t>EXPENSE VARIANCES</t>
        </is>
      </c>
      <c r="B279" t="inlineStr">
        <is>
          <t>J18</t>
        </is>
      </c>
      <c r="C279" t="n">
        <v>18</v>
      </c>
      <c r="D279" t="n">
        <v>10</v>
      </c>
      <c r="E279" t="inlineStr">
        <is>
          <t>Output</t>
        </is>
      </c>
      <c r="F279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79" t="n">
        <v>200</v>
      </c>
      <c r="H279" t="inlineStr"/>
      <c r="I279" t="inlineStr">
        <is>
          <t>"$"#,##0.00_);[Red]\("$"#,##0.00\)</t>
        </is>
      </c>
      <c r="J279" t="b">
        <v>0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inlineStr">
        <is>
          <t>center</t>
        </is>
      </c>
      <c r="R279" t="b">
        <v>1</v>
      </c>
      <c r="S279" t="inlineStr">
        <is>
          <t>G000033</t>
        </is>
      </c>
      <c r="T279" t="inlineStr">
        <is>
          <t>Vertical</t>
        </is>
      </c>
      <c r="U279" t="n">
        <v>8</v>
      </c>
      <c r="V279" t="b">
        <v>1</v>
      </c>
      <c r="W279" t="inlineStr">
        <is>
          <t>EXPENSE VARIANCES!J12:J19</t>
        </is>
      </c>
      <c r="X279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80">
      <c r="A280" t="inlineStr">
        <is>
          <t>EXPENSE VARIANCES</t>
        </is>
      </c>
      <c r="B280" t="inlineStr">
        <is>
          <t>K18</t>
        </is>
      </c>
      <c r="C280" t="n">
        <v>18</v>
      </c>
      <c r="D280" t="n">
        <v>11</v>
      </c>
      <c r="E280" t="inlineStr">
        <is>
          <t>Output</t>
        </is>
      </c>
      <c r="F280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80" t="n">
        <v>200</v>
      </c>
      <c r="H280" t="inlineStr"/>
      <c r="I280" t="inlineStr">
        <is>
          <t>"$"#,##0.00_);[Red]\("$"#,##0.00\)</t>
        </is>
      </c>
      <c r="J280" t="b">
        <v>0</v>
      </c>
      <c r="K280" t="b">
        <v>0</v>
      </c>
      <c r="L280" t="n">
        <v>10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P280" t="inlineStr">
        <is>
          <t>center</t>
        </is>
      </c>
      <c r="R280" t="b">
        <v>1</v>
      </c>
      <c r="S280" t="inlineStr">
        <is>
          <t>G000034</t>
        </is>
      </c>
      <c r="T280" t="inlineStr">
        <is>
          <t>Vertical</t>
        </is>
      </c>
      <c r="U280" t="n">
        <v>8</v>
      </c>
      <c r="V280" t="b">
        <v>1</v>
      </c>
      <c r="W280" t="inlineStr">
        <is>
          <t>EXPENSE VARIANCES!K12:K19</t>
        </is>
      </c>
      <c r="X280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81">
      <c r="A281" t="inlineStr">
        <is>
          <t>EXPENSE VARIANCES</t>
        </is>
      </c>
      <c r="B281" t="inlineStr">
        <is>
          <t>L18</t>
        </is>
      </c>
      <c r="C281" t="n">
        <v>18</v>
      </c>
      <c r="D281" t="n">
        <v>12</v>
      </c>
      <c r="E281" t="inlineStr">
        <is>
          <t>Output</t>
        </is>
      </c>
      <c r="F281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81" t="n">
        <v>200</v>
      </c>
      <c r="H281" t="inlineStr"/>
      <c r="I281" t="inlineStr">
        <is>
          <t>"$"#,##0.00_);[Red]\("$"#,##0.00\)</t>
        </is>
      </c>
      <c r="J281" t="b">
        <v>0</v>
      </c>
      <c r="K281" t="b">
        <v>0</v>
      </c>
      <c r="L281" t="n">
        <v>10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inlineStr">
        <is>
          <t>G000035</t>
        </is>
      </c>
      <c r="T281" t="inlineStr">
        <is>
          <t>Vertical</t>
        </is>
      </c>
      <c r="U281" t="n">
        <v>8</v>
      </c>
      <c r="V281" t="b">
        <v>1</v>
      </c>
      <c r="W281" t="inlineStr">
        <is>
          <t>EXPENSE VARIANCES!L12:L19</t>
        </is>
      </c>
      <c r="X281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82">
      <c r="A282" t="inlineStr">
        <is>
          <t>EXPENSE VARIANCES</t>
        </is>
      </c>
      <c r="B282" t="inlineStr">
        <is>
          <t>M18</t>
        </is>
      </c>
      <c r="C282" t="n">
        <v>18</v>
      </c>
      <c r="D282" t="n">
        <v>13</v>
      </c>
      <c r="E282" t="inlineStr">
        <is>
          <t>Output</t>
        </is>
      </c>
      <c r="F282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82" t="n">
        <v>200</v>
      </c>
      <c r="H282" t="inlineStr"/>
      <c r="I282" t="inlineStr">
        <is>
          <t>"$"#,##0.00_);[Red]\("$"#,##0.00\)</t>
        </is>
      </c>
      <c r="J282" t="b">
        <v>0</v>
      </c>
      <c r="K282" t="b">
        <v>0</v>
      </c>
      <c r="L282" t="n">
        <v>10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inlineStr">
        <is>
          <t>G000036</t>
        </is>
      </c>
      <c r="T282" t="inlineStr">
        <is>
          <t>Vertical</t>
        </is>
      </c>
      <c r="U282" t="n">
        <v>8</v>
      </c>
      <c r="V282" t="b">
        <v>1</v>
      </c>
      <c r="W282" t="inlineStr">
        <is>
          <t>EXPENSE VARIANCES!M12:M19</t>
        </is>
      </c>
      <c r="X282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83">
      <c r="A283" t="inlineStr">
        <is>
          <t>EXPENSE VARIANCES</t>
        </is>
      </c>
      <c r="B283" t="inlineStr">
        <is>
          <t>N18</t>
        </is>
      </c>
      <c r="C283" t="n">
        <v>18</v>
      </c>
      <c r="D283" t="n">
        <v>14</v>
      </c>
      <c r="E283" t="inlineStr">
        <is>
          <t>Output</t>
        </is>
      </c>
      <c r="F283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83" t="n">
        <v>200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inlineStr">
        <is>
          <t>G000037</t>
        </is>
      </c>
      <c r="T283" t="inlineStr">
        <is>
          <t>Vertical</t>
        </is>
      </c>
      <c r="U283" t="n">
        <v>8</v>
      </c>
      <c r="V283" t="b">
        <v>1</v>
      </c>
      <c r="W283" t="inlineStr">
        <is>
          <t>EXPENSE VARIANCES!N12:N19</t>
        </is>
      </c>
      <c r="X283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284">
      <c r="A284" t="inlineStr">
        <is>
          <t>EXPENSE VARIANCES</t>
        </is>
      </c>
      <c r="B284" t="inlineStr">
        <is>
          <t>O18</t>
        </is>
      </c>
      <c r="C284" t="n">
        <v>18</v>
      </c>
      <c r="D284" t="n">
        <v>15</v>
      </c>
      <c r="E284" t="inlineStr">
        <is>
          <t>Output</t>
        </is>
      </c>
      <c r="F284" t="inlineStr">
        <is>
          <t>'=SUM(OfficeVariances[[#This Row],[Jan]:[Dec]])</t>
        </is>
      </c>
      <c r="G284" t="n">
        <v>1125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inlineStr">
        <is>
          <t>G000038</t>
        </is>
      </c>
      <c r="T284" t="inlineStr">
        <is>
          <t>Vertical</t>
        </is>
      </c>
      <c r="U284" t="n">
        <v>8</v>
      </c>
      <c r="V284" t="b">
        <v>1</v>
      </c>
      <c r="W284" t="inlineStr">
        <is>
          <t>EXPENSE VARIANCES!O12:O19</t>
        </is>
      </c>
      <c r="X284">
        <f>SUM(OfficeVariances[[#This Row],[Jan]:[Dec]])</f>
        <v/>
      </c>
    </row>
    <row r="285">
      <c r="A285" t="inlineStr">
        <is>
          <t>EXPENSE VARIANCES</t>
        </is>
      </c>
      <c r="B285" t="inlineStr">
        <is>
          <t>P18</t>
        </is>
      </c>
      <c r="C285" t="n">
        <v>18</v>
      </c>
      <c r="D285" t="n">
        <v>16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14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n">
        <v/>
      </c>
      <c r="P285" t="n">
        <v/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EXPENSE VARIANCES</t>
        </is>
      </c>
      <c r="B286" t="inlineStr">
        <is>
          <t>A19</t>
        </is>
      </c>
      <c r="C286" t="n">
        <v>19</v>
      </c>
      <c r="D286" t="n">
        <v>1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14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EXPENSE VARIANCES</t>
        </is>
      </c>
      <c r="B287" t="inlineStr">
        <is>
          <t>B19</t>
        </is>
      </c>
      <c r="C287" t="n">
        <v>19</v>
      </c>
      <c r="D287" t="n">
        <v>2</v>
      </c>
      <c r="E287" t="inlineStr">
        <is>
          <t>Input</t>
        </is>
      </c>
      <c r="F287" t="n">
        <v/>
      </c>
      <c r="G287" t="inlineStr">
        <is>
          <t>Security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12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left</t>
        </is>
      </c>
      <c r="P287" t="inlineStr">
        <is>
          <t>center</t>
        </is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EXPENSE VARIANCES</t>
        </is>
      </c>
      <c r="B288" t="inlineStr">
        <is>
          <t>C19</t>
        </is>
      </c>
      <c r="C288" t="n">
        <v>19</v>
      </c>
      <c r="D288" t="n">
        <v>3</v>
      </c>
      <c r="E288" t="inlineStr">
        <is>
          <t>Output</t>
        </is>
      </c>
      <c r="F288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88" t="n">
        <v>0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inlineStr">
        <is>
          <t>G000026</t>
        </is>
      </c>
      <c r="T288" t="inlineStr">
        <is>
          <t>Vertical</t>
        </is>
      </c>
      <c r="U288" t="n">
        <v>8</v>
      </c>
      <c r="V288" t="b">
        <v>1</v>
      </c>
      <c r="W288" t="inlineStr">
        <is>
          <t>EXPENSE VARIANCES!C12:C19</t>
        </is>
      </c>
      <c r="X288">
        <f>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f>
        <v/>
      </c>
    </row>
    <row r="289">
      <c r="A289" t="inlineStr">
        <is>
          <t>EXPENSE VARIANCES</t>
        </is>
      </c>
      <c r="B289" t="inlineStr">
        <is>
          <t>D19</t>
        </is>
      </c>
      <c r="C289" t="n">
        <v>19</v>
      </c>
      <c r="D289" t="n">
        <v>4</v>
      </c>
      <c r="E289" t="inlineStr">
        <is>
          <t>Output</t>
        </is>
      </c>
      <c r="F289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89" t="n">
        <v>0</v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10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inlineStr">
        <is>
          <t>G000027</t>
        </is>
      </c>
      <c r="T289" t="inlineStr">
        <is>
          <t>Vertical</t>
        </is>
      </c>
      <c r="U289" t="n">
        <v>8</v>
      </c>
      <c r="V289" t="b">
        <v>1</v>
      </c>
      <c r="W289" t="inlineStr">
        <is>
          <t>EXPENSE VARIANCES!D12:D19</t>
        </is>
      </c>
      <c r="X289">
        <f>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f>
        <v/>
      </c>
    </row>
    <row r="290">
      <c r="A290" t="inlineStr">
        <is>
          <t>EXPENSE VARIANCES</t>
        </is>
      </c>
      <c r="B290" t="inlineStr">
        <is>
          <t>E19</t>
        </is>
      </c>
      <c r="C290" t="n">
        <v>19</v>
      </c>
      <c r="D290" t="n">
        <v>5</v>
      </c>
      <c r="E290" t="inlineStr">
        <is>
          <t>Output</t>
        </is>
      </c>
      <c r="F290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90" t="n">
        <v>0</v>
      </c>
      <c r="H290" t="inlineStr"/>
      <c r="I290" t="inlineStr">
        <is>
          <t>"$"#,##0.00_);[Red]\("$"#,##0.00\)</t>
        </is>
      </c>
      <c r="J290" t="b">
        <v>0</v>
      </c>
      <c r="K290" t="b">
        <v>0</v>
      </c>
      <c r="L290" t="n">
        <v>10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inlineStr">
        <is>
          <t>G000028</t>
        </is>
      </c>
      <c r="T290" t="inlineStr">
        <is>
          <t>Vertical</t>
        </is>
      </c>
      <c r="U290" t="n">
        <v>8</v>
      </c>
      <c r="V290" t="b">
        <v>1</v>
      </c>
      <c r="W290" t="inlineStr">
        <is>
          <t>EXPENSE VARIANCES!E12:E19</t>
        </is>
      </c>
      <c r="X290">
        <f>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f>
        <v/>
      </c>
    </row>
    <row r="291">
      <c r="A291" t="inlineStr">
        <is>
          <t>EXPENSE VARIANCES</t>
        </is>
      </c>
      <c r="B291" t="inlineStr">
        <is>
          <t>F19</t>
        </is>
      </c>
      <c r="C291" t="n">
        <v>19</v>
      </c>
      <c r="D291" t="n">
        <v>6</v>
      </c>
      <c r="E291" t="inlineStr">
        <is>
          <t>Output</t>
        </is>
      </c>
      <c r="F291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91" t="n">
        <v>0</v>
      </c>
      <c r="H291" t="inlineStr"/>
      <c r="I291" t="inlineStr">
        <is>
          <t>"$"#,##0.00_);[Red]\("$"#,##0.00\)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inlineStr">
        <is>
          <t>G000029</t>
        </is>
      </c>
      <c r="T291" t="inlineStr">
        <is>
          <t>Vertical</t>
        </is>
      </c>
      <c r="U291" t="n">
        <v>8</v>
      </c>
      <c r="V291" t="b">
        <v>1</v>
      </c>
      <c r="W291" t="inlineStr">
        <is>
          <t>EXPENSE VARIANCES!F12:F19</t>
        </is>
      </c>
      <c r="X291">
        <f>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f>
        <v/>
      </c>
    </row>
    <row r="292">
      <c r="A292" t="inlineStr">
        <is>
          <t>EXPENSE VARIANCES</t>
        </is>
      </c>
      <c r="B292" t="inlineStr">
        <is>
          <t>G19</t>
        </is>
      </c>
      <c r="C292" t="n">
        <v>19</v>
      </c>
      <c r="D292" t="n">
        <v>7</v>
      </c>
      <c r="E292" t="inlineStr">
        <is>
          <t>Output</t>
        </is>
      </c>
      <c r="F292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92" t="n">
        <v>0</v>
      </c>
      <c r="H292" t="inlineStr"/>
      <c r="I292" t="inlineStr">
        <is>
          <t>"$"#,##0.00_);[Red]\("$"#,##0.00\)</t>
        </is>
      </c>
      <c r="J292" t="b">
        <v>0</v>
      </c>
      <c r="K292" t="b">
        <v>0</v>
      </c>
      <c r="L292" t="n">
        <v>10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center</t>
        </is>
      </c>
      <c r="P292" t="inlineStr">
        <is>
          <t>center</t>
        </is>
      </c>
      <c r="R292" t="b">
        <v>1</v>
      </c>
      <c r="S292" t="inlineStr">
        <is>
          <t>G000030</t>
        </is>
      </c>
      <c r="T292" t="inlineStr">
        <is>
          <t>Vertical</t>
        </is>
      </c>
      <c r="U292" t="n">
        <v>8</v>
      </c>
      <c r="V292" t="b">
        <v>1</v>
      </c>
      <c r="W292" t="inlineStr">
        <is>
          <t>EXPENSE VARIANCES!G12:G19</t>
        </is>
      </c>
      <c r="X292">
        <f>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f>
        <v/>
      </c>
    </row>
    <row r="293">
      <c r="A293" t="inlineStr">
        <is>
          <t>EXPENSE VARIANCES</t>
        </is>
      </c>
      <c r="B293" t="inlineStr">
        <is>
          <t>H19</t>
        </is>
      </c>
      <c r="C293" t="n">
        <v>19</v>
      </c>
      <c r="D293" t="n">
        <v>8</v>
      </c>
      <c r="E293" t="inlineStr">
        <is>
          <t>Output</t>
        </is>
      </c>
      <c r="F293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93" t="n">
        <v>0</v>
      </c>
      <c r="H293" t="inlineStr"/>
      <c r="I293" t="inlineStr">
        <is>
          <t>"$"#,##0.00_);[Red]\("$"#,##0.00\)</t>
        </is>
      </c>
      <c r="J293" t="b">
        <v>0</v>
      </c>
      <c r="K293" t="b">
        <v>0</v>
      </c>
      <c r="L293" t="n">
        <v>10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inlineStr">
        <is>
          <t>G000031</t>
        </is>
      </c>
      <c r="T293" t="inlineStr">
        <is>
          <t>Vertical</t>
        </is>
      </c>
      <c r="U293" t="n">
        <v>8</v>
      </c>
      <c r="V293" t="b">
        <v>1</v>
      </c>
      <c r="W293" t="inlineStr">
        <is>
          <t>EXPENSE VARIANCES!H12:H19</t>
        </is>
      </c>
      <c r="X293">
        <f>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f>
        <v/>
      </c>
    </row>
    <row r="294">
      <c r="A294" t="inlineStr">
        <is>
          <t>EXPENSE VARIANCES</t>
        </is>
      </c>
      <c r="B294" t="inlineStr">
        <is>
          <t>I19</t>
        </is>
      </c>
      <c r="C294" t="n">
        <v>19</v>
      </c>
      <c r="D294" t="n">
        <v>9</v>
      </c>
      <c r="E294" t="inlineStr">
        <is>
          <t>Output</t>
        </is>
      </c>
      <c r="F294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94" t="n">
        <v>600</v>
      </c>
      <c r="H294" t="inlineStr"/>
      <c r="I294" t="inlineStr">
        <is>
          <t>"$"#,##0.00_);[Red]\("$"#,##0.00\)</t>
        </is>
      </c>
      <c r="J294" t="b">
        <v>0</v>
      </c>
      <c r="K294" t="b">
        <v>0</v>
      </c>
      <c r="L294" t="n">
        <v>10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inlineStr">
        <is>
          <t>G000032</t>
        </is>
      </c>
      <c r="T294" t="inlineStr">
        <is>
          <t>Vertical</t>
        </is>
      </c>
      <c r="U294" t="n">
        <v>8</v>
      </c>
      <c r="V294" t="b">
        <v>1</v>
      </c>
      <c r="W294" t="inlineStr">
        <is>
          <t>EXPENSE VARIANCES!I12:I19</t>
        </is>
      </c>
      <c r="X294">
        <f>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f>
        <v/>
      </c>
    </row>
    <row r="295">
      <c r="A295" t="inlineStr">
        <is>
          <t>EXPENSE VARIANCES</t>
        </is>
      </c>
      <c r="B295" t="inlineStr">
        <is>
          <t>J19</t>
        </is>
      </c>
      <c r="C295" t="n">
        <v>19</v>
      </c>
      <c r="D295" t="n">
        <v>10</v>
      </c>
      <c r="E295" t="inlineStr">
        <is>
          <t>Output</t>
        </is>
      </c>
      <c r="F295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95" t="n">
        <v>600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G000033</t>
        </is>
      </c>
      <c r="T295" t="inlineStr">
        <is>
          <t>Vertical</t>
        </is>
      </c>
      <c r="U295" t="n">
        <v>8</v>
      </c>
      <c r="V295" t="b">
        <v>1</v>
      </c>
      <c r="W295" t="inlineStr">
        <is>
          <t>EXPENSE VARIANCES!J12:J19</t>
        </is>
      </c>
      <c r="X295">
        <f>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f>
        <v/>
      </c>
    </row>
    <row r="296">
      <c r="A296" t="inlineStr">
        <is>
          <t>EXPENSE VARIANCES</t>
        </is>
      </c>
      <c r="B296" t="inlineStr">
        <is>
          <t>K19</t>
        </is>
      </c>
      <c r="C296" t="n">
        <v>19</v>
      </c>
      <c r="D296" t="n">
        <v>11</v>
      </c>
      <c r="E296" t="inlineStr">
        <is>
          <t>Output</t>
        </is>
      </c>
      <c r="F296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96" t="n">
        <v>600</v>
      </c>
      <c r="H296" t="inlineStr"/>
      <c r="I296" t="inlineStr">
        <is>
          <t>"$"#,##0.00_);[Red]\("$"#,##0.00\)</t>
        </is>
      </c>
      <c r="J296" t="b">
        <v>0</v>
      </c>
      <c r="K296" t="b">
        <v>0</v>
      </c>
      <c r="L296" t="n">
        <v>10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inlineStr">
        <is>
          <t>G000034</t>
        </is>
      </c>
      <c r="T296" t="inlineStr">
        <is>
          <t>Vertical</t>
        </is>
      </c>
      <c r="U296" t="n">
        <v>8</v>
      </c>
      <c r="V296" t="b">
        <v>1</v>
      </c>
      <c r="W296" t="inlineStr">
        <is>
          <t>EXPENSE VARIANCES!K12:K19</t>
        </is>
      </c>
      <c r="X296">
        <f>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f>
        <v/>
      </c>
    </row>
    <row r="297">
      <c r="A297" t="inlineStr">
        <is>
          <t>EXPENSE VARIANCES</t>
        </is>
      </c>
      <c r="B297" t="inlineStr">
        <is>
          <t>L19</t>
        </is>
      </c>
      <c r="C297" t="n">
        <v>19</v>
      </c>
      <c r="D297" t="n">
        <v>12</v>
      </c>
      <c r="E297" t="inlineStr">
        <is>
          <t>Output</t>
        </is>
      </c>
      <c r="F297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97" t="n">
        <v>600</v>
      </c>
      <c r="H297" t="inlineStr"/>
      <c r="I297" t="inlineStr">
        <is>
          <t>"$"#,##0.00_);[Red]\("$"#,##0.00\)</t>
        </is>
      </c>
      <c r="J297" t="b">
        <v>0</v>
      </c>
      <c r="K297" t="b">
        <v>0</v>
      </c>
      <c r="L297" t="n">
        <v>10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inlineStr">
        <is>
          <t>G000035</t>
        </is>
      </c>
      <c r="T297" t="inlineStr">
        <is>
          <t>Vertical</t>
        </is>
      </c>
      <c r="U297" t="n">
        <v>8</v>
      </c>
      <c r="V297" t="b">
        <v>1</v>
      </c>
      <c r="W297" t="inlineStr">
        <is>
          <t>EXPENSE VARIANCES!L12:L19</t>
        </is>
      </c>
      <c r="X297">
        <f>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f>
        <v/>
      </c>
    </row>
    <row r="298">
      <c r="A298" t="inlineStr">
        <is>
          <t>EXPENSE VARIANCES</t>
        </is>
      </c>
      <c r="B298" t="inlineStr">
        <is>
          <t>M19</t>
        </is>
      </c>
      <c r="C298" t="n">
        <v>19</v>
      </c>
      <c r="D298" t="n">
        <v>13</v>
      </c>
      <c r="E298" t="inlineStr">
        <is>
          <t>Output</t>
        </is>
      </c>
      <c r="F298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98" t="n">
        <v>600</v>
      </c>
      <c r="H298" t="inlineStr"/>
      <c r="I298" t="inlineStr">
        <is>
          <t>"$"#,##0.00_);[Red]\("$"#,##0.00\)</t>
        </is>
      </c>
      <c r="J298" t="b">
        <v>0</v>
      </c>
      <c r="K298" t="b">
        <v>0</v>
      </c>
      <c r="L298" t="n">
        <v>10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inlineStr">
        <is>
          <t>G000036</t>
        </is>
      </c>
      <c r="T298" t="inlineStr">
        <is>
          <t>Vertical</t>
        </is>
      </c>
      <c r="U298" t="n">
        <v>8</v>
      </c>
      <c r="V298" t="b">
        <v>1</v>
      </c>
      <c r="W298" t="inlineStr">
        <is>
          <t>EXPENSE VARIANCES!M12:M19</t>
        </is>
      </c>
      <c r="X298">
        <f>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f>
        <v/>
      </c>
    </row>
    <row r="299">
      <c r="A299" t="inlineStr">
        <is>
          <t>EXPENSE VARIANCES</t>
        </is>
      </c>
      <c r="B299" t="inlineStr">
        <is>
          <t>N19</t>
        </is>
      </c>
      <c r="C299" t="n">
        <v>19</v>
      </c>
      <c r="D299" t="n">
        <v>14</v>
      </c>
      <c r="E299" t="inlineStr">
        <is>
          <t>Output</t>
        </is>
      </c>
      <c r="F299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99" t="n">
        <v>600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G000037</t>
        </is>
      </c>
      <c r="T299" t="inlineStr">
        <is>
          <t>Vertical</t>
        </is>
      </c>
      <c r="U299" t="n">
        <v>8</v>
      </c>
      <c r="V299" t="b">
        <v>1</v>
      </c>
      <c r="W299" t="inlineStr">
        <is>
          <t>EXPENSE VARIANCES!N12:N19</t>
        </is>
      </c>
      <c r="X299">
        <f>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f>
        <v/>
      </c>
    </row>
    <row r="300">
      <c r="A300" t="inlineStr">
        <is>
          <t>EXPENSE VARIANCES</t>
        </is>
      </c>
      <c r="B300" t="inlineStr">
        <is>
          <t>O19</t>
        </is>
      </c>
      <c r="C300" t="n">
        <v>19</v>
      </c>
      <c r="D300" t="n">
        <v>15</v>
      </c>
      <c r="E300" t="inlineStr">
        <is>
          <t>Output</t>
        </is>
      </c>
      <c r="F300" t="inlineStr">
        <is>
          <t>'=SUM(OfficeVariances[[#This Row],[Jan]:[Dec]])</t>
        </is>
      </c>
      <c r="G300" t="n">
        <v>3600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G000038</t>
        </is>
      </c>
      <c r="T300" t="inlineStr">
        <is>
          <t>Vertical</t>
        </is>
      </c>
      <c r="U300" t="n">
        <v>8</v>
      </c>
      <c r="V300" t="b">
        <v>1</v>
      </c>
      <c r="W300" t="inlineStr">
        <is>
          <t>EXPENSE VARIANCES!O12:O19</t>
        </is>
      </c>
      <c r="X300">
        <f>SUM(OfficeVariances[[#This Row],[Jan]:[Dec]])</f>
        <v/>
      </c>
    </row>
    <row r="301">
      <c r="A301" t="inlineStr">
        <is>
          <t>EXPENSE VARIANCES</t>
        </is>
      </c>
      <c r="B301" t="inlineStr">
        <is>
          <t>P19</t>
        </is>
      </c>
      <c r="C301" t="n">
        <v>19</v>
      </c>
      <c r="D301" t="n">
        <v>16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14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n">
        <v/>
      </c>
      <c r="P301" t="n">
        <v/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EXPENSE VARIANCES</t>
        </is>
      </c>
      <c r="B302" t="inlineStr">
        <is>
          <t>A20</t>
        </is>
      </c>
      <c r="C302" t="n">
        <v>20</v>
      </c>
      <c r="D302" t="n">
        <v>1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n">
        <v/>
      </c>
      <c r="P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EXPENSE VARIANCES</t>
        </is>
      </c>
      <c r="B303" t="inlineStr">
        <is>
          <t>B20</t>
        </is>
      </c>
      <c r="C303" t="n">
        <v>20</v>
      </c>
      <c r="D303" t="n">
        <v>2</v>
      </c>
      <c r="E303" t="inlineStr">
        <is>
          <t>Input</t>
        </is>
      </c>
      <c r="F303" t="n">
        <v/>
      </c>
      <c r="G303" t="inlineStr">
        <is>
          <t>Subtotal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12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left</t>
        </is>
      </c>
      <c r="P303" t="inlineStr">
        <is>
          <t>center</t>
        </is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EXPENSE VARIANCES</t>
        </is>
      </c>
      <c r="B304" t="inlineStr">
        <is>
          <t>C20</t>
        </is>
      </c>
      <c r="C304" t="n">
        <v>20</v>
      </c>
      <c r="D304" t="n">
        <v>3</v>
      </c>
      <c r="E304" t="inlineStr">
        <is>
          <t>Output</t>
        </is>
      </c>
      <c r="F304" t="inlineStr">
        <is>
          <t>'=SUBTOTAL(109,OfficeVariances[Jan])</t>
        </is>
      </c>
      <c r="G304" t="n">
        <v>283</v>
      </c>
      <c r="H304" t="inlineStr"/>
      <c r="I304" t="inlineStr">
        <is>
          <t>"$"#,##0.00_);[Red]\("$"#,##0.00\)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>
        <f>SUBTOTAL(109,OfficeVariances[Jan])</f>
        <v/>
      </c>
    </row>
    <row r="305">
      <c r="A305" t="inlineStr">
        <is>
          <t>EXPENSE VARIANCES</t>
        </is>
      </c>
      <c r="B305" t="inlineStr">
        <is>
          <t>D20</t>
        </is>
      </c>
      <c r="C305" t="n">
        <v>20</v>
      </c>
      <c r="D305" t="n">
        <v>4</v>
      </c>
      <c r="E305" t="inlineStr">
        <is>
          <t>Output</t>
        </is>
      </c>
      <c r="F305" t="inlineStr">
        <is>
          <t>'=SUBTOTAL(109,OfficeVariances[Feb])</t>
        </is>
      </c>
      <c r="G305" t="n">
        <v>72</v>
      </c>
      <c r="H305" t="inlineStr"/>
      <c r="I305" t="inlineStr">
        <is>
          <t>"$"#,##0.00_);[Red]\("$"#,##0.00\)</t>
        </is>
      </c>
      <c r="J305" t="b">
        <v>0</v>
      </c>
      <c r="K305" t="b">
        <v>0</v>
      </c>
      <c r="L305" t="n">
        <v>10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>
        <f>SUBTOTAL(109,OfficeVariances[Feb])</f>
        <v/>
      </c>
    </row>
    <row r="306">
      <c r="A306" t="inlineStr">
        <is>
          <t>EXPENSE VARIANCES</t>
        </is>
      </c>
      <c r="B306" t="inlineStr">
        <is>
          <t>E20</t>
        </is>
      </c>
      <c r="C306" t="n">
        <v>20</v>
      </c>
      <c r="D306" t="n">
        <v>5</v>
      </c>
      <c r="E306" t="inlineStr">
        <is>
          <t>Output</t>
        </is>
      </c>
      <c r="F306" t="inlineStr">
        <is>
          <t>'=SUBTOTAL(109,OfficeVariances[Mar])</t>
        </is>
      </c>
      <c r="G306" t="n">
        <v>78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10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>
        <f>SUBTOTAL(109,OfficeVariances[Mar])</f>
        <v/>
      </c>
    </row>
    <row r="307">
      <c r="A307" t="inlineStr">
        <is>
          <t>EXPENSE VARIANCES</t>
        </is>
      </c>
      <c r="B307" t="inlineStr">
        <is>
          <t>F20</t>
        </is>
      </c>
      <c r="C307" t="n">
        <v>20</v>
      </c>
      <c r="D307" t="n">
        <v>6</v>
      </c>
      <c r="E307" t="inlineStr">
        <is>
          <t>Output</t>
        </is>
      </c>
      <c r="F307" t="inlineStr">
        <is>
          <t>'=SUBTOTAL(109,OfficeVariances[Apr])</t>
        </is>
      </c>
      <c r="G307" t="n">
        <v>-141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>
        <f>SUBTOTAL(109,OfficeVariances[Apr])</f>
        <v/>
      </c>
    </row>
    <row r="308">
      <c r="A308" t="inlineStr">
        <is>
          <t>EXPENSE VARIANCES</t>
        </is>
      </c>
      <c r="B308" t="inlineStr">
        <is>
          <t>G20</t>
        </is>
      </c>
      <c r="C308" t="n">
        <v>20</v>
      </c>
      <c r="D308" t="n">
        <v>7</v>
      </c>
      <c r="E308" t="inlineStr">
        <is>
          <t>Output</t>
        </is>
      </c>
      <c r="F308" t="inlineStr">
        <is>
          <t>'=SUBTOTAL(109,OfficeVariances[May])</t>
        </is>
      </c>
      <c r="G308" t="n">
        <v>-38</v>
      </c>
      <c r="H308" t="inlineStr"/>
      <c r="I308" t="inlineStr">
        <is>
          <t>"$"#,##0.00_);[Red]\("$"#,##0.00\)</t>
        </is>
      </c>
      <c r="J308" t="b">
        <v>0</v>
      </c>
      <c r="K308" t="b">
        <v>0</v>
      </c>
      <c r="L308" t="n">
        <v>10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>
        <f>SUBTOTAL(109,OfficeVariances[May])</f>
        <v/>
      </c>
    </row>
    <row r="309">
      <c r="A309" t="inlineStr">
        <is>
          <t>EXPENSE VARIANCES</t>
        </is>
      </c>
      <c r="B309" t="inlineStr">
        <is>
          <t>H20</t>
        </is>
      </c>
      <c r="C309" t="n">
        <v>20</v>
      </c>
      <c r="D309" t="n">
        <v>8</v>
      </c>
      <c r="E309" t="inlineStr">
        <is>
          <t>Output</t>
        </is>
      </c>
      <c r="F309" t="inlineStr">
        <is>
          <t>'=SUBTOTAL(109,OfficeVariances[Jun])</t>
        </is>
      </c>
      <c r="G309" t="n">
        <v>16</v>
      </c>
      <c r="H309" t="inlineStr"/>
      <c r="I309" t="inlineStr">
        <is>
          <t>"$"#,##0.00_);[Red]\("$"#,##0.00\)</t>
        </is>
      </c>
      <c r="J309" t="b">
        <v>0</v>
      </c>
      <c r="K309" t="b">
        <v>0</v>
      </c>
      <c r="L309" t="n">
        <v>10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>
        <f>SUBTOTAL(109,OfficeVariances[Jun])</f>
        <v/>
      </c>
    </row>
    <row r="310">
      <c r="A310" t="inlineStr">
        <is>
          <t>EXPENSE VARIANCES</t>
        </is>
      </c>
      <c r="B310" t="inlineStr">
        <is>
          <t>I20</t>
        </is>
      </c>
      <c r="C310" t="n">
        <v>20</v>
      </c>
      <c r="D310" t="n">
        <v>9</v>
      </c>
      <c r="E310" t="inlineStr">
        <is>
          <t>Output</t>
        </is>
      </c>
      <c r="F310" t="inlineStr">
        <is>
          <t>'=SUBTOTAL(109,OfficeVariances[Jul])</t>
        </is>
      </c>
      <c r="G310" t="n">
        <v>11470</v>
      </c>
      <c r="H310" t="inlineStr"/>
      <c r="I310" t="inlineStr">
        <is>
          <t>"$"#,##0.00_);[Red]\("$"#,##0.00\)</t>
        </is>
      </c>
      <c r="J310" t="b">
        <v>0</v>
      </c>
      <c r="K310" t="b">
        <v>0</v>
      </c>
      <c r="L310" t="n">
        <v>10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>
        <f>SUBTOTAL(109,OfficeVariances[Jul])</f>
        <v/>
      </c>
    </row>
    <row r="311">
      <c r="A311" t="inlineStr">
        <is>
          <t>EXPENSE VARIANCES</t>
        </is>
      </c>
      <c r="B311" t="inlineStr">
        <is>
          <t>J20</t>
        </is>
      </c>
      <c r="C311" t="n">
        <v>20</v>
      </c>
      <c r="D311" t="n">
        <v>10</v>
      </c>
      <c r="E311" t="inlineStr">
        <is>
          <t>Output</t>
        </is>
      </c>
      <c r="F311" t="inlineStr">
        <is>
          <t>'=SUBTOTAL(109,OfficeVariances[Aug])</t>
        </is>
      </c>
      <c r="G311" t="n">
        <v>11470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>
        <f>SUBTOTAL(109,OfficeVariances[Aug])</f>
        <v/>
      </c>
    </row>
    <row r="312">
      <c r="A312" t="inlineStr">
        <is>
          <t>EXPENSE VARIANCES</t>
        </is>
      </c>
      <c r="B312" t="inlineStr">
        <is>
          <t>K20</t>
        </is>
      </c>
      <c r="C312" t="n">
        <v>20</v>
      </c>
      <c r="D312" t="n">
        <v>11</v>
      </c>
      <c r="E312" t="inlineStr">
        <is>
          <t>Output</t>
        </is>
      </c>
      <c r="F312" t="inlineStr">
        <is>
          <t>'=SUBTOTAL(109,OfficeVariances[Sep])</t>
        </is>
      </c>
      <c r="G312" t="n">
        <v>11470</v>
      </c>
      <c r="H312" t="inlineStr"/>
      <c r="I312" t="inlineStr">
        <is>
          <t>"$"#,##0.00_);[Red]\("$"#,##0.00\)</t>
        </is>
      </c>
      <c r="J312" t="b">
        <v>0</v>
      </c>
      <c r="K312" t="b">
        <v>0</v>
      </c>
      <c r="L312" t="n">
        <v>10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>
        <f>SUBTOTAL(109,OfficeVariances[Sep])</f>
        <v/>
      </c>
    </row>
    <row r="313">
      <c r="A313" t="inlineStr">
        <is>
          <t>EXPENSE VARIANCES</t>
        </is>
      </c>
      <c r="B313" t="inlineStr">
        <is>
          <t>L20</t>
        </is>
      </c>
      <c r="C313" t="n">
        <v>20</v>
      </c>
      <c r="D313" t="n">
        <v>12</v>
      </c>
      <c r="E313" t="inlineStr">
        <is>
          <t>Output</t>
        </is>
      </c>
      <c r="F313" t="inlineStr">
        <is>
          <t>'=SUBTOTAL(109,OfficeVariances[Oct])</t>
        </is>
      </c>
      <c r="G313" t="n">
        <v>11470</v>
      </c>
      <c r="H313" t="inlineStr"/>
      <c r="I313" t="inlineStr">
        <is>
          <t>"$"#,##0.00_);[Red]\("$"#,##0.00\)</t>
        </is>
      </c>
      <c r="J313" t="b">
        <v>0</v>
      </c>
      <c r="K313" t="b">
        <v>0</v>
      </c>
      <c r="L313" t="n">
        <v>10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>
        <f>SUBTOTAL(109,OfficeVariances[Oct])</f>
        <v/>
      </c>
    </row>
    <row r="314">
      <c r="A314" t="inlineStr">
        <is>
          <t>EXPENSE VARIANCES</t>
        </is>
      </c>
      <c r="B314" t="inlineStr">
        <is>
          <t>M20</t>
        </is>
      </c>
      <c r="C314" t="n">
        <v>20</v>
      </c>
      <c r="D314" t="n">
        <v>13</v>
      </c>
      <c r="E314" t="inlineStr">
        <is>
          <t>Output</t>
        </is>
      </c>
      <c r="F314" t="inlineStr">
        <is>
          <t>'=SUBTOTAL(109,OfficeVariances[Nov])</t>
        </is>
      </c>
      <c r="G314" t="n">
        <v>11770</v>
      </c>
      <c r="H314" t="inlineStr"/>
      <c r="I314" t="inlineStr">
        <is>
          <t>"$"#,##0.00_);[Red]\("$"#,##0.00\)</t>
        </is>
      </c>
      <c r="J314" t="b">
        <v>0</v>
      </c>
      <c r="K314" t="b">
        <v>0</v>
      </c>
      <c r="L314" t="n">
        <v>10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>
        <f>SUBTOTAL(109,OfficeVariances[Nov])</f>
        <v/>
      </c>
    </row>
    <row r="315">
      <c r="A315" t="inlineStr">
        <is>
          <t>EXPENSE VARIANCES</t>
        </is>
      </c>
      <c r="B315" t="inlineStr">
        <is>
          <t>N20</t>
        </is>
      </c>
      <c r="C315" t="n">
        <v>20</v>
      </c>
      <c r="D315" t="n">
        <v>14</v>
      </c>
      <c r="E315" t="inlineStr">
        <is>
          <t>Output</t>
        </is>
      </c>
      <c r="F315" t="inlineStr">
        <is>
          <t>'=SUBTOTAL(109,OfficeVariances[Dec])</t>
        </is>
      </c>
      <c r="G315" t="n">
        <v>11770</v>
      </c>
      <c r="H315" t="inlineStr"/>
      <c r="I315" t="inlineStr">
        <is>
          <t>"$"#,##0.00_);[Red]\("$"#,##0.00\)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inlineStr">
        <is>
          <t>center</t>
        </is>
      </c>
      <c r="P315" t="inlineStr">
        <is>
          <t>center</t>
        </is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>
        <f>SUBTOTAL(109,OfficeVariances[Dec])</f>
        <v/>
      </c>
    </row>
    <row r="316">
      <c r="A316" t="inlineStr">
        <is>
          <t>EXPENSE VARIANCES</t>
        </is>
      </c>
      <c r="B316" t="inlineStr">
        <is>
          <t>O20</t>
        </is>
      </c>
      <c r="C316" t="n">
        <v>20</v>
      </c>
      <c r="D316" t="n">
        <v>15</v>
      </c>
      <c r="E316" t="inlineStr">
        <is>
          <t>Output</t>
        </is>
      </c>
      <c r="F316" t="inlineStr">
        <is>
          <t>'=SUBTOTAL(109,OfficeVariances[YEAR])</t>
        </is>
      </c>
      <c r="G316" t="n">
        <v>69690</v>
      </c>
      <c r="H316" t="inlineStr"/>
      <c r="I316" t="inlineStr">
        <is>
          <t>"$"#,##0.00_);[Red]\("$"#,##0.00\)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inlineStr">
        <is>
          <t>center</t>
        </is>
      </c>
      <c r="P316" t="inlineStr">
        <is>
          <t>center</t>
        </is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>
        <f>SUBTOTAL(109,OfficeVariances[YEAR])</f>
        <v/>
      </c>
    </row>
    <row r="317">
      <c r="A317" t="inlineStr">
        <is>
          <t>EXPENSE VARIANCES</t>
        </is>
      </c>
      <c r="B317" t="inlineStr">
        <is>
          <t>P20</t>
        </is>
      </c>
      <c r="C317" t="n">
        <v>20</v>
      </c>
      <c r="D317" t="n">
        <v>16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EXPENSE VARIANCES</t>
        </is>
      </c>
      <c r="B318" t="inlineStr">
        <is>
          <t>A21</t>
        </is>
      </c>
      <c r="C318" t="n">
        <v>21</v>
      </c>
      <c r="D318" t="n">
        <v>1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EXPENSE VARIANCES</t>
        </is>
      </c>
      <c r="B319" t="inlineStr">
        <is>
          <t>B21</t>
        </is>
      </c>
      <c r="C319" t="n">
        <v>21</v>
      </c>
      <c r="D319" t="n">
        <v>2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left</t>
        </is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EXPENSE VARIANCES</t>
        </is>
      </c>
      <c r="B320" t="inlineStr">
        <is>
          <t>C21</t>
        </is>
      </c>
      <c r="C320" t="n">
        <v>21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inlineStr">
        <is>
          <t>center</t>
        </is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EXPENSE VARIANCES</t>
        </is>
      </c>
      <c r="B321" t="inlineStr">
        <is>
          <t>D21</t>
        </is>
      </c>
      <c r="C321" t="n">
        <v>21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#,##0_);(#,##0)</t>
        </is>
      </c>
      <c r="J321" t="b">
        <v>0</v>
      </c>
      <c r="K321" t="b">
        <v>0</v>
      </c>
      <c r="L321" t="n">
        <v>10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inlineStr">
        <is>
          <t>right</t>
        </is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EXPENSE VARIANCES</t>
        </is>
      </c>
      <c r="B322" t="inlineStr">
        <is>
          <t>E21</t>
        </is>
      </c>
      <c r="C322" t="n">
        <v>21</v>
      </c>
      <c r="D322" t="n">
        <v>5</v>
      </c>
      <c r="E322" t="inlineStr">
        <is>
          <t>Input</t>
        </is>
      </c>
      <c r="F322" t="n">
        <v/>
      </c>
      <c r="H322" t="inlineStr"/>
      <c r="I322" t="inlineStr">
        <is>
          <t>#,##0_);(#,##0)</t>
        </is>
      </c>
      <c r="J322" t="b">
        <v>0</v>
      </c>
      <c r="K322" t="b">
        <v>0</v>
      </c>
      <c r="L322" t="n">
        <v>10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inlineStr">
        <is>
          <t>right</t>
        </is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EXPENSE VARIANCES</t>
        </is>
      </c>
      <c r="B323" t="inlineStr">
        <is>
          <t>F21</t>
        </is>
      </c>
      <c r="C323" t="n">
        <v>21</v>
      </c>
      <c r="D323" t="n">
        <v>6</v>
      </c>
      <c r="E323" t="inlineStr">
        <is>
          <t>Input</t>
        </is>
      </c>
      <c r="F323" t="n">
        <v/>
      </c>
      <c r="H323" t="inlineStr"/>
      <c r="I323" t="inlineStr">
        <is>
          <t>#,##0_);(#,##0)</t>
        </is>
      </c>
      <c r="J323" t="b">
        <v>1</v>
      </c>
      <c r="K323" t="b">
        <v>1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inlineStr">
        <is>
          <t>right</t>
        </is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EXPENSE VARIANCES</t>
        </is>
      </c>
      <c r="B324" t="inlineStr">
        <is>
          <t>G21</t>
        </is>
      </c>
      <c r="C324" t="n">
        <v>21</v>
      </c>
      <c r="D324" t="n">
        <v>7</v>
      </c>
      <c r="E324" t="inlineStr">
        <is>
          <t>Input</t>
        </is>
      </c>
      <c r="F324" t="n">
        <v/>
      </c>
      <c r="H324" t="inlineStr"/>
      <c r="I324" t="inlineStr">
        <is>
          <t>#,##0_);(#,##0)</t>
        </is>
      </c>
      <c r="J324" t="b">
        <v>1</v>
      </c>
      <c r="K324" t="b">
        <v>1</v>
      </c>
      <c r="L324" t="n">
        <v>10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inlineStr">
        <is>
          <t>right</t>
        </is>
      </c>
      <c r="P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EXPENSE VARIANCES</t>
        </is>
      </c>
      <c r="B325" t="inlineStr">
        <is>
          <t>H21</t>
        </is>
      </c>
      <c r="C325" t="n">
        <v>21</v>
      </c>
      <c r="D325" t="n">
        <v>8</v>
      </c>
      <c r="E325" t="inlineStr">
        <is>
          <t>Input</t>
        </is>
      </c>
      <c r="F325" t="n">
        <v/>
      </c>
      <c r="H325" t="inlineStr"/>
      <c r="I325" t="inlineStr">
        <is>
          <t>#,##0_);(#,##0)</t>
        </is>
      </c>
      <c r="J325" t="b">
        <v>1</v>
      </c>
      <c r="K325" t="b">
        <v>1</v>
      </c>
      <c r="L325" t="n">
        <v>10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inlineStr">
        <is>
          <t>right</t>
        </is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EXPENSE VARIANCES</t>
        </is>
      </c>
      <c r="B326" t="inlineStr">
        <is>
          <t>I21</t>
        </is>
      </c>
      <c r="C326" t="n">
        <v>21</v>
      </c>
      <c r="D326" t="n">
        <v>9</v>
      </c>
      <c r="E326" t="inlineStr">
        <is>
          <t>Input</t>
        </is>
      </c>
      <c r="F326" t="n">
        <v/>
      </c>
      <c r="H326" t="inlineStr"/>
      <c r="I326" t="inlineStr">
        <is>
          <t>#,##0_);(#,##0)</t>
        </is>
      </c>
      <c r="J326" t="b">
        <v>1</v>
      </c>
      <c r="K326" t="b">
        <v>1</v>
      </c>
      <c r="L326" t="n">
        <v>10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right</t>
        </is>
      </c>
      <c r="P326" t="n">
        <v/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EXPENSE VARIANCES</t>
        </is>
      </c>
      <c r="B327" t="inlineStr">
        <is>
          <t>J21</t>
        </is>
      </c>
      <c r="C327" t="n">
        <v>21</v>
      </c>
      <c r="D327" t="n">
        <v>10</v>
      </c>
      <c r="E327" t="inlineStr">
        <is>
          <t>Input</t>
        </is>
      </c>
      <c r="F327" t="n">
        <v/>
      </c>
      <c r="H327" t="inlineStr"/>
      <c r="I327" t="inlineStr">
        <is>
          <t>#,##0_);(#,##0)</t>
        </is>
      </c>
      <c r="J327" t="b">
        <v>1</v>
      </c>
      <c r="K327" t="b">
        <v>1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right</t>
        </is>
      </c>
      <c r="P327" t="n">
        <v/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EXPENSE VARIANCES</t>
        </is>
      </c>
      <c r="B328" t="inlineStr">
        <is>
          <t>K21</t>
        </is>
      </c>
      <c r="C328" t="n">
        <v>21</v>
      </c>
      <c r="D328" t="n">
        <v>11</v>
      </c>
      <c r="E328" t="inlineStr">
        <is>
          <t>Input</t>
        </is>
      </c>
      <c r="F328" t="n">
        <v/>
      </c>
      <c r="H328" t="inlineStr"/>
      <c r="I328" t="inlineStr">
        <is>
          <t>#,##0_);(#,##0)</t>
        </is>
      </c>
      <c r="J328" t="b">
        <v>1</v>
      </c>
      <c r="K328" t="b">
        <v>1</v>
      </c>
      <c r="L328" t="n">
        <v>10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inlineStr">
        <is>
          <t>right</t>
        </is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EXPENSE VARIANCES</t>
        </is>
      </c>
      <c r="B329" t="inlineStr">
        <is>
          <t>L21</t>
        </is>
      </c>
      <c r="C329" t="n">
        <v>21</v>
      </c>
      <c r="D329" t="n">
        <v>12</v>
      </c>
      <c r="E329" t="inlineStr">
        <is>
          <t>Input</t>
        </is>
      </c>
      <c r="F329" t="n">
        <v/>
      </c>
      <c r="H329" t="inlineStr"/>
      <c r="I329" t="inlineStr">
        <is>
          <t>#,##0_);(#,##0)</t>
        </is>
      </c>
      <c r="J329" t="b">
        <v>1</v>
      </c>
      <c r="K329" t="b">
        <v>1</v>
      </c>
      <c r="L329" t="n">
        <v>10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inlineStr">
        <is>
          <t>right</t>
        </is>
      </c>
      <c r="P329" t="n">
        <v/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EXPENSE VARIANCES</t>
        </is>
      </c>
      <c r="B330" t="inlineStr">
        <is>
          <t>M21</t>
        </is>
      </c>
      <c r="C330" t="n">
        <v>21</v>
      </c>
      <c r="D330" t="n">
        <v>13</v>
      </c>
      <c r="E330" t="inlineStr">
        <is>
          <t>Input</t>
        </is>
      </c>
      <c r="F330" t="n">
        <v/>
      </c>
      <c r="H330" t="inlineStr"/>
      <c r="I330" t="inlineStr">
        <is>
          <t>#,##0_);(#,##0)</t>
        </is>
      </c>
      <c r="J330" t="b">
        <v>1</v>
      </c>
      <c r="K330" t="b">
        <v>1</v>
      </c>
      <c r="L330" t="n">
        <v>10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right</t>
        </is>
      </c>
      <c r="P330" t="n">
        <v/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EXPENSE VARIANCES</t>
        </is>
      </c>
      <c r="B331" t="inlineStr">
        <is>
          <t>N21</t>
        </is>
      </c>
      <c r="C331" t="n">
        <v>21</v>
      </c>
      <c r="D331" t="n">
        <v>14</v>
      </c>
      <c r="E331" t="inlineStr">
        <is>
          <t>Input</t>
        </is>
      </c>
      <c r="F331" t="n">
        <v/>
      </c>
      <c r="H331" t="inlineStr"/>
      <c r="I331" t="inlineStr">
        <is>
          <t>#,##0_);(#,##0)</t>
        </is>
      </c>
      <c r="J331" t="b">
        <v>1</v>
      </c>
      <c r="K331" t="b">
        <v>1</v>
      </c>
      <c r="L331" t="n">
        <v>10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right</t>
        </is>
      </c>
      <c r="P331" t="n">
        <v/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EXPENSE VARIANCES</t>
        </is>
      </c>
      <c r="B332" t="inlineStr">
        <is>
          <t>O21</t>
        </is>
      </c>
      <c r="C332" t="n">
        <v>21</v>
      </c>
      <c r="D332" t="n">
        <v>15</v>
      </c>
      <c r="E332" t="inlineStr">
        <is>
          <t>Input</t>
        </is>
      </c>
      <c r="F332" t="n">
        <v/>
      </c>
      <c r="H332" t="inlineStr"/>
      <c r="I332" t="inlineStr">
        <is>
          <t>#,##0_);(#,##0)</t>
        </is>
      </c>
      <c r="J332" t="b">
        <v>1</v>
      </c>
      <c r="K332" t="b">
        <v>0</v>
      </c>
      <c r="L332" t="n">
        <v>10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right</t>
        </is>
      </c>
      <c r="P332" t="n">
        <v/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EXPENSE VARIANCES</t>
        </is>
      </c>
      <c r="B333" t="inlineStr">
        <is>
          <t>P21</t>
        </is>
      </c>
      <c r="C333" t="n">
        <v>21</v>
      </c>
      <c r="D333" t="n">
        <v>16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n">
        <v/>
      </c>
      <c r="P333" t="n">
        <v/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EXPENSE VARIANCES</t>
        </is>
      </c>
      <c r="B334" t="inlineStr">
        <is>
          <t>A22</t>
        </is>
      </c>
      <c r="C334" t="n">
        <v>22</v>
      </c>
      <c r="D334" t="n">
        <v>1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16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n">
        <v/>
      </c>
      <c r="P334" t="n">
        <v/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EXPENSE VARIANCES</t>
        </is>
      </c>
      <c r="B335" t="inlineStr">
        <is>
          <t>B22</t>
        </is>
      </c>
      <c r="C335" t="n">
        <v>22</v>
      </c>
      <c r="D335" t="n">
        <v>2</v>
      </c>
      <c r="E335" t="inlineStr">
        <is>
          <t>Input</t>
        </is>
      </c>
      <c r="F335" t="n">
        <v/>
      </c>
      <c r="G335" t="inlineStr">
        <is>
          <t>Marketing costs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16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left</t>
        </is>
      </c>
      <c r="P335" t="inlineStr">
        <is>
          <t>center</t>
        </is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EXPENSE VARIANCES</t>
        </is>
      </c>
      <c r="B336" t="inlineStr">
        <is>
          <t>C22</t>
        </is>
      </c>
      <c r="C336" t="n">
        <v>22</v>
      </c>
      <c r="D336" t="n">
        <v>3</v>
      </c>
      <c r="E336" t="inlineStr">
        <is>
          <t>Input</t>
        </is>
      </c>
      <c r="F336" t="n">
        <v/>
      </c>
      <c r="G336" t="inlineStr">
        <is>
          <t>Jan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16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EXPENSE VARIANCES</t>
        </is>
      </c>
      <c r="B337" t="inlineStr">
        <is>
          <t>D22</t>
        </is>
      </c>
      <c r="C337" t="n">
        <v>22</v>
      </c>
      <c r="D337" t="n">
        <v>4</v>
      </c>
      <c r="E337" t="inlineStr">
        <is>
          <t>Input</t>
        </is>
      </c>
      <c r="F337" t="n">
        <v/>
      </c>
      <c r="G337" t="inlineStr">
        <is>
          <t>Feb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16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EXPENSE VARIANCES</t>
        </is>
      </c>
      <c r="B338" t="inlineStr">
        <is>
          <t>E22</t>
        </is>
      </c>
      <c r="C338" t="n">
        <v>22</v>
      </c>
      <c r="D338" t="n">
        <v>5</v>
      </c>
      <c r="E338" t="inlineStr">
        <is>
          <t>Input</t>
        </is>
      </c>
      <c r="F338" t="n">
        <v/>
      </c>
      <c r="G338" t="inlineStr">
        <is>
          <t>Mar</t>
        </is>
      </c>
      <c r="H338" t="inlineStr"/>
      <c r="I338" t="inlineStr">
        <is>
          <t>_("$"* #,##0_);_("$"* \(#,##0\);_("$"* "-"??_);_(@_)</t>
        </is>
      </c>
      <c r="J338" t="b">
        <v>0</v>
      </c>
      <c r="K338" t="b">
        <v>0</v>
      </c>
      <c r="L338" t="n">
        <v>16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EXPENSE VARIANCES</t>
        </is>
      </c>
      <c r="B339" t="inlineStr">
        <is>
          <t>F22</t>
        </is>
      </c>
      <c r="C339" t="n">
        <v>22</v>
      </c>
      <c r="D339" t="n">
        <v>6</v>
      </c>
      <c r="E339" t="inlineStr">
        <is>
          <t>Input</t>
        </is>
      </c>
      <c r="F339" t="n">
        <v/>
      </c>
      <c r="G339" t="inlineStr">
        <is>
          <t>Apr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16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EXPENSE VARIANCES</t>
        </is>
      </c>
      <c r="B340" t="inlineStr">
        <is>
          <t>G22</t>
        </is>
      </c>
      <c r="C340" t="n">
        <v>22</v>
      </c>
      <c r="D340" t="n">
        <v>7</v>
      </c>
      <c r="E340" t="inlineStr">
        <is>
          <t>Input</t>
        </is>
      </c>
      <c r="F340" t="n">
        <v/>
      </c>
      <c r="G340" t="inlineStr">
        <is>
          <t>May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16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EXPENSE VARIANCES</t>
        </is>
      </c>
      <c r="B341" t="inlineStr">
        <is>
          <t>H22</t>
        </is>
      </c>
      <c r="C341" t="n">
        <v>22</v>
      </c>
      <c r="D341" t="n">
        <v>8</v>
      </c>
      <c r="E341" t="inlineStr">
        <is>
          <t>Input</t>
        </is>
      </c>
      <c r="F341" t="n">
        <v/>
      </c>
      <c r="G341" t="inlineStr">
        <is>
          <t>Jun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16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EXPENSE VARIANCES</t>
        </is>
      </c>
      <c r="B342" t="inlineStr">
        <is>
          <t>I22</t>
        </is>
      </c>
      <c r="C342" t="n">
        <v>22</v>
      </c>
      <c r="D342" t="n">
        <v>9</v>
      </c>
      <c r="E342" t="inlineStr">
        <is>
          <t>Input</t>
        </is>
      </c>
      <c r="F342" t="n">
        <v/>
      </c>
      <c r="G342" t="inlineStr">
        <is>
          <t>Jul</t>
        </is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16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center</t>
        </is>
      </c>
      <c r="P342" t="inlineStr">
        <is>
          <t>center</t>
        </is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EXPENSE VARIANCES</t>
        </is>
      </c>
      <c r="B343" t="inlineStr">
        <is>
          <t>J22</t>
        </is>
      </c>
      <c r="C343" t="n">
        <v>22</v>
      </c>
      <c r="D343" t="n">
        <v>10</v>
      </c>
      <c r="E343" t="inlineStr">
        <is>
          <t>Input</t>
        </is>
      </c>
      <c r="F343" t="n">
        <v/>
      </c>
      <c r="G343" t="inlineStr">
        <is>
          <t>Aug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16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center</t>
        </is>
      </c>
      <c r="P343" t="inlineStr">
        <is>
          <t>center</t>
        </is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EXPENSE VARIANCES</t>
        </is>
      </c>
      <c r="B344" t="inlineStr">
        <is>
          <t>K22</t>
        </is>
      </c>
      <c r="C344" t="n">
        <v>22</v>
      </c>
      <c r="D344" t="n">
        <v>11</v>
      </c>
      <c r="E344" t="inlineStr">
        <is>
          <t>Input</t>
        </is>
      </c>
      <c r="F344" t="n">
        <v/>
      </c>
      <c r="G344" t="inlineStr">
        <is>
          <t>Sep</t>
        </is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16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inlineStr">
        <is>
          <t>center</t>
        </is>
      </c>
      <c r="P344" t="inlineStr">
        <is>
          <t>center</t>
        </is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EXPENSE VARIANCES</t>
        </is>
      </c>
      <c r="B345" t="inlineStr">
        <is>
          <t>L22</t>
        </is>
      </c>
      <c r="C345" t="n">
        <v>22</v>
      </c>
      <c r="D345" t="n">
        <v>12</v>
      </c>
      <c r="E345" t="inlineStr">
        <is>
          <t>Input</t>
        </is>
      </c>
      <c r="F345" t="n">
        <v/>
      </c>
      <c r="G345" t="inlineStr">
        <is>
          <t>Oct</t>
        </is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16</v>
      </c>
      <c r="M345" t="inlineStr">
        <is>
          <t>Values must be of type &lt;class 'str'&gt;</t>
        </is>
      </c>
      <c r="N345" t="inlineStr">
        <is>
          <t>Values must be of type &lt;class 'str'&gt;</t>
        </is>
      </c>
      <c r="O345" t="inlineStr">
        <is>
          <t>center</t>
        </is>
      </c>
      <c r="P345" t="inlineStr">
        <is>
          <t>center</t>
        </is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EXPENSE VARIANCES</t>
        </is>
      </c>
      <c r="B346" t="inlineStr">
        <is>
          <t>M22</t>
        </is>
      </c>
      <c r="C346" t="n">
        <v>22</v>
      </c>
      <c r="D346" t="n">
        <v>13</v>
      </c>
      <c r="E346" t="inlineStr">
        <is>
          <t>Input</t>
        </is>
      </c>
      <c r="F346" t="n">
        <v/>
      </c>
      <c r="G346" t="inlineStr">
        <is>
          <t>Nov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16</v>
      </c>
      <c r="M346" t="inlineStr">
        <is>
          <t>Values must be of type &lt;class 'str'&gt;</t>
        </is>
      </c>
      <c r="N346" t="inlineStr">
        <is>
          <t>Values must be of type &lt;class 'str'&gt;</t>
        </is>
      </c>
      <c r="O346" t="inlineStr">
        <is>
          <t>center</t>
        </is>
      </c>
      <c r="P346" t="inlineStr">
        <is>
          <t>center</t>
        </is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EXPENSE VARIANCES</t>
        </is>
      </c>
      <c r="B347" t="inlineStr">
        <is>
          <t>N22</t>
        </is>
      </c>
      <c r="C347" t="n">
        <v>22</v>
      </c>
      <c r="D347" t="n">
        <v>14</v>
      </c>
      <c r="E347" t="inlineStr">
        <is>
          <t>Input</t>
        </is>
      </c>
      <c r="F347" t="n">
        <v/>
      </c>
      <c r="G347" t="inlineStr">
        <is>
          <t>Dec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16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EXPENSE VARIANCES</t>
        </is>
      </c>
      <c r="B348" t="inlineStr">
        <is>
          <t>O22</t>
        </is>
      </c>
      <c r="C348" t="n">
        <v>22</v>
      </c>
      <c r="D348" t="n">
        <v>15</v>
      </c>
      <c r="E348" t="inlineStr">
        <is>
          <t>Input</t>
        </is>
      </c>
      <c r="F348" t="n">
        <v/>
      </c>
      <c r="G348" t="inlineStr">
        <is>
          <t>YEAR</t>
        </is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16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EXPENSE VARIANCES</t>
        </is>
      </c>
      <c r="B349" t="inlineStr">
        <is>
          <t>P22</t>
        </is>
      </c>
      <c r="C349" t="n">
        <v>22</v>
      </c>
      <c r="D349" t="n">
        <v>16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16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EXPENSE VARIANCES</t>
        </is>
      </c>
      <c r="B350" t="inlineStr">
        <is>
          <t>A23</t>
        </is>
      </c>
      <c r="C350" t="n">
        <v>23</v>
      </c>
      <c r="D350" t="n">
        <v>1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EXPENSE VARIANCES</t>
        </is>
      </c>
      <c r="B351" t="inlineStr">
        <is>
          <t>B23</t>
        </is>
      </c>
      <c r="C351" t="n">
        <v>23</v>
      </c>
      <c r="D351" t="n">
        <v>2</v>
      </c>
      <c r="E351" t="inlineStr">
        <is>
          <t>Input</t>
        </is>
      </c>
      <c r="F351" t="n">
        <v/>
      </c>
      <c r="G351" t="inlineStr">
        <is>
          <t>Web site hosting</t>
        </is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12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left</t>
        </is>
      </c>
      <c r="P351" t="inlineStr">
        <is>
          <t>center</t>
        </is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EXPENSE VARIANCES</t>
        </is>
      </c>
      <c r="B352" t="inlineStr">
        <is>
          <t>C23</t>
        </is>
      </c>
      <c r="C352" t="n">
        <v>23</v>
      </c>
      <c r="D352" t="n">
        <v>3</v>
      </c>
      <c r="E352" t="inlineStr">
        <is>
          <t>Output</t>
        </is>
      </c>
      <c r="F352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352" t="n">
        <v>0</v>
      </c>
      <c r="H352" t="inlineStr"/>
      <c r="I352" t="inlineStr">
        <is>
          <t>"$"#,##0.00_);[Red]\("$"#,##0.00\)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inlineStr">
        <is>
          <t>center</t>
        </is>
      </c>
      <c r="R352" t="b">
        <v>1</v>
      </c>
      <c r="S352" t="inlineStr">
        <is>
          <t>G000039</t>
        </is>
      </c>
      <c r="T352" t="inlineStr">
        <is>
          <t>Vertical</t>
        </is>
      </c>
      <c r="U352" t="n">
        <v>6</v>
      </c>
      <c r="V352" t="b">
        <v>1</v>
      </c>
      <c r="W352" t="inlineStr">
        <is>
          <t>EXPENSE VARIANCES!C23:C28</t>
        </is>
      </c>
      <c r="X352">
        <f>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f>
        <v/>
      </c>
    </row>
    <row r="353">
      <c r="A353" t="inlineStr">
        <is>
          <t>EXPENSE VARIANCES</t>
        </is>
      </c>
      <c r="B353" t="inlineStr">
        <is>
          <t>D23</t>
        </is>
      </c>
      <c r="C353" t="n">
        <v>23</v>
      </c>
      <c r="D353" t="n">
        <v>4</v>
      </c>
      <c r="E353" t="inlineStr">
        <is>
          <t>Output</t>
        </is>
      </c>
      <c r="F353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353" t="n">
        <v>0</v>
      </c>
      <c r="H353" t="inlineStr"/>
      <c r="I353" t="inlineStr">
        <is>
          <t>"$"#,##0.00_);[Red]\("$"#,##0.00\)</t>
        </is>
      </c>
      <c r="J353" t="b">
        <v>0</v>
      </c>
      <c r="K353" t="b">
        <v>0</v>
      </c>
      <c r="L353" t="n">
        <v>10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inlineStr">
        <is>
          <t>G000040</t>
        </is>
      </c>
      <c r="T353" t="inlineStr">
        <is>
          <t>Vertical</t>
        </is>
      </c>
      <c r="U353" t="n">
        <v>6</v>
      </c>
      <c r="V353" t="b">
        <v>1</v>
      </c>
      <c r="W353" t="inlineStr">
        <is>
          <t>EXPENSE VARIANCES!D23:D28</t>
        </is>
      </c>
      <c r="X353">
        <f>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f>
        <v/>
      </c>
    </row>
    <row r="354">
      <c r="A354" t="inlineStr">
        <is>
          <t>EXPENSE VARIANCES</t>
        </is>
      </c>
      <c r="B354" t="inlineStr">
        <is>
          <t>E23</t>
        </is>
      </c>
      <c r="C354" t="n">
        <v>23</v>
      </c>
      <c r="D354" t="n">
        <v>5</v>
      </c>
      <c r="E354" t="inlineStr">
        <is>
          <t>Output</t>
        </is>
      </c>
      <c r="F354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354" t="n">
        <v>0</v>
      </c>
      <c r="H354" t="inlineStr"/>
      <c r="I354" t="inlineStr">
        <is>
          <t>"$"#,##0.00_);[Red]\("$"#,##0.00\)</t>
        </is>
      </c>
      <c r="J354" t="b">
        <v>0</v>
      </c>
      <c r="K354" t="b">
        <v>0</v>
      </c>
      <c r="L354" t="n">
        <v>10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inlineStr">
        <is>
          <t>G000041</t>
        </is>
      </c>
      <c r="T354" t="inlineStr">
        <is>
          <t>Vertical</t>
        </is>
      </c>
      <c r="U354" t="n">
        <v>6</v>
      </c>
      <c r="V354" t="b">
        <v>1</v>
      </c>
      <c r="W354" t="inlineStr">
        <is>
          <t>EXPENSE VARIANCES!E23:E28</t>
        </is>
      </c>
      <c r="X354">
        <f>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f>
        <v/>
      </c>
    </row>
    <row r="355">
      <c r="A355" t="inlineStr">
        <is>
          <t>EXPENSE VARIANCES</t>
        </is>
      </c>
      <c r="B355" t="inlineStr">
        <is>
          <t>F23</t>
        </is>
      </c>
      <c r="C355" t="n">
        <v>23</v>
      </c>
      <c r="D355" t="n">
        <v>6</v>
      </c>
      <c r="E355" t="inlineStr">
        <is>
          <t>Output</t>
        </is>
      </c>
      <c r="F355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355" t="n">
        <v>0</v>
      </c>
      <c r="H355" t="inlineStr"/>
      <c r="I355" t="inlineStr">
        <is>
          <t>"$"#,##0.00_);[Red]\("$"#,##0.00\)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inlineStr">
        <is>
          <t>G000042</t>
        </is>
      </c>
      <c r="T355" t="inlineStr">
        <is>
          <t>Vertical</t>
        </is>
      </c>
      <c r="U355" t="n">
        <v>6</v>
      </c>
      <c r="V355" t="b">
        <v>1</v>
      </c>
      <c r="W355" t="inlineStr">
        <is>
          <t>EXPENSE VARIANCES!F23:F28</t>
        </is>
      </c>
      <c r="X355">
        <f>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f>
        <v/>
      </c>
    </row>
    <row r="356">
      <c r="A356" t="inlineStr">
        <is>
          <t>EXPENSE VARIANCES</t>
        </is>
      </c>
      <c r="B356" t="inlineStr">
        <is>
          <t>G23</t>
        </is>
      </c>
      <c r="C356" t="n">
        <v>23</v>
      </c>
      <c r="D356" t="n">
        <v>7</v>
      </c>
      <c r="E356" t="inlineStr">
        <is>
          <t>Output</t>
        </is>
      </c>
      <c r="F356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356" t="n">
        <v>0</v>
      </c>
      <c r="H356" t="inlineStr"/>
      <c r="I356" t="inlineStr">
        <is>
          <t>"$"#,##0.00_);[Red]\("$"#,##0.00\)</t>
        </is>
      </c>
      <c r="J356" t="b">
        <v>0</v>
      </c>
      <c r="K356" t="b">
        <v>0</v>
      </c>
      <c r="L356" t="n">
        <v>10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inlineStr">
        <is>
          <t>G000043</t>
        </is>
      </c>
      <c r="T356" t="inlineStr">
        <is>
          <t>Vertical</t>
        </is>
      </c>
      <c r="U356" t="n">
        <v>6</v>
      </c>
      <c r="V356" t="b">
        <v>1</v>
      </c>
      <c r="W356" t="inlineStr">
        <is>
          <t>EXPENSE VARIANCES!G23:G28</t>
        </is>
      </c>
      <c r="X356">
        <f>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f>
        <v/>
      </c>
    </row>
    <row r="357">
      <c r="A357" t="inlineStr">
        <is>
          <t>EXPENSE VARIANCES</t>
        </is>
      </c>
      <c r="B357" t="inlineStr">
        <is>
          <t>H23</t>
        </is>
      </c>
      <c r="C357" t="n">
        <v>23</v>
      </c>
      <c r="D357" t="n">
        <v>8</v>
      </c>
      <c r="E357" t="inlineStr">
        <is>
          <t>Output</t>
        </is>
      </c>
      <c r="F357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357" t="n">
        <v>0</v>
      </c>
      <c r="H357" t="inlineStr"/>
      <c r="I357" t="inlineStr">
        <is>
          <t>"$"#,##0.00_);[Red]\("$"#,##0.00\)</t>
        </is>
      </c>
      <c r="J357" t="b">
        <v>0</v>
      </c>
      <c r="K357" t="b">
        <v>0</v>
      </c>
      <c r="L357" t="n">
        <v>10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inlineStr">
        <is>
          <t>G000044</t>
        </is>
      </c>
      <c r="T357" t="inlineStr">
        <is>
          <t>Vertical</t>
        </is>
      </c>
      <c r="U357" t="n">
        <v>6</v>
      </c>
      <c r="V357" t="b">
        <v>1</v>
      </c>
      <c r="W357" t="inlineStr">
        <is>
          <t>EXPENSE VARIANCES!H23:H28</t>
        </is>
      </c>
      <c r="X357">
        <f>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f>
        <v/>
      </c>
    </row>
    <row r="358">
      <c r="A358" t="inlineStr">
        <is>
          <t>EXPENSE VARIANCES</t>
        </is>
      </c>
      <c r="B358" t="inlineStr">
        <is>
          <t>I23</t>
        </is>
      </c>
      <c r="C358" t="n">
        <v>23</v>
      </c>
      <c r="D358" t="n">
        <v>9</v>
      </c>
      <c r="E358" t="inlineStr">
        <is>
          <t>Output</t>
        </is>
      </c>
      <c r="F358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358" t="n">
        <v>500</v>
      </c>
      <c r="H358" t="inlineStr"/>
      <c r="I358" t="inlineStr">
        <is>
          <t>"$"#,##0.00_);[Red]\("$"#,##0.00\)</t>
        </is>
      </c>
      <c r="J358" t="b">
        <v>0</v>
      </c>
      <c r="K358" t="b">
        <v>0</v>
      </c>
      <c r="L358" t="n">
        <v>10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inlineStr">
        <is>
          <t>G000045</t>
        </is>
      </c>
      <c r="T358" t="inlineStr">
        <is>
          <t>Vertical</t>
        </is>
      </c>
      <c r="U358" t="n">
        <v>6</v>
      </c>
      <c r="V358" t="b">
        <v>1</v>
      </c>
      <c r="W358" t="inlineStr">
        <is>
          <t>EXPENSE VARIANCES!I23:I28</t>
        </is>
      </c>
      <c r="X358">
        <f>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f>
        <v/>
      </c>
    </row>
    <row r="359">
      <c r="A359" t="inlineStr">
        <is>
          <t>EXPENSE VARIANCES</t>
        </is>
      </c>
      <c r="B359" t="inlineStr">
        <is>
          <t>J23</t>
        </is>
      </c>
      <c r="C359" t="n">
        <v>23</v>
      </c>
      <c r="D359" t="n">
        <v>10</v>
      </c>
      <c r="E359" t="inlineStr">
        <is>
          <t>Output</t>
        </is>
      </c>
      <c r="F359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359" t="n">
        <v>500</v>
      </c>
      <c r="H359" t="inlineStr"/>
      <c r="I359" t="inlineStr">
        <is>
          <t>"$"#,##0.00_);[Red]\("$"#,##0.00\)</t>
        </is>
      </c>
      <c r="J359" t="b">
        <v>0</v>
      </c>
      <c r="K359" t="b">
        <v>0</v>
      </c>
      <c r="L359" t="n">
        <v>10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G000046</t>
        </is>
      </c>
      <c r="T359" t="inlineStr">
        <is>
          <t>Vertical</t>
        </is>
      </c>
      <c r="U359" t="n">
        <v>6</v>
      </c>
      <c r="V359" t="b">
        <v>1</v>
      </c>
      <c r="W359" t="inlineStr">
        <is>
          <t>EXPENSE VARIANCES!J23:J28</t>
        </is>
      </c>
      <c r="X359">
        <f>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f>
        <v/>
      </c>
    </row>
    <row r="360">
      <c r="A360" t="inlineStr">
        <is>
          <t>EXPENSE VARIANCES</t>
        </is>
      </c>
      <c r="B360" t="inlineStr">
        <is>
          <t>K23</t>
        </is>
      </c>
      <c r="C360" t="n">
        <v>23</v>
      </c>
      <c r="D360" t="n">
        <v>11</v>
      </c>
      <c r="E360" t="inlineStr">
        <is>
          <t>Output</t>
        </is>
      </c>
      <c r="F360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360" t="n">
        <v>500</v>
      </c>
      <c r="H360" t="inlineStr"/>
      <c r="I360" t="inlineStr">
        <is>
          <t>"$"#,##0.00_);[Red]\("$"#,##0.00\)</t>
        </is>
      </c>
      <c r="J360" t="b">
        <v>0</v>
      </c>
      <c r="K360" t="b">
        <v>0</v>
      </c>
      <c r="L360" t="n">
        <v>10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inlineStr">
        <is>
          <t>G000047</t>
        </is>
      </c>
      <c r="T360" t="inlineStr">
        <is>
          <t>Vertical</t>
        </is>
      </c>
      <c r="U360" t="n">
        <v>6</v>
      </c>
      <c r="V360" t="b">
        <v>1</v>
      </c>
      <c r="W360" t="inlineStr">
        <is>
          <t>EXPENSE VARIANCES!K23:K28</t>
        </is>
      </c>
      <c r="X360">
        <f>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f>
        <v/>
      </c>
    </row>
    <row r="361">
      <c r="A361" t="inlineStr">
        <is>
          <t>EXPENSE VARIANCES</t>
        </is>
      </c>
      <c r="B361" t="inlineStr">
        <is>
          <t>L23</t>
        </is>
      </c>
      <c r="C361" t="n">
        <v>23</v>
      </c>
      <c r="D361" t="n">
        <v>12</v>
      </c>
      <c r="E361" t="inlineStr">
        <is>
          <t>Output</t>
        </is>
      </c>
      <c r="F361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361" t="n">
        <v>500</v>
      </c>
      <c r="H361" t="inlineStr"/>
      <c r="I361" t="inlineStr">
        <is>
          <t>"$"#,##0.00_);[Red]\("$"#,##0.00\)</t>
        </is>
      </c>
      <c r="J361" t="b">
        <v>0</v>
      </c>
      <c r="K361" t="b">
        <v>0</v>
      </c>
      <c r="L361" t="n">
        <v>10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inlineStr">
        <is>
          <t>center</t>
        </is>
      </c>
      <c r="P361" t="inlineStr">
        <is>
          <t>center</t>
        </is>
      </c>
      <c r="R361" t="b">
        <v>1</v>
      </c>
      <c r="S361" t="inlineStr">
        <is>
          <t>G000048</t>
        </is>
      </c>
      <c r="T361" t="inlineStr">
        <is>
          <t>Vertical</t>
        </is>
      </c>
      <c r="U361" t="n">
        <v>6</v>
      </c>
      <c r="V361" t="b">
        <v>1</v>
      </c>
      <c r="W361" t="inlineStr">
        <is>
          <t>EXPENSE VARIANCES!L23:L28</t>
        </is>
      </c>
      <c r="X361">
        <f>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f>
        <v/>
      </c>
    </row>
    <row r="362">
      <c r="A362" t="inlineStr">
        <is>
          <t>EXPENSE VARIANCES</t>
        </is>
      </c>
      <c r="B362" t="inlineStr">
        <is>
          <t>M23</t>
        </is>
      </c>
      <c r="C362" t="n">
        <v>23</v>
      </c>
      <c r="D362" t="n">
        <v>13</v>
      </c>
      <c r="E362" t="inlineStr">
        <is>
          <t>Output</t>
        </is>
      </c>
      <c r="F362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362" t="n">
        <v>500</v>
      </c>
      <c r="H362" t="inlineStr"/>
      <c r="I362" t="inlineStr">
        <is>
          <t>"$"#,##0.00_);[Red]\("$"#,##0.00\)</t>
        </is>
      </c>
      <c r="J362" t="b">
        <v>0</v>
      </c>
      <c r="K362" t="b">
        <v>0</v>
      </c>
      <c r="L362" t="n">
        <v>10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center</t>
        </is>
      </c>
      <c r="P362" t="inlineStr">
        <is>
          <t>center</t>
        </is>
      </c>
      <c r="R362" t="b">
        <v>1</v>
      </c>
      <c r="S362" t="inlineStr">
        <is>
          <t>G000049</t>
        </is>
      </c>
      <c r="T362" t="inlineStr">
        <is>
          <t>Vertical</t>
        </is>
      </c>
      <c r="U362" t="n">
        <v>6</v>
      </c>
      <c r="V362" t="b">
        <v>1</v>
      </c>
      <c r="W362" t="inlineStr">
        <is>
          <t>EXPENSE VARIANCES!M23:M28</t>
        </is>
      </c>
      <c r="X362">
        <f>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f>
        <v/>
      </c>
    </row>
    <row r="363">
      <c r="A363" t="inlineStr">
        <is>
          <t>EXPENSE VARIANCES</t>
        </is>
      </c>
      <c r="B363" t="inlineStr">
        <is>
          <t>N23</t>
        </is>
      </c>
      <c r="C363" t="n">
        <v>23</v>
      </c>
      <c r="D363" t="n">
        <v>14</v>
      </c>
      <c r="E363" t="inlineStr">
        <is>
          <t>Output</t>
        </is>
      </c>
      <c r="F363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363" t="n">
        <v>500</v>
      </c>
      <c r="H363" t="inlineStr"/>
      <c r="I363" t="inlineStr">
        <is>
          <t>"$"#,##0.00_);[Red]\("$"#,##0.00\)</t>
        </is>
      </c>
      <c r="J363" t="b">
        <v>0</v>
      </c>
      <c r="K363" t="b">
        <v>0</v>
      </c>
      <c r="L363" t="n">
        <v>10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inlineStr">
        <is>
          <t>G000050</t>
        </is>
      </c>
      <c r="T363" t="inlineStr">
        <is>
          <t>Vertical</t>
        </is>
      </c>
      <c r="U363" t="n">
        <v>6</v>
      </c>
      <c r="V363" t="b">
        <v>1</v>
      </c>
      <c r="W363" t="inlineStr">
        <is>
          <t>EXPENSE VARIANCES!N23:N28</t>
        </is>
      </c>
      <c r="X363">
        <f>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f>
        <v/>
      </c>
    </row>
    <row r="364">
      <c r="A364" t="inlineStr">
        <is>
          <t>EXPENSE VARIANCES</t>
        </is>
      </c>
      <c r="B364" t="inlineStr">
        <is>
          <t>O23</t>
        </is>
      </c>
      <c r="C364" t="n">
        <v>23</v>
      </c>
      <c r="D364" t="n">
        <v>15</v>
      </c>
      <c r="E364" t="inlineStr">
        <is>
          <t>Output</t>
        </is>
      </c>
      <c r="F364" t="inlineStr">
        <is>
          <t>'=SUM(MarketingVariances[[#This Row],[Jan]:[Dec]])</t>
        </is>
      </c>
      <c r="G364" t="n">
        <v>3000</v>
      </c>
      <c r="H364" t="inlineStr"/>
      <c r="I364" t="inlineStr">
        <is>
          <t>"$"#,##0.00_);[Red]\("$"#,##0.00\)</t>
        </is>
      </c>
      <c r="J364" t="b">
        <v>0</v>
      </c>
      <c r="K364" t="b">
        <v>0</v>
      </c>
      <c r="L364" t="n">
        <v>10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inlineStr">
        <is>
          <t>G000051</t>
        </is>
      </c>
      <c r="T364" t="inlineStr">
        <is>
          <t>Vertical</t>
        </is>
      </c>
      <c r="U364" t="n">
        <v>6</v>
      </c>
      <c r="V364" t="b">
        <v>1</v>
      </c>
      <c r="W364" t="inlineStr">
        <is>
          <t>EXPENSE VARIANCES!O23:O28</t>
        </is>
      </c>
      <c r="X364">
        <f>SUM(MarketingVariances[[#This Row],[Jan]:[Dec]])</f>
        <v/>
      </c>
    </row>
    <row r="365">
      <c r="A365" t="inlineStr">
        <is>
          <t>EXPENSE VARIANCES</t>
        </is>
      </c>
      <c r="B365" t="inlineStr">
        <is>
          <t>P23</t>
        </is>
      </c>
      <c r="C365" t="n">
        <v>23</v>
      </c>
      <c r="D365" t="n">
        <v>16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EXPENSE VARIANCES</t>
        </is>
      </c>
      <c r="B366" t="inlineStr">
        <is>
          <t>A24</t>
        </is>
      </c>
      <c r="C366" t="n">
        <v>24</v>
      </c>
      <c r="D366" t="n">
        <v>1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EXPENSE VARIANCES</t>
        </is>
      </c>
      <c r="B367" t="inlineStr">
        <is>
          <t>B24</t>
        </is>
      </c>
      <c r="C367" t="n">
        <v>24</v>
      </c>
      <c r="D367" t="n">
        <v>2</v>
      </c>
      <c r="E367" t="inlineStr">
        <is>
          <t>Input</t>
        </is>
      </c>
      <c r="F367" t="n">
        <v/>
      </c>
      <c r="G367" t="inlineStr">
        <is>
          <t>Web site updates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12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left</t>
        </is>
      </c>
      <c r="P367" t="inlineStr">
        <is>
          <t>center</t>
        </is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EXPENSE VARIANCES</t>
        </is>
      </c>
      <c r="B368" t="inlineStr">
        <is>
          <t>C24</t>
        </is>
      </c>
      <c r="C368" t="n">
        <v>24</v>
      </c>
      <c r="D368" t="n">
        <v>3</v>
      </c>
      <c r="E368" t="inlineStr">
        <is>
          <t>Output</t>
        </is>
      </c>
      <c r="F368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368" t="n">
        <v>0</v>
      </c>
      <c r="H368" t="inlineStr"/>
      <c r="I368" t="inlineStr">
        <is>
          <t>"$"#,##0.00_);[Red]\("$"#,##0.00\)</t>
        </is>
      </c>
      <c r="J368" t="b">
        <v>0</v>
      </c>
      <c r="K368" t="b">
        <v>0</v>
      </c>
      <c r="L368" t="n">
        <v>10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inlineStr">
        <is>
          <t>G000039</t>
        </is>
      </c>
      <c r="T368" t="inlineStr">
        <is>
          <t>Vertical</t>
        </is>
      </c>
      <c r="U368" t="n">
        <v>6</v>
      </c>
      <c r="V368" t="b">
        <v>1</v>
      </c>
      <c r="W368" t="inlineStr">
        <is>
          <t>EXPENSE VARIANCES!C23:C28</t>
        </is>
      </c>
      <c r="X368">
        <f>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f>
        <v/>
      </c>
    </row>
    <row r="369">
      <c r="A369" t="inlineStr">
        <is>
          <t>EXPENSE VARIANCES</t>
        </is>
      </c>
      <c r="B369" t="inlineStr">
        <is>
          <t>D24</t>
        </is>
      </c>
      <c r="C369" t="n">
        <v>24</v>
      </c>
      <c r="D369" t="n">
        <v>4</v>
      </c>
      <c r="E369" t="inlineStr">
        <is>
          <t>Output</t>
        </is>
      </c>
      <c r="F369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369" t="n">
        <v>0</v>
      </c>
      <c r="H369" t="inlineStr"/>
      <c r="I369" t="inlineStr">
        <is>
          <t>"$"#,##0.00_);[Red]\("$"#,##0.00\)</t>
        </is>
      </c>
      <c r="J369" t="b">
        <v>0</v>
      </c>
      <c r="K369" t="b">
        <v>0</v>
      </c>
      <c r="L369" t="n">
        <v>10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inlineStr">
        <is>
          <t>center</t>
        </is>
      </c>
      <c r="P369" t="inlineStr">
        <is>
          <t>center</t>
        </is>
      </c>
      <c r="R369" t="b">
        <v>1</v>
      </c>
      <c r="S369" t="inlineStr">
        <is>
          <t>G000040</t>
        </is>
      </c>
      <c r="T369" t="inlineStr">
        <is>
          <t>Vertical</t>
        </is>
      </c>
      <c r="U369" t="n">
        <v>6</v>
      </c>
      <c r="V369" t="b">
        <v>1</v>
      </c>
      <c r="W369" t="inlineStr">
        <is>
          <t>EXPENSE VARIANCES!D23:D28</t>
        </is>
      </c>
      <c r="X369">
        <f>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f>
        <v/>
      </c>
    </row>
    <row r="370">
      <c r="A370" t="inlineStr">
        <is>
          <t>EXPENSE VARIANCES</t>
        </is>
      </c>
      <c r="B370" t="inlineStr">
        <is>
          <t>E24</t>
        </is>
      </c>
      <c r="C370" t="n">
        <v>24</v>
      </c>
      <c r="D370" t="n">
        <v>5</v>
      </c>
      <c r="E370" t="inlineStr">
        <is>
          <t>Output</t>
        </is>
      </c>
      <c r="F370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370" t="n">
        <v>0</v>
      </c>
      <c r="H370" t="inlineStr"/>
      <c r="I370" t="inlineStr">
        <is>
          <t>"$"#,##0.00_);[Red]\("$"#,##0.00\)</t>
        </is>
      </c>
      <c r="J370" t="b">
        <v>0</v>
      </c>
      <c r="K370" t="b">
        <v>0</v>
      </c>
      <c r="L370" t="n">
        <v>10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inlineStr">
        <is>
          <t>center</t>
        </is>
      </c>
      <c r="P370" t="inlineStr">
        <is>
          <t>center</t>
        </is>
      </c>
      <c r="R370" t="b">
        <v>1</v>
      </c>
      <c r="S370" t="inlineStr">
        <is>
          <t>G000041</t>
        </is>
      </c>
      <c r="T370" t="inlineStr">
        <is>
          <t>Vertical</t>
        </is>
      </c>
      <c r="U370" t="n">
        <v>6</v>
      </c>
      <c r="V370" t="b">
        <v>1</v>
      </c>
      <c r="W370" t="inlineStr">
        <is>
          <t>EXPENSE VARIANCES!E23:E28</t>
        </is>
      </c>
      <c r="X370">
        <f>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f>
        <v/>
      </c>
    </row>
    <row r="371">
      <c r="A371" t="inlineStr">
        <is>
          <t>EXPENSE VARIANCES</t>
        </is>
      </c>
      <c r="B371" t="inlineStr">
        <is>
          <t>F24</t>
        </is>
      </c>
      <c r="C371" t="n">
        <v>24</v>
      </c>
      <c r="D371" t="n">
        <v>6</v>
      </c>
      <c r="E371" t="inlineStr">
        <is>
          <t>Output</t>
        </is>
      </c>
      <c r="F371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371" t="n">
        <v>0</v>
      </c>
      <c r="H371" t="inlineStr"/>
      <c r="I371" t="inlineStr">
        <is>
          <t>"$"#,##0.00_);[Red]\("$"#,##0.00\)</t>
        </is>
      </c>
      <c r="J371" t="b">
        <v>0</v>
      </c>
      <c r="K371" t="b">
        <v>0</v>
      </c>
      <c r="L371" t="n">
        <v>10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inlineStr">
        <is>
          <t>G000042</t>
        </is>
      </c>
      <c r="T371" t="inlineStr">
        <is>
          <t>Vertical</t>
        </is>
      </c>
      <c r="U371" t="n">
        <v>6</v>
      </c>
      <c r="V371" t="b">
        <v>1</v>
      </c>
      <c r="W371" t="inlineStr">
        <is>
          <t>EXPENSE VARIANCES!F23:F28</t>
        </is>
      </c>
      <c r="X371">
        <f>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f>
        <v/>
      </c>
    </row>
    <row r="372">
      <c r="A372" t="inlineStr">
        <is>
          <t>EXPENSE VARIANCES</t>
        </is>
      </c>
      <c r="B372" t="inlineStr">
        <is>
          <t>G24</t>
        </is>
      </c>
      <c r="C372" t="n">
        <v>24</v>
      </c>
      <c r="D372" t="n">
        <v>7</v>
      </c>
      <c r="E372" t="inlineStr">
        <is>
          <t>Output</t>
        </is>
      </c>
      <c r="F372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372" t="n">
        <v>0</v>
      </c>
      <c r="H372" t="inlineStr"/>
      <c r="I372" t="inlineStr">
        <is>
          <t>"$"#,##0.00_);[Red]\("$"#,##0.00\)</t>
        </is>
      </c>
      <c r="J372" t="b">
        <v>0</v>
      </c>
      <c r="K372" t="b">
        <v>0</v>
      </c>
      <c r="L372" t="n">
        <v>10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inlineStr">
        <is>
          <t>center</t>
        </is>
      </c>
      <c r="P372" t="inlineStr">
        <is>
          <t>center</t>
        </is>
      </c>
      <c r="R372" t="b">
        <v>1</v>
      </c>
      <c r="S372" t="inlineStr">
        <is>
          <t>G000043</t>
        </is>
      </c>
      <c r="T372" t="inlineStr">
        <is>
          <t>Vertical</t>
        </is>
      </c>
      <c r="U372" t="n">
        <v>6</v>
      </c>
      <c r="V372" t="b">
        <v>1</v>
      </c>
      <c r="W372" t="inlineStr">
        <is>
          <t>EXPENSE VARIANCES!G23:G28</t>
        </is>
      </c>
      <c r="X372">
        <f>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f>
        <v/>
      </c>
    </row>
    <row r="373">
      <c r="A373" t="inlineStr">
        <is>
          <t>EXPENSE VARIANCES</t>
        </is>
      </c>
      <c r="B373" t="inlineStr">
        <is>
          <t>H24</t>
        </is>
      </c>
      <c r="C373" t="n">
        <v>24</v>
      </c>
      <c r="D373" t="n">
        <v>8</v>
      </c>
      <c r="E373" t="inlineStr">
        <is>
          <t>Output</t>
        </is>
      </c>
      <c r="F373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373" t="n">
        <v>-500</v>
      </c>
      <c r="H373" t="inlineStr"/>
      <c r="I373" t="inlineStr">
        <is>
          <t>"$"#,##0.00_);[Red]\("$"#,##0.00\)</t>
        </is>
      </c>
      <c r="J373" t="b">
        <v>0</v>
      </c>
      <c r="K373" t="b">
        <v>0</v>
      </c>
      <c r="L373" t="n">
        <v>10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inlineStr">
        <is>
          <t>center</t>
        </is>
      </c>
      <c r="P373" t="inlineStr">
        <is>
          <t>center</t>
        </is>
      </c>
      <c r="R373" t="b">
        <v>1</v>
      </c>
      <c r="S373" t="inlineStr">
        <is>
          <t>G000044</t>
        </is>
      </c>
      <c r="T373" t="inlineStr">
        <is>
          <t>Vertical</t>
        </is>
      </c>
      <c r="U373" t="n">
        <v>6</v>
      </c>
      <c r="V373" t="b">
        <v>1</v>
      </c>
      <c r="W373" t="inlineStr">
        <is>
          <t>EXPENSE VARIANCES!H23:H28</t>
        </is>
      </c>
      <c r="X373">
        <f>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f>
        <v/>
      </c>
    </row>
    <row r="374">
      <c r="A374" t="inlineStr">
        <is>
          <t>EXPENSE VARIANCES</t>
        </is>
      </c>
      <c r="B374" t="inlineStr">
        <is>
          <t>I24</t>
        </is>
      </c>
      <c r="C374" t="n">
        <v>24</v>
      </c>
      <c r="D374" t="n">
        <v>9</v>
      </c>
      <c r="E374" t="inlineStr">
        <is>
          <t>Output</t>
        </is>
      </c>
      <c r="F374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374" t="n">
        <v>200</v>
      </c>
      <c r="H374" t="inlineStr"/>
      <c r="I374" t="inlineStr">
        <is>
          <t>"$"#,##0.00_);[Red]\("$"#,##0.00\)</t>
        </is>
      </c>
      <c r="J374" t="b">
        <v>0</v>
      </c>
      <c r="K374" t="b">
        <v>0</v>
      </c>
      <c r="L374" t="n">
        <v>10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center</t>
        </is>
      </c>
      <c r="P374" t="inlineStr">
        <is>
          <t>center</t>
        </is>
      </c>
      <c r="R374" t="b">
        <v>1</v>
      </c>
      <c r="S374" t="inlineStr">
        <is>
          <t>G000045</t>
        </is>
      </c>
      <c r="T374" t="inlineStr">
        <is>
          <t>Vertical</t>
        </is>
      </c>
      <c r="U374" t="n">
        <v>6</v>
      </c>
      <c r="V374" t="b">
        <v>1</v>
      </c>
      <c r="W374" t="inlineStr">
        <is>
          <t>EXPENSE VARIANCES!I23:I28</t>
        </is>
      </c>
      <c r="X374">
        <f>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f>
        <v/>
      </c>
    </row>
    <row r="375">
      <c r="A375" t="inlineStr">
        <is>
          <t>EXPENSE VARIANCES</t>
        </is>
      </c>
      <c r="B375" t="inlineStr">
        <is>
          <t>J24</t>
        </is>
      </c>
      <c r="C375" t="n">
        <v>24</v>
      </c>
      <c r="D375" t="n">
        <v>10</v>
      </c>
      <c r="E375" t="inlineStr">
        <is>
          <t>Output</t>
        </is>
      </c>
      <c r="F375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375" t="n">
        <v>200</v>
      </c>
      <c r="H375" t="inlineStr"/>
      <c r="I375" t="inlineStr">
        <is>
          <t>"$"#,##0.00_);[Red]\("$"#,##0.00\)</t>
        </is>
      </c>
      <c r="J375" t="b">
        <v>0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inlineStr">
        <is>
          <t>G000046</t>
        </is>
      </c>
      <c r="T375" t="inlineStr">
        <is>
          <t>Vertical</t>
        </is>
      </c>
      <c r="U375" t="n">
        <v>6</v>
      </c>
      <c r="V375" t="b">
        <v>1</v>
      </c>
      <c r="W375" t="inlineStr">
        <is>
          <t>EXPENSE VARIANCES!J23:J28</t>
        </is>
      </c>
      <c r="X375">
        <f>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f>
        <v/>
      </c>
    </row>
    <row r="376">
      <c r="A376" t="inlineStr">
        <is>
          <t>EXPENSE VARIANCES</t>
        </is>
      </c>
      <c r="B376" t="inlineStr">
        <is>
          <t>K24</t>
        </is>
      </c>
      <c r="C376" t="n">
        <v>24</v>
      </c>
      <c r="D376" t="n">
        <v>11</v>
      </c>
      <c r="E376" t="inlineStr">
        <is>
          <t>Output</t>
        </is>
      </c>
      <c r="F376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376" t="n">
        <v>200</v>
      </c>
      <c r="H376" t="inlineStr"/>
      <c r="I376" t="inlineStr">
        <is>
          <t>"$"#,##0.00_);[Red]\("$"#,##0.00\)</t>
        </is>
      </c>
      <c r="J376" t="b">
        <v>0</v>
      </c>
      <c r="K376" t="b">
        <v>0</v>
      </c>
      <c r="L376" t="n">
        <v>10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inlineStr">
        <is>
          <t>G000047</t>
        </is>
      </c>
      <c r="T376" t="inlineStr">
        <is>
          <t>Vertical</t>
        </is>
      </c>
      <c r="U376" t="n">
        <v>6</v>
      </c>
      <c r="V376" t="b">
        <v>1</v>
      </c>
      <c r="W376" t="inlineStr">
        <is>
          <t>EXPENSE VARIANCES!K23:K28</t>
        </is>
      </c>
      <c r="X376">
        <f>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f>
        <v/>
      </c>
    </row>
    <row r="377">
      <c r="A377" t="inlineStr">
        <is>
          <t>EXPENSE VARIANCES</t>
        </is>
      </c>
      <c r="B377" t="inlineStr">
        <is>
          <t>L24</t>
        </is>
      </c>
      <c r="C377" t="n">
        <v>24</v>
      </c>
      <c r="D377" t="n">
        <v>12</v>
      </c>
      <c r="E377" t="inlineStr">
        <is>
          <t>Output</t>
        </is>
      </c>
      <c r="F377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377" t="n">
        <v>200</v>
      </c>
      <c r="H377" t="inlineStr"/>
      <c r="I377" t="inlineStr">
        <is>
          <t>"$"#,##0.00_);[Red]\("$"#,##0.00\)</t>
        </is>
      </c>
      <c r="J377" t="b">
        <v>0</v>
      </c>
      <c r="K377" t="b">
        <v>0</v>
      </c>
      <c r="L377" t="n">
        <v>10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inlineStr">
        <is>
          <t>G000048</t>
        </is>
      </c>
      <c r="T377" t="inlineStr">
        <is>
          <t>Vertical</t>
        </is>
      </c>
      <c r="U377" t="n">
        <v>6</v>
      </c>
      <c r="V377" t="b">
        <v>1</v>
      </c>
      <c r="W377" t="inlineStr">
        <is>
          <t>EXPENSE VARIANCES!L23:L28</t>
        </is>
      </c>
      <c r="X377">
        <f>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f>
        <v/>
      </c>
    </row>
    <row r="378">
      <c r="A378" t="inlineStr">
        <is>
          <t>EXPENSE VARIANCES</t>
        </is>
      </c>
      <c r="B378" t="inlineStr">
        <is>
          <t>M24</t>
        </is>
      </c>
      <c r="C378" t="n">
        <v>24</v>
      </c>
      <c r="D378" t="n">
        <v>13</v>
      </c>
      <c r="E378" t="inlineStr">
        <is>
          <t>Output</t>
        </is>
      </c>
      <c r="F378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378" t="n">
        <v>200</v>
      </c>
      <c r="H378" t="inlineStr"/>
      <c r="I378" t="inlineStr">
        <is>
          <t>"$"#,##0.00_);[Red]\("$"#,##0.00\)</t>
        </is>
      </c>
      <c r="J378" t="b">
        <v>0</v>
      </c>
      <c r="K378" t="b">
        <v>0</v>
      </c>
      <c r="L378" t="n">
        <v>10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inlineStr">
        <is>
          <t>center</t>
        </is>
      </c>
      <c r="P378" t="inlineStr">
        <is>
          <t>center</t>
        </is>
      </c>
      <c r="R378" t="b">
        <v>1</v>
      </c>
      <c r="S378" t="inlineStr">
        <is>
          <t>G000049</t>
        </is>
      </c>
      <c r="T378" t="inlineStr">
        <is>
          <t>Vertical</t>
        </is>
      </c>
      <c r="U378" t="n">
        <v>6</v>
      </c>
      <c r="V378" t="b">
        <v>1</v>
      </c>
      <c r="W378" t="inlineStr">
        <is>
          <t>EXPENSE VARIANCES!M23:M28</t>
        </is>
      </c>
      <c r="X378">
        <f>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f>
        <v/>
      </c>
    </row>
    <row r="379">
      <c r="A379" t="inlineStr">
        <is>
          <t>EXPENSE VARIANCES</t>
        </is>
      </c>
      <c r="B379" t="inlineStr">
        <is>
          <t>N24</t>
        </is>
      </c>
      <c r="C379" t="n">
        <v>24</v>
      </c>
      <c r="D379" t="n">
        <v>14</v>
      </c>
      <c r="E379" t="inlineStr">
        <is>
          <t>Output</t>
        </is>
      </c>
      <c r="F379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379" t="n">
        <v>1000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inlineStr">
        <is>
          <t>G000050</t>
        </is>
      </c>
      <c r="T379" t="inlineStr">
        <is>
          <t>Vertical</t>
        </is>
      </c>
      <c r="U379" t="n">
        <v>6</v>
      </c>
      <c r="V379" t="b">
        <v>1</v>
      </c>
      <c r="W379" t="inlineStr">
        <is>
          <t>EXPENSE VARIANCES!N23:N28</t>
        </is>
      </c>
      <c r="X379">
        <f>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f>
        <v/>
      </c>
    </row>
    <row r="380">
      <c r="A380" t="inlineStr">
        <is>
          <t>EXPENSE VARIANCES</t>
        </is>
      </c>
      <c r="B380" t="inlineStr">
        <is>
          <t>O24</t>
        </is>
      </c>
      <c r="C380" t="n">
        <v>24</v>
      </c>
      <c r="D380" t="n">
        <v>15</v>
      </c>
      <c r="E380" t="inlineStr">
        <is>
          <t>Output</t>
        </is>
      </c>
      <c r="F380" t="inlineStr">
        <is>
          <t>'=SUM(MarketingVariances[[#This Row],[Jan]:[Dec]])</t>
        </is>
      </c>
      <c r="G380" t="n">
        <v>1500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inlineStr">
        <is>
          <t>G000051</t>
        </is>
      </c>
      <c r="T380" t="inlineStr">
        <is>
          <t>Vertical</t>
        </is>
      </c>
      <c r="U380" t="n">
        <v>6</v>
      </c>
      <c r="V380" t="b">
        <v>1</v>
      </c>
      <c r="W380" t="inlineStr">
        <is>
          <t>EXPENSE VARIANCES!O23:O28</t>
        </is>
      </c>
      <c r="X380">
        <f>SUM(MarketingVariances[[#This Row],[Jan]:[Dec]])</f>
        <v/>
      </c>
    </row>
    <row r="381">
      <c r="A381" t="inlineStr">
        <is>
          <t>EXPENSE VARIANCES</t>
        </is>
      </c>
      <c r="B381" t="inlineStr">
        <is>
          <t>P24</t>
        </is>
      </c>
      <c r="C381" t="n">
        <v>24</v>
      </c>
      <c r="D381" t="n">
        <v>16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n">
        <v/>
      </c>
      <c r="P381" t="n">
        <v/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EXPENSE VARIANCES</t>
        </is>
      </c>
      <c r="B382" t="inlineStr">
        <is>
          <t>A25</t>
        </is>
      </c>
      <c r="C382" t="n">
        <v>25</v>
      </c>
      <c r="D382" t="n">
        <v>1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n">
        <v/>
      </c>
      <c r="P382" t="n">
        <v/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EXPENSE VARIANCES</t>
        </is>
      </c>
      <c r="B383" t="inlineStr">
        <is>
          <t>B25</t>
        </is>
      </c>
      <c r="C383" t="n">
        <v>25</v>
      </c>
      <c r="D383" t="n">
        <v>2</v>
      </c>
      <c r="E383" t="inlineStr">
        <is>
          <t>Input</t>
        </is>
      </c>
      <c r="F383" t="n">
        <v/>
      </c>
      <c r="G383" t="inlineStr">
        <is>
          <t>Collateral preparation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12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left</t>
        </is>
      </c>
      <c r="P383" t="inlineStr">
        <is>
          <t>center</t>
        </is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EXPENSE VARIANCES</t>
        </is>
      </c>
      <c r="B384" t="inlineStr">
        <is>
          <t>C25</t>
        </is>
      </c>
      <c r="C384" t="n">
        <v>25</v>
      </c>
      <c r="D384" t="n">
        <v>3</v>
      </c>
      <c r="E384" t="inlineStr">
        <is>
          <t>Output</t>
        </is>
      </c>
      <c r="F384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384" t="n">
        <v>200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inlineStr">
        <is>
          <t>G000039</t>
        </is>
      </c>
      <c r="T384" t="inlineStr">
        <is>
          <t>Vertical</t>
        </is>
      </c>
      <c r="U384" t="n">
        <v>6</v>
      </c>
      <c r="V384" t="b">
        <v>1</v>
      </c>
      <c r="W384" t="inlineStr">
        <is>
          <t>EXPENSE VARIANCES!C23:C28</t>
        </is>
      </c>
      <c r="X384">
        <f>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f>
        <v/>
      </c>
    </row>
    <row r="385">
      <c r="A385" t="inlineStr">
        <is>
          <t>EXPENSE VARIANCES</t>
        </is>
      </c>
      <c r="B385" t="inlineStr">
        <is>
          <t>D25</t>
        </is>
      </c>
      <c r="C385" t="n">
        <v>25</v>
      </c>
      <c r="D385" t="n">
        <v>4</v>
      </c>
      <c r="E385" t="inlineStr">
        <is>
          <t>Output</t>
        </is>
      </c>
      <c r="F385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385" t="n">
        <v>0</v>
      </c>
      <c r="H385" t="inlineStr"/>
      <c r="I385" t="inlineStr">
        <is>
          <t>"$"#,##0.00_);[Red]\("$"#,##0.00\)</t>
        </is>
      </c>
      <c r="J385" t="b">
        <v>0</v>
      </c>
      <c r="K385" t="b">
        <v>0</v>
      </c>
      <c r="L385" t="n">
        <v>10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inlineStr">
        <is>
          <t>center</t>
        </is>
      </c>
      <c r="R385" t="b">
        <v>1</v>
      </c>
      <c r="S385" t="inlineStr">
        <is>
          <t>G000040</t>
        </is>
      </c>
      <c r="T385" t="inlineStr">
        <is>
          <t>Vertical</t>
        </is>
      </c>
      <c r="U385" t="n">
        <v>6</v>
      </c>
      <c r="V385" t="b">
        <v>1</v>
      </c>
      <c r="W385" t="inlineStr">
        <is>
          <t>EXPENSE VARIANCES!D23:D28</t>
        </is>
      </c>
      <c r="X385">
        <f>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f>
        <v/>
      </c>
    </row>
    <row r="386">
      <c r="A386" t="inlineStr">
        <is>
          <t>EXPENSE VARIANCES</t>
        </is>
      </c>
      <c r="B386" t="inlineStr">
        <is>
          <t>E25</t>
        </is>
      </c>
      <c r="C386" t="n">
        <v>25</v>
      </c>
      <c r="D386" t="n">
        <v>5</v>
      </c>
      <c r="E386" t="inlineStr">
        <is>
          <t>Output</t>
        </is>
      </c>
      <c r="F386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386" t="n">
        <v>0</v>
      </c>
      <c r="H386" t="inlineStr"/>
      <c r="I386" t="inlineStr">
        <is>
          <t>"$"#,##0.00_);[Red]\("$"#,##0.00\)</t>
        </is>
      </c>
      <c r="J386" t="b">
        <v>0</v>
      </c>
      <c r="K386" t="b">
        <v>0</v>
      </c>
      <c r="L386" t="n">
        <v>10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inlineStr">
        <is>
          <t>center</t>
        </is>
      </c>
      <c r="R386" t="b">
        <v>1</v>
      </c>
      <c r="S386" t="inlineStr">
        <is>
          <t>G000041</t>
        </is>
      </c>
      <c r="T386" t="inlineStr">
        <is>
          <t>Vertical</t>
        </is>
      </c>
      <c r="U386" t="n">
        <v>6</v>
      </c>
      <c r="V386" t="b">
        <v>1</v>
      </c>
      <c r="W386" t="inlineStr">
        <is>
          <t>EXPENSE VARIANCES!E23:E28</t>
        </is>
      </c>
      <c r="X386">
        <f>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f>
        <v/>
      </c>
    </row>
    <row r="387">
      <c r="A387" t="inlineStr">
        <is>
          <t>EXPENSE VARIANCES</t>
        </is>
      </c>
      <c r="B387" t="inlineStr">
        <is>
          <t>F25</t>
        </is>
      </c>
      <c r="C387" t="n">
        <v>25</v>
      </c>
      <c r="D387" t="n">
        <v>6</v>
      </c>
      <c r="E387" t="inlineStr">
        <is>
          <t>Output</t>
        </is>
      </c>
      <c r="F387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387" t="n">
        <v>-500</v>
      </c>
      <c r="H387" t="inlineStr"/>
      <c r="I387" t="inlineStr">
        <is>
          <t>"$"#,##0.00_);[Red]\("$"#,##0.00\)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inlineStr">
        <is>
          <t>center</t>
        </is>
      </c>
      <c r="R387" t="b">
        <v>1</v>
      </c>
      <c r="S387" t="inlineStr">
        <is>
          <t>G000042</t>
        </is>
      </c>
      <c r="T387" t="inlineStr">
        <is>
          <t>Vertical</t>
        </is>
      </c>
      <c r="U387" t="n">
        <v>6</v>
      </c>
      <c r="V387" t="b">
        <v>1</v>
      </c>
      <c r="W387" t="inlineStr">
        <is>
          <t>EXPENSE VARIANCES!F23:F28</t>
        </is>
      </c>
      <c r="X387">
        <f>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f>
        <v/>
      </c>
    </row>
    <row r="388">
      <c r="A388" t="inlineStr">
        <is>
          <t>EXPENSE VARIANCES</t>
        </is>
      </c>
      <c r="B388" t="inlineStr">
        <is>
          <t>G25</t>
        </is>
      </c>
      <c r="C388" t="n">
        <v>25</v>
      </c>
      <c r="D388" t="n">
        <v>7</v>
      </c>
      <c r="E388" t="inlineStr">
        <is>
          <t>Output</t>
        </is>
      </c>
      <c r="F388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388" t="n">
        <v>0</v>
      </c>
      <c r="H388" t="inlineStr"/>
      <c r="I388" t="inlineStr">
        <is>
          <t>"$"#,##0.00_);[Red]\("$"#,##0.00\)</t>
        </is>
      </c>
      <c r="J388" t="b">
        <v>0</v>
      </c>
      <c r="K388" t="b">
        <v>0</v>
      </c>
      <c r="L388" t="n">
        <v>10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center</t>
        </is>
      </c>
      <c r="P388" t="inlineStr">
        <is>
          <t>center</t>
        </is>
      </c>
      <c r="R388" t="b">
        <v>1</v>
      </c>
      <c r="S388" t="inlineStr">
        <is>
          <t>G000043</t>
        </is>
      </c>
      <c r="T388" t="inlineStr">
        <is>
          <t>Vertical</t>
        </is>
      </c>
      <c r="U388" t="n">
        <v>6</v>
      </c>
      <c r="V388" t="b">
        <v>1</v>
      </c>
      <c r="W388" t="inlineStr">
        <is>
          <t>EXPENSE VARIANCES!G23:G28</t>
        </is>
      </c>
      <c r="X388">
        <f>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f>
        <v/>
      </c>
    </row>
    <row r="389">
      <c r="A389" t="inlineStr">
        <is>
          <t>EXPENSE VARIANCES</t>
        </is>
      </c>
      <c r="B389" t="inlineStr">
        <is>
          <t>H25</t>
        </is>
      </c>
      <c r="C389" t="n">
        <v>25</v>
      </c>
      <c r="D389" t="n">
        <v>8</v>
      </c>
      <c r="E389" t="inlineStr">
        <is>
          <t>Output</t>
        </is>
      </c>
      <c r="F389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389" t="n">
        <v>0</v>
      </c>
      <c r="H389" t="inlineStr"/>
      <c r="I389" t="inlineStr">
        <is>
          <t>"$"#,##0.00_);[Red]\("$"#,##0.00\)</t>
        </is>
      </c>
      <c r="J389" t="b">
        <v>0</v>
      </c>
      <c r="K389" t="b">
        <v>0</v>
      </c>
      <c r="L389" t="n">
        <v>10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inlineStr">
        <is>
          <t>center</t>
        </is>
      </c>
      <c r="P389" t="inlineStr">
        <is>
          <t>center</t>
        </is>
      </c>
      <c r="R389" t="b">
        <v>1</v>
      </c>
      <c r="S389" t="inlineStr">
        <is>
          <t>G000044</t>
        </is>
      </c>
      <c r="T389" t="inlineStr">
        <is>
          <t>Vertical</t>
        </is>
      </c>
      <c r="U389" t="n">
        <v>6</v>
      </c>
      <c r="V389" t="b">
        <v>1</v>
      </c>
      <c r="W389" t="inlineStr">
        <is>
          <t>EXPENSE VARIANCES!H23:H28</t>
        </is>
      </c>
      <c r="X389">
        <f>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f>
        <v/>
      </c>
    </row>
    <row r="390">
      <c r="A390" t="inlineStr">
        <is>
          <t>EXPENSE VARIANCES</t>
        </is>
      </c>
      <c r="B390" t="inlineStr">
        <is>
          <t>I25</t>
        </is>
      </c>
      <c r="C390" t="n">
        <v>25</v>
      </c>
      <c r="D390" t="n">
        <v>9</v>
      </c>
      <c r="E390" t="inlineStr">
        <is>
          <t>Output</t>
        </is>
      </c>
      <c r="F390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390" t="n">
        <v>5000</v>
      </c>
      <c r="H390" t="inlineStr"/>
      <c r="I390" t="inlineStr">
        <is>
          <t>"$"#,##0.00_);[Red]\("$"#,##0.00\)</t>
        </is>
      </c>
      <c r="J390" t="b">
        <v>0</v>
      </c>
      <c r="K390" t="b">
        <v>0</v>
      </c>
      <c r="L390" t="n">
        <v>10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center</t>
        </is>
      </c>
      <c r="P390" t="inlineStr">
        <is>
          <t>center</t>
        </is>
      </c>
      <c r="R390" t="b">
        <v>1</v>
      </c>
      <c r="S390" t="inlineStr">
        <is>
          <t>G000045</t>
        </is>
      </c>
      <c r="T390" t="inlineStr">
        <is>
          <t>Vertical</t>
        </is>
      </c>
      <c r="U390" t="n">
        <v>6</v>
      </c>
      <c r="V390" t="b">
        <v>1</v>
      </c>
      <c r="W390" t="inlineStr">
        <is>
          <t>EXPENSE VARIANCES!I23:I28</t>
        </is>
      </c>
      <c r="X390">
        <f>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f>
        <v/>
      </c>
    </row>
    <row r="391">
      <c r="A391" t="inlineStr">
        <is>
          <t>EXPENSE VARIANCES</t>
        </is>
      </c>
      <c r="B391" t="inlineStr">
        <is>
          <t>J25</t>
        </is>
      </c>
      <c r="C391" t="n">
        <v>25</v>
      </c>
      <c r="D391" t="n">
        <v>10</v>
      </c>
      <c r="E391" t="inlineStr">
        <is>
          <t>Output</t>
        </is>
      </c>
      <c r="F391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391" t="n">
        <v>0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G000046</t>
        </is>
      </c>
      <c r="T391" t="inlineStr">
        <is>
          <t>Vertical</t>
        </is>
      </c>
      <c r="U391" t="n">
        <v>6</v>
      </c>
      <c r="V391" t="b">
        <v>1</v>
      </c>
      <c r="W391" t="inlineStr">
        <is>
          <t>EXPENSE VARIANCES!J23:J28</t>
        </is>
      </c>
      <c r="X391">
        <f>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f>
        <v/>
      </c>
    </row>
    <row r="392">
      <c r="A392" t="inlineStr">
        <is>
          <t>EXPENSE VARIANCES</t>
        </is>
      </c>
      <c r="B392" t="inlineStr">
        <is>
          <t>K25</t>
        </is>
      </c>
      <c r="C392" t="n">
        <v>25</v>
      </c>
      <c r="D392" t="n">
        <v>11</v>
      </c>
      <c r="E392" t="inlineStr">
        <is>
          <t>Output</t>
        </is>
      </c>
      <c r="F392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392" t="n">
        <v>0</v>
      </c>
      <c r="H392" t="inlineStr"/>
      <c r="I392" t="inlineStr">
        <is>
          <t>"$"#,##0.00_);[Red]\("$"#,##0.00\)</t>
        </is>
      </c>
      <c r="J392" t="b">
        <v>0</v>
      </c>
      <c r="K392" t="b">
        <v>0</v>
      </c>
      <c r="L392" t="n">
        <v>10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inlineStr">
        <is>
          <t>G000047</t>
        </is>
      </c>
      <c r="T392" t="inlineStr">
        <is>
          <t>Vertical</t>
        </is>
      </c>
      <c r="U392" t="n">
        <v>6</v>
      </c>
      <c r="V392" t="b">
        <v>1</v>
      </c>
      <c r="W392" t="inlineStr">
        <is>
          <t>EXPENSE VARIANCES!K23:K28</t>
        </is>
      </c>
      <c r="X392">
        <f>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f>
        <v/>
      </c>
    </row>
    <row r="393">
      <c r="A393" t="inlineStr">
        <is>
          <t>EXPENSE VARIANCES</t>
        </is>
      </c>
      <c r="B393" t="inlineStr">
        <is>
          <t>L25</t>
        </is>
      </c>
      <c r="C393" t="n">
        <v>25</v>
      </c>
      <c r="D393" t="n">
        <v>12</v>
      </c>
      <c r="E393" t="inlineStr">
        <is>
          <t>Output</t>
        </is>
      </c>
      <c r="F393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393" t="n">
        <v>5000</v>
      </c>
      <c r="H393" t="inlineStr"/>
      <c r="I393" t="inlineStr">
        <is>
          <t>"$"#,##0.00_);[Red]\("$"#,##0.00\)</t>
        </is>
      </c>
      <c r="J393" t="b">
        <v>0</v>
      </c>
      <c r="K393" t="b">
        <v>0</v>
      </c>
      <c r="L393" t="n">
        <v>10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inlineStr">
        <is>
          <t>G000048</t>
        </is>
      </c>
      <c r="T393" t="inlineStr">
        <is>
          <t>Vertical</t>
        </is>
      </c>
      <c r="U393" t="n">
        <v>6</v>
      </c>
      <c r="V393" t="b">
        <v>1</v>
      </c>
      <c r="W393" t="inlineStr">
        <is>
          <t>EXPENSE VARIANCES!L23:L28</t>
        </is>
      </c>
      <c r="X393">
        <f>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f>
        <v/>
      </c>
    </row>
    <row r="394">
      <c r="A394" t="inlineStr">
        <is>
          <t>EXPENSE VARIANCES</t>
        </is>
      </c>
      <c r="B394" t="inlineStr">
        <is>
          <t>M25</t>
        </is>
      </c>
      <c r="C394" t="n">
        <v>25</v>
      </c>
      <c r="D394" t="n">
        <v>13</v>
      </c>
      <c r="E394" t="inlineStr">
        <is>
          <t>Output</t>
        </is>
      </c>
      <c r="F394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394" t="n">
        <v>0</v>
      </c>
      <c r="H394" t="inlineStr"/>
      <c r="I394" t="inlineStr">
        <is>
          <t>"$"#,##0.00_);[Red]\("$"#,##0.00\)</t>
        </is>
      </c>
      <c r="J394" t="b">
        <v>0</v>
      </c>
      <c r="K394" t="b">
        <v>0</v>
      </c>
      <c r="L394" t="n">
        <v>10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inlineStr">
        <is>
          <t>G000049</t>
        </is>
      </c>
      <c r="T394" t="inlineStr">
        <is>
          <t>Vertical</t>
        </is>
      </c>
      <c r="U394" t="n">
        <v>6</v>
      </c>
      <c r="V394" t="b">
        <v>1</v>
      </c>
      <c r="W394" t="inlineStr">
        <is>
          <t>EXPENSE VARIANCES!M23:M28</t>
        </is>
      </c>
      <c r="X394">
        <f>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f>
        <v/>
      </c>
    </row>
    <row r="395">
      <c r="A395" t="inlineStr">
        <is>
          <t>EXPENSE VARIANCES</t>
        </is>
      </c>
      <c r="B395" t="inlineStr">
        <is>
          <t>N25</t>
        </is>
      </c>
      <c r="C395" t="n">
        <v>25</v>
      </c>
      <c r="D395" t="n">
        <v>14</v>
      </c>
      <c r="E395" t="inlineStr">
        <is>
          <t>Output</t>
        </is>
      </c>
      <c r="F395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395" t="n">
        <v>0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inlineStr">
        <is>
          <t>G000050</t>
        </is>
      </c>
      <c r="T395" t="inlineStr">
        <is>
          <t>Vertical</t>
        </is>
      </c>
      <c r="U395" t="n">
        <v>6</v>
      </c>
      <c r="V395" t="b">
        <v>1</v>
      </c>
      <c r="W395" t="inlineStr">
        <is>
          <t>EXPENSE VARIANCES!N23:N28</t>
        </is>
      </c>
      <c r="X395">
        <f>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f>
        <v/>
      </c>
    </row>
    <row r="396">
      <c r="A396" t="inlineStr">
        <is>
          <t>EXPENSE VARIANCES</t>
        </is>
      </c>
      <c r="B396" t="inlineStr">
        <is>
          <t>O25</t>
        </is>
      </c>
      <c r="C396" t="n">
        <v>25</v>
      </c>
      <c r="D396" t="n">
        <v>15</v>
      </c>
      <c r="E396" t="inlineStr">
        <is>
          <t>Output</t>
        </is>
      </c>
      <c r="F396" t="inlineStr">
        <is>
          <t>'=SUM(MarketingVariances[[#This Row],[Jan]:[Dec]])</t>
        </is>
      </c>
      <c r="G396" t="n">
        <v>9700</v>
      </c>
      <c r="H396" t="inlineStr"/>
      <c r="I396" t="inlineStr">
        <is>
          <t>"$"#,##0.00_);[Red]\("$"#,##0.00\)</t>
        </is>
      </c>
      <c r="J396" t="b">
        <v>0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inlineStr">
        <is>
          <t>center</t>
        </is>
      </c>
      <c r="R396" t="b">
        <v>1</v>
      </c>
      <c r="S396" t="inlineStr">
        <is>
          <t>G000051</t>
        </is>
      </c>
      <c r="T396" t="inlineStr">
        <is>
          <t>Vertical</t>
        </is>
      </c>
      <c r="U396" t="n">
        <v>6</v>
      </c>
      <c r="V396" t="b">
        <v>1</v>
      </c>
      <c r="W396" t="inlineStr">
        <is>
          <t>EXPENSE VARIANCES!O23:O28</t>
        </is>
      </c>
      <c r="X396">
        <f>SUM(MarketingVariances[[#This Row],[Jan]:[Dec]])</f>
        <v/>
      </c>
    </row>
    <row r="397">
      <c r="A397" t="inlineStr">
        <is>
          <t>EXPENSE VARIANCES</t>
        </is>
      </c>
      <c r="B397" t="inlineStr">
        <is>
          <t>P25</t>
        </is>
      </c>
      <c r="C397" t="n">
        <v>25</v>
      </c>
      <c r="D397" t="n">
        <v>16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n">
        <v/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EXPENSE VARIANCES</t>
        </is>
      </c>
      <c r="B398" t="inlineStr">
        <is>
          <t>A26</t>
        </is>
      </c>
      <c r="C398" t="n">
        <v>26</v>
      </c>
      <c r="D398" t="n">
        <v>1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n">
        <v/>
      </c>
      <c r="P398" t="n">
        <v/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EXPENSE VARIANCES</t>
        </is>
      </c>
      <c r="B399" t="inlineStr">
        <is>
          <t>B26</t>
        </is>
      </c>
      <c r="C399" t="n">
        <v>26</v>
      </c>
      <c r="D399" t="n">
        <v>2</v>
      </c>
      <c r="E399" t="inlineStr">
        <is>
          <t>Input</t>
        </is>
      </c>
      <c r="F399" t="n">
        <v/>
      </c>
      <c r="G399" t="inlineStr">
        <is>
          <t>Collateral printing</t>
        </is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12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left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EXPENSE VARIANCES</t>
        </is>
      </c>
      <c r="B400" t="inlineStr">
        <is>
          <t>C26</t>
        </is>
      </c>
      <c r="C400" t="n">
        <v>26</v>
      </c>
      <c r="D400" t="n">
        <v>3</v>
      </c>
      <c r="E400" t="inlineStr">
        <is>
          <t>Output</t>
        </is>
      </c>
      <c r="F400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00" t="n">
        <v>100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inlineStr">
        <is>
          <t>G000039</t>
        </is>
      </c>
      <c r="T400" t="inlineStr">
        <is>
          <t>Vertical</t>
        </is>
      </c>
      <c r="U400" t="n">
        <v>6</v>
      </c>
      <c r="V400" t="b">
        <v>1</v>
      </c>
      <c r="W400" t="inlineStr">
        <is>
          <t>EXPENSE VARIANCES!C23:C28</t>
        </is>
      </c>
      <c r="X400">
        <f>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f>
        <v/>
      </c>
    </row>
    <row r="401">
      <c r="A401" t="inlineStr">
        <is>
          <t>EXPENSE VARIANCES</t>
        </is>
      </c>
      <c r="B401" t="inlineStr">
        <is>
          <t>D26</t>
        </is>
      </c>
      <c r="C401" t="n">
        <v>26</v>
      </c>
      <c r="D401" t="n">
        <v>4</v>
      </c>
      <c r="E401" t="inlineStr">
        <is>
          <t>Output</t>
        </is>
      </c>
      <c r="F401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01" t="n">
        <v>-300</v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10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inlineStr">
        <is>
          <t>G000040</t>
        </is>
      </c>
      <c r="T401" t="inlineStr">
        <is>
          <t>Vertical</t>
        </is>
      </c>
      <c r="U401" t="n">
        <v>6</v>
      </c>
      <c r="V401" t="b">
        <v>1</v>
      </c>
      <c r="W401" t="inlineStr">
        <is>
          <t>EXPENSE VARIANCES!D23:D28</t>
        </is>
      </c>
      <c r="X401">
        <f>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f>
        <v/>
      </c>
    </row>
    <row r="402">
      <c r="A402" t="inlineStr">
        <is>
          <t>EXPENSE VARIANCES</t>
        </is>
      </c>
      <c r="B402" t="inlineStr">
        <is>
          <t>E26</t>
        </is>
      </c>
      <c r="C402" t="n">
        <v>26</v>
      </c>
      <c r="D402" t="n">
        <v>5</v>
      </c>
      <c r="E402" t="inlineStr">
        <is>
          <t>Output</t>
        </is>
      </c>
      <c r="F402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02" t="n">
        <v>100</v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10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inlineStr">
        <is>
          <t>G000041</t>
        </is>
      </c>
      <c r="T402" t="inlineStr">
        <is>
          <t>Vertical</t>
        </is>
      </c>
      <c r="U402" t="n">
        <v>6</v>
      </c>
      <c r="V402" t="b">
        <v>1</v>
      </c>
      <c r="W402" t="inlineStr">
        <is>
          <t>EXPENSE VARIANCES!E23:E28</t>
        </is>
      </c>
      <c r="X402">
        <f>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f>
        <v/>
      </c>
    </row>
    <row r="403">
      <c r="A403" t="inlineStr">
        <is>
          <t>EXPENSE VARIANCES</t>
        </is>
      </c>
      <c r="B403" t="inlineStr">
        <is>
          <t>F26</t>
        </is>
      </c>
      <c r="C403" t="n">
        <v>26</v>
      </c>
      <c r="D403" t="n">
        <v>6</v>
      </c>
      <c r="E403" t="inlineStr">
        <is>
          <t>Output</t>
        </is>
      </c>
      <c r="F403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03" t="n">
        <v>100</v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G000042</t>
        </is>
      </c>
      <c r="T403" t="inlineStr">
        <is>
          <t>Vertical</t>
        </is>
      </c>
      <c r="U403" t="n">
        <v>6</v>
      </c>
      <c r="V403" t="b">
        <v>1</v>
      </c>
      <c r="W403" t="inlineStr">
        <is>
          <t>EXPENSE VARIANCES!F23:F28</t>
        </is>
      </c>
      <c r="X403">
        <f>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f>
        <v/>
      </c>
    </row>
    <row r="404">
      <c r="A404" t="inlineStr">
        <is>
          <t>EXPENSE VARIANCES</t>
        </is>
      </c>
      <c r="B404" t="inlineStr">
        <is>
          <t>G26</t>
        </is>
      </c>
      <c r="C404" t="n">
        <v>26</v>
      </c>
      <c r="D404" t="n">
        <v>7</v>
      </c>
      <c r="E404" t="inlineStr">
        <is>
          <t>Output</t>
        </is>
      </c>
      <c r="F404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04" t="n">
        <v>-400</v>
      </c>
      <c r="H404" t="inlineStr"/>
      <c r="I404" t="inlineStr">
        <is>
          <t>"$"#,##0.00_);[Red]\("$"#,##0.00\)</t>
        </is>
      </c>
      <c r="J404" t="b">
        <v>0</v>
      </c>
      <c r="K404" t="b">
        <v>0</v>
      </c>
      <c r="L404" t="n">
        <v>10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inlineStr">
        <is>
          <t>G000043</t>
        </is>
      </c>
      <c r="T404" t="inlineStr">
        <is>
          <t>Vertical</t>
        </is>
      </c>
      <c r="U404" t="n">
        <v>6</v>
      </c>
      <c r="V404" t="b">
        <v>1</v>
      </c>
      <c r="W404" t="inlineStr">
        <is>
          <t>EXPENSE VARIANCES!G23:G28</t>
        </is>
      </c>
      <c r="X404">
        <f>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f>
        <v/>
      </c>
    </row>
    <row r="405">
      <c r="A405" t="inlineStr">
        <is>
          <t>EXPENSE VARIANCES</t>
        </is>
      </c>
      <c r="B405" t="inlineStr">
        <is>
          <t>H26</t>
        </is>
      </c>
      <c r="C405" t="n">
        <v>26</v>
      </c>
      <c r="D405" t="n">
        <v>8</v>
      </c>
      <c r="E405" t="inlineStr">
        <is>
          <t>Output</t>
        </is>
      </c>
      <c r="F405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05" t="n">
        <v>20</v>
      </c>
      <c r="H405" t="inlineStr"/>
      <c r="I405" t="inlineStr">
        <is>
          <t>"$"#,##0.00_);[Red]\("$"#,##0.00\)</t>
        </is>
      </c>
      <c r="J405" t="b">
        <v>0</v>
      </c>
      <c r="K405" t="b">
        <v>0</v>
      </c>
      <c r="L405" t="n">
        <v>10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inlineStr">
        <is>
          <t>G000044</t>
        </is>
      </c>
      <c r="T405" t="inlineStr">
        <is>
          <t>Vertical</t>
        </is>
      </c>
      <c r="U405" t="n">
        <v>6</v>
      </c>
      <c r="V405" t="b">
        <v>1</v>
      </c>
      <c r="W405" t="inlineStr">
        <is>
          <t>EXPENSE VARIANCES!H23:H28</t>
        </is>
      </c>
      <c r="X405">
        <f>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f>
        <v/>
      </c>
    </row>
    <row r="406">
      <c r="A406" t="inlineStr">
        <is>
          <t>EXPENSE VARIANCES</t>
        </is>
      </c>
      <c r="B406" t="inlineStr">
        <is>
          <t>I26</t>
        </is>
      </c>
      <c r="C406" t="n">
        <v>26</v>
      </c>
      <c r="D406" t="n">
        <v>9</v>
      </c>
      <c r="E406" t="inlineStr">
        <is>
          <t>Output</t>
        </is>
      </c>
      <c r="F406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06" t="n">
        <v>200</v>
      </c>
      <c r="H406" t="inlineStr"/>
      <c r="I406" t="inlineStr">
        <is>
          <t>"$"#,##0.00_);[Red]\("$"#,##0.00\)</t>
        </is>
      </c>
      <c r="J406" t="b">
        <v>0</v>
      </c>
      <c r="K406" t="b">
        <v>0</v>
      </c>
      <c r="L406" t="n">
        <v>10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inlineStr">
        <is>
          <t>G000045</t>
        </is>
      </c>
      <c r="T406" t="inlineStr">
        <is>
          <t>Vertical</t>
        </is>
      </c>
      <c r="U406" t="n">
        <v>6</v>
      </c>
      <c r="V406" t="b">
        <v>1</v>
      </c>
      <c r="W406" t="inlineStr">
        <is>
          <t>EXPENSE VARIANCES!I23:I28</t>
        </is>
      </c>
      <c r="X406">
        <f>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f>
        <v/>
      </c>
    </row>
    <row r="407">
      <c r="A407" t="inlineStr">
        <is>
          <t>EXPENSE VARIANCES</t>
        </is>
      </c>
      <c r="B407" t="inlineStr">
        <is>
          <t>J26</t>
        </is>
      </c>
      <c r="C407" t="n">
        <v>26</v>
      </c>
      <c r="D407" t="n">
        <v>10</v>
      </c>
      <c r="E407" t="inlineStr">
        <is>
          <t>Output</t>
        </is>
      </c>
      <c r="F407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07" t="n">
        <v>200</v>
      </c>
      <c r="H407" t="inlineStr"/>
      <c r="I407" t="inlineStr">
        <is>
          <t>"$"#,##0.00_);[Red]\("$"#,##0.00\)</t>
        </is>
      </c>
      <c r="J407" t="b">
        <v>0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inlineStr">
        <is>
          <t>G000046</t>
        </is>
      </c>
      <c r="T407" t="inlineStr">
        <is>
          <t>Vertical</t>
        </is>
      </c>
      <c r="U407" t="n">
        <v>6</v>
      </c>
      <c r="V407" t="b">
        <v>1</v>
      </c>
      <c r="W407" t="inlineStr">
        <is>
          <t>EXPENSE VARIANCES!J23:J28</t>
        </is>
      </c>
      <c r="X407">
        <f>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f>
        <v/>
      </c>
    </row>
    <row r="408">
      <c r="A408" t="inlineStr">
        <is>
          <t>EXPENSE VARIANCES</t>
        </is>
      </c>
      <c r="B408" t="inlineStr">
        <is>
          <t>K26</t>
        </is>
      </c>
      <c r="C408" t="n">
        <v>26</v>
      </c>
      <c r="D408" t="n">
        <v>11</v>
      </c>
      <c r="E408" t="inlineStr">
        <is>
          <t>Output</t>
        </is>
      </c>
      <c r="F408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08" t="n">
        <v>200</v>
      </c>
      <c r="H408" t="inlineStr"/>
      <c r="I408" t="inlineStr">
        <is>
          <t>"$"#,##0.00_);[Red]\("$"#,##0.00\)</t>
        </is>
      </c>
      <c r="J408" t="b">
        <v>0</v>
      </c>
      <c r="K408" t="b">
        <v>0</v>
      </c>
      <c r="L408" t="n">
        <v>10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center</t>
        </is>
      </c>
      <c r="P408" t="inlineStr">
        <is>
          <t>center</t>
        </is>
      </c>
      <c r="R408" t="b">
        <v>1</v>
      </c>
      <c r="S408" t="inlineStr">
        <is>
          <t>G000047</t>
        </is>
      </c>
      <c r="T408" t="inlineStr">
        <is>
          <t>Vertical</t>
        </is>
      </c>
      <c r="U408" t="n">
        <v>6</v>
      </c>
      <c r="V408" t="b">
        <v>1</v>
      </c>
      <c r="W408" t="inlineStr">
        <is>
          <t>EXPENSE VARIANCES!K23:K28</t>
        </is>
      </c>
      <c r="X408">
        <f>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f>
        <v/>
      </c>
    </row>
    <row r="409">
      <c r="A409" t="inlineStr">
        <is>
          <t>EXPENSE VARIANCES</t>
        </is>
      </c>
      <c r="B409" t="inlineStr">
        <is>
          <t>L26</t>
        </is>
      </c>
      <c r="C409" t="n">
        <v>26</v>
      </c>
      <c r="D409" t="n">
        <v>12</v>
      </c>
      <c r="E409" t="inlineStr">
        <is>
          <t>Output</t>
        </is>
      </c>
      <c r="F409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09" t="n">
        <v>200</v>
      </c>
      <c r="H409" t="inlineStr"/>
      <c r="I409" t="inlineStr">
        <is>
          <t>"$"#,##0.00_);[Red]\("$"#,##0.00\)</t>
        </is>
      </c>
      <c r="J409" t="b">
        <v>0</v>
      </c>
      <c r="K409" t="b">
        <v>0</v>
      </c>
      <c r="L409" t="n">
        <v>10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inlineStr">
        <is>
          <t>G000048</t>
        </is>
      </c>
      <c r="T409" t="inlineStr">
        <is>
          <t>Vertical</t>
        </is>
      </c>
      <c r="U409" t="n">
        <v>6</v>
      </c>
      <c r="V409" t="b">
        <v>1</v>
      </c>
      <c r="W409" t="inlineStr">
        <is>
          <t>EXPENSE VARIANCES!L23:L28</t>
        </is>
      </c>
      <c r="X409">
        <f>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f>
        <v/>
      </c>
    </row>
    <row r="410">
      <c r="A410" t="inlineStr">
        <is>
          <t>EXPENSE VARIANCES</t>
        </is>
      </c>
      <c r="B410" t="inlineStr">
        <is>
          <t>M26</t>
        </is>
      </c>
      <c r="C410" t="n">
        <v>26</v>
      </c>
      <c r="D410" t="n">
        <v>13</v>
      </c>
      <c r="E410" t="inlineStr">
        <is>
          <t>Output</t>
        </is>
      </c>
      <c r="F410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410" t="n">
        <v>200</v>
      </c>
      <c r="H410" t="inlineStr"/>
      <c r="I410" t="inlineStr">
        <is>
          <t>"$"#,##0.00_);[Red]\("$"#,##0.00\)</t>
        </is>
      </c>
      <c r="J410" t="b">
        <v>0</v>
      </c>
      <c r="K410" t="b">
        <v>0</v>
      </c>
      <c r="L410" t="n">
        <v>10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inlineStr">
        <is>
          <t>G000049</t>
        </is>
      </c>
      <c r="T410" t="inlineStr">
        <is>
          <t>Vertical</t>
        </is>
      </c>
      <c r="U410" t="n">
        <v>6</v>
      </c>
      <c r="V410" t="b">
        <v>1</v>
      </c>
      <c r="W410" t="inlineStr">
        <is>
          <t>EXPENSE VARIANCES!M23:M28</t>
        </is>
      </c>
      <c r="X410">
        <f>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f>
        <v/>
      </c>
    </row>
    <row r="411">
      <c r="A411" t="inlineStr">
        <is>
          <t>EXPENSE VARIANCES</t>
        </is>
      </c>
      <c r="B411" t="inlineStr">
        <is>
          <t>N26</t>
        </is>
      </c>
      <c r="C411" t="n">
        <v>26</v>
      </c>
      <c r="D411" t="n">
        <v>14</v>
      </c>
      <c r="E411" t="inlineStr">
        <is>
          <t>Output</t>
        </is>
      </c>
      <c r="F411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411" t="n">
        <v>200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inlineStr">
        <is>
          <t>G000050</t>
        </is>
      </c>
      <c r="T411" t="inlineStr">
        <is>
          <t>Vertical</t>
        </is>
      </c>
      <c r="U411" t="n">
        <v>6</v>
      </c>
      <c r="V411" t="b">
        <v>1</v>
      </c>
      <c r="W411" t="inlineStr">
        <is>
          <t>EXPENSE VARIANCES!N23:N28</t>
        </is>
      </c>
      <c r="X411">
        <f>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f>
        <v/>
      </c>
    </row>
    <row r="412">
      <c r="A412" t="inlineStr">
        <is>
          <t>EXPENSE VARIANCES</t>
        </is>
      </c>
      <c r="B412" t="inlineStr">
        <is>
          <t>O26</t>
        </is>
      </c>
      <c r="C412" t="n">
        <v>26</v>
      </c>
      <c r="D412" t="n">
        <v>15</v>
      </c>
      <c r="E412" t="inlineStr">
        <is>
          <t>Output</t>
        </is>
      </c>
      <c r="F412" t="inlineStr">
        <is>
          <t>'=SUM(MarketingVariances[[#This Row],[Jan]:[Dec]])</t>
        </is>
      </c>
      <c r="G412" t="n">
        <v>820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inlineStr">
        <is>
          <t>G000051</t>
        </is>
      </c>
      <c r="T412" t="inlineStr">
        <is>
          <t>Vertical</t>
        </is>
      </c>
      <c r="U412" t="n">
        <v>6</v>
      </c>
      <c r="V412" t="b">
        <v>1</v>
      </c>
      <c r="W412" t="inlineStr">
        <is>
          <t>EXPENSE VARIANCES!O23:O28</t>
        </is>
      </c>
      <c r="X412">
        <f>SUM(MarketingVariances[[#This Row],[Jan]:[Dec]])</f>
        <v/>
      </c>
    </row>
    <row r="413">
      <c r="A413" t="inlineStr">
        <is>
          <t>EXPENSE VARIANCES</t>
        </is>
      </c>
      <c r="B413" t="inlineStr">
        <is>
          <t>P26</t>
        </is>
      </c>
      <c r="C413" t="n">
        <v>26</v>
      </c>
      <c r="D413" t="n">
        <v>16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14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n">
        <v/>
      </c>
      <c r="P413" t="n">
        <v/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EXPENSE VARIANCES</t>
        </is>
      </c>
      <c r="B414" t="inlineStr">
        <is>
          <t>A27</t>
        </is>
      </c>
      <c r="C414" t="n">
        <v>27</v>
      </c>
      <c r="D414" t="n">
        <v>1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14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n">
        <v/>
      </c>
      <c r="P414" t="n">
        <v/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EXPENSE VARIANCES</t>
        </is>
      </c>
      <c r="B415" t="inlineStr">
        <is>
          <t>B27</t>
        </is>
      </c>
      <c r="C415" t="n">
        <v>27</v>
      </c>
      <c r="D415" t="n">
        <v>2</v>
      </c>
      <c r="E415" t="inlineStr">
        <is>
          <t>Input</t>
        </is>
      </c>
      <c r="F415" t="n">
        <v/>
      </c>
      <c r="G415" t="inlineStr">
        <is>
          <t>Marketing events</t>
        </is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12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left</t>
        </is>
      </c>
      <c r="P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EXPENSE VARIANCES</t>
        </is>
      </c>
      <c r="B416" t="inlineStr">
        <is>
          <t>C27</t>
        </is>
      </c>
      <c r="C416" t="n">
        <v>27</v>
      </c>
      <c r="D416" t="n">
        <v>3</v>
      </c>
      <c r="E416" t="inlineStr">
        <is>
          <t>Output</t>
        </is>
      </c>
      <c r="F416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16" t="n">
        <v>200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inlineStr">
        <is>
          <t>G000039</t>
        </is>
      </c>
      <c r="T416" t="inlineStr">
        <is>
          <t>Vertical</t>
        </is>
      </c>
      <c r="U416" t="n">
        <v>6</v>
      </c>
      <c r="V416" t="b">
        <v>1</v>
      </c>
      <c r="W416" t="inlineStr">
        <is>
          <t>EXPENSE VARIANCES!C23:C28</t>
        </is>
      </c>
      <c r="X416">
        <f>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f>
        <v/>
      </c>
    </row>
    <row r="417">
      <c r="A417" t="inlineStr">
        <is>
          <t>EXPENSE VARIANCES</t>
        </is>
      </c>
      <c r="B417" t="inlineStr">
        <is>
          <t>D27</t>
        </is>
      </c>
      <c r="C417" t="n">
        <v>27</v>
      </c>
      <c r="D417" t="n">
        <v>4</v>
      </c>
      <c r="E417" t="inlineStr">
        <is>
          <t>Output</t>
        </is>
      </c>
      <c r="F417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17" t="n">
        <v>-200</v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10</v>
      </c>
      <c r="M417" t="inlineStr">
        <is>
          <t>Values must be of type &lt;class 'str'&gt;</t>
        </is>
      </c>
      <c r="N417" t="inlineStr">
        <is>
          <t>Values must be of type &lt;class 'str'&gt;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inlineStr">
        <is>
          <t>G000040</t>
        </is>
      </c>
      <c r="T417" t="inlineStr">
        <is>
          <t>Vertical</t>
        </is>
      </c>
      <c r="U417" t="n">
        <v>6</v>
      </c>
      <c r="V417" t="b">
        <v>1</v>
      </c>
      <c r="W417" t="inlineStr">
        <is>
          <t>EXPENSE VARIANCES!D23:D28</t>
        </is>
      </c>
      <c r="X417">
        <f>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f>
        <v/>
      </c>
    </row>
    <row r="418">
      <c r="A418" t="inlineStr">
        <is>
          <t>EXPENSE VARIANCES</t>
        </is>
      </c>
      <c r="B418" t="inlineStr">
        <is>
          <t>E27</t>
        </is>
      </c>
      <c r="C418" t="n">
        <v>27</v>
      </c>
      <c r="D418" t="n">
        <v>5</v>
      </c>
      <c r="E418" t="inlineStr">
        <is>
          <t>Output</t>
        </is>
      </c>
      <c r="F418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18" t="n">
        <v>-200</v>
      </c>
      <c r="H418" t="inlineStr"/>
      <c r="I418" t="inlineStr">
        <is>
          <t>"$"#,##0.00_);[Red]\("$"#,##0.00\)</t>
        </is>
      </c>
      <c r="J418" t="b">
        <v>0</v>
      </c>
      <c r="K418" t="b">
        <v>0</v>
      </c>
      <c r="L418" t="n">
        <v>10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inlineStr">
        <is>
          <t>center</t>
        </is>
      </c>
      <c r="P418" t="inlineStr">
        <is>
          <t>center</t>
        </is>
      </c>
      <c r="R418" t="b">
        <v>1</v>
      </c>
      <c r="S418" t="inlineStr">
        <is>
          <t>G000041</t>
        </is>
      </c>
      <c r="T418" t="inlineStr">
        <is>
          <t>Vertical</t>
        </is>
      </c>
      <c r="U418" t="n">
        <v>6</v>
      </c>
      <c r="V418" t="b">
        <v>1</v>
      </c>
      <c r="W418" t="inlineStr">
        <is>
          <t>EXPENSE VARIANCES!E23:E28</t>
        </is>
      </c>
      <c r="X418">
        <f>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f>
        <v/>
      </c>
    </row>
    <row r="419">
      <c r="A419" t="inlineStr">
        <is>
          <t>EXPENSE VARIANCES</t>
        </is>
      </c>
      <c r="B419" t="inlineStr">
        <is>
          <t>F27</t>
        </is>
      </c>
      <c r="C419" t="n">
        <v>27</v>
      </c>
      <c r="D419" t="n">
        <v>6</v>
      </c>
      <c r="E419" t="inlineStr">
        <is>
          <t>Output</t>
        </is>
      </c>
      <c r="F419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19" t="n">
        <v>300</v>
      </c>
      <c r="H419" t="inlineStr"/>
      <c r="I419" t="inlineStr">
        <is>
          <t>"$"#,##0.00_);[Red]\("$"#,##0.00\)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inlineStr">
        <is>
          <t>center</t>
        </is>
      </c>
      <c r="P419" t="inlineStr">
        <is>
          <t>center</t>
        </is>
      </c>
      <c r="R419" t="b">
        <v>1</v>
      </c>
      <c r="S419" t="inlineStr">
        <is>
          <t>G000042</t>
        </is>
      </c>
      <c r="T419" t="inlineStr">
        <is>
          <t>Vertical</t>
        </is>
      </c>
      <c r="U419" t="n">
        <v>6</v>
      </c>
      <c r="V419" t="b">
        <v>1</v>
      </c>
      <c r="W419" t="inlineStr">
        <is>
          <t>EXPENSE VARIANCES!F23:F28</t>
        </is>
      </c>
      <c r="X419">
        <f>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f>
        <v/>
      </c>
    </row>
    <row r="420">
      <c r="A420" t="inlineStr">
        <is>
          <t>EXPENSE VARIANCES</t>
        </is>
      </c>
      <c r="B420" t="inlineStr">
        <is>
          <t>G27</t>
        </is>
      </c>
      <c r="C420" t="n">
        <v>27</v>
      </c>
      <c r="D420" t="n">
        <v>7</v>
      </c>
      <c r="E420" t="inlineStr">
        <is>
          <t>Output</t>
        </is>
      </c>
      <c r="F420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20" t="n">
        <v>500</v>
      </c>
      <c r="H420" t="inlineStr"/>
      <c r="I420" t="inlineStr">
        <is>
          <t>"$"#,##0.00_);[Red]\("$"#,##0.00\)</t>
        </is>
      </c>
      <c r="J420" t="b">
        <v>0</v>
      </c>
      <c r="K420" t="b">
        <v>0</v>
      </c>
      <c r="L420" t="n">
        <v>10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inlineStr">
        <is>
          <t>center</t>
        </is>
      </c>
      <c r="P420" t="inlineStr">
        <is>
          <t>center</t>
        </is>
      </c>
      <c r="R420" t="b">
        <v>1</v>
      </c>
      <c r="S420" t="inlineStr">
        <is>
          <t>G000043</t>
        </is>
      </c>
      <c r="T420" t="inlineStr">
        <is>
          <t>Vertical</t>
        </is>
      </c>
      <c r="U420" t="n">
        <v>6</v>
      </c>
      <c r="V420" t="b">
        <v>1</v>
      </c>
      <c r="W420" t="inlineStr">
        <is>
          <t>EXPENSE VARIANCES!G23:G28</t>
        </is>
      </c>
      <c r="X420">
        <f>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f>
        <v/>
      </c>
    </row>
    <row r="421">
      <c r="A421" t="inlineStr">
        <is>
          <t>EXPENSE VARIANCES</t>
        </is>
      </c>
      <c r="B421" t="inlineStr">
        <is>
          <t>H27</t>
        </is>
      </c>
      <c r="C421" t="n">
        <v>27</v>
      </c>
      <c r="D421" t="n">
        <v>8</v>
      </c>
      <c r="E421" t="inlineStr">
        <is>
          <t>Output</t>
        </is>
      </c>
      <c r="F421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21" t="n">
        <v>-300</v>
      </c>
      <c r="H421" t="inlineStr"/>
      <c r="I421" t="inlineStr">
        <is>
          <t>"$"#,##0.00_);[Red]\("$"#,##0.00\)</t>
        </is>
      </c>
      <c r="J421" t="b">
        <v>0</v>
      </c>
      <c r="K421" t="b">
        <v>0</v>
      </c>
      <c r="L421" t="n">
        <v>10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inlineStr">
        <is>
          <t>center</t>
        </is>
      </c>
      <c r="P421" t="inlineStr">
        <is>
          <t>center</t>
        </is>
      </c>
      <c r="R421" t="b">
        <v>1</v>
      </c>
      <c r="S421" t="inlineStr">
        <is>
          <t>G000044</t>
        </is>
      </c>
      <c r="T421" t="inlineStr">
        <is>
          <t>Vertical</t>
        </is>
      </c>
      <c r="U421" t="n">
        <v>6</v>
      </c>
      <c r="V421" t="b">
        <v>1</v>
      </c>
      <c r="W421" t="inlineStr">
        <is>
          <t>EXPENSE VARIANCES!H23:H28</t>
        </is>
      </c>
      <c r="X421">
        <f>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f>
        <v/>
      </c>
    </row>
    <row r="422">
      <c r="A422" t="inlineStr">
        <is>
          <t>EXPENSE VARIANCES</t>
        </is>
      </c>
      <c r="B422" t="inlineStr">
        <is>
          <t>I27</t>
        </is>
      </c>
      <c r="C422" t="n">
        <v>27</v>
      </c>
      <c r="D422" t="n">
        <v>9</v>
      </c>
      <c r="E422" t="inlineStr">
        <is>
          <t>Output</t>
        </is>
      </c>
      <c r="F422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22" t="n">
        <v>2000</v>
      </c>
      <c r="H422" t="inlineStr"/>
      <c r="I422" t="inlineStr">
        <is>
          <t>"$"#,##0.00_);[Red]\("$"#,##0.00\)</t>
        </is>
      </c>
      <c r="J422" t="b">
        <v>0</v>
      </c>
      <c r="K422" t="b">
        <v>0</v>
      </c>
      <c r="L422" t="n">
        <v>10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center</t>
        </is>
      </c>
      <c r="P422" t="inlineStr">
        <is>
          <t>center</t>
        </is>
      </c>
      <c r="R422" t="b">
        <v>1</v>
      </c>
      <c r="S422" t="inlineStr">
        <is>
          <t>G000045</t>
        </is>
      </c>
      <c r="T422" t="inlineStr">
        <is>
          <t>Vertical</t>
        </is>
      </c>
      <c r="U422" t="n">
        <v>6</v>
      </c>
      <c r="V422" t="b">
        <v>1</v>
      </c>
      <c r="W422" t="inlineStr">
        <is>
          <t>EXPENSE VARIANCES!I23:I28</t>
        </is>
      </c>
      <c r="X422">
        <f>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f>
        <v/>
      </c>
    </row>
    <row r="423">
      <c r="A423" t="inlineStr">
        <is>
          <t>EXPENSE VARIANCES</t>
        </is>
      </c>
      <c r="B423" t="inlineStr">
        <is>
          <t>J27</t>
        </is>
      </c>
      <c r="C423" t="n">
        <v>27</v>
      </c>
      <c r="D423" t="n">
        <v>10</v>
      </c>
      <c r="E423" t="inlineStr">
        <is>
          <t>Output</t>
        </is>
      </c>
      <c r="F423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23" t="n">
        <v>5000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inlineStr">
        <is>
          <t>G000046</t>
        </is>
      </c>
      <c r="T423" t="inlineStr">
        <is>
          <t>Vertical</t>
        </is>
      </c>
      <c r="U423" t="n">
        <v>6</v>
      </c>
      <c r="V423" t="b">
        <v>1</v>
      </c>
      <c r="W423" t="inlineStr">
        <is>
          <t>EXPENSE VARIANCES!J23:J28</t>
        </is>
      </c>
      <c r="X423">
        <f>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f>
        <v/>
      </c>
    </row>
    <row r="424">
      <c r="A424" t="inlineStr">
        <is>
          <t>EXPENSE VARIANCES</t>
        </is>
      </c>
      <c r="B424" t="inlineStr">
        <is>
          <t>K27</t>
        </is>
      </c>
      <c r="C424" t="n">
        <v>27</v>
      </c>
      <c r="D424" t="n">
        <v>11</v>
      </c>
      <c r="E424" t="inlineStr">
        <is>
          <t>Output</t>
        </is>
      </c>
      <c r="F424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24" t="n">
        <v>2000</v>
      </c>
      <c r="H424" t="inlineStr"/>
      <c r="I424" t="inlineStr">
        <is>
          <t>"$"#,##0.00_);[Red]\("$"#,##0.00\)</t>
        </is>
      </c>
      <c r="J424" t="b">
        <v>0</v>
      </c>
      <c r="K424" t="b">
        <v>0</v>
      </c>
      <c r="L424" t="n">
        <v>10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inlineStr">
        <is>
          <t>center</t>
        </is>
      </c>
      <c r="P424" t="inlineStr">
        <is>
          <t>center</t>
        </is>
      </c>
      <c r="R424" t="b">
        <v>1</v>
      </c>
      <c r="S424" t="inlineStr">
        <is>
          <t>G000047</t>
        </is>
      </c>
      <c r="T424" t="inlineStr">
        <is>
          <t>Vertical</t>
        </is>
      </c>
      <c r="U424" t="n">
        <v>6</v>
      </c>
      <c r="V424" t="b">
        <v>1</v>
      </c>
      <c r="W424" t="inlineStr">
        <is>
          <t>EXPENSE VARIANCES!K23:K28</t>
        </is>
      </c>
      <c r="X424">
        <f>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f>
        <v/>
      </c>
    </row>
    <row r="425">
      <c r="A425" t="inlineStr">
        <is>
          <t>EXPENSE VARIANCES</t>
        </is>
      </c>
      <c r="B425" t="inlineStr">
        <is>
          <t>L27</t>
        </is>
      </c>
      <c r="C425" t="n">
        <v>27</v>
      </c>
      <c r="D425" t="n">
        <v>12</v>
      </c>
      <c r="E425" t="inlineStr">
        <is>
          <t>Output</t>
        </is>
      </c>
      <c r="F425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25" t="n">
        <v>2000</v>
      </c>
      <c r="H425" t="inlineStr"/>
      <c r="I425" t="inlineStr">
        <is>
          <t>"$"#,##0.00_);[Red]\("$"#,##0.00\)</t>
        </is>
      </c>
      <c r="J425" t="b">
        <v>0</v>
      </c>
      <c r="K425" t="b">
        <v>0</v>
      </c>
      <c r="L425" t="n">
        <v>10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inlineStr">
        <is>
          <t>G000048</t>
        </is>
      </c>
      <c r="T425" t="inlineStr">
        <is>
          <t>Vertical</t>
        </is>
      </c>
      <c r="U425" t="n">
        <v>6</v>
      </c>
      <c r="V425" t="b">
        <v>1</v>
      </c>
      <c r="W425" t="inlineStr">
        <is>
          <t>EXPENSE VARIANCES!L23:L28</t>
        </is>
      </c>
      <c r="X425">
        <f>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f>
        <v/>
      </c>
    </row>
    <row r="426">
      <c r="A426" t="inlineStr">
        <is>
          <t>EXPENSE VARIANCES</t>
        </is>
      </c>
      <c r="B426" t="inlineStr">
        <is>
          <t>M27</t>
        </is>
      </c>
      <c r="C426" t="n">
        <v>27</v>
      </c>
      <c r="D426" t="n">
        <v>13</v>
      </c>
      <c r="E426" t="inlineStr">
        <is>
          <t>Output</t>
        </is>
      </c>
      <c r="F426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426" t="n">
        <v>2000</v>
      </c>
      <c r="H426" t="inlineStr"/>
      <c r="I426" t="inlineStr">
        <is>
          <t>"$"#,##0.00_);[Red]\("$"#,##0.00\)</t>
        </is>
      </c>
      <c r="J426" t="b">
        <v>0</v>
      </c>
      <c r="K426" t="b">
        <v>0</v>
      </c>
      <c r="L426" t="n">
        <v>10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inlineStr">
        <is>
          <t>G000049</t>
        </is>
      </c>
      <c r="T426" t="inlineStr">
        <is>
          <t>Vertical</t>
        </is>
      </c>
      <c r="U426" t="n">
        <v>6</v>
      </c>
      <c r="V426" t="b">
        <v>1</v>
      </c>
      <c r="W426" t="inlineStr">
        <is>
          <t>EXPENSE VARIANCES!M23:M28</t>
        </is>
      </c>
      <c r="X426">
        <f>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f>
        <v/>
      </c>
    </row>
    <row r="427">
      <c r="A427" t="inlineStr">
        <is>
          <t>EXPENSE VARIANCES</t>
        </is>
      </c>
      <c r="B427" t="inlineStr">
        <is>
          <t>N27</t>
        </is>
      </c>
      <c r="C427" t="n">
        <v>27</v>
      </c>
      <c r="D427" t="n">
        <v>14</v>
      </c>
      <c r="E427" t="inlineStr">
        <is>
          <t>Output</t>
        </is>
      </c>
      <c r="F427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427" t="n">
        <v>5000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inlineStr">
        <is>
          <t>G000050</t>
        </is>
      </c>
      <c r="T427" t="inlineStr">
        <is>
          <t>Vertical</t>
        </is>
      </c>
      <c r="U427" t="n">
        <v>6</v>
      </c>
      <c r="V427" t="b">
        <v>1</v>
      </c>
      <c r="W427" t="inlineStr">
        <is>
          <t>EXPENSE VARIANCES!N23:N28</t>
        </is>
      </c>
      <c r="X427">
        <f>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f>
        <v/>
      </c>
    </row>
    <row r="428">
      <c r="A428" t="inlineStr">
        <is>
          <t>EXPENSE VARIANCES</t>
        </is>
      </c>
      <c r="B428" t="inlineStr">
        <is>
          <t>O27</t>
        </is>
      </c>
      <c r="C428" t="n">
        <v>27</v>
      </c>
      <c r="D428" t="n">
        <v>15</v>
      </c>
      <c r="E428" t="inlineStr">
        <is>
          <t>Output</t>
        </is>
      </c>
      <c r="F428" t="inlineStr">
        <is>
          <t>'=SUM(MarketingVariances[[#This Row],[Jan]:[Dec]])</t>
        </is>
      </c>
      <c r="G428" t="n">
        <v>18300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inlineStr">
        <is>
          <t>G000051</t>
        </is>
      </c>
      <c r="T428" t="inlineStr">
        <is>
          <t>Vertical</t>
        </is>
      </c>
      <c r="U428" t="n">
        <v>6</v>
      </c>
      <c r="V428" t="b">
        <v>1</v>
      </c>
      <c r="W428" t="inlineStr">
        <is>
          <t>EXPENSE VARIANCES!O23:O28</t>
        </is>
      </c>
      <c r="X428">
        <f>SUM(MarketingVariances[[#This Row],[Jan]:[Dec]])</f>
        <v/>
      </c>
    </row>
    <row r="429">
      <c r="A429" t="inlineStr">
        <is>
          <t>EXPENSE VARIANCES</t>
        </is>
      </c>
      <c r="B429" t="inlineStr">
        <is>
          <t>P27</t>
        </is>
      </c>
      <c r="C429" t="n">
        <v>27</v>
      </c>
      <c r="D429" t="n">
        <v>16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14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n">
        <v/>
      </c>
      <c r="P429" t="n">
        <v/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EXPENSE VARIANCES</t>
        </is>
      </c>
      <c r="B430" t="inlineStr">
        <is>
          <t>A28</t>
        </is>
      </c>
      <c r="C430" t="n">
        <v>28</v>
      </c>
      <c r="D430" t="n">
        <v>1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14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n">
        <v/>
      </c>
      <c r="P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EXPENSE VARIANCES</t>
        </is>
      </c>
      <c r="B431" t="inlineStr">
        <is>
          <t>B28</t>
        </is>
      </c>
      <c r="C431" t="n">
        <v>28</v>
      </c>
      <c r="D431" t="n">
        <v>2</v>
      </c>
      <c r="E431" t="inlineStr">
        <is>
          <t>Input</t>
        </is>
      </c>
      <c r="F431" t="n">
        <v/>
      </c>
      <c r="G431" t="inlineStr">
        <is>
          <t>Miscellaneous expenses</t>
        </is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12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left</t>
        </is>
      </c>
      <c r="P431" t="inlineStr">
        <is>
          <t>center</t>
        </is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EXPENSE VARIANCES</t>
        </is>
      </c>
      <c r="B432" t="inlineStr">
        <is>
          <t>C28</t>
        </is>
      </c>
      <c r="C432" t="n">
        <v>28</v>
      </c>
      <c r="D432" t="n">
        <v>3</v>
      </c>
      <c r="E432" t="inlineStr">
        <is>
          <t>Output</t>
        </is>
      </c>
      <c r="F432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32" t="n">
        <v>55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inlineStr">
        <is>
          <t>G000039</t>
        </is>
      </c>
      <c r="T432" t="inlineStr">
        <is>
          <t>Vertical</t>
        </is>
      </c>
      <c r="U432" t="n">
        <v>6</v>
      </c>
      <c r="V432" t="b">
        <v>1</v>
      </c>
      <c r="W432" t="inlineStr">
        <is>
          <t>EXPENSE VARIANCES!C23:C28</t>
        </is>
      </c>
      <c r="X432">
        <f>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f>
        <v/>
      </c>
    </row>
    <row r="433">
      <c r="A433" t="inlineStr">
        <is>
          <t>EXPENSE VARIANCES</t>
        </is>
      </c>
      <c r="B433" t="inlineStr">
        <is>
          <t>D28</t>
        </is>
      </c>
      <c r="C433" t="n">
        <v>28</v>
      </c>
      <c r="D433" t="n">
        <v>4</v>
      </c>
      <c r="E433" t="inlineStr">
        <is>
          <t>Output</t>
        </is>
      </c>
      <c r="F433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33" t="n">
        <v>44</v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10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inlineStr">
        <is>
          <t>center</t>
        </is>
      </c>
      <c r="R433" t="b">
        <v>1</v>
      </c>
      <c r="S433" t="inlineStr">
        <is>
          <t>G000040</t>
        </is>
      </c>
      <c r="T433" t="inlineStr">
        <is>
          <t>Vertical</t>
        </is>
      </c>
      <c r="U433" t="n">
        <v>6</v>
      </c>
      <c r="V433" t="b">
        <v>1</v>
      </c>
      <c r="W433" t="inlineStr">
        <is>
          <t>EXPENSE VARIANCES!D23:D28</t>
        </is>
      </c>
      <c r="X433">
        <f>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f>
        <v/>
      </c>
    </row>
    <row r="434">
      <c r="A434" t="inlineStr">
        <is>
          <t>EXPENSE VARIANCES</t>
        </is>
      </c>
      <c r="B434" t="inlineStr">
        <is>
          <t>E28</t>
        </is>
      </c>
      <c r="C434" t="n">
        <v>28</v>
      </c>
      <c r="D434" t="n">
        <v>5</v>
      </c>
      <c r="E434" t="inlineStr">
        <is>
          <t>Output</t>
        </is>
      </c>
      <c r="F434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34" t="n">
        <v>77</v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10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inlineStr">
        <is>
          <t>G000041</t>
        </is>
      </c>
      <c r="T434" t="inlineStr">
        <is>
          <t>Vertical</t>
        </is>
      </c>
      <c r="U434" t="n">
        <v>6</v>
      </c>
      <c r="V434" t="b">
        <v>1</v>
      </c>
      <c r="W434" t="inlineStr">
        <is>
          <t>EXPENSE VARIANCES!E23:E28</t>
        </is>
      </c>
      <c r="X434">
        <f>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f>
        <v/>
      </c>
    </row>
    <row r="435">
      <c r="A435" t="inlineStr">
        <is>
          <t>EXPENSE VARIANCES</t>
        </is>
      </c>
      <c r="B435" t="inlineStr">
        <is>
          <t>F28</t>
        </is>
      </c>
      <c r="C435" t="n">
        <v>28</v>
      </c>
      <c r="D435" t="n">
        <v>6</v>
      </c>
      <c r="E435" t="inlineStr">
        <is>
          <t>Output</t>
        </is>
      </c>
      <c r="F435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35" t="n">
        <v>-23</v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G000042</t>
        </is>
      </c>
      <c r="T435" t="inlineStr">
        <is>
          <t>Vertical</t>
        </is>
      </c>
      <c r="U435" t="n">
        <v>6</v>
      </c>
      <c r="V435" t="b">
        <v>1</v>
      </c>
      <c r="W435" t="inlineStr">
        <is>
          <t>EXPENSE VARIANCES!F23:F28</t>
        </is>
      </c>
      <c r="X435">
        <f>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f>
        <v/>
      </c>
    </row>
    <row r="436">
      <c r="A436" t="inlineStr">
        <is>
          <t>EXPENSE VARIANCES</t>
        </is>
      </c>
      <c r="B436" t="inlineStr">
        <is>
          <t>G28</t>
        </is>
      </c>
      <c r="C436" t="n">
        <v>28</v>
      </c>
      <c r="D436" t="n">
        <v>7</v>
      </c>
      <c r="E436" t="inlineStr">
        <is>
          <t>Output</t>
        </is>
      </c>
      <c r="F436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36" t="n">
        <v>13</v>
      </c>
      <c r="H436" t="inlineStr"/>
      <c r="I436" t="inlineStr">
        <is>
          <t>"$"#,##0.00_);[Red]\("$"#,##0.00\)</t>
        </is>
      </c>
      <c r="J436" t="b">
        <v>0</v>
      </c>
      <c r="K436" t="b">
        <v>0</v>
      </c>
      <c r="L436" t="n">
        <v>10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center</t>
        </is>
      </c>
      <c r="P436" t="inlineStr">
        <is>
          <t>center</t>
        </is>
      </c>
      <c r="R436" t="b">
        <v>1</v>
      </c>
      <c r="S436" t="inlineStr">
        <is>
          <t>G000043</t>
        </is>
      </c>
      <c r="T436" t="inlineStr">
        <is>
          <t>Vertical</t>
        </is>
      </c>
      <c r="U436" t="n">
        <v>6</v>
      </c>
      <c r="V436" t="b">
        <v>1</v>
      </c>
      <c r="W436" t="inlineStr">
        <is>
          <t>EXPENSE VARIANCES!G23:G28</t>
        </is>
      </c>
      <c r="X436">
        <f>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f>
        <v/>
      </c>
    </row>
    <row r="437">
      <c r="A437" t="inlineStr">
        <is>
          <t>EXPENSE VARIANCES</t>
        </is>
      </c>
      <c r="B437" t="inlineStr">
        <is>
          <t>H28</t>
        </is>
      </c>
      <c r="C437" t="n">
        <v>28</v>
      </c>
      <c r="D437" t="n">
        <v>8</v>
      </c>
      <c r="E437" t="inlineStr">
        <is>
          <t>Output</t>
        </is>
      </c>
      <c r="F437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37" t="n">
        <v>-45</v>
      </c>
      <c r="H437" t="inlineStr"/>
      <c r="I437" t="inlineStr">
        <is>
          <t>"$"#,##0.00_);[Red]\("$"#,##0.00\)</t>
        </is>
      </c>
      <c r="J437" t="b">
        <v>0</v>
      </c>
      <c r="K437" t="b">
        <v>0</v>
      </c>
      <c r="L437" t="n">
        <v>10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inlineStr">
        <is>
          <t>center</t>
        </is>
      </c>
      <c r="P437" t="inlineStr">
        <is>
          <t>center</t>
        </is>
      </c>
      <c r="R437" t="b">
        <v>1</v>
      </c>
      <c r="S437" t="inlineStr">
        <is>
          <t>G000044</t>
        </is>
      </c>
      <c r="T437" t="inlineStr">
        <is>
          <t>Vertical</t>
        </is>
      </c>
      <c r="U437" t="n">
        <v>6</v>
      </c>
      <c r="V437" t="b">
        <v>1</v>
      </c>
      <c r="W437" t="inlineStr">
        <is>
          <t>EXPENSE VARIANCES!H23:H28</t>
        </is>
      </c>
      <c r="X437">
        <f>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f>
        <v/>
      </c>
    </row>
    <row r="438">
      <c r="A438" t="inlineStr">
        <is>
          <t>EXPENSE VARIANCES</t>
        </is>
      </c>
      <c r="B438" t="inlineStr">
        <is>
          <t>I28</t>
        </is>
      </c>
      <c r="C438" t="n">
        <v>28</v>
      </c>
      <c r="D438" t="n">
        <v>9</v>
      </c>
      <c r="E438" t="inlineStr">
        <is>
          <t>Output</t>
        </is>
      </c>
      <c r="F438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38" t="n">
        <v>200</v>
      </c>
      <c r="H438" t="inlineStr"/>
      <c r="I438" t="inlineStr">
        <is>
          <t>"$"#,##0.00_);[Red]\("$"#,##0.00\)</t>
        </is>
      </c>
      <c r="J438" t="b">
        <v>0</v>
      </c>
      <c r="K438" t="b">
        <v>0</v>
      </c>
      <c r="L438" t="n">
        <v>10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center</t>
        </is>
      </c>
      <c r="P438" t="inlineStr">
        <is>
          <t>center</t>
        </is>
      </c>
      <c r="R438" t="b">
        <v>1</v>
      </c>
      <c r="S438" t="inlineStr">
        <is>
          <t>G000045</t>
        </is>
      </c>
      <c r="T438" t="inlineStr">
        <is>
          <t>Vertical</t>
        </is>
      </c>
      <c r="U438" t="n">
        <v>6</v>
      </c>
      <c r="V438" t="b">
        <v>1</v>
      </c>
      <c r="W438" t="inlineStr">
        <is>
          <t>EXPENSE VARIANCES!I23:I28</t>
        </is>
      </c>
      <c r="X438">
        <f>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f>
        <v/>
      </c>
    </row>
    <row r="439">
      <c r="A439" t="inlineStr">
        <is>
          <t>EXPENSE VARIANCES</t>
        </is>
      </c>
      <c r="B439" t="inlineStr">
        <is>
          <t>J28</t>
        </is>
      </c>
      <c r="C439" t="n">
        <v>28</v>
      </c>
      <c r="D439" t="n">
        <v>10</v>
      </c>
      <c r="E439" t="inlineStr">
        <is>
          <t>Output</t>
        </is>
      </c>
      <c r="F439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39" t="n">
        <v>200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G000046</t>
        </is>
      </c>
      <c r="T439" t="inlineStr">
        <is>
          <t>Vertical</t>
        </is>
      </c>
      <c r="U439" t="n">
        <v>6</v>
      </c>
      <c r="V439" t="b">
        <v>1</v>
      </c>
      <c r="W439" t="inlineStr">
        <is>
          <t>EXPENSE VARIANCES!J23:J28</t>
        </is>
      </c>
      <c r="X439">
        <f>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f>
        <v/>
      </c>
    </row>
    <row r="440">
      <c r="A440" t="inlineStr">
        <is>
          <t>EXPENSE VARIANCES</t>
        </is>
      </c>
      <c r="B440" t="inlineStr">
        <is>
          <t>K28</t>
        </is>
      </c>
      <c r="C440" t="n">
        <v>28</v>
      </c>
      <c r="D440" t="n">
        <v>11</v>
      </c>
      <c r="E440" t="inlineStr">
        <is>
          <t>Output</t>
        </is>
      </c>
      <c r="F440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40" t="n">
        <v>200</v>
      </c>
      <c r="H440" t="inlineStr"/>
      <c r="I440" t="inlineStr">
        <is>
          <t>"$"#,##0.00_);[Red]\("$"#,##0.00\)</t>
        </is>
      </c>
      <c r="J440" t="b">
        <v>0</v>
      </c>
      <c r="K440" t="b">
        <v>0</v>
      </c>
      <c r="L440" t="n">
        <v>10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inlineStr">
        <is>
          <t>center</t>
        </is>
      </c>
      <c r="R440" t="b">
        <v>1</v>
      </c>
      <c r="S440" t="inlineStr">
        <is>
          <t>G000047</t>
        </is>
      </c>
      <c r="T440" t="inlineStr">
        <is>
          <t>Vertical</t>
        </is>
      </c>
      <c r="U440" t="n">
        <v>6</v>
      </c>
      <c r="V440" t="b">
        <v>1</v>
      </c>
      <c r="W440" t="inlineStr">
        <is>
          <t>EXPENSE VARIANCES!K23:K28</t>
        </is>
      </c>
      <c r="X440">
        <f>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f>
        <v/>
      </c>
    </row>
    <row r="441">
      <c r="A441" t="inlineStr">
        <is>
          <t>EXPENSE VARIANCES</t>
        </is>
      </c>
      <c r="B441" t="inlineStr">
        <is>
          <t>L28</t>
        </is>
      </c>
      <c r="C441" t="n">
        <v>28</v>
      </c>
      <c r="D441" t="n">
        <v>12</v>
      </c>
      <c r="E441" t="inlineStr">
        <is>
          <t>Output</t>
        </is>
      </c>
      <c r="F441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41" t="n">
        <v>200</v>
      </c>
      <c r="H441" t="inlineStr"/>
      <c r="I441" t="inlineStr">
        <is>
          <t>"$"#,##0.00_);[Red]\("$"#,##0.00\)</t>
        </is>
      </c>
      <c r="J441" t="b">
        <v>0</v>
      </c>
      <c r="K441" t="b">
        <v>0</v>
      </c>
      <c r="L441" t="n">
        <v>10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inlineStr">
        <is>
          <t>center</t>
        </is>
      </c>
      <c r="R441" t="b">
        <v>1</v>
      </c>
      <c r="S441" t="inlineStr">
        <is>
          <t>G000048</t>
        </is>
      </c>
      <c r="T441" t="inlineStr">
        <is>
          <t>Vertical</t>
        </is>
      </c>
      <c r="U441" t="n">
        <v>6</v>
      </c>
      <c r="V441" t="b">
        <v>1</v>
      </c>
      <c r="W441" t="inlineStr">
        <is>
          <t>EXPENSE VARIANCES!L23:L28</t>
        </is>
      </c>
      <c r="X441">
        <f>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f>
        <v/>
      </c>
    </row>
    <row r="442">
      <c r="A442" t="inlineStr">
        <is>
          <t>EXPENSE VARIANCES</t>
        </is>
      </c>
      <c r="B442" t="inlineStr">
        <is>
          <t>M28</t>
        </is>
      </c>
      <c r="C442" t="n">
        <v>28</v>
      </c>
      <c r="D442" t="n">
        <v>13</v>
      </c>
      <c r="E442" t="inlineStr">
        <is>
          <t>Output</t>
        </is>
      </c>
      <c r="F442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442" t="n">
        <v>200</v>
      </c>
      <c r="H442" t="inlineStr"/>
      <c r="I442" t="inlineStr">
        <is>
          <t>"$"#,##0.00_);[Red]\("$"#,##0.00\)</t>
        </is>
      </c>
      <c r="J442" t="b">
        <v>0</v>
      </c>
      <c r="K442" t="b">
        <v>0</v>
      </c>
      <c r="L442" t="n">
        <v>10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inlineStr">
        <is>
          <t>center</t>
        </is>
      </c>
      <c r="R442" t="b">
        <v>1</v>
      </c>
      <c r="S442" t="inlineStr">
        <is>
          <t>G000049</t>
        </is>
      </c>
      <c r="T442" t="inlineStr">
        <is>
          <t>Vertical</t>
        </is>
      </c>
      <c r="U442" t="n">
        <v>6</v>
      </c>
      <c r="V442" t="b">
        <v>1</v>
      </c>
      <c r="W442" t="inlineStr">
        <is>
          <t>EXPENSE VARIANCES!M23:M28</t>
        </is>
      </c>
      <c r="X442">
        <f>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f>
        <v/>
      </c>
    </row>
    <row r="443">
      <c r="A443" t="inlineStr">
        <is>
          <t>EXPENSE VARIANCES</t>
        </is>
      </c>
      <c r="B443" t="inlineStr">
        <is>
          <t>N28</t>
        </is>
      </c>
      <c r="C443" t="n">
        <v>28</v>
      </c>
      <c r="D443" t="n">
        <v>14</v>
      </c>
      <c r="E443" t="inlineStr">
        <is>
          <t>Output</t>
        </is>
      </c>
      <c r="F443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443" t="n">
        <v>200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inlineStr">
        <is>
          <t>G000050</t>
        </is>
      </c>
      <c r="T443" t="inlineStr">
        <is>
          <t>Vertical</t>
        </is>
      </c>
      <c r="U443" t="n">
        <v>6</v>
      </c>
      <c r="V443" t="b">
        <v>1</v>
      </c>
      <c r="W443" t="inlineStr">
        <is>
          <t>EXPENSE VARIANCES!N23:N28</t>
        </is>
      </c>
      <c r="X443">
        <f>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f>
        <v/>
      </c>
    </row>
    <row r="444">
      <c r="A444" t="inlineStr">
        <is>
          <t>EXPENSE VARIANCES</t>
        </is>
      </c>
      <c r="B444" t="inlineStr">
        <is>
          <t>O28</t>
        </is>
      </c>
      <c r="C444" t="n">
        <v>28</v>
      </c>
      <c r="D444" t="n">
        <v>15</v>
      </c>
      <c r="E444" t="inlineStr">
        <is>
          <t>Output</t>
        </is>
      </c>
      <c r="F444" t="inlineStr">
        <is>
          <t>'=SUM(MarketingVariances[[#This Row],[Jan]:[Dec]])</t>
        </is>
      </c>
      <c r="G444" t="n">
        <v>1321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inlineStr">
        <is>
          <t>G000051</t>
        </is>
      </c>
      <c r="T444" t="inlineStr">
        <is>
          <t>Vertical</t>
        </is>
      </c>
      <c r="U444" t="n">
        <v>6</v>
      </c>
      <c r="V444" t="b">
        <v>1</v>
      </c>
      <c r="W444" t="inlineStr">
        <is>
          <t>EXPENSE VARIANCES!O23:O28</t>
        </is>
      </c>
      <c r="X444">
        <f>SUM(MarketingVariances[[#This Row],[Jan]:[Dec]])</f>
        <v/>
      </c>
    </row>
    <row r="445">
      <c r="A445" t="inlineStr">
        <is>
          <t>EXPENSE VARIANCES</t>
        </is>
      </c>
      <c r="B445" t="inlineStr">
        <is>
          <t>P28</t>
        </is>
      </c>
      <c r="C445" t="n">
        <v>28</v>
      </c>
      <c r="D445" t="n">
        <v>16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n">
        <v/>
      </c>
      <c r="P445" t="n">
        <v/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EXPENSE VARIANCES</t>
        </is>
      </c>
      <c r="B446" t="inlineStr">
        <is>
          <t>A29</t>
        </is>
      </c>
      <c r="C446" t="n">
        <v>29</v>
      </c>
      <c r="D446" t="n">
        <v>1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n">
        <v/>
      </c>
      <c r="P446" t="n">
        <v/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EXPENSE VARIANCES</t>
        </is>
      </c>
      <c r="B447" t="inlineStr">
        <is>
          <t>B29</t>
        </is>
      </c>
      <c r="C447" t="n">
        <v>29</v>
      </c>
      <c r="D447" t="n">
        <v>2</v>
      </c>
      <c r="E447" t="inlineStr">
        <is>
          <t>Input</t>
        </is>
      </c>
      <c r="F447" t="n">
        <v/>
      </c>
      <c r="G447" t="inlineStr">
        <is>
          <t>Subtotal</t>
        </is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12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left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EXPENSE VARIANCES</t>
        </is>
      </c>
      <c r="B448" t="inlineStr">
        <is>
          <t>C29</t>
        </is>
      </c>
      <c r="C448" t="n">
        <v>29</v>
      </c>
      <c r="D448" t="n">
        <v>3</v>
      </c>
      <c r="E448" t="inlineStr">
        <is>
          <t>Output</t>
        </is>
      </c>
      <c r="F448" t="inlineStr">
        <is>
          <t>'=SUBTOTAL(109,MarketingVariances[Jan])</t>
        </is>
      </c>
      <c r="G448" t="n">
        <v>555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>
        <f>SUBTOTAL(109,MarketingVariances[Jan])</f>
        <v/>
      </c>
    </row>
    <row r="449">
      <c r="A449" t="inlineStr">
        <is>
          <t>EXPENSE VARIANCES</t>
        </is>
      </c>
      <c r="B449" t="inlineStr">
        <is>
          <t>D29</t>
        </is>
      </c>
      <c r="C449" t="n">
        <v>29</v>
      </c>
      <c r="D449" t="n">
        <v>4</v>
      </c>
      <c r="E449" t="inlineStr">
        <is>
          <t>Output</t>
        </is>
      </c>
      <c r="F449" t="inlineStr">
        <is>
          <t>'=SUBTOTAL(109,MarketingVariances[Feb])</t>
        </is>
      </c>
      <c r="G449" t="n">
        <v>-456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10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>
        <f>SUBTOTAL(109,MarketingVariances[Feb])</f>
        <v/>
      </c>
    </row>
    <row r="450">
      <c r="A450" t="inlineStr">
        <is>
          <t>EXPENSE VARIANCES</t>
        </is>
      </c>
      <c r="B450" t="inlineStr">
        <is>
          <t>E29</t>
        </is>
      </c>
      <c r="C450" t="n">
        <v>29</v>
      </c>
      <c r="D450" t="n">
        <v>5</v>
      </c>
      <c r="E450" t="inlineStr">
        <is>
          <t>Output</t>
        </is>
      </c>
      <c r="F450" t="inlineStr">
        <is>
          <t>'=SUBTOTAL(109,MarketingVariances[Mar])</t>
        </is>
      </c>
      <c r="G450" t="n">
        <v>-23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10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>
        <f>SUBTOTAL(109,MarketingVariances[Mar])</f>
        <v/>
      </c>
    </row>
    <row r="451">
      <c r="A451" t="inlineStr">
        <is>
          <t>EXPENSE VARIANCES</t>
        </is>
      </c>
      <c r="B451" t="inlineStr">
        <is>
          <t>F29</t>
        </is>
      </c>
      <c r="C451" t="n">
        <v>29</v>
      </c>
      <c r="D451" t="n">
        <v>6</v>
      </c>
      <c r="E451" t="inlineStr">
        <is>
          <t>Output</t>
        </is>
      </c>
      <c r="F451" t="inlineStr">
        <is>
          <t>'=SUBTOTAL(109,MarketingVariances[Apr])</t>
        </is>
      </c>
      <c r="G451" t="n">
        <v>-123</v>
      </c>
      <c r="H451" t="inlineStr"/>
      <c r="I451" t="inlineStr">
        <is>
          <t>"$"#,##0.00_);[Red]\("$"#,##0.00\)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>
        <f>SUBTOTAL(109,MarketingVariances[Apr])</f>
        <v/>
      </c>
    </row>
    <row r="452">
      <c r="A452" t="inlineStr">
        <is>
          <t>EXPENSE VARIANCES</t>
        </is>
      </c>
      <c r="B452" t="inlineStr">
        <is>
          <t>G29</t>
        </is>
      </c>
      <c r="C452" t="n">
        <v>29</v>
      </c>
      <c r="D452" t="n">
        <v>7</v>
      </c>
      <c r="E452" t="inlineStr">
        <is>
          <t>Output</t>
        </is>
      </c>
      <c r="F452" t="inlineStr">
        <is>
          <t>'=SUBTOTAL(109,MarketingVariances[May])</t>
        </is>
      </c>
      <c r="G452" t="n">
        <v>113</v>
      </c>
      <c r="H452" t="inlineStr"/>
      <c r="I452" t="inlineStr">
        <is>
          <t>"$"#,##0.00_);[Red]\("$"#,##0.00\)</t>
        </is>
      </c>
      <c r="J452" t="b">
        <v>0</v>
      </c>
      <c r="K452" t="b">
        <v>0</v>
      </c>
      <c r="L452" t="n">
        <v>10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>
        <f>SUBTOTAL(109,MarketingVariances[May])</f>
        <v/>
      </c>
    </row>
    <row r="453">
      <c r="A453" t="inlineStr">
        <is>
          <t>EXPENSE VARIANCES</t>
        </is>
      </c>
      <c r="B453" t="inlineStr">
        <is>
          <t>H29</t>
        </is>
      </c>
      <c r="C453" t="n">
        <v>29</v>
      </c>
      <c r="D453" t="n">
        <v>8</v>
      </c>
      <c r="E453" t="inlineStr">
        <is>
          <t>Output</t>
        </is>
      </c>
      <c r="F453" t="inlineStr">
        <is>
          <t>'=SUBTOTAL(109,MarketingVariances[Jun])</t>
        </is>
      </c>
      <c r="G453" t="n">
        <v>-825</v>
      </c>
      <c r="H453" t="inlineStr"/>
      <c r="I453" t="inlineStr">
        <is>
          <t>"$"#,##0.00_);[Red]\("$"#,##0.00\)</t>
        </is>
      </c>
      <c r="J453" t="b">
        <v>0</v>
      </c>
      <c r="K453" t="b">
        <v>0</v>
      </c>
      <c r="L453" t="n">
        <v>10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>
        <f>SUBTOTAL(109,MarketingVariances[Jun])</f>
        <v/>
      </c>
    </row>
    <row r="454">
      <c r="A454" t="inlineStr">
        <is>
          <t>EXPENSE VARIANCES</t>
        </is>
      </c>
      <c r="B454" t="inlineStr">
        <is>
          <t>I29</t>
        </is>
      </c>
      <c r="C454" t="n">
        <v>29</v>
      </c>
      <c r="D454" t="n">
        <v>9</v>
      </c>
      <c r="E454" t="inlineStr">
        <is>
          <t>Output</t>
        </is>
      </c>
      <c r="F454" t="inlineStr">
        <is>
          <t>'=SUBTOTAL(109,MarketingVariances[Jul])</t>
        </is>
      </c>
      <c r="G454" t="n">
        <v>8100</v>
      </c>
      <c r="H454" t="inlineStr"/>
      <c r="I454" t="inlineStr">
        <is>
          <t>"$"#,##0.00_);[Red]\("$"#,##0.00\)</t>
        </is>
      </c>
      <c r="J454" t="b">
        <v>0</v>
      </c>
      <c r="K454" t="b">
        <v>0</v>
      </c>
      <c r="L454" t="n">
        <v>10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>
        <f>SUBTOTAL(109,MarketingVariances[Jul])</f>
        <v/>
      </c>
    </row>
    <row r="455">
      <c r="A455" t="inlineStr">
        <is>
          <t>EXPENSE VARIANCES</t>
        </is>
      </c>
      <c r="B455" t="inlineStr">
        <is>
          <t>J29</t>
        </is>
      </c>
      <c r="C455" t="n">
        <v>29</v>
      </c>
      <c r="D455" t="n">
        <v>10</v>
      </c>
      <c r="E455" t="inlineStr">
        <is>
          <t>Output</t>
        </is>
      </c>
      <c r="F455" t="inlineStr">
        <is>
          <t>'=SUBTOTAL(109,MarketingVariances[Aug])</t>
        </is>
      </c>
      <c r="G455" t="n">
        <v>6100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>
        <f>SUBTOTAL(109,MarketingVariances[Aug])</f>
        <v/>
      </c>
    </row>
    <row r="456">
      <c r="A456" t="inlineStr">
        <is>
          <t>EXPENSE VARIANCES</t>
        </is>
      </c>
      <c r="B456" t="inlineStr">
        <is>
          <t>K29</t>
        </is>
      </c>
      <c r="C456" t="n">
        <v>29</v>
      </c>
      <c r="D456" t="n">
        <v>11</v>
      </c>
      <c r="E456" t="inlineStr">
        <is>
          <t>Output</t>
        </is>
      </c>
      <c r="F456" t="inlineStr">
        <is>
          <t>'=SUBTOTAL(109,MarketingVariances[Sep])</t>
        </is>
      </c>
      <c r="G456" t="n">
        <v>3100</v>
      </c>
      <c r="H456" t="inlineStr"/>
      <c r="I456" t="inlineStr">
        <is>
          <t>"$"#,##0.00_);[Red]\("$"#,##0.00\)</t>
        </is>
      </c>
      <c r="J456" t="b">
        <v>0</v>
      </c>
      <c r="K456" t="b">
        <v>0</v>
      </c>
      <c r="L456" t="n">
        <v>10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>
        <f>SUBTOTAL(109,MarketingVariances[Sep])</f>
        <v/>
      </c>
    </row>
    <row r="457">
      <c r="A457" t="inlineStr">
        <is>
          <t>EXPENSE VARIANCES</t>
        </is>
      </c>
      <c r="B457" t="inlineStr">
        <is>
          <t>L29</t>
        </is>
      </c>
      <c r="C457" t="n">
        <v>29</v>
      </c>
      <c r="D457" t="n">
        <v>12</v>
      </c>
      <c r="E457" t="inlineStr">
        <is>
          <t>Output</t>
        </is>
      </c>
      <c r="F457" t="inlineStr">
        <is>
          <t>'=SUBTOTAL(109,MarketingVariances[Oct])</t>
        </is>
      </c>
      <c r="G457" t="n">
        <v>8100</v>
      </c>
      <c r="H457" t="inlineStr"/>
      <c r="I457" t="inlineStr">
        <is>
          <t>"$"#,##0.00_);[Red]\("$"#,##0.00\)</t>
        </is>
      </c>
      <c r="J457" t="b">
        <v>0</v>
      </c>
      <c r="K457" t="b">
        <v>0</v>
      </c>
      <c r="L457" t="n">
        <v>10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>
        <f>SUBTOTAL(109,MarketingVariances[Oct])</f>
        <v/>
      </c>
    </row>
    <row r="458">
      <c r="A458" t="inlineStr">
        <is>
          <t>EXPENSE VARIANCES</t>
        </is>
      </c>
      <c r="B458" t="inlineStr">
        <is>
          <t>M29</t>
        </is>
      </c>
      <c r="C458" t="n">
        <v>29</v>
      </c>
      <c r="D458" t="n">
        <v>13</v>
      </c>
      <c r="E458" t="inlineStr">
        <is>
          <t>Output</t>
        </is>
      </c>
      <c r="F458" t="inlineStr">
        <is>
          <t>'=SUBTOTAL(109,MarketingVariances[Nov])</t>
        </is>
      </c>
      <c r="G458" t="n">
        <v>3100</v>
      </c>
      <c r="H458" t="inlineStr"/>
      <c r="I458" t="inlineStr">
        <is>
          <t>"$"#,##0.00_);[Red]\("$"#,##0.00\)</t>
        </is>
      </c>
      <c r="J458" t="b">
        <v>0</v>
      </c>
      <c r="K458" t="b">
        <v>0</v>
      </c>
      <c r="L458" t="n">
        <v>10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>
        <f>SUBTOTAL(109,MarketingVariances[Nov])</f>
        <v/>
      </c>
    </row>
    <row r="459">
      <c r="A459" t="inlineStr">
        <is>
          <t>EXPENSE VARIANCES</t>
        </is>
      </c>
      <c r="B459" t="inlineStr">
        <is>
          <t>N29</t>
        </is>
      </c>
      <c r="C459" t="n">
        <v>29</v>
      </c>
      <c r="D459" t="n">
        <v>14</v>
      </c>
      <c r="E459" t="inlineStr">
        <is>
          <t>Output</t>
        </is>
      </c>
      <c r="F459" t="inlineStr">
        <is>
          <t>'=SUBTOTAL(109,MarketingVariances[Dec])</t>
        </is>
      </c>
      <c r="G459" t="n">
        <v>6900</v>
      </c>
      <c r="H459" t="inlineStr"/>
      <c r="I459" t="inlineStr">
        <is>
          <t>"$"#,##0.00_);[Red]\("$"#,##0.00\)</t>
        </is>
      </c>
      <c r="J459" t="b">
        <v>0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inlineStr">
        <is>
          <t>center</t>
        </is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>
        <f>SUBTOTAL(109,MarketingVariances[Dec])</f>
        <v/>
      </c>
    </row>
    <row r="460">
      <c r="A460" t="inlineStr">
        <is>
          <t>EXPENSE VARIANCES</t>
        </is>
      </c>
      <c r="B460" t="inlineStr">
        <is>
          <t>O29</t>
        </is>
      </c>
      <c r="C460" t="n">
        <v>29</v>
      </c>
      <c r="D460" t="n">
        <v>15</v>
      </c>
      <c r="E460" t="inlineStr">
        <is>
          <t>Output</t>
        </is>
      </c>
      <c r="F460" t="inlineStr">
        <is>
          <t>'=SUBTOTAL(109,MarketingVariances[YEAR])</t>
        </is>
      </c>
      <c r="G460" t="n">
        <v>34641</v>
      </c>
      <c r="H460" t="inlineStr"/>
      <c r="I460" t="inlineStr">
        <is>
          <t>"$"#,##0.00_);[Red]\("$"#,##0.00\)</t>
        </is>
      </c>
      <c r="J460" t="b">
        <v>0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inlineStr">
        <is>
          <t>center</t>
        </is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>
        <f>SUBTOTAL(109,MarketingVariances[YEAR])</f>
        <v/>
      </c>
    </row>
    <row r="461">
      <c r="A461" t="inlineStr">
        <is>
          <t>EXPENSE VARIANCES</t>
        </is>
      </c>
      <c r="B461" t="inlineStr">
        <is>
          <t>P29</t>
        </is>
      </c>
      <c r="C461" t="n">
        <v>29</v>
      </c>
      <c r="D461" t="n">
        <v>16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n">
        <v/>
      </c>
      <c r="P461" t="n">
        <v/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EXPENSE VARIANCES</t>
        </is>
      </c>
      <c r="B462" t="inlineStr">
        <is>
          <t>A30</t>
        </is>
      </c>
      <c r="C462" t="n">
        <v>30</v>
      </c>
      <c r="D462" t="n">
        <v>1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n">
        <v/>
      </c>
      <c r="P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EXPENSE VARIANCES</t>
        </is>
      </c>
      <c r="B463" t="inlineStr">
        <is>
          <t>B30</t>
        </is>
      </c>
      <c r="C463" t="n">
        <v>30</v>
      </c>
      <c r="D463" t="n">
        <v>2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left</t>
        </is>
      </c>
      <c r="P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EXPENSE VARIANCES</t>
        </is>
      </c>
      <c r="B464" t="inlineStr">
        <is>
          <t>C30</t>
        </is>
      </c>
      <c r="C464" t="n">
        <v>30</v>
      </c>
      <c r="D464" t="n">
        <v>3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inlineStr">
        <is>
          <t>center</t>
        </is>
      </c>
      <c r="P464" t="n">
        <v/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EXPENSE VARIANCES</t>
        </is>
      </c>
      <c r="B465" t="inlineStr">
        <is>
          <t>D30</t>
        </is>
      </c>
      <c r="C465" t="n">
        <v>30</v>
      </c>
      <c r="D465" t="n">
        <v>4</v>
      </c>
      <c r="E465" t="inlineStr">
        <is>
          <t>Input</t>
        </is>
      </c>
      <c r="F465" t="n">
        <v/>
      </c>
      <c r="H465" t="inlineStr"/>
      <c r="I465" t="inlineStr">
        <is>
          <t>#,##0_);(#,##0)</t>
        </is>
      </c>
      <c r="J465" t="b">
        <v>1</v>
      </c>
      <c r="K465" t="b">
        <v>1</v>
      </c>
      <c r="L465" t="n">
        <v>10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inlineStr">
        <is>
          <t>right</t>
        </is>
      </c>
      <c r="P465" t="n">
        <v/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EXPENSE VARIANCES</t>
        </is>
      </c>
      <c r="B466" t="inlineStr">
        <is>
          <t>E30</t>
        </is>
      </c>
      <c r="C466" t="n">
        <v>30</v>
      </c>
      <c r="D466" t="n">
        <v>5</v>
      </c>
      <c r="E466" t="inlineStr">
        <is>
          <t>Input</t>
        </is>
      </c>
      <c r="F466" t="n">
        <v/>
      </c>
      <c r="H466" t="inlineStr"/>
      <c r="I466" t="inlineStr">
        <is>
          <t>#,##0_);(#,##0)</t>
        </is>
      </c>
      <c r="J466" t="b">
        <v>1</v>
      </c>
      <c r="K466" t="b">
        <v>1</v>
      </c>
      <c r="L466" t="n">
        <v>10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inlineStr">
        <is>
          <t>right</t>
        </is>
      </c>
      <c r="P466" t="n">
        <v/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EXPENSE VARIANCES</t>
        </is>
      </c>
      <c r="B467" t="inlineStr">
        <is>
          <t>F30</t>
        </is>
      </c>
      <c r="C467" t="n">
        <v>30</v>
      </c>
      <c r="D467" t="n">
        <v>6</v>
      </c>
      <c r="E467" t="inlineStr">
        <is>
          <t>Input</t>
        </is>
      </c>
      <c r="F467" t="n">
        <v/>
      </c>
      <c r="H467" t="inlineStr"/>
      <c r="I467" t="inlineStr">
        <is>
          <t>#,##0_);(#,##0)</t>
        </is>
      </c>
      <c r="J467" t="b">
        <v>1</v>
      </c>
      <c r="K467" t="b">
        <v>1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inlineStr">
        <is>
          <t>right</t>
        </is>
      </c>
      <c r="P467" t="n">
        <v/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EXPENSE VARIANCES</t>
        </is>
      </c>
      <c r="B468" t="inlineStr">
        <is>
          <t>G30</t>
        </is>
      </c>
      <c r="C468" t="n">
        <v>30</v>
      </c>
      <c r="D468" t="n">
        <v>7</v>
      </c>
      <c r="E468" t="inlineStr">
        <is>
          <t>Input</t>
        </is>
      </c>
      <c r="F468" t="n">
        <v/>
      </c>
      <c r="H468" t="inlineStr"/>
      <c r="I468" t="inlineStr">
        <is>
          <t>#,##0_);(#,##0)</t>
        </is>
      </c>
      <c r="J468" t="b">
        <v>1</v>
      </c>
      <c r="K468" t="b">
        <v>1</v>
      </c>
      <c r="L468" t="n">
        <v>10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inlineStr">
        <is>
          <t>right</t>
        </is>
      </c>
      <c r="P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EXPENSE VARIANCES</t>
        </is>
      </c>
      <c r="B469" t="inlineStr">
        <is>
          <t>H30</t>
        </is>
      </c>
      <c r="C469" t="n">
        <v>30</v>
      </c>
      <c r="D469" t="n">
        <v>8</v>
      </c>
      <c r="E469" t="inlineStr">
        <is>
          <t>Input</t>
        </is>
      </c>
      <c r="F469" t="n">
        <v/>
      </c>
      <c r="H469" t="inlineStr"/>
      <c r="I469" t="inlineStr">
        <is>
          <t>#,##0_);(#,##0)</t>
        </is>
      </c>
      <c r="J469" t="b">
        <v>1</v>
      </c>
      <c r="K469" t="b">
        <v>1</v>
      </c>
      <c r="L469" t="n">
        <v>10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inlineStr">
        <is>
          <t>right</t>
        </is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EXPENSE VARIANCES</t>
        </is>
      </c>
      <c r="B470" t="inlineStr">
        <is>
          <t>I30</t>
        </is>
      </c>
      <c r="C470" t="n">
        <v>30</v>
      </c>
      <c r="D470" t="n">
        <v>9</v>
      </c>
      <c r="E470" t="inlineStr">
        <is>
          <t>Input</t>
        </is>
      </c>
      <c r="F470" t="n">
        <v/>
      </c>
      <c r="H470" t="inlineStr"/>
      <c r="I470" t="inlineStr">
        <is>
          <t>#,##0_);(#,##0)</t>
        </is>
      </c>
      <c r="J470" t="b">
        <v>1</v>
      </c>
      <c r="K470" t="b">
        <v>1</v>
      </c>
      <c r="L470" t="n">
        <v>10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inlineStr">
        <is>
          <t>right</t>
        </is>
      </c>
      <c r="P470" t="n">
        <v/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EXPENSE VARIANCES</t>
        </is>
      </c>
      <c r="B471" t="inlineStr">
        <is>
          <t>J30</t>
        </is>
      </c>
      <c r="C471" t="n">
        <v>30</v>
      </c>
      <c r="D471" t="n">
        <v>10</v>
      </c>
      <c r="E471" t="inlineStr">
        <is>
          <t>Input</t>
        </is>
      </c>
      <c r="F471" t="n">
        <v/>
      </c>
      <c r="H471" t="inlineStr"/>
      <c r="I471" t="inlineStr">
        <is>
          <t>#,##0_);(#,##0)</t>
        </is>
      </c>
      <c r="J471" t="b">
        <v>1</v>
      </c>
      <c r="K471" t="b">
        <v>1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inlineStr">
        <is>
          <t>right</t>
        </is>
      </c>
      <c r="P471" t="n">
        <v/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EXPENSE VARIANCES</t>
        </is>
      </c>
      <c r="B472" t="inlineStr">
        <is>
          <t>K30</t>
        </is>
      </c>
      <c r="C472" t="n">
        <v>30</v>
      </c>
      <c r="D472" t="n">
        <v>11</v>
      </c>
      <c r="E472" t="inlineStr">
        <is>
          <t>Input</t>
        </is>
      </c>
      <c r="F472" t="n">
        <v/>
      </c>
      <c r="H472" t="inlineStr"/>
      <c r="I472" t="inlineStr">
        <is>
          <t>#,##0_);(#,##0)</t>
        </is>
      </c>
      <c r="J472" t="b">
        <v>1</v>
      </c>
      <c r="K472" t="b">
        <v>1</v>
      </c>
      <c r="L472" t="n">
        <v>10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inlineStr">
        <is>
          <t>right</t>
        </is>
      </c>
      <c r="P472" t="n">
        <v/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EXPENSE VARIANCES</t>
        </is>
      </c>
      <c r="B473" t="inlineStr">
        <is>
          <t>L30</t>
        </is>
      </c>
      <c r="C473" t="n">
        <v>30</v>
      </c>
      <c r="D473" t="n">
        <v>12</v>
      </c>
      <c r="E473" t="inlineStr">
        <is>
          <t>Input</t>
        </is>
      </c>
      <c r="F473" t="n">
        <v/>
      </c>
      <c r="H473" t="inlineStr"/>
      <c r="I473" t="inlineStr">
        <is>
          <t>#,##0_);(#,##0)</t>
        </is>
      </c>
      <c r="J473" t="b">
        <v>1</v>
      </c>
      <c r="K473" t="b">
        <v>1</v>
      </c>
      <c r="L473" t="n">
        <v>10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inlineStr">
        <is>
          <t>right</t>
        </is>
      </c>
      <c r="P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EXPENSE VARIANCES</t>
        </is>
      </c>
      <c r="B474" t="inlineStr">
        <is>
          <t>M30</t>
        </is>
      </c>
      <c r="C474" t="n">
        <v>30</v>
      </c>
      <c r="D474" t="n">
        <v>13</v>
      </c>
      <c r="E474" t="inlineStr">
        <is>
          <t>Input</t>
        </is>
      </c>
      <c r="F474" t="n">
        <v/>
      </c>
      <c r="H474" t="inlineStr"/>
      <c r="I474" t="inlineStr">
        <is>
          <t>#,##0_);(#,##0)</t>
        </is>
      </c>
      <c r="J474" t="b">
        <v>1</v>
      </c>
      <c r="K474" t="b">
        <v>1</v>
      </c>
      <c r="L474" t="n">
        <v>10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right</t>
        </is>
      </c>
      <c r="P474" t="n">
        <v/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EXPENSE VARIANCES</t>
        </is>
      </c>
      <c r="B475" t="inlineStr">
        <is>
          <t>N30</t>
        </is>
      </c>
      <c r="C475" t="n">
        <v>30</v>
      </c>
      <c r="D475" t="n">
        <v>14</v>
      </c>
      <c r="E475" t="inlineStr">
        <is>
          <t>Input</t>
        </is>
      </c>
      <c r="F475" t="n">
        <v/>
      </c>
      <c r="H475" t="inlineStr"/>
      <c r="I475" t="inlineStr">
        <is>
          <t>#,##0_);(#,##0)</t>
        </is>
      </c>
      <c r="J475" t="b">
        <v>1</v>
      </c>
      <c r="K475" t="b">
        <v>1</v>
      </c>
      <c r="L475" t="n">
        <v>10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right</t>
        </is>
      </c>
      <c r="P475" t="n">
        <v/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EXPENSE VARIANCES</t>
        </is>
      </c>
      <c r="B476" t="inlineStr">
        <is>
          <t>O30</t>
        </is>
      </c>
      <c r="C476" t="n">
        <v>30</v>
      </c>
      <c r="D476" t="n">
        <v>15</v>
      </c>
      <c r="E476" t="inlineStr">
        <is>
          <t>Input</t>
        </is>
      </c>
      <c r="F476" t="n">
        <v/>
      </c>
      <c r="H476" t="inlineStr"/>
      <c r="I476" t="inlineStr">
        <is>
          <t>#,##0_);(#,##0)</t>
        </is>
      </c>
      <c r="J476" t="b">
        <v>1</v>
      </c>
      <c r="K476" t="b">
        <v>0</v>
      </c>
      <c r="L476" t="n">
        <v>10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right</t>
        </is>
      </c>
      <c r="P476" t="n">
        <v/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EXPENSE VARIANCES</t>
        </is>
      </c>
      <c r="B477" t="inlineStr">
        <is>
          <t>P30</t>
        </is>
      </c>
      <c r="C477" t="n">
        <v>30</v>
      </c>
      <c r="D477" t="n">
        <v>16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n">
        <v/>
      </c>
      <c r="P477" t="n">
        <v/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EXPENSE VARIANCES</t>
        </is>
      </c>
      <c r="B478" t="inlineStr">
        <is>
          <t>A31</t>
        </is>
      </c>
      <c r="C478" t="n">
        <v>31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16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n">
        <v/>
      </c>
      <c r="P478" t="n">
        <v/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EXPENSE VARIANCES</t>
        </is>
      </c>
      <c r="B479" t="inlineStr">
        <is>
          <t>B31</t>
        </is>
      </c>
      <c r="C479" t="n">
        <v>31</v>
      </c>
      <c r="D479" t="n">
        <v>2</v>
      </c>
      <c r="E479" t="inlineStr">
        <is>
          <t>Input</t>
        </is>
      </c>
      <c r="F479" t="n">
        <v/>
      </c>
      <c r="G479" t="inlineStr">
        <is>
          <t>Training/travel</t>
        </is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16</v>
      </c>
      <c r="M479" t="inlineStr">
        <is>
          <t>Values must be of type &lt;class 'str'&gt;</t>
        </is>
      </c>
      <c r="N479" t="inlineStr">
        <is>
          <t>Values must be of type &lt;class 'str'&gt;</t>
        </is>
      </c>
      <c r="O479" t="inlineStr">
        <is>
          <t>left</t>
        </is>
      </c>
      <c r="P479" t="inlineStr">
        <is>
          <t>center</t>
        </is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EXPENSE VARIANCES</t>
        </is>
      </c>
      <c r="B480" t="inlineStr">
        <is>
          <t>C31</t>
        </is>
      </c>
      <c r="C480" t="n">
        <v>31</v>
      </c>
      <c r="D480" t="n">
        <v>3</v>
      </c>
      <c r="E480" t="inlineStr">
        <is>
          <t>Input</t>
        </is>
      </c>
      <c r="F480" t="n">
        <v/>
      </c>
      <c r="G480" t="inlineStr">
        <is>
          <t>Jan</t>
        </is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16</v>
      </c>
      <c r="M480" t="inlineStr">
        <is>
          <t>Values must be of type &lt;class 'str'&gt;</t>
        </is>
      </c>
      <c r="N480" t="inlineStr">
        <is>
          <t>Values must be of type &lt;class 'str'&gt;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EXPENSE VARIANCES</t>
        </is>
      </c>
      <c r="B481" t="inlineStr">
        <is>
          <t>D31</t>
        </is>
      </c>
      <c r="C481" t="n">
        <v>31</v>
      </c>
      <c r="D481" t="n">
        <v>4</v>
      </c>
      <c r="E481" t="inlineStr">
        <is>
          <t>Input</t>
        </is>
      </c>
      <c r="F481" t="n">
        <v/>
      </c>
      <c r="G481" t="inlineStr">
        <is>
          <t>Feb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16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EXPENSE VARIANCES</t>
        </is>
      </c>
      <c r="B482" t="inlineStr">
        <is>
          <t>E31</t>
        </is>
      </c>
      <c r="C482" t="n">
        <v>31</v>
      </c>
      <c r="D482" t="n">
        <v>5</v>
      </c>
      <c r="E482" t="inlineStr">
        <is>
          <t>Input</t>
        </is>
      </c>
      <c r="F482" t="n">
        <v/>
      </c>
      <c r="G482" t="inlineStr">
        <is>
          <t>Mar</t>
        </is>
      </c>
      <c r="H482" t="inlineStr"/>
      <c r="I482" t="inlineStr">
        <is>
          <t>_("$"* #,##0_);_("$"* \(#,##0\);_("$"* "-"??_);_(@_)</t>
        </is>
      </c>
      <c r="J482" t="b">
        <v>0</v>
      </c>
      <c r="K482" t="b">
        <v>0</v>
      </c>
      <c r="L482" t="n">
        <v>16</v>
      </c>
      <c r="M482" t="inlineStr">
        <is>
          <t>Values must be of type &lt;class 'str'&gt;</t>
        </is>
      </c>
      <c r="N482" t="inlineStr">
        <is>
          <t>Values must be of type &lt;class 'str'&gt;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EXPENSE VARIANCES</t>
        </is>
      </c>
      <c r="B483" t="inlineStr">
        <is>
          <t>F31</t>
        </is>
      </c>
      <c r="C483" t="n">
        <v>31</v>
      </c>
      <c r="D483" t="n">
        <v>6</v>
      </c>
      <c r="E483" t="inlineStr">
        <is>
          <t>Input</t>
        </is>
      </c>
      <c r="F483" t="n">
        <v/>
      </c>
      <c r="G483" t="inlineStr">
        <is>
          <t>Apr</t>
        </is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16</v>
      </c>
      <c r="M483" t="inlineStr">
        <is>
          <t>Values must be of type &lt;class 'str'&gt;</t>
        </is>
      </c>
      <c r="N483" t="inlineStr">
        <is>
          <t>Values must be of type &lt;class 'str'&gt;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EXPENSE VARIANCES</t>
        </is>
      </c>
      <c r="B484" t="inlineStr">
        <is>
          <t>G31</t>
        </is>
      </c>
      <c r="C484" t="n">
        <v>31</v>
      </c>
      <c r="D484" t="n">
        <v>7</v>
      </c>
      <c r="E484" t="inlineStr">
        <is>
          <t>Input</t>
        </is>
      </c>
      <c r="F484" t="n">
        <v/>
      </c>
      <c r="G484" t="inlineStr">
        <is>
          <t>May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16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center</t>
        </is>
      </c>
      <c r="P484" t="inlineStr">
        <is>
          <t>center</t>
        </is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EXPENSE VARIANCES</t>
        </is>
      </c>
      <c r="B485" t="inlineStr">
        <is>
          <t>H31</t>
        </is>
      </c>
      <c r="C485" t="n">
        <v>31</v>
      </c>
      <c r="D485" t="n">
        <v>8</v>
      </c>
      <c r="E485" t="inlineStr">
        <is>
          <t>Input</t>
        </is>
      </c>
      <c r="F485" t="n">
        <v/>
      </c>
      <c r="G485" t="inlineStr">
        <is>
          <t>Jun</t>
        </is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16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inlineStr">
        <is>
          <t>center</t>
        </is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EXPENSE VARIANCES</t>
        </is>
      </c>
      <c r="B486" t="inlineStr">
        <is>
          <t>I31</t>
        </is>
      </c>
      <c r="C486" t="n">
        <v>31</v>
      </c>
      <c r="D486" t="n">
        <v>9</v>
      </c>
      <c r="E486" t="inlineStr">
        <is>
          <t>Input</t>
        </is>
      </c>
      <c r="F486" t="n">
        <v/>
      </c>
      <c r="G486" t="inlineStr">
        <is>
          <t>Jul</t>
        </is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16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inlineStr">
        <is>
          <t>center</t>
        </is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EXPENSE VARIANCES</t>
        </is>
      </c>
      <c r="B487" t="inlineStr">
        <is>
          <t>J31</t>
        </is>
      </c>
      <c r="C487" t="n">
        <v>31</v>
      </c>
      <c r="D487" t="n">
        <v>10</v>
      </c>
      <c r="E487" t="inlineStr">
        <is>
          <t>Input</t>
        </is>
      </c>
      <c r="F487" t="n">
        <v/>
      </c>
      <c r="G487" t="inlineStr">
        <is>
          <t>Aug</t>
        </is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16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inlineStr">
        <is>
          <t>center</t>
        </is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EXPENSE VARIANCES</t>
        </is>
      </c>
      <c r="B488" t="inlineStr">
        <is>
          <t>K31</t>
        </is>
      </c>
      <c r="C488" t="n">
        <v>31</v>
      </c>
      <c r="D488" t="n">
        <v>11</v>
      </c>
      <c r="E488" t="inlineStr">
        <is>
          <t>Input</t>
        </is>
      </c>
      <c r="F488" t="n">
        <v/>
      </c>
      <c r="G488" t="inlineStr">
        <is>
          <t>Sep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16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inlineStr">
        <is>
          <t>center</t>
        </is>
      </c>
      <c r="P488" t="inlineStr">
        <is>
          <t>center</t>
        </is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EXPENSE VARIANCES</t>
        </is>
      </c>
      <c r="B489" t="inlineStr">
        <is>
          <t>L31</t>
        </is>
      </c>
      <c r="C489" t="n">
        <v>31</v>
      </c>
      <c r="D489" t="n">
        <v>12</v>
      </c>
      <c r="E489" t="inlineStr">
        <is>
          <t>Input</t>
        </is>
      </c>
      <c r="F489" t="n">
        <v/>
      </c>
      <c r="G489" t="inlineStr">
        <is>
          <t>Oct</t>
        </is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16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inlineStr">
        <is>
          <t>center</t>
        </is>
      </c>
      <c r="P489" t="inlineStr">
        <is>
          <t>center</t>
        </is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EXPENSE VARIANCES</t>
        </is>
      </c>
      <c r="B490" t="inlineStr">
        <is>
          <t>M31</t>
        </is>
      </c>
      <c r="C490" t="n">
        <v>31</v>
      </c>
      <c r="D490" t="n">
        <v>13</v>
      </c>
      <c r="E490" t="inlineStr">
        <is>
          <t>Input</t>
        </is>
      </c>
      <c r="F490" t="n">
        <v/>
      </c>
      <c r="G490" t="inlineStr">
        <is>
          <t>Nov</t>
        </is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16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center</t>
        </is>
      </c>
      <c r="P490" t="inlineStr">
        <is>
          <t>center</t>
        </is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EXPENSE VARIANCES</t>
        </is>
      </c>
      <c r="B491" t="inlineStr">
        <is>
          <t>N31</t>
        </is>
      </c>
      <c r="C491" t="n">
        <v>31</v>
      </c>
      <c r="D491" t="n">
        <v>14</v>
      </c>
      <c r="E491" t="inlineStr">
        <is>
          <t>Input</t>
        </is>
      </c>
      <c r="F491" t="n">
        <v/>
      </c>
      <c r="G491" t="inlineStr">
        <is>
          <t>Dec</t>
        </is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16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EXPENSE VARIANCES</t>
        </is>
      </c>
      <c r="B492" t="inlineStr">
        <is>
          <t>O31</t>
        </is>
      </c>
      <c r="C492" t="n">
        <v>31</v>
      </c>
      <c r="D492" t="n">
        <v>15</v>
      </c>
      <c r="E492" t="inlineStr">
        <is>
          <t>Input</t>
        </is>
      </c>
      <c r="F492" t="n">
        <v/>
      </c>
      <c r="G492" t="inlineStr">
        <is>
          <t>YEAR</t>
        </is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16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EXPENSE VARIANCES</t>
        </is>
      </c>
      <c r="B493" t="inlineStr">
        <is>
          <t>P31</t>
        </is>
      </c>
      <c r="C493" t="n">
        <v>31</v>
      </c>
      <c r="D493" t="n">
        <v>16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16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n">
        <v/>
      </c>
      <c r="P493" t="n">
        <v/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EXPENSE VARIANCES</t>
        </is>
      </c>
      <c r="B494" t="inlineStr">
        <is>
          <t>A32</t>
        </is>
      </c>
      <c r="C494" t="n">
        <v>32</v>
      </c>
      <c r="D494" t="n">
        <v>1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n">
        <v/>
      </c>
      <c r="P494" t="n">
        <v/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EXPENSE VARIANCES</t>
        </is>
      </c>
      <c r="B495" t="inlineStr">
        <is>
          <t>B32</t>
        </is>
      </c>
      <c r="C495" t="n">
        <v>32</v>
      </c>
      <c r="D495" t="n">
        <v>2</v>
      </c>
      <c r="E495" t="inlineStr">
        <is>
          <t>Input</t>
        </is>
      </c>
      <c r="F495" t="n">
        <v/>
      </c>
      <c r="G495" t="inlineStr">
        <is>
          <t>Training classes</t>
        </is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12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left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EXPENSE VARIANCES</t>
        </is>
      </c>
      <c r="B496" t="inlineStr">
        <is>
          <t>C32</t>
        </is>
      </c>
      <c r="C496" t="n">
        <v>32</v>
      </c>
      <c r="D496" t="n">
        <v>3</v>
      </c>
      <c r="E496" t="inlineStr">
        <is>
          <t>Output</t>
        </is>
      </c>
      <c r="F496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G496" t="n">
        <v>400</v>
      </c>
      <c r="H496" t="inlineStr"/>
      <c r="I496" t="inlineStr">
        <is>
          <t>"$"#,##0.00_);[Red]\("$"#,##0.00\)</t>
        </is>
      </c>
      <c r="J496" t="b">
        <v>0</v>
      </c>
      <c r="K496" t="b">
        <v>0</v>
      </c>
      <c r="L496" t="n">
        <v>10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inlineStr">
        <is>
          <t>G000052</t>
        </is>
      </c>
      <c r="T496" t="inlineStr">
        <is>
          <t>Vertical</t>
        </is>
      </c>
      <c r="U496" t="n">
        <v>2</v>
      </c>
      <c r="V496" t="b">
        <v>1</v>
      </c>
      <c r="W496" t="inlineStr">
        <is>
          <t>EXPENSE VARIANCES!C32:C33</t>
        </is>
      </c>
      <c r="X496">
        <f>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f>
        <v/>
      </c>
    </row>
    <row r="497">
      <c r="A497" t="inlineStr">
        <is>
          <t>EXPENSE VARIANCES</t>
        </is>
      </c>
      <c r="B497" t="inlineStr">
        <is>
          <t>D32</t>
        </is>
      </c>
      <c r="C497" t="n">
        <v>32</v>
      </c>
      <c r="D497" t="n">
        <v>4</v>
      </c>
      <c r="E497" t="inlineStr">
        <is>
          <t>Output</t>
        </is>
      </c>
      <c r="F497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G497" t="n">
        <v>-400</v>
      </c>
      <c r="H497" t="inlineStr"/>
      <c r="I497" t="inlineStr">
        <is>
          <t>"$"#,##0.00_);[Red]\("$"#,##0.00\)</t>
        </is>
      </c>
      <c r="J497" t="b">
        <v>0</v>
      </c>
      <c r="K497" t="b">
        <v>0</v>
      </c>
      <c r="L497" t="n">
        <v>10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inlineStr">
        <is>
          <t>G000053</t>
        </is>
      </c>
      <c r="T497" t="inlineStr">
        <is>
          <t>Vertical</t>
        </is>
      </c>
      <c r="U497" t="n">
        <v>2</v>
      </c>
      <c r="V497" t="b">
        <v>1</v>
      </c>
      <c r="W497" t="inlineStr">
        <is>
          <t>EXPENSE VARIANCES!D32:D33</t>
        </is>
      </c>
      <c r="X497">
        <f>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f>
        <v/>
      </c>
    </row>
    <row r="498">
      <c r="A498" t="inlineStr">
        <is>
          <t>EXPENSE VARIANCES</t>
        </is>
      </c>
      <c r="B498" t="inlineStr">
        <is>
          <t>E32</t>
        </is>
      </c>
      <c r="C498" t="n">
        <v>32</v>
      </c>
      <c r="D498" t="n">
        <v>5</v>
      </c>
      <c r="E498" t="inlineStr">
        <is>
          <t>Output</t>
        </is>
      </c>
      <c r="F498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G498" t="n">
        <v>600</v>
      </c>
      <c r="H498" t="inlineStr"/>
      <c r="I498" t="inlineStr">
        <is>
          <t>"$"#,##0.00_);[Red]\("$"#,##0.00\)</t>
        </is>
      </c>
      <c r="J498" t="b">
        <v>0</v>
      </c>
      <c r="K498" t="b">
        <v>0</v>
      </c>
      <c r="L498" t="n">
        <v>10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inlineStr">
        <is>
          <t>G000054</t>
        </is>
      </c>
      <c r="T498" t="inlineStr">
        <is>
          <t>Vertical</t>
        </is>
      </c>
      <c r="U498" t="n">
        <v>2</v>
      </c>
      <c r="V498" t="b">
        <v>1</v>
      </c>
      <c r="W498" t="inlineStr">
        <is>
          <t>EXPENSE VARIANCES!E32:E33</t>
        </is>
      </c>
      <c r="X498">
        <f>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f>
        <v/>
      </c>
    </row>
    <row r="499">
      <c r="A499" t="inlineStr">
        <is>
          <t>EXPENSE VARIANCES</t>
        </is>
      </c>
      <c r="B499" t="inlineStr">
        <is>
          <t>F32</t>
        </is>
      </c>
      <c r="C499" t="n">
        <v>32</v>
      </c>
      <c r="D499" t="n">
        <v>6</v>
      </c>
      <c r="E499" t="inlineStr">
        <is>
          <t>Output</t>
        </is>
      </c>
      <c r="F499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G499" t="n">
        <v>400</v>
      </c>
      <c r="H499" t="inlineStr"/>
      <c r="I499" t="inlineStr">
        <is>
          <t>"$"#,##0.00_);[Red]\("$"#,##0.00\)</t>
        </is>
      </c>
      <c r="J499" t="b">
        <v>0</v>
      </c>
      <c r="K499" t="b">
        <v>0</v>
      </c>
      <c r="L499" t="n">
        <v>10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inlineStr">
        <is>
          <t>center</t>
        </is>
      </c>
      <c r="P499" t="inlineStr">
        <is>
          <t>center</t>
        </is>
      </c>
      <c r="R499" t="b">
        <v>1</v>
      </c>
      <c r="S499" t="inlineStr">
        <is>
          <t>G000055</t>
        </is>
      </c>
      <c r="T499" t="inlineStr">
        <is>
          <t>Vertical</t>
        </is>
      </c>
      <c r="U499" t="n">
        <v>2</v>
      </c>
      <c r="V499" t="b">
        <v>1</v>
      </c>
      <c r="W499" t="inlineStr">
        <is>
          <t>EXPENSE VARIANCES!F32:F33</t>
        </is>
      </c>
      <c r="X499">
        <f>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f>
        <v/>
      </c>
    </row>
    <row r="500">
      <c r="A500" t="inlineStr">
        <is>
          <t>EXPENSE VARIANCES</t>
        </is>
      </c>
      <c r="B500" t="inlineStr">
        <is>
          <t>G32</t>
        </is>
      </c>
      <c r="C500" t="n">
        <v>32</v>
      </c>
      <c r="D500" t="n">
        <v>7</v>
      </c>
      <c r="E500" t="inlineStr">
        <is>
          <t>Output</t>
        </is>
      </c>
      <c r="F500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G500" t="n">
        <v>800</v>
      </c>
      <c r="H500" t="inlineStr"/>
      <c r="I500" t="inlineStr">
        <is>
          <t>"$"#,##0.00_);[Red]\("$"#,##0.00\)</t>
        </is>
      </c>
      <c r="J500" t="b">
        <v>0</v>
      </c>
      <c r="K500" t="b">
        <v>0</v>
      </c>
      <c r="L500" t="n">
        <v>10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inlineStr">
        <is>
          <t>center</t>
        </is>
      </c>
      <c r="P500" t="inlineStr">
        <is>
          <t>center</t>
        </is>
      </c>
      <c r="R500" t="b">
        <v>1</v>
      </c>
      <c r="S500" t="inlineStr">
        <is>
          <t>G000056</t>
        </is>
      </c>
      <c r="T500" t="inlineStr">
        <is>
          <t>Vertical</t>
        </is>
      </c>
      <c r="U500" t="n">
        <v>2</v>
      </c>
      <c r="V500" t="b">
        <v>1</v>
      </c>
      <c r="W500" t="inlineStr">
        <is>
          <t>EXPENSE VARIANCES!G32:G33</t>
        </is>
      </c>
      <c r="X500">
        <f>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f>
        <v/>
      </c>
    </row>
    <row r="501">
      <c r="A501" t="inlineStr">
        <is>
          <t>EXPENSE VARIANCES</t>
        </is>
      </c>
      <c r="B501" t="inlineStr">
        <is>
          <t>H32</t>
        </is>
      </c>
      <c r="C501" t="n">
        <v>32</v>
      </c>
      <c r="D501" t="n">
        <v>8</v>
      </c>
      <c r="E501" t="inlineStr">
        <is>
          <t>Output</t>
        </is>
      </c>
      <c r="F501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G501" t="n">
        <v>-800</v>
      </c>
      <c r="H501" t="inlineStr"/>
      <c r="I501" t="inlineStr">
        <is>
          <t>"$"#,##0.00_);[Red]\("$"#,##0.00\)</t>
        </is>
      </c>
      <c r="J501" t="b">
        <v>0</v>
      </c>
      <c r="K501" t="b">
        <v>0</v>
      </c>
      <c r="L501" t="n">
        <v>10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inlineStr">
        <is>
          <t>center</t>
        </is>
      </c>
      <c r="P501" t="inlineStr">
        <is>
          <t>center</t>
        </is>
      </c>
      <c r="R501" t="b">
        <v>1</v>
      </c>
      <c r="S501" t="inlineStr">
        <is>
          <t>G000057</t>
        </is>
      </c>
      <c r="T501" t="inlineStr">
        <is>
          <t>Vertical</t>
        </is>
      </c>
      <c r="U501" t="n">
        <v>2</v>
      </c>
      <c r="V501" t="b">
        <v>1</v>
      </c>
      <c r="W501" t="inlineStr">
        <is>
          <t>EXPENSE VARIANCES!H32:H33</t>
        </is>
      </c>
      <c r="X501">
        <f>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f>
        <v/>
      </c>
    </row>
    <row r="502">
      <c r="A502" t="inlineStr">
        <is>
          <t>EXPENSE VARIANCES</t>
        </is>
      </c>
      <c r="B502" t="inlineStr">
        <is>
          <t>I32</t>
        </is>
      </c>
      <c r="C502" t="n">
        <v>32</v>
      </c>
      <c r="D502" t="n">
        <v>9</v>
      </c>
      <c r="E502" t="inlineStr">
        <is>
          <t>Output</t>
        </is>
      </c>
      <c r="F502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G502" t="n">
        <v>2000</v>
      </c>
      <c r="H502" t="inlineStr"/>
      <c r="I502" t="inlineStr">
        <is>
          <t>"$"#,##0.00_);[Red]\("$"#,##0.00\)</t>
        </is>
      </c>
      <c r="J502" t="b">
        <v>0</v>
      </c>
      <c r="K502" t="b">
        <v>0</v>
      </c>
      <c r="L502" t="n">
        <v>10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center</t>
        </is>
      </c>
      <c r="P502" t="inlineStr">
        <is>
          <t>center</t>
        </is>
      </c>
      <c r="R502" t="b">
        <v>1</v>
      </c>
      <c r="S502" t="inlineStr">
        <is>
          <t>G000058</t>
        </is>
      </c>
      <c r="T502" t="inlineStr">
        <is>
          <t>Vertical</t>
        </is>
      </c>
      <c r="U502" t="n">
        <v>2</v>
      </c>
      <c r="V502" t="b">
        <v>1</v>
      </c>
      <c r="W502" t="inlineStr">
        <is>
          <t>EXPENSE VARIANCES!I32:I33</t>
        </is>
      </c>
      <c r="X502">
        <f>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f>
        <v/>
      </c>
    </row>
    <row r="503">
      <c r="A503" t="inlineStr">
        <is>
          <t>EXPENSE VARIANCES</t>
        </is>
      </c>
      <c r="B503" t="inlineStr">
        <is>
          <t>J32</t>
        </is>
      </c>
      <c r="C503" t="n">
        <v>32</v>
      </c>
      <c r="D503" t="n">
        <v>10</v>
      </c>
      <c r="E503" t="inlineStr">
        <is>
          <t>Output</t>
        </is>
      </c>
      <c r="F503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G503" t="n">
        <v>2000</v>
      </c>
      <c r="H503" t="inlineStr"/>
      <c r="I503" t="inlineStr">
        <is>
          <t>"$"#,##0.00_);[Red]\("$"#,##0.00\)</t>
        </is>
      </c>
      <c r="J503" t="b">
        <v>0</v>
      </c>
      <c r="K503" t="b">
        <v>0</v>
      </c>
      <c r="L503" t="n">
        <v>10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G000059</t>
        </is>
      </c>
      <c r="T503" t="inlineStr">
        <is>
          <t>Vertical</t>
        </is>
      </c>
      <c r="U503" t="n">
        <v>2</v>
      </c>
      <c r="V503" t="b">
        <v>1</v>
      </c>
      <c r="W503" t="inlineStr">
        <is>
          <t>EXPENSE VARIANCES!J32:J33</t>
        </is>
      </c>
      <c r="X503">
        <f>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f>
        <v/>
      </c>
    </row>
    <row r="504">
      <c r="A504" t="inlineStr">
        <is>
          <t>EXPENSE VARIANCES</t>
        </is>
      </c>
      <c r="B504" t="inlineStr">
        <is>
          <t>K32</t>
        </is>
      </c>
      <c r="C504" t="n">
        <v>32</v>
      </c>
      <c r="D504" t="n">
        <v>11</v>
      </c>
      <c r="E504" t="inlineStr">
        <is>
          <t>Output</t>
        </is>
      </c>
      <c r="F504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G504" t="n">
        <v>2000</v>
      </c>
      <c r="H504" t="inlineStr"/>
      <c r="I504" t="inlineStr">
        <is>
          <t>"$"#,##0.00_);[Red]\("$"#,##0.00\)</t>
        </is>
      </c>
      <c r="J504" t="b">
        <v>0</v>
      </c>
      <c r="K504" t="b">
        <v>0</v>
      </c>
      <c r="L504" t="n">
        <v>10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inlineStr">
        <is>
          <t>center</t>
        </is>
      </c>
      <c r="P504" t="inlineStr">
        <is>
          <t>center</t>
        </is>
      </c>
      <c r="R504" t="b">
        <v>1</v>
      </c>
      <c r="S504" t="inlineStr">
        <is>
          <t>G000060</t>
        </is>
      </c>
      <c r="T504" t="inlineStr">
        <is>
          <t>Vertical</t>
        </is>
      </c>
      <c r="U504" t="n">
        <v>2</v>
      </c>
      <c r="V504" t="b">
        <v>1</v>
      </c>
      <c r="W504" t="inlineStr">
        <is>
          <t>EXPENSE VARIANCES!K32:K33</t>
        </is>
      </c>
      <c r="X504">
        <f>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f>
        <v/>
      </c>
    </row>
    <row r="505">
      <c r="A505" t="inlineStr">
        <is>
          <t>EXPENSE VARIANCES</t>
        </is>
      </c>
      <c r="B505" t="inlineStr">
        <is>
          <t>L32</t>
        </is>
      </c>
      <c r="C505" t="n">
        <v>32</v>
      </c>
      <c r="D505" t="n">
        <v>12</v>
      </c>
      <c r="E505" t="inlineStr">
        <is>
          <t>Output</t>
        </is>
      </c>
      <c r="F505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G505" t="n">
        <v>2000</v>
      </c>
      <c r="H505" t="inlineStr"/>
      <c r="I505" t="inlineStr">
        <is>
          <t>"$"#,##0.00_);[Red]\("$"#,##0.00\)</t>
        </is>
      </c>
      <c r="J505" t="b">
        <v>0</v>
      </c>
      <c r="K505" t="b">
        <v>0</v>
      </c>
      <c r="L505" t="n">
        <v>10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inlineStr">
        <is>
          <t>center</t>
        </is>
      </c>
      <c r="P505" t="inlineStr">
        <is>
          <t>center</t>
        </is>
      </c>
      <c r="R505" t="b">
        <v>1</v>
      </c>
      <c r="S505" t="inlineStr">
        <is>
          <t>G000061</t>
        </is>
      </c>
      <c r="T505" t="inlineStr">
        <is>
          <t>Vertical</t>
        </is>
      </c>
      <c r="U505" t="n">
        <v>2</v>
      </c>
      <c r="V505" t="b">
        <v>1</v>
      </c>
      <c r="W505" t="inlineStr">
        <is>
          <t>EXPENSE VARIANCES!L32:L33</t>
        </is>
      </c>
      <c r="X505">
        <f>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f>
        <v/>
      </c>
    </row>
    <row r="506">
      <c r="A506" t="inlineStr">
        <is>
          <t>EXPENSE VARIANCES</t>
        </is>
      </c>
      <c r="B506" t="inlineStr">
        <is>
          <t>M32</t>
        </is>
      </c>
      <c r="C506" t="n">
        <v>32</v>
      </c>
      <c r="D506" t="n">
        <v>13</v>
      </c>
      <c r="E506" t="inlineStr">
        <is>
          <t>Output</t>
        </is>
      </c>
      <c r="F506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G506" t="n">
        <v>2000</v>
      </c>
      <c r="H506" t="inlineStr"/>
      <c r="I506" t="inlineStr">
        <is>
          <t>"$"#,##0.00_);[Red]\("$"#,##0.00\)</t>
        </is>
      </c>
      <c r="J506" t="b">
        <v>0</v>
      </c>
      <c r="K506" t="b">
        <v>0</v>
      </c>
      <c r="L506" t="n">
        <v>10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center</t>
        </is>
      </c>
      <c r="P506" t="inlineStr">
        <is>
          <t>center</t>
        </is>
      </c>
      <c r="R506" t="b">
        <v>1</v>
      </c>
      <c r="S506" t="inlineStr">
        <is>
          <t>G000062</t>
        </is>
      </c>
      <c r="T506" t="inlineStr">
        <is>
          <t>Vertical</t>
        </is>
      </c>
      <c r="U506" t="n">
        <v>2</v>
      </c>
      <c r="V506" t="b">
        <v>1</v>
      </c>
      <c r="W506" t="inlineStr">
        <is>
          <t>EXPENSE VARIANCES!M32:M33</t>
        </is>
      </c>
      <c r="X506">
        <f>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f>
        <v/>
      </c>
    </row>
    <row r="507">
      <c r="A507" t="inlineStr">
        <is>
          <t>EXPENSE VARIANCES</t>
        </is>
      </c>
      <c r="B507" t="inlineStr">
        <is>
          <t>N32</t>
        </is>
      </c>
      <c r="C507" t="n">
        <v>32</v>
      </c>
      <c r="D507" t="n">
        <v>14</v>
      </c>
      <c r="E507" t="inlineStr">
        <is>
          <t>Output</t>
        </is>
      </c>
      <c r="F507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G507" t="n">
        <v>2000</v>
      </c>
      <c r="H507" t="inlineStr"/>
      <c r="I507" t="inlineStr">
        <is>
          <t>"$"#,##0.00_);[Red]\("$"#,##0.00\)</t>
        </is>
      </c>
      <c r="J507" t="b">
        <v>0</v>
      </c>
      <c r="K507" t="b">
        <v>0</v>
      </c>
      <c r="L507" t="n">
        <v>10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inlineStr">
        <is>
          <t>G000063</t>
        </is>
      </c>
      <c r="T507" t="inlineStr">
        <is>
          <t>Vertical</t>
        </is>
      </c>
      <c r="U507" t="n">
        <v>2</v>
      </c>
      <c r="V507" t="b">
        <v>1</v>
      </c>
      <c r="W507" t="inlineStr">
        <is>
          <t>EXPENSE VARIANCES!N32:N33</t>
        </is>
      </c>
      <c r="X507">
        <f>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f>
        <v/>
      </c>
    </row>
    <row r="508">
      <c r="A508" t="inlineStr">
        <is>
          <t>EXPENSE VARIANCES</t>
        </is>
      </c>
      <c r="B508" t="inlineStr">
        <is>
          <t>O32</t>
        </is>
      </c>
      <c r="C508" t="n">
        <v>32</v>
      </c>
      <c r="D508" t="n">
        <v>15</v>
      </c>
      <c r="E508" t="inlineStr">
        <is>
          <t>Output</t>
        </is>
      </c>
      <c r="F508" t="inlineStr">
        <is>
          <t>'=SUM(TrainingAndTravelVariances[[#This Row],[Jan]:[Dec]])</t>
        </is>
      </c>
      <c r="G508" t="n">
        <v>13000</v>
      </c>
      <c r="H508" t="inlineStr"/>
      <c r="I508" t="inlineStr">
        <is>
          <t>"$"#,##0.00_);[Red]\("$"#,##0.00\)</t>
        </is>
      </c>
      <c r="J508" t="b">
        <v>0</v>
      </c>
      <c r="K508" t="b">
        <v>0</v>
      </c>
      <c r="L508" t="n">
        <v>10</v>
      </c>
      <c r="M508" t="inlineStr">
        <is>
          <t>Values must be of type &lt;class 'str'&gt;</t>
        </is>
      </c>
      <c r="N508" t="inlineStr">
        <is>
          <t>Values must be of type &lt;class 'str'&gt;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inlineStr">
        <is>
          <t>G000064</t>
        </is>
      </c>
      <c r="T508" t="inlineStr">
        <is>
          <t>Vertical</t>
        </is>
      </c>
      <c r="U508" t="n">
        <v>2</v>
      </c>
      <c r="V508" t="b">
        <v>1</v>
      </c>
      <c r="W508" t="inlineStr">
        <is>
          <t>EXPENSE VARIANCES!O32:O33</t>
        </is>
      </c>
      <c r="X508">
        <f>SUM(TrainingAndTravelVariances[[#This Row],[Jan]:[Dec]])</f>
        <v/>
      </c>
    </row>
    <row r="509">
      <c r="A509" t="inlineStr">
        <is>
          <t>EXPENSE VARIANCES</t>
        </is>
      </c>
      <c r="B509" t="inlineStr">
        <is>
          <t>P32</t>
        </is>
      </c>
      <c r="C509" t="n">
        <v>32</v>
      </c>
      <c r="D509" t="n">
        <v>16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M509" t="inlineStr">
        <is>
          <t>Values must be of type &lt;class 'str'&gt;</t>
        </is>
      </c>
      <c r="N509" t="inlineStr">
        <is>
          <t>Values must be of type &lt;class 'str'&gt;</t>
        </is>
      </c>
      <c r="O509" t="n">
        <v/>
      </c>
      <c r="P509" t="n">
        <v/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EXPENSE VARIANCES</t>
        </is>
      </c>
      <c r="B510" t="inlineStr">
        <is>
          <t>A33</t>
        </is>
      </c>
      <c r="C510" t="n">
        <v>33</v>
      </c>
      <c r="D510" t="n">
        <v>1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M510" t="inlineStr">
        <is>
          <t>Values must be of type &lt;class 'str'&gt;</t>
        </is>
      </c>
      <c r="N510" t="inlineStr">
        <is>
          <t>Values must be of type &lt;class 'str'&gt;</t>
        </is>
      </c>
      <c r="O510" t="n">
        <v/>
      </c>
      <c r="P510" t="n">
        <v/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EXPENSE VARIANCES</t>
        </is>
      </c>
      <c r="B511" t="inlineStr">
        <is>
          <t>B33</t>
        </is>
      </c>
      <c r="C511" t="n">
        <v>33</v>
      </c>
      <c r="D511" t="n">
        <v>2</v>
      </c>
      <c r="E511" t="inlineStr">
        <is>
          <t>Input</t>
        </is>
      </c>
      <c r="F511" t="n">
        <v/>
      </c>
      <c r="G511" t="inlineStr">
        <is>
          <t>Training-related travel costs</t>
        </is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12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left</t>
        </is>
      </c>
      <c r="P511" t="inlineStr">
        <is>
          <t>center</t>
        </is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EXPENSE VARIANCES</t>
        </is>
      </c>
      <c r="B512" t="inlineStr">
        <is>
          <t>C33</t>
        </is>
      </c>
      <c r="C512" t="n">
        <v>33</v>
      </c>
      <c r="D512" t="n">
        <v>3</v>
      </c>
      <c r="E512" t="inlineStr">
        <is>
          <t>Output</t>
        </is>
      </c>
      <c r="F512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G512" t="n">
        <v>800</v>
      </c>
      <c r="H512" t="inlineStr"/>
      <c r="I512" t="inlineStr">
        <is>
          <t>"$"#,##0.00_);[Red]\("$"#,##0.00\)</t>
        </is>
      </c>
      <c r="J512" t="b">
        <v>0</v>
      </c>
      <c r="K512" t="b">
        <v>0</v>
      </c>
      <c r="L512" t="n">
        <v>10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inlineStr">
        <is>
          <t>G000052</t>
        </is>
      </c>
      <c r="T512" t="inlineStr">
        <is>
          <t>Vertical</t>
        </is>
      </c>
      <c r="U512" t="n">
        <v>2</v>
      </c>
      <c r="V512" t="b">
        <v>1</v>
      </c>
      <c r="W512" t="inlineStr">
        <is>
          <t>EXPENSE VARIANCES!C32:C33</t>
        </is>
      </c>
      <c r="X512">
        <f>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f>
        <v/>
      </c>
    </row>
    <row r="513">
      <c r="A513" t="inlineStr">
        <is>
          <t>EXPENSE VARIANCES</t>
        </is>
      </c>
      <c r="B513" t="inlineStr">
        <is>
          <t>D33</t>
        </is>
      </c>
      <c r="C513" t="n">
        <v>33</v>
      </c>
      <c r="D513" t="n">
        <v>4</v>
      </c>
      <c r="E513" t="inlineStr">
        <is>
          <t>Output</t>
        </is>
      </c>
      <c r="F513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G513" t="n">
        <v>-200</v>
      </c>
      <c r="H513" t="inlineStr"/>
      <c r="I513" t="inlineStr">
        <is>
          <t>"$"#,##0.00_);[Red]\("$"#,##0.00\)</t>
        </is>
      </c>
      <c r="J513" t="b">
        <v>0</v>
      </c>
      <c r="K513" t="b">
        <v>0</v>
      </c>
      <c r="L513" t="n">
        <v>10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inlineStr">
        <is>
          <t>center</t>
        </is>
      </c>
      <c r="R513" t="b">
        <v>1</v>
      </c>
      <c r="S513" t="inlineStr">
        <is>
          <t>G000053</t>
        </is>
      </c>
      <c r="T513" t="inlineStr">
        <is>
          <t>Vertical</t>
        </is>
      </c>
      <c r="U513" t="n">
        <v>2</v>
      </c>
      <c r="V513" t="b">
        <v>1</v>
      </c>
      <c r="W513" t="inlineStr">
        <is>
          <t>EXPENSE VARIANCES!D32:D33</t>
        </is>
      </c>
      <c r="X513">
        <f>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f>
        <v/>
      </c>
    </row>
    <row r="514">
      <c r="A514" t="inlineStr">
        <is>
          <t>EXPENSE VARIANCES</t>
        </is>
      </c>
      <c r="B514" t="inlineStr">
        <is>
          <t>E33</t>
        </is>
      </c>
      <c r="C514" t="n">
        <v>33</v>
      </c>
      <c r="D514" t="n">
        <v>5</v>
      </c>
      <c r="E514" t="inlineStr">
        <is>
          <t>Output</t>
        </is>
      </c>
      <c r="F514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G514" t="n">
        <v>600</v>
      </c>
      <c r="H514" t="inlineStr"/>
      <c r="I514" t="inlineStr">
        <is>
          <t>"$"#,##0.00_);[Red]\("$"#,##0.00\)</t>
        </is>
      </c>
      <c r="J514" t="b">
        <v>0</v>
      </c>
      <c r="K514" t="b">
        <v>0</v>
      </c>
      <c r="L514" t="n">
        <v>10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inlineStr">
        <is>
          <t>center</t>
        </is>
      </c>
      <c r="R514" t="b">
        <v>1</v>
      </c>
      <c r="S514" t="inlineStr">
        <is>
          <t>G000054</t>
        </is>
      </c>
      <c r="T514" t="inlineStr">
        <is>
          <t>Vertical</t>
        </is>
      </c>
      <c r="U514" t="n">
        <v>2</v>
      </c>
      <c r="V514" t="b">
        <v>1</v>
      </c>
      <c r="W514" t="inlineStr">
        <is>
          <t>EXPENSE VARIANCES!E32:E33</t>
        </is>
      </c>
      <c r="X514">
        <f>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f>
        <v/>
      </c>
    </row>
    <row r="515">
      <c r="A515" t="inlineStr">
        <is>
          <t>EXPENSE VARIANCES</t>
        </is>
      </c>
      <c r="B515" t="inlineStr">
        <is>
          <t>F33</t>
        </is>
      </c>
      <c r="C515" t="n">
        <v>33</v>
      </c>
      <c r="D515" t="n">
        <v>6</v>
      </c>
      <c r="E515" t="inlineStr">
        <is>
          <t>Output</t>
        </is>
      </c>
      <c r="F515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G515" t="n">
        <v>800</v>
      </c>
      <c r="H515" t="inlineStr"/>
      <c r="I515" t="inlineStr">
        <is>
          <t>"$"#,##0.00_);[Red]\("$"#,##0.00\)</t>
        </is>
      </c>
      <c r="J515" t="b">
        <v>0</v>
      </c>
      <c r="K515" t="b">
        <v>0</v>
      </c>
      <c r="L515" t="n">
        <v>10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inlineStr">
        <is>
          <t>G000055</t>
        </is>
      </c>
      <c r="T515" t="inlineStr">
        <is>
          <t>Vertical</t>
        </is>
      </c>
      <c r="U515" t="n">
        <v>2</v>
      </c>
      <c r="V515" t="b">
        <v>1</v>
      </c>
      <c r="W515" t="inlineStr">
        <is>
          <t>EXPENSE VARIANCES!F32:F33</t>
        </is>
      </c>
      <c r="X515">
        <f>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f>
        <v/>
      </c>
    </row>
    <row r="516">
      <c r="A516" t="inlineStr">
        <is>
          <t>EXPENSE VARIANCES</t>
        </is>
      </c>
      <c r="B516" t="inlineStr">
        <is>
          <t>G33</t>
        </is>
      </c>
      <c r="C516" t="n">
        <v>33</v>
      </c>
      <c r="D516" t="n">
        <v>7</v>
      </c>
      <c r="E516" t="inlineStr">
        <is>
          <t>Output</t>
        </is>
      </c>
      <c r="F516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G516" t="n">
        <v>1200</v>
      </c>
      <c r="H516" t="inlineStr"/>
      <c r="I516" t="inlineStr">
        <is>
          <t>"$"#,##0.00_);[Red]\("$"#,##0.00\)</t>
        </is>
      </c>
      <c r="J516" t="b">
        <v>0</v>
      </c>
      <c r="K516" t="b">
        <v>0</v>
      </c>
      <c r="L516" t="n">
        <v>10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inlineStr">
        <is>
          <t>center</t>
        </is>
      </c>
      <c r="R516" t="b">
        <v>1</v>
      </c>
      <c r="S516" t="inlineStr">
        <is>
          <t>G000056</t>
        </is>
      </c>
      <c r="T516" t="inlineStr">
        <is>
          <t>Vertical</t>
        </is>
      </c>
      <c r="U516" t="n">
        <v>2</v>
      </c>
      <c r="V516" t="b">
        <v>1</v>
      </c>
      <c r="W516" t="inlineStr">
        <is>
          <t>EXPENSE VARIANCES!G32:G33</t>
        </is>
      </c>
      <c r="X516">
        <f>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f>
        <v/>
      </c>
    </row>
    <row r="517">
      <c r="A517" t="inlineStr">
        <is>
          <t>EXPENSE VARIANCES</t>
        </is>
      </c>
      <c r="B517" t="inlineStr">
        <is>
          <t>H33</t>
        </is>
      </c>
      <c r="C517" t="n">
        <v>33</v>
      </c>
      <c r="D517" t="n">
        <v>8</v>
      </c>
      <c r="E517" t="inlineStr">
        <is>
          <t>Output</t>
        </is>
      </c>
      <c r="F517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G517" t="n">
        <v>-1500</v>
      </c>
      <c r="H517" t="inlineStr"/>
      <c r="I517" t="inlineStr">
        <is>
          <t>"$"#,##0.00_);[Red]\("$"#,##0.00\)</t>
        </is>
      </c>
      <c r="J517" t="b">
        <v>0</v>
      </c>
      <c r="K517" t="b">
        <v>0</v>
      </c>
      <c r="L517" t="n">
        <v>10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inlineStr">
        <is>
          <t>center</t>
        </is>
      </c>
      <c r="R517" t="b">
        <v>1</v>
      </c>
      <c r="S517" t="inlineStr">
        <is>
          <t>G000057</t>
        </is>
      </c>
      <c r="T517" t="inlineStr">
        <is>
          <t>Vertical</t>
        </is>
      </c>
      <c r="U517" t="n">
        <v>2</v>
      </c>
      <c r="V517" t="b">
        <v>1</v>
      </c>
      <c r="W517" t="inlineStr">
        <is>
          <t>EXPENSE VARIANCES!H32:H33</t>
        </is>
      </c>
      <c r="X517">
        <f>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f>
        <v/>
      </c>
    </row>
    <row r="518">
      <c r="A518" t="inlineStr">
        <is>
          <t>EXPENSE VARIANCES</t>
        </is>
      </c>
      <c r="B518" t="inlineStr">
        <is>
          <t>I33</t>
        </is>
      </c>
      <c r="C518" t="n">
        <v>33</v>
      </c>
      <c r="D518" t="n">
        <v>9</v>
      </c>
      <c r="E518" t="inlineStr">
        <is>
          <t>Output</t>
        </is>
      </c>
      <c r="F518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G518" t="n">
        <v>2000</v>
      </c>
      <c r="H518" t="inlineStr"/>
      <c r="I518" t="inlineStr">
        <is>
          <t>"$"#,##0.00_);[Red]\("$"#,##0.00\)</t>
        </is>
      </c>
      <c r="J518" t="b">
        <v>0</v>
      </c>
      <c r="K518" t="b">
        <v>0</v>
      </c>
      <c r="L518" t="n">
        <v>10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inlineStr">
        <is>
          <t>center</t>
        </is>
      </c>
      <c r="R518" t="b">
        <v>1</v>
      </c>
      <c r="S518" t="inlineStr">
        <is>
          <t>G000058</t>
        </is>
      </c>
      <c r="T518" t="inlineStr">
        <is>
          <t>Vertical</t>
        </is>
      </c>
      <c r="U518" t="n">
        <v>2</v>
      </c>
      <c r="V518" t="b">
        <v>1</v>
      </c>
      <c r="W518" t="inlineStr">
        <is>
          <t>EXPENSE VARIANCES!I32:I33</t>
        </is>
      </c>
      <c r="X518">
        <f>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f>
        <v/>
      </c>
    </row>
    <row r="519">
      <c r="A519" t="inlineStr">
        <is>
          <t>EXPENSE VARIANCES</t>
        </is>
      </c>
      <c r="B519" t="inlineStr">
        <is>
          <t>J33</t>
        </is>
      </c>
      <c r="C519" t="n">
        <v>33</v>
      </c>
      <c r="D519" t="n">
        <v>10</v>
      </c>
      <c r="E519" t="inlineStr">
        <is>
          <t>Output</t>
        </is>
      </c>
      <c r="F519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G519" t="n">
        <v>2000</v>
      </c>
      <c r="H519" t="inlineStr"/>
      <c r="I519" t="inlineStr">
        <is>
          <t>"$"#,##0.00_);[Red]\("$"#,##0.00\)</t>
        </is>
      </c>
      <c r="J519" t="b">
        <v>0</v>
      </c>
      <c r="K519" t="b">
        <v>0</v>
      </c>
      <c r="L519" t="n">
        <v>10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G000059</t>
        </is>
      </c>
      <c r="T519" t="inlineStr">
        <is>
          <t>Vertical</t>
        </is>
      </c>
      <c r="U519" t="n">
        <v>2</v>
      </c>
      <c r="V519" t="b">
        <v>1</v>
      </c>
      <c r="W519" t="inlineStr">
        <is>
          <t>EXPENSE VARIANCES!J32:J33</t>
        </is>
      </c>
      <c r="X519">
        <f>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f>
        <v/>
      </c>
    </row>
    <row r="520">
      <c r="A520" t="inlineStr">
        <is>
          <t>EXPENSE VARIANCES</t>
        </is>
      </c>
      <c r="B520" t="inlineStr">
        <is>
          <t>K33</t>
        </is>
      </c>
      <c r="C520" t="n">
        <v>33</v>
      </c>
      <c r="D520" t="n">
        <v>11</v>
      </c>
      <c r="E520" t="inlineStr">
        <is>
          <t>Output</t>
        </is>
      </c>
      <c r="F520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G520" t="n">
        <v>2000</v>
      </c>
      <c r="H520" t="inlineStr"/>
      <c r="I520" t="inlineStr">
        <is>
          <t>"$"#,##0.00_);[Red]\("$"#,##0.00\)</t>
        </is>
      </c>
      <c r="J520" t="b">
        <v>0</v>
      </c>
      <c r="K520" t="b">
        <v>0</v>
      </c>
      <c r="L520" t="n">
        <v>10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inlineStr">
        <is>
          <t>G000060</t>
        </is>
      </c>
      <c r="T520" t="inlineStr">
        <is>
          <t>Vertical</t>
        </is>
      </c>
      <c r="U520" t="n">
        <v>2</v>
      </c>
      <c r="V520" t="b">
        <v>1</v>
      </c>
      <c r="W520" t="inlineStr">
        <is>
          <t>EXPENSE VARIANCES!K32:K33</t>
        </is>
      </c>
      <c r="X520">
        <f>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f>
        <v/>
      </c>
    </row>
    <row r="521">
      <c r="A521" t="inlineStr">
        <is>
          <t>EXPENSE VARIANCES</t>
        </is>
      </c>
      <c r="B521" t="inlineStr">
        <is>
          <t>L33</t>
        </is>
      </c>
      <c r="C521" t="n">
        <v>33</v>
      </c>
      <c r="D521" t="n">
        <v>12</v>
      </c>
      <c r="E521" t="inlineStr">
        <is>
          <t>Output</t>
        </is>
      </c>
      <c r="F521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G521" t="n">
        <v>2000</v>
      </c>
      <c r="H521" t="inlineStr"/>
      <c r="I521" t="inlineStr">
        <is>
          <t>"$"#,##0.00_);[Red]\("$"#,##0.00\)</t>
        </is>
      </c>
      <c r="J521" t="b">
        <v>0</v>
      </c>
      <c r="K521" t="b">
        <v>0</v>
      </c>
      <c r="L521" t="n">
        <v>10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inlineStr">
        <is>
          <t>G000061</t>
        </is>
      </c>
      <c r="T521" t="inlineStr">
        <is>
          <t>Vertical</t>
        </is>
      </c>
      <c r="U521" t="n">
        <v>2</v>
      </c>
      <c r="V521" t="b">
        <v>1</v>
      </c>
      <c r="W521" t="inlineStr">
        <is>
          <t>EXPENSE VARIANCES!L32:L33</t>
        </is>
      </c>
      <c r="X521">
        <f>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f>
        <v/>
      </c>
    </row>
    <row r="522">
      <c r="A522" t="inlineStr">
        <is>
          <t>EXPENSE VARIANCES</t>
        </is>
      </c>
      <c r="B522" t="inlineStr">
        <is>
          <t>M33</t>
        </is>
      </c>
      <c r="C522" t="n">
        <v>33</v>
      </c>
      <c r="D522" t="n">
        <v>13</v>
      </c>
      <c r="E522" t="inlineStr">
        <is>
          <t>Output</t>
        </is>
      </c>
      <c r="F522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G522" t="n">
        <v>2000</v>
      </c>
      <c r="H522" t="inlineStr"/>
      <c r="I522" t="inlineStr">
        <is>
          <t>"$"#,##0.00_);[Red]\("$"#,##0.00\)</t>
        </is>
      </c>
      <c r="J522" t="b">
        <v>0</v>
      </c>
      <c r="K522" t="b">
        <v>0</v>
      </c>
      <c r="L522" t="n">
        <v>10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inlineStr">
        <is>
          <t>center</t>
        </is>
      </c>
      <c r="R522" t="b">
        <v>1</v>
      </c>
      <c r="S522" t="inlineStr">
        <is>
          <t>G000062</t>
        </is>
      </c>
      <c r="T522" t="inlineStr">
        <is>
          <t>Vertical</t>
        </is>
      </c>
      <c r="U522" t="n">
        <v>2</v>
      </c>
      <c r="V522" t="b">
        <v>1</v>
      </c>
      <c r="W522" t="inlineStr">
        <is>
          <t>EXPENSE VARIANCES!M32:M33</t>
        </is>
      </c>
      <c r="X522">
        <f>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f>
        <v/>
      </c>
    </row>
    <row r="523">
      <c r="A523" t="inlineStr">
        <is>
          <t>EXPENSE VARIANCES</t>
        </is>
      </c>
      <c r="B523" t="inlineStr">
        <is>
          <t>N33</t>
        </is>
      </c>
      <c r="C523" t="n">
        <v>33</v>
      </c>
      <c r="D523" t="n">
        <v>14</v>
      </c>
      <c r="E523" t="inlineStr">
        <is>
          <t>Output</t>
        </is>
      </c>
      <c r="F523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G523" t="n">
        <v>2000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10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inlineStr">
        <is>
          <t>G000063</t>
        </is>
      </c>
      <c r="T523" t="inlineStr">
        <is>
          <t>Vertical</t>
        </is>
      </c>
      <c r="U523" t="n">
        <v>2</v>
      </c>
      <c r="V523" t="b">
        <v>1</v>
      </c>
      <c r="W523" t="inlineStr">
        <is>
          <t>EXPENSE VARIANCES!N32:N33</t>
        </is>
      </c>
      <c r="X523">
        <f>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f>
        <v/>
      </c>
    </row>
    <row r="524">
      <c r="A524" t="inlineStr">
        <is>
          <t>EXPENSE VARIANCES</t>
        </is>
      </c>
      <c r="B524" t="inlineStr">
        <is>
          <t>O33</t>
        </is>
      </c>
      <c r="C524" t="n">
        <v>33</v>
      </c>
      <c r="D524" t="n">
        <v>15</v>
      </c>
      <c r="E524" t="inlineStr">
        <is>
          <t>Output</t>
        </is>
      </c>
      <c r="F524" t="inlineStr">
        <is>
          <t>'=SUM(TrainingAndTravelVariances[[#This Row],[Jan]:[Dec]])</t>
        </is>
      </c>
      <c r="G524" t="n">
        <v>13700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10</v>
      </c>
      <c r="M524" t="inlineStr">
        <is>
          <t>Values must be of type &lt;class 'str'&gt;</t>
        </is>
      </c>
      <c r="N524" t="inlineStr">
        <is>
          <t>Values must be of type &lt;class 'str'&gt;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inlineStr">
        <is>
          <t>G000064</t>
        </is>
      </c>
      <c r="T524" t="inlineStr">
        <is>
          <t>Vertical</t>
        </is>
      </c>
      <c r="U524" t="n">
        <v>2</v>
      </c>
      <c r="V524" t="b">
        <v>1</v>
      </c>
      <c r="W524" t="inlineStr">
        <is>
          <t>EXPENSE VARIANCES!O32:O33</t>
        </is>
      </c>
      <c r="X524">
        <f>SUM(TrainingAndTravelVariances[[#This Row],[Jan]:[Dec]])</f>
        <v/>
      </c>
    </row>
    <row r="525">
      <c r="A525" t="inlineStr">
        <is>
          <t>EXPENSE VARIANCES</t>
        </is>
      </c>
      <c r="B525" t="inlineStr">
        <is>
          <t>P33</t>
        </is>
      </c>
      <c r="C525" t="n">
        <v>33</v>
      </c>
      <c r="D525" t="n">
        <v>16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M525" t="inlineStr">
        <is>
          <t>Values must be of type &lt;class 'str'&gt;</t>
        </is>
      </c>
      <c r="N525" t="inlineStr">
        <is>
          <t>Values must be of type &lt;class 'str'&gt;</t>
        </is>
      </c>
      <c r="O525" t="n">
        <v/>
      </c>
      <c r="P525" t="n">
        <v/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</row>
    <row r="526">
      <c r="A526" t="inlineStr">
        <is>
          <t>EXPENSE VARIANCES</t>
        </is>
      </c>
      <c r="B526" t="inlineStr">
        <is>
          <t>A34</t>
        </is>
      </c>
      <c r="C526" t="n">
        <v>34</v>
      </c>
      <c r="D526" t="n">
        <v>1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M526" t="inlineStr">
        <is>
          <t>Values must be of type &lt;class 'str'&gt;</t>
        </is>
      </c>
      <c r="N526" t="inlineStr">
        <is>
          <t>Values must be of type &lt;class 'str'&gt;</t>
        </is>
      </c>
      <c r="O526" t="n">
        <v/>
      </c>
      <c r="P526" t="n">
        <v/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</row>
    <row r="527">
      <c r="A527" t="inlineStr">
        <is>
          <t>EXPENSE VARIANCES</t>
        </is>
      </c>
      <c r="B527" t="inlineStr">
        <is>
          <t>B34</t>
        </is>
      </c>
      <c r="C527" t="n">
        <v>34</v>
      </c>
      <c r="D527" t="n">
        <v>2</v>
      </c>
      <c r="E527" t="inlineStr">
        <is>
          <t>Input</t>
        </is>
      </c>
      <c r="F527" t="n">
        <v/>
      </c>
      <c r="G527" t="inlineStr">
        <is>
          <t>Subtotal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12</v>
      </c>
      <c r="M527" t="inlineStr">
        <is>
          <t>Values must be of type &lt;class 'str'&gt;</t>
        </is>
      </c>
      <c r="N527" t="inlineStr">
        <is>
          <t>Values must be of type &lt;class 'str'&gt;</t>
        </is>
      </c>
      <c r="O527" t="inlineStr">
        <is>
          <t>left</t>
        </is>
      </c>
      <c r="P527" t="inlineStr">
        <is>
          <t>center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EXPENSE VARIANCES</t>
        </is>
      </c>
      <c r="B528" t="inlineStr">
        <is>
          <t>C34</t>
        </is>
      </c>
      <c r="C528" t="n">
        <v>34</v>
      </c>
      <c r="D528" t="n">
        <v>3</v>
      </c>
      <c r="E528" t="inlineStr">
        <is>
          <t>Output</t>
        </is>
      </c>
      <c r="F528" t="inlineStr">
        <is>
          <t>'=SUBTOTAL(109,TrainingAndTravelVariances[Jan])</t>
        </is>
      </c>
      <c r="G528" t="n">
        <v>1200</v>
      </c>
      <c r="H528" t="inlineStr"/>
      <c r="I528" t="inlineStr">
        <is>
          <t>"$"#,##0.00_);[Red]\("$"#,##0.00\)</t>
        </is>
      </c>
      <c r="J528" t="b">
        <v>0</v>
      </c>
      <c r="K528" t="b">
        <v>0</v>
      </c>
      <c r="L528" t="n">
        <v>10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>
        <f>SUBTOTAL(109,TrainingAndTravelVariances[Jan])</f>
        <v/>
      </c>
    </row>
    <row r="529">
      <c r="A529" t="inlineStr">
        <is>
          <t>EXPENSE VARIANCES</t>
        </is>
      </c>
      <c r="B529" t="inlineStr">
        <is>
          <t>D34</t>
        </is>
      </c>
      <c r="C529" t="n">
        <v>34</v>
      </c>
      <c r="D529" t="n">
        <v>4</v>
      </c>
      <c r="E529" t="inlineStr">
        <is>
          <t>Output</t>
        </is>
      </c>
      <c r="F529" t="inlineStr">
        <is>
          <t>'=SUBTOTAL(109,TrainingAndTravelVariances[Feb])</t>
        </is>
      </c>
      <c r="G529" t="n">
        <v>-600</v>
      </c>
      <c r="H529" t="inlineStr"/>
      <c r="I529" t="inlineStr">
        <is>
          <t>"$"#,##0.00_);[Red]\("$"#,##0.00\)</t>
        </is>
      </c>
      <c r="J529" t="b">
        <v>0</v>
      </c>
      <c r="K529" t="b">
        <v>0</v>
      </c>
      <c r="L529" t="n">
        <v>10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>
        <f>SUBTOTAL(109,TrainingAndTravelVariances[Feb])</f>
        <v/>
      </c>
    </row>
    <row r="530">
      <c r="A530" t="inlineStr">
        <is>
          <t>EXPENSE VARIANCES</t>
        </is>
      </c>
      <c r="B530" t="inlineStr">
        <is>
          <t>E34</t>
        </is>
      </c>
      <c r="C530" t="n">
        <v>34</v>
      </c>
      <c r="D530" t="n">
        <v>5</v>
      </c>
      <c r="E530" t="inlineStr">
        <is>
          <t>Output</t>
        </is>
      </c>
      <c r="F530" t="inlineStr">
        <is>
          <t>'=SUBTOTAL(109,TrainingAndTravelVariances[Mar])</t>
        </is>
      </c>
      <c r="G530" t="n">
        <v>1200</v>
      </c>
      <c r="H530" t="inlineStr"/>
      <c r="I530" t="inlineStr">
        <is>
          <t>"$"#,##0.00_);[Red]\("$"#,##0.00\)</t>
        </is>
      </c>
      <c r="J530" t="b">
        <v>0</v>
      </c>
      <c r="K530" t="b">
        <v>0</v>
      </c>
      <c r="L530" t="n">
        <v>10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>
        <f>SUBTOTAL(109,TrainingAndTravelVariances[Mar])</f>
        <v/>
      </c>
    </row>
    <row r="531">
      <c r="A531" t="inlineStr">
        <is>
          <t>EXPENSE VARIANCES</t>
        </is>
      </c>
      <c r="B531" t="inlineStr">
        <is>
          <t>F34</t>
        </is>
      </c>
      <c r="C531" t="n">
        <v>34</v>
      </c>
      <c r="D531" t="n">
        <v>6</v>
      </c>
      <c r="E531" t="inlineStr">
        <is>
          <t>Output</t>
        </is>
      </c>
      <c r="F531" t="inlineStr">
        <is>
          <t>'=SUBTOTAL(109,TrainingAndTravelVariances[Apr])</t>
        </is>
      </c>
      <c r="G531" t="n">
        <v>1200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10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>
        <f>SUBTOTAL(109,TrainingAndTravelVariances[Apr])</f>
        <v/>
      </c>
    </row>
    <row r="532">
      <c r="A532" t="inlineStr">
        <is>
          <t>EXPENSE VARIANCES</t>
        </is>
      </c>
      <c r="B532" t="inlineStr">
        <is>
          <t>G34</t>
        </is>
      </c>
      <c r="C532" t="n">
        <v>34</v>
      </c>
      <c r="D532" t="n">
        <v>7</v>
      </c>
      <c r="E532" t="inlineStr">
        <is>
          <t>Output</t>
        </is>
      </c>
      <c r="F532" t="inlineStr">
        <is>
          <t>'=SUBTOTAL(109,TrainingAndTravelVariances[May])</t>
        </is>
      </c>
      <c r="G532" t="n">
        <v>2000</v>
      </c>
      <c r="H532" t="inlineStr"/>
      <c r="I532" t="inlineStr">
        <is>
          <t>"$"#,##0.00_);[Red]\("$"#,##0.00\)</t>
        </is>
      </c>
      <c r="J532" t="b">
        <v>0</v>
      </c>
      <c r="K532" t="b">
        <v>0</v>
      </c>
      <c r="L532" t="n">
        <v>10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inlineStr">
        <is>
          <t>center</t>
        </is>
      </c>
      <c r="P532" t="inlineStr">
        <is>
          <t>center</t>
        </is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>
        <f>SUBTOTAL(109,TrainingAndTravelVariances[May])</f>
        <v/>
      </c>
    </row>
    <row r="533">
      <c r="A533" t="inlineStr">
        <is>
          <t>EXPENSE VARIANCES</t>
        </is>
      </c>
      <c r="B533" t="inlineStr">
        <is>
          <t>H34</t>
        </is>
      </c>
      <c r="C533" t="n">
        <v>34</v>
      </c>
      <c r="D533" t="n">
        <v>8</v>
      </c>
      <c r="E533" t="inlineStr">
        <is>
          <t>Output</t>
        </is>
      </c>
      <c r="F533" t="inlineStr">
        <is>
          <t>'=SUBTOTAL(109,TrainingAndTravelVariances[Jun])</t>
        </is>
      </c>
      <c r="G533" t="n">
        <v>-2300</v>
      </c>
      <c r="H533" t="inlineStr"/>
      <c r="I533" t="inlineStr">
        <is>
          <t>"$"#,##0.00_);[Red]\("$"#,##0.00\)</t>
        </is>
      </c>
      <c r="J533" t="b">
        <v>0</v>
      </c>
      <c r="K533" t="b">
        <v>0</v>
      </c>
      <c r="L533" t="n">
        <v>10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>
        <f>SUBTOTAL(109,TrainingAndTravelVariances[Jun])</f>
        <v/>
      </c>
    </row>
    <row r="534">
      <c r="A534" t="inlineStr">
        <is>
          <t>EXPENSE VARIANCES</t>
        </is>
      </c>
      <c r="B534" t="inlineStr">
        <is>
          <t>I34</t>
        </is>
      </c>
      <c r="C534" t="n">
        <v>34</v>
      </c>
      <c r="D534" t="n">
        <v>9</v>
      </c>
      <c r="E534" t="inlineStr">
        <is>
          <t>Output</t>
        </is>
      </c>
      <c r="F534" t="inlineStr">
        <is>
          <t>'=SUBTOTAL(109,TrainingAndTravelVariances[Jul])</t>
        </is>
      </c>
      <c r="G534" t="n">
        <v>4000</v>
      </c>
      <c r="H534" t="inlineStr"/>
      <c r="I534" t="inlineStr">
        <is>
          <t>"$"#,##0.00_);[Red]\("$"#,##0.00\)</t>
        </is>
      </c>
      <c r="J534" t="b">
        <v>0</v>
      </c>
      <c r="K534" t="b">
        <v>0</v>
      </c>
      <c r="L534" t="n">
        <v>10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>
        <f>SUBTOTAL(109,TrainingAndTravelVariances[Jul])</f>
        <v/>
      </c>
    </row>
    <row r="535">
      <c r="A535" t="inlineStr">
        <is>
          <t>EXPENSE VARIANCES</t>
        </is>
      </c>
      <c r="B535" t="inlineStr">
        <is>
          <t>J34</t>
        </is>
      </c>
      <c r="C535" t="n">
        <v>34</v>
      </c>
      <c r="D535" t="n">
        <v>10</v>
      </c>
      <c r="E535" t="inlineStr">
        <is>
          <t>Output</t>
        </is>
      </c>
      <c r="F535" t="inlineStr">
        <is>
          <t>'=SUBTOTAL(109,TrainingAndTravelVariances[Aug])</t>
        </is>
      </c>
      <c r="G535" t="n">
        <v>4000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10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>
        <f>SUBTOTAL(109,TrainingAndTravelVariances[Aug])</f>
        <v/>
      </c>
    </row>
    <row r="536">
      <c r="A536" t="inlineStr">
        <is>
          <t>EXPENSE VARIANCES</t>
        </is>
      </c>
      <c r="B536" t="inlineStr">
        <is>
          <t>K34</t>
        </is>
      </c>
      <c r="C536" t="n">
        <v>34</v>
      </c>
      <c r="D536" t="n">
        <v>11</v>
      </c>
      <c r="E536" t="inlineStr">
        <is>
          <t>Output</t>
        </is>
      </c>
      <c r="F536" t="inlineStr">
        <is>
          <t>'=SUBTOTAL(109,TrainingAndTravelVariances[Sep])</t>
        </is>
      </c>
      <c r="G536" t="n">
        <v>4000</v>
      </c>
      <c r="H536" t="inlineStr"/>
      <c r="I536" t="inlineStr">
        <is>
          <t>"$"#,##0.00_);[Red]\("$"#,##0.00\)</t>
        </is>
      </c>
      <c r="J536" t="b">
        <v>0</v>
      </c>
      <c r="K536" t="b">
        <v>0</v>
      </c>
      <c r="L536" t="n">
        <v>10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>
        <f>SUBTOTAL(109,TrainingAndTravelVariances[Sep])</f>
        <v/>
      </c>
    </row>
    <row r="537">
      <c r="A537" t="inlineStr">
        <is>
          <t>EXPENSE VARIANCES</t>
        </is>
      </c>
      <c r="B537" t="inlineStr">
        <is>
          <t>L34</t>
        </is>
      </c>
      <c r="C537" t="n">
        <v>34</v>
      </c>
      <c r="D537" t="n">
        <v>12</v>
      </c>
      <c r="E537" t="inlineStr">
        <is>
          <t>Output</t>
        </is>
      </c>
      <c r="F537" t="inlineStr">
        <is>
          <t>'=SUBTOTAL(109,TrainingAndTravelVariances[Oct])</t>
        </is>
      </c>
      <c r="G537" t="n">
        <v>4000</v>
      </c>
      <c r="H537" t="inlineStr"/>
      <c r="I537" t="inlineStr">
        <is>
          <t>"$"#,##0.00_);[Red]\("$"#,##0.00\)</t>
        </is>
      </c>
      <c r="J537" t="b">
        <v>0</v>
      </c>
      <c r="K537" t="b">
        <v>0</v>
      </c>
      <c r="L537" t="n">
        <v>10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>
        <f>SUBTOTAL(109,TrainingAndTravelVariances[Oct])</f>
        <v/>
      </c>
    </row>
    <row r="538">
      <c r="A538" t="inlineStr">
        <is>
          <t>EXPENSE VARIANCES</t>
        </is>
      </c>
      <c r="B538" t="inlineStr">
        <is>
          <t>M34</t>
        </is>
      </c>
      <c r="C538" t="n">
        <v>34</v>
      </c>
      <c r="D538" t="n">
        <v>13</v>
      </c>
      <c r="E538" t="inlineStr">
        <is>
          <t>Output</t>
        </is>
      </c>
      <c r="F538" t="inlineStr">
        <is>
          <t>'=SUBTOTAL(109,TrainingAndTravelVariances[Nov])</t>
        </is>
      </c>
      <c r="G538" t="n">
        <v>4000</v>
      </c>
      <c r="H538" t="inlineStr"/>
      <c r="I538" t="inlineStr">
        <is>
          <t>"$"#,##0.00_);[Red]\("$"#,##0.00\)</t>
        </is>
      </c>
      <c r="J538" t="b">
        <v>0</v>
      </c>
      <c r="K538" t="b">
        <v>0</v>
      </c>
      <c r="L538" t="n">
        <v>10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>
        <f>SUBTOTAL(109,TrainingAndTravelVariances[Nov])</f>
        <v/>
      </c>
    </row>
    <row r="539">
      <c r="A539" t="inlineStr">
        <is>
          <t>EXPENSE VARIANCES</t>
        </is>
      </c>
      <c r="B539" t="inlineStr">
        <is>
          <t>N34</t>
        </is>
      </c>
      <c r="C539" t="n">
        <v>34</v>
      </c>
      <c r="D539" t="n">
        <v>14</v>
      </c>
      <c r="E539" t="inlineStr">
        <is>
          <t>Output</t>
        </is>
      </c>
      <c r="F539" t="inlineStr">
        <is>
          <t>'=SUBTOTAL(109,TrainingAndTravelVariances[Dec])</t>
        </is>
      </c>
      <c r="G539" t="n">
        <v>4000</v>
      </c>
      <c r="H539" t="inlineStr"/>
      <c r="I539" t="inlineStr">
        <is>
          <t>"$"#,##0.00_);[Red]\("$"#,##0.00\)</t>
        </is>
      </c>
      <c r="J539" t="b">
        <v>0</v>
      </c>
      <c r="K539" t="b">
        <v>0</v>
      </c>
      <c r="L539" t="n">
        <v>10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>
        <f>SUBTOTAL(109,TrainingAndTravelVariances[Dec])</f>
        <v/>
      </c>
    </row>
    <row r="540">
      <c r="A540" t="inlineStr">
        <is>
          <t>EXPENSE VARIANCES</t>
        </is>
      </c>
      <c r="B540" t="inlineStr">
        <is>
          <t>O34</t>
        </is>
      </c>
      <c r="C540" t="n">
        <v>34</v>
      </c>
      <c r="D540" t="n">
        <v>15</v>
      </c>
      <c r="E540" t="inlineStr">
        <is>
          <t>Output</t>
        </is>
      </c>
      <c r="F540" t="inlineStr">
        <is>
          <t>'=SUBTOTAL(109,TrainingAndTravelVariances[YEAR])</t>
        </is>
      </c>
      <c r="G540" t="n">
        <v>26700</v>
      </c>
      <c r="H540" t="inlineStr"/>
      <c r="I540" t="inlineStr">
        <is>
          <t>"$"#,##0.00_);[Red]\("$"#,##0.00\)</t>
        </is>
      </c>
      <c r="J540" t="b">
        <v>0</v>
      </c>
      <c r="K540" t="b">
        <v>0</v>
      </c>
      <c r="L540" t="n">
        <v>10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>
        <f>SUBTOTAL(109,TrainingAndTravelVariances[YEAR])</f>
        <v/>
      </c>
    </row>
    <row r="541">
      <c r="A541" t="inlineStr">
        <is>
          <t>EXPENSE VARIANCES</t>
        </is>
      </c>
      <c r="B541" t="inlineStr">
        <is>
          <t>P34</t>
        </is>
      </c>
      <c r="C541" t="n">
        <v>34</v>
      </c>
      <c r="D541" t="n">
        <v>16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n">
        <v/>
      </c>
      <c r="P541" t="n">
        <v/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EXPENSE VARIANCES</t>
        </is>
      </c>
      <c r="B542" t="inlineStr">
        <is>
          <t>A35</t>
        </is>
      </c>
      <c r="C542" t="n">
        <v>35</v>
      </c>
      <c r="D542" t="n">
        <v>1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n">
        <v/>
      </c>
      <c r="P542" t="n">
        <v/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EXPENSE VARIANCES</t>
        </is>
      </c>
      <c r="B543" t="inlineStr">
        <is>
          <t>B35</t>
        </is>
      </c>
      <c r="C543" t="n">
        <v>35</v>
      </c>
      <c r="D543" t="n">
        <v>2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10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left</t>
        </is>
      </c>
      <c r="P543" t="n">
        <v/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EXPENSE VARIANCES</t>
        </is>
      </c>
      <c r="B544" t="inlineStr">
        <is>
          <t>C35</t>
        </is>
      </c>
      <c r="C544" t="n">
        <v>35</v>
      </c>
      <c r="D544" t="n">
        <v>3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10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n">
        <v/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EXPENSE VARIANCES</t>
        </is>
      </c>
      <c r="B545" t="inlineStr">
        <is>
          <t>D35</t>
        </is>
      </c>
      <c r="C545" t="n">
        <v>35</v>
      </c>
      <c r="D545" t="n">
        <v>4</v>
      </c>
      <c r="E545" t="inlineStr">
        <is>
          <t>Input</t>
        </is>
      </c>
      <c r="F545" t="n">
        <v/>
      </c>
      <c r="H545" t="inlineStr"/>
      <c r="I545" t="inlineStr">
        <is>
          <t>#,##0_);(#,##0)</t>
        </is>
      </c>
      <c r="J545" t="b">
        <v>1</v>
      </c>
      <c r="K545" t="b">
        <v>0</v>
      </c>
      <c r="L545" t="n">
        <v>10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right</t>
        </is>
      </c>
      <c r="P545" t="n">
        <v/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EXPENSE VARIANCES</t>
        </is>
      </c>
      <c r="B546" t="inlineStr">
        <is>
          <t>E35</t>
        </is>
      </c>
      <c r="C546" t="n">
        <v>35</v>
      </c>
      <c r="D546" t="n">
        <v>5</v>
      </c>
      <c r="E546" t="inlineStr">
        <is>
          <t>Input</t>
        </is>
      </c>
      <c r="F546" t="n">
        <v/>
      </c>
      <c r="H546" t="inlineStr"/>
      <c r="I546" t="inlineStr">
        <is>
          <t>#,##0_);(#,##0)</t>
        </is>
      </c>
      <c r="J546" t="b">
        <v>1</v>
      </c>
      <c r="K546" t="b">
        <v>0</v>
      </c>
      <c r="L546" t="n">
        <v>10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right</t>
        </is>
      </c>
      <c r="P546" t="n">
        <v/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EXPENSE VARIANCES</t>
        </is>
      </c>
      <c r="B547" t="inlineStr">
        <is>
          <t>F35</t>
        </is>
      </c>
      <c r="C547" t="n">
        <v>35</v>
      </c>
      <c r="D547" t="n">
        <v>6</v>
      </c>
      <c r="E547" t="inlineStr">
        <is>
          <t>Input</t>
        </is>
      </c>
      <c r="F547" t="n">
        <v/>
      </c>
      <c r="H547" t="inlineStr"/>
      <c r="I547" t="inlineStr">
        <is>
          <t>#,##0_);(#,##0)</t>
        </is>
      </c>
      <c r="J547" t="b">
        <v>1</v>
      </c>
      <c r="K547" t="b">
        <v>0</v>
      </c>
      <c r="L547" t="n">
        <v>10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right</t>
        </is>
      </c>
      <c r="P547" t="n">
        <v/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EXPENSE VARIANCES</t>
        </is>
      </c>
      <c r="B548" t="inlineStr">
        <is>
          <t>G35</t>
        </is>
      </c>
      <c r="C548" t="n">
        <v>35</v>
      </c>
      <c r="D548" t="n">
        <v>7</v>
      </c>
      <c r="E548" t="inlineStr">
        <is>
          <t>Input</t>
        </is>
      </c>
      <c r="F548" t="n">
        <v/>
      </c>
      <c r="H548" t="inlineStr"/>
      <c r="I548" t="inlineStr">
        <is>
          <t>#,##0_);(#,##0)</t>
        </is>
      </c>
      <c r="J548" t="b">
        <v>1</v>
      </c>
      <c r="K548" t="b">
        <v>0</v>
      </c>
      <c r="L548" t="n">
        <v>10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inlineStr">
        <is>
          <t>right</t>
        </is>
      </c>
      <c r="P548" t="n">
        <v/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EXPENSE VARIANCES</t>
        </is>
      </c>
      <c r="B549" t="inlineStr">
        <is>
          <t>H35</t>
        </is>
      </c>
      <c r="C549" t="n">
        <v>35</v>
      </c>
      <c r="D549" t="n">
        <v>8</v>
      </c>
      <c r="E549" t="inlineStr">
        <is>
          <t>Input</t>
        </is>
      </c>
      <c r="F549" t="n">
        <v/>
      </c>
      <c r="H549" t="inlineStr"/>
      <c r="I549" t="inlineStr">
        <is>
          <t>#,##0_);(#,##0)</t>
        </is>
      </c>
      <c r="J549" t="b">
        <v>1</v>
      </c>
      <c r="K549" t="b">
        <v>0</v>
      </c>
      <c r="L549" t="n">
        <v>10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inlineStr">
        <is>
          <t>right</t>
        </is>
      </c>
      <c r="P549" t="n">
        <v/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EXPENSE VARIANCES</t>
        </is>
      </c>
      <c r="B550" t="inlineStr">
        <is>
          <t>I35</t>
        </is>
      </c>
      <c r="C550" t="n">
        <v>35</v>
      </c>
      <c r="D550" t="n">
        <v>9</v>
      </c>
      <c r="E550" t="inlineStr">
        <is>
          <t>Input</t>
        </is>
      </c>
      <c r="F550" t="n">
        <v/>
      </c>
      <c r="H550" t="inlineStr"/>
      <c r="I550" t="inlineStr">
        <is>
          <t>#,##0_);(#,##0)</t>
        </is>
      </c>
      <c r="J550" t="b">
        <v>1</v>
      </c>
      <c r="K550" t="b">
        <v>0</v>
      </c>
      <c r="L550" t="n">
        <v>10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inlineStr">
        <is>
          <t>right</t>
        </is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EXPENSE VARIANCES</t>
        </is>
      </c>
      <c r="B551" t="inlineStr">
        <is>
          <t>J35</t>
        </is>
      </c>
      <c r="C551" t="n">
        <v>35</v>
      </c>
      <c r="D551" t="n">
        <v>10</v>
      </c>
      <c r="E551" t="inlineStr">
        <is>
          <t>Input</t>
        </is>
      </c>
      <c r="F551" t="n">
        <v/>
      </c>
      <c r="H551" t="inlineStr"/>
      <c r="I551" t="inlineStr">
        <is>
          <t>#,##0_);(#,##0)</t>
        </is>
      </c>
      <c r="J551" t="b">
        <v>1</v>
      </c>
      <c r="K551" t="b">
        <v>0</v>
      </c>
      <c r="L551" t="n">
        <v>10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inlineStr">
        <is>
          <t>right</t>
        </is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EXPENSE VARIANCES</t>
        </is>
      </c>
      <c r="B552" t="inlineStr">
        <is>
          <t>K35</t>
        </is>
      </c>
      <c r="C552" t="n">
        <v>35</v>
      </c>
      <c r="D552" t="n">
        <v>11</v>
      </c>
      <c r="E552" t="inlineStr">
        <is>
          <t>Input</t>
        </is>
      </c>
      <c r="F552" t="n">
        <v/>
      </c>
      <c r="H552" t="inlineStr"/>
      <c r="I552" t="inlineStr">
        <is>
          <t>#,##0_);(#,##0)</t>
        </is>
      </c>
      <c r="J552" t="b">
        <v>1</v>
      </c>
      <c r="K552" t="b">
        <v>0</v>
      </c>
      <c r="L552" t="n">
        <v>10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inlineStr">
        <is>
          <t>right</t>
        </is>
      </c>
      <c r="P552" t="n">
        <v/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EXPENSE VARIANCES</t>
        </is>
      </c>
      <c r="B553" t="inlineStr">
        <is>
          <t>L35</t>
        </is>
      </c>
      <c r="C553" t="n">
        <v>35</v>
      </c>
      <c r="D553" t="n">
        <v>12</v>
      </c>
      <c r="E553" t="inlineStr">
        <is>
          <t>Input</t>
        </is>
      </c>
      <c r="F553" t="n">
        <v/>
      </c>
      <c r="H553" t="inlineStr"/>
      <c r="I553" t="inlineStr">
        <is>
          <t>#,##0_);(#,##0)</t>
        </is>
      </c>
      <c r="J553" t="b">
        <v>1</v>
      </c>
      <c r="K553" t="b">
        <v>0</v>
      </c>
      <c r="L553" t="n">
        <v>10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inlineStr">
        <is>
          <t>right</t>
        </is>
      </c>
      <c r="P553" t="n">
        <v/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EXPENSE VARIANCES</t>
        </is>
      </c>
      <c r="B554" t="inlineStr">
        <is>
          <t>M35</t>
        </is>
      </c>
      <c r="C554" t="n">
        <v>35</v>
      </c>
      <c r="D554" t="n">
        <v>13</v>
      </c>
      <c r="E554" t="inlineStr">
        <is>
          <t>Input</t>
        </is>
      </c>
      <c r="F554" t="n">
        <v/>
      </c>
      <c r="H554" t="inlineStr"/>
      <c r="I554" t="inlineStr">
        <is>
          <t>#,##0_);(#,##0)</t>
        </is>
      </c>
      <c r="J554" t="b">
        <v>1</v>
      </c>
      <c r="K554" t="b">
        <v>0</v>
      </c>
      <c r="L554" t="n">
        <v>10</v>
      </c>
      <c r="M554" t="inlineStr">
        <is>
          <t>Values must be of type &lt;class 'str'&gt;</t>
        </is>
      </c>
      <c r="N554" t="inlineStr">
        <is>
          <t>Values must be of type &lt;class 'str'&gt;</t>
        </is>
      </c>
      <c r="O554" t="inlineStr">
        <is>
          <t>right</t>
        </is>
      </c>
      <c r="P554" t="n">
        <v/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EXPENSE VARIANCES</t>
        </is>
      </c>
      <c r="B555" t="inlineStr">
        <is>
          <t>N35</t>
        </is>
      </c>
      <c r="C555" t="n">
        <v>35</v>
      </c>
      <c r="D555" t="n">
        <v>14</v>
      </c>
      <c r="E555" t="inlineStr">
        <is>
          <t>Input</t>
        </is>
      </c>
      <c r="F555" t="n">
        <v/>
      </c>
      <c r="H555" t="inlineStr"/>
      <c r="I555" t="inlineStr">
        <is>
          <t>#,##0_);(#,##0)</t>
        </is>
      </c>
      <c r="J555" t="b">
        <v>1</v>
      </c>
      <c r="K555" t="b">
        <v>0</v>
      </c>
      <c r="L555" t="n">
        <v>10</v>
      </c>
      <c r="M555" t="inlineStr">
        <is>
          <t>Values must be of type &lt;class 'str'&gt;</t>
        </is>
      </c>
      <c r="N555" t="inlineStr">
        <is>
          <t>Values must be of type &lt;class 'str'&gt;</t>
        </is>
      </c>
      <c r="O555" t="inlineStr">
        <is>
          <t>right</t>
        </is>
      </c>
      <c r="P555" t="n">
        <v/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EXPENSE VARIANCES</t>
        </is>
      </c>
      <c r="B556" t="inlineStr">
        <is>
          <t>O35</t>
        </is>
      </c>
      <c r="C556" t="n">
        <v>35</v>
      </c>
      <c r="D556" t="n">
        <v>15</v>
      </c>
      <c r="E556" t="inlineStr">
        <is>
          <t>Input</t>
        </is>
      </c>
      <c r="F556" t="n">
        <v/>
      </c>
      <c r="H556" t="inlineStr"/>
      <c r="I556" t="inlineStr">
        <is>
          <t>#,##0_);(#,##0)</t>
        </is>
      </c>
      <c r="J556" t="b">
        <v>1</v>
      </c>
      <c r="K556" t="b">
        <v>0</v>
      </c>
      <c r="L556" t="n">
        <v>10</v>
      </c>
      <c r="M556" t="inlineStr">
        <is>
          <t>Values must be of type &lt;class 'str'&gt;</t>
        </is>
      </c>
      <c r="N556" t="inlineStr">
        <is>
          <t>Values must be of type &lt;class 'str'&gt;</t>
        </is>
      </c>
      <c r="O556" t="inlineStr">
        <is>
          <t>right</t>
        </is>
      </c>
      <c r="P556" t="n">
        <v/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EXPENSE VARIANCES</t>
        </is>
      </c>
      <c r="B557" t="inlineStr">
        <is>
          <t>P35</t>
        </is>
      </c>
      <c r="C557" t="n">
        <v>35</v>
      </c>
      <c r="D557" t="n">
        <v>16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M557" t="inlineStr">
        <is>
          <t>Values must be of type &lt;class 'str'&gt;</t>
        </is>
      </c>
      <c r="N557" t="inlineStr">
        <is>
          <t>Values must be of type &lt;class 'str'&gt;</t>
        </is>
      </c>
      <c r="O557" t="n">
        <v/>
      </c>
      <c r="P557" t="n">
        <v/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</row>
    <row r="558">
      <c r="A558" t="inlineStr">
        <is>
          <t>EXPENSE VARIANCES</t>
        </is>
      </c>
      <c r="B558" t="inlineStr">
        <is>
          <t>A36</t>
        </is>
      </c>
      <c r="C558" t="n">
        <v>36</v>
      </c>
      <c r="D558" t="n">
        <v>1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16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n">
        <v/>
      </c>
      <c r="P558" t="n">
        <v/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</row>
    <row r="559">
      <c r="A559" t="inlineStr">
        <is>
          <t>EXPENSE VARIANCES</t>
        </is>
      </c>
      <c r="B559" t="inlineStr">
        <is>
          <t>B36</t>
        </is>
      </c>
      <c r="C559" t="n">
        <v>36</v>
      </c>
      <c r="D559" t="n">
        <v>2</v>
      </c>
      <c r="E559" t="inlineStr">
        <is>
          <t>Input</t>
        </is>
      </c>
      <c r="F559" t="n">
        <v/>
      </c>
      <c r="G559" t="inlineStr">
        <is>
          <t>Totals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16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inlineStr">
        <is>
          <t>left</t>
        </is>
      </c>
      <c r="P559" t="inlineStr">
        <is>
          <t>center</t>
        </is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EXPENSE VARIANCES</t>
        </is>
      </c>
      <c r="B560" t="inlineStr">
        <is>
          <t>C36</t>
        </is>
      </c>
      <c r="C560" t="n">
        <v>36</v>
      </c>
      <c r="D560" t="n">
        <v>3</v>
      </c>
      <c r="E560" t="inlineStr">
        <is>
          <t>Input</t>
        </is>
      </c>
      <c r="F560" t="n">
        <v/>
      </c>
      <c r="G560" t="inlineStr">
        <is>
          <t>Jan</t>
        </is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16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EXPENSE VARIANCES</t>
        </is>
      </c>
      <c r="B561" t="inlineStr">
        <is>
          <t>D36</t>
        </is>
      </c>
      <c r="C561" t="n">
        <v>36</v>
      </c>
      <c r="D561" t="n">
        <v>4</v>
      </c>
      <c r="E561" t="inlineStr">
        <is>
          <t>Input</t>
        </is>
      </c>
      <c r="F561" t="n">
        <v/>
      </c>
      <c r="G561" t="inlineStr">
        <is>
          <t>Feb</t>
        </is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16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EXPENSE VARIANCES</t>
        </is>
      </c>
      <c r="B562" t="inlineStr">
        <is>
          <t>E36</t>
        </is>
      </c>
      <c r="C562" t="n">
        <v>36</v>
      </c>
      <c r="D562" t="n">
        <v>5</v>
      </c>
      <c r="E562" t="inlineStr">
        <is>
          <t>Input</t>
        </is>
      </c>
      <c r="F562" t="n">
        <v/>
      </c>
      <c r="G562" t="inlineStr">
        <is>
          <t>Mar</t>
        </is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16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EXPENSE VARIANCES</t>
        </is>
      </c>
      <c r="B563" t="inlineStr">
        <is>
          <t>F36</t>
        </is>
      </c>
      <c r="C563" t="n">
        <v>36</v>
      </c>
      <c r="D563" t="n">
        <v>6</v>
      </c>
      <c r="E563" t="inlineStr">
        <is>
          <t>Input</t>
        </is>
      </c>
      <c r="F563" t="n">
        <v/>
      </c>
      <c r="G563" t="inlineStr">
        <is>
          <t>Apr</t>
        </is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16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EXPENSE VARIANCES</t>
        </is>
      </c>
      <c r="B564" t="inlineStr">
        <is>
          <t>G36</t>
        </is>
      </c>
      <c r="C564" t="n">
        <v>36</v>
      </c>
      <c r="D564" t="n">
        <v>7</v>
      </c>
      <c r="E564" t="inlineStr">
        <is>
          <t>Input</t>
        </is>
      </c>
      <c r="F564" t="n">
        <v/>
      </c>
      <c r="G564" t="inlineStr">
        <is>
          <t>May</t>
        </is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16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EXPENSE VARIANCES</t>
        </is>
      </c>
      <c r="B565" t="inlineStr">
        <is>
          <t>H36</t>
        </is>
      </c>
      <c r="C565" t="n">
        <v>36</v>
      </c>
      <c r="D565" t="n">
        <v>8</v>
      </c>
      <c r="E565" t="inlineStr">
        <is>
          <t>Input</t>
        </is>
      </c>
      <c r="F565" t="n">
        <v/>
      </c>
      <c r="G565" t="inlineStr">
        <is>
          <t>Jun</t>
        </is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16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EXPENSE VARIANCES</t>
        </is>
      </c>
      <c r="B566" t="inlineStr">
        <is>
          <t>I36</t>
        </is>
      </c>
      <c r="C566" t="n">
        <v>36</v>
      </c>
      <c r="D566" t="n">
        <v>9</v>
      </c>
      <c r="E566" t="inlineStr">
        <is>
          <t>Input</t>
        </is>
      </c>
      <c r="F566" t="n">
        <v/>
      </c>
      <c r="G566" t="inlineStr">
        <is>
          <t>Jul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16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EXPENSE VARIANCES</t>
        </is>
      </c>
      <c r="B567" t="inlineStr">
        <is>
          <t>J36</t>
        </is>
      </c>
      <c r="C567" t="n">
        <v>36</v>
      </c>
      <c r="D567" t="n">
        <v>10</v>
      </c>
      <c r="E567" t="inlineStr">
        <is>
          <t>Input</t>
        </is>
      </c>
      <c r="F567" t="n">
        <v/>
      </c>
      <c r="G567" t="inlineStr">
        <is>
          <t>Aug</t>
        </is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16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inlineStr">
        <is>
          <t>center</t>
        </is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EXPENSE VARIANCES</t>
        </is>
      </c>
      <c r="B568" t="inlineStr">
        <is>
          <t>K36</t>
        </is>
      </c>
      <c r="C568" t="n">
        <v>36</v>
      </c>
      <c r="D568" t="n">
        <v>11</v>
      </c>
      <c r="E568" t="inlineStr">
        <is>
          <t>Input</t>
        </is>
      </c>
      <c r="F568" t="n">
        <v/>
      </c>
      <c r="G568" t="inlineStr">
        <is>
          <t>Sep</t>
        </is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16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inlineStr">
        <is>
          <t>center</t>
        </is>
      </c>
      <c r="P568" t="inlineStr">
        <is>
          <t>center</t>
        </is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EXPENSE VARIANCES</t>
        </is>
      </c>
      <c r="B569" t="inlineStr">
        <is>
          <t>L36</t>
        </is>
      </c>
      <c r="C569" t="n">
        <v>36</v>
      </c>
      <c r="D569" t="n">
        <v>12</v>
      </c>
      <c r="E569" t="inlineStr">
        <is>
          <t>Input</t>
        </is>
      </c>
      <c r="F569" t="n">
        <v/>
      </c>
      <c r="G569" t="inlineStr">
        <is>
          <t>Oct</t>
        </is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16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inlineStr">
        <is>
          <t>center</t>
        </is>
      </c>
      <c r="P569" t="inlineStr">
        <is>
          <t>center</t>
        </is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EXPENSE VARIANCES</t>
        </is>
      </c>
      <c r="B570" t="inlineStr">
        <is>
          <t>M36</t>
        </is>
      </c>
      <c r="C570" t="n">
        <v>36</v>
      </c>
      <c r="D570" t="n">
        <v>13</v>
      </c>
      <c r="E570" t="inlineStr">
        <is>
          <t>Input</t>
        </is>
      </c>
      <c r="F570" t="n">
        <v/>
      </c>
      <c r="G570" t="inlineStr">
        <is>
          <t>Nov</t>
        </is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16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inlineStr">
        <is>
          <t>center</t>
        </is>
      </c>
      <c r="P570" t="inlineStr">
        <is>
          <t>center</t>
        </is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EXPENSE VARIANCES</t>
        </is>
      </c>
      <c r="B571" t="inlineStr">
        <is>
          <t>N36</t>
        </is>
      </c>
      <c r="C571" t="n">
        <v>36</v>
      </c>
      <c r="D571" t="n">
        <v>14</v>
      </c>
      <c r="E571" t="inlineStr">
        <is>
          <t>Input</t>
        </is>
      </c>
      <c r="F571" t="n">
        <v/>
      </c>
      <c r="G571" t="inlineStr">
        <is>
          <t>Dec</t>
        </is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16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EXPENSE VARIANCES</t>
        </is>
      </c>
      <c r="B572" t="inlineStr">
        <is>
          <t>O36</t>
        </is>
      </c>
      <c r="C572" t="n">
        <v>36</v>
      </c>
      <c r="D572" t="n">
        <v>15</v>
      </c>
      <c r="E572" t="inlineStr">
        <is>
          <t>Input</t>
        </is>
      </c>
      <c r="F572" t="n">
        <v/>
      </c>
      <c r="G572" t="inlineStr">
        <is>
          <t>Year</t>
        </is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16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inlineStr">
        <is>
          <t>center</t>
        </is>
      </c>
      <c r="P572" t="inlineStr">
        <is>
          <t>center</t>
        </is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EXPENSE VARIANCES</t>
        </is>
      </c>
      <c r="B573" t="inlineStr">
        <is>
          <t>P36</t>
        </is>
      </c>
      <c r="C573" t="n">
        <v>36</v>
      </c>
      <c r="D573" t="n">
        <v>16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16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n">
        <v/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EXPENSE VARIANCES</t>
        </is>
      </c>
      <c r="B574" t="inlineStr">
        <is>
          <t>A37</t>
        </is>
      </c>
      <c r="C574" t="n">
        <v>37</v>
      </c>
      <c r="D574" t="n">
        <v>1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n">
        <v/>
      </c>
      <c r="P574" t="n">
        <v/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EXPENSE VARIANCES</t>
        </is>
      </c>
      <c r="B575" t="inlineStr">
        <is>
          <t>B37</t>
        </is>
      </c>
      <c r="C575" t="n">
        <v>37</v>
      </c>
      <c r="D575" t="n">
        <v>2</v>
      </c>
      <c r="E575" t="inlineStr">
        <is>
          <t>Input</t>
        </is>
      </c>
      <c r="F575" t="n">
        <v/>
      </c>
      <c r="G575" t="inlineStr">
        <is>
          <t>Monthly variances</t>
        </is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12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left</t>
        </is>
      </c>
      <c r="P575" t="inlineStr">
        <is>
          <t>center</t>
        </is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EXPENSE VARIANCES</t>
        </is>
      </c>
      <c r="B576" t="inlineStr">
        <is>
          <t>C37</t>
        </is>
      </c>
      <c r="C576" t="n">
        <v>37</v>
      </c>
      <c r="D576" t="n">
        <v>3</v>
      </c>
      <c r="E576" t="inlineStr">
        <is>
          <t>Calculation</t>
        </is>
      </c>
      <c r="F576" t="inlineStr">
        <is>
          <t>'=TrainingAndTravelVariances[[#Totals],[Jan]]+MarketingVariances[[#Totals],[Jan]]+OfficeVariances[[#Totals],[Jan]]+EmployeeVariances[[#Totals],[Jan]]</t>
        </is>
      </c>
      <c r="G576" t="n">
        <v>2038</v>
      </c>
      <c r="H576" t="inlineStr"/>
      <c r="I576" t="inlineStr">
        <is>
          <t>"$"#,##0.00_);[Red]\("$"#,##0.00\)</t>
        </is>
      </c>
      <c r="J576" t="b">
        <v>0</v>
      </c>
      <c r="K576" t="b">
        <v>0</v>
      </c>
      <c r="L576" t="n">
        <v>10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inlineStr">
        <is>
          <t>center</t>
        </is>
      </c>
      <c r="P576" t="inlineStr">
        <is>
          <t>center</t>
        </is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>
        <f>TrainingAndTravelVariances[[#Totals],[Jan]]+MarketingVariances[[#Totals],[Jan]]+OfficeVariances[[#Totals],[Jan]]+EmployeeVariances[[#Totals],[Jan]]</f>
        <v/>
      </c>
    </row>
    <row r="577">
      <c r="A577" t="inlineStr">
        <is>
          <t>EXPENSE VARIANCES</t>
        </is>
      </c>
      <c r="B577" t="inlineStr">
        <is>
          <t>D37</t>
        </is>
      </c>
      <c r="C577" t="n">
        <v>37</v>
      </c>
      <c r="D577" t="n">
        <v>4</v>
      </c>
      <c r="E577" t="inlineStr">
        <is>
          <t>Calculation</t>
        </is>
      </c>
      <c r="F577" t="inlineStr">
        <is>
          <t>'=TrainingAndTravelVariances[[#Totals],[Feb]]+MarketingVariances[[#Totals],[Feb]]+OfficeVariances[[#Totals],[Feb]]+EmployeeVariances[[#Totals],[Feb]]</t>
        </is>
      </c>
      <c r="G577" t="n">
        <v>-984</v>
      </c>
      <c r="H577" t="inlineStr"/>
      <c r="I577" t="inlineStr">
        <is>
          <t>"$"#,##0.00_);[Red]\("$"#,##0.00\)</t>
        </is>
      </c>
      <c r="J577" t="b">
        <v>0</v>
      </c>
      <c r="K577" t="b">
        <v>0</v>
      </c>
      <c r="L577" t="n">
        <v>10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inlineStr">
        <is>
          <t>center</t>
        </is>
      </c>
      <c r="P577" t="inlineStr">
        <is>
          <t>center</t>
        </is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>
        <f>TrainingAndTravelVariances[[#Totals],[Feb]]+MarketingVariances[[#Totals],[Feb]]+OfficeVariances[[#Totals],[Feb]]+EmployeeVariances[[#Totals],[Feb]]</f>
        <v/>
      </c>
    </row>
    <row r="578">
      <c r="A578" t="inlineStr">
        <is>
          <t>EXPENSE VARIANCES</t>
        </is>
      </c>
      <c r="B578" t="inlineStr">
        <is>
          <t>E37</t>
        </is>
      </c>
      <c r="C578" t="n">
        <v>37</v>
      </c>
      <c r="D578" t="n">
        <v>5</v>
      </c>
      <c r="E578" t="inlineStr">
        <is>
          <t>Calculation</t>
        </is>
      </c>
      <c r="F578" t="inlineStr">
        <is>
          <t>'=TrainingAndTravelVariances[[#Totals],[Mar]]+MarketingVariances[[#Totals],[Mar]]+OfficeVariances[[#Totals],[Mar]]+EmployeeVariances[[#Totals],[Mar]]</t>
        </is>
      </c>
      <c r="G578" t="n">
        <v>1255</v>
      </c>
      <c r="H578" t="inlineStr"/>
      <c r="I578" t="inlineStr">
        <is>
          <t>"$"#,##0.00_);[Red]\("$"#,##0.00\)</t>
        </is>
      </c>
      <c r="J578" t="b">
        <v>0</v>
      </c>
      <c r="K578" t="b">
        <v>0</v>
      </c>
      <c r="L578" t="n">
        <v>10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>
        <f>TrainingAndTravelVariances[[#Totals],[Mar]]+MarketingVariances[[#Totals],[Mar]]+OfficeVariances[[#Totals],[Mar]]+EmployeeVariances[[#Totals],[Mar]]</f>
        <v/>
      </c>
    </row>
    <row r="579">
      <c r="A579" t="inlineStr">
        <is>
          <t>EXPENSE VARIANCES</t>
        </is>
      </c>
      <c r="B579" t="inlineStr">
        <is>
          <t>F37</t>
        </is>
      </c>
      <c r="C579" t="n">
        <v>37</v>
      </c>
      <c r="D579" t="n">
        <v>6</v>
      </c>
      <c r="E579" t="inlineStr">
        <is>
          <t>Calculation</t>
        </is>
      </c>
      <c r="F579" t="inlineStr">
        <is>
          <t>'=TrainingAndTravelVariances[[#Totals],[Apr]]+MarketingVariances[[#Totals],[Apr]]+OfficeVariances[[#Totals],[Apr]]+EmployeeVariances[[#Totals],[Apr]]</t>
        </is>
      </c>
      <c r="G579" t="n">
        <v>301</v>
      </c>
      <c r="H579" t="inlineStr"/>
      <c r="I579" t="inlineStr">
        <is>
          <t>"$"#,##0.00_);[Red]\("$"#,##0.00\)</t>
        </is>
      </c>
      <c r="J579" t="b">
        <v>0</v>
      </c>
      <c r="K579" t="b">
        <v>0</v>
      </c>
      <c r="L579" t="n">
        <v>10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>
        <f>TrainingAndTravelVariances[[#Totals],[Apr]]+MarketingVariances[[#Totals],[Apr]]+OfficeVariances[[#Totals],[Apr]]+EmployeeVariances[[#Totals],[Apr]]</f>
        <v/>
      </c>
    </row>
    <row r="580">
      <c r="A580" t="inlineStr">
        <is>
          <t>EXPENSE VARIANCES</t>
        </is>
      </c>
      <c r="B580" t="inlineStr">
        <is>
          <t>G37</t>
        </is>
      </c>
      <c r="C580" t="n">
        <v>37</v>
      </c>
      <c r="D580" t="n">
        <v>7</v>
      </c>
      <c r="E580" t="inlineStr">
        <is>
          <t>Calculation</t>
        </is>
      </c>
      <c r="F580" t="inlineStr">
        <is>
          <t>'=TrainingAndTravelVariances[[#Totals],[May]]+MarketingVariances[[#Totals],[May]]+OfficeVariances[[#Totals],[May]]+EmployeeVariances[[#Totals],[May]]</t>
        </is>
      </c>
      <c r="G580" t="n">
        <v>1440</v>
      </c>
      <c r="H580" t="inlineStr"/>
      <c r="I580" t="inlineStr">
        <is>
          <t>"$"#,##0.00_);[Red]\("$"#,##0.00\)</t>
        </is>
      </c>
      <c r="J580" t="b">
        <v>0</v>
      </c>
      <c r="K580" t="b">
        <v>0</v>
      </c>
      <c r="L580" t="n">
        <v>10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>
        <f>TrainingAndTravelVariances[[#Totals],[May]]+MarketingVariances[[#Totals],[May]]+OfficeVariances[[#Totals],[May]]+EmployeeVariances[[#Totals],[May]]</f>
        <v/>
      </c>
    </row>
    <row r="581">
      <c r="A581" t="inlineStr">
        <is>
          <t>EXPENSE VARIANCES</t>
        </is>
      </c>
      <c r="B581" t="inlineStr">
        <is>
          <t>H37</t>
        </is>
      </c>
      <c r="C581" t="n">
        <v>37</v>
      </c>
      <c r="D581" t="n">
        <v>8</v>
      </c>
      <c r="E581" t="inlineStr">
        <is>
          <t>Calculation</t>
        </is>
      </c>
      <c r="F581" t="inlineStr">
        <is>
          <t>'=TrainingAndTravelVariances[[#Totals],[Jun]]+MarketingVariances[[#Totals],[Jun]]+OfficeVariances[[#Totals],[Jun]]+EmployeeVariances[[#Totals],[Jun]]</t>
        </is>
      </c>
      <c r="G581" t="n">
        <v>-3744</v>
      </c>
      <c r="H581" t="inlineStr"/>
      <c r="I581" t="inlineStr">
        <is>
          <t>"$"#,##0.00_);[Red]\("$"#,##0.00\)</t>
        </is>
      </c>
      <c r="J581" t="b">
        <v>0</v>
      </c>
      <c r="K581" t="b">
        <v>0</v>
      </c>
      <c r="L581" t="n">
        <v>10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>
        <f>TrainingAndTravelVariances[[#Totals],[Jun]]+MarketingVariances[[#Totals],[Jun]]+OfficeVariances[[#Totals],[Jun]]+EmployeeVariances[[#Totals],[Jun]]</f>
        <v/>
      </c>
    </row>
    <row r="582">
      <c r="A582" t="inlineStr">
        <is>
          <t>EXPENSE VARIANCES</t>
        </is>
      </c>
      <c r="B582" t="inlineStr">
        <is>
          <t>I37</t>
        </is>
      </c>
      <c r="C582" t="n">
        <v>37</v>
      </c>
      <c r="D582" t="n">
        <v>9</v>
      </c>
      <c r="E582" t="inlineStr">
        <is>
          <t>Calculation</t>
        </is>
      </c>
      <c r="F582" t="inlineStr">
        <is>
          <t>'=TrainingAndTravelVariances[[#Totals],[Jul]]+MarketingVariances[[#Totals],[Jul]]+OfficeVariances[[#Totals],[Jul]]+EmployeeVariances[[#Totals],[Jul]]</t>
        </is>
      </c>
      <c r="G582" t="n">
        <v>134695</v>
      </c>
      <c r="H582" t="inlineStr"/>
      <c r="I582" t="inlineStr">
        <is>
          <t>"$"#,##0.00_);[Red]\("$"#,##0.00\)</t>
        </is>
      </c>
      <c r="J582" t="b">
        <v>0</v>
      </c>
      <c r="K582" t="b">
        <v>0</v>
      </c>
      <c r="L582" t="n">
        <v>10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>
        <f>TrainingAndTravelVariances[[#Totals],[Jul]]+MarketingVariances[[#Totals],[Jul]]+OfficeVariances[[#Totals],[Jul]]+EmployeeVariances[[#Totals],[Jul]]</f>
        <v/>
      </c>
    </row>
    <row r="583">
      <c r="A583" t="inlineStr">
        <is>
          <t>EXPENSE VARIANCES</t>
        </is>
      </c>
      <c r="B583" t="inlineStr">
        <is>
          <t>J37</t>
        </is>
      </c>
      <c r="C583" t="n">
        <v>37</v>
      </c>
      <c r="D583" t="n">
        <v>10</v>
      </c>
      <c r="E583" t="inlineStr">
        <is>
          <t>Calculation</t>
        </is>
      </c>
      <c r="F583" t="inlineStr">
        <is>
          <t>'=TrainingAndTravelVariances[[#Totals],[Aug]]+MarketingVariances[[#Totals],[Aug]]+OfficeVariances[[#Totals],[Aug]]+EmployeeVariances[[#Totals],[Aug]]</t>
        </is>
      </c>
      <c r="G583" t="n">
        <v>138918</v>
      </c>
      <c r="H583" t="inlineStr"/>
      <c r="I583" t="inlineStr">
        <is>
          <t>"$"#,##0.00_);[Red]\("$"#,##0.00\)</t>
        </is>
      </c>
      <c r="J583" t="b">
        <v>0</v>
      </c>
      <c r="K583" t="b">
        <v>0</v>
      </c>
      <c r="L583" t="n">
        <v>10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>
        <f>TrainingAndTravelVariances[[#Totals],[Aug]]+MarketingVariances[[#Totals],[Aug]]+OfficeVariances[[#Totals],[Aug]]+EmployeeVariances[[#Totals],[Aug]]</f>
        <v/>
      </c>
    </row>
    <row r="584">
      <c r="A584" t="inlineStr">
        <is>
          <t>EXPENSE VARIANCES</t>
        </is>
      </c>
      <c r="B584" t="inlineStr">
        <is>
          <t>K37</t>
        </is>
      </c>
      <c r="C584" t="n">
        <v>37</v>
      </c>
      <c r="D584" t="n">
        <v>11</v>
      </c>
      <c r="E584" t="inlineStr">
        <is>
          <t>Calculation</t>
        </is>
      </c>
      <c r="F584" t="inlineStr">
        <is>
          <t>'=TrainingAndTravelVariances[[#Totals],[Sep]]+MarketingVariances[[#Totals],[Sep]]+OfficeVariances[[#Totals],[Sep]]+EmployeeVariances[[#Totals],[Sep]]</t>
        </is>
      </c>
      <c r="G584" t="n">
        <v>135918</v>
      </c>
      <c r="H584" t="inlineStr"/>
      <c r="I584" t="inlineStr">
        <is>
          <t>"$"#,##0.00_);[Red]\("$"#,##0.00\)</t>
        </is>
      </c>
      <c r="J584" t="b">
        <v>0</v>
      </c>
      <c r="K584" t="b">
        <v>0</v>
      </c>
      <c r="L584" t="n">
        <v>10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>
        <f>TrainingAndTravelVariances[[#Totals],[Sep]]+MarketingVariances[[#Totals],[Sep]]+OfficeVariances[[#Totals],[Sep]]+EmployeeVariances[[#Totals],[Sep]]</f>
        <v/>
      </c>
    </row>
    <row r="585">
      <c r="A585" t="inlineStr">
        <is>
          <t>EXPENSE VARIANCES</t>
        </is>
      </c>
      <c r="B585" t="inlineStr">
        <is>
          <t>L37</t>
        </is>
      </c>
      <c r="C585" t="n">
        <v>37</v>
      </c>
      <c r="D585" t="n">
        <v>12</v>
      </c>
      <c r="E585" t="inlineStr">
        <is>
          <t>Calculation</t>
        </is>
      </c>
      <c r="F585" t="inlineStr">
        <is>
          <t>'=TrainingAndTravelVariances[[#Totals],[Oct]]+MarketingVariances[[#Totals],[Oct]]+OfficeVariances[[#Totals],[Oct]]+EmployeeVariances[[#Totals],[Oct]]</t>
        </is>
      </c>
      <c r="G585" t="n">
        <v>140918</v>
      </c>
      <c r="H585" t="inlineStr"/>
      <c r="I585" t="inlineStr">
        <is>
          <t>"$"#,##0.00_);[Red]\("$"#,##0.00\)</t>
        </is>
      </c>
      <c r="J585" t="b">
        <v>0</v>
      </c>
      <c r="K585" t="b">
        <v>0</v>
      </c>
      <c r="L585" t="n">
        <v>10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>
        <f>TrainingAndTravelVariances[[#Totals],[Oct]]+MarketingVariances[[#Totals],[Oct]]+OfficeVariances[[#Totals],[Oct]]+EmployeeVariances[[#Totals],[Oct]]</f>
        <v/>
      </c>
    </row>
    <row r="586">
      <c r="A586" t="inlineStr">
        <is>
          <t>EXPENSE VARIANCES</t>
        </is>
      </c>
      <c r="B586" t="inlineStr">
        <is>
          <t>M37</t>
        </is>
      </c>
      <c r="C586" t="n">
        <v>37</v>
      </c>
      <c r="D586" t="n">
        <v>13</v>
      </c>
      <c r="E586" t="inlineStr">
        <is>
          <t>Calculation</t>
        </is>
      </c>
      <c r="F586" t="inlineStr">
        <is>
          <t>'=TrainingAndTravelVariances[[#Totals],[Nov]]+MarketingVariances[[#Totals],[Nov]]+OfficeVariances[[#Totals],[Nov]]+EmployeeVariances[[#Totals],[Nov]]</t>
        </is>
      </c>
      <c r="G586" t="n">
        <v>136218</v>
      </c>
      <c r="H586" t="inlineStr"/>
      <c r="I586" t="inlineStr">
        <is>
          <t>"$"#,##0.00_);[Red]\("$"#,##0.00\)</t>
        </is>
      </c>
      <c r="J586" t="b">
        <v>0</v>
      </c>
      <c r="K586" t="b">
        <v>0</v>
      </c>
      <c r="L586" t="n">
        <v>10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>
        <f>TrainingAndTravelVariances[[#Totals],[Nov]]+MarketingVariances[[#Totals],[Nov]]+OfficeVariances[[#Totals],[Nov]]+EmployeeVariances[[#Totals],[Nov]]</f>
        <v/>
      </c>
    </row>
    <row r="587">
      <c r="A587" t="inlineStr">
        <is>
          <t>EXPENSE VARIANCES</t>
        </is>
      </c>
      <c r="B587" t="inlineStr">
        <is>
          <t>N37</t>
        </is>
      </c>
      <c r="C587" t="n">
        <v>37</v>
      </c>
      <c r="D587" t="n">
        <v>14</v>
      </c>
      <c r="E587" t="inlineStr">
        <is>
          <t>Calculation</t>
        </is>
      </c>
      <c r="F587" t="inlineStr">
        <is>
          <t>'=TrainingAndTravelVariances[[#Totals],[Dec]]+MarketingVariances[[#Totals],[Dec]]+OfficeVariances[[#Totals],[Dec]]+EmployeeVariances[[#Totals],[Dec]]</t>
        </is>
      </c>
      <c r="G587" t="n">
        <v>140018</v>
      </c>
      <c r="H587" t="inlineStr"/>
      <c r="I587" t="inlineStr">
        <is>
          <t>"$"#,##0.00_);[Red]\("$"#,##0.00\)</t>
        </is>
      </c>
      <c r="J587" t="b">
        <v>0</v>
      </c>
      <c r="K587" t="b">
        <v>0</v>
      </c>
      <c r="L587" t="n">
        <v>10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>
        <f>TrainingAndTravelVariances[[#Totals],[Dec]]+MarketingVariances[[#Totals],[Dec]]+OfficeVariances[[#Totals],[Dec]]+EmployeeVariances[[#Totals],[Dec]]</f>
        <v/>
      </c>
    </row>
    <row r="588">
      <c r="A588" t="inlineStr">
        <is>
          <t>EXPENSE VARIANCES</t>
        </is>
      </c>
      <c r="B588" t="inlineStr">
        <is>
          <t>O37</t>
        </is>
      </c>
      <c r="C588" t="n">
        <v>37</v>
      </c>
      <c r="D588" t="n">
        <v>15</v>
      </c>
      <c r="E588" t="inlineStr">
        <is>
          <t>Output</t>
        </is>
      </c>
      <c r="F588" t="inlineStr">
        <is>
          <t>'=TrainingAndTravelVariances[[#Totals],[YEAR]]+MarketingVariances[[#Totals],[YEAR]]+OfficeVariances[[#Totals],[YEAR]]+EmployeeVariances[[#Totals],[YEAR]]</t>
        </is>
      </c>
      <c r="G588" t="n">
        <v>826991</v>
      </c>
      <c r="H588" t="inlineStr"/>
      <c r="I588" t="inlineStr">
        <is>
          <t>"$"#,##0.00_);[Red]\("$"#,##0.00\)</t>
        </is>
      </c>
      <c r="J588" t="b">
        <v>0</v>
      </c>
      <c r="K588" t="b">
        <v>0</v>
      </c>
      <c r="L588" t="n">
        <v>10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>
        <f>TrainingAndTravelVariances[[#Totals],[YEAR]]+MarketingVariances[[#Totals],[YEAR]]+OfficeVariances[[#Totals],[YEAR]]+EmployeeVariances[[#Totals],[YEAR]]</f>
        <v/>
      </c>
    </row>
    <row r="589">
      <c r="A589" t="inlineStr">
        <is>
          <t>EXPENSE VARIANCES</t>
        </is>
      </c>
      <c r="B589" t="inlineStr">
        <is>
          <t>P37</t>
        </is>
      </c>
      <c r="C589" t="n">
        <v>37</v>
      </c>
      <c r="D589" t="n">
        <v>16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14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n">
        <v/>
      </c>
      <c r="P589" t="n">
        <v/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EXPENSE VARIANCES</t>
        </is>
      </c>
      <c r="B590" t="inlineStr">
        <is>
          <t>A38</t>
        </is>
      </c>
      <c r="C590" t="n">
        <v>38</v>
      </c>
      <c r="D590" t="n">
        <v>1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n">
        <v/>
      </c>
      <c r="P590" t="n">
        <v/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EXPENSE VARIANCES</t>
        </is>
      </c>
      <c r="B591" t="inlineStr">
        <is>
          <t>B38</t>
        </is>
      </c>
      <c r="C591" t="n">
        <v>38</v>
      </c>
      <c r="D591" t="n">
        <v>2</v>
      </c>
      <c r="E591" t="inlineStr">
        <is>
          <t>Input</t>
        </is>
      </c>
      <c r="F591" t="n">
        <v/>
      </c>
      <c r="G591" t="inlineStr">
        <is>
          <t>TOTAL variances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12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left</t>
        </is>
      </c>
      <c r="P591" t="inlineStr">
        <is>
          <t>center</t>
        </is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EXPENSE VARIANCES</t>
        </is>
      </c>
      <c r="B592" t="inlineStr">
        <is>
          <t>C38</t>
        </is>
      </c>
      <c r="C592" t="n">
        <v>38</v>
      </c>
      <c r="D592" t="n">
        <v>3</v>
      </c>
      <c r="E592" t="inlineStr">
        <is>
          <t>Output</t>
        </is>
      </c>
      <c r="F592" t="inlineStr">
        <is>
          <t>'=SUM($C$37:C37)</t>
        </is>
      </c>
      <c r="G592" t="n">
        <v>2038</v>
      </c>
      <c r="H592" t="inlineStr"/>
      <c r="I592" t="inlineStr">
        <is>
          <t>"$"#,##0.00_);[Red]\("$"#,##0.00\)</t>
        </is>
      </c>
      <c r="J592" t="b">
        <v>0</v>
      </c>
      <c r="K592" t="b">
        <v>0</v>
      </c>
      <c r="L592" t="n">
        <v>10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G000065</t>
        </is>
      </c>
      <c r="T592" t="inlineStr">
        <is>
          <t>Horizontal</t>
        </is>
      </c>
      <c r="U592" t="n">
        <v>12</v>
      </c>
      <c r="V592" t="b">
        <v>1</v>
      </c>
      <c r="W592" t="inlineStr">
        <is>
          <t>EXPENSE VARIANCES!C38:N38</t>
        </is>
      </c>
      <c r="X592">
        <f>SUM(R37C3:R[-1]C[0])</f>
        <v/>
      </c>
    </row>
    <row r="593">
      <c r="A593" t="inlineStr">
        <is>
          <t>EXPENSE VARIANCES</t>
        </is>
      </c>
      <c r="B593" t="inlineStr">
        <is>
          <t>D38</t>
        </is>
      </c>
      <c r="C593" t="n">
        <v>38</v>
      </c>
      <c r="D593" t="n">
        <v>4</v>
      </c>
      <c r="E593" t="inlineStr">
        <is>
          <t>Output</t>
        </is>
      </c>
      <c r="F593" t="inlineStr">
        <is>
          <t>'=SUM($C$37:D37)</t>
        </is>
      </c>
      <c r="G593" t="n">
        <v>1054</v>
      </c>
      <c r="H593" t="inlineStr"/>
      <c r="I593" t="inlineStr">
        <is>
          <t>"$"#,##0.00_);[Red]\("$"#,##0.00\)</t>
        </is>
      </c>
      <c r="J593" t="b">
        <v>0</v>
      </c>
      <c r="K593" t="b">
        <v>0</v>
      </c>
      <c r="L593" t="n">
        <v>10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G000065</t>
        </is>
      </c>
      <c r="T593" t="inlineStr">
        <is>
          <t>Horizontal</t>
        </is>
      </c>
      <c r="U593" t="n">
        <v>12</v>
      </c>
      <c r="V593" t="b">
        <v>1</v>
      </c>
      <c r="W593" t="inlineStr">
        <is>
          <t>EXPENSE VARIANCES!C38:N38</t>
        </is>
      </c>
      <c r="X593">
        <f>SUM(R37C3:R[-1]C[0])</f>
        <v/>
      </c>
    </row>
    <row r="594">
      <c r="A594" t="inlineStr">
        <is>
          <t>EXPENSE VARIANCES</t>
        </is>
      </c>
      <c r="B594" t="inlineStr">
        <is>
          <t>E38</t>
        </is>
      </c>
      <c r="C594" t="n">
        <v>38</v>
      </c>
      <c r="D594" t="n">
        <v>5</v>
      </c>
      <c r="E594" t="inlineStr">
        <is>
          <t>Output</t>
        </is>
      </c>
      <c r="F594" t="inlineStr">
        <is>
          <t>'=SUM($C$37:E37)</t>
        </is>
      </c>
      <c r="G594" t="n">
        <v>2309</v>
      </c>
      <c r="H594" t="inlineStr"/>
      <c r="I594" t="inlineStr">
        <is>
          <t>"$"#,##0.00_);[Red]\("$"#,##0.00\)</t>
        </is>
      </c>
      <c r="J594" t="b">
        <v>0</v>
      </c>
      <c r="K594" t="b">
        <v>0</v>
      </c>
      <c r="L594" t="n">
        <v>10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inlineStr">
        <is>
          <t>center</t>
        </is>
      </c>
      <c r="R594" t="b">
        <v>1</v>
      </c>
      <c r="S594" t="inlineStr">
        <is>
          <t>G000065</t>
        </is>
      </c>
      <c r="T594" t="inlineStr">
        <is>
          <t>Horizontal</t>
        </is>
      </c>
      <c r="U594" t="n">
        <v>12</v>
      </c>
      <c r="V594" t="b">
        <v>1</v>
      </c>
      <c r="W594" t="inlineStr">
        <is>
          <t>EXPENSE VARIANCES!C38:N38</t>
        </is>
      </c>
      <c r="X594">
        <f>SUM(R37C3:R[-1]C[0])</f>
        <v/>
      </c>
    </row>
    <row r="595">
      <c r="A595" t="inlineStr">
        <is>
          <t>EXPENSE VARIANCES</t>
        </is>
      </c>
      <c r="B595" t="inlineStr">
        <is>
          <t>F38</t>
        </is>
      </c>
      <c r="C595" t="n">
        <v>38</v>
      </c>
      <c r="D595" t="n">
        <v>6</v>
      </c>
      <c r="E595" t="inlineStr">
        <is>
          <t>Output</t>
        </is>
      </c>
      <c r="F595" t="inlineStr">
        <is>
          <t>'=SUM($C$37:F37)</t>
        </is>
      </c>
      <c r="G595" t="n">
        <v>2610</v>
      </c>
      <c r="H595" t="inlineStr"/>
      <c r="I595" t="inlineStr">
        <is>
          <t>"$"#,##0.00_);[Red]\("$"#,##0.00\)</t>
        </is>
      </c>
      <c r="J595" t="b">
        <v>0</v>
      </c>
      <c r="K595" t="b">
        <v>0</v>
      </c>
      <c r="L595" t="n">
        <v>10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inlineStr">
        <is>
          <t>center</t>
        </is>
      </c>
      <c r="R595" t="b">
        <v>1</v>
      </c>
      <c r="S595" t="inlineStr">
        <is>
          <t>G000065</t>
        </is>
      </c>
      <c r="T595" t="inlineStr">
        <is>
          <t>Horizontal</t>
        </is>
      </c>
      <c r="U595" t="n">
        <v>12</v>
      </c>
      <c r="V595" t="b">
        <v>1</v>
      </c>
      <c r="W595" t="inlineStr">
        <is>
          <t>EXPENSE VARIANCES!C38:N38</t>
        </is>
      </c>
      <c r="X595">
        <f>SUM(R37C3:R[-1]C[0])</f>
        <v/>
      </c>
    </row>
    <row r="596">
      <c r="A596" t="inlineStr">
        <is>
          <t>EXPENSE VARIANCES</t>
        </is>
      </c>
      <c r="B596" t="inlineStr">
        <is>
          <t>G38</t>
        </is>
      </c>
      <c r="C596" t="n">
        <v>38</v>
      </c>
      <c r="D596" t="n">
        <v>7</v>
      </c>
      <c r="E596" t="inlineStr">
        <is>
          <t>Output</t>
        </is>
      </c>
      <c r="F596" t="inlineStr">
        <is>
          <t>'=SUM($C$37:G37)</t>
        </is>
      </c>
      <c r="G596" t="n">
        <v>4050</v>
      </c>
      <c r="H596" t="inlineStr"/>
      <c r="I596" t="inlineStr">
        <is>
          <t>"$"#,##0.00_);[Red]\("$"#,##0.00\)</t>
        </is>
      </c>
      <c r="J596" t="b">
        <v>0</v>
      </c>
      <c r="K596" t="b">
        <v>0</v>
      </c>
      <c r="L596" t="n">
        <v>10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G000065</t>
        </is>
      </c>
      <c r="T596" t="inlineStr">
        <is>
          <t>Horizontal</t>
        </is>
      </c>
      <c r="U596" t="n">
        <v>12</v>
      </c>
      <c r="V596" t="b">
        <v>1</v>
      </c>
      <c r="W596" t="inlineStr">
        <is>
          <t>EXPENSE VARIANCES!C38:N38</t>
        </is>
      </c>
      <c r="X596">
        <f>SUM(R37C3:R[-1]C[0])</f>
        <v/>
      </c>
    </row>
    <row r="597">
      <c r="A597" t="inlineStr">
        <is>
          <t>EXPENSE VARIANCES</t>
        </is>
      </c>
      <c r="B597" t="inlineStr">
        <is>
          <t>H38</t>
        </is>
      </c>
      <c r="C597" t="n">
        <v>38</v>
      </c>
      <c r="D597" t="n">
        <v>8</v>
      </c>
      <c r="E597" t="inlineStr">
        <is>
          <t>Output</t>
        </is>
      </c>
      <c r="F597" t="inlineStr">
        <is>
          <t>'=SUM($C$37:H37)</t>
        </is>
      </c>
      <c r="G597" t="n">
        <v>306</v>
      </c>
      <c r="H597" t="inlineStr"/>
      <c r="I597" t="inlineStr">
        <is>
          <t>"$"#,##0.00_);[Red]\("$"#,##0.00\)</t>
        </is>
      </c>
      <c r="J597" t="b">
        <v>0</v>
      </c>
      <c r="K597" t="b">
        <v>0</v>
      </c>
      <c r="L597" t="n">
        <v>10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G000065</t>
        </is>
      </c>
      <c r="T597" t="inlineStr">
        <is>
          <t>Horizontal</t>
        </is>
      </c>
      <c r="U597" t="n">
        <v>12</v>
      </c>
      <c r="V597" t="b">
        <v>1</v>
      </c>
      <c r="W597" t="inlineStr">
        <is>
          <t>EXPENSE VARIANCES!C38:N38</t>
        </is>
      </c>
      <c r="X597">
        <f>SUM(R37C3:R[-1]C[0])</f>
        <v/>
      </c>
    </row>
    <row r="598">
      <c r="A598" t="inlineStr">
        <is>
          <t>EXPENSE VARIANCES</t>
        </is>
      </c>
      <c r="B598" t="inlineStr">
        <is>
          <t>I38</t>
        </is>
      </c>
      <c r="C598" t="n">
        <v>38</v>
      </c>
      <c r="D598" t="n">
        <v>9</v>
      </c>
      <c r="E598" t="inlineStr">
        <is>
          <t>Output</t>
        </is>
      </c>
      <c r="F598" t="inlineStr">
        <is>
          <t>'=SUM($C$37:I37)</t>
        </is>
      </c>
      <c r="G598" t="n">
        <v>135001</v>
      </c>
      <c r="H598" t="inlineStr"/>
      <c r="I598" t="inlineStr">
        <is>
          <t>"$"#,##0.00_);[Red]\("$"#,##0.00\)</t>
        </is>
      </c>
      <c r="J598" t="b">
        <v>0</v>
      </c>
      <c r="K598" t="b">
        <v>0</v>
      </c>
      <c r="L598" t="n">
        <v>10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G000065</t>
        </is>
      </c>
      <c r="T598" t="inlineStr">
        <is>
          <t>Horizontal</t>
        </is>
      </c>
      <c r="U598" t="n">
        <v>12</v>
      </c>
      <c r="V598" t="b">
        <v>1</v>
      </c>
      <c r="W598" t="inlineStr">
        <is>
          <t>EXPENSE VARIANCES!C38:N38</t>
        </is>
      </c>
      <c r="X598">
        <f>SUM(R37C3:R[-1]C[0])</f>
        <v/>
      </c>
    </row>
    <row r="599">
      <c r="A599" t="inlineStr">
        <is>
          <t>EXPENSE VARIANCES</t>
        </is>
      </c>
      <c r="B599" t="inlineStr">
        <is>
          <t>J38</t>
        </is>
      </c>
      <c r="C599" t="n">
        <v>38</v>
      </c>
      <c r="D599" t="n">
        <v>10</v>
      </c>
      <c r="E599" t="inlineStr">
        <is>
          <t>Output</t>
        </is>
      </c>
      <c r="F599" t="inlineStr">
        <is>
          <t>'=SUM($C$37:J37)</t>
        </is>
      </c>
      <c r="G599" t="n">
        <v>273919</v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10</v>
      </c>
      <c r="M599" t="inlineStr">
        <is>
          <t>Values must be of type &lt;class 'str'&gt;</t>
        </is>
      </c>
      <c r="N599" t="inlineStr">
        <is>
          <t>Values must be of type &lt;class 'str'&gt;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inlineStr">
        <is>
          <t>G000065</t>
        </is>
      </c>
      <c r="T599" t="inlineStr">
        <is>
          <t>Horizontal</t>
        </is>
      </c>
      <c r="U599" t="n">
        <v>12</v>
      </c>
      <c r="V599" t="b">
        <v>1</v>
      </c>
      <c r="W599" t="inlineStr">
        <is>
          <t>EXPENSE VARIANCES!C38:N38</t>
        </is>
      </c>
      <c r="X599">
        <f>SUM(R37C3:R[-1]C[0])</f>
        <v/>
      </c>
    </row>
    <row r="600">
      <c r="A600" t="inlineStr">
        <is>
          <t>EXPENSE VARIANCES</t>
        </is>
      </c>
      <c r="B600" t="inlineStr">
        <is>
          <t>K38</t>
        </is>
      </c>
      <c r="C600" t="n">
        <v>38</v>
      </c>
      <c r="D600" t="n">
        <v>11</v>
      </c>
      <c r="E600" t="inlineStr">
        <is>
          <t>Output</t>
        </is>
      </c>
      <c r="F600" t="inlineStr">
        <is>
          <t>'=SUM($C$37:K37)</t>
        </is>
      </c>
      <c r="G600" t="n">
        <v>409837</v>
      </c>
      <c r="H600" t="inlineStr"/>
      <c r="I600" t="inlineStr">
        <is>
          <t>"$"#,##0.00_);[Red]\("$"#,##0.00\)</t>
        </is>
      </c>
      <c r="J600" t="b">
        <v>0</v>
      </c>
      <c r="K600" t="b">
        <v>0</v>
      </c>
      <c r="L600" t="n">
        <v>10</v>
      </c>
      <c r="M600" t="inlineStr">
        <is>
          <t>Values must be of type &lt;class 'str'&gt;</t>
        </is>
      </c>
      <c r="N600" t="inlineStr">
        <is>
          <t>Values must be of type &lt;class 'str'&gt;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inlineStr">
        <is>
          <t>G000065</t>
        </is>
      </c>
      <c r="T600" t="inlineStr">
        <is>
          <t>Horizontal</t>
        </is>
      </c>
      <c r="U600" t="n">
        <v>12</v>
      </c>
      <c r="V600" t="b">
        <v>1</v>
      </c>
      <c r="W600" t="inlineStr">
        <is>
          <t>EXPENSE VARIANCES!C38:N38</t>
        </is>
      </c>
      <c r="X600">
        <f>SUM(R37C3:R[-1]C[0])</f>
        <v/>
      </c>
    </row>
    <row r="601">
      <c r="A601" t="inlineStr">
        <is>
          <t>EXPENSE VARIANCES</t>
        </is>
      </c>
      <c r="B601" t="inlineStr">
        <is>
          <t>L38</t>
        </is>
      </c>
      <c r="C601" t="n">
        <v>38</v>
      </c>
      <c r="D601" t="n">
        <v>12</v>
      </c>
      <c r="E601" t="inlineStr">
        <is>
          <t>Output</t>
        </is>
      </c>
      <c r="F601" t="inlineStr">
        <is>
          <t>'=SUM($C$37:L37)</t>
        </is>
      </c>
      <c r="G601" t="n">
        <v>550755</v>
      </c>
      <c r="H601" t="inlineStr"/>
      <c r="I601" t="inlineStr">
        <is>
          <t>"$"#,##0.00_);[Red]\("$"#,##0.00\)</t>
        </is>
      </c>
      <c r="J601" t="b">
        <v>0</v>
      </c>
      <c r="K601" t="b">
        <v>0</v>
      </c>
      <c r="L601" t="n">
        <v>10</v>
      </c>
      <c r="M601" t="inlineStr">
        <is>
          <t>Values must be of type &lt;class 'str'&gt;</t>
        </is>
      </c>
      <c r="N601" t="inlineStr">
        <is>
          <t>Values must be of type &lt;class 'str'&gt;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inlineStr">
        <is>
          <t>G000065</t>
        </is>
      </c>
      <c r="T601" t="inlineStr">
        <is>
          <t>Horizontal</t>
        </is>
      </c>
      <c r="U601" t="n">
        <v>12</v>
      </c>
      <c r="V601" t="b">
        <v>1</v>
      </c>
      <c r="W601" t="inlineStr">
        <is>
          <t>EXPENSE VARIANCES!C38:N38</t>
        </is>
      </c>
      <c r="X601">
        <f>SUM(R37C3:R[-1]C[0])</f>
        <v/>
      </c>
    </row>
    <row r="602">
      <c r="A602" t="inlineStr">
        <is>
          <t>EXPENSE VARIANCES</t>
        </is>
      </c>
      <c r="B602" t="inlineStr">
        <is>
          <t>M38</t>
        </is>
      </c>
      <c r="C602" t="n">
        <v>38</v>
      </c>
      <c r="D602" t="n">
        <v>13</v>
      </c>
      <c r="E602" t="inlineStr">
        <is>
          <t>Output</t>
        </is>
      </c>
      <c r="F602" t="inlineStr">
        <is>
          <t>'=SUM($C$37:M37)</t>
        </is>
      </c>
      <c r="G602" t="n">
        <v>686973</v>
      </c>
      <c r="H602" t="inlineStr"/>
      <c r="I602" t="inlineStr">
        <is>
          <t>"$"#,##0.00_);[Red]\("$"#,##0.00\)</t>
        </is>
      </c>
      <c r="J602" t="b">
        <v>0</v>
      </c>
      <c r="K602" t="b">
        <v>0</v>
      </c>
      <c r="L602" t="n">
        <v>10</v>
      </c>
      <c r="M602" t="inlineStr">
        <is>
          <t>Values must be of type &lt;class 'str'&gt;</t>
        </is>
      </c>
      <c r="N602" t="inlineStr">
        <is>
          <t>Values must be of type &lt;class 'str'&gt;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inlineStr">
        <is>
          <t>G000065</t>
        </is>
      </c>
      <c r="T602" t="inlineStr">
        <is>
          <t>Horizontal</t>
        </is>
      </c>
      <c r="U602" t="n">
        <v>12</v>
      </c>
      <c r="V602" t="b">
        <v>1</v>
      </c>
      <c r="W602" t="inlineStr">
        <is>
          <t>EXPENSE VARIANCES!C38:N38</t>
        </is>
      </c>
      <c r="X602">
        <f>SUM(R37C3:R[-1]C[0])</f>
        <v/>
      </c>
    </row>
    <row r="603">
      <c r="A603" t="inlineStr">
        <is>
          <t>EXPENSE VARIANCES</t>
        </is>
      </c>
      <c r="B603" t="inlineStr">
        <is>
          <t>N38</t>
        </is>
      </c>
      <c r="C603" t="n">
        <v>38</v>
      </c>
      <c r="D603" t="n">
        <v>14</v>
      </c>
      <c r="E603" t="inlineStr">
        <is>
          <t>Output</t>
        </is>
      </c>
      <c r="F603" t="inlineStr">
        <is>
          <t>'=SUM($C$37:N37)</t>
        </is>
      </c>
      <c r="G603" t="n">
        <v>826991</v>
      </c>
      <c r="H603" t="inlineStr"/>
      <c r="I603" t="inlineStr">
        <is>
          <t>"$"#,##0.00_);[Red]\("$"#,##0.00\)</t>
        </is>
      </c>
      <c r="J603" t="b">
        <v>0</v>
      </c>
      <c r="K603" t="b">
        <v>0</v>
      </c>
      <c r="L603" t="n">
        <v>10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inlineStr">
        <is>
          <t>center</t>
        </is>
      </c>
      <c r="P603" t="inlineStr">
        <is>
          <t>center</t>
        </is>
      </c>
      <c r="R603" t="b">
        <v>1</v>
      </c>
      <c r="S603" t="inlineStr">
        <is>
          <t>G000065</t>
        </is>
      </c>
      <c r="T603" t="inlineStr">
        <is>
          <t>Horizontal</t>
        </is>
      </c>
      <c r="U603" t="n">
        <v>12</v>
      </c>
      <c r="V603" t="b">
        <v>1</v>
      </c>
      <c r="W603" t="inlineStr">
        <is>
          <t>EXPENSE VARIANCES!C38:N38</t>
        </is>
      </c>
      <c r="X603">
        <f>SUM(R37C3:R[-1]C[0])</f>
        <v/>
      </c>
    </row>
    <row r="604">
      <c r="A604" t="inlineStr">
        <is>
          <t>EXPENSE VARIANCES</t>
        </is>
      </c>
      <c r="B604" t="inlineStr">
        <is>
          <t>O38</t>
        </is>
      </c>
      <c r="C604" t="n">
        <v>38</v>
      </c>
      <c r="D604" t="n">
        <v>15</v>
      </c>
      <c r="E604" t="inlineStr">
        <is>
          <t>Input</t>
        </is>
      </c>
      <c r="F604" t="n">
        <v/>
      </c>
      <c r="H604" t="inlineStr"/>
      <c r="I604" t="inlineStr">
        <is>
          <t>"$"#,##0.00_);[Red]\("$"#,##0.00\)</t>
        </is>
      </c>
      <c r="J604" t="b">
        <v>0</v>
      </c>
      <c r="K604" t="b">
        <v>0</v>
      </c>
      <c r="L604" t="n">
        <v>10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inlineStr">
        <is>
          <t>center</t>
        </is>
      </c>
      <c r="P604" t="inlineStr">
        <is>
          <t>center</t>
        </is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EXPENSE VARIANCES</t>
        </is>
      </c>
      <c r="B605" t="inlineStr">
        <is>
          <t>P38</t>
        </is>
      </c>
      <c r="C605" t="n">
        <v>38</v>
      </c>
      <c r="D605" t="n">
        <v>16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n">
        <v/>
      </c>
      <c r="P605" t="n">
        <v/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EXPENSE VARIANCES</t>
        </is>
      </c>
      <c r="B606" t="inlineStr">
        <is>
          <t>A39</t>
        </is>
      </c>
      <c r="C606" t="n">
        <v>39</v>
      </c>
      <c r="D606" t="n">
        <v>1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n">
        <v/>
      </c>
      <c r="P606" t="n">
        <v/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EXPENSE VARIANCES</t>
        </is>
      </c>
      <c r="B607" t="inlineStr">
        <is>
          <t>B39</t>
        </is>
      </c>
      <c r="C607" t="n">
        <v>39</v>
      </c>
      <c r="D607" t="n">
        <v>2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n">
        <v/>
      </c>
      <c r="P607" t="n">
        <v/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EXPENSE VARIANCES</t>
        </is>
      </c>
      <c r="B608" t="inlineStr">
        <is>
          <t>C39</t>
        </is>
      </c>
      <c r="C608" t="n">
        <v>39</v>
      </c>
      <c r="D608" t="n">
        <v>3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10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n">
        <v/>
      </c>
      <c r="P608" t="n">
        <v/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</row>
    <row r="609">
      <c r="A609" t="inlineStr">
        <is>
          <t>EXPENSE VARIANCES</t>
        </is>
      </c>
      <c r="B609" t="inlineStr">
        <is>
          <t>D39</t>
        </is>
      </c>
      <c r="C609" t="n">
        <v>39</v>
      </c>
      <c r="D609" t="n">
        <v>4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n">
        <v/>
      </c>
      <c r="P609" t="n">
        <v/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EXPENSE VARIANCES</t>
        </is>
      </c>
      <c r="B610" t="inlineStr">
        <is>
          <t>E39</t>
        </is>
      </c>
      <c r="C610" t="n">
        <v>39</v>
      </c>
      <c r="D610" t="n">
        <v>5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n">
        <v/>
      </c>
      <c r="P610" t="n">
        <v/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EXPENSE VARIANCES</t>
        </is>
      </c>
      <c r="B611" t="inlineStr">
        <is>
          <t>F39</t>
        </is>
      </c>
      <c r="C611" t="n">
        <v>39</v>
      </c>
      <c r="D611" t="n">
        <v>6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n">
        <v/>
      </c>
      <c r="P611" t="n">
        <v/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</row>
    <row r="612">
      <c r="A612" t="inlineStr">
        <is>
          <t>EXPENSE VARIANCES</t>
        </is>
      </c>
      <c r="B612" t="inlineStr">
        <is>
          <t>G39</t>
        </is>
      </c>
      <c r="C612" t="n">
        <v>39</v>
      </c>
      <c r="D612" t="n">
        <v>7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n">
        <v/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EXPENSE VARIANCES</t>
        </is>
      </c>
      <c r="B613" t="inlineStr">
        <is>
          <t>H39</t>
        </is>
      </c>
      <c r="C613" t="n">
        <v>39</v>
      </c>
      <c r="D613" t="n">
        <v>8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EXPENSE VARIANCES</t>
        </is>
      </c>
      <c r="B614" t="inlineStr">
        <is>
          <t>I39</t>
        </is>
      </c>
      <c r="C614" t="n">
        <v>39</v>
      </c>
      <c r="D614" t="n">
        <v>9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M614" t="inlineStr">
        <is>
          <t>Values must be of type &lt;class 'str'&gt;</t>
        </is>
      </c>
      <c r="N614" t="inlineStr">
        <is>
          <t>Values must be of type &lt;class 'str'&gt;</t>
        </is>
      </c>
      <c r="O614" t="n">
        <v/>
      </c>
      <c r="P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EXPENSE VARIANCES</t>
        </is>
      </c>
      <c r="B615" t="inlineStr">
        <is>
          <t>J39</t>
        </is>
      </c>
      <c r="C615" t="n">
        <v>39</v>
      </c>
      <c r="D615" t="n">
        <v>10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M615" t="inlineStr">
        <is>
          <t>Values must be of type &lt;class 'str'&gt;</t>
        </is>
      </c>
      <c r="N615" t="inlineStr">
        <is>
          <t>Values must be of type &lt;class 'str'&gt;</t>
        </is>
      </c>
      <c r="O615" t="n">
        <v/>
      </c>
      <c r="P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EXPENSE VARIANCES</t>
        </is>
      </c>
      <c r="B616" t="inlineStr">
        <is>
          <t>K39</t>
        </is>
      </c>
      <c r="C616" t="n">
        <v>39</v>
      </c>
      <c r="D616" t="n">
        <v>11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10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n">
        <v/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EXPENSE VARIANCES</t>
        </is>
      </c>
      <c r="B617" t="inlineStr">
        <is>
          <t>L39</t>
        </is>
      </c>
      <c r="C617" t="n">
        <v>39</v>
      </c>
      <c r="D617" t="n">
        <v>12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10</v>
      </c>
      <c r="M617" t="inlineStr">
        <is>
          <t>Values must be of type &lt;class 'str'&gt;</t>
        </is>
      </c>
      <c r="N617" t="inlineStr">
        <is>
          <t>Values must be of type &lt;class 'str'&gt;</t>
        </is>
      </c>
      <c r="O617" t="n">
        <v/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EXPENSE VARIANCES</t>
        </is>
      </c>
      <c r="B618" t="inlineStr">
        <is>
          <t>M39</t>
        </is>
      </c>
      <c r="C618" t="n">
        <v>39</v>
      </c>
      <c r="D618" t="n">
        <v>13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10</v>
      </c>
      <c r="M618" t="inlineStr">
        <is>
          <t>Values must be of type &lt;class 'str'&gt;</t>
        </is>
      </c>
      <c r="N618" t="inlineStr">
        <is>
          <t>Values must be of type &lt;class 'str'&gt;</t>
        </is>
      </c>
      <c r="O618" t="n">
        <v/>
      </c>
      <c r="P618" t="n">
        <v/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EXPENSE VARIANCES</t>
        </is>
      </c>
      <c r="B619" t="inlineStr">
        <is>
          <t>N39</t>
        </is>
      </c>
      <c r="C619" t="n">
        <v>39</v>
      </c>
      <c r="D619" t="n">
        <v>14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10</v>
      </c>
      <c r="M619" t="inlineStr">
        <is>
          <t>Values must be of type &lt;class 'str'&gt;</t>
        </is>
      </c>
      <c r="N619" t="inlineStr">
        <is>
          <t>Values must be of type &lt;class 'str'&gt;</t>
        </is>
      </c>
      <c r="O619" t="n">
        <v/>
      </c>
      <c r="P619" t="n">
        <v/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EXPENSE VARIANCES</t>
        </is>
      </c>
      <c r="B620" t="inlineStr">
        <is>
          <t>O39</t>
        </is>
      </c>
      <c r="C620" t="n">
        <v>39</v>
      </c>
      <c r="D620" t="n">
        <v>15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10</v>
      </c>
      <c r="M620" t="inlineStr">
        <is>
          <t>Values must be of type &lt;class 'str'&gt;</t>
        </is>
      </c>
      <c r="N620" t="inlineStr">
        <is>
          <t>Values must be of type &lt;class 'str'&gt;</t>
        </is>
      </c>
      <c r="O620" t="n">
        <v/>
      </c>
      <c r="P620" t="n">
        <v/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EXPENSE VARIANCES</t>
        </is>
      </c>
      <c r="B621" t="inlineStr">
        <is>
          <t>P39</t>
        </is>
      </c>
      <c r="C621" t="n">
        <v>39</v>
      </c>
      <c r="D621" t="n">
        <v>16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n">
        <v/>
      </c>
      <c r="P621" t="n">
        <v/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EXPENSE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EXPENSE ANALYSIS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EXPENSE ANALYSIS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EXPENSE ANALYSIS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EXPENSE ANALYSIS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EXPENSE ANALYSIS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right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EXPENSE ANALYSIS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EXPENSE ANALYSIS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EXPENSE ANALYSIS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Output</t>
        </is>
      </c>
      <c r="F10" t="inlineStr">
        <is>
          <t>'='PLANNED EXPENSES'!B2:D3</t>
        </is>
      </c>
      <c r="G10" t="inlineStr">
        <is>
          <t>SBO Banking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48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>
        <f>'PLANNED EXPENSES'!R[0]C[0]:R[1]C[2]</f>
        <v/>
      </c>
    </row>
    <row r="11">
      <c r="A11" t="inlineStr">
        <is>
          <t>EXPENSE ANALYSIS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16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right</t>
        </is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EXPENSE ANALYSIS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EXPENSE ANALYSIS</t>
        </is>
      </c>
      <c r="B13" t="inlineStr">
        <is>
          <t>G2</t>
        </is>
      </c>
      <c r="C13" t="n">
        <v>2</v>
      </c>
      <c r="D13" t="n">
        <v>7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16</v>
      </c>
      <c r="M13" t="inlineStr">
        <is>
          <t>FF1309A8</t>
        </is>
      </c>
      <c r="N13" t="inlineStr">
        <is>
          <t>FFF2F2F2</t>
        </is>
      </c>
      <c r="O13" t="inlineStr">
        <is>
          <t>right</t>
        </is>
      </c>
      <c r="P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EXPENSE ANALYSIS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n">
        <v/>
      </c>
      <c r="P14" t="inlineStr">
        <is>
          <t>top</t>
        </is>
      </c>
      <c r="Q14" t="b">
        <v>1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EXPENSE ANALYSIS</t>
        </is>
      </c>
      <c r="B15" t="inlineStr">
        <is>
          <t>E3</t>
        </is>
      </c>
      <c r="C15" t="n">
        <v>3</v>
      </c>
      <c r="D15" t="n">
        <v>5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EXPENSE ANALYSIS</t>
        </is>
      </c>
      <c r="B16" t="inlineStr">
        <is>
          <t>F3</t>
        </is>
      </c>
      <c r="C16" t="n">
        <v>3</v>
      </c>
      <c r="D16" t="n">
        <v>6</v>
      </c>
      <c r="E16" t="inlineStr">
        <is>
          <t>Input</t>
        </is>
      </c>
      <c r="F16" t="n">
        <v/>
      </c>
      <c r="G16" t="inlineStr">
        <is>
          <t>Detailed expense estimates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16</v>
      </c>
      <c r="M16" t="inlineStr">
        <is>
          <t>Values must be of type &lt;class 'str'&gt;</t>
        </is>
      </c>
      <c r="N16" t="inlineStr">
        <is>
          <t>FFF2F2F2</t>
        </is>
      </c>
      <c r="O16" t="inlineStr">
        <is>
          <t>right</t>
        </is>
      </c>
      <c r="P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EXPENSE ANALYSIS</t>
        </is>
      </c>
      <c r="B17" t="inlineStr">
        <is>
          <t>G3</t>
        </is>
      </c>
      <c r="C17" t="n">
        <v>3</v>
      </c>
      <c r="D17" t="n">
        <v>7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n">
        <v/>
      </c>
      <c r="P17" t="n">
        <v/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EXPENSE ANALYSIS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n">
        <v/>
      </c>
      <c r="P18" t="inlineStr">
        <is>
          <t>top</t>
        </is>
      </c>
      <c r="Q18" t="b">
        <v>1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EXPENSE ANALYSIS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36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inlineStr">
        <is>
          <t>top</t>
        </is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EXPENSE ANALYSIS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36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EXPENSE ANALYSIS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36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EXPENSE ANALYSIS</t>
        </is>
      </c>
      <c r="B22" t="inlineStr">
        <is>
          <t>E4</t>
        </is>
      </c>
      <c r="C22" t="n">
        <v>4</v>
      </c>
      <c r="D22" t="n">
        <v>5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EXPENSE ANALYSIS</t>
        </is>
      </c>
      <c r="B23" t="inlineStr">
        <is>
          <t>F4</t>
        </is>
      </c>
      <c r="C23" t="n">
        <v>4</v>
      </c>
      <c r="D23" t="n">
        <v>6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right</t>
        </is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EXPENSE ANALYSIS</t>
        </is>
      </c>
      <c r="B24" t="inlineStr">
        <is>
          <t>G4</t>
        </is>
      </c>
      <c r="C24" t="n">
        <v>4</v>
      </c>
      <c r="D24" t="n">
        <v>7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EXPENSE ANALYSIS</t>
        </is>
      </c>
      <c r="B25" t="inlineStr">
        <is>
          <t>A5</t>
        </is>
      </c>
      <c r="C25" t="n">
        <v>5</v>
      </c>
      <c r="D25" t="n">
        <v>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inlineStr">
        <is>
          <t>top</t>
        </is>
      </c>
      <c r="Q25" t="b">
        <v>1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EXPENSE ANALYSIS</t>
        </is>
      </c>
      <c r="B26" t="inlineStr">
        <is>
          <t>B5</t>
        </is>
      </c>
      <c r="C26" t="n">
        <v>5</v>
      </c>
      <c r="D26" t="n">
        <v>2</v>
      </c>
      <c r="E26" t="inlineStr">
        <is>
          <t>Input</t>
        </is>
      </c>
      <c r="F26" t="n">
        <v/>
      </c>
      <c r="G26" t="inlineStr">
        <is>
          <t>Expense category</t>
        </is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14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inlineStr">
        <is>
          <t>left</t>
        </is>
      </c>
      <c r="P26" t="inlineStr">
        <is>
          <t>center</t>
        </is>
      </c>
      <c r="Q26" t="b">
        <v>1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EXPENSE ANALYSIS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G27" t="inlineStr">
        <is>
          <t>Planned expenses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14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center</t>
        </is>
      </c>
      <c r="P27" t="inlineStr">
        <is>
          <t>center</t>
        </is>
      </c>
      <c r="Q27" t="b">
        <v>1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EXPENSE ANALYSIS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t="inlineStr">
        <is>
          <t>Actual 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14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center</t>
        </is>
      </c>
      <c r="P28" t="inlineStr">
        <is>
          <t>center</t>
        </is>
      </c>
      <c r="Q28" t="b">
        <v>1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EXPENSE ANALYSIS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Input</t>
        </is>
      </c>
      <c r="F29" t="n">
        <v/>
      </c>
      <c r="G29" t="inlineStr">
        <is>
          <t>Expense variances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14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center</t>
        </is>
      </c>
      <c r="P29" t="inlineStr">
        <is>
          <t>center</t>
        </is>
      </c>
      <c r="Q29" t="b">
        <v>1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EXPENSE ANALYSIS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Input</t>
        </is>
      </c>
      <c r="F30" t="n">
        <v/>
      </c>
      <c r="G30" t="inlineStr">
        <is>
          <t>Variance percentage</t>
        </is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14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center</t>
        </is>
      </c>
      <c r="P30" t="inlineStr">
        <is>
          <t>center</t>
        </is>
      </c>
      <c r="Q30" t="b">
        <v>1</v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EXPENSE ANALYSIS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EXPENSE ANALYSIS</t>
        </is>
      </c>
      <c r="B32" t="inlineStr">
        <is>
          <t>A6</t>
        </is>
      </c>
      <c r="C32" t="n">
        <v>6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inlineStr">
        <is>
          <t>top</t>
        </is>
      </c>
      <c r="Q32" t="b">
        <v>1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EXPENSE ANALYSIS</t>
        </is>
      </c>
      <c r="B33" t="inlineStr">
        <is>
          <t>B6</t>
        </is>
      </c>
      <c r="C33" t="n">
        <v>6</v>
      </c>
      <c r="D33" t="n">
        <v>2</v>
      </c>
      <c r="E33" t="inlineStr">
        <is>
          <t>Input</t>
        </is>
      </c>
      <c r="F33" t="n">
        <v/>
      </c>
      <c r="G33" t="inlineStr">
        <is>
          <t>Employee costs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12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center</t>
        </is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EXPENSE ANALYSIS</t>
        </is>
      </c>
      <c r="B34" t="inlineStr">
        <is>
          <t>C6</t>
        </is>
      </c>
      <c r="C34" t="n">
        <v>6</v>
      </c>
      <c r="D34" t="n">
        <v>3</v>
      </c>
      <c r="E34" t="inlineStr">
        <is>
          <t>Calculation</t>
        </is>
      </c>
      <c r="F34" t="inlineStr">
        <is>
          <t>'=EmployeePlan[[#Totals],[YEAR]]</t>
        </is>
      </c>
      <c r="G34" t="n">
        <v>1355090</v>
      </c>
      <c r="H34" t="inlineStr"/>
      <c r="I34" t="inlineStr">
        <is>
          <t>"$"#,##0.00_);[Red]\("$"#,##0.00\)</t>
        </is>
      </c>
      <c r="J34" t="b">
        <v>0</v>
      </c>
      <c r="K34" t="b">
        <v>0</v>
      </c>
      <c r="L34" t="n">
        <v>9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center</t>
        </is>
      </c>
      <c r="P34" t="inlineStr">
        <is>
          <t>center</t>
        </is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>
        <f>EmployeePlan[[#Totals],[YEAR]]</f>
        <v/>
      </c>
    </row>
    <row r="35">
      <c r="A35" t="inlineStr">
        <is>
          <t>EXPENSE ANALYSIS</t>
        </is>
      </c>
      <c r="B35" t="inlineStr">
        <is>
          <t>D6</t>
        </is>
      </c>
      <c r="C35" t="n">
        <v>6</v>
      </c>
      <c r="D35" t="n">
        <v>4</v>
      </c>
      <c r="E35" t="inlineStr">
        <is>
          <t>Calculation</t>
        </is>
      </c>
      <c r="F35" t="inlineStr">
        <is>
          <t>'=EmployeeActual[[#Totals],[YEAR]]</t>
        </is>
      </c>
      <c r="G35" t="n">
        <v>659130</v>
      </c>
      <c r="H35" t="inlineStr"/>
      <c r="I35" t="inlineStr">
        <is>
          <t>"$"#,##0.00_);[Red]\("$"#,##0.00\)</t>
        </is>
      </c>
      <c r="J35" t="b">
        <v>0</v>
      </c>
      <c r="K35" t="b">
        <v>0</v>
      </c>
      <c r="L35" t="n">
        <v>9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center</t>
        </is>
      </c>
      <c r="P35" t="inlineStr">
        <is>
          <t>center</t>
        </is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>
        <f>EmployeeActual[[#Totals],[YEAR]]</f>
        <v/>
      </c>
    </row>
    <row r="36">
      <c r="A36" t="inlineStr">
        <is>
          <t>EXPENSE ANALYSIS</t>
        </is>
      </c>
      <c r="B36" t="inlineStr">
        <is>
          <t>E6</t>
        </is>
      </c>
      <c r="C36" t="n">
        <v>6</v>
      </c>
      <c r="D36" t="n">
        <v>5</v>
      </c>
      <c r="E36" t="inlineStr">
        <is>
          <t>Calculation</t>
        </is>
      </c>
      <c r="F36" t="inlineStr">
        <is>
          <t>'=C6-D6</t>
        </is>
      </c>
      <c r="G36" t="n">
        <v>695960</v>
      </c>
      <c r="H36" t="inlineStr"/>
      <c r="I36" t="inlineStr">
        <is>
          <t>"$"#,##0.00_);[Red]\("$"#,##0.00\)</t>
        </is>
      </c>
      <c r="J36" t="b">
        <v>0</v>
      </c>
      <c r="K36" t="b">
        <v>0</v>
      </c>
      <c r="L36" t="n">
        <v>9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center</t>
        </is>
      </c>
      <c r="P36" t="inlineStr">
        <is>
          <t>center</t>
        </is>
      </c>
      <c r="R36" t="b">
        <v>1</v>
      </c>
      <c r="S36" t="inlineStr">
        <is>
          <t>G000066</t>
        </is>
      </c>
      <c r="T36" t="inlineStr">
        <is>
          <t>Vertical</t>
        </is>
      </c>
      <c r="U36" t="n">
        <v>5</v>
      </c>
      <c r="V36" t="b">
        <v>1</v>
      </c>
      <c r="W36" t="inlineStr">
        <is>
          <t>EXPENSE ANALYSIS!E6:E10</t>
        </is>
      </c>
      <c r="X36">
        <f>R[0]C[-2]-R[0]C[-1]</f>
        <v/>
      </c>
    </row>
    <row r="37">
      <c r="A37" t="inlineStr">
        <is>
          <t>EXPENSE ANALYSIS</t>
        </is>
      </c>
      <c r="B37" t="inlineStr">
        <is>
          <t>F6</t>
        </is>
      </c>
      <c r="C37" t="n">
        <v>6</v>
      </c>
      <c r="D37" t="n">
        <v>6</v>
      </c>
      <c r="E37" t="inlineStr">
        <is>
          <t>Output</t>
        </is>
      </c>
      <c r="F37" t="inlineStr">
        <is>
          <t>'=E6/C6</t>
        </is>
      </c>
      <c r="G37" t="n">
        <v>0.5135895032802249</v>
      </c>
      <c r="H37" t="inlineStr"/>
      <c r="I37" t="inlineStr">
        <is>
          <t>0%</t>
        </is>
      </c>
      <c r="J37" t="b">
        <v>0</v>
      </c>
      <c r="K37" t="b">
        <v>0</v>
      </c>
      <c r="L37" t="n">
        <v>9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center</t>
        </is>
      </c>
      <c r="P37" t="inlineStr">
        <is>
          <t>center</t>
        </is>
      </c>
      <c r="R37" t="b">
        <v>1</v>
      </c>
      <c r="S37" t="inlineStr">
        <is>
          <t>G000067</t>
        </is>
      </c>
      <c r="T37" t="inlineStr">
        <is>
          <t>Vertical</t>
        </is>
      </c>
      <c r="U37" t="n">
        <v>5</v>
      </c>
      <c r="V37" t="b">
        <v>1</v>
      </c>
      <c r="W37" t="inlineStr">
        <is>
          <t>EXPENSE ANALYSIS!F6:F10</t>
        </is>
      </c>
      <c r="X37">
        <f>R[0]C[-1]/R[0]C[-3]</f>
        <v/>
      </c>
    </row>
    <row r="38">
      <c r="A38" t="inlineStr">
        <is>
          <t>EXPENSE ANALYSIS</t>
        </is>
      </c>
      <c r="B38" t="inlineStr">
        <is>
          <t>G6</t>
        </is>
      </c>
      <c r="C38" t="n">
        <v>6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EXPENSE ANALYSIS</t>
        </is>
      </c>
      <c r="B39" t="inlineStr">
        <is>
          <t>A7</t>
        </is>
      </c>
      <c r="C39" t="n">
        <v>7</v>
      </c>
      <c r="D39" t="n">
        <v>1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n">
        <v/>
      </c>
      <c r="P39" t="inlineStr">
        <is>
          <t>top</t>
        </is>
      </c>
      <c r="Q39" t="b">
        <v>1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EXPENSE ANALYSIS</t>
        </is>
      </c>
      <c r="B40" t="inlineStr">
        <is>
          <t>B7</t>
        </is>
      </c>
      <c r="C40" t="n">
        <v>7</v>
      </c>
      <c r="D40" t="n">
        <v>2</v>
      </c>
      <c r="E40" t="inlineStr">
        <is>
          <t>Output</t>
        </is>
      </c>
      <c r="F40" t="inlineStr">
        <is>
          <t>'='PLANNED EXPENSES'!B11</t>
        </is>
      </c>
      <c r="G40" t="inlineStr">
        <is>
          <t>Office costs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12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left</t>
        </is>
      </c>
      <c r="P40" t="inlineStr">
        <is>
          <t>center</t>
        </is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>
        <f>'PLANNED EXPENSES'!R[4]C[0]</f>
        <v/>
      </c>
    </row>
    <row r="41">
      <c r="A41" t="inlineStr">
        <is>
          <t>EXPENSE ANALYSIS</t>
        </is>
      </c>
      <c r="B41" t="inlineStr">
        <is>
          <t>C7</t>
        </is>
      </c>
      <c r="C41" t="n">
        <v>7</v>
      </c>
      <c r="D41" t="n">
        <v>3</v>
      </c>
      <c r="E41" t="inlineStr">
        <is>
          <t>Calculation</t>
        </is>
      </c>
      <c r="F41" t="inlineStr">
        <is>
          <t>'=OfficePlan[[#Totals],[YEAR]]</t>
        </is>
      </c>
      <c r="G41" t="n">
        <v>139040</v>
      </c>
      <c r="H41" t="inlineStr"/>
      <c r="I41" t="inlineStr">
        <is>
          <t>"$"#,##0.00_);[Red]\("$"#,##0.00\)</t>
        </is>
      </c>
      <c r="J41" t="b">
        <v>0</v>
      </c>
      <c r="K41" t="b">
        <v>0</v>
      </c>
      <c r="L41" t="n">
        <v>9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center</t>
        </is>
      </c>
      <c r="P41" t="inlineStr">
        <is>
          <t>center</t>
        </is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>
        <f>OfficePlan[[#Totals],[YEAR]]</f>
        <v/>
      </c>
    </row>
    <row r="42">
      <c r="A42" t="inlineStr">
        <is>
          <t>EXPENSE ANALYSIS</t>
        </is>
      </c>
      <c r="B42" t="inlineStr">
        <is>
          <t>D7</t>
        </is>
      </c>
      <c r="C42" t="n">
        <v>7</v>
      </c>
      <c r="D42" t="n">
        <v>4</v>
      </c>
      <c r="E42" t="inlineStr">
        <is>
          <t>Calculation</t>
        </is>
      </c>
      <c r="F42" t="inlineStr">
        <is>
          <t>'=OfficeActual[[#Totals],[YEAR]]</t>
        </is>
      </c>
      <c r="G42" t="n">
        <v>69350</v>
      </c>
      <c r="H42" t="inlineStr"/>
      <c r="I42" t="inlineStr">
        <is>
          <t>"$"#,##0.00_);[Red]\("$"#,##0.00\)</t>
        </is>
      </c>
      <c r="J42" t="b">
        <v>0</v>
      </c>
      <c r="K42" t="b">
        <v>0</v>
      </c>
      <c r="L42" t="n">
        <v>9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center</t>
        </is>
      </c>
      <c r="P42" t="inlineStr">
        <is>
          <t>center</t>
        </is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>
        <f>OfficeActual[[#Totals],[YEAR]]</f>
        <v/>
      </c>
    </row>
    <row r="43">
      <c r="A43" t="inlineStr">
        <is>
          <t>EXPENSE ANALYSIS</t>
        </is>
      </c>
      <c r="B43" t="inlineStr">
        <is>
          <t>E7</t>
        </is>
      </c>
      <c r="C43" t="n">
        <v>7</v>
      </c>
      <c r="D43" t="n">
        <v>5</v>
      </c>
      <c r="E43" t="inlineStr">
        <is>
          <t>Calculation</t>
        </is>
      </c>
      <c r="F43" t="inlineStr">
        <is>
          <t>'=C7-D7</t>
        </is>
      </c>
      <c r="G43" t="n">
        <v>69690</v>
      </c>
      <c r="H43" t="inlineStr"/>
      <c r="I43" t="inlineStr">
        <is>
          <t>"$"#,##0.00_);[Red]\("$"#,##0.00\)</t>
        </is>
      </c>
      <c r="J43" t="b">
        <v>0</v>
      </c>
      <c r="K43" t="b">
        <v>0</v>
      </c>
      <c r="L43" t="n">
        <v>9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center</t>
        </is>
      </c>
      <c r="P43" t="inlineStr">
        <is>
          <t>center</t>
        </is>
      </c>
      <c r="R43" t="b">
        <v>1</v>
      </c>
      <c r="S43" t="inlineStr">
        <is>
          <t>G000066</t>
        </is>
      </c>
      <c r="T43" t="inlineStr">
        <is>
          <t>Vertical</t>
        </is>
      </c>
      <c r="U43" t="n">
        <v>5</v>
      </c>
      <c r="V43" t="b">
        <v>1</v>
      </c>
      <c r="W43" t="inlineStr">
        <is>
          <t>EXPENSE ANALYSIS!E6:E10</t>
        </is>
      </c>
      <c r="X43">
        <f>R[0]C[-2]-R[0]C[-1]</f>
        <v/>
      </c>
    </row>
    <row r="44">
      <c r="A44" t="inlineStr">
        <is>
          <t>EXPENSE ANALYSIS</t>
        </is>
      </c>
      <c r="B44" t="inlineStr">
        <is>
          <t>F7</t>
        </is>
      </c>
      <c r="C44" t="n">
        <v>7</v>
      </c>
      <c r="D44" t="n">
        <v>6</v>
      </c>
      <c r="E44" t="inlineStr">
        <is>
          <t>Output</t>
        </is>
      </c>
      <c r="F44" t="inlineStr">
        <is>
          <t>'=E7/C7</t>
        </is>
      </c>
      <c r="G44" t="n">
        <v>0.5012226697353279</v>
      </c>
      <c r="H44" t="inlineStr"/>
      <c r="I44" t="inlineStr">
        <is>
          <t>0%</t>
        </is>
      </c>
      <c r="J44" t="b">
        <v>0</v>
      </c>
      <c r="K44" t="b">
        <v>0</v>
      </c>
      <c r="L44" t="n">
        <v>9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center</t>
        </is>
      </c>
      <c r="P44" t="inlineStr">
        <is>
          <t>center</t>
        </is>
      </c>
      <c r="R44" t="b">
        <v>1</v>
      </c>
      <c r="S44" t="inlineStr">
        <is>
          <t>G000067</t>
        </is>
      </c>
      <c r="T44" t="inlineStr">
        <is>
          <t>Vertical</t>
        </is>
      </c>
      <c r="U44" t="n">
        <v>5</v>
      </c>
      <c r="V44" t="b">
        <v>1</v>
      </c>
      <c r="W44" t="inlineStr">
        <is>
          <t>EXPENSE ANALYSIS!F6:F10</t>
        </is>
      </c>
      <c r="X44">
        <f>R[0]C[-1]/R[0]C[-3]</f>
        <v/>
      </c>
    </row>
    <row r="45">
      <c r="A45" t="inlineStr">
        <is>
          <t>EXPENSE ANALYSIS</t>
        </is>
      </c>
      <c r="B45" t="inlineStr">
        <is>
          <t>G7</t>
        </is>
      </c>
      <c r="C45" t="n">
        <v>7</v>
      </c>
      <c r="D45" t="n">
        <v>7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n">
        <v/>
      </c>
      <c r="P45" t="n">
        <v/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EXPENSE ANALYSIS</t>
        </is>
      </c>
      <c r="B46" t="inlineStr">
        <is>
          <t>A8</t>
        </is>
      </c>
      <c r="C46" t="n">
        <v>8</v>
      </c>
      <c r="D46" t="n">
        <v>1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n">
        <v/>
      </c>
      <c r="P46" t="inlineStr">
        <is>
          <t>top</t>
        </is>
      </c>
      <c r="Q46" t="b">
        <v>1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EXPENSE ANALYSIS</t>
        </is>
      </c>
      <c r="B47" t="inlineStr">
        <is>
          <t>B8</t>
        </is>
      </c>
      <c r="C47" t="n">
        <v>8</v>
      </c>
      <c r="D47" t="n">
        <v>2</v>
      </c>
      <c r="E47" t="inlineStr">
        <is>
          <t>Output</t>
        </is>
      </c>
      <c r="F47" t="inlineStr">
        <is>
          <t>'='PLANNED EXPENSES'!B22</t>
        </is>
      </c>
      <c r="G47" t="inlineStr">
        <is>
          <t>Marketing costs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12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center</t>
        </is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>
        <f>'PLANNED EXPENSES'!R[14]C[0]</f>
        <v/>
      </c>
    </row>
    <row r="48">
      <c r="A48" t="inlineStr">
        <is>
          <t>EXPENSE ANALYSIS</t>
        </is>
      </c>
      <c r="B48" t="inlineStr">
        <is>
          <t>C8</t>
        </is>
      </c>
      <c r="C48" t="n">
        <v>8</v>
      </c>
      <c r="D48" t="n">
        <v>3</v>
      </c>
      <c r="E48" t="inlineStr">
        <is>
          <t>Calculation</t>
        </is>
      </c>
      <c r="F48" t="inlineStr">
        <is>
          <t>'=MarketingPlan[[#Totals],[YEAR]]</t>
        </is>
      </c>
      <c r="G48" t="n">
        <v>67800</v>
      </c>
      <c r="H48" t="inlineStr"/>
      <c r="I48" t="inlineStr">
        <is>
          <t>"$"#,##0.00_);[Red]\("$"#,##0.00\)</t>
        </is>
      </c>
      <c r="J48" t="b">
        <v>0</v>
      </c>
      <c r="K48" t="b">
        <v>0</v>
      </c>
      <c r="L48" t="n">
        <v>9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center</t>
        </is>
      </c>
      <c r="P48" t="inlineStr">
        <is>
          <t>center</t>
        </is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>
        <f>MarketingPlan[[#Totals],[YEAR]]</f>
        <v/>
      </c>
    </row>
    <row r="49">
      <c r="A49" t="inlineStr">
        <is>
          <t>EXPENSE ANALYSIS</t>
        </is>
      </c>
      <c r="B49" t="inlineStr">
        <is>
          <t>D8</t>
        </is>
      </c>
      <c r="C49" t="n">
        <v>8</v>
      </c>
      <c r="D49" t="n">
        <v>4</v>
      </c>
      <c r="E49" t="inlineStr">
        <is>
          <t>Calculation</t>
        </is>
      </c>
      <c r="F49" t="inlineStr">
        <is>
          <t>'=MarketingActual[[#Totals],[YEAR]]</t>
        </is>
      </c>
      <c r="G49" t="n">
        <v>33159</v>
      </c>
      <c r="H49" t="inlineStr"/>
      <c r="I49" t="inlineStr">
        <is>
          <t>"$"#,##0.00_);[Red]\("$"#,##0.00\)</t>
        </is>
      </c>
      <c r="J49" t="b">
        <v>0</v>
      </c>
      <c r="K49" t="b">
        <v>0</v>
      </c>
      <c r="L49" t="n">
        <v>9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center</t>
        </is>
      </c>
      <c r="P49" t="inlineStr">
        <is>
          <t>center</t>
        </is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>
        <f>MarketingActual[[#Totals],[YEAR]]</f>
        <v/>
      </c>
    </row>
    <row r="50">
      <c r="A50" t="inlineStr">
        <is>
          <t>EXPENSE ANALYSIS</t>
        </is>
      </c>
      <c r="B50" t="inlineStr">
        <is>
          <t>E8</t>
        </is>
      </c>
      <c r="C50" t="n">
        <v>8</v>
      </c>
      <c r="D50" t="n">
        <v>5</v>
      </c>
      <c r="E50" t="inlineStr">
        <is>
          <t>Calculation</t>
        </is>
      </c>
      <c r="F50" t="inlineStr">
        <is>
          <t>'=C8-D8</t>
        </is>
      </c>
      <c r="G50" t="n">
        <v>34641</v>
      </c>
      <c r="H50" t="inlineStr"/>
      <c r="I50" t="inlineStr">
        <is>
          <t>"$"#,##0.00_);[Red]\("$"#,##0.00\)</t>
        </is>
      </c>
      <c r="J50" t="b">
        <v>0</v>
      </c>
      <c r="K50" t="b">
        <v>0</v>
      </c>
      <c r="L50" t="n">
        <v>9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center</t>
        </is>
      </c>
      <c r="P50" t="inlineStr">
        <is>
          <t>center</t>
        </is>
      </c>
      <c r="R50" t="b">
        <v>1</v>
      </c>
      <c r="S50" t="inlineStr">
        <is>
          <t>G000066</t>
        </is>
      </c>
      <c r="T50" t="inlineStr">
        <is>
          <t>Vertical</t>
        </is>
      </c>
      <c r="U50" t="n">
        <v>5</v>
      </c>
      <c r="V50" t="b">
        <v>1</v>
      </c>
      <c r="W50" t="inlineStr">
        <is>
          <t>EXPENSE ANALYSIS!E6:E10</t>
        </is>
      </c>
      <c r="X50">
        <f>R[0]C[-2]-R[0]C[-1]</f>
        <v/>
      </c>
    </row>
    <row r="51">
      <c r="A51" t="inlineStr">
        <is>
          <t>EXPENSE ANALYSIS</t>
        </is>
      </c>
      <c r="B51" t="inlineStr">
        <is>
          <t>F8</t>
        </is>
      </c>
      <c r="C51" t="n">
        <v>8</v>
      </c>
      <c r="D51" t="n">
        <v>6</v>
      </c>
      <c r="E51" t="inlineStr">
        <is>
          <t>Output</t>
        </is>
      </c>
      <c r="F51" t="inlineStr">
        <is>
          <t>'=E8/C8</t>
        </is>
      </c>
      <c r="G51" t="n">
        <v>0.510929203539823</v>
      </c>
      <c r="H51" t="inlineStr"/>
      <c r="I51" t="inlineStr">
        <is>
          <t>0%</t>
        </is>
      </c>
      <c r="J51" t="b">
        <v>0</v>
      </c>
      <c r="K51" t="b">
        <v>0</v>
      </c>
      <c r="L51" t="n">
        <v>9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center</t>
        </is>
      </c>
      <c r="P51" t="inlineStr">
        <is>
          <t>center</t>
        </is>
      </c>
      <c r="R51" t="b">
        <v>1</v>
      </c>
      <c r="S51" t="inlineStr">
        <is>
          <t>G000067</t>
        </is>
      </c>
      <c r="T51" t="inlineStr">
        <is>
          <t>Vertical</t>
        </is>
      </c>
      <c r="U51" t="n">
        <v>5</v>
      </c>
      <c r="V51" t="b">
        <v>1</v>
      </c>
      <c r="W51" t="inlineStr">
        <is>
          <t>EXPENSE ANALYSIS!F6:F10</t>
        </is>
      </c>
      <c r="X51">
        <f>R[0]C[-1]/R[0]C[-3]</f>
        <v/>
      </c>
    </row>
    <row r="52">
      <c r="A52" t="inlineStr">
        <is>
          <t>EXPENSE ANALYSIS</t>
        </is>
      </c>
      <c r="B52" t="inlineStr">
        <is>
          <t>G8</t>
        </is>
      </c>
      <c r="C52" t="n">
        <v>8</v>
      </c>
      <c r="D52" t="n">
        <v>7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EXPENSE ANALYSIS</t>
        </is>
      </c>
      <c r="B53" t="inlineStr">
        <is>
          <t>A9</t>
        </is>
      </c>
      <c r="C53" t="n">
        <v>9</v>
      </c>
      <c r="D53" t="n">
        <v>1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inlineStr">
        <is>
          <t>top</t>
        </is>
      </c>
      <c r="Q53" t="b">
        <v>1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EXPENSE ANALYSIS</t>
        </is>
      </c>
      <c r="B54" t="inlineStr">
        <is>
          <t>B9</t>
        </is>
      </c>
      <c r="C54" t="n">
        <v>9</v>
      </c>
      <c r="D54" t="n">
        <v>2</v>
      </c>
      <c r="E54" t="inlineStr">
        <is>
          <t>Output</t>
        </is>
      </c>
      <c r="F54" t="inlineStr">
        <is>
          <t>'='PLANNED EXPENSES'!B31</t>
        </is>
      </c>
      <c r="G54" t="inlineStr">
        <is>
          <t>Training/travel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12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left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>
        <f>'PLANNED EXPENSES'!R[22]C[0]</f>
        <v/>
      </c>
    </row>
    <row r="55">
      <c r="A55" t="inlineStr">
        <is>
          <t>EXPENSE ANALYSIS</t>
        </is>
      </c>
      <c r="B55" t="inlineStr">
        <is>
          <t>C9</t>
        </is>
      </c>
      <c r="C55" t="n">
        <v>9</v>
      </c>
      <c r="D55" t="n">
        <v>3</v>
      </c>
      <c r="E55" t="inlineStr">
        <is>
          <t>Calculation</t>
        </is>
      </c>
      <c r="F55" t="inlineStr">
        <is>
          <t>'=TrainingAndTravelPlan[[#Totals],[YEAR]]</t>
        </is>
      </c>
      <c r="G55" t="n">
        <v>48000</v>
      </c>
      <c r="H55" t="inlineStr"/>
      <c r="I55" t="inlineStr">
        <is>
          <t>"$"#,##0.00_);[Red]\("$"#,##0.00\)</t>
        </is>
      </c>
      <c r="J55" t="b">
        <v>0</v>
      </c>
      <c r="K55" t="b">
        <v>0</v>
      </c>
      <c r="L55" t="n">
        <v>9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>
        <f>TrainingAndTravelPlan[[#Totals],[YEAR]]</f>
        <v/>
      </c>
    </row>
    <row r="56">
      <c r="A56" t="inlineStr">
        <is>
          <t>EXPENSE ANALYSIS</t>
        </is>
      </c>
      <c r="B56" t="inlineStr">
        <is>
          <t>D9</t>
        </is>
      </c>
      <c r="C56" t="n">
        <v>9</v>
      </c>
      <c r="D56" t="n">
        <v>4</v>
      </c>
      <c r="E56" t="inlineStr">
        <is>
          <t>Calculation</t>
        </is>
      </c>
      <c r="F56" t="inlineStr">
        <is>
          <t>'=TrainingAndTravelActual[[#Totals],[YEAR]]</t>
        </is>
      </c>
      <c r="G56" t="n">
        <v>21300</v>
      </c>
      <c r="H56" t="inlineStr"/>
      <c r="I56" t="inlineStr">
        <is>
          <t>"$"#,##0.00_);[Red]\("$"#,##0.00\)</t>
        </is>
      </c>
      <c r="J56" t="b">
        <v>0</v>
      </c>
      <c r="K56" t="b">
        <v>0</v>
      </c>
      <c r="L56" t="n">
        <v>9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>
        <f>TrainingAndTravelActual[[#Totals],[YEAR]]</f>
        <v/>
      </c>
    </row>
    <row r="57">
      <c r="A57" t="inlineStr">
        <is>
          <t>EXPENSE ANALYSIS</t>
        </is>
      </c>
      <c r="B57" t="inlineStr">
        <is>
          <t>E9</t>
        </is>
      </c>
      <c r="C57" t="n">
        <v>9</v>
      </c>
      <c r="D57" t="n">
        <v>5</v>
      </c>
      <c r="E57" t="inlineStr">
        <is>
          <t>Calculation</t>
        </is>
      </c>
      <c r="F57" t="inlineStr">
        <is>
          <t>'=C9-D9</t>
        </is>
      </c>
      <c r="G57" t="n">
        <v>26700</v>
      </c>
      <c r="H57" t="inlineStr"/>
      <c r="I57" t="inlineStr">
        <is>
          <t>"$"#,##0.00_);[Red]\("$"#,##0.00\)</t>
        </is>
      </c>
      <c r="J57" t="b">
        <v>0</v>
      </c>
      <c r="K57" t="b">
        <v>0</v>
      </c>
      <c r="L57" t="n">
        <v>9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inlineStr">
        <is>
          <t>G000066</t>
        </is>
      </c>
      <c r="T57" t="inlineStr">
        <is>
          <t>Vertical</t>
        </is>
      </c>
      <c r="U57" t="n">
        <v>5</v>
      </c>
      <c r="V57" t="b">
        <v>1</v>
      </c>
      <c r="W57" t="inlineStr">
        <is>
          <t>EXPENSE ANALYSIS!E6:E10</t>
        </is>
      </c>
      <c r="X57">
        <f>R[0]C[-2]-R[0]C[-1]</f>
        <v/>
      </c>
    </row>
    <row r="58">
      <c r="A58" t="inlineStr">
        <is>
          <t>EXPENSE ANALYSIS</t>
        </is>
      </c>
      <c r="B58" t="inlineStr">
        <is>
          <t>F9</t>
        </is>
      </c>
      <c r="C58" t="n">
        <v>9</v>
      </c>
      <c r="D58" t="n">
        <v>6</v>
      </c>
      <c r="E58" t="inlineStr">
        <is>
          <t>Output</t>
        </is>
      </c>
      <c r="F58" t="inlineStr">
        <is>
          <t>'=E9/C9</t>
        </is>
      </c>
      <c r="G58" t="n">
        <v>0.55625</v>
      </c>
      <c r="H58" t="inlineStr"/>
      <c r="I58" t="inlineStr">
        <is>
          <t>0%</t>
        </is>
      </c>
      <c r="J58" t="b">
        <v>0</v>
      </c>
      <c r="K58" t="b">
        <v>0</v>
      </c>
      <c r="L58" t="n">
        <v>9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inlineStr">
        <is>
          <t>center</t>
        </is>
      </c>
      <c r="R58" t="b">
        <v>1</v>
      </c>
      <c r="S58" t="inlineStr">
        <is>
          <t>G000067</t>
        </is>
      </c>
      <c r="T58" t="inlineStr">
        <is>
          <t>Vertical</t>
        </is>
      </c>
      <c r="U58" t="n">
        <v>5</v>
      </c>
      <c r="V58" t="b">
        <v>1</v>
      </c>
      <c r="W58" t="inlineStr">
        <is>
          <t>EXPENSE ANALYSIS!F6:F10</t>
        </is>
      </c>
      <c r="X58">
        <f>R[0]C[-1]/R[0]C[-3]</f>
        <v/>
      </c>
    </row>
    <row r="59">
      <c r="A59" t="inlineStr">
        <is>
          <t>EXPENSE ANALYSIS</t>
        </is>
      </c>
      <c r="B59" t="inlineStr">
        <is>
          <t>G9</t>
        </is>
      </c>
      <c r="C59" t="n">
        <v>9</v>
      </c>
      <c r="D59" t="n">
        <v>7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EXPENSE ANALYSIS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n">
        <v/>
      </c>
      <c r="P60" t="inlineStr">
        <is>
          <t>top</t>
        </is>
      </c>
      <c r="Q60" t="b">
        <v>1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EXPENSE ANALYSIS</t>
        </is>
      </c>
      <c r="B61" t="inlineStr">
        <is>
          <t>B10</t>
        </is>
      </c>
      <c r="C61" t="n">
        <v>10</v>
      </c>
      <c r="D61" t="n">
        <v>2</v>
      </c>
      <c r="E61" t="inlineStr">
        <is>
          <t>Output</t>
        </is>
      </c>
      <c r="F61" t="inlineStr">
        <is>
          <t>'='PLANNED EXPENSES'!B36</t>
        </is>
      </c>
      <c r="G61" t="inlineStr">
        <is>
          <t>Totals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12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left</t>
        </is>
      </c>
      <c r="P61" t="inlineStr">
        <is>
          <t>center</t>
        </is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>
        <f>'PLANNED EXPENSES'!R[26]C[0]</f>
        <v/>
      </c>
    </row>
    <row r="62">
      <c r="A62" t="inlineStr">
        <is>
          <t>EXPENSE ANALYSIS</t>
        </is>
      </c>
      <c r="B62" t="inlineStr">
        <is>
          <t>C10</t>
        </is>
      </c>
      <c r="C62" t="n">
        <v>10</v>
      </c>
      <c r="D62" t="n">
        <v>3</v>
      </c>
      <c r="E62" t="inlineStr">
        <is>
          <t>Calculation</t>
        </is>
      </c>
      <c r="F62" t="inlineStr">
        <is>
          <t>'='PLANNED EXPENSES'!O37</t>
        </is>
      </c>
      <c r="G62" t="n">
        <v>1609930</v>
      </c>
      <c r="H62" t="inlineStr"/>
      <c r="I62" t="inlineStr">
        <is>
          <t>"$"#,##0.00_);[Red]\("$"#,##0.00\)</t>
        </is>
      </c>
      <c r="J62" t="b">
        <v>0</v>
      </c>
      <c r="K62" t="b">
        <v>0</v>
      </c>
      <c r="L62" t="n">
        <v>9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center</t>
        </is>
      </c>
      <c r="P62" t="inlineStr">
        <is>
          <t>center</t>
        </is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>
        <f>'PLANNED EXPENSES'!R[27]C[12]</f>
        <v/>
      </c>
    </row>
    <row r="63">
      <c r="A63" t="inlineStr">
        <is>
          <t>EXPENSE ANALYSIS</t>
        </is>
      </c>
      <c r="B63" t="inlineStr">
        <is>
          <t>D10</t>
        </is>
      </c>
      <c r="C63" t="n">
        <v>10</v>
      </c>
      <c r="D63" t="n">
        <v>4</v>
      </c>
      <c r="E63" t="inlineStr">
        <is>
          <t>Calculation</t>
        </is>
      </c>
      <c r="F63" t="inlineStr">
        <is>
          <t>'='ACTUAL EXPENSES'!O37</t>
        </is>
      </c>
      <c r="G63" t="n">
        <v>782939</v>
      </c>
      <c r="H63" t="inlineStr"/>
      <c r="I63" t="inlineStr">
        <is>
          <t>"$"#,##0.00_);[Red]\("$"#,##0.00\)</t>
        </is>
      </c>
      <c r="J63" t="b">
        <v>0</v>
      </c>
      <c r="K63" t="b">
        <v>0</v>
      </c>
      <c r="L63" t="n">
        <v>9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inlineStr">
        <is>
          <t>center</t>
        </is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>
        <f>'ACTUAL EXPENSES'!R[27]C[11]</f>
        <v/>
      </c>
    </row>
    <row r="64">
      <c r="A64" t="inlineStr">
        <is>
          <t>EXPENSE ANALYSIS</t>
        </is>
      </c>
      <c r="B64" t="inlineStr">
        <is>
          <t>E10</t>
        </is>
      </c>
      <c r="C64" t="n">
        <v>10</v>
      </c>
      <c r="D64" t="n">
        <v>5</v>
      </c>
      <c r="E64" t="inlineStr">
        <is>
          <t>Calculation</t>
        </is>
      </c>
      <c r="F64" t="inlineStr">
        <is>
          <t>'=C10-D10</t>
        </is>
      </c>
      <c r="G64" t="n">
        <v>826991</v>
      </c>
      <c r="H64" t="inlineStr"/>
      <c r="I64" t="inlineStr">
        <is>
          <t>"$"#,##0.00_);[Red]\("$"#,##0.00\)</t>
        </is>
      </c>
      <c r="J64" t="b">
        <v>0</v>
      </c>
      <c r="K64" t="b">
        <v>0</v>
      </c>
      <c r="L64" t="n">
        <v>9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1</v>
      </c>
      <c r="S64" t="inlineStr">
        <is>
          <t>G000066</t>
        </is>
      </c>
      <c r="T64" t="inlineStr">
        <is>
          <t>Vertical</t>
        </is>
      </c>
      <c r="U64" t="n">
        <v>5</v>
      </c>
      <c r="V64" t="b">
        <v>1</v>
      </c>
      <c r="W64" t="inlineStr">
        <is>
          <t>EXPENSE ANALYSIS!E6:E10</t>
        </is>
      </c>
      <c r="X64">
        <f>R[0]C[-2]-R[0]C[-1]</f>
        <v/>
      </c>
    </row>
    <row r="65">
      <c r="A65" t="inlineStr">
        <is>
          <t>EXPENSE ANALYSIS</t>
        </is>
      </c>
      <c r="B65" t="inlineStr">
        <is>
          <t>F10</t>
        </is>
      </c>
      <c r="C65" t="n">
        <v>10</v>
      </c>
      <c r="D65" t="n">
        <v>6</v>
      </c>
      <c r="E65" t="inlineStr">
        <is>
          <t>Output</t>
        </is>
      </c>
      <c r="F65" t="inlineStr">
        <is>
          <t>'=E10/C10</t>
        </is>
      </c>
      <c r="G65" t="n">
        <v>0.5136813401824925</v>
      </c>
      <c r="H65" t="inlineStr"/>
      <c r="I65" t="inlineStr">
        <is>
          <t>0%</t>
        </is>
      </c>
      <c r="J65" t="b">
        <v>0</v>
      </c>
      <c r="K65" t="b">
        <v>0</v>
      </c>
      <c r="L65" t="n">
        <v>9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1</v>
      </c>
      <c r="S65" t="inlineStr">
        <is>
          <t>G000067</t>
        </is>
      </c>
      <c r="T65" t="inlineStr">
        <is>
          <t>Vertical</t>
        </is>
      </c>
      <c r="U65" t="n">
        <v>5</v>
      </c>
      <c r="V65" t="b">
        <v>1</v>
      </c>
      <c r="W65" t="inlineStr">
        <is>
          <t>EXPENSE ANALYSIS!F6:F10</t>
        </is>
      </c>
      <c r="X65">
        <f>R[0]C[-1]/R[0]C[-3]</f>
        <v/>
      </c>
    </row>
    <row r="66">
      <c r="A66" t="inlineStr">
        <is>
          <t>EXPENSE ANALYSIS</t>
        </is>
      </c>
      <c r="B66" t="inlineStr">
        <is>
          <t>G10</t>
        </is>
      </c>
      <c r="C66" t="n">
        <v>10</v>
      </c>
      <c r="D66" t="n">
        <v>7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EXPENSE ANALYSIS</t>
        </is>
      </c>
      <c r="B67" t="inlineStr">
        <is>
          <t>A11</t>
        </is>
      </c>
      <c r="C67" t="n">
        <v>11</v>
      </c>
      <c r="D67" t="n">
        <v>1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n">
        <v/>
      </c>
      <c r="P67" t="inlineStr">
        <is>
          <t>top</t>
        </is>
      </c>
      <c r="Q67" t="b">
        <v>1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EXPENSE ANALYSIS</t>
        </is>
      </c>
      <c r="B68" t="inlineStr">
        <is>
          <t>B11</t>
        </is>
      </c>
      <c r="C68" t="n">
        <v>11</v>
      </c>
      <c r="D68" t="n">
        <v>2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9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left</t>
        </is>
      </c>
      <c r="P68" t="n">
        <v/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EXPENSE ANALYSIS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H69" t="inlineStr"/>
      <c r="I69" t="inlineStr">
        <is>
          <t>"$"#,##0.00_);[Red]\("$"#,##0.00\)</t>
        </is>
      </c>
      <c r="J69" t="b">
        <v>0</v>
      </c>
      <c r="K69" t="b">
        <v>0</v>
      </c>
      <c r="L69" t="n">
        <v>9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right</t>
        </is>
      </c>
      <c r="P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EXPENSE ANALYSIS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H70" t="inlineStr"/>
      <c r="I70" t="inlineStr">
        <is>
          <t>"$"#,##0.00_);[Red]\("$"#,##0.00\)</t>
        </is>
      </c>
      <c r="J70" t="b">
        <v>0</v>
      </c>
      <c r="K70" t="b">
        <v>0</v>
      </c>
      <c r="L70" t="n">
        <v>9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right</t>
        </is>
      </c>
      <c r="P70" t="n">
        <v/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EXPENSE ANALYSIS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H71" t="inlineStr"/>
      <c r="I71" t="inlineStr">
        <is>
          <t>"$"#,##0.00_);[Red]\("$"#,##0.00\)</t>
        </is>
      </c>
      <c r="J71" t="b">
        <v>0</v>
      </c>
      <c r="K71" t="b">
        <v>0</v>
      </c>
      <c r="L71" t="n">
        <v>9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right</t>
        </is>
      </c>
      <c r="P71" t="n">
        <v/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EXPENSE ANALYSIS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0%</t>
        </is>
      </c>
      <c r="J72" t="b">
        <v>0</v>
      </c>
      <c r="K72" t="b">
        <v>0</v>
      </c>
      <c r="L72" t="n">
        <v>9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right</t>
        </is>
      </c>
      <c r="P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EXPENSE ANALYSIS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n">
        <v/>
      </c>
      <c r="P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EXPENSE ANALYSIS</t>
        </is>
      </c>
      <c r="B74" t="inlineStr">
        <is>
          <t>A12</t>
        </is>
      </c>
      <c r="C74" t="n">
        <v>12</v>
      </c>
      <c r="D74" t="n">
        <v>1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n">
        <v/>
      </c>
      <c r="P74" t="inlineStr">
        <is>
          <t>top</t>
        </is>
      </c>
      <c r="Q74" t="b">
        <v>1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EXPENSE ANALYSIS</t>
        </is>
      </c>
      <c r="B75" t="inlineStr">
        <is>
          <t>B12</t>
        </is>
      </c>
      <c r="C75" t="n">
        <v>12</v>
      </c>
      <c r="D75" t="n">
        <v>2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n">
        <v/>
      </c>
      <c r="P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EXPENSE ANALYSIS</t>
        </is>
      </c>
      <c r="B76" t="inlineStr">
        <is>
          <t>C12</t>
        </is>
      </c>
      <c r="C76" t="n">
        <v>12</v>
      </c>
      <c r="D76" t="n">
        <v>3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EXPENSE ANALYSIS</t>
        </is>
      </c>
      <c r="B77" t="inlineStr">
        <is>
          <t>D12</t>
        </is>
      </c>
      <c r="C77" t="n">
        <v>12</v>
      </c>
      <c r="D77" t="n">
        <v>4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n">
        <v/>
      </c>
      <c r="P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EXPENSE ANALYSIS</t>
        </is>
      </c>
      <c r="B78" t="inlineStr">
        <is>
          <t>E12</t>
        </is>
      </c>
      <c r="C78" t="n">
        <v>12</v>
      </c>
      <c r="D78" t="n">
        <v>5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EXPENSE ANALYSIS</t>
        </is>
      </c>
      <c r="B79" t="inlineStr">
        <is>
          <t>F12</t>
        </is>
      </c>
      <c r="C79" t="n">
        <v>12</v>
      </c>
      <c r="D79" t="n">
        <v>6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n">
        <v/>
      </c>
      <c r="P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EXPENSE ANALYSIS</t>
        </is>
      </c>
      <c r="B80" t="inlineStr">
        <is>
          <t>G12</t>
        </is>
      </c>
      <c r="C80" t="n">
        <v>12</v>
      </c>
      <c r="D80" t="n">
        <v>7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EXPENSE ANALYSIS</t>
        </is>
      </c>
      <c r="B81" t="inlineStr">
        <is>
          <t>A13</t>
        </is>
      </c>
      <c r="C81" t="n">
        <v>13</v>
      </c>
      <c r="D81" t="n">
        <v>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n">
        <v/>
      </c>
      <c r="P81" t="inlineStr">
        <is>
          <t>top</t>
        </is>
      </c>
      <c r="Q81" t="b">
        <v>1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EXPENSE ANALYSIS</t>
        </is>
      </c>
      <c r="B82" t="inlineStr">
        <is>
          <t>B13</t>
        </is>
      </c>
      <c r="C82" t="n">
        <v>13</v>
      </c>
      <c r="D82" t="n">
        <v>2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left</t>
        </is>
      </c>
      <c r="P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EXPENSE ANALYSIS</t>
        </is>
      </c>
      <c r="B83" t="inlineStr">
        <is>
          <t>C13</t>
        </is>
      </c>
      <c r="C83" t="n">
        <v>13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10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EXPENSE ANALYSIS</t>
        </is>
      </c>
      <c r="B84" t="inlineStr">
        <is>
          <t>D13</t>
        </is>
      </c>
      <c r="C84" t="n">
        <v>13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EXPENSE ANALYSIS</t>
        </is>
      </c>
      <c r="B85" t="inlineStr">
        <is>
          <t>E13</t>
        </is>
      </c>
      <c r="C85" t="n">
        <v>13</v>
      </c>
      <c r="D85" t="n">
        <v>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n">
        <v/>
      </c>
      <c r="P85" t="n">
        <v/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EXPENSE ANALYSIS</t>
        </is>
      </c>
      <c r="B86" t="inlineStr">
        <is>
          <t>F13</t>
        </is>
      </c>
      <c r="C86" t="n">
        <v>13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right</t>
        </is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EXPENSE ANALYSIS</t>
        </is>
      </c>
      <c r="B87" t="inlineStr">
        <is>
          <t>G13</t>
        </is>
      </c>
      <c r="C87" t="n">
        <v>13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EXPENSE ANALYSIS</t>
        </is>
      </c>
      <c r="B88" t="inlineStr">
        <is>
          <t>A14</t>
        </is>
      </c>
      <c r="C88" t="n">
        <v>14</v>
      </c>
      <c r="D88" t="n">
        <v>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inlineStr">
        <is>
          <t>top</t>
        </is>
      </c>
      <c r="Q88" t="b">
        <v>1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EXPENSE ANALYSIS</t>
        </is>
      </c>
      <c r="B89" t="inlineStr">
        <is>
          <t>B14</t>
        </is>
      </c>
      <c r="C89" t="n">
        <v>14</v>
      </c>
      <c r="D89" t="n">
        <v>2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left</t>
        </is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EXPENSE ANALYSIS</t>
        </is>
      </c>
      <c r="B90" t="inlineStr">
        <is>
          <t>C14</t>
        </is>
      </c>
      <c r="C90" t="n">
        <v>14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EXPENSE ANALYSIS</t>
        </is>
      </c>
      <c r="B91" t="inlineStr">
        <is>
          <t>D14</t>
        </is>
      </c>
      <c r="C91" t="n">
        <v>14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EXPENSE ANALYSIS</t>
        </is>
      </c>
      <c r="B92" t="inlineStr">
        <is>
          <t>E14</t>
        </is>
      </c>
      <c r="C92" t="n">
        <v>14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EXPENSE ANALYSIS</t>
        </is>
      </c>
      <c r="B93" t="inlineStr">
        <is>
          <t>F14</t>
        </is>
      </c>
      <c r="C93" t="n">
        <v>14</v>
      </c>
      <c r="D93" t="n">
        <v>6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10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right</t>
        </is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EXPENSE ANALYSIS</t>
        </is>
      </c>
      <c r="B94" t="inlineStr">
        <is>
          <t>G14</t>
        </is>
      </c>
      <c r="C94" t="n">
        <v>14</v>
      </c>
      <c r="D94" t="n">
        <v>7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EXPENSE ANALYSIS</t>
        </is>
      </c>
      <c r="B95" t="inlineStr">
        <is>
          <t>A15</t>
        </is>
      </c>
      <c r="C95" t="n">
        <v>15</v>
      </c>
      <c r="D95" t="n">
        <v>1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n">
        <v/>
      </c>
      <c r="P95" t="inlineStr">
        <is>
          <t>top</t>
        </is>
      </c>
      <c r="Q95" t="b">
        <v>1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EXPENSE ANALYSIS</t>
        </is>
      </c>
      <c r="B96" t="inlineStr">
        <is>
          <t>B15</t>
        </is>
      </c>
      <c r="C96" t="n">
        <v>15</v>
      </c>
      <c r="D96" t="n">
        <v>2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inlineStr">
        <is>
          <t>left</t>
        </is>
      </c>
      <c r="P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EXPENSE ANALYSIS</t>
        </is>
      </c>
      <c r="B97" t="inlineStr">
        <is>
          <t>C15</t>
        </is>
      </c>
      <c r="C97" t="n">
        <v>15</v>
      </c>
      <c r="D97" t="n">
        <v>3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center</t>
        </is>
      </c>
      <c r="P97" t="n">
        <v/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EXPENSE ANALYSIS</t>
        </is>
      </c>
      <c r="B98" t="inlineStr">
        <is>
          <t>D15</t>
        </is>
      </c>
      <c r="C98" t="n">
        <v>15</v>
      </c>
      <c r="D98" t="n">
        <v>4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n">
        <v/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EXPENSE ANALYSIS</t>
        </is>
      </c>
      <c r="B99" t="inlineStr">
        <is>
          <t>E15</t>
        </is>
      </c>
      <c r="C99" t="n">
        <v>15</v>
      </c>
      <c r="D99" t="n">
        <v>5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n">
        <v/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EXPENSE ANALYSIS</t>
        </is>
      </c>
      <c r="B100" t="inlineStr">
        <is>
          <t>F15</t>
        </is>
      </c>
      <c r="C100" t="n">
        <v>15</v>
      </c>
      <c r="D100" t="n">
        <v>6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right</t>
        </is>
      </c>
      <c r="P100" t="n">
        <v/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EXPENSE ANALYSIS</t>
        </is>
      </c>
      <c r="B101" t="inlineStr">
        <is>
          <t>G15</t>
        </is>
      </c>
      <c r="C101" t="n">
        <v>15</v>
      </c>
      <c r="D101" t="n">
        <v>7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n">
        <v/>
      </c>
      <c r="P101" t="n">
        <v/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EXPENSE ANALYSIS</t>
        </is>
      </c>
      <c r="B102" t="inlineStr">
        <is>
          <t>A16</t>
        </is>
      </c>
      <c r="C102" t="n">
        <v>16</v>
      </c>
      <c r="D102" t="n">
        <v>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n">
        <v/>
      </c>
      <c r="P102" t="inlineStr">
        <is>
          <t>top</t>
        </is>
      </c>
      <c r="Q102" t="b">
        <v>1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EXPENSE ANALYSIS</t>
        </is>
      </c>
      <c r="B103" t="inlineStr">
        <is>
          <t>B16</t>
        </is>
      </c>
      <c r="C103" t="n">
        <v>16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left</t>
        </is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EXPENSE ANALYSIS</t>
        </is>
      </c>
      <c r="B104" t="inlineStr">
        <is>
          <t>C16</t>
        </is>
      </c>
      <c r="C104" t="n">
        <v>16</v>
      </c>
      <c r="D104" t="n">
        <v>3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EXPENSE ANALYSIS</t>
        </is>
      </c>
      <c r="B105" t="inlineStr">
        <is>
          <t>D16</t>
        </is>
      </c>
      <c r="C105" t="n">
        <v>16</v>
      </c>
      <c r="D105" t="n">
        <v>4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EXPENSE ANALYSIS</t>
        </is>
      </c>
      <c r="B106" t="inlineStr">
        <is>
          <t>E16</t>
        </is>
      </c>
      <c r="C106" t="n">
        <v>16</v>
      </c>
      <c r="D106" t="n">
        <v>5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n">
        <v/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EXPENSE ANALYSIS</t>
        </is>
      </c>
      <c r="B107" t="inlineStr">
        <is>
          <t>F16</t>
        </is>
      </c>
      <c r="C107" t="n">
        <v>16</v>
      </c>
      <c r="D107" t="n">
        <v>6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right</t>
        </is>
      </c>
      <c r="P107" t="n">
        <v/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EXPENSE ANALYSIS</t>
        </is>
      </c>
      <c r="B108" t="inlineStr">
        <is>
          <t>G16</t>
        </is>
      </c>
      <c r="C108" t="n">
        <v>16</v>
      </c>
      <c r="D108" t="n">
        <v>7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n">
        <v/>
      </c>
      <c r="P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EXPENSE ANALYSIS</t>
        </is>
      </c>
      <c r="B109" t="inlineStr">
        <is>
          <t>A17</t>
        </is>
      </c>
      <c r="C109" t="n">
        <v>17</v>
      </c>
      <c r="D109" t="n">
        <v>1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P109" t="inlineStr">
        <is>
          <t>top</t>
        </is>
      </c>
      <c r="Q109" t="b">
        <v>1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EXPENSE ANALYSIS</t>
        </is>
      </c>
      <c r="B110" t="inlineStr">
        <is>
          <t>B17</t>
        </is>
      </c>
      <c r="C110" t="n">
        <v>17</v>
      </c>
      <c r="D110" t="n">
        <v>2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left</t>
        </is>
      </c>
      <c r="P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EXPENSE ANALYSIS</t>
        </is>
      </c>
      <c r="B111" t="inlineStr">
        <is>
          <t>C17</t>
        </is>
      </c>
      <c r="C111" t="n">
        <v>17</v>
      </c>
      <c r="D111" t="n">
        <v>3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EXPENSE ANALYSIS</t>
        </is>
      </c>
      <c r="B112" t="inlineStr">
        <is>
          <t>D17</t>
        </is>
      </c>
      <c r="C112" t="n">
        <v>17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EXPENSE ANALYSIS</t>
        </is>
      </c>
      <c r="B113" t="inlineStr">
        <is>
          <t>E17</t>
        </is>
      </c>
      <c r="C113" t="n">
        <v>17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EXPENSE ANALYSIS</t>
        </is>
      </c>
      <c r="B114" t="inlineStr">
        <is>
          <t>F17</t>
        </is>
      </c>
      <c r="C114" t="n">
        <v>17</v>
      </c>
      <c r="D114" t="n">
        <v>6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right</t>
        </is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EXPENSE ANALYSIS</t>
        </is>
      </c>
      <c r="B115" t="inlineStr">
        <is>
          <t>G17</t>
        </is>
      </c>
      <c r="C115" t="n">
        <v>17</v>
      </c>
      <c r="D115" t="n">
        <v>7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EXPENSE ANALYSIS</t>
        </is>
      </c>
      <c r="B116" t="inlineStr">
        <is>
          <t>A18</t>
        </is>
      </c>
      <c r="C116" t="n">
        <v>18</v>
      </c>
      <c r="D116" t="n">
        <v>1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n">
        <v/>
      </c>
      <c r="P116" t="inlineStr">
        <is>
          <t>top</t>
        </is>
      </c>
      <c r="Q116" t="b">
        <v>1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EXPENSE ANALYSIS</t>
        </is>
      </c>
      <c r="B117" t="inlineStr">
        <is>
          <t>B18</t>
        </is>
      </c>
      <c r="C117" t="n">
        <v>18</v>
      </c>
      <c r="D117" t="n">
        <v>2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left</t>
        </is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EXPENSE ANALYSIS</t>
        </is>
      </c>
      <c r="B118" t="inlineStr">
        <is>
          <t>C18</t>
        </is>
      </c>
      <c r="C118" t="n">
        <v>18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EXPENSE ANALYSIS</t>
        </is>
      </c>
      <c r="B119" t="inlineStr">
        <is>
          <t>D18</t>
        </is>
      </c>
      <c r="C119" t="n">
        <v>18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EXPENSE ANALYSIS</t>
        </is>
      </c>
      <c r="B120" t="inlineStr">
        <is>
          <t>E18</t>
        </is>
      </c>
      <c r="C120" t="n">
        <v>18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EXPENSE ANALYSIS</t>
        </is>
      </c>
      <c r="B121" t="inlineStr">
        <is>
          <t>F18</t>
        </is>
      </c>
      <c r="C121" t="n">
        <v>18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right</t>
        </is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EXPENSE ANALYSIS</t>
        </is>
      </c>
      <c r="B122" t="inlineStr">
        <is>
          <t>G18</t>
        </is>
      </c>
      <c r="C122" t="n">
        <v>18</v>
      </c>
      <c r="D122" t="n">
        <v>7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EXPENSE ANALYSIS</t>
        </is>
      </c>
      <c r="B123" t="inlineStr">
        <is>
          <t>A19</t>
        </is>
      </c>
      <c r="C123" t="n">
        <v>19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14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n">
        <v/>
      </c>
      <c r="P123" t="inlineStr">
        <is>
          <t>top</t>
        </is>
      </c>
      <c r="Q123" t="b">
        <v>1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EXPENSE ANALYSIS</t>
        </is>
      </c>
      <c r="B124" t="inlineStr">
        <is>
          <t>B19</t>
        </is>
      </c>
      <c r="C124" t="n">
        <v>19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EXPENSE ANALYSIS</t>
        </is>
      </c>
      <c r="B125" t="inlineStr">
        <is>
          <t>C19</t>
        </is>
      </c>
      <c r="C125" t="n">
        <v>19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EXPENSE ANALYSIS</t>
        </is>
      </c>
      <c r="B126" t="inlineStr">
        <is>
          <t>D19</t>
        </is>
      </c>
      <c r="C126" t="n">
        <v>19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EXPENSE ANALYSIS</t>
        </is>
      </c>
      <c r="B127" t="inlineStr">
        <is>
          <t>E19</t>
        </is>
      </c>
      <c r="C127" t="n">
        <v>19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EXPENSE ANALYSIS</t>
        </is>
      </c>
      <c r="B128" t="inlineStr">
        <is>
          <t>F19</t>
        </is>
      </c>
      <c r="C128" t="n">
        <v>19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right</t>
        </is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EXPENSE ANALYSIS</t>
        </is>
      </c>
      <c r="B129" t="inlineStr">
        <is>
          <t>G19</t>
        </is>
      </c>
      <c r="C129" t="n">
        <v>19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EXPENSE ANALYSIS</t>
        </is>
      </c>
      <c r="B130" t="inlineStr">
        <is>
          <t>A20</t>
        </is>
      </c>
      <c r="C130" t="n">
        <v>20</v>
      </c>
      <c r="D130" t="n">
        <v>1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P130" t="inlineStr">
        <is>
          <t>top</t>
        </is>
      </c>
      <c r="Q130" t="b">
        <v>1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EXPENSE ANALYSIS</t>
        </is>
      </c>
      <c r="B131" t="inlineStr">
        <is>
          <t>B20</t>
        </is>
      </c>
      <c r="C131" t="n">
        <v>20</v>
      </c>
      <c r="D131" t="n">
        <v>2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EXPENSE ANALYSIS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n">
        <v/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EXPENSE ANALYSIS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n">
        <v/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EXPENSE ANALYSIS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center</t>
        </is>
      </c>
      <c r="P134" t="n">
        <v/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EXPENSE ANALYSIS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right</t>
        </is>
      </c>
      <c r="P135" t="n">
        <v/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EXPENSE ANALYSIS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EXPENSE ANALYSIS</t>
        </is>
      </c>
      <c r="B137" t="inlineStr">
        <is>
          <t>A21</t>
        </is>
      </c>
      <c r="C137" t="n">
        <v>21</v>
      </c>
      <c r="D137" t="n">
        <v>1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n">
        <v/>
      </c>
      <c r="P137" t="inlineStr">
        <is>
          <t>top</t>
        </is>
      </c>
      <c r="Q137" t="b">
        <v>1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EXPENSE ANALYSIS</t>
        </is>
      </c>
      <c r="B138" t="inlineStr">
        <is>
          <t>B21</t>
        </is>
      </c>
      <c r="C138" t="n">
        <v>21</v>
      </c>
      <c r="D138" t="n">
        <v>2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n">
        <v/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EXPENSE ANALYSIS</t>
        </is>
      </c>
      <c r="B139" t="inlineStr">
        <is>
          <t>C21</t>
        </is>
      </c>
      <c r="C139" t="n">
        <v>21</v>
      </c>
      <c r="D139" t="n">
        <v>3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n">
        <v/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EXPENSE ANALYSIS</t>
        </is>
      </c>
      <c r="B140" t="inlineStr">
        <is>
          <t>D21</t>
        </is>
      </c>
      <c r="C140" t="n">
        <v>21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n">
        <v/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EXPENSE ANALYSIS</t>
        </is>
      </c>
      <c r="B141" t="inlineStr">
        <is>
          <t>E21</t>
        </is>
      </c>
      <c r="C141" t="n">
        <v>21</v>
      </c>
      <c r="D141" t="n">
        <v>5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n">
        <v/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EXPENSE ANALYSIS</t>
        </is>
      </c>
      <c r="B142" t="inlineStr">
        <is>
          <t>F21</t>
        </is>
      </c>
      <c r="C142" t="n">
        <v>21</v>
      </c>
      <c r="D142" t="n">
        <v>6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right</t>
        </is>
      </c>
      <c r="P142" t="n">
        <v/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EXPENSE ANALYSIS</t>
        </is>
      </c>
      <c r="B143" t="inlineStr">
        <is>
          <t>G21</t>
        </is>
      </c>
      <c r="C143" t="n">
        <v>21</v>
      </c>
      <c r="D143" t="n">
        <v>7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n">
        <v/>
      </c>
      <c r="P143" t="n">
        <v/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EXPENSE ANALYSIS</t>
        </is>
      </c>
      <c r="B144" t="inlineStr">
        <is>
          <t>A22</t>
        </is>
      </c>
      <c r="C144" t="n">
        <v>22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inlineStr">
        <is>
          <t>top</t>
        </is>
      </c>
      <c r="Q144" t="b">
        <v>1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EXPENSE ANALYSIS</t>
        </is>
      </c>
      <c r="B145" t="inlineStr">
        <is>
          <t>B22</t>
        </is>
      </c>
      <c r="C145" t="n">
        <v>22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left</t>
        </is>
      </c>
      <c r="P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EXPENSE ANALYSIS</t>
        </is>
      </c>
      <c r="B146" t="inlineStr">
        <is>
          <t>C22</t>
        </is>
      </c>
      <c r="C146" t="n">
        <v>22</v>
      </c>
      <c r="D146" t="n">
        <v>3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center</t>
        </is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EXPENSE ANALYSIS</t>
        </is>
      </c>
      <c r="B147" t="inlineStr">
        <is>
          <t>D22</t>
        </is>
      </c>
      <c r="C147" t="n">
        <v>22</v>
      </c>
      <c r="D147" t="n">
        <v>4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EXPENSE ANALYSIS</t>
        </is>
      </c>
      <c r="B148" t="inlineStr">
        <is>
          <t>E22</t>
        </is>
      </c>
      <c r="C148" t="n">
        <v>22</v>
      </c>
      <c r="D148" t="n">
        <v>5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n">
        <v/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EXPENSE ANALYSIS</t>
        </is>
      </c>
      <c r="B149" t="inlineStr">
        <is>
          <t>F22</t>
        </is>
      </c>
      <c r="C149" t="n">
        <v>22</v>
      </c>
      <c r="D149" t="n">
        <v>6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right</t>
        </is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EXPENSE ANALYSIS</t>
        </is>
      </c>
      <c r="B150" t="inlineStr">
        <is>
          <t>G22</t>
        </is>
      </c>
      <c r="C150" t="n">
        <v>22</v>
      </c>
      <c r="D150" t="n">
        <v>7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EXPENSE ANALYSIS</t>
        </is>
      </c>
      <c r="B151" t="inlineStr">
        <is>
          <t>A23</t>
        </is>
      </c>
      <c r="C151" t="n">
        <v>23</v>
      </c>
      <c r="D151" t="n">
        <v>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n">
        <v/>
      </c>
      <c r="P151" t="inlineStr">
        <is>
          <t>top</t>
        </is>
      </c>
      <c r="Q151" t="b">
        <v>1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EXPENSE ANALYSIS</t>
        </is>
      </c>
      <c r="B152" t="inlineStr">
        <is>
          <t>B23</t>
        </is>
      </c>
      <c r="C152" t="n">
        <v>23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left</t>
        </is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EXPENSE ANALYSIS</t>
        </is>
      </c>
      <c r="B153" t="inlineStr">
        <is>
          <t>C23</t>
        </is>
      </c>
      <c r="C153" t="n">
        <v>23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center</t>
        </is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EXPENSE ANALYSIS</t>
        </is>
      </c>
      <c r="B154" t="inlineStr">
        <is>
          <t>D23</t>
        </is>
      </c>
      <c r="C154" t="n">
        <v>23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EXPENSE ANALYSIS</t>
        </is>
      </c>
      <c r="B155" t="inlineStr">
        <is>
          <t>E23</t>
        </is>
      </c>
      <c r="C155" t="n">
        <v>23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EXPENSE ANALYSIS</t>
        </is>
      </c>
      <c r="B156" t="inlineStr">
        <is>
          <t>F23</t>
        </is>
      </c>
      <c r="C156" t="n">
        <v>23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right</t>
        </is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EXPENSE ANALYSIS</t>
        </is>
      </c>
      <c r="B157" t="inlineStr">
        <is>
          <t>G23</t>
        </is>
      </c>
      <c r="C157" t="n">
        <v>23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EXPENSE ANALYSIS</t>
        </is>
      </c>
      <c r="B158" t="inlineStr">
        <is>
          <t>A24</t>
        </is>
      </c>
      <c r="C158" t="n">
        <v>24</v>
      </c>
      <c r="D158" t="n">
        <v>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inlineStr">
        <is>
          <t>top</t>
        </is>
      </c>
      <c r="Q158" t="b">
        <v>1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EXPENSE ANALYSIS</t>
        </is>
      </c>
      <c r="B159" t="inlineStr">
        <is>
          <t>B24</t>
        </is>
      </c>
      <c r="C159" t="n">
        <v>24</v>
      </c>
      <c r="D159" t="n">
        <v>2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left</t>
        </is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EXPENSE ANALYSIS</t>
        </is>
      </c>
      <c r="B160" t="inlineStr">
        <is>
          <t>C24</t>
        </is>
      </c>
      <c r="C160" t="n">
        <v>24</v>
      </c>
      <c r="D160" t="n">
        <v>3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n">
        <v/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EXPENSE ANALYSIS</t>
        </is>
      </c>
      <c r="B161" t="inlineStr">
        <is>
          <t>D24</t>
        </is>
      </c>
      <c r="C161" t="n">
        <v>24</v>
      </c>
      <c r="D161" t="n">
        <v>4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10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EXPENSE ANALYSIS</t>
        </is>
      </c>
      <c r="B162" t="inlineStr">
        <is>
          <t>E24</t>
        </is>
      </c>
      <c r="C162" t="n">
        <v>24</v>
      </c>
      <c r="D162" t="n">
        <v>5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EXPENSE ANALYSIS</t>
        </is>
      </c>
      <c r="B163" t="inlineStr">
        <is>
          <t>F24</t>
        </is>
      </c>
      <c r="C163" t="n">
        <v>24</v>
      </c>
      <c r="D163" t="n">
        <v>6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right</t>
        </is>
      </c>
      <c r="P163" t="n">
        <v/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EXPENSE ANALYSIS</t>
        </is>
      </c>
      <c r="B164" t="inlineStr">
        <is>
          <t>G24</t>
        </is>
      </c>
      <c r="C164" t="n">
        <v>24</v>
      </c>
      <c r="D164" t="n">
        <v>7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n">
        <v/>
      </c>
      <c r="P164" t="n">
        <v/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EXPENSE ANALYSIS</t>
        </is>
      </c>
      <c r="B165" t="inlineStr">
        <is>
          <t>A25</t>
        </is>
      </c>
      <c r="C165" t="n">
        <v>25</v>
      </c>
      <c r="D165" t="n">
        <v>1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n">
        <v/>
      </c>
      <c r="P165" t="inlineStr">
        <is>
          <t>top</t>
        </is>
      </c>
      <c r="Q165" t="b">
        <v>1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EXPENSE ANALYSIS</t>
        </is>
      </c>
      <c r="B166" t="inlineStr">
        <is>
          <t>B25</t>
        </is>
      </c>
      <c r="C166" t="n">
        <v>25</v>
      </c>
      <c r="D166" t="n">
        <v>2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left</t>
        </is>
      </c>
      <c r="P166" t="n">
        <v/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EXPENSE ANALYSIS</t>
        </is>
      </c>
      <c r="B167" t="inlineStr">
        <is>
          <t>C25</t>
        </is>
      </c>
      <c r="C167" t="n">
        <v>25</v>
      </c>
      <c r="D167" t="n">
        <v>3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n">
        <v/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EXPENSE ANALYSIS</t>
        </is>
      </c>
      <c r="B168" t="inlineStr">
        <is>
          <t>D25</t>
        </is>
      </c>
      <c r="C168" t="n">
        <v>25</v>
      </c>
      <c r="D168" t="n">
        <v>4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inlineStr">
        <is>
          <t>center</t>
        </is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EXPENSE ANALYSIS</t>
        </is>
      </c>
      <c r="B169" t="inlineStr">
        <is>
          <t>E25</t>
        </is>
      </c>
      <c r="C169" t="n">
        <v>25</v>
      </c>
      <c r="D169" t="n">
        <v>5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EXPENSE ANALYSIS</t>
        </is>
      </c>
      <c r="B170" t="inlineStr">
        <is>
          <t>F25</t>
        </is>
      </c>
      <c r="C170" t="n">
        <v>25</v>
      </c>
      <c r="D170" t="n">
        <v>6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right</t>
        </is>
      </c>
      <c r="P170" t="n">
        <v/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EXPENSE ANALYSIS</t>
        </is>
      </c>
      <c r="B171" t="inlineStr">
        <is>
          <t>G25</t>
        </is>
      </c>
      <c r="C171" t="n">
        <v>25</v>
      </c>
      <c r="D171" t="n">
        <v>7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n">
        <v/>
      </c>
      <c r="P171" t="n">
        <v/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EXPENSE ANALYSIS</t>
        </is>
      </c>
      <c r="B172" t="inlineStr">
        <is>
          <t>A26</t>
        </is>
      </c>
      <c r="C172" t="n">
        <v>26</v>
      </c>
      <c r="D172" t="n">
        <v>1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n">
        <v/>
      </c>
      <c r="P172" t="inlineStr">
        <is>
          <t>top</t>
        </is>
      </c>
      <c r="Q172" t="b">
        <v>1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EXPENSE ANALYSIS</t>
        </is>
      </c>
      <c r="B173" t="inlineStr">
        <is>
          <t>B26</t>
        </is>
      </c>
      <c r="C173" t="n">
        <v>26</v>
      </c>
      <c r="D173" t="n">
        <v>2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left</t>
        </is>
      </c>
      <c r="P173" t="n">
        <v/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EXPENSE ANALYSIS</t>
        </is>
      </c>
      <c r="B174" t="inlineStr">
        <is>
          <t>C26</t>
        </is>
      </c>
      <c r="C174" t="n">
        <v>26</v>
      </c>
      <c r="D174" t="n">
        <v>3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10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EXPENSE ANALYSIS</t>
        </is>
      </c>
      <c r="B175" t="inlineStr">
        <is>
          <t>D26</t>
        </is>
      </c>
      <c r="C175" t="n">
        <v>26</v>
      </c>
      <c r="D175" t="n">
        <v>4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n">
        <v/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EXPENSE ANALYSIS</t>
        </is>
      </c>
      <c r="B176" t="inlineStr">
        <is>
          <t>E26</t>
        </is>
      </c>
      <c r="C176" t="n">
        <v>26</v>
      </c>
      <c r="D176" t="n">
        <v>5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n">
        <v/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EXPENSE ANALYSIS</t>
        </is>
      </c>
      <c r="B177" t="inlineStr">
        <is>
          <t>F26</t>
        </is>
      </c>
      <c r="C177" t="n">
        <v>26</v>
      </c>
      <c r="D177" t="n">
        <v>6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right</t>
        </is>
      </c>
      <c r="P177" t="n">
        <v/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EXPENSE ANALYSIS</t>
        </is>
      </c>
      <c r="B178" t="inlineStr">
        <is>
          <t>G26</t>
        </is>
      </c>
      <c r="C178" t="n">
        <v>26</v>
      </c>
      <c r="D178" t="n">
        <v>7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14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n">
        <v/>
      </c>
      <c r="P178" t="n">
        <v/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EXPENSE ANALYSIS</t>
        </is>
      </c>
      <c r="B179" t="inlineStr">
        <is>
          <t>A27</t>
        </is>
      </c>
      <c r="C179" t="n">
        <v>27</v>
      </c>
      <c r="D179" t="n">
        <v>1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n">
        <v/>
      </c>
      <c r="P179" t="inlineStr">
        <is>
          <t>top</t>
        </is>
      </c>
      <c r="Q179" t="b">
        <v>1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EXPENSE ANALYSIS</t>
        </is>
      </c>
      <c r="B180" t="inlineStr">
        <is>
          <t>B27</t>
        </is>
      </c>
      <c r="C180" t="n">
        <v>27</v>
      </c>
      <c r="D180" t="n">
        <v>2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left</t>
        </is>
      </c>
      <c r="P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EXPENSE ANALYSIS</t>
        </is>
      </c>
      <c r="B181" t="inlineStr">
        <is>
          <t>C27</t>
        </is>
      </c>
      <c r="C181" t="n">
        <v>27</v>
      </c>
      <c r="D181" t="n">
        <v>3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n">
        <v/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EXPENSE ANALYSIS</t>
        </is>
      </c>
      <c r="B182" t="inlineStr">
        <is>
          <t>D27</t>
        </is>
      </c>
      <c r="C182" t="n">
        <v>27</v>
      </c>
      <c r="D182" t="n">
        <v>4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n">
        <v/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EXPENSE ANALYSIS</t>
        </is>
      </c>
      <c r="B183" t="inlineStr">
        <is>
          <t>E27</t>
        </is>
      </c>
      <c r="C183" t="n">
        <v>27</v>
      </c>
      <c r="D183" t="n">
        <v>5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n">
        <v/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EXPENSE ANALYSIS</t>
        </is>
      </c>
      <c r="B184" t="inlineStr">
        <is>
          <t>F27</t>
        </is>
      </c>
      <c r="C184" t="n">
        <v>27</v>
      </c>
      <c r="D184" t="n">
        <v>6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right</t>
        </is>
      </c>
      <c r="P184" t="n">
        <v/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EXPENSE ANALYSIS</t>
        </is>
      </c>
      <c r="B185" t="inlineStr">
        <is>
          <t>G27</t>
        </is>
      </c>
      <c r="C185" t="n">
        <v>27</v>
      </c>
      <c r="D185" t="n">
        <v>7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n">
        <v/>
      </c>
      <c r="P185" t="n">
        <v/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EXPENSE ANALYSIS</t>
        </is>
      </c>
      <c r="B186" t="inlineStr">
        <is>
          <t>A28</t>
        </is>
      </c>
      <c r="C186" t="n">
        <v>28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n">
        <v/>
      </c>
      <c r="P186" t="inlineStr">
        <is>
          <t>top</t>
        </is>
      </c>
      <c r="Q186" t="b">
        <v>1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EXPENSE ANALYSIS</t>
        </is>
      </c>
      <c r="B187" t="inlineStr">
        <is>
          <t>B28</t>
        </is>
      </c>
      <c r="C187" t="n">
        <v>28</v>
      </c>
      <c r="D187" t="n">
        <v>2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n">
        <v/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EXPENSE ANALYSIS</t>
        </is>
      </c>
      <c r="B188" t="inlineStr">
        <is>
          <t>C28</t>
        </is>
      </c>
      <c r="C188" t="n">
        <v>28</v>
      </c>
      <c r="D188" t="n">
        <v>3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n">
        <v/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EXPENSE ANALYSIS</t>
        </is>
      </c>
      <c r="B189" t="inlineStr">
        <is>
          <t>D28</t>
        </is>
      </c>
      <c r="C189" t="n">
        <v>28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n">
        <v/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EXPENSE ANALYSIS</t>
        </is>
      </c>
      <c r="B190" t="inlineStr">
        <is>
          <t>E28</t>
        </is>
      </c>
      <c r="C190" t="n">
        <v>28</v>
      </c>
      <c r="D190" t="n">
        <v>5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EXPENSE ANALYSIS</t>
        </is>
      </c>
      <c r="B191" t="inlineStr">
        <is>
          <t>F28</t>
        </is>
      </c>
      <c r="C191" t="n">
        <v>28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right</t>
        </is>
      </c>
      <c r="P191" t="n">
        <v/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EXPENSE ANALYSIS</t>
        </is>
      </c>
      <c r="B192" t="inlineStr">
        <is>
          <t>G28</t>
        </is>
      </c>
      <c r="C192" t="n">
        <v>28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n">
        <v/>
      </c>
      <c r="P192" t="n">
        <v/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EXPENSE ANALYSIS</t>
        </is>
      </c>
      <c r="B193" t="inlineStr">
        <is>
          <t>A29</t>
        </is>
      </c>
      <c r="C193" t="n">
        <v>29</v>
      </c>
      <c r="D193" t="n">
        <v>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n">
        <v/>
      </c>
      <c r="P193" t="inlineStr">
        <is>
          <t>top</t>
        </is>
      </c>
      <c r="Q193" t="b">
        <v>1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EXPENSE ANALYSIS</t>
        </is>
      </c>
      <c r="B194" t="inlineStr">
        <is>
          <t>B29</t>
        </is>
      </c>
      <c r="C194" t="n">
        <v>29</v>
      </c>
      <c r="D194" t="n">
        <v>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EXPENSE ANALYSIS</t>
        </is>
      </c>
      <c r="B195" t="inlineStr">
        <is>
          <t>C29</t>
        </is>
      </c>
      <c r="C195" t="n">
        <v>29</v>
      </c>
      <c r="D195" t="n">
        <v>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n">
        <v/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EXPENSE ANALYSIS</t>
        </is>
      </c>
      <c r="B196" t="inlineStr">
        <is>
          <t>D29</t>
        </is>
      </c>
      <c r="C196" t="n">
        <v>29</v>
      </c>
      <c r="D196" t="n">
        <v>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n">
        <v/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EXPENSE ANALYSIS</t>
        </is>
      </c>
      <c r="B197" t="inlineStr">
        <is>
          <t>E29</t>
        </is>
      </c>
      <c r="C197" t="n">
        <v>29</v>
      </c>
      <c r="D197" t="n">
        <v>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n">
        <v/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EXPENSE ANALYSIS</t>
        </is>
      </c>
      <c r="B198" t="inlineStr">
        <is>
          <t>F29</t>
        </is>
      </c>
      <c r="C198" t="n">
        <v>29</v>
      </c>
      <c r="D198" t="n">
        <v>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right</t>
        </is>
      </c>
      <c r="P198" t="n">
        <v/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EXPENSE ANALYSIS</t>
        </is>
      </c>
      <c r="B199" t="inlineStr">
        <is>
          <t>G29</t>
        </is>
      </c>
      <c r="C199" t="n">
        <v>29</v>
      </c>
      <c r="D199" t="n">
        <v>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14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n">
        <v/>
      </c>
      <c r="P199" t="n">
        <v/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EXPENSE ANALYSIS</t>
        </is>
      </c>
      <c r="B200" t="inlineStr">
        <is>
          <t>A30</t>
        </is>
      </c>
      <c r="C200" t="n">
        <v>30</v>
      </c>
      <c r="D200" t="n">
        <v>1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n">
        <v/>
      </c>
      <c r="P200" t="inlineStr">
        <is>
          <t>top</t>
        </is>
      </c>
      <c r="Q200" t="b">
        <v>1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EXPENSE ANALYSIS</t>
        </is>
      </c>
      <c r="B201" t="inlineStr">
        <is>
          <t>B30</t>
        </is>
      </c>
      <c r="C201" t="n">
        <v>30</v>
      </c>
      <c r="D201" t="n">
        <v>2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n">
        <v/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EXPENSE ANALYSIS</t>
        </is>
      </c>
      <c r="B202" t="inlineStr">
        <is>
          <t>C30</t>
        </is>
      </c>
      <c r="C202" t="n">
        <v>30</v>
      </c>
      <c r="D202" t="n">
        <v>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n">
        <v/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EXPENSE ANALYSIS</t>
        </is>
      </c>
      <c r="B203" t="inlineStr">
        <is>
          <t>D30</t>
        </is>
      </c>
      <c r="C203" t="n">
        <v>30</v>
      </c>
      <c r="D203" t="n">
        <v>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n">
        <v/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EXPENSE ANALYSIS</t>
        </is>
      </c>
      <c r="B204" t="inlineStr">
        <is>
          <t>E30</t>
        </is>
      </c>
      <c r="C204" t="n">
        <v>30</v>
      </c>
      <c r="D204" t="n">
        <v>5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n">
        <v/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EXPENSE ANALYSIS</t>
        </is>
      </c>
      <c r="B205" t="inlineStr">
        <is>
          <t>F30</t>
        </is>
      </c>
      <c r="C205" t="n">
        <v>30</v>
      </c>
      <c r="D205" t="n">
        <v>6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10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right</t>
        </is>
      </c>
      <c r="P205" t="n">
        <v/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EXPENSE ANALYSIS</t>
        </is>
      </c>
      <c r="B206" t="inlineStr">
        <is>
          <t>G30</t>
        </is>
      </c>
      <c r="C206" t="n">
        <v>30</v>
      </c>
      <c r="D206" t="n">
        <v>7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n">
        <v/>
      </c>
      <c r="P206" t="n">
        <v/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EXPENSE ANALYSIS</t>
        </is>
      </c>
      <c r="B207" t="inlineStr">
        <is>
          <t>A31</t>
        </is>
      </c>
      <c r="C207" t="n">
        <v>31</v>
      </c>
      <c r="D207" t="n">
        <v>1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n">
        <v/>
      </c>
      <c r="P207" t="inlineStr">
        <is>
          <t>top</t>
        </is>
      </c>
      <c r="Q207" t="b">
        <v>1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EXPENSE ANALYSIS</t>
        </is>
      </c>
      <c r="B208" t="inlineStr">
        <is>
          <t>B31</t>
        </is>
      </c>
      <c r="C208" t="n">
        <v>31</v>
      </c>
      <c r="D208" t="n">
        <v>2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left</t>
        </is>
      </c>
      <c r="P208" t="n">
        <v/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EXPENSE ANALYSIS</t>
        </is>
      </c>
      <c r="B209" t="inlineStr">
        <is>
          <t>C31</t>
        </is>
      </c>
      <c r="C209" t="n">
        <v>31</v>
      </c>
      <c r="D209" t="n">
        <v>3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n">
        <v/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EXPENSE ANALYSIS</t>
        </is>
      </c>
      <c r="B210" t="inlineStr">
        <is>
          <t>D31</t>
        </is>
      </c>
      <c r="C210" t="n">
        <v>31</v>
      </c>
      <c r="D210" t="n">
        <v>4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EXPENSE ANALYSIS</t>
        </is>
      </c>
      <c r="B211" t="inlineStr">
        <is>
          <t>E31</t>
        </is>
      </c>
      <c r="C211" t="n">
        <v>31</v>
      </c>
      <c r="D211" t="n">
        <v>5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EXPENSE ANALYSIS</t>
        </is>
      </c>
      <c r="B212" t="inlineStr">
        <is>
          <t>F31</t>
        </is>
      </c>
      <c r="C212" t="n">
        <v>31</v>
      </c>
      <c r="D212" t="n">
        <v>6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right</t>
        </is>
      </c>
      <c r="P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EXPENSE ANALYSIS</t>
        </is>
      </c>
      <c r="B213" t="inlineStr">
        <is>
          <t>G31</t>
        </is>
      </c>
      <c r="C213" t="n">
        <v>31</v>
      </c>
      <c r="D213" t="n">
        <v>7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n">
        <v/>
      </c>
      <c r="P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EXPENSE ANALYSIS</t>
        </is>
      </c>
      <c r="B214" t="inlineStr">
        <is>
          <t>A32</t>
        </is>
      </c>
      <c r="C214" t="n">
        <v>32</v>
      </c>
      <c r="D214" t="n">
        <v>1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n">
        <v/>
      </c>
      <c r="P214" t="inlineStr">
        <is>
          <t>top</t>
        </is>
      </c>
      <c r="Q214" t="b">
        <v>1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EXPENSE ANALYSIS</t>
        </is>
      </c>
      <c r="B215" t="inlineStr">
        <is>
          <t>B32</t>
        </is>
      </c>
      <c r="C215" t="n">
        <v>32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left</t>
        </is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EXPENSE ANALYSIS</t>
        </is>
      </c>
      <c r="B216" t="inlineStr">
        <is>
          <t>C32</t>
        </is>
      </c>
      <c r="C216" t="n">
        <v>32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EXPENSE ANALYSIS</t>
        </is>
      </c>
      <c r="B217" t="inlineStr">
        <is>
          <t>D32</t>
        </is>
      </c>
      <c r="C217" t="n">
        <v>32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10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EXPENSE ANALYSIS</t>
        </is>
      </c>
      <c r="B218" t="inlineStr">
        <is>
          <t>E32</t>
        </is>
      </c>
      <c r="C218" t="n">
        <v>32</v>
      </c>
      <c r="D218" t="n">
        <v>5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EXPENSE ANALYSIS</t>
        </is>
      </c>
      <c r="B219" t="inlineStr">
        <is>
          <t>F32</t>
        </is>
      </c>
      <c r="C219" t="n">
        <v>32</v>
      </c>
      <c r="D219" t="n">
        <v>6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right</t>
        </is>
      </c>
      <c r="P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EXPENSE ANALYSIS</t>
        </is>
      </c>
      <c r="B220" t="inlineStr">
        <is>
          <t>G32</t>
        </is>
      </c>
      <c r="C220" t="n">
        <v>32</v>
      </c>
      <c r="D220" t="n">
        <v>7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EXPENSE ANALYSIS</t>
        </is>
      </c>
      <c r="B221" t="inlineStr">
        <is>
          <t>A33</t>
        </is>
      </c>
      <c r="C221" t="n">
        <v>33</v>
      </c>
      <c r="D221" t="n">
        <v>1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n">
        <v/>
      </c>
      <c r="P221" t="inlineStr">
        <is>
          <t>top</t>
        </is>
      </c>
      <c r="Q221" t="b">
        <v>1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EXPENSE ANALYSIS</t>
        </is>
      </c>
      <c r="B222" t="inlineStr">
        <is>
          <t>B33</t>
        </is>
      </c>
      <c r="C222" t="n">
        <v>33</v>
      </c>
      <c r="D222" t="n">
        <v>2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EXPENSE ANALYSIS</t>
        </is>
      </c>
      <c r="B223" t="inlineStr">
        <is>
          <t>C33</t>
        </is>
      </c>
      <c r="C223" t="n">
        <v>33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center</t>
        </is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EXPENSE ANALYSIS</t>
        </is>
      </c>
      <c r="B224" t="inlineStr">
        <is>
          <t>D33</t>
        </is>
      </c>
      <c r="C224" t="n">
        <v>33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EXPENSE ANALYSIS</t>
        </is>
      </c>
      <c r="B225" t="inlineStr">
        <is>
          <t>E33</t>
        </is>
      </c>
      <c r="C225" t="n">
        <v>33</v>
      </c>
      <c r="D225" t="n">
        <v>5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n">
        <v/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EXPENSE ANALYSIS</t>
        </is>
      </c>
      <c r="B226" t="inlineStr">
        <is>
          <t>F33</t>
        </is>
      </c>
      <c r="C226" t="n">
        <v>33</v>
      </c>
      <c r="D226" t="n">
        <v>6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right</t>
        </is>
      </c>
      <c r="P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EXPENSE ANALYSIS</t>
        </is>
      </c>
      <c r="B227" t="inlineStr">
        <is>
          <t>G33</t>
        </is>
      </c>
      <c r="C227" t="n">
        <v>33</v>
      </c>
      <c r="D227" t="n">
        <v>7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n">
        <v/>
      </c>
      <c r="P227" t="n">
        <v/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EXPENSE ANALYSIS</t>
        </is>
      </c>
      <c r="B228" t="inlineStr">
        <is>
          <t>A34</t>
        </is>
      </c>
      <c r="C228" t="n">
        <v>34</v>
      </c>
      <c r="D228" t="n">
        <v>1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n">
        <v/>
      </c>
      <c r="P228" t="inlineStr">
        <is>
          <t>top</t>
        </is>
      </c>
      <c r="Q228" t="b">
        <v>1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EXPENSE ANALYSIS</t>
        </is>
      </c>
      <c r="B229" t="inlineStr">
        <is>
          <t>B34</t>
        </is>
      </c>
      <c r="C229" t="n">
        <v>34</v>
      </c>
      <c r="D229" t="n">
        <v>2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n">
        <v/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EXPENSE ANALYSIS</t>
        </is>
      </c>
      <c r="B230" t="inlineStr">
        <is>
          <t>C34</t>
        </is>
      </c>
      <c r="C230" t="n">
        <v>34</v>
      </c>
      <c r="D230" t="n">
        <v>3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n">
        <v/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EXPENSE ANALYSIS</t>
        </is>
      </c>
      <c r="B231" t="inlineStr">
        <is>
          <t>D34</t>
        </is>
      </c>
      <c r="C231" t="n">
        <v>34</v>
      </c>
      <c r="D231" t="n">
        <v>4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n">
        <v/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EXPENSE ANALYSIS</t>
        </is>
      </c>
      <c r="B232" t="inlineStr">
        <is>
          <t>E34</t>
        </is>
      </c>
      <c r="C232" t="n">
        <v>34</v>
      </c>
      <c r="D232" t="n">
        <v>5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n">
        <v/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EXPENSE ANALYSIS</t>
        </is>
      </c>
      <c r="B233" t="inlineStr">
        <is>
          <t>F34</t>
        </is>
      </c>
      <c r="C233" t="n">
        <v>34</v>
      </c>
      <c r="D233" t="n">
        <v>6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right</t>
        </is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EXPENSE ANALYSIS</t>
        </is>
      </c>
      <c r="B234" t="inlineStr">
        <is>
          <t>G34</t>
        </is>
      </c>
      <c r="C234" t="n">
        <v>34</v>
      </c>
      <c r="D234" t="n">
        <v>7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EXPENSE ANALYSIS</t>
        </is>
      </c>
      <c r="B235" t="inlineStr">
        <is>
          <t>A35</t>
        </is>
      </c>
      <c r="C235" t="n">
        <v>35</v>
      </c>
      <c r="D235" t="n">
        <v>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inlineStr">
        <is>
          <t>top</t>
        </is>
      </c>
      <c r="Q235" t="b">
        <v>1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EXPENSE ANALYSIS</t>
        </is>
      </c>
      <c r="B236" t="inlineStr">
        <is>
          <t>B35</t>
        </is>
      </c>
      <c r="C236" t="n">
        <v>35</v>
      </c>
      <c r="D236" t="n">
        <v>2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n">
        <v/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EXPENSE ANALYSIS</t>
        </is>
      </c>
      <c r="B237" t="inlineStr">
        <is>
          <t>C35</t>
        </is>
      </c>
      <c r="C237" t="n">
        <v>35</v>
      </c>
      <c r="D237" t="n">
        <v>3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n">
        <v/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EXPENSE ANALYSIS</t>
        </is>
      </c>
      <c r="B238" t="inlineStr">
        <is>
          <t>D35</t>
        </is>
      </c>
      <c r="C238" t="n">
        <v>35</v>
      </c>
      <c r="D238" t="n">
        <v>4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EXPENSE ANALYSIS</t>
        </is>
      </c>
      <c r="B239" t="inlineStr">
        <is>
          <t>E35</t>
        </is>
      </c>
      <c r="C239" t="n">
        <v>35</v>
      </c>
      <c r="D239" t="n">
        <v>5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EXPENSE ANALYSIS</t>
        </is>
      </c>
      <c r="B240" t="inlineStr">
        <is>
          <t>F35</t>
        </is>
      </c>
      <c r="C240" t="n">
        <v>35</v>
      </c>
      <c r="D240" t="n">
        <v>6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right</t>
        </is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EXPENSE ANALYSIS</t>
        </is>
      </c>
      <c r="B241" t="inlineStr">
        <is>
          <t>G35</t>
        </is>
      </c>
      <c r="C241" t="n">
        <v>35</v>
      </c>
      <c r="D241" t="n">
        <v>7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n">
        <v/>
      </c>
      <c r="P241" t="n">
        <v/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EXPENSE ANALYSIS</t>
        </is>
      </c>
      <c r="B242" t="inlineStr">
        <is>
          <t>A36</t>
        </is>
      </c>
      <c r="C242" t="n">
        <v>36</v>
      </c>
      <c r="D242" t="n">
        <v>1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n">
        <v/>
      </c>
      <c r="P242" t="inlineStr">
        <is>
          <t>top</t>
        </is>
      </c>
      <c r="Q242" t="b">
        <v>1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EXPENSE ANALYSIS</t>
        </is>
      </c>
      <c r="B243" t="inlineStr">
        <is>
          <t>B36</t>
        </is>
      </c>
      <c r="C243" t="n">
        <v>36</v>
      </c>
      <c r="D243" t="n">
        <v>2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n">
        <v/>
      </c>
      <c r="P243" t="n">
        <v/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EXPENSE ANALYSIS</t>
        </is>
      </c>
      <c r="B244" t="inlineStr">
        <is>
          <t>C36</t>
        </is>
      </c>
      <c r="C244" t="n">
        <v>36</v>
      </c>
      <c r="D244" t="n">
        <v>3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n">
        <v/>
      </c>
      <c r="P244" t="n">
        <v/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EXPENSE ANALYSIS</t>
        </is>
      </c>
      <c r="B245" t="inlineStr">
        <is>
          <t>D36</t>
        </is>
      </c>
      <c r="C245" t="n">
        <v>36</v>
      </c>
      <c r="D245" t="n">
        <v>4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EXPENSE ANALYSIS</t>
        </is>
      </c>
      <c r="B246" t="inlineStr">
        <is>
          <t>E36</t>
        </is>
      </c>
      <c r="C246" t="n">
        <v>36</v>
      </c>
      <c r="D246" t="n">
        <v>5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n">
        <v/>
      </c>
      <c r="P246" t="n">
        <v/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EXPENSE ANALYSIS</t>
        </is>
      </c>
      <c r="B247" t="inlineStr">
        <is>
          <t>F36</t>
        </is>
      </c>
      <c r="C247" t="n">
        <v>36</v>
      </c>
      <c r="D247" t="n">
        <v>6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n">
        <v/>
      </c>
      <c r="P247" t="n">
        <v/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EXPENSE ANALYSIS</t>
        </is>
      </c>
      <c r="B248" t="inlineStr">
        <is>
          <t>G36</t>
        </is>
      </c>
      <c r="C248" t="n">
        <v>36</v>
      </c>
      <c r="D248" t="n">
        <v>7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P248" t="n">
        <v/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EXPENSE ANALYSIS</t>
        </is>
      </c>
      <c r="B249" t="inlineStr">
        <is>
          <t>B37</t>
        </is>
      </c>
      <c r="C249" t="n">
        <v>37</v>
      </c>
      <c r="D249" t="n">
        <v>2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M249" t="inlineStr">
        <is>
          <t>Values must be of type &lt;class 'str'&gt;</t>
        </is>
      </c>
      <c r="N249" t="inlineStr">
        <is>
          <t>00000000</t>
        </is>
      </c>
      <c r="O249" t="inlineStr">
        <is>
          <t>left</t>
        </is>
      </c>
      <c r="P249" t="n">
        <v/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EXPENSE ANALYSIS</t>
        </is>
      </c>
      <c r="B250" t="inlineStr">
        <is>
          <t>C37</t>
        </is>
      </c>
      <c r="C250" t="n">
        <v>37</v>
      </c>
      <c r="D250" t="n">
        <v>3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M250" t="inlineStr">
        <is>
          <t>Values must be of type &lt;class 'str'&gt;</t>
        </is>
      </c>
      <c r="N250" t="inlineStr">
        <is>
          <t>00000000</t>
        </is>
      </c>
      <c r="O250" t="inlineStr">
        <is>
          <t>center</t>
        </is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EXPENSE ANALYSIS</t>
        </is>
      </c>
      <c r="B251" t="inlineStr">
        <is>
          <t>D37</t>
        </is>
      </c>
      <c r="C251" t="n">
        <v>37</v>
      </c>
      <c r="D251" t="n">
        <v>4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EXPENSE ANALYSIS</t>
        </is>
      </c>
      <c r="B252" t="inlineStr">
        <is>
          <t>E37</t>
        </is>
      </c>
      <c r="C252" t="n">
        <v>37</v>
      </c>
      <c r="D252" t="n">
        <v>5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00000000</t>
        </is>
      </c>
      <c r="O252" t="inlineStr">
        <is>
          <t>center</t>
        </is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/home/nitish/Documents/github/Excel-To-Python/Codex/ExcelFiles/TFd14f83e2-f49d-4080-9e95-0bd4849fa63f10bd17a5_wac-6d185d203a9f.xlsx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/home/nitish/Documents/github/Excel-To-Python/Codex/ExcelFiles/TFd14f83e2-f49d-4080-9e95-0bd4849fa63f10bd17a5_wac-6d185d203a9f.xlsx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["START", "PLANNED EXPENSES", "ACTUAL EXPENSES", "EXPENSE VARIANCES", "EXPENSE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"2026-03-05T04:05:21.042075+00:00"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START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START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START</t>
        </is>
      </c>
      <c r="C9" t="inlineStr">
        <is>
          <t>TabColor</t>
        </is>
      </c>
      <c r="D9" t="inlineStr">
        <is>
          <t>Values must be of type &lt;class 'str'&gt;</t>
        </is>
      </c>
    </row>
    <row r="10">
      <c r="A10" t="inlineStr">
        <is>
          <t>SheetLayout</t>
        </is>
      </c>
      <c r="B10" t="inlineStr">
        <is>
          <t>START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START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START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PLANNED EXPENSES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PLANNED EXPENSES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PLANNED EXPENSES</t>
        </is>
      </c>
      <c r="C15" t="inlineStr">
        <is>
          <t>TabColor</t>
        </is>
      </c>
      <c r="D15" t="inlineStr">
        <is>
          <t>Values must be of type &lt;class 'str'&gt;</t>
        </is>
      </c>
    </row>
    <row r="16">
      <c r="A16" t="inlineStr">
        <is>
          <t>SheetLayout</t>
        </is>
      </c>
      <c r="B16" t="inlineStr">
        <is>
          <t>PLANNED EXPENSES</t>
        </is>
      </c>
      <c r="C16" t="inlineStr">
        <is>
          <t>MergedRanges</t>
        </is>
      </c>
      <c r="D16" t="inlineStr">
        <is>
          <t>["B2:D3"]</t>
        </is>
      </c>
    </row>
    <row r="17">
      <c r="A17" t="inlineStr">
        <is>
          <t>SheetLayout</t>
        </is>
      </c>
      <c r="B17" t="inlineStr">
        <is>
          <t>PLANNED EXPENSES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PLANNED EXPENSES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ACTUAL EXPENSES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ACTUAL EXPENSES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ACTUAL EXPENSES</t>
        </is>
      </c>
      <c r="C21" t="inlineStr">
        <is>
          <t>TabColor</t>
        </is>
      </c>
      <c r="D21" t="inlineStr">
        <is>
          <t>Values must be of type &lt;class 'str'&gt;</t>
        </is>
      </c>
    </row>
    <row r="22">
      <c r="A22" t="inlineStr">
        <is>
          <t>SheetLayout</t>
        </is>
      </c>
      <c r="B22" t="inlineStr">
        <is>
          <t>ACTUAL EXPENSES</t>
        </is>
      </c>
      <c r="C22" t="inlineStr">
        <is>
          <t>MergedRanges</t>
        </is>
      </c>
      <c r="D22" t="inlineStr">
        <is>
          <t>["B2:F3"]</t>
        </is>
      </c>
    </row>
    <row r="23">
      <c r="A23" t="inlineStr">
        <is>
          <t>SheetLayout</t>
        </is>
      </c>
      <c r="B23" t="inlineStr">
        <is>
          <t>ACTUAL EXPENSES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ACTUAL EXPENSES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EXPENSE VARIANCES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EXPENSE VARIANCES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EXPENSE VARIANCES</t>
        </is>
      </c>
      <c r="C27" t="inlineStr">
        <is>
          <t>TabColor</t>
        </is>
      </c>
      <c r="D27" t="inlineStr">
        <is>
          <t>Values must be of type &lt;class 'str'&gt;</t>
        </is>
      </c>
    </row>
    <row r="28">
      <c r="A28" t="inlineStr">
        <is>
          <t>SheetLayout</t>
        </is>
      </c>
      <c r="B28" t="inlineStr">
        <is>
          <t>EXPENSE VARIANCES</t>
        </is>
      </c>
      <c r="C28" t="inlineStr">
        <is>
          <t>MergedRanges</t>
        </is>
      </c>
      <c r="D28" t="inlineStr">
        <is>
          <t>["B2:E3"]</t>
        </is>
      </c>
    </row>
    <row r="29">
      <c r="A29" t="inlineStr">
        <is>
          <t>SheetLayout</t>
        </is>
      </c>
      <c r="B29" t="inlineStr">
        <is>
          <t>EXPENSE VARIANCES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EXPENSE VARIANCES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EXPENSE ANALYSIS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EXPENSE ANALYSIS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EXPENSE ANALYSIS</t>
        </is>
      </c>
      <c r="C33" t="inlineStr">
        <is>
          <t>TabColor</t>
        </is>
      </c>
      <c r="D33" t="inlineStr">
        <is>
          <t>Values must be of type &lt;class 'str'&gt;</t>
        </is>
      </c>
    </row>
    <row r="34">
      <c r="A34" t="inlineStr">
        <is>
          <t>SheetLayout</t>
        </is>
      </c>
      <c r="B34" t="inlineStr">
        <is>
          <t>EXPENSE ANALYSIS</t>
        </is>
      </c>
      <c r="C34" t="inlineStr">
        <is>
          <t>MergedRanges</t>
        </is>
      </c>
      <c r="D34" t="inlineStr">
        <is>
          <t>["B2:D3"]</t>
        </is>
      </c>
    </row>
    <row r="35">
      <c r="A35" t="inlineStr">
        <is>
          <t>SheetLayout</t>
        </is>
      </c>
      <c r="B35" t="inlineStr">
        <is>
          <t>EXPENSE ANALYSIS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EXPENSE ANALYSIS</t>
        </is>
      </c>
      <c r="C36" t="inlineStr">
        <is>
          <t>ColumnDimensions</t>
        </is>
      </c>
      <c r="D36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PLANNED EXPENSES</t>
        </is>
      </c>
      <c r="C2" t="inlineStr">
        <is>
          <t>Vertical</t>
        </is>
      </c>
      <c r="D2" t="n">
        <v>2</v>
      </c>
      <c r="E2" t="inlineStr">
        <is>
          <t>PLANNED EXPENSES!O7:O8</t>
        </is>
      </c>
      <c r="F2" t="inlineStr">
        <is>
          <t>'=SUM(R[0]C[-12]:R[0]C[-1])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PLANNED EXPENSES</t>
        </is>
      </c>
      <c r="C3" t="inlineStr">
        <is>
          <t>Vertical</t>
        </is>
      </c>
      <c r="D3" t="n">
        <v>8</v>
      </c>
      <c r="E3" t="inlineStr">
        <is>
          <t>PLANNED EXPENSES!O12:O19</t>
        </is>
      </c>
      <c r="F3" t="inlineStr">
        <is>
          <t>'=SUM(R[0]C[-12]:R[0]C[-1])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PLANNED EXPENSES</t>
        </is>
      </c>
      <c r="C4" t="inlineStr">
        <is>
          <t>Vertical</t>
        </is>
      </c>
      <c r="D4" t="n">
        <v>6</v>
      </c>
      <c r="E4" t="inlineStr">
        <is>
          <t>PLANNED EXPENSES!O23:O28</t>
        </is>
      </c>
      <c r="F4" t="inlineStr">
        <is>
          <t>'=SUM(R[0]C[-12]:R[0]C[-1])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PLANNED EXPENSES</t>
        </is>
      </c>
      <c r="C5" t="inlineStr">
        <is>
          <t>Vertical</t>
        </is>
      </c>
      <c r="D5" t="n">
        <v>2</v>
      </c>
      <c r="E5" t="inlineStr">
        <is>
          <t>PLANNED EXPENSES!O32:O33</t>
        </is>
      </c>
      <c r="F5" t="inlineStr">
        <is>
          <t>'=SUM(R[0]C[-12]:R[0]C[-1])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PLANNED EXPENSES</t>
        </is>
      </c>
      <c r="C6" t="inlineStr">
        <is>
          <t>Horizontal</t>
        </is>
      </c>
      <c r="D6" t="n">
        <v>12</v>
      </c>
      <c r="E6" t="inlineStr">
        <is>
          <t>PLANNED EXPENSES!C8:N8</t>
        </is>
      </c>
      <c r="F6" t="inlineStr">
        <is>
          <t>'=R[-1]C[0]*0.27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PLANNED EXPENSES</t>
        </is>
      </c>
      <c r="C7" t="inlineStr">
        <is>
          <t>Horizontal</t>
        </is>
      </c>
      <c r="D7" t="n">
        <v>12</v>
      </c>
      <c r="E7" t="inlineStr">
        <is>
          <t>PLANNED EXPENSES!C38:N38</t>
        </is>
      </c>
      <c r="F7" t="inlineStr">
        <is>
          <t>'=SUM(R37C3:R[-1]C[0])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ACTUAL EXPENSES</t>
        </is>
      </c>
      <c r="C8" t="inlineStr">
        <is>
          <t>Vertical</t>
        </is>
      </c>
      <c r="D8" t="n">
        <v>2</v>
      </c>
      <c r="E8" t="inlineStr">
        <is>
          <t>ACTUAL EXPENSES!O7:O8</t>
        </is>
      </c>
      <c r="F8" t="inlineStr">
        <is>
          <t>'=SUM(R[0]C[-12]:R[0]C[-1])</t>
        </is>
      </c>
      <c r="G8" t="inlineStr">
        <is>
          <t>Vectorizable</t>
        </is>
      </c>
    </row>
    <row r="9">
      <c r="A9" t="inlineStr">
        <is>
          <t>G000008</t>
        </is>
      </c>
      <c r="B9" t="inlineStr">
        <is>
          <t>ACTUAL EXPENSES</t>
        </is>
      </c>
      <c r="C9" t="inlineStr">
        <is>
          <t>Vertical</t>
        </is>
      </c>
      <c r="D9" t="n">
        <v>8</v>
      </c>
      <c r="E9" t="inlineStr">
        <is>
          <t>ACTUAL EXPENSES!O12:O19</t>
        </is>
      </c>
      <c r="F9" t="inlineStr">
        <is>
          <t>'=SUM(R[0]C[-12]:R[0]C[-1])</t>
        </is>
      </c>
      <c r="G9" t="inlineStr">
        <is>
          <t>Vectorizable</t>
        </is>
      </c>
    </row>
    <row r="10">
      <c r="A10" t="inlineStr">
        <is>
          <t>G000009</t>
        </is>
      </c>
      <c r="B10" t="inlineStr">
        <is>
          <t>ACTUAL EXPENSES</t>
        </is>
      </c>
      <c r="C10" t="inlineStr">
        <is>
          <t>Vertical</t>
        </is>
      </c>
      <c r="D10" t="n">
        <v>6</v>
      </c>
      <c r="E10" t="inlineStr">
        <is>
          <t>ACTUAL EXPENSES!O23:O28</t>
        </is>
      </c>
      <c r="F10" t="inlineStr">
        <is>
          <t>'=SUM(R[0]C[-12]:R[0]C[-1])</t>
        </is>
      </c>
      <c r="G10" t="inlineStr">
        <is>
          <t>Vectorizable</t>
        </is>
      </c>
    </row>
    <row r="11">
      <c r="A11" t="inlineStr">
        <is>
          <t>G000010</t>
        </is>
      </c>
      <c r="B11" t="inlineStr">
        <is>
          <t>ACTUAL EXPENSES</t>
        </is>
      </c>
      <c r="C11" t="inlineStr">
        <is>
          <t>Vertical</t>
        </is>
      </c>
      <c r="D11" t="n">
        <v>2</v>
      </c>
      <c r="E11" t="inlineStr">
        <is>
          <t>ACTUAL EXPENSES!O32:O33</t>
        </is>
      </c>
      <c r="F11" t="inlineStr">
        <is>
          <t>'=SUM(R[0]C[-12]:R[0]C[-1])</t>
        </is>
      </c>
      <c r="G11" t="inlineStr">
        <is>
          <t>Vectorizable</t>
        </is>
      </c>
    </row>
    <row r="12">
      <c r="A12" t="inlineStr">
        <is>
          <t>G000011</t>
        </is>
      </c>
      <c r="B12" t="inlineStr">
        <is>
          <t>ACTUAL EXPENSES</t>
        </is>
      </c>
      <c r="C12" t="inlineStr">
        <is>
          <t>Horizontal</t>
        </is>
      </c>
      <c r="D12" t="n">
        <v>12</v>
      </c>
      <c r="E12" t="inlineStr">
        <is>
          <t>ACTUAL EXPENSES!C8:N8</t>
        </is>
      </c>
      <c r="F12" t="inlineStr">
        <is>
          <t>'=R[-1]C[0]*0.27</t>
        </is>
      </c>
      <c r="G12" t="inlineStr">
        <is>
          <t>Vectorizable</t>
        </is>
      </c>
    </row>
    <row r="13">
      <c r="A13" t="inlineStr">
        <is>
          <t>G000012</t>
        </is>
      </c>
      <c r="B13" t="inlineStr">
        <is>
          <t>ACTUAL EXPENSES</t>
        </is>
      </c>
      <c r="C13" t="inlineStr">
        <is>
          <t>Horizontal</t>
        </is>
      </c>
      <c r="D13" t="n">
        <v>12</v>
      </c>
      <c r="E13" t="inlineStr">
        <is>
          <t>ACTUAL EXPENSES!C38:N38</t>
        </is>
      </c>
      <c r="F13" t="inlineStr">
        <is>
          <t>'=SUM(R37C3:R[-1]C[0])</t>
        </is>
      </c>
      <c r="G13" t="inlineStr">
        <is>
          <t>Vectorizable</t>
        </is>
      </c>
    </row>
    <row r="14">
      <c r="A14" t="inlineStr">
        <is>
          <t>G000013</t>
        </is>
      </c>
      <c r="B14" t="inlineStr">
        <is>
          <t>EXPENSE VARIANCES</t>
        </is>
      </c>
      <c r="C14" t="inlineStr">
        <is>
          <t>Vertical</t>
        </is>
      </c>
      <c r="D14" t="n">
        <v>2</v>
      </c>
      <c r="E14" t="inlineStr">
        <is>
          <t>EXPENSE VARIANCES!C7:C8</t>
        </is>
      </c>
      <c r="F14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G14" t="inlineStr">
        <is>
          <t>Vectorizable</t>
        </is>
      </c>
    </row>
    <row r="15">
      <c r="A15" t="inlineStr">
        <is>
          <t>G000014</t>
        </is>
      </c>
      <c r="B15" t="inlineStr">
        <is>
          <t>EXPENSE VARIANCES</t>
        </is>
      </c>
      <c r="C15" t="inlineStr">
        <is>
          <t>Vertical</t>
        </is>
      </c>
      <c r="D15" t="n">
        <v>2</v>
      </c>
      <c r="E15" t="inlineStr">
        <is>
          <t>EXPENSE VARIANCES!D7:D8</t>
        </is>
      </c>
      <c r="F15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G15" t="inlineStr">
        <is>
          <t>Vectorizable</t>
        </is>
      </c>
    </row>
    <row r="16">
      <c r="A16" t="inlineStr">
        <is>
          <t>G000015</t>
        </is>
      </c>
      <c r="B16" t="inlineStr">
        <is>
          <t>EXPENSE VARIANCES</t>
        </is>
      </c>
      <c r="C16" t="inlineStr">
        <is>
          <t>Vertical</t>
        </is>
      </c>
      <c r="D16" t="n">
        <v>2</v>
      </c>
      <c r="E16" t="inlineStr">
        <is>
          <t>EXPENSE VARIANCES!E7:E8</t>
        </is>
      </c>
      <c r="F16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G16" t="inlineStr">
        <is>
          <t>Vectorizable</t>
        </is>
      </c>
    </row>
    <row r="17">
      <c r="A17" t="inlineStr">
        <is>
          <t>G000016</t>
        </is>
      </c>
      <c r="B17" t="inlineStr">
        <is>
          <t>EXPENSE VARIANCES</t>
        </is>
      </c>
      <c r="C17" t="inlineStr">
        <is>
          <t>Vertical</t>
        </is>
      </c>
      <c r="D17" t="n">
        <v>2</v>
      </c>
      <c r="E17" t="inlineStr">
        <is>
          <t>EXPENSE VARIANCES!F7:F8</t>
        </is>
      </c>
      <c r="F17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G17" t="inlineStr">
        <is>
          <t>Vectorizable</t>
        </is>
      </c>
    </row>
    <row r="18">
      <c r="A18" t="inlineStr">
        <is>
          <t>G000017</t>
        </is>
      </c>
      <c r="B18" t="inlineStr">
        <is>
          <t>EXPENSE VARIANCES</t>
        </is>
      </c>
      <c r="C18" t="inlineStr">
        <is>
          <t>Vertical</t>
        </is>
      </c>
      <c r="D18" t="n">
        <v>2</v>
      </c>
      <c r="E18" t="inlineStr">
        <is>
          <t>EXPENSE VARIANCES!G7:G8</t>
        </is>
      </c>
      <c r="F18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G18" t="inlineStr">
        <is>
          <t>Vectorizable</t>
        </is>
      </c>
    </row>
    <row r="19">
      <c r="A19" t="inlineStr">
        <is>
          <t>G000018</t>
        </is>
      </c>
      <c r="B19" t="inlineStr">
        <is>
          <t>EXPENSE VARIANCES</t>
        </is>
      </c>
      <c r="C19" t="inlineStr">
        <is>
          <t>Vertical</t>
        </is>
      </c>
      <c r="D19" t="n">
        <v>2</v>
      </c>
      <c r="E19" t="inlineStr">
        <is>
          <t>EXPENSE VARIANCES!H7:H8</t>
        </is>
      </c>
      <c r="F19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G19" t="inlineStr">
        <is>
          <t>Vectorizable</t>
        </is>
      </c>
    </row>
    <row r="20">
      <c r="A20" t="inlineStr">
        <is>
          <t>G000019</t>
        </is>
      </c>
      <c r="B20" t="inlineStr">
        <is>
          <t>EXPENSE VARIANCES</t>
        </is>
      </c>
      <c r="C20" t="inlineStr">
        <is>
          <t>Vertical</t>
        </is>
      </c>
      <c r="D20" t="n">
        <v>2</v>
      </c>
      <c r="E20" t="inlineStr">
        <is>
          <t>EXPENSE VARIANCES!I7:I8</t>
        </is>
      </c>
      <c r="F20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G20" t="inlineStr">
        <is>
          <t>Vectorizable</t>
        </is>
      </c>
    </row>
    <row r="21">
      <c r="A21" t="inlineStr">
        <is>
          <t>G000020</t>
        </is>
      </c>
      <c r="B21" t="inlineStr">
        <is>
          <t>EXPENSE VARIANCES</t>
        </is>
      </c>
      <c r="C21" t="inlineStr">
        <is>
          <t>Vertical</t>
        </is>
      </c>
      <c r="D21" t="n">
        <v>2</v>
      </c>
      <c r="E21" t="inlineStr">
        <is>
          <t>EXPENSE VARIANCES!J7:J8</t>
        </is>
      </c>
      <c r="F21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G21" t="inlineStr">
        <is>
          <t>Vectorizable</t>
        </is>
      </c>
    </row>
    <row r="22">
      <c r="A22" t="inlineStr">
        <is>
          <t>G000021</t>
        </is>
      </c>
      <c r="B22" t="inlineStr">
        <is>
          <t>EXPENSE VARIANCES</t>
        </is>
      </c>
      <c r="C22" t="inlineStr">
        <is>
          <t>Vertical</t>
        </is>
      </c>
      <c r="D22" t="n">
        <v>2</v>
      </c>
      <c r="E22" t="inlineStr">
        <is>
          <t>EXPENSE VARIANCES!K7:K8</t>
        </is>
      </c>
      <c r="F22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G22" t="inlineStr">
        <is>
          <t>Vectorizable</t>
        </is>
      </c>
    </row>
    <row r="23">
      <c r="A23" t="inlineStr">
        <is>
          <t>G000022</t>
        </is>
      </c>
      <c r="B23" t="inlineStr">
        <is>
          <t>EXPENSE VARIANCES</t>
        </is>
      </c>
      <c r="C23" t="inlineStr">
        <is>
          <t>Vertical</t>
        </is>
      </c>
      <c r="D23" t="n">
        <v>2</v>
      </c>
      <c r="E23" t="inlineStr">
        <is>
          <t>EXPENSE VARIANCES!L7:L8</t>
        </is>
      </c>
      <c r="F23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G23" t="inlineStr">
        <is>
          <t>Vectorizable</t>
        </is>
      </c>
    </row>
    <row r="24">
      <c r="A24" t="inlineStr">
        <is>
          <t>G000023</t>
        </is>
      </c>
      <c r="B24" t="inlineStr">
        <is>
          <t>EXPENSE VARIANCES</t>
        </is>
      </c>
      <c r="C24" t="inlineStr">
        <is>
          <t>Vertical</t>
        </is>
      </c>
      <c r="D24" t="n">
        <v>2</v>
      </c>
      <c r="E24" t="inlineStr">
        <is>
          <t>EXPENSE VARIANCES!M7:M8</t>
        </is>
      </c>
      <c r="F24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G24" t="inlineStr">
        <is>
          <t>Vectorizable</t>
        </is>
      </c>
    </row>
    <row r="25">
      <c r="A25" t="inlineStr">
        <is>
          <t>G000024</t>
        </is>
      </c>
      <c r="B25" t="inlineStr">
        <is>
          <t>EXPENSE VARIANCES</t>
        </is>
      </c>
      <c r="C25" t="inlineStr">
        <is>
          <t>Vertical</t>
        </is>
      </c>
      <c r="D25" t="n">
        <v>2</v>
      </c>
      <c r="E25" t="inlineStr">
        <is>
          <t>EXPENSE VARIANCES!N7:N8</t>
        </is>
      </c>
      <c r="F25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G25" t="inlineStr">
        <is>
          <t>Vectorizable</t>
        </is>
      </c>
    </row>
    <row r="26">
      <c r="A26" t="inlineStr">
        <is>
          <t>G000025</t>
        </is>
      </c>
      <c r="B26" t="inlineStr">
        <is>
          <t>EXPENSE VARIANCES</t>
        </is>
      </c>
      <c r="C26" t="inlineStr">
        <is>
          <t>Vertical</t>
        </is>
      </c>
      <c r="D26" t="n">
        <v>2</v>
      </c>
      <c r="E26" t="inlineStr">
        <is>
          <t>EXPENSE VARIANCES!O7:O8</t>
        </is>
      </c>
      <c r="F26" t="inlineStr">
        <is>
          <t>'=SUM(EmployeeVariances[[#This Row],[Jan]:[Dec]])</t>
        </is>
      </c>
      <c r="G26" t="inlineStr">
        <is>
          <t>Vectorizable</t>
        </is>
      </c>
    </row>
    <row r="27">
      <c r="A27" t="inlineStr">
        <is>
          <t>G000026</t>
        </is>
      </c>
      <c r="B27" t="inlineStr">
        <is>
          <t>EXPENSE VARIANCES</t>
        </is>
      </c>
      <c r="C27" t="inlineStr">
        <is>
          <t>Vertical</t>
        </is>
      </c>
      <c r="D27" t="n">
        <v>8</v>
      </c>
      <c r="E27" t="inlineStr">
        <is>
          <t>EXPENSE VARIANCES!C12:C19</t>
        </is>
      </c>
      <c r="F27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7" t="inlineStr">
        <is>
          <t>Vectorizable</t>
        </is>
      </c>
    </row>
    <row r="28">
      <c r="A28" t="inlineStr">
        <is>
          <t>G000027</t>
        </is>
      </c>
      <c r="B28" t="inlineStr">
        <is>
          <t>EXPENSE VARIANCES</t>
        </is>
      </c>
      <c r="C28" t="inlineStr">
        <is>
          <t>Vertical</t>
        </is>
      </c>
      <c r="D28" t="n">
        <v>8</v>
      </c>
      <c r="E28" t="inlineStr">
        <is>
          <t>EXPENSE VARIANCES!D12:D19</t>
        </is>
      </c>
      <c r="F28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8" t="inlineStr">
        <is>
          <t>Vectorizable</t>
        </is>
      </c>
    </row>
    <row r="29">
      <c r="A29" t="inlineStr">
        <is>
          <t>G000028</t>
        </is>
      </c>
      <c r="B29" t="inlineStr">
        <is>
          <t>EXPENSE VARIANCES</t>
        </is>
      </c>
      <c r="C29" t="inlineStr">
        <is>
          <t>Vertical</t>
        </is>
      </c>
      <c r="D29" t="n">
        <v>8</v>
      </c>
      <c r="E29" t="inlineStr">
        <is>
          <t>EXPENSE VARIANCES!E12:E19</t>
        </is>
      </c>
      <c r="F29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9" t="inlineStr">
        <is>
          <t>Vectorizable</t>
        </is>
      </c>
    </row>
    <row r="30">
      <c r="A30" t="inlineStr">
        <is>
          <t>G000029</t>
        </is>
      </c>
      <c r="B30" t="inlineStr">
        <is>
          <t>EXPENSE VARIANCES</t>
        </is>
      </c>
      <c r="C30" t="inlineStr">
        <is>
          <t>Vertical</t>
        </is>
      </c>
      <c r="D30" t="n">
        <v>8</v>
      </c>
      <c r="E30" t="inlineStr">
        <is>
          <t>EXPENSE VARIANCES!F12:F19</t>
        </is>
      </c>
      <c r="F30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30" t="inlineStr">
        <is>
          <t>Vectorizable</t>
        </is>
      </c>
    </row>
    <row r="31">
      <c r="A31" t="inlineStr">
        <is>
          <t>G000030</t>
        </is>
      </c>
      <c r="B31" t="inlineStr">
        <is>
          <t>EXPENSE VARIANCES</t>
        </is>
      </c>
      <c r="C31" t="inlineStr">
        <is>
          <t>Vertical</t>
        </is>
      </c>
      <c r="D31" t="n">
        <v>8</v>
      </c>
      <c r="E31" t="inlineStr">
        <is>
          <t>EXPENSE VARIANCES!G12:G19</t>
        </is>
      </c>
      <c r="F31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31" t="inlineStr">
        <is>
          <t>Vectorizable</t>
        </is>
      </c>
    </row>
    <row r="32">
      <c r="A32" t="inlineStr">
        <is>
          <t>G000031</t>
        </is>
      </c>
      <c r="B32" t="inlineStr">
        <is>
          <t>EXPENSE VARIANCES</t>
        </is>
      </c>
      <c r="C32" t="inlineStr">
        <is>
          <t>Vertical</t>
        </is>
      </c>
      <c r="D32" t="n">
        <v>8</v>
      </c>
      <c r="E32" t="inlineStr">
        <is>
          <t>EXPENSE VARIANCES!H12:H19</t>
        </is>
      </c>
      <c r="F32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32" t="inlineStr">
        <is>
          <t>Vectorizable</t>
        </is>
      </c>
    </row>
    <row r="33">
      <c r="A33" t="inlineStr">
        <is>
          <t>G000032</t>
        </is>
      </c>
      <c r="B33" t="inlineStr">
        <is>
          <t>EXPENSE VARIANCES</t>
        </is>
      </c>
      <c r="C33" t="inlineStr">
        <is>
          <t>Vertical</t>
        </is>
      </c>
      <c r="D33" t="n">
        <v>8</v>
      </c>
      <c r="E33" t="inlineStr">
        <is>
          <t>EXPENSE VARIANCES!I12:I19</t>
        </is>
      </c>
      <c r="F33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33" t="inlineStr">
        <is>
          <t>Vectorizable</t>
        </is>
      </c>
    </row>
    <row r="34">
      <c r="A34" t="inlineStr">
        <is>
          <t>G000033</t>
        </is>
      </c>
      <c r="B34" t="inlineStr">
        <is>
          <t>EXPENSE VARIANCES</t>
        </is>
      </c>
      <c r="C34" t="inlineStr">
        <is>
          <t>Vertical</t>
        </is>
      </c>
      <c r="D34" t="n">
        <v>8</v>
      </c>
      <c r="E34" t="inlineStr">
        <is>
          <t>EXPENSE VARIANCES!J12:J19</t>
        </is>
      </c>
      <c r="F34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34" t="inlineStr">
        <is>
          <t>Vectorizable</t>
        </is>
      </c>
    </row>
    <row r="35">
      <c r="A35" t="inlineStr">
        <is>
          <t>G000034</t>
        </is>
      </c>
      <c r="B35" t="inlineStr">
        <is>
          <t>EXPENSE VARIANCES</t>
        </is>
      </c>
      <c r="C35" t="inlineStr">
        <is>
          <t>Vertical</t>
        </is>
      </c>
      <c r="D35" t="n">
        <v>8</v>
      </c>
      <c r="E35" t="inlineStr">
        <is>
          <t>EXPENSE VARIANCES!K12:K19</t>
        </is>
      </c>
      <c r="F35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35" t="inlineStr">
        <is>
          <t>Vectorizable</t>
        </is>
      </c>
    </row>
    <row r="36">
      <c r="A36" t="inlineStr">
        <is>
          <t>G000035</t>
        </is>
      </c>
      <c r="B36" t="inlineStr">
        <is>
          <t>EXPENSE VARIANCES</t>
        </is>
      </c>
      <c r="C36" t="inlineStr">
        <is>
          <t>Vertical</t>
        </is>
      </c>
      <c r="D36" t="n">
        <v>8</v>
      </c>
      <c r="E36" t="inlineStr">
        <is>
          <t>EXPENSE VARIANCES!L12:L19</t>
        </is>
      </c>
      <c r="F36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36" t="inlineStr">
        <is>
          <t>Vectorizable</t>
        </is>
      </c>
    </row>
    <row r="37">
      <c r="A37" t="inlineStr">
        <is>
          <t>G000036</t>
        </is>
      </c>
      <c r="B37" t="inlineStr">
        <is>
          <t>EXPENSE VARIANCES</t>
        </is>
      </c>
      <c r="C37" t="inlineStr">
        <is>
          <t>Vertical</t>
        </is>
      </c>
      <c r="D37" t="n">
        <v>8</v>
      </c>
      <c r="E37" t="inlineStr">
        <is>
          <t>EXPENSE VARIANCES!M12:M19</t>
        </is>
      </c>
      <c r="F37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37" t="inlineStr">
        <is>
          <t>Vectorizable</t>
        </is>
      </c>
    </row>
    <row r="38">
      <c r="A38" t="inlineStr">
        <is>
          <t>G000037</t>
        </is>
      </c>
      <c r="B38" t="inlineStr">
        <is>
          <t>EXPENSE VARIANCES</t>
        </is>
      </c>
      <c r="C38" t="inlineStr">
        <is>
          <t>Vertical</t>
        </is>
      </c>
      <c r="D38" t="n">
        <v>8</v>
      </c>
      <c r="E38" t="inlineStr">
        <is>
          <t>EXPENSE VARIANCES!N12:N19</t>
        </is>
      </c>
      <c r="F38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38" t="inlineStr">
        <is>
          <t>Vectorizable</t>
        </is>
      </c>
    </row>
    <row r="39">
      <c r="A39" t="inlineStr">
        <is>
          <t>G000038</t>
        </is>
      </c>
      <c r="B39" t="inlineStr">
        <is>
          <t>EXPENSE VARIANCES</t>
        </is>
      </c>
      <c r="C39" t="inlineStr">
        <is>
          <t>Vertical</t>
        </is>
      </c>
      <c r="D39" t="n">
        <v>8</v>
      </c>
      <c r="E39" t="inlineStr">
        <is>
          <t>EXPENSE VARIANCES!O12:O19</t>
        </is>
      </c>
      <c r="F39" t="inlineStr">
        <is>
          <t>'=SUM(OfficeVariances[[#This Row],[Jan]:[Dec]])</t>
        </is>
      </c>
      <c r="G39" t="inlineStr">
        <is>
          <t>Vectorizable</t>
        </is>
      </c>
    </row>
    <row r="40">
      <c r="A40" t="inlineStr">
        <is>
          <t>G000039</t>
        </is>
      </c>
      <c r="B40" t="inlineStr">
        <is>
          <t>EXPENSE VARIANCES</t>
        </is>
      </c>
      <c r="C40" t="inlineStr">
        <is>
          <t>Vertical</t>
        </is>
      </c>
      <c r="D40" t="n">
        <v>6</v>
      </c>
      <c r="E40" t="inlineStr">
        <is>
          <t>EXPENSE VARIANCES!C23:C28</t>
        </is>
      </c>
      <c r="F40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0" t="inlineStr">
        <is>
          <t>Vectorizable</t>
        </is>
      </c>
    </row>
    <row r="41">
      <c r="A41" t="inlineStr">
        <is>
          <t>G000040</t>
        </is>
      </c>
      <c r="B41" t="inlineStr">
        <is>
          <t>EXPENSE VARIANCES</t>
        </is>
      </c>
      <c r="C41" t="inlineStr">
        <is>
          <t>Vertical</t>
        </is>
      </c>
      <c r="D41" t="n">
        <v>6</v>
      </c>
      <c r="E41" t="inlineStr">
        <is>
          <t>EXPENSE VARIANCES!D23:D28</t>
        </is>
      </c>
      <c r="F41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1" t="inlineStr">
        <is>
          <t>Vectorizable</t>
        </is>
      </c>
    </row>
    <row r="42">
      <c r="A42" t="inlineStr">
        <is>
          <t>G000041</t>
        </is>
      </c>
      <c r="B42" t="inlineStr">
        <is>
          <t>EXPENSE VARIANCES</t>
        </is>
      </c>
      <c r="C42" t="inlineStr">
        <is>
          <t>Vertical</t>
        </is>
      </c>
      <c r="D42" t="n">
        <v>6</v>
      </c>
      <c r="E42" t="inlineStr">
        <is>
          <t>EXPENSE VARIANCES!E23:E28</t>
        </is>
      </c>
      <c r="F42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2" t="inlineStr">
        <is>
          <t>Vectorizable</t>
        </is>
      </c>
    </row>
    <row r="43">
      <c r="A43" t="inlineStr">
        <is>
          <t>G000042</t>
        </is>
      </c>
      <c r="B43" t="inlineStr">
        <is>
          <t>EXPENSE VARIANCES</t>
        </is>
      </c>
      <c r="C43" t="inlineStr">
        <is>
          <t>Vertical</t>
        </is>
      </c>
      <c r="D43" t="n">
        <v>6</v>
      </c>
      <c r="E43" t="inlineStr">
        <is>
          <t>EXPENSE VARIANCES!F23:F28</t>
        </is>
      </c>
      <c r="F43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3" t="inlineStr">
        <is>
          <t>Vectorizable</t>
        </is>
      </c>
    </row>
    <row r="44">
      <c r="A44" t="inlineStr">
        <is>
          <t>G000043</t>
        </is>
      </c>
      <c r="B44" t="inlineStr">
        <is>
          <t>EXPENSE VARIANCES</t>
        </is>
      </c>
      <c r="C44" t="inlineStr">
        <is>
          <t>Vertical</t>
        </is>
      </c>
      <c r="D44" t="n">
        <v>6</v>
      </c>
      <c r="E44" t="inlineStr">
        <is>
          <t>EXPENSE VARIANCES!G23:G28</t>
        </is>
      </c>
      <c r="F44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4" t="inlineStr">
        <is>
          <t>Vectorizable</t>
        </is>
      </c>
    </row>
    <row r="45">
      <c r="A45" t="inlineStr">
        <is>
          <t>G000044</t>
        </is>
      </c>
      <c r="B45" t="inlineStr">
        <is>
          <t>EXPENSE VARIANCES</t>
        </is>
      </c>
      <c r="C45" t="inlineStr">
        <is>
          <t>Vertical</t>
        </is>
      </c>
      <c r="D45" t="n">
        <v>6</v>
      </c>
      <c r="E45" t="inlineStr">
        <is>
          <t>EXPENSE VARIANCES!H23:H28</t>
        </is>
      </c>
      <c r="F45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5" t="inlineStr">
        <is>
          <t>Vectorizable</t>
        </is>
      </c>
    </row>
    <row r="46">
      <c r="A46" t="inlineStr">
        <is>
          <t>G000045</t>
        </is>
      </c>
      <c r="B46" t="inlineStr">
        <is>
          <t>EXPENSE VARIANCES</t>
        </is>
      </c>
      <c r="C46" t="inlineStr">
        <is>
          <t>Vertical</t>
        </is>
      </c>
      <c r="D46" t="n">
        <v>6</v>
      </c>
      <c r="E46" t="inlineStr">
        <is>
          <t>EXPENSE VARIANCES!I23:I28</t>
        </is>
      </c>
      <c r="F46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6" t="inlineStr">
        <is>
          <t>Vectorizable</t>
        </is>
      </c>
    </row>
    <row r="47">
      <c r="A47" t="inlineStr">
        <is>
          <t>G000046</t>
        </is>
      </c>
      <c r="B47" t="inlineStr">
        <is>
          <t>EXPENSE VARIANCES</t>
        </is>
      </c>
      <c r="C47" t="inlineStr">
        <is>
          <t>Vertical</t>
        </is>
      </c>
      <c r="D47" t="n">
        <v>6</v>
      </c>
      <c r="E47" t="inlineStr">
        <is>
          <t>EXPENSE VARIANCES!J23:J28</t>
        </is>
      </c>
      <c r="F47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7" t="inlineStr">
        <is>
          <t>Vectorizable</t>
        </is>
      </c>
    </row>
    <row r="48">
      <c r="A48" t="inlineStr">
        <is>
          <t>G000047</t>
        </is>
      </c>
      <c r="B48" t="inlineStr">
        <is>
          <t>EXPENSE VARIANCES</t>
        </is>
      </c>
      <c r="C48" t="inlineStr">
        <is>
          <t>Vertical</t>
        </is>
      </c>
      <c r="D48" t="n">
        <v>6</v>
      </c>
      <c r="E48" t="inlineStr">
        <is>
          <t>EXPENSE VARIANCES!K23:K28</t>
        </is>
      </c>
      <c r="F48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8" t="inlineStr">
        <is>
          <t>Vectorizable</t>
        </is>
      </c>
    </row>
    <row r="49">
      <c r="A49" t="inlineStr">
        <is>
          <t>G000048</t>
        </is>
      </c>
      <c r="B49" t="inlineStr">
        <is>
          <t>EXPENSE VARIANCES</t>
        </is>
      </c>
      <c r="C49" t="inlineStr">
        <is>
          <t>Vertical</t>
        </is>
      </c>
      <c r="D49" t="n">
        <v>6</v>
      </c>
      <c r="E49" t="inlineStr">
        <is>
          <t>EXPENSE VARIANCES!L23:L28</t>
        </is>
      </c>
      <c r="F49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9" t="inlineStr">
        <is>
          <t>Vectorizable</t>
        </is>
      </c>
    </row>
    <row r="50">
      <c r="A50" t="inlineStr">
        <is>
          <t>G000049</t>
        </is>
      </c>
      <c r="B50" t="inlineStr">
        <is>
          <t>EXPENSE VARIANCES</t>
        </is>
      </c>
      <c r="C50" t="inlineStr">
        <is>
          <t>Vertical</t>
        </is>
      </c>
      <c r="D50" t="n">
        <v>6</v>
      </c>
      <c r="E50" t="inlineStr">
        <is>
          <t>EXPENSE VARIANCES!M23:M28</t>
        </is>
      </c>
      <c r="F50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50" t="inlineStr">
        <is>
          <t>Vectorizable</t>
        </is>
      </c>
    </row>
    <row r="51">
      <c r="A51" t="inlineStr">
        <is>
          <t>G000050</t>
        </is>
      </c>
      <c r="B51" t="inlineStr">
        <is>
          <t>EXPENSE VARIANCES</t>
        </is>
      </c>
      <c r="C51" t="inlineStr">
        <is>
          <t>Vertical</t>
        </is>
      </c>
      <c r="D51" t="n">
        <v>6</v>
      </c>
      <c r="E51" t="inlineStr">
        <is>
          <t>EXPENSE VARIANCES!N23:N28</t>
        </is>
      </c>
      <c r="F51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51" t="inlineStr">
        <is>
          <t>Vectorizable</t>
        </is>
      </c>
    </row>
    <row r="52">
      <c r="A52" t="inlineStr">
        <is>
          <t>G000051</t>
        </is>
      </c>
      <c r="B52" t="inlineStr">
        <is>
          <t>EXPENSE VARIANCES</t>
        </is>
      </c>
      <c r="C52" t="inlineStr">
        <is>
          <t>Vertical</t>
        </is>
      </c>
      <c r="D52" t="n">
        <v>6</v>
      </c>
      <c r="E52" t="inlineStr">
        <is>
          <t>EXPENSE VARIANCES!O23:O28</t>
        </is>
      </c>
      <c r="F52" t="inlineStr">
        <is>
          <t>'=SUM(MarketingVariances[[#This Row],[Jan]:[Dec]])</t>
        </is>
      </c>
      <c r="G52" t="inlineStr">
        <is>
          <t>Vectorizable</t>
        </is>
      </c>
    </row>
    <row r="53">
      <c r="A53" t="inlineStr">
        <is>
          <t>G000052</t>
        </is>
      </c>
      <c r="B53" t="inlineStr">
        <is>
          <t>EXPENSE VARIANCES</t>
        </is>
      </c>
      <c r="C53" t="inlineStr">
        <is>
          <t>Vertical</t>
        </is>
      </c>
      <c r="D53" t="n">
        <v>2</v>
      </c>
      <c r="E53" t="inlineStr">
        <is>
          <t>EXPENSE VARIANCES!C32:C33</t>
        </is>
      </c>
      <c r="F53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G53" t="inlineStr">
        <is>
          <t>Vectorizable</t>
        </is>
      </c>
    </row>
    <row r="54">
      <c r="A54" t="inlineStr">
        <is>
          <t>G000053</t>
        </is>
      </c>
      <c r="B54" t="inlineStr">
        <is>
          <t>EXPENSE VARIANCES</t>
        </is>
      </c>
      <c r="C54" t="inlineStr">
        <is>
          <t>Vertical</t>
        </is>
      </c>
      <c r="D54" t="n">
        <v>2</v>
      </c>
      <c r="E54" t="inlineStr">
        <is>
          <t>EXPENSE VARIANCES!D32:D33</t>
        </is>
      </c>
      <c r="F54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G54" t="inlineStr">
        <is>
          <t>Vectorizable</t>
        </is>
      </c>
    </row>
    <row r="55">
      <c r="A55" t="inlineStr">
        <is>
          <t>G000054</t>
        </is>
      </c>
      <c r="B55" t="inlineStr">
        <is>
          <t>EXPENSE VARIANCES</t>
        </is>
      </c>
      <c r="C55" t="inlineStr">
        <is>
          <t>Vertical</t>
        </is>
      </c>
      <c r="D55" t="n">
        <v>2</v>
      </c>
      <c r="E55" t="inlineStr">
        <is>
          <t>EXPENSE VARIANCES!E32:E33</t>
        </is>
      </c>
      <c r="F55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G55" t="inlineStr">
        <is>
          <t>Vectorizable</t>
        </is>
      </c>
    </row>
    <row r="56">
      <c r="A56" t="inlineStr">
        <is>
          <t>G000055</t>
        </is>
      </c>
      <c r="B56" t="inlineStr">
        <is>
          <t>EXPENSE VARIANCES</t>
        </is>
      </c>
      <c r="C56" t="inlineStr">
        <is>
          <t>Vertical</t>
        </is>
      </c>
      <c r="D56" t="n">
        <v>2</v>
      </c>
      <c r="E56" t="inlineStr">
        <is>
          <t>EXPENSE VARIANCES!F32:F33</t>
        </is>
      </c>
      <c r="F56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G56" t="inlineStr">
        <is>
          <t>Vectorizable</t>
        </is>
      </c>
    </row>
    <row r="57">
      <c r="A57" t="inlineStr">
        <is>
          <t>G000056</t>
        </is>
      </c>
      <c r="B57" t="inlineStr">
        <is>
          <t>EXPENSE VARIANCES</t>
        </is>
      </c>
      <c r="C57" t="inlineStr">
        <is>
          <t>Vertical</t>
        </is>
      </c>
      <c r="D57" t="n">
        <v>2</v>
      </c>
      <c r="E57" t="inlineStr">
        <is>
          <t>EXPENSE VARIANCES!G32:G33</t>
        </is>
      </c>
      <c r="F57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G57" t="inlineStr">
        <is>
          <t>Vectorizable</t>
        </is>
      </c>
    </row>
    <row r="58">
      <c r="A58" t="inlineStr">
        <is>
          <t>G000057</t>
        </is>
      </c>
      <c r="B58" t="inlineStr">
        <is>
          <t>EXPENSE VARIANCES</t>
        </is>
      </c>
      <c r="C58" t="inlineStr">
        <is>
          <t>Vertical</t>
        </is>
      </c>
      <c r="D58" t="n">
        <v>2</v>
      </c>
      <c r="E58" t="inlineStr">
        <is>
          <t>EXPENSE VARIANCES!H32:H33</t>
        </is>
      </c>
      <c r="F58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G58" t="inlineStr">
        <is>
          <t>Vectorizable</t>
        </is>
      </c>
    </row>
    <row r="59">
      <c r="A59" t="inlineStr">
        <is>
          <t>G000058</t>
        </is>
      </c>
      <c r="B59" t="inlineStr">
        <is>
          <t>EXPENSE VARIANCES</t>
        </is>
      </c>
      <c r="C59" t="inlineStr">
        <is>
          <t>Vertical</t>
        </is>
      </c>
      <c r="D59" t="n">
        <v>2</v>
      </c>
      <c r="E59" t="inlineStr">
        <is>
          <t>EXPENSE VARIANCES!I32:I33</t>
        </is>
      </c>
      <c r="F59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G59" t="inlineStr">
        <is>
          <t>Vectorizable</t>
        </is>
      </c>
    </row>
    <row r="60">
      <c r="A60" t="inlineStr">
        <is>
          <t>G000059</t>
        </is>
      </c>
      <c r="B60" t="inlineStr">
        <is>
          <t>EXPENSE VARIANCES</t>
        </is>
      </c>
      <c r="C60" t="inlineStr">
        <is>
          <t>Vertical</t>
        </is>
      </c>
      <c r="D60" t="n">
        <v>2</v>
      </c>
      <c r="E60" t="inlineStr">
        <is>
          <t>EXPENSE VARIANCES!J32:J33</t>
        </is>
      </c>
      <c r="F60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G60" t="inlineStr">
        <is>
          <t>Vectorizable</t>
        </is>
      </c>
    </row>
    <row r="61">
      <c r="A61" t="inlineStr">
        <is>
          <t>G000060</t>
        </is>
      </c>
      <c r="B61" t="inlineStr">
        <is>
          <t>EXPENSE VARIANCES</t>
        </is>
      </c>
      <c r="C61" t="inlineStr">
        <is>
          <t>Vertical</t>
        </is>
      </c>
      <c r="D61" t="n">
        <v>2</v>
      </c>
      <c r="E61" t="inlineStr">
        <is>
          <t>EXPENSE VARIANCES!K32:K33</t>
        </is>
      </c>
      <c r="F61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G61" t="inlineStr">
        <is>
          <t>Vectorizable</t>
        </is>
      </c>
    </row>
    <row r="62">
      <c r="A62" t="inlineStr">
        <is>
          <t>G000061</t>
        </is>
      </c>
      <c r="B62" t="inlineStr">
        <is>
          <t>EXPENSE VARIANCES</t>
        </is>
      </c>
      <c r="C62" t="inlineStr">
        <is>
          <t>Vertical</t>
        </is>
      </c>
      <c r="D62" t="n">
        <v>2</v>
      </c>
      <c r="E62" t="inlineStr">
        <is>
          <t>EXPENSE VARIANCES!L32:L33</t>
        </is>
      </c>
      <c r="F62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G62" t="inlineStr">
        <is>
          <t>Vectorizable</t>
        </is>
      </c>
    </row>
    <row r="63">
      <c r="A63" t="inlineStr">
        <is>
          <t>G000062</t>
        </is>
      </c>
      <c r="B63" t="inlineStr">
        <is>
          <t>EXPENSE VARIANCES</t>
        </is>
      </c>
      <c r="C63" t="inlineStr">
        <is>
          <t>Vertical</t>
        </is>
      </c>
      <c r="D63" t="n">
        <v>2</v>
      </c>
      <c r="E63" t="inlineStr">
        <is>
          <t>EXPENSE VARIANCES!M32:M33</t>
        </is>
      </c>
      <c r="F63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G63" t="inlineStr">
        <is>
          <t>Vectorizable</t>
        </is>
      </c>
    </row>
    <row r="64">
      <c r="A64" t="inlineStr">
        <is>
          <t>G000063</t>
        </is>
      </c>
      <c r="B64" t="inlineStr">
        <is>
          <t>EXPENSE VARIANCES</t>
        </is>
      </c>
      <c r="C64" t="inlineStr">
        <is>
          <t>Vertical</t>
        </is>
      </c>
      <c r="D64" t="n">
        <v>2</v>
      </c>
      <c r="E64" t="inlineStr">
        <is>
          <t>EXPENSE VARIANCES!N32:N33</t>
        </is>
      </c>
      <c r="F64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G64" t="inlineStr">
        <is>
          <t>Vectorizable</t>
        </is>
      </c>
    </row>
    <row r="65">
      <c r="A65" t="inlineStr">
        <is>
          <t>G000064</t>
        </is>
      </c>
      <c r="B65" t="inlineStr">
        <is>
          <t>EXPENSE VARIANCES</t>
        </is>
      </c>
      <c r="C65" t="inlineStr">
        <is>
          <t>Vertical</t>
        </is>
      </c>
      <c r="D65" t="n">
        <v>2</v>
      </c>
      <c r="E65" t="inlineStr">
        <is>
          <t>EXPENSE VARIANCES!O32:O33</t>
        </is>
      </c>
      <c r="F65" t="inlineStr">
        <is>
          <t>'=SUM(TrainingAndTravelVariances[[#This Row],[Jan]:[Dec]])</t>
        </is>
      </c>
      <c r="G65" t="inlineStr">
        <is>
          <t>Vectorizable</t>
        </is>
      </c>
    </row>
    <row r="66">
      <c r="A66" t="inlineStr">
        <is>
          <t>G000065</t>
        </is>
      </c>
      <c r="B66" t="inlineStr">
        <is>
          <t>EXPENSE VARIANCES</t>
        </is>
      </c>
      <c r="C66" t="inlineStr">
        <is>
          <t>Horizontal</t>
        </is>
      </c>
      <c r="D66" t="n">
        <v>12</v>
      </c>
      <c r="E66" t="inlineStr">
        <is>
          <t>EXPENSE VARIANCES!C38:N38</t>
        </is>
      </c>
      <c r="F66" t="inlineStr">
        <is>
          <t>'=SUM(R37C3:R[-1]C[0])</t>
        </is>
      </c>
      <c r="G66" t="inlineStr">
        <is>
          <t>Vectorizable</t>
        </is>
      </c>
    </row>
    <row r="67">
      <c r="A67" t="inlineStr">
        <is>
          <t>G000066</t>
        </is>
      </c>
      <c r="B67" t="inlineStr">
        <is>
          <t>EXPENSE ANALYSIS</t>
        </is>
      </c>
      <c r="C67" t="inlineStr">
        <is>
          <t>Vertical</t>
        </is>
      </c>
      <c r="D67" t="n">
        <v>5</v>
      </c>
      <c r="E67" t="inlineStr">
        <is>
          <t>EXPENSE ANALYSIS!E6:E10</t>
        </is>
      </c>
      <c r="F67" t="inlineStr">
        <is>
          <t>'=R[0]C[-2]-R[0]C[-1]</t>
        </is>
      </c>
      <c r="G67" t="inlineStr">
        <is>
          <t>Vectorizable</t>
        </is>
      </c>
    </row>
    <row r="68">
      <c r="A68" t="inlineStr">
        <is>
          <t>G000067</t>
        </is>
      </c>
      <c r="B68" t="inlineStr">
        <is>
          <t>EXPENSE ANALYSIS</t>
        </is>
      </c>
      <c r="C68" t="inlineStr">
        <is>
          <t>Vertical</t>
        </is>
      </c>
      <c r="D68" t="n">
        <v>5</v>
      </c>
      <c r="E68" t="inlineStr">
        <is>
          <t>EXPENSE ANALYSIS!F6:F10</t>
        </is>
      </c>
      <c r="F68" t="inlineStr">
        <is>
          <t>'=R[0]C[-1]/R[0]C[-3]</t>
        </is>
      </c>
      <c r="G68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2026-03-05T04:05:21Z</dcterms:created>
  <dcterms:modified xsi:type="dcterms:W3CDTF">2026-03-05T04:05:21Z</dcterms:modified>
</cp:coreProperties>
</file>