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1" hidden="1">Discretionary[]</definedName>
    <definedName name="_xlcn.WorksheetConnection_PersonalCashFlow.xlsxExpenses1" hidden="1">Expenses[]</definedName>
    <definedName name="_xlcn.WorksheetConnection_PersonalCashFlow.xlsxIncome1" hidden="1">Income[]</definedName>
    <definedName name="_xlcn.WorksheetConnection_PersonalCashFlow.xlsxSavings1"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flow'!$11:$11</definedName>
    <definedName name="_xlnm.Print_Titles" localSheetId="2">'Monthly cash flow'!$4:$4</definedName>
  </definedNames>
  <calcPr calcId="191028" fullCalcOnLoad="1"/>
  <pivotCaches>
    <pivotCache cacheId="6015" r:id="rId9"/>
    <pivotCache cacheId="6014" r:id="rId10"/>
    <pivotCache cacheId="6012" r:id="rId11"/>
    <pivotCache cacheId="6013"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5">
    <font>
      <name val="Lucida Sans"/>
      <family val="2"/>
      <sz val="11"/>
      <scheme val="minor"/>
    </font>
    <font>
      <name val="Cambria"/>
      <family val="2"/>
      <b val="1"/>
      <color theme="5" tint="-0.249946592608417"/>
      <sz val="24"/>
      <scheme val="major"/>
    </font>
    <font>
      <name val="Cambria"/>
      <family val="2"/>
      <b val="1"/>
      <color theme="3" tint="0.249946592608417"/>
      <sz val="14"/>
      <scheme val="major"/>
    </font>
    <font>
      <name val="Cambria"/>
      <family val="2"/>
      <b val="1"/>
      <color theme="3" tint="0.249946592608417"/>
      <sz val="11"/>
      <scheme val="major"/>
    </font>
    <font>
      <name val="Cambria"/>
      <family val="2"/>
      <b val="1"/>
      <color theme="3" tint="0.249946592608417"/>
      <sz val="12"/>
      <scheme val="major"/>
    </font>
    <font>
      <name val="Cambria"/>
      <family val="2"/>
      <color theme="3" tint="0.249946592608417"/>
      <sz val="36"/>
      <scheme val="major"/>
    </font>
    <font>
      <name val="Lucida Sans"/>
      <family val="2"/>
      <b val="1"/>
      <color theme="1"/>
      <sz val="11"/>
      <scheme val="minor"/>
    </font>
    <font>
      <name val="Lucida Sans"/>
      <family val="2"/>
      <sz val="11"/>
      <scheme val="minor"/>
    </font>
    <font>
      <name val="Lucida Sans"/>
      <family val="2"/>
      <i val="1"/>
      <color theme="1" tint="0.3499862666707358"/>
      <sz val="11"/>
      <scheme val="minor"/>
    </font>
    <font>
      <name val="Lucida Sans"/>
      <family val="2"/>
      <b val="1"/>
      <color theme="3" tint="0.8999603259376812"/>
      <sz val="16"/>
      <scheme val="minor"/>
    </font>
    <font>
      <name val="Lucida Sans"/>
      <family val="2"/>
      <color theme="3" tint="0.249977111117893"/>
      <sz val="11"/>
      <scheme val="minor"/>
    </font>
    <font>
      <name val="Lucida Sans"/>
      <family val="2"/>
      <color theme="6" tint="0.7999816888943144"/>
      <sz val="11"/>
      <scheme val="minor"/>
    </font>
    <font>
      <name val="Lucida Sans"/>
      <family val="2"/>
      <b val="1"/>
      <color theme="3" tint="0.8999603259376812"/>
      <sz val="12"/>
      <scheme val="minor"/>
    </font>
    <font>
      <name val="Lucida Sans"/>
      <family val="2"/>
      <b val="1"/>
      <color rgb="FF57574D"/>
      <sz val="16"/>
      <scheme val="minor"/>
    </font>
    <font>
      <name val="Lucida Sans"/>
      <family val="2"/>
      <b val="1"/>
      <color theme="3" tint="0.8999298074282052"/>
      <sz val="12"/>
      <scheme val="minor"/>
    </font>
    <font>
      <name val="Lucida Sans"/>
      <family val="2"/>
      <color theme="3" tint="0.249946592608417"/>
      <sz val="11"/>
      <scheme val="minor"/>
    </font>
    <font>
      <name val="Cambria"/>
      <family val="1"/>
      <color theme="3" tint="0.249946592608417"/>
      <sz val="36"/>
      <scheme val="major"/>
    </font>
    <font>
      <name val="Cambria"/>
      <family val="1"/>
      <sz val="11"/>
      <scheme val="major"/>
    </font>
    <font>
      <name val="Lucida Sans"/>
      <family val="2"/>
      <color theme="3" tint="0.8999603259376812"/>
      <sz val="16"/>
      <scheme val="minor"/>
    </font>
    <font>
      <name val="Lucida Sans"/>
      <family val="2"/>
      <b val="1"/>
      <color theme="3" tint="0.8999603259376812"/>
      <sz val="11"/>
      <scheme val="minor"/>
    </font>
    <font>
      <name val="Cambria"/>
      <family val="1"/>
      <color theme="3" tint="0.249946592608417"/>
      <sz val="16"/>
      <scheme val="major"/>
    </font>
    <font>
      <name val="Cambria"/>
      <family val="1"/>
      <sz val="16"/>
      <scheme val="major"/>
    </font>
    <font>
      <name val="Cambria"/>
      <family val="1"/>
      <sz val="36"/>
      <scheme val="major"/>
    </font>
    <font>
      <name val="Cambria"/>
      <family val="1"/>
      <color theme="0"/>
      <sz val="16"/>
      <scheme val="major"/>
    </font>
    <font>
      <name val="Lucida Sans"/>
      <family val="2"/>
      <b val="1"/>
      <color theme="3" tint="0.8999603259376812"/>
      <sz val="8"/>
      <scheme val="minor"/>
    </font>
    <font>
      <name val="Lucida Sans"/>
      <family val="2"/>
      <b val="1"/>
      <color theme="5" tint="-0.249946592608417"/>
      <sz val="24"/>
      <scheme val="minor"/>
    </font>
    <font>
      <name val="Cambria"/>
      <family val="1"/>
      <b val="1"/>
      <color theme="5" tint="-0.249946592608417"/>
      <sz val="20"/>
      <scheme val="major"/>
    </font>
    <font>
      <name val="Cambria"/>
      <family val="1"/>
      <color theme="3" tint="0.249977111117893"/>
      <sz val="11"/>
      <scheme val="major"/>
    </font>
    <font>
      <name val="Cambria"/>
      <family val="1"/>
      <b val="1"/>
      <color rgb="FF57574D"/>
      <sz val="14"/>
      <scheme val="major"/>
    </font>
    <font>
      <name val="Cambria"/>
      <family val="1"/>
      <b val="1"/>
      <color theme="5" tint="-0.249946592608417"/>
      <sz val="18"/>
      <scheme val="major"/>
    </font>
    <font>
      <name val="Lucida Sans"/>
      <family val="2"/>
      <color theme="1" tint="0.249977111117893"/>
      <sz val="11"/>
      <scheme val="minor"/>
    </font>
    <font>
      <name val="Cambria"/>
      <family val="1"/>
      <color theme="1" tint="0.1499984740745262"/>
      <sz val="36"/>
      <scheme val="major"/>
    </font>
    <font>
      <name val="Cambria"/>
      <family val="1"/>
      <color theme="1" tint="0.1499984740745262"/>
      <sz val="16"/>
      <scheme val="major"/>
    </font>
    <font>
      <name val="Cambria"/>
      <family val="1"/>
      <color theme="1" tint="0.3499862666707358"/>
      <sz val="11"/>
      <scheme val="major"/>
    </font>
    <font>
      <name val="Lucida Sans"/>
      <family val="2"/>
      <color rgb="FF57574D"/>
      <sz val="16"/>
      <scheme val="minor"/>
    </font>
    <font>
      <name val="Cambria"/>
      <family val="1"/>
      <b val="1"/>
      <color theme="5" tint="-0.249946592608417"/>
      <sz val="24"/>
      <scheme val="major"/>
    </font>
    <font>
      <name val="Cambria"/>
      <family val="1"/>
      <color theme="1" tint="0.249977111117893"/>
      <sz val="16"/>
      <scheme val="major"/>
    </font>
    <font>
      <name val="Lucida Sans"/>
      <family val="2"/>
      <color theme="1" tint="0.249977111117893"/>
      <sz val="12"/>
      <scheme val="minor"/>
    </font>
    <font>
      <name val="Lucida Sans"/>
      <family val="2"/>
      <color theme="1" tint="0.249977111117893"/>
      <sz val="10"/>
      <scheme val="minor"/>
    </font>
    <font>
      <name val="Cambria"/>
      <family val="1"/>
      <color theme="1" tint="0.249977111117893"/>
      <sz val="11"/>
      <scheme val="major"/>
    </font>
    <font>
      <name val="Cambria"/>
      <family val="1"/>
      <color theme="1" tint="0.249977111117893"/>
      <sz val="12"/>
      <scheme val="major"/>
    </font>
    <font>
      <name val="Cambria"/>
      <family val="1"/>
      <color theme="1" tint="0.249977111117893"/>
      <sz val="14"/>
      <scheme val="major"/>
    </font>
    <font>
      <name val="Lucida Sans"/>
      <family val="2"/>
      <b val="1"/>
      <color theme="1" tint="0.249977111117893"/>
      <sz val="12"/>
      <scheme val="minor"/>
    </font>
    <font>
      <name val="Cambria"/>
      <family val="1"/>
      <b val="1"/>
      <color rgb="FF57574D"/>
      <sz val="16"/>
      <scheme val="major"/>
    </font>
    <font>
      <name val="Lucida Sans"/>
      <family val="2"/>
      <color theme="1" tint="0.3499862666707358"/>
      <sz val="11"/>
      <scheme val="minor"/>
    </font>
  </fonts>
  <fills count="13">
    <fill>
      <patternFill/>
    </fill>
    <fill>
      <patternFill patternType="gray125"/>
    </fill>
    <fill>
      <patternFill patternType="solid">
        <fgColor theme="3" tint="0.249946592608417"/>
        <bgColor indexed="64"/>
      </patternFill>
    </fill>
    <fill>
      <patternFill patternType="solid">
        <fgColor theme="3" tint="0.749961851863155"/>
        <bgColor indexed="64"/>
      </patternFill>
    </fill>
    <fill>
      <patternFill patternType="solid">
        <fgColor theme="8" tint="0.7999816888943144"/>
        <bgColor indexed="64"/>
      </patternFill>
    </fill>
    <fill>
      <patternFill patternType="solid">
        <fgColor theme="2"/>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right/>
      <top style="dashed">
        <color theme="3" tint="0.249946592608417"/>
      </top>
      <bottom/>
      <diagonal/>
    </border>
    <border>
      <left style="thin">
        <color auto="1"/>
      </left>
      <right style="thin">
        <color auto="1"/>
      </right>
      <top/>
      <bottom/>
      <diagonal/>
    </border>
    <border>
      <left/>
      <right/>
      <top style="medium">
        <color theme="3" tint="0.249946592608417"/>
      </top>
      <bottom style="hair">
        <color indexed="64"/>
      </bottom>
      <diagonal/>
    </border>
    <border>
      <left/>
      <right/>
      <top style="thin">
        <color theme="3" tint="0.249946592608417"/>
      </top>
      <bottom/>
      <diagonal/>
    </border>
    <border>
      <left/>
      <right/>
      <top style="thin">
        <color theme="3" tint="0.249946592608417"/>
      </top>
      <bottom style="thin">
        <color theme="3" tint="0.249946592608417"/>
      </bottom>
      <diagonal/>
    </border>
    <border>
      <left style="thin">
        <color theme="3" tint="0.249946592608417"/>
      </left>
      <right/>
      <top style="thin">
        <color theme="3" tint="0.249946592608417"/>
      </top>
      <bottom style="thin">
        <color theme="3" tint="0.249946592608417"/>
      </bottom>
      <diagonal/>
    </border>
    <border>
      <left/>
      <right/>
      <top style="dashed">
        <color theme="3" tint="0.249946592608417"/>
      </top>
      <bottom style="dashed">
        <color theme="3" tint="0.249946592608417"/>
      </bottom>
      <diagonal/>
    </border>
  </borders>
  <cellStyleXfs count="17">
    <xf numFmtId="0" fontId="7" fillId="5"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8" borderId="2" applyAlignment="1">
      <alignment horizontal="left"/>
    </xf>
    <xf numFmtId="0" fontId="5" fillId="5" borderId="0"/>
    <xf numFmtId="43" fontId="7" fillId="0" borderId="0"/>
    <xf numFmtId="169" fontId="7" fillId="0" borderId="0"/>
    <xf numFmtId="170" fontId="7" fillId="0" borderId="0"/>
    <xf numFmtId="171" fontId="7" fillId="0" borderId="0"/>
    <xf numFmtId="9" fontId="7" fillId="0" borderId="0"/>
    <xf numFmtId="0" fontId="7" fillId="9" borderId="3"/>
    <xf numFmtId="0" fontId="8" fillId="0" borderId="0"/>
    <xf numFmtId="0" fontId="6" fillId="0" borderId="5"/>
    <xf numFmtId="0" fontId="12" fillId="2" borderId="7" applyAlignment="1">
      <alignment horizontal="center" vertical="center" wrapText="1"/>
    </xf>
    <xf numFmtId="0" fontId="14" fillId="2" borderId="7" applyAlignment="1">
      <alignment horizontal="center" vertical="center" wrapText="1"/>
    </xf>
  </cellStyleXfs>
  <cellXfs count="138">
    <xf numFmtId="0" fontId="0" fillId="5" borderId="0" applyAlignment="1" pivotButton="0" quotePrefix="0" xfId="0">
      <alignment vertical="center" wrapText="1"/>
    </xf>
    <xf numFmtId="0" fontId="10" fillId="5" borderId="0" applyAlignment="1" pivotButton="0" quotePrefix="0" xfId="0">
      <alignment horizontal="left" vertical="top" wrapText="1" indent="1"/>
    </xf>
    <xf numFmtId="0" fontId="7" fillId="5" borderId="0" applyAlignment="1" pivotButton="0" quotePrefix="0" xfId="0">
      <alignment vertical="center" wrapText="1"/>
    </xf>
    <xf numFmtId="0" fontId="17" fillId="5" borderId="0" applyAlignment="1" pivotButton="0" quotePrefix="0" xfId="0">
      <alignment vertical="center" wrapText="1"/>
    </xf>
    <xf numFmtId="0" fontId="21" fillId="5" borderId="0" applyAlignment="1" pivotButton="0" quotePrefix="0" xfId="0">
      <alignment vertical="center" wrapText="1"/>
    </xf>
    <xf numFmtId="0" fontId="22" fillId="5" borderId="0" applyAlignment="1" pivotButton="0" quotePrefix="0" xfId="0">
      <alignment vertical="center" wrapText="1"/>
    </xf>
    <xf numFmtId="0" fontId="7" fillId="12" borderId="0" applyAlignment="1" pivotButton="0" quotePrefix="0" xfId="0">
      <alignment vertical="center" wrapText="1"/>
    </xf>
    <xf numFmtId="0" fontId="7" fillId="6" borderId="0" applyAlignment="1" pivotButton="0" quotePrefix="0" xfId="0">
      <alignment vertical="center" wrapText="1"/>
    </xf>
    <xf numFmtId="0" fontId="7" fillId="7" borderId="0" applyAlignment="1" pivotButton="0" quotePrefix="0" xfId="0">
      <alignment vertical="center" wrapText="1"/>
    </xf>
    <xf numFmtId="0" fontId="23" fillId="10" borderId="0" applyAlignment="1" pivotButton="0" quotePrefix="0" xfId="0">
      <alignment horizontal="left" vertical="center" indent="1"/>
    </xf>
    <xf numFmtId="0" fontId="23" fillId="11" borderId="0" applyAlignment="1" pivotButton="0" quotePrefix="0" xfId="0">
      <alignment horizontal="left" vertical="center" indent="1"/>
    </xf>
    <xf numFmtId="0" fontId="23" fillId="2" borderId="0" applyAlignment="1" pivotButton="0" quotePrefix="0" xfId="0">
      <alignment horizontal="left" vertical="center" indent="1"/>
    </xf>
    <xf numFmtId="0" fontId="16" fillId="5" borderId="0" pivotButton="0" quotePrefix="0" xfId="6"/>
    <xf numFmtId="0" fontId="19" fillId="2" borderId="10" applyAlignment="1" pivotButton="0" quotePrefix="0" xfId="1">
      <alignment vertical="center"/>
    </xf>
    <xf numFmtId="0" fontId="15" fillId="4" borderId="4" applyAlignment="1" pivotButton="0" quotePrefix="0" xfId="4">
      <alignment horizontal="left" vertical="center" indent="1"/>
    </xf>
    <xf numFmtId="0" fontId="15" fillId="4" borderId="4" applyAlignment="1" pivotButton="0" quotePrefix="0" xfId="4">
      <alignment horizontal="left" vertical="center" indent="1"/>
    </xf>
    <xf numFmtId="0" fontId="18" fillId="2" borderId="10" applyAlignment="1" pivotButton="0" quotePrefix="0" xfId="1">
      <alignment vertical="center"/>
    </xf>
    <xf numFmtId="0" fontId="19" fillId="2" borderId="11" applyAlignment="1" pivotButton="0" quotePrefix="0" xfId="1">
      <alignment vertical="center"/>
    </xf>
    <xf numFmtId="0" fontId="18" fillId="2" borderId="11" applyAlignment="1" pivotButton="0" quotePrefix="0" xfId="1">
      <alignment vertical="center"/>
    </xf>
    <xf numFmtId="0" fontId="28" fillId="5" borderId="0" applyAlignment="1" pivotButton="0" quotePrefix="0" xfId="0">
      <alignment horizontal="left" vertical="center" wrapText="1" indent="1"/>
    </xf>
    <xf numFmtId="164" fontId="26" fillId="5" borderId="0" applyAlignment="1" pivotButton="0" quotePrefix="0" xfId="2">
      <alignment horizontal="center" vertical="center"/>
    </xf>
    <xf numFmtId="0" fontId="27" fillId="5" borderId="0" applyAlignment="1" pivotButton="0" quotePrefix="0" xfId="0">
      <alignment horizontal="left" vertical="center" wrapText="1" indent="1"/>
    </xf>
    <xf numFmtId="0" fontId="21" fillId="5" borderId="0" applyAlignment="1" pivotButton="0" quotePrefix="0" xfId="0">
      <alignment horizontal="left" vertical="center" wrapText="1" indent="1"/>
    </xf>
    <xf numFmtId="0" fontId="27" fillId="5" borderId="0" applyAlignment="1" pivotButton="0" quotePrefix="0" xfId="0">
      <alignment vertical="center" wrapText="1"/>
    </xf>
    <xf numFmtId="0" fontId="30" fillId="5" borderId="0" applyAlignment="1" pivotButton="0" quotePrefix="0" xfId="0">
      <alignment horizontal="left" vertical="center" wrapText="1"/>
    </xf>
    <xf numFmtId="0" fontId="30" fillId="5" borderId="0" applyAlignment="1" pivotButton="0" quotePrefix="0" xfId="0">
      <alignment vertical="center" wrapText="1"/>
    </xf>
    <xf numFmtId="0" fontId="30" fillId="6" borderId="0" applyAlignment="1" pivotButton="0" quotePrefix="0" xfId="0">
      <alignment horizontal="left" vertical="top" wrapText="1" indent="1"/>
    </xf>
    <xf numFmtId="0" fontId="30" fillId="7" borderId="0" applyAlignment="1" pivotButton="0" quotePrefix="0" xfId="0">
      <alignment horizontal="left" vertical="top" wrapText="1" indent="1"/>
    </xf>
    <xf numFmtId="0" fontId="30" fillId="3" borderId="0" applyAlignment="1" pivotButton="0" quotePrefix="0" xfId="0">
      <alignment horizontal="left" vertical="top" wrapText="1" indent="1"/>
    </xf>
    <xf numFmtId="0" fontId="11" fillId="4" borderId="0" applyAlignment="1" pivotButton="0" quotePrefix="0" xfId="0">
      <alignment horizontal="center" vertical="center" wrapText="1"/>
    </xf>
    <xf numFmtId="0" fontId="24" fillId="2" borderId="11" applyAlignment="1" pivotButton="0" quotePrefix="0" xfId="1">
      <alignment vertical="center"/>
    </xf>
    <xf numFmtId="0" fontId="24" fillId="2" borderId="10" applyAlignment="1" pivotButton="0" quotePrefix="0" xfId="1">
      <alignment vertical="center"/>
    </xf>
    <xf numFmtId="0" fontId="13" fillId="5" borderId="0" applyAlignment="1" pivotButton="0" quotePrefix="0" xfId="0">
      <alignment horizontal="left" vertical="center" wrapText="1"/>
    </xf>
    <xf numFmtId="164" fontId="25" fillId="5" borderId="0" applyAlignment="1" pivotButton="0" quotePrefix="0" xfId="2">
      <alignment horizontal="left" vertical="center"/>
    </xf>
    <xf numFmtId="0" fontId="38" fillId="5" borderId="0" applyAlignment="1" pivotButton="0" quotePrefix="0" xfId="0">
      <alignment vertical="center" wrapText="1"/>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30" fillId="5" borderId="0" applyAlignment="1" pivotButton="0" quotePrefix="0" xfId="0">
      <alignment vertical="center" wrapText="1"/>
    </xf>
    <xf numFmtId="0" fontId="40" fillId="5" borderId="0" applyAlignment="1" pivotButton="0" quotePrefix="0" xfId="0">
      <alignment vertical="center" wrapText="1"/>
    </xf>
    <xf numFmtId="0" fontId="41" fillId="5" borderId="0" applyAlignment="1" pivotButton="0" quotePrefix="0" xfId="0">
      <alignment vertical="center" wrapText="1"/>
    </xf>
    <xf numFmtId="0" fontId="36" fillId="5" borderId="0" applyAlignment="1" pivotButton="0" quotePrefix="0" xfId="0">
      <alignment vertical="center" wrapText="1"/>
    </xf>
    <xf numFmtId="0" fontId="27" fillId="5" borderId="0" applyAlignment="1" pivotButton="0" quotePrefix="0" xfId="0">
      <alignment vertical="center"/>
    </xf>
    <xf numFmtId="0" fontId="37" fillId="5" borderId="0" applyAlignment="1" pivotButton="0" quotePrefix="0" xfId="0">
      <alignment vertical="center" wrapText="1"/>
    </xf>
    <xf numFmtId="166" fontId="38" fillId="5" borderId="0" applyAlignment="1" pivotButton="0" quotePrefix="0" xfId="0">
      <alignment horizontal="right" vertical="center" wrapText="1" indent="1"/>
    </xf>
    <xf numFmtId="0" fontId="43" fillId="5" borderId="0" applyAlignment="1" pivotButton="0" quotePrefix="0" xfId="0">
      <alignment horizontal="left" vertical="center" wrapText="1"/>
    </xf>
    <xf numFmtId="164" fontId="35" fillId="5" borderId="0" applyAlignment="1" pivotButton="0" quotePrefix="0" xfId="2">
      <alignment horizontal="left" vertical="center"/>
    </xf>
    <xf numFmtId="0" fontId="39" fillId="5" borderId="0" applyAlignment="1" pivotButton="0" quotePrefix="0" xfId="0">
      <alignment vertical="center" wrapTex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36" fillId="5" borderId="2" applyAlignment="1" pivotButton="0" quotePrefix="0" xfId="5">
      <alignment horizontal="left" vertical="center"/>
    </xf>
    <xf numFmtId="165" fontId="38" fillId="5" borderId="0" applyAlignment="1" pivotButton="0" quotePrefix="0" xfId="0">
      <alignment horizontal="left" vertical="center"/>
    </xf>
    <xf numFmtId="165" fontId="42" fillId="5" borderId="2" applyAlignment="1" pivotButton="0" quotePrefix="0" xfId="5">
      <alignment horizontal="left" vertical="center"/>
    </xf>
    <xf numFmtId="0" fontId="41" fillId="5" borderId="0" applyAlignment="1" pivotButton="0" quotePrefix="0" xfId="0">
      <alignment vertical="center"/>
    </xf>
    <xf numFmtId="165" fontId="41" fillId="8" borderId="0" applyAlignment="1" pivotButton="0" quotePrefix="0" xfId="0">
      <alignment horizontal="left" vertical="center" indent="1"/>
    </xf>
    <xf numFmtId="0" fontId="41" fillId="8" borderId="8" applyAlignment="1" pivotButton="0" quotePrefix="0" xfId="0">
      <alignment horizontal="right" vertical="center"/>
    </xf>
    <xf numFmtId="0" fontId="39" fillId="6" borderId="0" applyAlignment="1" pivotButton="0" quotePrefix="0" xfId="0">
      <alignment horizontal="left" vertical="top" wrapText="1" indent="1"/>
    </xf>
    <xf numFmtId="0" fontId="39" fillId="7" borderId="0" applyAlignment="1" pivotButton="0" quotePrefix="0" xfId="0">
      <alignment horizontal="left" vertical="top" wrapText="1" indent="1"/>
    </xf>
    <xf numFmtId="0" fontId="39" fillId="3" borderId="0" applyAlignment="1" pivotButton="0" quotePrefix="0" xfId="0">
      <alignment horizontal="left" vertical="top" wrapText="1" indent="1"/>
    </xf>
    <xf numFmtId="0" fontId="44" fillId="5" borderId="0" applyAlignment="1" pivotButton="0" quotePrefix="0" xfId="0">
      <alignment vertical="center" wrapText="1"/>
    </xf>
    <xf numFmtId="166" fontId="30" fillId="5" borderId="0" applyAlignment="1" pivotButton="0" quotePrefix="0" xfId="0">
      <alignment horizontal="right" vertical="center" wrapText="1" indent="1"/>
    </xf>
    <xf numFmtId="43" fontId="30" fillId="5" borderId="0" applyAlignment="1" pivotButton="0" quotePrefix="0" xfId="7">
      <alignment horizontal="left" vertical="center"/>
    </xf>
    <xf numFmtId="165" fontId="41" fillId="5" borderId="0" applyAlignment="1" pivotButton="0" quotePrefix="0" xfId="0">
      <alignment vertical="center"/>
    </xf>
    <xf numFmtId="0" fontId="13" fillId="5" borderId="0" applyAlignment="1" pivotButton="0" quotePrefix="0" xfId="0">
      <alignment vertical="center" wrapText="1"/>
    </xf>
    <xf numFmtId="164" fontId="25" fillId="5" borderId="0" applyAlignment="1" pivotButton="0" quotePrefix="0" xfId="2">
      <alignment horizontal="center" vertical="center"/>
    </xf>
    <xf numFmtId="0" fontId="33" fillId="5" borderId="9" applyAlignment="1" pivotButton="0" quotePrefix="0" xfId="0">
      <alignment horizontal="left" vertical="center" indent="4"/>
    </xf>
    <xf numFmtId="0" fontId="41" fillId="5" borderId="0" applyAlignment="1" pivotButton="0" quotePrefix="0" xfId="0">
      <alignment horizontal="right" vertical="center" indent="1"/>
    </xf>
    <xf numFmtId="0" fontId="39" fillId="5" borderId="0" applyAlignment="1" pivotButton="0" quotePrefix="0" xfId="0">
      <alignment vertical="top" wrapText="1"/>
    </xf>
    <xf numFmtId="165" fontId="30" fillId="5" borderId="0" applyAlignment="1" pivotButton="0" quotePrefix="0" xfId="0">
      <alignment vertical="center"/>
    </xf>
    <xf numFmtId="166" fontId="30" fillId="5" borderId="0" applyAlignment="1" pivotButton="0" quotePrefix="0" xfId="0">
      <alignment horizontal="right" vertical="center" indent="1"/>
    </xf>
    <xf numFmtId="0" fontId="9" fillId="2" borderId="11" applyAlignment="1" pivotButton="0" quotePrefix="0" xfId="1">
      <alignment vertical="center"/>
    </xf>
    <xf numFmtId="0" fontId="9" fillId="2" borderId="10" applyAlignment="1" pivotButton="0" quotePrefix="0" xfId="1">
      <alignment vertical="center"/>
    </xf>
    <xf numFmtId="0" fontId="43" fillId="5" borderId="0" applyAlignment="1" pivotButton="0" quotePrefix="0" xfId="0">
      <alignment vertical="center" wrapText="1"/>
    </xf>
    <xf numFmtId="164" fontId="35" fillId="5" borderId="0" applyAlignment="1" pivotButton="0" quotePrefix="0" xfId="2">
      <alignment horizontal="center" vertical="center"/>
    </xf>
    <xf numFmtId="0" fontId="10" fillId="5" borderId="0" applyAlignment="1" pivotButton="0" quotePrefix="0" xfId="0">
      <alignment vertical="center" wrapText="1"/>
    </xf>
    <xf numFmtId="0" fontId="34" fillId="5" borderId="0" applyAlignment="1" pivotButton="0" quotePrefix="0" xfId="0">
      <alignment horizontal="right" vertical="center" wrapText="1" indent="2"/>
    </xf>
    <xf numFmtId="164" fontId="1" fillId="5" borderId="0" applyAlignment="1" pivotButton="0" quotePrefix="0" xfId="2">
      <alignment horizontal="center" vertical="center"/>
    </xf>
    <xf numFmtId="165" fontId="41" fillId="5" borderId="2" applyAlignment="1" pivotButton="0" quotePrefix="0" xfId="3">
      <alignment vertical="center"/>
    </xf>
    <xf numFmtId="0" fontId="41" fillId="5" borderId="2" applyAlignment="1" pivotButton="0" quotePrefix="0" xfId="0">
      <alignment vertical="center" wrapText="1"/>
    </xf>
    <xf numFmtId="0" fontId="0" fillId="5" borderId="0" applyAlignment="1" pivotButton="1" quotePrefix="0" xfId="0">
      <alignment vertical="center" wrapText="1"/>
    </xf>
    <xf numFmtId="0" fontId="15" fillId="4" borderId="12" applyAlignment="1" pivotButton="0" quotePrefix="0" xfId="4">
      <alignment horizontal="left" vertical="center" indent="1"/>
    </xf>
    <xf numFmtId="0" fontId="15" fillId="4" borderId="12" applyAlignment="1" pivotButton="0" quotePrefix="0" xfId="4">
      <alignment vertical="center"/>
    </xf>
    <xf numFmtId="164" fontId="41" fillId="5" borderId="0" applyAlignment="1" pivotButton="0" quotePrefix="0" xfId="0">
      <alignment horizontal="right" vertical="center" indent="1"/>
    </xf>
    <xf numFmtId="0" fontId="30" fillId="5" borderId="0" applyAlignment="1" pivotButton="0" quotePrefix="0" xfId="0">
      <alignment horizontal="center"/>
    </xf>
    <xf numFmtId="0" fontId="11" fillId="4" borderId="6" applyAlignment="1" pivotButton="0" quotePrefix="0" xfId="0">
      <alignment horizontal="center" vertical="center" wrapText="1"/>
    </xf>
    <xf numFmtId="0" fontId="32" fillId="5" borderId="0" applyAlignment="1" pivotButton="0" quotePrefix="0" xfId="0">
      <alignment horizontal="right" vertical="center" indent="2"/>
    </xf>
    <xf numFmtId="0" fontId="32" fillId="5" borderId="0" applyAlignment="1" pivotButton="0" quotePrefix="0" xfId="0">
      <alignment horizontal="right" vertical="center" indent="1"/>
    </xf>
    <xf numFmtId="0" fontId="32" fillId="5" borderId="0" applyAlignment="1" pivotButton="0" quotePrefix="0" xfId="0">
      <alignment horizontal="right" vertical="center"/>
    </xf>
    <xf numFmtId="0" fontId="0" fillId="5" borderId="0" applyAlignment="1" pivotButton="0" quotePrefix="0" xfId="0">
      <alignment horizontal="left" vertical="center" wrapText="1"/>
    </xf>
    <xf numFmtId="167" fontId="0" fillId="5" borderId="0" applyAlignment="1" pivotButton="0" quotePrefix="0" xfId="0">
      <alignment vertical="center" wrapText="1"/>
    </xf>
    <xf numFmtId="168" fontId="0" fillId="5" borderId="0" applyAlignment="1" pivotButton="0" quotePrefix="0" xfId="0">
      <alignment vertical="center" wrapText="1"/>
    </xf>
    <xf numFmtId="0" fontId="33" fillId="5" borderId="0" applyAlignment="1" pivotButton="0" quotePrefix="0" xfId="0">
      <alignment horizontal="left" vertical="center" wrapText="1"/>
    </xf>
    <xf numFmtId="0" fontId="33" fillId="5" borderId="9" applyAlignment="1" pivotButton="0" quotePrefix="0" xfId="0">
      <alignment horizontal="left" vertical="center" wrapText="1"/>
    </xf>
    <xf numFmtId="0" fontId="33" fillId="5" borderId="9" applyAlignment="1" pivotButton="0" quotePrefix="0" xfId="0">
      <alignment horizontal="left" vertical="center"/>
    </xf>
    <xf numFmtId="164" fontId="29" fillId="5" borderId="9" applyAlignment="1" pivotButton="0" quotePrefix="0" xfId="2">
      <alignment horizontal="left" vertical="center" indent="1"/>
    </xf>
    <xf numFmtId="0" fontId="20" fillId="4" borderId="2" applyAlignment="1" pivotButton="0" quotePrefix="0" xfId="3">
      <alignment horizontal="left" vertical="center" indent="1"/>
    </xf>
    <xf numFmtId="164" fontId="15" fillId="4" borderId="12" applyAlignment="1" pivotButton="0" quotePrefix="0" xfId="4">
      <alignment horizontal="right" vertical="center"/>
    </xf>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166" fontId="15" fillId="4" borderId="4" applyAlignment="1" pivotButton="0" quotePrefix="0" xfId="4">
      <alignment horizontal="right" vertical="center"/>
    </xf>
    <xf numFmtId="0" fontId="31" fillId="5" borderId="0" pivotButton="0" quotePrefix="0" xfId="6"/>
    <xf numFmtId="164" fontId="29" fillId="5" borderId="0" applyAlignment="1" pivotButton="0" quotePrefix="0" xfId="2">
      <alignment horizontal="left" vertical="center"/>
    </xf>
    <xf numFmtId="0" fontId="0" fillId="0" borderId="0" pivotButton="0" quotePrefix="0" xfId="0"/>
    <xf numFmtId="164" fontId="29" fillId="5" borderId="0" applyAlignment="1" pivotButton="0" quotePrefix="0" xfId="2">
      <alignment horizontal="left" vertical="center"/>
    </xf>
    <xf numFmtId="0" fontId="0" fillId="0" borderId="9" pivotButton="0" quotePrefix="0" xfId="0"/>
    <xf numFmtId="164" fontId="35" fillId="5" borderId="0" applyAlignment="1" pivotButton="0" quotePrefix="0" xfId="2">
      <alignment horizontal="left" vertical="center"/>
    </xf>
    <xf numFmtId="165" fontId="36" fillId="5" borderId="2" applyAlignment="1" pivotButton="0" quotePrefix="0" xfId="5">
      <alignment horizontal="left" vertical="center"/>
    </xf>
    <xf numFmtId="165" fontId="42" fillId="5" borderId="2" applyAlignment="1" pivotButton="0" quotePrefix="0" xfId="5">
      <alignment horizontal="left" vertical="center"/>
    </xf>
    <xf numFmtId="165" fontId="41" fillId="8" borderId="0" applyAlignment="1" pivotButton="0" quotePrefix="0" xfId="0">
      <alignment horizontal="left" vertical="center" inden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41" fillId="5" borderId="0" applyAlignment="1" pivotButton="0" quotePrefix="0" xfId="0">
      <alignment vertical="center"/>
    </xf>
    <xf numFmtId="165" fontId="38" fillId="5" borderId="0" applyAlignment="1" pivotButton="0" quotePrefix="0" xfId="0">
      <alignment horizontal="left" vertical="center"/>
    </xf>
    <xf numFmtId="166" fontId="38" fillId="5" borderId="0" applyAlignment="1" pivotButton="0" quotePrefix="0" xfId="0">
      <alignment horizontal="right" vertical="center" wrapText="1" indent="1"/>
    </xf>
    <xf numFmtId="164" fontId="30" fillId="5" borderId="0" applyAlignment="1" pivotButton="0" quotePrefix="0" xfId="0">
      <alignment vertical="center" wrapText="1"/>
    </xf>
    <xf numFmtId="166" fontId="30" fillId="5" borderId="0" applyAlignment="1" pivotButton="0" quotePrefix="0" xfId="0">
      <alignment horizontal="right" vertical="center" wrapText="1" indent="1"/>
    </xf>
    <xf numFmtId="164" fontId="25" fillId="5" borderId="0" applyAlignment="1" pivotButton="0" quotePrefix="0" xfId="2">
      <alignment horizontal="left" vertical="center"/>
    </xf>
    <xf numFmtId="165" fontId="41" fillId="5" borderId="2" applyAlignment="1" pivotButton="0" quotePrefix="0" xfId="3">
      <alignment vertical="center"/>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29" fillId="5" borderId="9" applyAlignment="1" pivotButton="0" quotePrefix="0" xfId="2">
      <alignment horizontal="left" vertical="center" indent="1"/>
    </xf>
    <xf numFmtId="164" fontId="26" fillId="5" borderId="0" applyAlignment="1" pivotButton="0" quotePrefix="0" xfId="2">
      <alignment horizontal="center" vertical="center"/>
    </xf>
    <xf numFmtId="0" fontId="0" fillId="0" borderId="2" pivotButton="0" quotePrefix="0" xfId="0"/>
    <xf numFmtId="166" fontId="15" fillId="4" borderId="4" applyAlignment="1" pivotButton="0" quotePrefix="0" xfId="4">
      <alignment horizontal="right" vertical="center"/>
    </xf>
    <xf numFmtId="0" fontId="0" fillId="0" borderId="4" pivotButton="0" quotePrefix="0" xfId="0"/>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0" fontId="0" fillId="0" borderId="12" pivotButton="0" quotePrefix="0" xfId="0"/>
    <xf numFmtId="164" fontId="15" fillId="4" borderId="12" applyAlignment="1" pivotButton="0" quotePrefix="0" xfId="4">
      <alignment horizontal="right" vertical="center"/>
    </xf>
    <xf numFmtId="167" fontId="0" fillId="5" borderId="0" applyAlignment="1" pivotButton="0" quotePrefix="0" xfId="0">
      <alignment vertical="center" wrapText="1"/>
    </xf>
    <xf numFmtId="168" fontId="0" fillId="5" borderId="0" applyAlignment="1" pivotButton="0" quotePrefix="0" xfId="0">
      <alignment vertical="center" wrapText="1"/>
    </xf>
    <xf numFmtId="164" fontId="25" fillId="5" borderId="0" applyAlignment="1" pivotButton="0" quotePrefix="0" xfId="2">
      <alignment horizontal="center" vertical="center"/>
    </xf>
    <xf numFmtId="165" fontId="30" fillId="5" borderId="0" applyAlignment="1" pivotButton="0" quotePrefix="0" xfId="0">
      <alignment vertical="center"/>
    </xf>
    <xf numFmtId="166" fontId="30" fillId="5" borderId="0" applyAlignment="1" pivotButton="0" quotePrefix="0" xfId="0">
      <alignment horizontal="right" vertical="center" indent="1"/>
    </xf>
    <xf numFmtId="164" fontId="35" fillId="5" borderId="0" applyAlignment="1" pivotButton="0" quotePrefix="0" xfId="2">
      <alignment horizontal="center" vertical="center"/>
    </xf>
    <xf numFmtId="164" fontId="41" fillId="5" borderId="0" applyAlignment="1" pivotButton="0" quotePrefix="0" xfId="0">
      <alignment horizontal="right" vertical="center" indent="1"/>
    </xf>
    <xf numFmtId="164" fontId="1" fillId="5" borderId="0" applyAlignment="1" pivotButton="0" quotePrefix="0" xfId="2">
      <alignment horizontal="center"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13">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strike val="0"/>
        <outline val="0"/>
        <shadow val="0"/>
        <color theme="1" tint="0.249977111117893"/>
        <vertAlign val="baseline"/>
      </font>
    </dxf>
    <dxf>
      <font>
        <strike val="0"/>
        <outline val="0"/>
        <shadow val="0"/>
        <color theme="1" tint="0.249977111117893"/>
        <vertAlign val="baseline"/>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68" formatCode="_)@"/>
    </dxf>
    <dxf>
      <font>
        <name val="Lucida Sans"/>
        <strike val="0"/>
        <outline val="0"/>
        <shadow val="0"/>
        <condense val="0"/>
        <color theme="1" tint="0.249977111117893"/>
        <extend val="0"/>
        <sz val="11"/>
        <vertAlign val="baseline"/>
        <scheme val="minor"/>
      </font>
      <numFmt numFmtId="168" formatCode="_)@"/>
      <fill>
        <patternFill patternType="solid">
          <fgColor indexed="64"/>
          <bgColor theme="2"/>
        </patternFill>
      </fill>
      <alignment horizontal="general" vertical="center"/>
      <border outline="0">
        <left/>
        <right/>
        <top/>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8" formatCode="_)@"/>
    </dxf>
    <dxf>
      <border>
        <bottom style="medium">
          <color theme="3" tint="0.249946592608417"/>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horizontal="general" vertical="center"/>
    </dxf>
    <dxf>
      <fill>
        <patternFill>
          <bgColor theme="4" tint="0.7999816888943144"/>
        </patternFill>
      </fill>
    </dxf>
    <dxf>
      <fill>
        <patternFill>
          <bgColor theme="4" tint="0.5999633777886288"/>
        </patternFill>
      </fill>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vertical="center"/>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numFmt numFmtId="168" formatCode="_)@"/>
      <alignment horizontal="left" vertical="center"/>
    </dxf>
    <dxf>
      <font>
        <name val="Lucida Sans"/>
        <family val="2"/>
        <strike val="0"/>
        <outline val="0"/>
        <shadow val="0"/>
        <condense val="0"/>
        <color theme="1" tint="0.249977111117893"/>
        <extend val="0"/>
        <sz val="11"/>
        <vertAlign val="baseline"/>
        <scheme val="minor"/>
      </font>
      <fill>
        <patternFill patternType="solid">
          <fgColor indexed="64"/>
          <bgColor theme="2"/>
        </patternFill>
      </fill>
      <alignment horizontal="left" vertical="center"/>
      <border outline="0">
        <left/>
        <right/>
        <top/>
        <bottom/>
      </border>
    </dxf>
    <dxf>
      <font>
        <name val="Lucida Sans"/>
        <strike val="0"/>
        <outline val="0"/>
        <shadow val="0"/>
        <color theme="1" tint="0.249977111117893"/>
        <sz val="11"/>
        <vertAlign val="baseline"/>
        <scheme val="minor"/>
      </font>
      <alignment vertical="center"/>
    </dxf>
    <dxf>
      <font>
        <name val="Lucida Sans"/>
        <strike val="0"/>
        <outline val="0"/>
        <shadow val="0"/>
        <color theme="1" tint="0.249977111117893"/>
        <vertAlign val="baseline"/>
        <scheme val="minor"/>
      </font>
      <alignment vertical="center"/>
    </dxf>
    <dxf>
      <font>
        <name val="Cambria"/>
        <strike val="0"/>
        <outline val="0"/>
        <shadow val="0"/>
        <color theme="1" tint="0.249977111117893"/>
        <sz val="14"/>
        <vertAlign val="baseline"/>
        <scheme val="major"/>
      </font>
      <alignment vertical="center"/>
    </dxf>
    <dxf>
      <fill>
        <patternFill>
          <bgColor theme="3" tint="0.749961851863155"/>
        </patternFill>
      </fill>
    </dxf>
    <dxf>
      <fill>
        <patternFill>
          <bgColor theme="3" tint="0.8999603259376812"/>
        </patternFill>
      </fill>
    </dxf>
    <dxf>
      <fill>
        <patternFill>
          <bgColor theme="5" tint="0.7999816888943144"/>
        </patternFill>
      </fill>
    </dxf>
    <dxf>
      <fill>
        <patternFill>
          <bgColor theme="5" tint="0.7999816888943144"/>
        </patternFill>
      </fill>
    </dxf>
    <dxf>
      <fill>
        <patternFill>
          <bgColor theme="2" tint="-0.249946592608417"/>
        </patternFill>
      </fill>
    </dxf>
    <dxf>
      <fill>
        <patternFill>
          <bgColor theme="2" tint="-0.09994811853389081"/>
        </patternFill>
      </fill>
    </dxf>
    <dxf>
      <fill>
        <patternFill>
          <bgColor theme="4" tint="0.5999633777886288"/>
        </patternFill>
      </fill>
    </dxf>
    <dxf>
      <fill>
        <patternFill>
          <bgColor theme="4" tint="0.5999633777886288"/>
        </patternFill>
      </fill>
    </dxf>
    <dxf>
      <fill>
        <patternFill>
          <bgColor theme="2" tint="-0.09994811853389081"/>
        </patternFill>
      </fill>
    </dxf>
    <dxf>
      <fill>
        <patternFill>
          <bgColor theme="4"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color theme="3" tint="0.09994811853389081"/>
      </font>
      <fill>
        <patternFill>
          <fgColor theme="2"/>
          <bgColor theme="2"/>
        </patternFill>
      </fill>
    </dxf>
    <dxf>
      <font>
        <color theme="3" tint="0.09994811853389081"/>
      </font>
      <fill>
        <patternFill>
          <fgColor theme="0"/>
          <bgColor theme="0"/>
        </patternFill>
      </fill>
      <border>
        <left/>
        <right/>
        <top/>
        <bottom/>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fill>
        <patternFill patternType="solid">
          <fgColor theme="0"/>
          <bgColor theme="0"/>
        </patternFill>
      </fill>
      <border>
        <left/>
        <right/>
        <top/>
        <bottom/>
        <vertical/>
        <horizontal/>
      </border>
    </dxf>
  </dxfs>
  <tableStyles count="3" defaultTableStyle="Personal Cash Flow Statement" defaultPivotStyle="PivotStyleLight15">
    <tableStyle name="Daily Summary" pivot="0" count="5">
      <tableStyleElement type="wholeTable" dxfId="112"/>
      <tableStyleElement type="headerRow" dxfId="111"/>
      <tableStyleElement type="totalRow" dxfId="110"/>
      <tableStyleElement type="firstRowStripe" dxfId="109"/>
      <tableStyleElement type="secondRowStripe" dxfId="108"/>
    </tableStyle>
    <tableStyle name="Monthly Cash Flow" pivot="0" count="5">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[TF281b542f-3349-4685-9722-80e31c4e530ef4aece59_wac-bec5558044a4.xlsx]Annual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flow'!$S$10</f>
              <strCache>
                <ptCount val="1"/>
                <pt idx="0">
                  <v>Total</v>
                </pt>
              </strCache>
            </strRef>
          </tx>
          <spPr>
            <a:solidFill>
              <a:schemeClr val="accent1"/>
            </a:solidFill>
            <a:ln>
              <a:noFill/>
              <a:prstDash val="solid"/>
            </a:ln>
          </spPr>
          <invertIfNegative val="0"/>
          <cat>
            <strRef>
              <f>'Annual cash flow'!$R$11:$R$17</f>
              <strCache>
                <ptCount val="6"/>
                <pt idx="0">
                  <v>Other 2</v>
                </pt>
                <pt idx="1">
                  <v>Other 3</v>
                </pt>
                <pt idx="2">
                  <v>Other 4</v>
                </pt>
                <pt idx="3">
                  <v>Commissions/bonus</v>
                </pt>
                <pt idx="4">
                  <v>Other 1</v>
                </pt>
                <pt idx="5">
                  <v>Salary</v>
                </pt>
              </strCache>
            </strRef>
          </cat>
          <val>
            <numRef>
              <f>'Annual cash flow'!$S$11:$S$17</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[TF281b542f-3349-4685-9722-80e31c4e530ef4aece59_wac-bec5558044a4.xlsx]Annual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flow'!$Y$10</f>
              <strCache>
                <ptCount val="1"/>
                <pt idx="0">
                  <v>Total</v>
                </pt>
              </strCache>
            </strRef>
          </tx>
          <spPr>
            <a:solidFill>
              <a:schemeClr val="accent1"/>
            </a:solidFill>
            <a:ln>
              <a:noFill/>
              <a:prstDash val="solid"/>
            </a:ln>
          </spPr>
          <invertIfNegative val="0"/>
          <cat>
            <strRef>
              <f>'Annual cash flow'!$X$11:$X$22</f>
              <strCache>
                <ptCount val="11"/>
                <pt idx="0">
                  <v>Other 2</v>
                </pt>
                <pt idx="1">
                  <v>Other 1</v>
                </pt>
                <pt idx="2">
                  <v>Club/Memberships</v>
                </pt>
                <pt idx="3">
                  <v>Personal Care</v>
                </pt>
                <pt idx="4">
                  <v>Gifts</v>
                </pt>
                <pt idx="5">
                  <v>Charity</v>
                </pt>
                <pt idx="6">
                  <v>Entertainment</v>
                </pt>
                <pt idx="7">
                  <v>Dining</v>
                </pt>
                <pt idx="8">
                  <v>Shopping</v>
                </pt>
                <pt idx="9">
                  <v>Travel</v>
                </pt>
                <pt idx="10">
                  <v>Home Improvements</v>
                </pt>
              </strCache>
            </strRef>
          </cat>
          <val>
            <numRef>
              <f>'Annual cash flow'!$Y$11:$Y$22</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[TF281b542f-3349-4685-9722-80e31c4e530ef4aece59_wac-bec5558044a4.xlsx]Annual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flow'!$V$10</f>
              <strCache>
                <ptCount val="1"/>
                <pt idx="0">
                  <v>Total</v>
                </pt>
              </strCache>
            </strRef>
          </tx>
          <spPr>
            <a:solidFill>
              <a:schemeClr val="accent1"/>
            </a:solidFill>
            <a:ln>
              <a:noFill/>
              <a:prstDash val="solid"/>
            </a:ln>
          </spPr>
          <invertIfNegative val="0"/>
          <cat>
            <strRef>
              <f>'Annual cash flow'!$U$11:$U$29</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flow'!$V$11:$V$29</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[TF281b542f-3349-4685-9722-80e31c4e530ef4aece59_wac-bec5558044a4.xlsx]Annual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flow'!$AB$10</f>
              <strCache>
                <ptCount val="1"/>
                <pt idx="0">
                  <v>Total</v>
                </pt>
              </strCache>
            </strRef>
          </tx>
          <spPr>
            <a:solidFill>
              <a:schemeClr val="accent1"/>
            </a:solidFill>
            <a:ln>
              <a:noFill/>
              <a:prstDash val="solid"/>
            </a:ln>
          </spPr>
          <invertIfNegative val="0"/>
          <cat>
            <strRef>
              <f>'Annual cash flow'!$AA$11:$AA$16</f>
              <strCache>
                <ptCount val="5"/>
                <pt idx="0">
                  <v>Other 1</v>
                </pt>
                <pt idx="1">
                  <v>Other 2</v>
                </pt>
                <pt idx="2">
                  <v>Cash Reserves</v>
                </pt>
                <pt idx="3">
                  <v>Savings/Investment</v>
                </pt>
                <pt idx="4">
                  <v>401(k)/Etc</v>
                </pt>
              </strCache>
            </strRef>
          </cat>
          <val>
            <numRef>
              <f>'Annual cash flow'!$AB$11:$AB$16</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416"/>
        <crosses val="autoZero"/>
        <auto val="1"/>
        <lblAlgn val="ctr"/>
        <lblOffset val="100"/>
        <noMultiLvlLbl val="0"/>
      </catAx>
      <valAx>
        <axId val="527863416"/>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088"/>
        <crosses val="autoZero"/>
        <crossBetween val="between"/>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5</row>
      <rowOff>0</rowOff>
    </from>
    <to>
      <col>4</col>
      <colOff>0</colOff>
      <row>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5</row>
      <rowOff>0</rowOff>
    </from>
    <to>
      <col>12</col>
      <colOff>0</colOff>
      <row>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5</row>
      <rowOff>0</rowOff>
    </from>
    <to>
      <col>8</col>
      <colOff>0</colOff>
      <row>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4</row>
      <rowOff>428624</rowOff>
    </from>
    <to>
      <col>16</col>
      <colOff>0</colOff>
      <row>5</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4946.46342731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4946.46342418982"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4946.46341793981"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4946.46342152778"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2" cacheId="60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10:Y22"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pivotTables/pivotTable2.xml><?xml version="1.0" encoding="utf-8"?>
<pivotTableDefinition xmlns:r="http://schemas.openxmlformats.org/officeDocument/2006/relationships" xmlns="http://schemas.openxmlformats.org/spreadsheetml/2006/main" name="PVT_Expenses1" cacheId="60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10:V29"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3.xml><?xml version="1.0" encoding="utf-8"?>
<pivotTableDefinition xmlns:r="http://schemas.openxmlformats.org/officeDocument/2006/relationships" xmlns="http://schemas.openxmlformats.org/spreadsheetml/2006/main" name="PVT_Savings" cacheId="60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10:AB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4.xml><?xml version="1.0" encoding="utf-8"?>
<pivotTableDefinition xmlns:r="http://schemas.openxmlformats.org/officeDocument/2006/relationships" xmlns="http://schemas.openxmlformats.org/spreadsheetml/2006/main" name="PVT_Income" cacheId="60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10:S17"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tables/table1.xml><?xml version="1.0" encoding="utf-8"?>
<table xmlns="http://schemas.openxmlformats.org/spreadsheetml/2006/main" id="1" name="Daily" displayName="Daily" ref="B11:F55" headerRowCount="1" totalsRowCount="1" headerRowDxfId="83" dataDxfId="82" totalsRowDxfId="81">
  <autoFilter ref="B11:F54"/>
  <tableColumns count="5">
    <tableColumn id="1" name="Type" totalsRowLabel="Total" dataDxfId="79" totalsRowDxfId="80" dataCellStyle="Comma" totalsRowCellStyle="Comma"/>
    <tableColumn id="2" name="Description" dataDxfId="77" totalsRowDxfId="78"/>
    <tableColumn id="3" name="Daily" totalsRowFunction="custom" dataDxfId="75" totalsRowDxfId="76">
      <totalsRowFormula>SUMIF(Daily[Type],"Income",Daily[Daily])-SUMIF(Daily[Type],"&lt;&gt;Income",Daily[Daily])</totalsRowFormula>
    </tableColumn>
    <tableColumn id="14" name="Monthly" totalsRowFunction="custom" dataDxfId="73" totalsRowDxfId="74">
      <calculatedColumnFormula>Daily[[#This Row],[Annual]]/12</calculatedColumnFormula>
      <totalsRowFormula>SUMIF(Daily[Type],"Income",Daily[Monthly])-SUMIF(Daily[Type],"&lt;&gt;Income",Daily[Monthly])</totalsRowFormula>
    </tableColumn>
    <tableColumn id="15" name="Annual" totalsRowFunction="custom" dataDxfId="71" totalsRowDxfId="72">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table>
</file>

<file path=xl/tables/table2.xml><?xml version="1.0" encoding="utf-8"?>
<table xmlns="http://schemas.openxmlformats.org/spreadsheetml/2006/main" id="2" name="Monthly" displayName="Monthly" ref="B4:P48" headerRowCount="1" totalsRowCount="1" headerRowDxfId="68" dataDxfId="67" totalsRowDxfId="66" headerRowBorderDxfId="65" headerRowCellStyle="Heading 3">
  <autoFilter ref="B4:P47"/>
  <tableColumns count="15">
    <tableColumn id="1" name="Type" totalsRowLabel="Total" dataDxfId="63" totalsRowDxfId="64"/>
    <tableColumn id="2" name="Description" dataDxfId="61" totalsRowDxfId="62"/>
    <tableColumn id="3" name="Jan" totalsRowFunction="custom" dataDxfId="59" totalsRowDxfId="60">
      <totalsRowFormula>SUMIF(Monthly[Type],"Income",Monthly[Jan])-SUMIF(Monthly[Type],"&lt;&gt;Income",Monthly[Jan])</totalsRowFormula>
    </tableColumn>
    <tableColumn id="4" name="Feb" totalsRowFunction="custom" dataDxfId="57" totalsRowDxfId="58">
      <totalsRowFormula>SUMIF(Monthly[Type],"Income",Monthly[Feb])-SUMIF(Monthly[Type],"&lt;&gt;Income",Monthly[Feb])</totalsRowFormula>
    </tableColumn>
    <tableColumn id="5" name="Mar" totalsRowFunction="custom" dataDxfId="55" totalsRowDxfId="56">
      <totalsRowFormula>SUMIF(Monthly[Type],"Income",Monthly[Mar])-SUMIF(Monthly[Type],"&lt;&gt;Income",Monthly[Mar])</totalsRowFormula>
    </tableColumn>
    <tableColumn id="6" name="Apr" totalsRowFunction="custom" dataDxfId="53" totalsRowDxfId="54">
      <totalsRowFormula>SUMIF(Monthly[Type],"Income",Monthly[Apr])-SUMIF(Monthly[Type],"&lt;&gt;Income",Monthly[Apr])</totalsRowFormula>
    </tableColumn>
    <tableColumn id="7" name="May" totalsRowFunction="custom" dataDxfId="51" totalsRowDxfId="52">
      <totalsRowFormula>SUMIF(Monthly[Type],"Income",Monthly[May])-SUMIF(Monthly[Type],"&lt;&gt;Income",Monthly[May])</totalsRowFormula>
    </tableColumn>
    <tableColumn id="8" name="Jun" totalsRowFunction="custom" dataDxfId="49" totalsRowDxfId="50">
      <totalsRowFormula>SUMIF(Monthly[Type],"Income",Monthly[Jun])-SUMIF(Monthly[Type],"&lt;&gt;Income",Monthly[Jun])</totalsRowFormula>
    </tableColumn>
    <tableColumn id="9" name="Jul" totalsRowFunction="custom" dataDxfId="47" totalsRowDxfId="48">
      <totalsRowFormula>SUMIF(Monthly[Type],"Income",Monthly[Jul])-SUMIF(Monthly[Type],"&lt;&gt;Income",Monthly[Jul])</totalsRowFormula>
    </tableColumn>
    <tableColumn id="10" name="Aug" totalsRowFunction="custom" dataDxfId="45" totalsRowDxfId="46">
      <totalsRowFormula>SUMIF(Monthly[Type],"Income",Monthly[Aug])-SUMIF(Monthly[Type],"&lt;&gt;Income",Monthly[Aug])</totalsRowFormula>
    </tableColumn>
    <tableColumn id="11" name="Sep" totalsRowFunction="custom" dataDxfId="43" totalsRowDxfId="44">
      <totalsRowFormula>SUMIF(Monthly[Type],"Income",Monthly[Sep])-SUMIF(Monthly[Type],"&lt;&gt;Income",Monthly[Sep])</totalsRowFormula>
    </tableColumn>
    <tableColumn id="12" name="Oct" totalsRowFunction="custom" dataDxfId="41" totalsRowDxfId="42">
      <totalsRowFormula>SUMIF(Monthly[Type],"Income",Monthly[Oct])-SUMIF(Monthly[Type],"&lt;&gt;Income",Monthly[Oct])</totalsRowFormula>
    </tableColumn>
    <tableColumn id="13" name="Nov" totalsRowFunction="custom" dataDxfId="39" totalsRowDxfId="40">
      <totalsRowFormula>SUMIF(Monthly[Type],"Income",Monthly[Nov])-SUMIF(Monthly[Type],"&lt;&gt;Income",Monthly[Nov])</totalsRowFormula>
    </tableColumn>
    <tableColumn id="14" name="Dec" totalsRowFunction="custom" dataDxfId="37" totalsRowDxfId="38">
      <totalsRowFormula>SUMIF(Monthly[Type],"Income",Monthly[Dec])-SUMIF(Monthly[Type],"&lt;&gt;Income",Monthly[Dec])</totalsRowFormula>
    </tableColumn>
    <tableColumn id="15" name="Total" totalsRowFunction="custom" dataDxfId="35" totalsRowDxfId="36">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table>
</file>

<file path=xl/tables/table3.xml><?xml version="1.0" encoding="utf-8"?>
<table xmlns="http://schemas.openxmlformats.org/spreadsheetml/2006/main" id="3" name="Income" displayName="Income" ref="B4:D11" headerRowCount="1" totalsRowCount="1" headerRowDxfId="34" dataDxfId="33" totalsRowDxfId="32">
  <tableColumns count="3">
    <tableColumn id="1" name="Income" totalsRowLabel="Total" dataDxfId="30" totalsRowDxfId="31"/>
    <tableColumn id="2" name="Annual  " totalsRowFunction="sum" dataDxfId="28" totalsRowDxfId="29"/>
    <tableColumn id="3" name="Monthly " totalsRowFunction="sum" dataDxfId="26" totalsRowDxfId="27">
      <calculatedColumnFormula>Income[[#This Row],[Annual  ]]/12</calculatedColumnFormula>
    </tableColumn>
  </tableColumns>
  <tableStyleInfo name="Personal Cash Flow Statement" showFirstColumn="1" showLastColumn="1" showRowStripes="0" showColumnStripes="0"/>
</table>
</file>

<file path=xl/tables/table4.xml><?xml version="1.0" encoding="utf-8"?>
<table xmlns="http://schemas.openxmlformats.org/spreadsheetml/2006/main" id="4" name="Expenses" displayName="Expenses" ref="B4:D23" headerRowCount="1" totalsRowCount="1" headerRowDxfId="25" dataDxfId="24" totalsRowDxfId="23">
  <tableColumns count="3">
    <tableColumn id="1" name="Expenses" totalsRowLabel="Total" totalsRowDxfId="22"/>
    <tableColumn id="2" name="Annual  " totalsRowFunction="sum" dataDxfId="20" totalsRowDxfId="21"/>
    <tableColumn id="3" name="Monthly " totalsRowFunction="sum" dataDxfId="18" totalsRowDxfId="19">
      <calculatedColumnFormula>Expenses[[#This Row],[Annual  ]]/12</calculatedColumnFormula>
    </tableColumn>
  </tableColumns>
  <tableStyleInfo name="Personal Cash Flow Statement" showFirstColumn="1" showLastColumn="1" showRowStripes="0" showColumnStripes="0"/>
</table>
</file>

<file path=xl/tables/table5.xml><?xml version="1.0" encoding="utf-8"?>
<table xmlns="http://schemas.openxmlformats.org/spreadsheetml/2006/main" id="5" name="Discretionary" displayName="Discretionary" ref="B4:D16" headerRowCount="1" totalsRowCount="1" headerRowDxfId="17" dataDxfId="16" totalsRowDxfId="15">
  <tableColumns count="3">
    <tableColumn id="1" name="Expenses" totalsRowLabel="Total" dataDxfId="13" totalsRowDxfId="14"/>
    <tableColumn id="2" name="Annual  " totalsRowFunction="sum" dataDxfId="11" totalsRowDxfId="12"/>
    <tableColumn id="3" name="Monthly " totalsRowFunction="sum" dataDxfId="9" totalsRowDxfId="10">
      <calculatedColumnFormula>Discretionary[[#This Row],[Annual  ]]/12</calculatedColumnFormula>
    </tableColumn>
  </tableColumns>
  <tableStyleInfo name="Personal Cash Flow Statement" showFirstColumn="1" showLastColumn="1" showRowStripes="0" showColumnStripes="0"/>
</table>
</file>

<file path=xl/tables/table6.xml><?xml version="1.0" encoding="utf-8"?>
<table xmlns="http://schemas.openxmlformats.org/spreadsheetml/2006/main" id="6" name="Savings" displayName="Savings" ref="B4:D10" headerRowCount="1" totalsRowCount="1" headerRowDxfId="8" dataDxfId="7" totalsRowDxfId="6">
  <tableColumns count="3">
    <tableColumn id="1" name="Savings" totalsRowLabel="Total" dataDxfId="4" totalsRowDxfId="5"/>
    <tableColumn id="2" name="Annual  " totalsRowFunction="sum" dataDxfId="2" totalsRowDxfId="3"/>
    <tableColumn id="3" name="Monthly " totalsRowFunction="sum" dataDxfId="0" totalsRowDxfId="1">
      <calculatedColumnFormula>Savings[[#This Row],[Annual  ]]/12</calculatedColumnFormula>
    </tableColumn>
  </tableColumns>
  <tableStyleInfo name="Personal Cash Flow Statement" showFirstColumn="1" showLastColumn="1" showRowStripes="0" showColumnStripes="0"/>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codeName="Sheet1">
    <outlinePr summaryBelow="1" summaryRight="1"/>
    <pageSetUpPr autoPageBreaks="0" fitToPage="1"/>
  </sheetPr>
  <dimension ref="A1:L7"/>
  <sheetViews>
    <sheetView showGridLines="0" tabSelected="1" zoomScaleNormal="100" workbookViewId="0">
      <selection activeCell="A1" sqref="A1"/>
    </sheetView>
  </sheetViews>
  <sheetFormatPr baseColWidth="8" defaultColWidth="8.88671875" defaultRowHeight="13.9"/>
  <cols>
    <col width="1.77734375" customWidth="1" style="2" min="1" max="1"/>
    <col width="30.33203125" customWidth="1" style="2" min="2" max="2"/>
    <col width="1.33203125" customWidth="1" style="2" min="3" max="3"/>
    <col width="1.77734375" customWidth="1" style="2" min="4" max="4"/>
    <col width="30.33203125" customWidth="1" style="2" min="5" max="5"/>
    <col width="1.33203125" customWidth="1" style="2" min="6" max="6"/>
    <col width="1.77734375" customWidth="1" style="2" min="7" max="7"/>
    <col width="30.33203125" customWidth="1" style="2" min="8" max="8"/>
    <col width="1.33203125" customWidth="1" style="2" min="9" max="9"/>
    <col width="14.77734375" customWidth="1" style="2" min="10" max="11"/>
    <col width="1.77734375" customWidth="1" style="2" min="12" max="12"/>
    <col width="8.88671875" customWidth="1" style="2" min="13" max="16384"/>
  </cols>
  <sheetData>
    <row r="1" ht="43.5" customFormat="1" customHeight="1" s="13">
      <c r="A1" s="17" t="n"/>
      <c r="L1" s="13" t="inlineStr">
        <is>
          <t> </t>
        </is>
      </c>
    </row>
    <row r="2" ht="75" customFormat="1" customHeight="1" s="5">
      <c r="B2" s="100" t="inlineStr">
        <is>
          <t>PERSONAL CASH FLOW</t>
        </is>
      </c>
      <c r="I2" s="12" t="n"/>
    </row>
    <row r="3" ht="43.5" customFormat="1" customHeight="1" s="59">
      <c r="B3" s="91" t="inlineStr">
        <is>
          <t xml:space="preserve">  This workbook has annual, monthly and daily cash flow worksheets. 
  Choose the cash flow type that works best for you or use them all to help gain insight on your personal cash flow.</t>
        </is>
      </c>
    </row>
    <row r="4" ht="9" customHeight="1" s="102"/>
    <row r="5" ht="36" customFormat="1" customHeight="1" s="4">
      <c r="B5" s="11" t="inlineStr">
        <is>
          <t>Daily cash flow</t>
        </is>
      </c>
      <c r="C5" s="11" t="n"/>
      <c r="E5" s="10" t="inlineStr">
        <is>
          <t>Monthly cash flow</t>
        </is>
      </c>
      <c r="F5" s="10" t="n"/>
      <c r="H5" s="9" t="inlineStr">
        <is>
          <t>Annual cash flow</t>
        </is>
      </c>
      <c r="I5" s="9" t="n"/>
    </row>
    <row r="6" ht="9" customHeight="1" s="102">
      <c r="B6" s="6" t="n"/>
      <c r="C6" s="6" t="n"/>
      <c r="E6" s="8" t="n"/>
      <c r="F6" s="8" t="n"/>
      <c r="H6" s="7" t="n"/>
      <c r="I6" s="7" t="n"/>
    </row>
    <row r="7" ht="111" customFormat="1" customHeight="1" s="25">
      <c r="B7" s="58" t="inlineStr">
        <is>
          <t>Enter an estimated amount of cash flow you experience daily and review the estimated monthly and annual totals.  Use this to get a sense of what your daily spending habits will look like over the course of a month or year.</t>
        </is>
      </c>
      <c r="C7" s="28" t="n"/>
      <c r="E7" s="57" t="inlineStr">
        <is>
          <t>Enter the monthly cash flow you experience monthly or estimate the remaining months to see the projected cash flow for the year for each month.</t>
        </is>
      </c>
      <c r="F7" s="27" t="n"/>
      <c r="H7" s="56" t="inlineStr">
        <is>
          <t>Enter an annual cash flow amount in four worksheets: Income, Expenses, Discretionary, and Savings. 
See the monthly break down and how everything compares, and most importantly what your bottom line is in both annual and monthly figures.</t>
        </is>
      </c>
      <c r="I7" s="26" t="n"/>
    </row>
  </sheetData>
  <mergeCells count="2">
    <mergeCell ref="B3:I3"/>
    <mergeCell ref="B2:H2"/>
  </mergeCell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3" tint="0.249977111117893"/>
    <outlinePr summaryBelow="1" summaryRight="1"/>
    <pageSetUpPr autoPageBreaks="0" fitToPage="1"/>
  </sheetPr>
  <dimension ref="A1:I55"/>
  <sheetViews>
    <sheetView showGridLines="0" zoomScaleNormal="100" workbookViewId="0">
      <selection activeCell="A1" sqref="A1"/>
    </sheetView>
  </sheetViews>
  <sheetFormatPr baseColWidth="8" defaultColWidth="16.6640625" defaultRowHeight="30" customHeight="1"/>
  <cols>
    <col width="1.77734375" customWidth="1" style="34" min="1" max="1"/>
    <col width="14.77734375" customWidth="1" style="34" min="2" max="2"/>
    <col width="18.77734375" customWidth="1" style="34" min="3" max="3"/>
    <col width="16.6640625" customWidth="1" style="34" min="4" max="5"/>
    <col width="14.77734375" customWidth="1" style="34" min="6" max="9"/>
    <col width="1.77734375" customWidth="1" style="34" min="10" max="10"/>
    <col width="16.6640625" customWidth="1" style="34" min="11" max="16384"/>
  </cols>
  <sheetData>
    <row r="1" ht="44.1" customFormat="1" customHeight="1" s="16">
      <c r="A1" s="18" t="n"/>
      <c r="B1" s="16" t="inlineStr">
        <is>
          <t>PERSONAL CASH FLOW</t>
        </is>
      </c>
      <c r="F1" t="inlineStr">
        <is>
          <t>Guide!A1</t>
        </is>
      </c>
      <c r="G1" t="inlineStr">
        <is>
          <t>'Monthly Cash Flow'!A1</t>
        </is>
      </c>
      <c r="H1" t="inlineStr">
        <is>
          <t>'Daily Summary'!A1</t>
        </is>
      </c>
      <c r="I1" t="inlineStr">
        <is>
          <t>Income!A1</t>
        </is>
      </c>
    </row>
    <row r="2" ht="44.1" customFormat="1" customHeight="1" s="3">
      <c r="B2" s="85" t="n"/>
      <c r="C2" s="85" t="inlineStr">
        <is>
          <t>Total available cash:</t>
        </is>
      </c>
      <c r="D2" s="103" t="n"/>
      <c r="F2" s="92" t="inlineStr">
        <is>
          <t>NOTE: If you wish to add daily items to the table, estimate their monthly amount/value and place value in the appropriate month column.</t>
        </is>
      </c>
      <c r="G2" s="104" t="n"/>
      <c r="H2" s="104" t="n"/>
      <c r="I2" s="104" t="n"/>
    </row>
    <row r="3" ht="33.95" customFormat="1" customHeight="1" s="3">
      <c r="B3" s="44" t="n"/>
      <c r="C3" s="44" t="n"/>
      <c r="D3" s="105" t="n"/>
      <c r="E3" s="105" t="n"/>
      <c r="F3" s="41" t="n"/>
      <c r="G3" s="41" t="n"/>
      <c r="H3" s="41" t="n"/>
      <c r="I3" s="41" t="n"/>
    </row>
    <row r="4" ht="33.75" customFormat="1" customHeight="1" s="25" thickBot="1">
      <c r="B4" s="106" t="inlineStr">
        <is>
          <t>DAILY SUMMARY</t>
        </is>
      </c>
      <c r="C4" s="107" t="n"/>
      <c r="D4" s="107" t="n"/>
      <c r="E4" s="107" t="n"/>
      <c r="F4" s="24" t="n"/>
      <c r="G4" s="24" t="n"/>
      <c r="H4" s="24" t="n"/>
    </row>
    <row r="5" ht="30" customFormat="1" customHeight="1" s="46">
      <c r="B5" s="108" t="inlineStr">
        <is>
          <t>Totals</t>
        </is>
      </c>
      <c r="C5" s="55" t="inlineStr">
        <is>
          <t>Daily</t>
        </is>
      </c>
      <c r="D5" s="55" t="inlineStr">
        <is>
          <t>Monthly</t>
        </is>
      </c>
      <c r="E5" s="55" t="inlineStr">
        <is>
          <t xml:space="preserve">Annual </t>
        </is>
      </c>
    </row>
    <row r="6" ht="30" customFormat="1" customHeight="1" s="25">
      <c r="B6" s="109" t="inlineStr">
        <is>
          <t>Income</t>
        </is>
      </c>
      <c r="C6" s="110" t="n"/>
      <c r="D6" s="110" t="n"/>
      <c r="E6" s="110" t="n"/>
    </row>
    <row r="7" ht="30" customFormat="1" customHeight="1" s="25">
      <c r="B7" s="111" t="inlineStr">
        <is>
          <t>Expenses</t>
        </is>
      </c>
      <c r="C7" s="110" t="n"/>
      <c r="D7" s="110" t="n"/>
      <c r="E7" s="110" t="n"/>
    </row>
    <row r="8" ht="30" customFormat="1" customHeight="1" s="25">
      <c r="B8" s="111" t="inlineStr">
        <is>
          <t>Discretionary</t>
        </is>
      </c>
      <c r="C8" s="110" t="n"/>
      <c r="D8" s="110" t="n"/>
      <c r="E8" s="110" t="n"/>
    </row>
    <row r="9" ht="30" customFormat="1" customHeight="1" s="25">
      <c r="B9" s="111" t="inlineStr">
        <is>
          <t>Savings</t>
        </is>
      </c>
      <c r="C9" s="110" t="n"/>
      <c r="D9" s="110" t="n"/>
      <c r="E9" s="110" t="n"/>
    </row>
    <row r="10" ht="33.95" customFormat="1" customHeight="1" s="3">
      <c r="B10" s="44" t="n"/>
      <c r="C10" s="44" t="n"/>
      <c r="D10" s="105" t="n"/>
      <c r="E10" s="105" t="n"/>
      <c r="F10" s="41" t="n"/>
      <c r="G10" s="41" t="n"/>
      <c r="H10" s="41" t="n"/>
      <c r="I10" s="41" t="n"/>
    </row>
    <row r="11" ht="33.95" customFormat="1" customHeight="1" s="25">
      <c r="B11" s="112" t="inlineStr">
        <is>
          <t>Type</t>
        </is>
      </c>
      <c r="C11" s="53" t="inlineStr">
        <is>
          <t>Description</t>
        </is>
      </c>
      <c r="D11" s="53" t="inlineStr">
        <is>
          <t>Daily</t>
        </is>
      </c>
      <c r="E11" s="53" t="inlineStr">
        <is>
          <t>Monthly</t>
        </is>
      </c>
      <c r="F11" s="53" t="inlineStr">
        <is>
          <t>Annual</t>
        </is>
      </c>
    </row>
    <row r="12" ht="30" customHeight="1" s="102">
      <c r="B12" s="113" t="inlineStr">
        <is>
          <t>Income</t>
        </is>
      </c>
      <c r="C12" s="34" t="inlineStr">
        <is>
          <t>Salary</t>
        </is>
      </c>
      <c r="D12" s="114" t="n">
        <v>246.58</v>
      </c>
      <c r="E12" s="114" t="n"/>
      <c r="F12" s="114" t="n"/>
    </row>
    <row r="13" ht="30" customHeight="1" s="102">
      <c r="B13" s="113" t="inlineStr">
        <is>
          <t>Income</t>
        </is>
      </c>
      <c r="C13" s="34" t="inlineStr">
        <is>
          <t>Commissions/bonus</t>
        </is>
      </c>
      <c r="D13" s="114" t="n">
        <v>13.7</v>
      </c>
      <c r="E13" s="114" t="n"/>
      <c r="F13" s="114" t="n"/>
    </row>
    <row r="14" ht="30" customHeight="1" s="102">
      <c r="B14" s="113" t="inlineStr">
        <is>
          <t>Income</t>
        </is>
      </c>
      <c r="C14" s="34" t="inlineStr">
        <is>
          <t>Other 1</t>
        </is>
      </c>
      <c r="D14" s="114" t="n">
        <v>82.19</v>
      </c>
      <c r="E14" s="114" t="n"/>
      <c r="F14" s="114" t="n"/>
    </row>
    <row r="15" ht="30" customHeight="1" s="102">
      <c r="B15" s="113" t="inlineStr">
        <is>
          <t>Income</t>
        </is>
      </c>
      <c r="C15" s="34" t="inlineStr">
        <is>
          <t>Other 2</t>
        </is>
      </c>
      <c r="D15" s="114" t="n">
        <v>0</v>
      </c>
      <c r="E15" s="114" t="n"/>
      <c r="F15" s="114" t="n"/>
    </row>
    <row r="16" ht="30" customHeight="1" s="102">
      <c r="B16" s="113" t="inlineStr">
        <is>
          <t>Income</t>
        </is>
      </c>
      <c r="C16" s="34" t="inlineStr">
        <is>
          <t>Other 3</t>
        </is>
      </c>
      <c r="D16" s="114" t="n">
        <v>0</v>
      </c>
      <c r="E16" s="114" t="n"/>
      <c r="F16" s="114" t="n"/>
    </row>
    <row r="17" ht="30" customHeight="1" s="102">
      <c r="B17" s="113" t="inlineStr">
        <is>
          <t>Income</t>
        </is>
      </c>
      <c r="C17" s="34" t="inlineStr">
        <is>
          <t>Other 4</t>
        </is>
      </c>
      <c r="D17" s="114" t="n">
        <v>0</v>
      </c>
      <c r="E17" s="114" t="n"/>
      <c r="F17" s="114" t="n"/>
    </row>
    <row r="18" ht="30" customHeight="1" s="102">
      <c r="B18" s="113" t="inlineStr">
        <is>
          <t>Expenses</t>
        </is>
      </c>
      <c r="C18" s="34" t="inlineStr">
        <is>
          <t>Federal/SS/Medicare</t>
        </is>
      </c>
      <c r="D18" s="114" t="n">
        <v>41.1</v>
      </c>
      <c r="E18" s="114" t="n"/>
      <c r="F18" s="114" t="n"/>
    </row>
    <row r="19" ht="30" customHeight="1" s="102">
      <c r="B19" s="113" t="inlineStr">
        <is>
          <t>Expenses</t>
        </is>
      </c>
      <c r="C19" s="34" t="inlineStr">
        <is>
          <t>State income tax</t>
        </is>
      </c>
      <c r="D19" s="114" t="n">
        <v>6.85</v>
      </c>
      <c r="E19" s="114" t="n"/>
      <c r="F19" s="114" t="n"/>
    </row>
    <row r="20" ht="30" customHeight="1" s="102">
      <c r="B20" s="113" t="inlineStr">
        <is>
          <t>Expenses</t>
        </is>
      </c>
      <c r="C20" s="34" t="inlineStr">
        <is>
          <t>Vehicle tax/fees</t>
        </is>
      </c>
      <c r="D20" s="114" t="n">
        <v>0.55</v>
      </c>
      <c r="E20" s="114" t="n"/>
      <c r="F20" s="114" t="n"/>
    </row>
    <row r="21" ht="30" customHeight="1" s="102">
      <c r="B21" s="113" t="inlineStr">
        <is>
          <t>Expenses</t>
        </is>
      </c>
      <c r="C21" s="34" t="inlineStr">
        <is>
          <t>Vehicle payments</t>
        </is>
      </c>
      <c r="D21" s="114" t="n">
        <v>10.96</v>
      </c>
      <c r="E21" s="114" t="n"/>
      <c r="F21" s="114" t="n"/>
    </row>
    <row r="22" ht="30" customHeight="1" s="102">
      <c r="B22" s="113" t="inlineStr">
        <is>
          <t>Expenses</t>
        </is>
      </c>
      <c r="C22" s="34" t="inlineStr">
        <is>
          <t>Mortgage/rent</t>
        </is>
      </c>
      <c r="D22" s="114" t="n">
        <v>41.1</v>
      </c>
      <c r="E22" s="114" t="n"/>
      <c r="F22" s="114" t="n"/>
    </row>
    <row r="23" ht="30" customHeight="1" s="102">
      <c r="B23" s="113" t="inlineStr">
        <is>
          <t>Expenses</t>
        </is>
      </c>
      <c r="C23" s="34" t="inlineStr">
        <is>
          <t>Insurance</t>
        </is>
      </c>
      <c r="D23" s="114" t="n">
        <v>0.68</v>
      </c>
      <c r="E23" s="114" t="n"/>
      <c r="F23" s="114" t="n"/>
    </row>
    <row r="24" ht="30" customHeight="1" s="102">
      <c r="B24" s="113" t="inlineStr">
        <is>
          <t>Expenses</t>
        </is>
      </c>
      <c r="C24" s="34" t="inlineStr">
        <is>
          <t>Electricity</t>
        </is>
      </c>
      <c r="D24" s="114" t="n">
        <v>3.29</v>
      </c>
      <c r="E24" s="114" t="n"/>
      <c r="F24" s="114" t="n"/>
    </row>
    <row r="25" ht="30" customHeight="1" s="102">
      <c r="B25" s="113" t="inlineStr">
        <is>
          <t>Expenses</t>
        </is>
      </c>
      <c r="C25" s="34" t="inlineStr">
        <is>
          <t>Gas</t>
        </is>
      </c>
      <c r="D25" s="114" t="n">
        <v>1.64</v>
      </c>
      <c r="E25" s="114" t="n"/>
      <c r="F25" s="114" t="n"/>
    </row>
    <row r="26" ht="30" customHeight="1" s="102">
      <c r="B26" s="113" t="inlineStr">
        <is>
          <t>Expenses</t>
        </is>
      </c>
      <c r="C26" s="34" t="inlineStr">
        <is>
          <t>Water</t>
        </is>
      </c>
      <c r="D26" s="114" t="n">
        <v>1.64</v>
      </c>
      <c r="E26" s="114" t="n"/>
      <c r="F26" s="114" t="n"/>
    </row>
    <row r="27" ht="30" customHeight="1" s="102">
      <c r="B27" s="113" t="inlineStr">
        <is>
          <t>Expenses</t>
        </is>
      </c>
      <c r="C27" s="34" t="inlineStr">
        <is>
          <t>Sewer</t>
        </is>
      </c>
      <c r="D27" s="114" t="n">
        <v>0.82</v>
      </c>
      <c r="E27" s="114" t="n"/>
      <c r="F27" s="114" t="n"/>
    </row>
    <row r="28" ht="30" customHeight="1" s="102">
      <c r="B28" s="113" t="inlineStr">
        <is>
          <t>Expenses</t>
        </is>
      </c>
      <c r="C28" s="34" t="inlineStr">
        <is>
          <t>Garbage</t>
        </is>
      </c>
      <c r="D28" s="114" t="n">
        <v>0.41</v>
      </c>
      <c r="E28" s="114" t="n"/>
      <c r="F28" s="114" t="n"/>
    </row>
    <row r="29" ht="30" customHeight="1" s="102">
      <c r="B29" s="113" t="inlineStr">
        <is>
          <t>Expenses</t>
        </is>
      </c>
      <c r="C29" s="34" t="inlineStr">
        <is>
          <t>Phone</t>
        </is>
      </c>
      <c r="D29" s="114" t="n">
        <v>1.64</v>
      </c>
      <c r="E29" s="114" t="n"/>
      <c r="F29" s="114" t="n"/>
    </row>
    <row r="30" ht="30" customHeight="1" s="102">
      <c r="B30" s="113" t="inlineStr">
        <is>
          <t>Expenses</t>
        </is>
      </c>
      <c r="C30" s="34" t="inlineStr">
        <is>
          <t>Internet</t>
        </is>
      </c>
      <c r="D30" s="114" t="n">
        <v>1.64</v>
      </c>
      <c r="E30" s="114" t="n"/>
      <c r="F30" s="114" t="n"/>
    </row>
    <row r="31" ht="30" customHeight="1" s="102">
      <c r="B31" s="113" t="inlineStr">
        <is>
          <t>Expenses</t>
        </is>
      </c>
      <c r="C31" s="34" t="inlineStr">
        <is>
          <t>Disability premiums</t>
        </is>
      </c>
      <c r="D31" s="114" t="n">
        <v>4.11</v>
      </c>
      <c r="E31" s="114" t="n"/>
      <c r="F31" s="114" t="n"/>
    </row>
    <row r="32" ht="30" customHeight="1" s="102">
      <c r="B32" s="113" t="inlineStr">
        <is>
          <t>Expenses</t>
        </is>
      </c>
      <c r="C32" s="34" t="inlineStr">
        <is>
          <t>Food</t>
        </is>
      </c>
      <c r="D32" s="114" t="n">
        <v>13.7</v>
      </c>
      <c r="E32" s="114" t="n"/>
      <c r="F32" s="114" t="n"/>
    </row>
    <row r="33" ht="30" customHeight="1" s="102">
      <c r="B33" s="113" t="inlineStr">
        <is>
          <t>Expenses</t>
        </is>
      </c>
      <c r="C33" s="34" t="inlineStr">
        <is>
          <t>Clothing</t>
        </is>
      </c>
      <c r="D33" s="114" t="n">
        <v>3.29</v>
      </c>
      <c r="E33" s="114" t="n"/>
      <c r="F33" s="114" t="n"/>
    </row>
    <row r="34" ht="30" customHeight="1" s="102">
      <c r="B34" s="113" t="inlineStr">
        <is>
          <t>Expenses</t>
        </is>
      </c>
      <c r="C34" s="34" t="inlineStr">
        <is>
          <t>Medical/dental/Rx</t>
        </is>
      </c>
      <c r="D34" s="114" t="n">
        <v>1.64</v>
      </c>
      <c r="E34" s="114" t="n"/>
      <c r="F34" s="114" t="n"/>
    </row>
    <row r="35" ht="30" customHeight="1" s="102">
      <c r="B35" s="113" t="inlineStr">
        <is>
          <t>Expenses</t>
        </is>
      </c>
      <c r="C35" s="34" t="inlineStr">
        <is>
          <t>Bus</t>
        </is>
      </c>
      <c r="D35" s="114" t="n">
        <v>1</v>
      </c>
      <c r="E35" s="114" t="n"/>
      <c r="F35" s="114" t="n"/>
    </row>
    <row r="36" ht="30" customHeight="1" s="102">
      <c r="B36" s="113" t="inlineStr">
        <is>
          <t>Expenses</t>
        </is>
      </c>
      <c r="C36" s="34" t="inlineStr">
        <is>
          <t>Other 2</t>
        </is>
      </c>
      <c r="D36" s="114" t="n">
        <v>0</v>
      </c>
      <c r="E36" s="114" t="n"/>
      <c r="F36" s="114" t="n"/>
    </row>
    <row r="37" ht="30" customHeight="1" s="102">
      <c r="B37" s="113" t="inlineStr">
        <is>
          <t>Expenses</t>
        </is>
      </c>
      <c r="C37" s="34" t="inlineStr">
        <is>
          <t>Other 3</t>
        </is>
      </c>
      <c r="D37" s="114" t="n">
        <v>0</v>
      </c>
      <c r="E37" s="114" t="n"/>
      <c r="F37" s="114" t="n"/>
    </row>
    <row r="38" ht="30" customHeight="1" s="102">
      <c r="B38" s="113" t="inlineStr">
        <is>
          <t>Expenses</t>
        </is>
      </c>
      <c r="C38" s="34" t="inlineStr">
        <is>
          <t>Other 4</t>
        </is>
      </c>
      <c r="D38" s="114" t="n">
        <v>0</v>
      </c>
      <c r="E38" s="114" t="n"/>
      <c r="F38" s="114" t="n"/>
    </row>
    <row r="39" ht="30" customHeight="1" s="102">
      <c r="B39" s="113" t="inlineStr">
        <is>
          <t>Discretionary</t>
        </is>
      </c>
      <c r="C39" s="34" t="inlineStr">
        <is>
          <t>Dining</t>
        </is>
      </c>
      <c r="D39" s="114" t="n">
        <v>3.29</v>
      </c>
      <c r="E39" s="114" t="n"/>
      <c r="F39" s="114" t="n"/>
    </row>
    <row r="40" ht="30" customHeight="1" s="102">
      <c r="B40" s="113" t="inlineStr">
        <is>
          <t>Discretionary</t>
        </is>
      </c>
      <c r="C40" s="34" t="inlineStr">
        <is>
          <t>Gifts</t>
        </is>
      </c>
      <c r="D40" s="114" t="n">
        <v>1.64</v>
      </c>
      <c r="E40" s="114" t="n"/>
      <c r="F40" s="114" t="n"/>
    </row>
    <row r="41" ht="30" customHeight="1" s="102">
      <c r="B41" s="113" t="inlineStr">
        <is>
          <t>Discretionary</t>
        </is>
      </c>
      <c r="C41" s="34" t="inlineStr">
        <is>
          <t>Travel</t>
        </is>
      </c>
      <c r="D41" s="114" t="n">
        <v>6.16</v>
      </c>
      <c r="E41" s="114" t="n"/>
      <c r="F41" s="114" t="n"/>
    </row>
    <row r="42" ht="30" customHeight="1" s="102">
      <c r="B42" s="113" t="inlineStr">
        <is>
          <t>Discretionary</t>
        </is>
      </c>
      <c r="C42" s="34" t="inlineStr">
        <is>
          <t>Entertainment</t>
        </is>
      </c>
      <c r="D42" s="114" t="n">
        <v>3.29</v>
      </c>
      <c r="E42" s="114" t="n"/>
      <c r="F42" s="114" t="n"/>
    </row>
    <row r="43" ht="30" customHeight="1" s="102">
      <c r="B43" s="113" t="inlineStr">
        <is>
          <t>Discretionary</t>
        </is>
      </c>
      <c r="C43" s="34" t="inlineStr">
        <is>
          <t>Personal care</t>
        </is>
      </c>
      <c r="D43" s="114" t="n">
        <v>0.82</v>
      </c>
      <c r="E43" s="114" t="n"/>
      <c r="F43" s="114" t="n"/>
    </row>
    <row r="44" ht="30" customHeight="1" s="102">
      <c r="B44" s="113" t="inlineStr">
        <is>
          <t>Discretionary</t>
        </is>
      </c>
      <c r="C44" s="34" t="inlineStr">
        <is>
          <t>Shopping</t>
        </is>
      </c>
      <c r="D44" s="114" t="n">
        <v>5.48</v>
      </c>
      <c r="E44" s="114" t="n"/>
      <c r="F44" s="114" t="n"/>
    </row>
    <row r="45" ht="30" customHeight="1" s="102">
      <c r="B45" s="113" t="inlineStr">
        <is>
          <t>Discretionary</t>
        </is>
      </c>
      <c r="C45" s="34" t="inlineStr">
        <is>
          <t>Charity</t>
        </is>
      </c>
      <c r="D45" s="114" t="n">
        <v>1.64</v>
      </c>
      <c r="E45" s="114" t="n"/>
      <c r="F45" s="114" t="n"/>
    </row>
    <row r="46" ht="30" customHeight="1" s="102">
      <c r="B46" s="113" t="inlineStr">
        <is>
          <t>Discretionary</t>
        </is>
      </c>
      <c r="C46" s="34" t="inlineStr">
        <is>
          <t>Club memberships</t>
        </is>
      </c>
      <c r="D46" s="114" t="n">
        <v>0.82</v>
      </c>
      <c r="E46" s="114" t="n"/>
      <c r="F46" s="114" t="n"/>
    </row>
    <row r="47" ht="30" customHeight="1" s="102">
      <c r="B47" s="113" t="inlineStr">
        <is>
          <t>Discretionary</t>
        </is>
      </c>
      <c r="C47" s="34" t="inlineStr">
        <is>
          <t>Home improvements</t>
        </is>
      </c>
      <c r="D47" s="114" t="n">
        <v>13.15</v>
      </c>
      <c r="E47" s="114" t="n"/>
      <c r="F47" s="114" t="n"/>
    </row>
    <row r="48" ht="30" customHeight="1" s="102">
      <c r="B48" s="113" t="inlineStr">
        <is>
          <t>Discretionary</t>
        </is>
      </c>
      <c r="C48" s="34" t="inlineStr">
        <is>
          <t>Other 1</t>
        </is>
      </c>
      <c r="D48" s="114" t="n">
        <v>0</v>
      </c>
      <c r="E48" s="114" t="n"/>
      <c r="F48" s="114" t="n"/>
    </row>
    <row r="49" ht="30" customHeight="1" s="102">
      <c r="B49" s="113" t="inlineStr">
        <is>
          <t>Discretionary</t>
        </is>
      </c>
      <c r="C49" s="34" t="inlineStr">
        <is>
          <t>Other 2</t>
        </is>
      </c>
      <c r="D49" s="114" t="n">
        <v>0</v>
      </c>
      <c r="E49" s="114" t="n"/>
      <c r="F49" s="114" t="n"/>
    </row>
    <row r="50" ht="30" customHeight="1" s="102">
      <c r="B50" s="113" t="inlineStr">
        <is>
          <t>Savings</t>
        </is>
      </c>
      <c r="C50" s="34" t="inlineStr">
        <is>
          <t>Cash reserves</t>
        </is>
      </c>
      <c r="D50" s="114" t="n">
        <v>13.7</v>
      </c>
      <c r="E50" s="114" t="n"/>
      <c r="F50" s="114" t="n"/>
    </row>
    <row r="51" ht="30" customHeight="1" s="102">
      <c r="B51" s="113" t="inlineStr">
        <is>
          <t>Savings</t>
        </is>
      </c>
      <c r="C51" s="34" t="inlineStr">
        <is>
          <t>401k etc.</t>
        </is>
      </c>
      <c r="D51" s="114" t="n">
        <v>32.88</v>
      </c>
      <c r="E51" s="114" t="n"/>
      <c r="F51" s="114" t="n"/>
    </row>
    <row r="52" ht="30" customHeight="1" s="102">
      <c r="B52" s="113" t="inlineStr">
        <is>
          <t>Savings</t>
        </is>
      </c>
      <c r="C52" s="34" t="inlineStr">
        <is>
          <t>Savings account</t>
        </is>
      </c>
      <c r="D52" s="114" t="n">
        <v>16.44</v>
      </c>
      <c r="E52" s="114" t="n"/>
      <c r="F52" s="114" t="n"/>
    </row>
    <row r="53" ht="30" customHeight="1" s="102">
      <c r="B53" s="113" t="inlineStr">
        <is>
          <t>Savings</t>
        </is>
      </c>
      <c r="C53" s="34" t="inlineStr">
        <is>
          <t>Other 1</t>
        </is>
      </c>
      <c r="D53" s="114" t="n">
        <v>0</v>
      </c>
      <c r="E53" s="114" t="n"/>
      <c r="F53" s="114" t="n"/>
    </row>
    <row r="54" ht="30" customHeight="1" s="102">
      <c r="B54" s="113" t="inlineStr">
        <is>
          <t>Savings</t>
        </is>
      </c>
      <c r="C54" s="34" t="inlineStr">
        <is>
          <t>Other 2</t>
        </is>
      </c>
      <c r="D54" s="114" t="n">
        <v>0</v>
      </c>
      <c r="E54" s="114" t="n"/>
      <c r="F54" s="114" t="n"/>
    </row>
    <row r="55" ht="30" customFormat="1" customHeight="1" s="25">
      <c r="B55" s="61" t="inlineStr">
        <is>
          <t>Total</t>
        </is>
      </c>
      <c r="C55" s="115" t="n"/>
      <c r="D55" s="116" t="n"/>
      <c r="E55" s="116" t="n"/>
      <c r="F55" s="116" t="n"/>
    </row>
  </sheetData>
  <mergeCells count="2">
    <mergeCell ref="F2:I2"/>
    <mergeCell ref="D2:E2"/>
  </mergeCells>
  <conditionalFormatting sqref="B12:C55">
    <cfRule type="expression" priority="9" dxfId="69">
      <formula>(MOD(ROW(),2)&lt;&gt;0)*($B12="Income")</formula>
    </cfRule>
    <cfRule type="expression" priority="10" dxfId="89">
      <formula>(MOD(ROW(),2)=0)*($B12="Income")</formula>
    </cfRule>
  </conditionalFormatting>
  <conditionalFormatting sqref="D12:D55">
    <cfRule type="expression" priority="4" dxfId="70">
      <formula>(MOD(ROW(),2)&lt;&gt;0)*($B12&lt;&gt;"Income")</formula>
    </cfRule>
    <cfRule type="expression" priority="7" dxfId="70">
      <formula>(MOD(ROW(),2)&lt;&gt;0)*($B12="Income")</formula>
    </cfRule>
  </conditionalFormatting>
  <conditionalFormatting sqref="D12:F55">
    <cfRule type="expression" priority="1" dxfId="89">
      <formula>(MOD(ROW(),2)=0)*($B12&lt;&gt;"Income")</formula>
    </cfRule>
    <cfRule type="expression" priority="8" dxfId="88">
      <formula>(MOD(ROW(),2)=0)*($B12="Income")</formula>
    </cfRule>
  </conditionalFormatting>
  <conditionalFormatting sqref="E12:E55">
    <cfRule type="expression" priority="3" dxfId="86">
      <formula>(MOD(ROW(),2)&lt;&gt;0)*($B12&lt;&gt;"Income")</formula>
    </cfRule>
    <cfRule type="expression" priority="6" dxfId="86">
      <formula>(MOD(ROW(),2)&lt;&gt;0)*($B12="Income")</formula>
    </cfRule>
  </conditionalFormatting>
  <conditionalFormatting sqref="F12:F55">
    <cfRule type="expression" priority="2" dxfId="85">
      <formula>(MOD(ROW(),2)&lt;&gt;0)*($B12&lt;&gt;"Income")</formula>
    </cfRule>
    <cfRule type="expression" priority="5" dxfId="84">
      <formula>(MOD(ROW(),2)&lt;&gt;0)*($B12="Income")</formula>
    </cfRule>
  </conditionalFormatting>
  <dataValidations count="1">
    <dataValidation sqref="B12:B54" showDropDown="0" showInputMessage="1" showErrorMessage="1" allowBlank="1" error="Select Type from the list. Select CANCEL, press ALT+DOWN ARROW for options, then DOWN ARROW and ENTER to make selection" type="list" errorStyle="warning">
      <formula1>"Income,Expenses,Discretionary,Savings"</formula1>
    </dataValidation>
  </dataValidations>
  <hyperlinks>
    <hyperlink ref="F1" location="Guide!A1" tooltip="Select to navigate to Guide worksheet" display="Navigation button for Guide worksheet is in this cell."/>
    <hyperlink ref="G1" location="'Monthly Cash Flow'!A1" tooltip="Select to navigate to Monthly Cash Flow worksheet" display="Navigation button for Monthly Cash Flow worksheet is in this cell. "/>
    <hyperlink ref="H1" location="'Daily Summary'!A1" tooltip="Select to navigate to cell A1 in this worksheet" display="DAILY SUMMARY"/>
    <hyperlink ref="I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codeName="Sheet3">
    <tabColor theme="5" tint="-0.249977111117893"/>
    <outlinePr summaryBelow="1" summaryRight="1"/>
    <pageSetUpPr autoPageBreaks="0" fitToPage="1"/>
  </sheetPr>
  <dimension ref="A1:R49"/>
  <sheetViews>
    <sheetView showGridLines="0" zoomScaleNormal="100" workbookViewId="0">
      <selection activeCell="A1" sqref="A1"/>
    </sheetView>
  </sheetViews>
  <sheetFormatPr baseColWidth="8" defaultColWidth="8.88671875" defaultRowHeight="26.1" customHeight="1"/>
  <cols>
    <col width="1.77734375" customWidth="1" style="25" min="1" max="1"/>
    <col width="12.77734375" customWidth="1" style="25" min="2" max="2"/>
    <col width="18.77734375" customWidth="1" style="25" min="3" max="3"/>
    <col width="14.77734375" customWidth="1" style="25" min="4" max="17"/>
    <col width="1.77734375" customWidth="1" style="25" min="18" max="18"/>
    <col width="8.88671875" customWidth="1" style="25" min="19" max="16384"/>
  </cols>
  <sheetData>
    <row r="1" ht="44.1" customFormat="1" customHeight="1" s="31">
      <c r="A1" s="30" t="n"/>
      <c r="B1" s="16" t="inlineStr">
        <is>
          <t>PERSONAL CASH FLOW</t>
        </is>
      </c>
      <c r="C1" s="16" t="n"/>
      <c r="D1" s="16" t="n"/>
      <c r="E1" s="16" t="n"/>
      <c r="F1" s="16" t="n"/>
      <c r="G1" s="16" t="n"/>
      <c r="H1" s="16" t="inlineStr">
        <is>
          <t>Guide!A1</t>
        </is>
      </c>
      <c r="I1" s="16" t="inlineStr">
        <is>
          <t>'Annual Cash Flow'!A1</t>
        </is>
      </c>
      <c r="J1" s="16" t="inlineStr">
        <is>
          <t>'Monthly Cash Flow'!A1</t>
        </is>
      </c>
      <c r="K1" s="16" t="inlineStr">
        <is>
          <t>'Daily Summary'!A1</t>
        </is>
      </c>
      <c r="R1" s="31" t="inlineStr">
        <is>
          <t> </t>
        </is>
      </c>
    </row>
    <row r="2" ht="44.1" customFormat="1" customHeight="1" s="3">
      <c r="B2" s="86" t="n"/>
      <c r="C2" s="86" t="inlineStr">
        <is>
          <t>Total monthly cash flow:</t>
        </is>
      </c>
      <c r="D2" s="103" t="n"/>
      <c r="F2" s="92" t="inlineStr">
        <is>
          <t xml:space="preserve">NOTE: For daily items, estimate the monthly amount/value and place that value in the appropriate month column.
</t>
        </is>
      </c>
      <c r="G2" s="104" t="n"/>
      <c r="H2" s="104" t="n"/>
      <c r="I2" s="104" t="n"/>
      <c r="J2" s="104" t="n"/>
      <c r="K2" s="104" t="n"/>
      <c r="L2" s="23" t="n"/>
      <c r="M2" s="23" t="n"/>
      <c r="N2" s="23" t="n"/>
      <c r="O2" s="23" t="n"/>
      <c r="P2" s="23" t="n"/>
    </row>
    <row r="3" ht="33.95" customFormat="1" customHeight="1" s="2">
      <c r="B3" s="32" t="n"/>
      <c r="C3" s="32" t="n"/>
      <c r="D3" s="117" t="n"/>
      <c r="E3" s="117" t="n"/>
      <c r="F3" s="1" t="n"/>
      <c r="G3" s="1" t="n"/>
      <c r="H3" s="1" t="n"/>
      <c r="I3" s="1" t="n"/>
      <c r="J3" s="1" t="n"/>
      <c r="K3" s="1" t="n"/>
      <c r="L3" s="1" t="n"/>
      <c r="M3" s="1" t="n"/>
      <c r="N3" s="1" t="n"/>
      <c r="O3" s="1" t="n"/>
      <c r="P3" s="1" t="n"/>
    </row>
    <row r="4" ht="33.95" customFormat="1" customHeight="1" s="39" thickBot="1">
      <c r="B4" s="118" t="inlineStr">
        <is>
          <t>Type</t>
        </is>
      </c>
      <c r="C4" s="118" t="inlineStr">
        <is>
          <t>Description</t>
        </is>
      </c>
      <c r="D4" s="118" t="inlineStr">
        <is>
          <t>Jan</t>
        </is>
      </c>
      <c r="E4" s="118" t="inlineStr">
        <is>
          <t>Feb</t>
        </is>
      </c>
      <c r="F4" s="118" t="inlineStr">
        <is>
          <t>Mar</t>
        </is>
      </c>
      <c r="G4" s="118" t="inlineStr">
        <is>
          <t>Apr</t>
        </is>
      </c>
      <c r="H4" s="118" t="inlineStr">
        <is>
          <t>May</t>
        </is>
      </c>
      <c r="I4" s="118" t="inlineStr">
        <is>
          <t>Jun</t>
        </is>
      </c>
      <c r="J4" s="118" t="inlineStr">
        <is>
          <t>Jul</t>
        </is>
      </c>
      <c r="K4" s="118" t="inlineStr">
        <is>
          <t>Aug</t>
        </is>
      </c>
      <c r="L4" s="118" t="inlineStr">
        <is>
          <t>Sep</t>
        </is>
      </c>
      <c r="M4" s="118" t="inlineStr">
        <is>
          <t>Oct</t>
        </is>
      </c>
      <c r="N4" s="118" t="inlineStr">
        <is>
          <t>Nov</t>
        </is>
      </c>
      <c r="O4" s="118" t="inlineStr">
        <is>
          <t>Dec</t>
        </is>
      </c>
      <c r="P4" s="118" t="inlineStr">
        <is>
          <t>Total</t>
        </is>
      </c>
      <c r="Q4" s="78" t="n"/>
    </row>
    <row r="5" ht="26.1" customFormat="1" customHeight="1" s="34">
      <c r="B5" s="119" t="inlineStr">
        <is>
          <t>Income</t>
        </is>
      </c>
      <c r="C5" s="119" t="inlineStr">
        <is>
          <t>Salary</t>
        </is>
      </c>
      <c r="D5" s="114" t="n">
        <v>7500</v>
      </c>
      <c r="E5" s="114" t="n">
        <v>7500</v>
      </c>
      <c r="F5" s="114" t="n">
        <v>7500</v>
      </c>
      <c r="G5" s="114" t="n">
        <v>7500</v>
      </c>
      <c r="H5" s="114" t="n">
        <v>7500</v>
      </c>
      <c r="I5" s="114" t="n">
        <v>7500</v>
      </c>
      <c r="J5" s="114" t="n"/>
      <c r="K5" s="114" t="n"/>
      <c r="L5" s="114" t="n"/>
      <c r="M5" s="114" t="n"/>
      <c r="N5" s="114" t="n"/>
      <c r="O5" s="114" t="n"/>
      <c r="P5" s="114" t="n"/>
    </row>
    <row r="6" ht="26.1" customFormat="1" customHeight="1" s="34">
      <c r="B6" s="119" t="inlineStr">
        <is>
          <t>Income</t>
        </is>
      </c>
      <c r="C6" s="119" t="inlineStr">
        <is>
          <t>Commissions/bonus</t>
        </is>
      </c>
      <c r="D6" s="114" t="n">
        <v>400</v>
      </c>
      <c r="E6" s="114" t="n">
        <v>400</v>
      </c>
      <c r="F6" s="114" t="n">
        <v>500</v>
      </c>
      <c r="G6" s="114" t="n">
        <v>200</v>
      </c>
      <c r="H6" s="114" t="n">
        <v>0</v>
      </c>
      <c r="I6" s="114" t="n">
        <v>600</v>
      </c>
      <c r="J6" s="114" t="n"/>
      <c r="K6" s="114" t="n"/>
      <c r="L6" s="114" t="n"/>
      <c r="M6" s="114" t="n"/>
      <c r="N6" s="114" t="n"/>
      <c r="O6" s="114" t="n"/>
      <c r="P6" s="114" t="n"/>
    </row>
    <row r="7" ht="26.1" customFormat="1" customHeight="1" s="34">
      <c r="B7" s="119" t="inlineStr">
        <is>
          <t>Income</t>
        </is>
      </c>
      <c r="C7" s="119" t="inlineStr">
        <is>
          <t>Other 1</t>
        </is>
      </c>
      <c r="D7" s="114" t="n">
        <v>2500</v>
      </c>
      <c r="E7" s="114" t="n">
        <v>2500</v>
      </c>
      <c r="F7" s="114" t="n">
        <v>2500</v>
      </c>
      <c r="G7" s="114" t="n">
        <v>2500</v>
      </c>
      <c r="H7" s="114" t="n">
        <v>2500</v>
      </c>
      <c r="I7" s="114" t="n">
        <v>2500</v>
      </c>
      <c r="J7" s="114" t="n"/>
      <c r="K7" s="114" t="n"/>
      <c r="L7" s="114" t="n"/>
      <c r="M7" s="114" t="n"/>
      <c r="N7" s="114" t="n"/>
      <c r="O7" s="114" t="n"/>
      <c r="P7" s="114" t="n"/>
    </row>
    <row r="8" ht="26.1" customFormat="1" customHeight="1" s="34">
      <c r="B8" s="119" t="inlineStr">
        <is>
          <t>Income</t>
        </is>
      </c>
      <c r="C8" s="119" t="inlineStr">
        <is>
          <t>Other 2</t>
        </is>
      </c>
      <c r="D8" s="114" t="n">
        <v>0</v>
      </c>
      <c r="E8" s="114" t="n">
        <v>0</v>
      </c>
      <c r="F8" s="114" t="n">
        <v>0</v>
      </c>
      <c r="G8" s="114" t="n">
        <v>0</v>
      </c>
      <c r="H8" s="114" t="n">
        <v>0</v>
      </c>
      <c r="I8" s="114" t="n">
        <v>0</v>
      </c>
      <c r="J8" s="114" t="n"/>
      <c r="K8" s="114" t="n"/>
      <c r="L8" s="114" t="n"/>
      <c r="M8" s="114" t="n"/>
      <c r="N8" s="114" t="n"/>
      <c r="O8" s="114" t="n"/>
      <c r="P8" s="114" t="n"/>
    </row>
    <row r="9" ht="26.1" customFormat="1" customHeight="1" s="34">
      <c r="B9" s="119" t="inlineStr">
        <is>
          <t>Income</t>
        </is>
      </c>
      <c r="C9" s="119" t="inlineStr">
        <is>
          <t>Other 3</t>
        </is>
      </c>
      <c r="D9" s="114" t="n">
        <v>0</v>
      </c>
      <c r="E9" s="114" t="n">
        <v>0</v>
      </c>
      <c r="F9" s="114" t="n">
        <v>0</v>
      </c>
      <c r="G9" s="114" t="n">
        <v>0</v>
      </c>
      <c r="H9" s="114" t="n">
        <v>0</v>
      </c>
      <c r="I9" s="114" t="n">
        <v>0</v>
      </c>
      <c r="J9" s="114" t="n"/>
      <c r="K9" s="114" t="n"/>
      <c r="L9" s="114" t="n"/>
      <c r="M9" s="114" t="n"/>
      <c r="N9" s="114" t="n"/>
      <c r="O9" s="114" t="n"/>
      <c r="P9" s="114" t="n"/>
    </row>
    <row r="10" ht="26.1" customFormat="1" customHeight="1" s="34">
      <c r="B10" s="119" t="inlineStr">
        <is>
          <t>Income</t>
        </is>
      </c>
      <c r="C10" s="119" t="inlineStr">
        <is>
          <t>Other 4</t>
        </is>
      </c>
      <c r="D10" s="114" t="n">
        <v>0</v>
      </c>
      <c r="E10" s="114" t="n">
        <v>0</v>
      </c>
      <c r="F10" s="114" t="n">
        <v>0</v>
      </c>
      <c r="G10" s="114" t="n">
        <v>0</v>
      </c>
      <c r="H10" s="114" t="n">
        <v>0</v>
      </c>
      <c r="I10" s="114" t="n">
        <v>0</v>
      </c>
      <c r="J10" s="114" t="n"/>
      <c r="K10" s="114" t="n"/>
      <c r="L10" s="114" t="n"/>
      <c r="M10" s="114" t="n"/>
      <c r="N10" s="114" t="n"/>
      <c r="O10" s="114" t="n"/>
      <c r="P10" s="114" t="n"/>
    </row>
    <row r="11" ht="26.1" customFormat="1" customHeight="1" s="34">
      <c r="B11" s="119" t="inlineStr">
        <is>
          <t>Expenses</t>
        </is>
      </c>
      <c r="C11" s="119" t="inlineStr">
        <is>
          <t>Federal/SS/Medicare</t>
        </is>
      </c>
      <c r="D11" s="114" t="n">
        <v>1250</v>
      </c>
      <c r="E11" s="114" t="n">
        <v>1250</v>
      </c>
      <c r="F11" s="114" t="n">
        <v>1250</v>
      </c>
      <c r="G11" s="114" t="n">
        <v>1250</v>
      </c>
      <c r="H11" s="114" t="n">
        <v>1250</v>
      </c>
      <c r="I11" s="114" t="n">
        <v>1250</v>
      </c>
      <c r="J11" s="114" t="n"/>
      <c r="K11" s="114" t="n"/>
      <c r="L11" s="114" t="n"/>
      <c r="M11" s="114" t="n"/>
      <c r="N11" s="114" t="n"/>
      <c r="O11" s="114" t="n"/>
      <c r="P11" s="114" t="n"/>
    </row>
    <row r="12" ht="26.1" customFormat="1" customHeight="1" s="34">
      <c r="B12" s="119" t="inlineStr">
        <is>
          <t>Expenses</t>
        </is>
      </c>
      <c r="C12" s="119" t="inlineStr">
        <is>
          <t>State income tax</t>
        </is>
      </c>
      <c r="D12" s="114" t="n">
        <v>208.3333333333333</v>
      </c>
      <c r="E12" s="114" t="n">
        <v>208.3333333333333</v>
      </c>
      <c r="F12" s="114" t="n">
        <v>208.3333333333333</v>
      </c>
      <c r="G12" s="114" t="n">
        <v>208.3333333333333</v>
      </c>
      <c r="H12" s="114" t="n">
        <v>208.3333333333333</v>
      </c>
      <c r="I12" s="114" t="n">
        <v>208.3333333333333</v>
      </c>
      <c r="J12" s="114" t="n"/>
      <c r="K12" s="114" t="n"/>
      <c r="L12" s="114" t="n"/>
      <c r="M12" s="114" t="n"/>
      <c r="N12" s="114" t="n"/>
      <c r="O12" s="114" t="n"/>
      <c r="P12" s="114" t="n"/>
    </row>
    <row r="13" ht="26.1" customHeight="1" s="102">
      <c r="B13" s="119" t="inlineStr">
        <is>
          <t>Expenses</t>
        </is>
      </c>
      <c r="C13" s="119" t="inlineStr">
        <is>
          <t>Vehicle tax/fees</t>
        </is>
      </c>
      <c r="D13" s="114" t="n">
        <v>16.66666666666667</v>
      </c>
      <c r="E13" s="114" t="n">
        <v>16.66666666666667</v>
      </c>
      <c r="F13" s="114" t="n">
        <v>16.66666666666667</v>
      </c>
      <c r="G13" s="114" t="n">
        <v>16.66666666666667</v>
      </c>
      <c r="H13" s="114" t="n">
        <v>16.66666666666667</v>
      </c>
      <c r="I13" s="114" t="n">
        <v>16.66666666666667</v>
      </c>
      <c r="J13" s="114" t="n"/>
      <c r="K13" s="114" t="n"/>
      <c r="L13" s="114" t="n"/>
      <c r="M13" s="114" t="n"/>
      <c r="N13" s="114" t="n"/>
      <c r="O13" s="114" t="n"/>
      <c r="P13" s="114" t="n"/>
      <c r="Q13" s="34" t="n"/>
    </row>
    <row r="14" ht="26.1" customHeight="1" s="102">
      <c r="B14" s="119" t="inlineStr">
        <is>
          <t>Expenses</t>
        </is>
      </c>
      <c r="C14" s="119" t="inlineStr">
        <is>
          <t>Vehicle payments</t>
        </is>
      </c>
      <c r="D14" s="114" t="n">
        <v>333.3333333333333</v>
      </c>
      <c r="E14" s="114" t="n">
        <v>333.3333333333333</v>
      </c>
      <c r="F14" s="114" t="n">
        <v>333.3333333333333</v>
      </c>
      <c r="G14" s="114" t="n">
        <v>333.3333333333333</v>
      </c>
      <c r="H14" s="114" t="n">
        <v>333.3333333333333</v>
      </c>
      <c r="I14" s="114" t="n">
        <v>333.3333333333333</v>
      </c>
      <c r="J14" s="114" t="n"/>
      <c r="K14" s="114" t="n"/>
      <c r="L14" s="114" t="n"/>
      <c r="M14" s="114" t="n"/>
      <c r="N14" s="114" t="n"/>
      <c r="O14" s="114" t="n"/>
      <c r="P14" s="114" t="n"/>
      <c r="Q14" s="34" t="n"/>
    </row>
    <row r="15" ht="26.1" customHeight="1" s="102">
      <c r="B15" s="119" t="inlineStr">
        <is>
          <t>Expenses</t>
        </is>
      </c>
      <c r="C15" s="119" t="inlineStr">
        <is>
          <t>Mortgage/rent</t>
        </is>
      </c>
      <c r="D15" s="114" t="n">
        <v>1250</v>
      </c>
      <c r="E15" s="114" t="n">
        <v>1250</v>
      </c>
      <c r="F15" s="114" t="n">
        <v>1250</v>
      </c>
      <c r="G15" s="114" t="n">
        <v>1250</v>
      </c>
      <c r="H15" s="114" t="n">
        <v>1250</v>
      </c>
      <c r="I15" s="114" t="n">
        <v>1250</v>
      </c>
      <c r="J15" s="114" t="n"/>
      <c r="K15" s="114" t="n"/>
      <c r="L15" s="114" t="n"/>
      <c r="M15" s="114" t="n"/>
      <c r="N15" s="114" t="n"/>
      <c r="O15" s="114" t="n"/>
      <c r="P15" s="114" t="n"/>
      <c r="Q15" s="34" t="n"/>
    </row>
    <row r="16" ht="26.1" customHeight="1" s="102">
      <c r="B16" s="119" t="inlineStr">
        <is>
          <t>Expenses</t>
        </is>
      </c>
      <c r="C16" s="119" t="inlineStr">
        <is>
          <t>Insurance</t>
        </is>
      </c>
      <c r="D16" s="114" t="n">
        <v>25</v>
      </c>
      <c r="E16" s="114" t="n">
        <v>25</v>
      </c>
      <c r="F16" s="114" t="n">
        <v>25</v>
      </c>
      <c r="G16" s="114" t="n">
        <v>25</v>
      </c>
      <c r="H16" s="114" t="n">
        <v>25</v>
      </c>
      <c r="I16" s="114" t="n">
        <v>25</v>
      </c>
      <c r="J16" s="114" t="n"/>
      <c r="K16" s="114" t="n"/>
      <c r="L16" s="114" t="n"/>
      <c r="M16" s="114" t="n"/>
      <c r="N16" s="114" t="n"/>
      <c r="O16" s="114" t="n"/>
      <c r="P16" s="114" t="n"/>
      <c r="Q16" s="34" t="n"/>
    </row>
    <row r="17" ht="26.1" customHeight="1" s="102">
      <c r="B17" s="119" t="inlineStr">
        <is>
          <t>Expenses</t>
        </is>
      </c>
      <c r="C17" s="119" t="inlineStr">
        <is>
          <t>Electricity</t>
        </is>
      </c>
      <c r="D17" s="114" t="n">
        <v>100</v>
      </c>
      <c r="E17" s="114" t="n">
        <v>100</v>
      </c>
      <c r="F17" s="114" t="n">
        <v>100</v>
      </c>
      <c r="G17" s="114" t="n">
        <v>100</v>
      </c>
      <c r="H17" s="114" t="n">
        <v>100</v>
      </c>
      <c r="I17" s="114" t="n">
        <v>100</v>
      </c>
      <c r="J17" s="114" t="n"/>
      <c r="K17" s="114" t="n"/>
      <c r="L17" s="114" t="n"/>
      <c r="M17" s="114" t="n"/>
      <c r="N17" s="114" t="n"/>
      <c r="O17" s="114" t="n"/>
      <c r="P17" s="114" t="n"/>
      <c r="Q17" s="34" t="n"/>
    </row>
    <row r="18" ht="26.1" customHeight="1" s="102">
      <c r="B18" s="119" t="inlineStr">
        <is>
          <t>Expenses</t>
        </is>
      </c>
      <c r="C18" s="119" t="inlineStr">
        <is>
          <t>Gas</t>
        </is>
      </c>
      <c r="D18" s="114" t="n">
        <v>50</v>
      </c>
      <c r="E18" s="114" t="n">
        <v>50</v>
      </c>
      <c r="F18" s="114" t="n">
        <v>50</v>
      </c>
      <c r="G18" s="114" t="n">
        <v>50</v>
      </c>
      <c r="H18" s="114" t="n">
        <v>50</v>
      </c>
      <c r="I18" s="114" t="n">
        <v>50</v>
      </c>
      <c r="J18" s="114" t="n"/>
      <c r="K18" s="114" t="n"/>
      <c r="L18" s="114" t="n"/>
      <c r="M18" s="114" t="n"/>
      <c r="N18" s="114" t="n"/>
      <c r="O18" s="114" t="n"/>
      <c r="P18" s="114" t="n"/>
      <c r="Q18" s="34" t="n"/>
    </row>
    <row r="19" ht="26.1" customHeight="1" s="102">
      <c r="B19" s="119" t="inlineStr">
        <is>
          <t>Expenses</t>
        </is>
      </c>
      <c r="C19" s="119" t="inlineStr">
        <is>
          <t>Water</t>
        </is>
      </c>
      <c r="D19" s="114" t="n">
        <v>50</v>
      </c>
      <c r="E19" s="114" t="n">
        <v>50</v>
      </c>
      <c r="F19" s="114" t="n">
        <v>50</v>
      </c>
      <c r="G19" s="114" t="n">
        <v>50</v>
      </c>
      <c r="H19" s="114" t="n">
        <v>50</v>
      </c>
      <c r="I19" s="114" t="n">
        <v>50</v>
      </c>
      <c r="J19" s="114" t="n"/>
      <c r="K19" s="114" t="n"/>
      <c r="L19" s="114" t="n"/>
      <c r="M19" s="114" t="n"/>
      <c r="N19" s="114" t="n"/>
      <c r="O19" s="114" t="n"/>
      <c r="P19" s="114" t="n"/>
      <c r="Q19" s="34" t="n"/>
    </row>
    <row r="20" ht="26.1" customHeight="1" s="102">
      <c r="B20" s="119" t="inlineStr">
        <is>
          <t>Expenses</t>
        </is>
      </c>
      <c r="C20" s="119" t="inlineStr">
        <is>
          <t>Sewer</t>
        </is>
      </c>
      <c r="D20" s="114" t="n">
        <v>25</v>
      </c>
      <c r="E20" s="114" t="n">
        <v>25</v>
      </c>
      <c r="F20" s="114" t="n">
        <v>25</v>
      </c>
      <c r="G20" s="114" t="n">
        <v>25</v>
      </c>
      <c r="H20" s="114" t="n">
        <v>25</v>
      </c>
      <c r="I20" s="114" t="n">
        <v>25</v>
      </c>
      <c r="J20" s="114" t="n"/>
      <c r="K20" s="114" t="n"/>
      <c r="L20" s="114" t="n"/>
      <c r="M20" s="114" t="n"/>
      <c r="N20" s="114" t="n"/>
      <c r="O20" s="114" t="n"/>
      <c r="P20" s="114" t="n"/>
      <c r="Q20" s="34" t="n"/>
    </row>
    <row r="21" ht="26.1" customHeight="1" s="102">
      <c r="B21" s="119" t="inlineStr">
        <is>
          <t>Expenses</t>
        </is>
      </c>
      <c r="C21" s="119" t="inlineStr">
        <is>
          <t>Garbage</t>
        </is>
      </c>
      <c r="D21" s="114" t="n">
        <v>12.5</v>
      </c>
      <c r="E21" s="114" t="n">
        <v>12.5</v>
      </c>
      <c r="F21" s="114" t="n">
        <v>12.5</v>
      </c>
      <c r="G21" s="114" t="n">
        <v>12.5</v>
      </c>
      <c r="H21" s="114" t="n">
        <v>12.5</v>
      </c>
      <c r="I21" s="114" t="n">
        <v>12.5</v>
      </c>
      <c r="J21" s="114" t="n"/>
      <c r="K21" s="114" t="n"/>
      <c r="L21" s="114" t="n"/>
      <c r="M21" s="114" t="n"/>
      <c r="N21" s="114" t="n"/>
      <c r="O21" s="114" t="n"/>
      <c r="P21" s="114" t="n"/>
      <c r="Q21" s="34" t="n"/>
    </row>
    <row r="22" ht="26.1" customHeight="1" s="102">
      <c r="B22" s="119" t="inlineStr">
        <is>
          <t>Expenses</t>
        </is>
      </c>
      <c r="C22" s="119" t="inlineStr">
        <is>
          <t>Phone</t>
        </is>
      </c>
      <c r="D22" s="114" t="n">
        <v>50</v>
      </c>
      <c r="E22" s="114" t="n">
        <v>50</v>
      </c>
      <c r="F22" s="114" t="n">
        <v>50</v>
      </c>
      <c r="G22" s="114" t="n">
        <v>50</v>
      </c>
      <c r="H22" s="114" t="n">
        <v>50</v>
      </c>
      <c r="I22" s="114" t="n">
        <v>50</v>
      </c>
      <c r="J22" s="114" t="n"/>
      <c r="K22" s="114" t="n"/>
      <c r="L22" s="114" t="n"/>
      <c r="M22" s="114" t="n"/>
      <c r="N22" s="114" t="n"/>
      <c r="O22" s="114" t="n"/>
      <c r="P22" s="114" t="n"/>
      <c r="Q22" s="34" t="n"/>
    </row>
    <row r="23" ht="26.1" customHeight="1" s="102">
      <c r="B23" s="119" t="inlineStr">
        <is>
          <t>Expenses</t>
        </is>
      </c>
      <c r="C23" s="119" t="inlineStr">
        <is>
          <t>Internet</t>
        </is>
      </c>
      <c r="D23" s="114" t="n">
        <v>50</v>
      </c>
      <c r="E23" s="114" t="n">
        <v>50</v>
      </c>
      <c r="F23" s="114" t="n">
        <v>50</v>
      </c>
      <c r="G23" s="114" t="n">
        <v>50</v>
      </c>
      <c r="H23" s="114" t="n">
        <v>50</v>
      </c>
      <c r="I23" s="114" t="n">
        <v>50</v>
      </c>
      <c r="J23" s="114" t="n"/>
      <c r="K23" s="114" t="n"/>
      <c r="L23" s="114" t="n"/>
      <c r="M23" s="114" t="n"/>
      <c r="N23" s="114" t="n"/>
      <c r="O23" s="114" t="n"/>
      <c r="P23" s="114" t="n"/>
      <c r="Q23" s="34" t="n"/>
    </row>
    <row r="24" ht="26.1" customHeight="1" s="102">
      <c r="B24" s="119" t="inlineStr">
        <is>
          <t>Expenses</t>
        </is>
      </c>
      <c r="C24" s="119" t="inlineStr">
        <is>
          <t>Disability premiums</t>
        </is>
      </c>
      <c r="D24" s="114" t="n">
        <v>125</v>
      </c>
      <c r="E24" s="114" t="n">
        <v>125</v>
      </c>
      <c r="F24" s="114" t="n">
        <v>125</v>
      </c>
      <c r="G24" s="114" t="n">
        <v>125</v>
      </c>
      <c r="H24" s="114" t="n">
        <v>125</v>
      </c>
      <c r="I24" s="114" t="n">
        <v>125</v>
      </c>
      <c r="J24" s="114" t="n"/>
      <c r="K24" s="114" t="n"/>
      <c r="L24" s="114" t="n"/>
      <c r="M24" s="114" t="n"/>
      <c r="N24" s="114" t="n"/>
      <c r="O24" s="114" t="n"/>
      <c r="P24" s="114" t="n"/>
      <c r="Q24" s="34" t="n"/>
    </row>
    <row r="25" ht="26.1" customHeight="1" s="102">
      <c r="B25" s="119" t="inlineStr">
        <is>
          <t>Expenses</t>
        </is>
      </c>
      <c r="C25" s="119" t="inlineStr">
        <is>
          <t>Food</t>
        </is>
      </c>
      <c r="D25" s="114" t="n">
        <v>400</v>
      </c>
      <c r="E25" s="114" t="n">
        <v>500</v>
      </c>
      <c r="F25" s="114" t="n">
        <v>450</v>
      </c>
      <c r="G25" s="114" t="n">
        <v>400</v>
      </c>
      <c r="H25" s="114" t="n">
        <v>450</v>
      </c>
      <c r="I25" s="114" t="n">
        <v>425</v>
      </c>
      <c r="J25" s="114" t="n"/>
      <c r="K25" s="114" t="n"/>
      <c r="L25" s="114" t="n"/>
      <c r="M25" s="114" t="n"/>
      <c r="N25" s="114" t="n"/>
      <c r="O25" s="114" t="n"/>
      <c r="P25" s="114" t="n"/>
      <c r="Q25" s="34" t="n"/>
    </row>
    <row r="26" ht="26.1" customHeight="1" s="102">
      <c r="B26" s="119" t="inlineStr">
        <is>
          <t>Expenses</t>
        </is>
      </c>
      <c r="C26" s="119" t="inlineStr">
        <is>
          <t>Clothing</t>
        </is>
      </c>
      <c r="D26" s="114" t="n">
        <v>50</v>
      </c>
      <c r="E26" s="114" t="n">
        <v>75</v>
      </c>
      <c r="F26" s="114" t="n">
        <v>100</v>
      </c>
      <c r="G26" s="114" t="n">
        <v>75</v>
      </c>
      <c r="H26" s="114" t="n">
        <v>125</v>
      </c>
      <c r="I26" s="114" t="n">
        <v>75</v>
      </c>
      <c r="J26" s="114" t="n"/>
      <c r="K26" s="114" t="n"/>
      <c r="L26" s="114" t="n"/>
      <c r="M26" s="114" t="n"/>
      <c r="N26" s="114" t="n"/>
      <c r="O26" s="114" t="n"/>
      <c r="P26" s="114" t="n"/>
      <c r="Q26" s="34" t="n"/>
    </row>
    <row r="27" ht="26.1" customHeight="1" s="102">
      <c r="B27" s="119" t="inlineStr">
        <is>
          <t>Expenses</t>
        </is>
      </c>
      <c r="C27" s="119" t="inlineStr">
        <is>
          <t>Medical/dental/Rx</t>
        </is>
      </c>
      <c r="D27" s="114" t="n">
        <v>50</v>
      </c>
      <c r="E27" s="114" t="n">
        <v>10</v>
      </c>
      <c r="F27" s="114" t="n">
        <v>25</v>
      </c>
      <c r="G27" s="114" t="n">
        <v>25</v>
      </c>
      <c r="H27" s="114" t="n">
        <v>20</v>
      </c>
      <c r="I27" s="114" t="n">
        <v>70</v>
      </c>
      <c r="J27" s="114" t="n"/>
      <c r="K27" s="114" t="n"/>
      <c r="L27" s="114" t="n"/>
      <c r="M27" s="114" t="n"/>
      <c r="N27" s="114" t="n"/>
      <c r="O27" s="114" t="n"/>
      <c r="P27" s="114" t="n"/>
      <c r="Q27" s="34" t="n"/>
    </row>
    <row r="28" ht="26.1" customHeight="1" s="102">
      <c r="B28" s="119" t="inlineStr">
        <is>
          <t>Expenses</t>
        </is>
      </c>
      <c r="C28" s="119" t="inlineStr">
        <is>
          <t>Bus</t>
        </is>
      </c>
      <c r="D28" s="114" t="n">
        <v>30</v>
      </c>
      <c r="E28" s="114" t="n">
        <v>30</v>
      </c>
      <c r="F28" s="114" t="n">
        <v>30</v>
      </c>
      <c r="G28" s="114" t="n">
        <v>20</v>
      </c>
      <c r="H28" s="114" t="n">
        <v>30</v>
      </c>
      <c r="I28" s="114" t="n">
        <v>30</v>
      </c>
      <c r="J28" s="114" t="n"/>
      <c r="K28" s="114" t="n"/>
      <c r="L28" s="114" t="n"/>
      <c r="M28" s="114" t="n"/>
      <c r="N28" s="114" t="n"/>
      <c r="O28" s="114" t="n"/>
      <c r="P28" s="114" t="n"/>
      <c r="Q28" s="34" t="n"/>
    </row>
    <row r="29" ht="26.1" customHeight="1" s="102">
      <c r="B29" s="119" t="inlineStr">
        <is>
          <t>Expenses</t>
        </is>
      </c>
      <c r="C29" s="119" t="inlineStr">
        <is>
          <t>Other 2</t>
        </is>
      </c>
      <c r="D29" s="114" t="n">
        <v>0</v>
      </c>
      <c r="E29" s="114" t="n">
        <v>0</v>
      </c>
      <c r="F29" s="114" t="n">
        <v>0</v>
      </c>
      <c r="G29" s="114" t="n">
        <v>0</v>
      </c>
      <c r="H29" s="114" t="n">
        <v>0</v>
      </c>
      <c r="I29" s="114" t="n">
        <v>0</v>
      </c>
      <c r="J29" s="114" t="n"/>
      <c r="K29" s="114" t="n"/>
      <c r="L29" s="114" t="n"/>
      <c r="M29" s="114" t="n"/>
      <c r="N29" s="114" t="n"/>
      <c r="O29" s="114" t="n"/>
      <c r="P29" s="114" t="n"/>
      <c r="Q29" s="34" t="n"/>
    </row>
    <row r="30" ht="26.1" customHeight="1" s="102">
      <c r="B30" s="119" t="inlineStr">
        <is>
          <t>Expenses</t>
        </is>
      </c>
      <c r="C30" s="119" t="inlineStr">
        <is>
          <t>Other 3</t>
        </is>
      </c>
      <c r="D30" s="114" t="n">
        <v>0</v>
      </c>
      <c r="E30" s="114" t="n">
        <v>0</v>
      </c>
      <c r="F30" s="114" t="n">
        <v>0</v>
      </c>
      <c r="G30" s="114" t="n">
        <v>0</v>
      </c>
      <c r="H30" s="114" t="n">
        <v>0</v>
      </c>
      <c r="I30" s="114" t="n">
        <v>0</v>
      </c>
      <c r="J30" s="114" t="n"/>
      <c r="K30" s="114" t="n"/>
      <c r="L30" s="114" t="n"/>
      <c r="M30" s="114" t="n"/>
      <c r="N30" s="114" t="n"/>
      <c r="O30" s="114" t="n"/>
      <c r="P30" s="114" t="n"/>
      <c r="Q30" s="34" t="n"/>
    </row>
    <row r="31" ht="26.1" customHeight="1" s="102">
      <c r="B31" s="119" t="inlineStr">
        <is>
          <t>Expenses</t>
        </is>
      </c>
      <c r="C31" s="119" t="inlineStr">
        <is>
          <t>Other 4</t>
        </is>
      </c>
      <c r="D31" s="114" t="n">
        <v>0</v>
      </c>
      <c r="E31" s="114" t="n">
        <v>0</v>
      </c>
      <c r="F31" s="114" t="n">
        <v>0</v>
      </c>
      <c r="G31" s="114" t="n">
        <v>0</v>
      </c>
      <c r="H31" s="114" t="n">
        <v>0</v>
      </c>
      <c r="I31" s="114" t="n">
        <v>0</v>
      </c>
      <c r="J31" s="114" t="n"/>
      <c r="K31" s="114" t="n"/>
      <c r="L31" s="114" t="n"/>
      <c r="M31" s="114" t="n"/>
      <c r="N31" s="114" t="n"/>
      <c r="O31" s="114" t="n"/>
      <c r="P31" s="114" t="n"/>
      <c r="Q31" s="34" t="n"/>
    </row>
    <row r="32" ht="26.1" customHeight="1" s="102">
      <c r="B32" s="119" t="inlineStr">
        <is>
          <t>Discretionary</t>
        </is>
      </c>
      <c r="C32" s="119" t="inlineStr">
        <is>
          <t>Dining</t>
        </is>
      </c>
      <c r="D32" s="114" t="n">
        <v>50</v>
      </c>
      <c r="E32" s="114" t="n">
        <v>150</v>
      </c>
      <c r="F32" s="114" t="n">
        <v>100</v>
      </c>
      <c r="G32" s="114" t="n">
        <v>50</v>
      </c>
      <c r="H32" s="114" t="n">
        <v>150</v>
      </c>
      <c r="I32" s="114" t="n">
        <v>100</v>
      </c>
      <c r="J32" s="114" t="n"/>
      <c r="K32" s="114" t="n"/>
      <c r="L32" s="114" t="n"/>
      <c r="M32" s="114" t="n"/>
      <c r="N32" s="114" t="n"/>
      <c r="O32" s="114" t="n"/>
      <c r="P32" s="114" t="n"/>
      <c r="Q32" s="34" t="n"/>
    </row>
    <row r="33" ht="26.1" customHeight="1" s="102">
      <c r="B33" s="119" t="inlineStr">
        <is>
          <t>Discretionary</t>
        </is>
      </c>
      <c r="C33" s="119" t="inlineStr">
        <is>
          <t>Gifts</t>
        </is>
      </c>
      <c r="D33" s="114" t="n">
        <v>25</v>
      </c>
      <c r="E33" s="114" t="n">
        <v>75</v>
      </c>
      <c r="F33" s="114" t="n">
        <v>50</v>
      </c>
      <c r="G33" s="114" t="n">
        <v>25</v>
      </c>
      <c r="H33" s="114" t="n">
        <v>75</v>
      </c>
      <c r="I33" s="114" t="n">
        <v>50</v>
      </c>
      <c r="J33" s="114" t="n"/>
      <c r="K33" s="114" t="n"/>
      <c r="L33" s="114" t="n"/>
      <c r="M33" s="114" t="n"/>
      <c r="N33" s="114" t="n"/>
      <c r="O33" s="114" t="n"/>
      <c r="P33" s="114" t="n"/>
      <c r="Q33" s="34" t="n"/>
    </row>
    <row r="34" ht="26.1" customHeight="1" s="102">
      <c r="B34" s="119" t="inlineStr">
        <is>
          <t>Discretionary</t>
        </is>
      </c>
      <c r="C34" s="119" t="inlineStr">
        <is>
          <t>Travel</t>
        </is>
      </c>
      <c r="D34" s="114" t="n">
        <v>0</v>
      </c>
      <c r="E34" s="114" t="n">
        <v>0</v>
      </c>
      <c r="F34" s="114" t="n">
        <v>1000</v>
      </c>
      <c r="G34" s="114" t="n">
        <v>0</v>
      </c>
      <c r="H34" s="114" t="n">
        <v>0</v>
      </c>
      <c r="I34" s="114" t="n">
        <v>1000</v>
      </c>
      <c r="J34" s="114" t="n"/>
      <c r="K34" s="114" t="n"/>
      <c r="L34" s="114" t="n"/>
      <c r="M34" s="114" t="n"/>
      <c r="N34" s="114" t="n"/>
      <c r="O34" s="114" t="n"/>
      <c r="P34" s="114" t="n"/>
      <c r="Q34" s="34" t="n"/>
    </row>
    <row r="35" ht="26.1" customHeight="1" s="102">
      <c r="B35" s="119" t="inlineStr">
        <is>
          <t>Discretionary</t>
        </is>
      </c>
      <c r="C35" s="119" t="inlineStr">
        <is>
          <t>Entertainment</t>
        </is>
      </c>
      <c r="D35" s="114" t="n">
        <v>50</v>
      </c>
      <c r="E35" s="114" t="n">
        <v>150</v>
      </c>
      <c r="F35" s="114" t="n">
        <v>100</v>
      </c>
      <c r="G35" s="114" t="n">
        <v>50</v>
      </c>
      <c r="H35" s="114" t="n">
        <v>150</v>
      </c>
      <c r="I35" s="114" t="n">
        <v>100</v>
      </c>
      <c r="J35" s="114" t="n"/>
      <c r="K35" s="114" t="n"/>
      <c r="L35" s="114" t="n"/>
      <c r="M35" s="114" t="n"/>
      <c r="N35" s="114" t="n"/>
      <c r="O35" s="114" t="n"/>
      <c r="P35" s="114" t="n"/>
      <c r="Q35" s="34" t="n"/>
    </row>
    <row r="36" ht="26.1" customHeight="1" s="102">
      <c r="B36" s="119" t="inlineStr">
        <is>
          <t>Discretionary</t>
        </is>
      </c>
      <c r="C36" s="119" t="inlineStr">
        <is>
          <t>Personal care</t>
        </is>
      </c>
      <c r="D36" s="114" t="n">
        <v>15</v>
      </c>
      <c r="E36" s="114" t="n">
        <v>25</v>
      </c>
      <c r="F36" s="114" t="n">
        <v>35</v>
      </c>
      <c r="G36" s="114" t="n">
        <v>15</v>
      </c>
      <c r="H36" s="114" t="n">
        <v>25</v>
      </c>
      <c r="I36" s="114" t="n">
        <v>35</v>
      </c>
      <c r="J36" s="114" t="n"/>
      <c r="K36" s="114" t="n"/>
      <c r="L36" s="114" t="n"/>
      <c r="M36" s="114" t="n"/>
      <c r="N36" s="114" t="n"/>
      <c r="O36" s="114" t="n"/>
      <c r="P36" s="114" t="n"/>
      <c r="Q36" s="34" t="n"/>
    </row>
    <row r="37" ht="26.1" customHeight="1" s="102">
      <c r="B37" s="119" t="inlineStr">
        <is>
          <t>Discretionary</t>
        </is>
      </c>
      <c r="C37" s="119" t="inlineStr">
        <is>
          <t>Shopping</t>
        </is>
      </c>
      <c r="D37" s="114" t="n">
        <v>100</v>
      </c>
      <c r="E37" s="114" t="n">
        <v>200</v>
      </c>
      <c r="F37" s="114" t="n">
        <v>150</v>
      </c>
      <c r="G37" s="114" t="n">
        <v>175</v>
      </c>
      <c r="H37" s="114" t="n">
        <v>150</v>
      </c>
      <c r="I37" s="114" t="n">
        <v>175</v>
      </c>
      <c r="J37" s="114" t="n"/>
      <c r="K37" s="114" t="n"/>
      <c r="L37" s="114" t="n"/>
      <c r="M37" s="114" t="n"/>
      <c r="N37" s="114" t="n"/>
      <c r="O37" s="114" t="n"/>
      <c r="P37" s="114" t="n"/>
      <c r="Q37" s="34" t="n"/>
    </row>
    <row r="38" ht="26.1" customHeight="1" s="102">
      <c r="B38" s="119" t="inlineStr">
        <is>
          <t>Discretionary</t>
        </is>
      </c>
      <c r="C38" s="119" t="inlineStr">
        <is>
          <t>Charity</t>
        </is>
      </c>
      <c r="D38" s="114" t="n">
        <v>50</v>
      </c>
      <c r="E38" s="114" t="n">
        <v>50</v>
      </c>
      <c r="F38" s="114" t="n">
        <v>50</v>
      </c>
      <c r="G38" s="114" t="n">
        <v>50</v>
      </c>
      <c r="H38" s="114" t="n">
        <v>50</v>
      </c>
      <c r="I38" s="114" t="n">
        <v>50</v>
      </c>
      <c r="J38" s="114" t="n"/>
      <c r="K38" s="114" t="n"/>
      <c r="L38" s="114" t="n"/>
      <c r="M38" s="114" t="n"/>
      <c r="N38" s="114" t="n"/>
      <c r="O38" s="114" t="n"/>
      <c r="P38" s="114" t="n"/>
      <c r="Q38" s="34" t="n"/>
    </row>
    <row r="39" ht="26.1" customHeight="1" s="102">
      <c r="B39" s="119" t="inlineStr">
        <is>
          <t>Discretionary</t>
        </is>
      </c>
      <c r="C39" s="119" t="inlineStr">
        <is>
          <t>Club memberships</t>
        </is>
      </c>
      <c r="D39" s="114" t="n">
        <v>25</v>
      </c>
      <c r="E39" s="114" t="n">
        <v>25</v>
      </c>
      <c r="F39" s="114" t="n">
        <v>25</v>
      </c>
      <c r="G39" s="114" t="n">
        <v>25</v>
      </c>
      <c r="H39" s="114" t="n">
        <v>25</v>
      </c>
      <c r="I39" s="114" t="n">
        <v>25</v>
      </c>
      <c r="J39" s="114" t="n"/>
      <c r="K39" s="114" t="n"/>
      <c r="L39" s="114" t="n"/>
      <c r="M39" s="114" t="n"/>
      <c r="N39" s="114" t="n"/>
      <c r="O39" s="114" t="n"/>
      <c r="P39" s="114" t="n"/>
      <c r="Q39" s="34" t="n"/>
    </row>
    <row r="40" ht="26.1" customHeight="1" s="102">
      <c r="B40" s="119" t="inlineStr">
        <is>
          <t>Discretionary</t>
        </is>
      </c>
      <c r="C40" s="119" t="inlineStr">
        <is>
          <t>Home improvements</t>
        </is>
      </c>
      <c r="D40" s="114" t="n">
        <v>400</v>
      </c>
      <c r="E40" s="114" t="n">
        <v>400</v>
      </c>
      <c r="F40" s="114" t="n">
        <v>400</v>
      </c>
      <c r="G40" s="114" t="n">
        <v>400</v>
      </c>
      <c r="H40" s="114" t="n">
        <v>400</v>
      </c>
      <c r="I40" s="114" t="n">
        <v>400</v>
      </c>
      <c r="J40" s="114" t="n"/>
      <c r="K40" s="114" t="n"/>
      <c r="L40" s="114" t="n"/>
      <c r="M40" s="114" t="n"/>
      <c r="N40" s="114" t="n"/>
      <c r="O40" s="114" t="n"/>
      <c r="P40" s="114" t="n"/>
      <c r="Q40" s="34" t="n"/>
    </row>
    <row r="41" ht="26.1" customHeight="1" s="102">
      <c r="B41" s="119" t="inlineStr">
        <is>
          <t>Discretionary</t>
        </is>
      </c>
      <c r="C41" s="119" t="inlineStr">
        <is>
          <t>Other 1</t>
        </is>
      </c>
      <c r="D41" s="114" t="n">
        <v>0</v>
      </c>
      <c r="E41" s="114" t="n">
        <v>0</v>
      </c>
      <c r="F41" s="114" t="n">
        <v>0</v>
      </c>
      <c r="G41" s="114" t="n">
        <v>0</v>
      </c>
      <c r="H41" s="114" t="n">
        <v>0</v>
      </c>
      <c r="I41" s="114" t="n">
        <v>0</v>
      </c>
      <c r="J41" s="114" t="n"/>
      <c r="K41" s="114" t="n"/>
      <c r="L41" s="114" t="n"/>
      <c r="M41" s="114" t="n"/>
      <c r="N41" s="114" t="n"/>
      <c r="O41" s="114" t="n"/>
      <c r="P41" s="114" t="n"/>
      <c r="Q41" s="34" t="n"/>
    </row>
    <row r="42" ht="26.1" customHeight="1" s="102">
      <c r="B42" s="119" t="inlineStr">
        <is>
          <t>Discretionary</t>
        </is>
      </c>
      <c r="C42" s="119" t="inlineStr">
        <is>
          <t>Other 2</t>
        </is>
      </c>
      <c r="D42" s="114" t="n">
        <v>0</v>
      </c>
      <c r="E42" s="114" t="n">
        <v>0</v>
      </c>
      <c r="F42" s="114" t="n">
        <v>0</v>
      </c>
      <c r="G42" s="114" t="n">
        <v>0</v>
      </c>
      <c r="H42" s="114" t="n">
        <v>0</v>
      </c>
      <c r="I42" s="114" t="n">
        <v>0</v>
      </c>
      <c r="J42" s="114" t="n"/>
      <c r="K42" s="114" t="n"/>
      <c r="L42" s="114" t="n"/>
      <c r="M42" s="114" t="n"/>
      <c r="N42" s="114" t="n"/>
      <c r="O42" s="114" t="n"/>
      <c r="P42" s="114" t="n"/>
      <c r="Q42" s="34" t="n"/>
    </row>
    <row r="43" ht="26.1" customHeight="1" s="102">
      <c r="B43" s="119" t="inlineStr">
        <is>
          <t>Savings</t>
        </is>
      </c>
      <c r="C43" s="119" t="inlineStr">
        <is>
          <t>Cash reserves</t>
        </is>
      </c>
      <c r="D43" s="114" t="n">
        <v>416.6666666666667</v>
      </c>
      <c r="E43" s="114" t="n">
        <v>416.6666666666667</v>
      </c>
      <c r="F43" s="114" t="n">
        <v>416.6666666666667</v>
      </c>
      <c r="G43" s="114" t="n">
        <v>416.6666666666667</v>
      </c>
      <c r="H43" s="114" t="n">
        <v>416.6666666666667</v>
      </c>
      <c r="I43" s="114" t="n">
        <v>416.6666666666667</v>
      </c>
      <c r="J43" s="114" t="n"/>
      <c r="K43" s="114" t="n"/>
      <c r="L43" s="114" t="n"/>
      <c r="M43" s="114" t="n"/>
      <c r="N43" s="114" t="n"/>
      <c r="O43" s="114" t="n"/>
      <c r="P43" s="114" t="n"/>
      <c r="Q43" s="34" t="n"/>
    </row>
    <row r="44" ht="26.1" customHeight="1" s="102">
      <c r="B44" s="119" t="inlineStr">
        <is>
          <t>Savings</t>
        </is>
      </c>
      <c r="C44" s="119" t="inlineStr">
        <is>
          <t>401k etc.</t>
        </is>
      </c>
      <c r="D44" s="114" t="n">
        <v>1000</v>
      </c>
      <c r="E44" s="114" t="n">
        <v>1000</v>
      </c>
      <c r="F44" s="114" t="n">
        <v>1000</v>
      </c>
      <c r="G44" s="114" t="n">
        <v>1000</v>
      </c>
      <c r="H44" s="114" t="n">
        <v>1000</v>
      </c>
      <c r="I44" s="114" t="n">
        <v>1000</v>
      </c>
      <c r="J44" s="114" t="n"/>
      <c r="K44" s="114" t="n"/>
      <c r="L44" s="114" t="n"/>
      <c r="M44" s="114" t="n"/>
      <c r="N44" s="114" t="n"/>
      <c r="O44" s="114" t="n"/>
      <c r="P44" s="114" t="n"/>
      <c r="Q44" s="34" t="n"/>
    </row>
    <row r="45" ht="26.1" customHeight="1" s="102">
      <c r="B45" s="119" t="inlineStr">
        <is>
          <t>Savings</t>
        </is>
      </c>
      <c r="C45" s="119" t="inlineStr">
        <is>
          <t>Savings account</t>
        </is>
      </c>
      <c r="D45" s="114" t="n">
        <v>500</v>
      </c>
      <c r="E45" s="114" t="n">
        <v>500</v>
      </c>
      <c r="F45" s="114" t="n">
        <v>500</v>
      </c>
      <c r="G45" s="114" t="n">
        <v>500</v>
      </c>
      <c r="H45" s="114" t="n">
        <v>500</v>
      </c>
      <c r="I45" s="114" t="n">
        <v>500</v>
      </c>
      <c r="J45" s="114" t="n"/>
      <c r="K45" s="114" t="n"/>
      <c r="L45" s="114" t="n"/>
      <c r="M45" s="114" t="n"/>
      <c r="N45" s="114" t="n"/>
      <c r="O45" s="114" t="n"/>
      <c r="P45" s="114" t="n"/>
      <c r="Q45" s="34" t="n"/>
    </row>
    <row r="46" ht="26.1" customHeight="1" s="102">
      <c r="B46" s="119" t="inlineStr">
        <is>
          <t>Savings</t>
        </is>
      </c>
      <c r="C46" s="119" t="inlineStr">
        <is>
          <t>Other 1</t>
        </is>
      </c>
      <c r="D46" s="114" t="n">
        <v>0</v>
      </c>
      <c r="E46" s="114" t="n">
        <v>0</v>
      </c>
      <c r="F46" s="114" t="n">
        <v>0</v>
      </c>
      <c r="G46" s="114" t="n">
        <v>0</v>
      </c>
      <c r="H46" s="114" t="n">
        <v>0</v>
      </c>
      <c r="I46" s="114" t="n">
        <v>0</v>
      </c>
      <c r="J46" s="114" t="n"/>
      <c r="K46" s="114" t="n"/>
      <c r="L46" s="114" t="n"/>
      <c r="M46" s="114" t="n"/>
      <c r="N46" s="114" t="n"/>
      <c r="O46" s="114" t="n"/>
      <c r="P46" s="114" t="n"/>
      <c r="Q46" s="34" t="n"/>
    </row>
    <row r="47" ht="26.1" customHeight="1" s="102">
      <c r="B47" s="119" t="inlineStr">
        <is>
          <t>Savings</t>
        </is>
      </c>
      <c r="C47" s="119" t="inlineStr">
        <is>
          <t>Other 2</t>
        </is>
      </c>
      <c r="D47" s="114" t="n">
        <v>0</v>
      </c>
      <c r="E47" s="114" t="n">
        <v>0</v>
      </c>
      <c r="F47" s="114" t="n">
        <v>0</v>
      </c>
      <c r="G47" s="114" t="n">
        <v>0</v>
      </c>
      <c r="H47" s="114" t="n">
        <v>0</v>
      </c>
      <c r="I47" s="114" t="n">
        <v>0</v>
      </c>
      <c r="J47" s="114" t="n"/>
      <c r="K47" s="114" t="n"/>
      <c r="L47" s="114" t="n"/>
      <c r="M47" s="114" t="n"/>
      <c r="N47" s="114" t="n"/>
      <c r="O47" s="114" t="n"/>
      <c r="P47" s="114" t="n"/>
      <c r="Q47" s="34" t="n"/>
    </row>
    <row r="48" ht="26.1" customHeight="1" s="102">
      <c r="B48" s="120" t="inlineStr">
        <is>
          <t>Total</t>
        </is>
      </c>
      <c r="C48" s="115" t="n"/>
      <c r="D48" s="116" t="n"/>
      <c r="E48" s="116" t="n"/>
      <c r="F48" s="116" t="n"/>
      <c r="G48" s="116" t="n"/>
      <c r="H48" s="116" t="n"/>
      <c r="I48" s="116" t="n"/>
      <c r="J48" s="116" t="n"/>
      <c r="K48" s="116" t="n"/>
      <c r="L48" s="116" t="n"/>
      <c r="M48" s="116" t="n"/>
      <c r="N48" s="116" t="n"/>
      <c r="O48" s="116" t="n"/>
      <c r="P48" s="116" t="n"/>
    </row>
    <row r="49" ht="26.1" customHeight="1" s="102">
      <c r="B49" s="83" t="n"/>
      <c r="C49" s="83" t="n"/>
      <c r="D49" s="83" t="n"/>
      <c r="E49" s="83" t="n"/>
      <c r="F49" s="83" t="n"/>
      <c r="G49" s="83" t="n"/>
      <c r="H49" s="83" t="n"/>
      <c r="I49" s="83" t="n"/>
      <c r="J49" s="83" t="n"/>
      <c r="K49" s="83" t="n"/>
      <c r="L49" s="83" t="n"/>
      <c r="M49" s="83" t="n"/>
      <c r="N49" s="83" t="n"/>
      <c r="O49" s="83" t="n"/>
      <c r="P49" s="83" t="n"/>
    </row>
  </sheetData>
  <mergeCells count="2">
    <mergeCell ref="F2:K2"/>
    <mergeCell ref="D2:E2"/>
  </mergeCells>
  <conditionalFormatting sqref="B5:P47">
    <cfRule type="expression" priority="1" dxfId="70">
      <formula>(MOD(ROW(),2)&lt;&gt;0)*($B5="Income")</formula>
    </cfRule>
    <cfRule type="expression" priority="2" dxfId="69">
      <formula>(MOD(ROW(),2)=0)*($B5="Income")</formula>
    </cfRule>
  </conditionalFormatting>
  <dataValidations count="3">
    <dataValidation sqref="A1" showDropDown="0" showInputMessage="1" showErrorMessage="1" allowBlank="1" promptTitle="Monthly Cash Flow" prompt="_x000a_Create Monthly Cash Flow Statement in this worksheet. _x000a__x000a_Enter details in Monthly table. Total Monthly Cash flow is automatically calculated in cell D2. Tip is in cell F2."/>
    <dataValidation sqref="B4" showDropDown="0" showInputMessage="1" showErrorMessage="1" allowBlank="1" prompt="Select Type in this column under this heading. Press ALT+DOWN ARROW for options, then DOWN ARROW and ENTER to make selection. Use heading filters to find specific entries"/>
    <dataValidation sqref="C4" showDropDown="0" showInputMessage="1" showErrorMessage="1" allowBlank="1" prompt="Enter Description in this column under this heading"/>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4" tint="-0.249977111117893"/>
    <outlinePr summaryBelow="1" summaryRight="1"/>
    <pageSetUpPr autoPageBreaks="0" fitToPage="1"/>
  </sheetPr>
  <dimension ref="A1:AC29"/>
  <sheetViews>
    <sheetView showGridLines="0" zoomScaleNormal="100" workbookViewId="0">
      <selection activeCell="A1" sqref="A1"/>
    </sheetView>
  </sheetViews>
  <sheetFormatPr baseColWidth="8" defaultColWidth="20.77734375" defaultRowHeight="13.9"/>
  <cols>
    <col width="1.77734375" customWidth="1" style="2" min="1" max="1"/>
    <col width="14.77734375" customWidth="1" style="2" min="2" max="2"/>
    <col width="12.77734375" customWidth="1" style="2" min="3" max="3"/>
    <col width="16.77734375" customWidth="1" style="2" min="4" max="4"/>
    <col width="2.6640625" customWidth="1" style="2" min="5" max="5"/>
    <col width="14.77734375" customWidth="1" style="2" min="6" max="8"/>
    <col width="2.6640625" customWidth="1" style="2" min="9" max="9"/>
    <col width="14.77734375" customWidth="1" style="2" min="10" max="12"/>
    <col width="2.6640625" customWidth="1" style="2" min="13" max="13"/>
    <col width="14.77734375" customWidth="1" style="2" min="14" max="16"/>
    <col width="1.77734375" customWidth="1" style="2" min="17" max="17"/>
    <col hidden="1" width="20.77734375" customWidth="1" style="2" min="18" max="19"/>
    <col hidden="1" width="1.77734375" customWidth="1" style="2" min="20" max="20"/>
    <col hidden="1" width="20.77734375" customWidth="1" style="2" min="21" max="22"/>
    <col hidden="1" width="1.77734375" customWidth="1" style="2" min="23" max="23"/>
    <col hidden="1" width="20.77734375" customWidth="1" style="2" min="24" max="25"/>
    <col hidden="1" width="1.77734375" customWidth="1" style="2" min="26" max="26"/>
    <col hidden="1" width="20.77734375" customWidth="1" style="2" min="27" max="28"/>
    <col width="20.77734375" customWidth="1" style="2" min="29" max="16384"/>
  </cols>
  <sheetData>
    <row r="1" ht="44.1" customFormat="1" customHeight="1" s="16">
      <c r="A1" s="18" t="n"/>
      <c r="B1" s="16" t="inlineStr">
        <is>
          <t>PERSONAL CASH FLOW</t>
        </is>
      </c>
      <c r="H1" t="inlineStr">
        <is>
          <t>'Annual Cash Flow'!A1</t>
        </is>
      </c>
      <c r="I1" t="inlineStr">
        <is>
          <t>'Annual Cash Flow'!A1</t>
        </is>
      </c>
      <c r="J1" t="inlineStr">
        <is>
          <t>Guide!A1</t>
        </is>
      </c>
      <c r="L1" t="inlineStr">
        <is>
          <t>'Monthly Cash Flow'!A1</t>
        </is>
      </c>
      <c r="Q1" s="16" t="inlineStr">
        <is>
          <t> </t>
        </is>
      </c>
    </row>
    <row r="2" ht="44.1" customFormat="1" customHeight="1" s="3">
      <c r="B2" s="87" t="n"/>
      <c r="C2" s="87" t="inlineStr">
        <is>
          <t>Total cash flow to date:</t>
        </is>
      </c>
      <c r="D2" s="121" t="n"/>
      <c r="E2" s="104" t="n"/>
      <c r="F2" s="65" t="n"/>
      <c r="G2" s="92" t="inlineStr">
        <is>
          <t>This is an annual estimation.  Use this worksheet if you wish to view annual amounts with estimated monthly values. Use income, expenses, discretionary, and savings worksheets to enter items.</t>
        </is>
      </c>
      <c r="H2" s="104" t="n"/>
      <c r="I2" s="104" t="n"/>
      <c r="J2" s="104" t="n"/>
      <c r="K2" s="104" t="n"/>
      <c r="L2" s="104" t="n"/>
      <c r="M2" s="41" t="n"/>
      <c r="N2" s="41" t="n"/>
      <c r="O2" s="23" t="n"/>
      <c r="P2" s="23" t="n"/>
    </row>
    <row r="3" ht="33.95" customFormat="1" customHeight="1" s="3">
      <c r="B3" s="19" t="n"/>
      <c r="C3" s="19" t="n"/>
      <c r="D3" s="122" t="n"/>
      <c r="E3" s="122" t="n"/>
      <c r="F3" s="122" t="n"/>
      <c r="G3" s="21" t="n"/>
      <c r="H3" s="21" t="n"/>
      <c r="I3" s="21" t="n"/>
      <c r="J3" s="21" t="n"/>
      <c r="K3" s="21" t="n"/>
      <c r="L3" s="21" t="n"/>
      <c r="M3" s="21" t="n"/>
      <c r="N3" s="21" t="n"/>
      <c r="O3" s="21" t="n"/>
      <c r="P3" s="21" t="n"/>
    </row>
    <row r="4" ht="33.95" customFormat="1" customHeight="1" s="22" thickBot="1">
      <c r="B4" s="95" t="inlineStr">
        <is>
          <t>INCOME SUMMARY</t>
        </is>
      </c>
      <c r="C4" s="123" t="n"/>
      <c r="D4" s="123" t="n"/>
      <c r="F4" s="95" t="inlineStr">
        <is>
          <t>EXPENSES SUMMARY</t>
        </is>
      </c>
      <c r="G4" s="123" t="n"/>
      <c r="H4" s="123" t="n"/>
      <c r="J4" s="95" t="inlineStr">
        <is>
          <t>DISCRETIONARY SUMMARY</t>
        </is>
      </c>
      <c r="K4" s="123" t="n"/>
      <c r="L4" s="123" t="n"/>
      <c r="N4" s="95" t="inlineStr">
        <is>
          <t>SAVINGS SUMMARY</t>
        </is>
      </c>
      <c r="O4" s="123" t="n"/>
      <c r="P4" s="123" t="n"/>
    </row>
    <row r="5" ht="33.95" customHeight="1" s="102">
      <c r="B5" s="15" t="inlineStr">
        <is>
          <t>Total annual:</t>
        </is>
      </c>
      <c r="C5" s="124" t="n"/>
      <c r="D5" s="125" t="n"/>
      <c r="F5" s="15" t="inlineStr">
        <is>
          <t>Total annual:</t>
        </is>
      </c>
      <c r="G5" s="124" t="n"/>
      <c r="H5" s="125" t="n"/>
      <c r="J5" s="15" t="inlineStr">
        <is>
          <t>Total annual:</t>
        </is>
      </c>
      <c r="K5" s="124" t="n"/>
      <c r="L5" s="125" t="n"/>
      <c r="N5" s="15" t="inlineStr">
        <is>
          <t>Total annual:</t>
        </is>
      </c>
      <c r="O5" s="126" t="n"/>
      <c r="P5" s="125" t="n"/>
    </row>
    <row r="6" ht="339.95" customHeight="1" s="102">
      <c r="B6" s="84" t="n"/>
      <c r="C6" s="84" t="n"/>
      <c r="D6" s="84" t="n"/>
      <c r="F6" s="84" t="n"/>
      <c r="G6" s="84" t="n"/>
      <c r="H6" s="84" t="n"/>
      <c r="J6" s="84" t="n"/>
      <c r="K6" s="84" t="n"/>
      <c r="L6" s="84" t="n"/>
      <c r="N6" s="84" t="n"/>
      <c r="O6" s="84" t="n"/>
      <c r="P6" s="84" t="n"/>
    </row>
    <row r="7" ht="12" customHeight="1" s="102">
      <c r="B7" s="29" t="n"/>
      <c r="C7" s="29" t="n"/>
      <c r="D7" s="29" t="n"/>
      <c r="F7" s="29" t="n"/>
      <c r="G7" s="29" t="n"/>
      <c r="H7" s="29" t="n"/>
      <c r="J7" s="29" t="n"/>
      <c r="K7" s="29" t="n"/>
      <c r="L7" s="29" t="n"/>
      <c r="N7" s="29" t="n"/>
      <c r="O7" s="29" t="n"/>
      <c r="P7" s="29" t="n"/>
    </row>
    <row r="8" ht="33.95" customHeight="1" s="102">
      <c r="B8" s="80" t="inlineStr">
        <is>
          <t>Total Monthly:</t>
        </is>
      </c>
      <c r="C8" s="127" t="n"/>
      <c r="D8" s="128" t="n"/>
      <c r="F8" s="80" t="inlineStr">
        <is>
          <t>Total Monthly:</t>
        </is>
      </c>
      <c r="G8" s="127" t="n"/>
      <c r="H8" s="128" t="n"/>
      <c r="J8" s="80" t="inlineStr">
        <is>
          <t>Total Monthly:</t>
        </is>
      </c>
      <c r="K8" s="127" t="n"/>
      <c r="L8" s="128" t="n"/>
      <c r="N8" s="81" t="inlineStr">
        <is>
          <t>Total Monthly:</t>
        </is>
      </c>
      <c r="O8" s="129" t="n"/>
      <c r="P8" s="128" t="n"/>
    </row>
    <row r="10">
      <c r="R10" s="79" t="inlineStr">
        <is>
          <t>Row Labels</t>
        </is>
      </c>
      <c r="S10" s="0" t="inlineStr">
        <is>
          <t>Annual Income</t>
        </is>
      </c>
      <c r="T10" s="0" t="n"/>
      <c r="U10" s="79" t="inlineStr">
        <is>
          <t>Row Labels</t>
        </is>
      </c>
      <c r="V10" s="0" t="inlineStr">
        <is>
          <t>Sum of Annual</t>
        </is>
      </c>
      <c r="W10" s="0" t="n"/>
      <c r="X10" s="79" t="inlineStr">
        <is>
          <t>Row Labels</t>
        </is>
      </c>
      <c r="Y10" s="0" t="inlineStr">
        <is>
          <t>Sum of Annual</t>
        </is>
      </c>
      <c r="Z10" s="0" t="n"/>
      <c r="AA10" s="79" t="inlineStr">
        <is>
          <t>Row Labels</t>
        </is>
      </c>
      <c r="AB10" s="0" t="inlineStr">
        <is>
          <t>Sum of Annual</t>
        </is>
      </c>
    </row>
    <row r="11">
      <c r="R11" s="88" t="inlineStr">
        <is>
          <t>Other 2</t>
        </is>
      </c>
      <c r="S11" s="130" t="n">
        <v>0</v>
      </c>
      <c r="T11" s="0" t="n"/>
      <c r="U11" s="88" t="inlineStr">
        <is>
          <t>Other 1</t>
        </is>
      </c>
      <c r="V11" s="131" t="n">
        <v>0</v>
      </c>
      <c r="W11" s="0" t="n"/>
      <c r="X11" s="88" t="inlineStr">
        <is>
          <t>Other 2</t>
        </is>
      </c>
      <c r="Y11" s="130" t="n">
        <v>0</v>
      </c>
      <c r="Z11" s="0" t="n"/>
      <c r="AA11" s="88" t="inlineStr">
        <is>
          <t>Other 1</t>
        </is>
      </c>
      <c r="AB11" s="130" t="n">
        <v>0</v>
      </c>
      <c r="AC11" s="0" t="n"/>
    </row>
    <row r="12">
      <c r="R12" s="88" t="inlineStr">
        <is>
          <t>Other 3</t>
        </is>
      </c>
      <c r="S12" s="130" t="n">
        <v>0</v>
      </c>
      <c r="T12" s="0" t="n"/>
      <c r="U12" s="88" t="inlineStr">
        <is>
          <t>Other 2</t>
        </is>
      </c>
      <c r="V12" s="131" t="n">
        <v>0</v>
      </c>
      <c r="W12" s="0" t="n"/>
      <c r="X12" s="88" t="inlineStr">
        <is>
          <t>Other 1</t>
        </is>
      </c>
      <c r="Y12" s="130" t="n">
        <v>0</v>
      </c>
      <c r="Z12" s="0" t="n"/>
      <c r="AA12" s="88" t="inlineStr">
        <is>
          <t>Other 2</t>
        </is>
      </c>
      <c r="AB12" s="130" t="n">
        <v>0</v>
      </c>
      <c r="AC12" s="0" t="n"/>
    </row>
    <row r="13">
      <c r="R13" s="88" t="inlineStr">
        <is>
          <t>Other 4</t>
        </is>
      </c>
      <c r="S13" s="130" t="n">
        <v>0</v>
      </c>
      <c r="T13" s="0" t="n"/>
      <c r="U13" s="88" t="inlineStr">
        <is>
          <t>Garbage</t>
        </is>
      </c>
      <c r="V13" s="131" t="n">
        <v>150</v>
      </c>
      <c r="W13" s="0" t="n"/>
      <c r="X13" s="88" t="inlineStr">
        <is>
          <t>Club/Memberships</t>
        </is>
      </c>
      <c r="Y13" s="130" t="n">
        <v>300</v>
      </c>
      <c r="Z13" s="0" t="n"/>
      <c r="AA13" s="88" t="inlineStr">
        <is>
          <t>Cash Reserves</t>
        </is>
      </c>
      <c r="AB13" s="130" t="n">
        <v>5000</v>
      </c>
      <c r="AC13" s="0" t="n"/>
    </row>
    <row r="14">
      <c r="R14" s="88" t="inlineStr">
        <is>
          <t>Commissions/bonus</t>
        </is>
      </c>
      <c r="S14" s="130" t="n">
        <v>5000</v>
      </c>
      <c r="T14" s="0" t="n"/>
      <c r="U14" s="88" t="inlineStr">
        <is>
          <t>Vehicle Tax/Fees</t>
        </is>
      </c>
      <c r="V14" s="131" t="n">
        <v>200</v>
      </c>
      <c r="W14" s="0" t="n"/>
      <c r="X14" s="88" t="inlineStr">
        <is>
          <t>Personal Care</t>
        </is>
      </c>
      <c r="Y14" s="130" t="n">
        <v>300</v>
      </c>
      <c r="Z14" s="0" t="n"/>
      <c r="AA14" s="88" t="inlineStr">
        <is>
          <t>Savings/Investment</t>
        </is>
      </c>
      <c r="AB14" s="130" t="n">
        <v>6000</v>
      </c>
      <c r="AC14" s="0" t="n"/>
    </row>
    <row r="15">
      <c r="R15" s="88" t="inlineStr">
        <is>
          <t>Other 1</t>
        </is>
      </c>
      <c r="S15" s="130" t="n">
        <v>30000</v>
      </c>
      <c r="T15" s="0" t="n"/>
      <c r="U15" s="88" t="inlineStr">
        <is>
          <t>Insurance</t>
        </is>
      </c>
      <c r="V15" s="131" t="n">
        <v>250</v>
      </c>
      <c r="W15" s="0" t="n"/>
      <c r="X15" s="88" t="inlineStr">
        <is>
          <t>Gifts</t>
        </is>
      </c>
      <c r="Y15" s="130" t="n">
        <v>600</v>
      </c>
      <c r="Z15" s="0" t="n"/>
      <c r="AA15" s="88" t="inlineStr">
        <is>
          <t>401(k)/Etc</t>
        </is>
      </c>
      <c r="AB15" s="130" t="n">
        <v>12000</v>
      </c>
      <c r="AC15" s="0" t="n"/>
    </row>
    <row r="16">
      <c r="R16" s="88" t="inlineStr">
        <is>
          <t>Salary</t>
        </is>
      </c>
      <c r="S16" s="130" t="n">
        <v>90000</v>
      </c>
      <c r="T16" s="0" t="n"/>
      <c r="U16" s="88" t="inlineStr">
        <is>
          <t>Internet</t>
        </is>
      </c>
      <c r="V16" s="131" t="n">
        <v>600</v>
      </c>
      <c r="W16" s="0" t="n"/>
      <c r="X16" s="88" t="inlineStr">
        <is>
          <t>Charity</t>
        </is>
      </c>
      <c r="Y16" s="130" t="n">
        <v>600</v>
      </c>
      <c r="Z16" s="0" t="n"/>
      <c r="AA16" s="88" t="inlineStr">
        <is>
          <t>Grand Total</t>
        </is>
      </c>
      <c r="AB16" s="130" t="n">
        <v>23000</v>
      </c>
      <c r="AC16" s="0" t="n"/>
    </row>
    <row r="17">
      <c r="R17" s="88" t="inlineStr">
        <is>
          <t>Grand Total</t>
        </is>
      </c>
      <c r="S17" s="130" t="n">
        <v>125000</v>
      </c>
      <c r="T17" s="0" t="n"/>
      <c r="U17" s="88" t="inlineStr">
        <is>
          <t>Gas</t>
        </is>
      </c>
      <c r="V17" s="131" t="n">
        <v>600</v>
      </c>
      <c r="W17" s="0" t="n"/>
      <c r="X17" s="88" t="inlineStr">
        <is>
          <t>Entertainment</t>
        </is>
      </c>
      <c r="Y17" s="130" t="n">
        <v>1200</v>
      </c>
      <c r="Z17" s="0" t="n"/>
      <c r="AC17" s="0" t="n"/>
    </row>
    <row r="18">
      <c r="R18" s="0" t="n"/>
      <c r="S18" s="0" t="n"/>
      <c r="T18" s="0" t="n"/>
      <c r="U18" s="88" t="inlineStr">
        <is>
          <t>Water/Sewer</t>
        </is>
      </c>
      <c r="V18" s="131" t="n">
        <v>600</v>
      </c>
      <c r="W18" s="0" t="n"/>
      <c r="X18" s="88" t="inlineStr">
        <is>
          <t>Dining</t>
        </is>
      </c>
      <c r="Y18" s="130" t="n">
        <v>1200</v>
      </c>
      <c r="Z18" s="0" t="n"/>
      <c r="AA18" s="0" t="n"/>
      <c r="AB18" s="0" t="n"/>
      <c r="AC18" s="0" t="n"/>
    </row>
    <row r="19">
      <c r="R19" s="0" t="n"/>
      <c r="S19" s="0" t="n"/>
      <c r="T19" s="0" t="n"/>
      <c r="U19" s="88" t="inlineStr">
        <is>
          <t>Phone</t>
        </is>
      </c>
      <c r="V19" s="131" t="n">
        <v>600</v>
      </c>
      <c r="W19" s="0" t="n"/>
      <c r="X19" s="88" t="inlineStr">
        <is>
          <t>Shopping</t>
        </is>
      </c>
      <c r="Y19" s="130" t="n">
        <v>2000</v>
      </c>
      <c r="Z19" s="0" t="n"/>
      <c r="AA19" s="0" t="n"/>
      <c r="AB19" s="0" t="n"/>
      <c r="AC19" s="0" t="n"/>
    </row>
    <row r="20">
      <c r="R20" s="0" t="n"/>
      <c r="S20" s="0" t="n"/>
      <c r="T20" s="0" t="n"/>
      <c r="U20" s="88" t="inlineStr">
        <is>
          <t>Medical/Dental/Rx</t>
        </is>
      </c>
      <c r="V20" s="131" t="n">
        <v>600</v>
      </c>
      <c r="W20" s="0" t="n"/>
      <c r="X20" s="88" t="inlineStr">
        <is>
          <t>Travel</t>
        </is>
      </c>
      <c r="Y20" s="130" t="n">
        <v>2250</v>
      </c>
      <c r="Z20" s="0" t="n"/>
      <c r="AA20" s="0" t="n"/>
      <c r="AB20" s="0" t="n"/>
      <c r="AC20" s="0" t="n"/>
    </row>
    <row r="21">
      <c r="R21" s="0" t="n"/>
      <c r="S21" s="0" t="n"/>
      <c r="T21" s="0" t="n"/>
      <c r="U21" s="88" t="inlineStr">
        <is>
          <t>Electricity</t>
        </is>
      </c>
      <c r="V21" s="131" t="n">
        <v>1200</v>
      </c>
      <c r="W21" s="0" t="n"/>
      <c r="X21" s="88" t="inlineStr">
        <is>
          <t>Home Improvements</t>
        </is>
      </c>
      <c r="Y21" s="130" t="n">
        <v>4800</v>
      </c>
      <c r="Z21" s="0" t="n"/>
      <c r="AA21" s="0" t="n"/>
      <c r="AB21" s="0" t="n"/>
      <c r="AC21" s="0" t="n"/>
    </row>
    <row r="22">
      <c r="R22" s="0" t="n"/>
      <c r="S22" s="0" t="n"/>
      <c r="T22" s="0" t="n"/>
      <c r="U22" s="88" t="inlineStr">
        <is>
          <t>Clothing</t>
        </is>
      </c>
      <c r="V22" s="131" t="n">
        <v>1200</v>
      </c>
      <c r="W22" s="0" t="n"/>
      <c r="X22" s="88" t="inlineStr">
        <is>
          <t>Grand Total</t>
        </is>
      </c>
      <c r="Y22" s="130" t="n">
        <v>13250</v>
      </c>
      <c r="Z22" s="0" t="n"/>
      <c r="AA22" s="0" t="n"/>
      <c r="AB22" s="0" t="n"/>
      <c r="AC22" s="0" t="n"/>
    </row>
    <row r="23">
      <c r="R23" s="0" t="n"/>
      <c r="S23" s="0" t="n"/>
      <c r="T23" s="0" t="n"/>
      <c r="U23" s="88" t="inlineStr">
        <is>
          <t>Disability Premiums</t>
        </is>
      </c>
      <c r="V23" s="131" t="n">
        <v>1500</v>
      </c>
      <c r="W23" s="0" t="n"/>
      <c r="X23" s="0" t="n"/>
      <c r="Y23" s="0" t="n"/>
      <c r="Z23" s="0" t="n"/>
      <c r="AA23" s="0" t="n"/>
      <c r="AB23" s="0" t="n"/>
      <c r="AC23" s="0" t="n"/>
    </row>
    <row r="24">
      <c r="R24" s="0" t="n"/>
      <c r="S24" s="0" t="n"/>
      <c r="T24" s="0" t="n"/>
      <c r="U24" s="88" t="inlineStr">
        <is>
          <t>State Income Tax</t>
        </is>
      </c>
      <c r="V24" s="131" t="n">
        <v>2500</v>
      </c>
      <c r="W24" s="0" t="n"/>
      <c r="X24" s="0" t="n"/>
      <c r="Y24" s="0" t="n"/>
      <c r="Z24" s="0" t="n"/>
      <c r="AC24" s="0" t="n"/>
    </row>
    <row r="25">
      <c r="R25" s="0" t="n"/>
      <c r="S25" s="0" t="n"/>
      <c r="T25" s="0" t="n"/>
      <c r="U25" s="88" t="inlineStr">
        <is>
          <t>Vehicle Payments</t>
        </is>
      </c>
      <c r="V25" s="131" t="n">
        <v>4000</v>
      </c>
      <c r="W25" s="0" t="n"/>
      <c r="X25" s="0" t="n"/>
      <c r="Y25" s="0" t="n"/>
      <c r="Z25" s="0" t="n"/>
      <c r="AC25" s="0" t="n"/>
    </row>
    <row r="26">
      <c r="R26" s="0" t="n"/>
      <c r="S26" s="0" t="n"/>
      <c r="T26" s="0" t="n"/>
      <c r="U26" s="88" t="inlineStr">
        <is>
          <t>Food</t>
        </is>
      </c>
      <c r="V26" s="131" t="n">
        <v>5000</v>
      </c>
      <c r="W26" s="0" t="n"/>
      <c r="X26" s="0" t="n"/>
      <c r="Y26" s="0" t="n"/>
      <c r="Z26" s="0" t="n"/>
      <c r="AC26" s="0" t="n"/>
    </row>
    <row r="27">
      <c r="R27" s="0" t="n"/>
      <c r="S27" s="0" t="n"/>
      <c r="T27" s="0" t="n"/>
      <c r="U27" s="88" t="inlineStr">
        <is>
          <t>Federal/SS/Medicare</t>
        </is>
      </c>
      <c r="V27" s="131" t="n">
        <v>12500</v>
      </c>
      <c r="W27" s="0" t="n"/>
      <c r="X27" s="0" t="n"/>
      <c r="Y27" s="0" t="n"/>
      <c r="Z27" s="0" t="n"/>
      <c r="AC27" s="0" t="n"/>
    </row>
    <row r="28">
      <c r="U28" s="88" t="inlineStr">
        <is>
          <t>Mortgage/Rent</t>
        </is>
      </c>
      <c r="V28" s="131" t="n">
        <v>15000</v>
      </c>
      <c r="AC28" s="0" t="n"/>
    </row>
    <row r="29">
      <c r="U29" s="88" t="inlineStr">
        <is>
          <t>Grand Total</t>
        </is>
      </c>
      <c r="V29" s="131" t="n">
        <v>46500</v>
      </c>
    </row>
  </sheetData>
  <mergeCells count="14">
    <mergeCell ref="G2:L2"/>
    <mergeCell ref="D2:E2"/>
    <mergeCell ref="K8:L8"/>
    <mergeCell ref="O5:P5"/>
    <mergeCell ref="B4:D4"/>
    <mergeCell ref="C5:D5"/>
    <mergeCell ref="G5:H5"/>
    <mergeCell ref="K5:L5"/>
    <mergeCell ref="F4:H4"/>
    <mergeCell ref="J4:L4"/>
    <mergeCell ref="N4:P4"/>
    <mergeCell ref="G8:H8"/>
    <mergeCell ref="C8:D8"/>
    <mergeCell ref="O8:P8"/>
  </mergeCells>
  <dataValidations count="1">
    <dataValidation sqref="B7:D7" showDropDown="0" showInputMessage="1" showErrorMessage="1" allowBlank="1" prompt="Bar chart showing income from various sources is in this cell"/>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4" tint="0.3999755851924192"/>
    <outlinePr summaryBelow="1" summaryRight="1"/>
    <pageSetUpPr autoPageBreaks="0" fitToPage="1"/>
  </sheetPr>
  <dimension ref="A1:I11"/>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'Daily Summary'!A1</t>
        </is>
      </c>
      <c r="H1" t="inlineStr">
        <is>
          <t>Income!A1</t>
        </is>
      </c>
      <c r="I1" t="inlineStr">
        <is>
          <t>Expenses!A1</t>
        </is>
      </c>
    </row>
    <row r="2" ht="44.1" customFormat="1" customHeight="1" s="3">
      <c r="B2" s="85" t="n"/>
      <c r="C2" s="85" t="inlineStr">
        <is>
          <t>Total cash flow to date:</t>
        </is>
      </c>
      <c r="D2" s="103" t="n"/>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2">
      <c r="B3" s="63" t="n"/>
      <c r="C3" s="63" t="n"/>
      <c r="D3" s="132" t="n"/>
      <c r="E3" s="132" t="n"/>
    </row>
    <row r="4" ht="33.95" customFormat="1" customHeight="1" s="38">
      <c r="B4" s="112" t="inlineStr">
        <is>
          <t>Income</t>
        </is>
      </c>
      <c r="C4" s="66" t="inlineStr">
        <is>
          <t xml:space="preserve">Annual  </t>
        </is>
      </c>
      <c r="D4" s="66" t="inlineStr">
        <is>
          <t xml:space="preserve">Monthly </t>
        </is>
      </c>
      <c r="F4" s="67" t="n"/>
      <c r="G4" s="67" t="n"/>
      <c r="H4" s="67" t="n"/>
      <c r="I4" s="67" t="n"/>
    </row>
    <row r="5" ht="30" customHeight="1" s="102">
      <c r="B5" s="133" t="inlineStr">
        <is>
          <t>Salary</t>
        </is>
      </c>
      <c r="C5" s="134" t="n">
        <v>90000</v>
      </c>
      <c r="D5" s="134" t="n"/>
    </row>
    <row r="6" ht="30" customHeight="1" s="102">
      <c r="B6" s="133" t="inlineStr">
        <is>
          <t>Commissions/bonus</t>
        </is>
      </c>
      <c r="C6" s="134" t="n">
        <v>5000</v>
      </c>
      <c r="D6" s="134" t="n"/>
    </row>
    <row r="7" ht="30" customHeight="1" s="102">
      <c r="B7" s="133" t="inlineStr">
        <is>
          <t>Other 1</t>
        </is>
      </c>
      <c r="C7" s="134" t="n">
        <v>30000</v>
      </c>
      <c r="D7" s="134" t="n"/>
    </row>
    <row r="8" ht="30" customHeight="1" s="102">
      <c r="B8" s="133" t="inlineStr">
        <is>
          <t>Other 2</t>
        </is>
      </c>
      <c r="C8" s="134" t="n">
        <v>0</v>
      </c>
      <c r="D8" s="134" t="n"/>
    </row>
    <row r="9" ht="30" customHeight="1" s="102">
      <c r="B9" s="133" t="inlineStr">
        <is>
          <t>Other 3</t>
        </is>
      </c>
      <c r="C9" s="134" t="n">
        <v>0</v>
      </c>
      <c r="D9" s="134" t="n"/>
    </row>
    <row r="10" ht="30" customHeight="1" s="102">
      <c r="B10" s="133" t="inlineStr">
        <is>
          <t>Other 4</t>
        </is>
      </c>
      <c r="C10" s="134" t="n">
        <v>0</v>
      </c>
      <c r="D10" s="134" t="n"/>
    </row>
    <row r="11" ht="30" customFormat="1" customHeight="1" s="42">
      <c r="B11" s="133" t="inlineStr">
        <is>
          <t>Total</t>
        </is>
      </c>
      <c r="C11" s="134" t="n"/>
      <c r="D11" s="134" t="n"/>
    </row>
  </sheetData>
  <mergeCells count="2">
    <mergeCell ref="D2:E2"/>
    <mergeCell ref="F2:I3"/>
  </mergeCells>
  <dataValidations xWindow="999" yWindow="322" count="1">
    <dataValidation sqref="B2:C2" showDropDown="0" showInputMessage="1" showErrorMessage="1" allowBlank="1" prompt="Total Cash Flow to Date is automatically calculated in cell at right"/>
  </dataValidations>
  <hyperlinks>
    <hyperlink ref="F1" location="Guide!A1" tooltip="Select to navigate to Guide worksheet" display="Navigation button for Guide worksheet is in this cell."/>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tint="0.3999755851924192"/>
    <outlinePr summaryBelow="1" summaryRight="1"/>
    <pageSetUpPr autoPageBreaks="0" fitToPage="1"/>
  </sheetPr>
  <dimension ref="A1:I23"/>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Income!A1</t>
        </is>
      </c>
      <c r="H1" t="inlineStr">
        <is>
          <t>Expenses!A1</t>
        </is>
      </c>
      <c r="I1" t="inlineStr">
        <is>
          <t>Discretionary!A1</t>
        </is>
      </c>
    </row>
    <row r="2" ht="44.1" customFormat="1" customHeight="1" s="3">
      <c r="B2" s="85" t="n"/>
      <c r="C2" s="85" t="inlineStr">
        <is>
          <t>Total cash flow to date:</t>
        </is>
      </c>
      <c r="D2" s="103" t="n"/>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3">
      <c r="B3" s="72" t="n"/>
      <c r="C3" s="72" t="n"/>
      <c r="D3" s="135" t="n"/>
      <c r="E3" s="135" t="n"/>
    </row>
    <row r="4" ht="33.95" customFormat="1" customHeight="1" s="39">
      <c r="B4" s="112" t="inlineStr">
        <is>
          <t>Expenses</t>
        </is>
      </c>
      <c r="C4" s="136" t="inlineStr">
        <is>
          <t xml:space="preserve">Annual  </t>
        </is>
      </c>
      <c r="D4" s="136" t="inlineStr">
        <is>
          <t xml:space="preserve">Monthly </t>
        </is>
      </c>
    </row>
    <row r="5" ht="30" customHeight="1" s="102">
      <c r="B5" s="133" t="inlineStr">
        <is>
          <t>Federal/SS/Medicare</t>
        </is>
      </c>
      <c r="C5" s="134" t="n">
        <v>12500</v>
      </c>
      <c r="D5" s="134" t="n"/>
    </row>
    <row r="6" ht="30" customHeight="1" s="102">
      <c r="B6" s="133" t="inlineStr">
        <is>
          <t>State income tax</t>
        </is>
      </c>
      <c r="C6" s="134" t="n">
        <v>2500</v>
      </c>
      <c r="D6" s="134" t="n"/>
    </row>
    <row r="7" ht="30" customHeight="1" s="102">
      <c r="B7" s="133" t="inlineStr">
        <is>
          <t>Vehicle tax/fees</t>
        </is>
      </c>
      <c r="C7" s="134" t="n">
        <v>200</v>
      </c>
      <c r="D7" s="134" t="n"/>
    </row>
    <row r="8" ht="30" customHeight="1" s="102">
      <c r="B8" s="133" t="inlineStr">
        <is>
          <t>Vehicle payments</t>
        </is>
      </c>
      <c r="C8" s="134" t="n">
        <v>4000</v>
      </c>
      <c r="D8" s="134" t="n"/>
    </row>
    <row r="9" ht="30" customHeight="1" s="102">
      <c r="B9" s="133" t="inlineStr">
        <is>
          <t>Mortgage/rent</t>
        </is>
      </c>
      <c r="C9" s="134" t="n">
        <v>15000</v>
      </c>
      <c r="D9" s="134" t="n"/>
    </row>
    <row r="10" ht="30" customHeight="1" s="102">
      <c r="B10" s="133" t="inlineStr">
        <is>
          <t>Insurance</t>
        </is>
      </c>
      <c r="C10" s="134" t="n">
        <v>250</v>
      </c>
      <c r="D10" s="134" t="n"/>
    </row>
    <row r="11" ht="30" customHeight="1" s="102">
      <c r="B11" s="133" t="inlineStr">
        <is>
          <t>Electricity</t>
        </is>
      </c>
      <c r="C11" s="134" t="n">
        <v>1200</v>
      </c>
      <c r="D11" s="134" t="n"/>
    </row>
    <row r="12" ht="30" customHeight="1" s="102">
      <c r="B12" s="133" t="inlineStr">
        <is>
          <t>Gas</t>
        </is>
      </c>
      <c r="C12" s="134" t="n">
        <v>600</v>
      </c>
      <c r="D12" s="134" t="n"/>
    </row>
    <row r="13" ht="30" customHeight="1" s="102">
      <c r="B13" s="133" t="inlineStr">
        <is>
          <t>Water/sewer</t>
        </is>
      </c>
      <c r="C13" s="134" t="n">
        <v>600</v>
      </c>
      <c r="D13" s="134" t="n"/>
    </row>
    <row r="14" ht="30" customHeight="1" s="102">
      <c r="B14" s="133" t="inlineStr">
        <is>
          <t>Garbage</t>
        </is>
      </c>
      <c r="C14" s="134" t="n">
        <v>150</v>
      </c>
      <c r="D14" s="134" t="n"/>
    </row>
    <row r="15" ht="30" customHeight="1" s="102">
      <c r="B15" s="133" t="inlineStr">
        <is>
          <t>Phone</t>
        </is>
      </c>
      <c r="C15" s="134" t="n">
        <v>600</v>
      </c>
      <c r="D15" s="134" t="n"/>
    </row>
    <row r="16" ht="30" customHeight="1" s="102">
      <c r="B16" s="133" t="inlineStr">
        <is>
          <t>Internet</t>
        </is>
      </c>
      <c r="C16" s="134" t="n">
        <v>600</v>
      </c>
      <c r="D16" s="134" t="n"/>
    </row>
    <row r="17" ht="30" customHeight="1" s="102">
      <c r="B17" s="133" t="inlineStr">
        <is>
          <t>Disability premiums</t>
        </is>
      </c>
      <c r="C17" s="134" t="n">
        <v>1500</v>
      </c>
      <c r="D17" s="134" t="n"/>
    </row>
    <row r="18" ht="30" customHeight="1" s="102">
      <c r="B18" s="133" t="inlineStr">
        <is>
          <t>Food</t>
        </is>
      </c>
      <c r="C18" s="134" t="n">
        <v>5000</v>
      </c>
      <c r="D18" s="134" t="n"/>
    </row>
    <row r="19" ht="30" customHeight="1" s="102">
      <c r="B19" s="133" t="inlineStr">
        <is>
          <t>Clothing</t>
        </is>
      </c>
      <c r="C19" s="134" t="n">
        <v>1200</v>
      </c>
      <c r="D19" s="134" t="n"/>
    </row>
    <row r="20" ht="30" customHeight="1" s="102">
      <c r="B20" s="133" t="inlineStr">
        <is>
          <t>Medical/dental/Rx</t>
        </is>
      </c>
      <c r="C20" s="134" t="n">
        <v>600</v>
      </c>
      <c r="D20" s="134" t="n"/>
    </row>
    <row r="21" ht="30" customHeight="1" s="102">
      <c r="B21" s="133" t="inlineStr">
        <is>
          <t>Other 1</t>
        </is>
      </c>
      <c r="C21" s="134" t="n">
        <v>0</v>
      </c>
      <c r="D21" s="134" t="n"/>
    </row>
    <row r="22" ht="30" customHeight="1" s="102">
      <c r="B22" s="133" t="inlineStr">
        <is>
          <t>Other 2</t>
        </is>
      </c>
      <c r="C22" s="134" t="n">
        <v>0</v>
      </c>
      <c r="D22" s="134" t="n"/>
    </row>
    <row r="23" ht="30" customHeight="1" s="102">
      <c r="B23" s="133" t="inlineStr">
        <is>
          <t>Total</t>
        </is>
      </c>
      <c r="C23" s="134" t="n"/>
      <c r="D23" s="134" t="n"/>
    </row>
  </sheetData>
  <mergeCells count="2">
    <mergeCell ref="D2:E2"/>
    <mergeCell ref="F2:I3"/>
  </mergeCells>
  <dataValidations count="1">
    <dataValidation sqref="A1" showDropDown="0" showInputMessage="1" showErrorMessage="1" allowBlank="1" prompt="Enter details in Expenses table in this worksheet. _x000a__x000a_Total Cash Flow to Date is automatically calculated in cell D2. Tip is in cell F2."/>
  </dataValidations>
  <hyperlinks>
    <hyperlink ref="F1" location="Guide!A1" tooltip="Select to navigate to Guide worksheet" display="Navigation button for Guide worksheet is in this cell."/>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4" tint="0.3999755851924192"/>
    <outlinePr summaryBelow="1" summaryRight="1"/>
    <pageSetUpPr autoPageBreaks="0" fitToPage="1"/>
  </sheetPr>
  <dimension ref="A1:J16"/>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Expenses!A1</t>
        </is>
      </c>
      <c r="H1" t="inlineStr">
        <is>
          <t>Discretionary!A1</t>
        </is>
      </c>
      <c r="I1" t="inlineStr">
        <is>
          <t>Savings!A1</t>
        </is>
      </c>
    </row>
    <row r="2" ht="44.1" customFormat="1" customHeight="1" s="3">
      <c r="B2" s="85" t="n"/>
      <c r="C2" s="85" t="inlineStr">
        <is>
          <t>Total cash flow to date:</t>
        </is>
      </c>
      <c r="D2" s="103" t="n"/>
      <c r="F2" s="91" t="inlineStr">
        <is>
          <t>This is an annual estimation.  Use this worksheet if you wish to view annual amounts with estimated monthly values
If you wish to add daily items to the tables, estimate their annual amount/value and place value in the annual column.</t>
        </is>
      </c>
      <c r="J2" s="23" t="n"/>
    </row>
    <row r="3" ht="33.95" customHeight="1" s="102">
      <c r="B3" s="75" t="n"/>
      <c r="C3" s="75" t="n"/>
      <c r="D3" s="137" t="n"/>
      <c r="E3" s="137" t="n"/>
      <c r="J3" s="74" t="n"/>
    </row>
    <row r="4" ht="33.95" customFormat="1" customHeight="1" s="40">
      <c r="B4" s="112" t="inlineStr">
        <is>
          <t>Expenses</t>
        </is>
      </c>
      <c r="C4" s="66" t="inlineStr">
        <is>
          <t xml:space="preserve">Annual  </t>
        </is>
      </c>
      <c r="D4" s="66" t="inlineStr">
        <is>
          <t xml:space="preserve">Monthly </t>
        </is>
      </c>
    </row>
    <row r="5" ht="30" customHeight="1" s="102">
      <c r="B5" s="133" t="inlineStr">
        <is>
          <t>Dining</t>
        </is>
      </c>
      <c r="C5" s="134" t="n">
        <v>1200</v>
      </c>
      <c r="D5" s="134" t="n"/>
    </row>
    <row r="6" ht="30" customHeight="1" s="102">
      <c r="B6" s="133" t="inlineStr">
        <is>
          <t>Gifts</t>
        </is>
      </c>
      <c r="C6" s="134" t="n">
        <v>600</v>
      </c>
      <c r="D6" s="134" t="n"/>
    </row>
    <row r="7" ht="30" customHeight="1" s="102">
      <c r="B7" s="133" t="inlineStr">
        <is>
          <t>Travel</t>
        </is>
      </c>
      <c r="C7" s="134" t="n">
        <v>2250</v>
      </c>
      <c r="D7" s="134" t="n"/>
    </row>
    <row r="8" ht="30" customHeight="1" s="102">
      <c r="B8" s="133" t="inlineStr">
        <is>
          <t>Entertainment</t>
        </is>
      </c>
      <c r="C8" s="134" t="n">
        <v>1200</v>
      </c>
      <c r="D8" s="134" t="n"/>
    </row>
    <row r="9" ht="30" customHeight="1" s="102">
      <c r="B9" s="133" t="inlineStr">
        <is>
          <t>Personal care</t>
        </is>
      </c>
      <c r="C9" s="134" t="n">
        <v>300</v>
      </c>
      <c r="D9" s="134" t="n"/>
    </row>
    <row r="10" ht="30" customHeight="1" s="102">
      <c r="B10" s="133" t="inlineStr">
        <is>
          <t>Shopping</t>
        </is>
      </c>
      <c r="C10" s="134" t="n">
        <v>2000</v>
      </c>
      <c r="D10" s="134" t="n"/>
    </row>
    <row r="11" ht="30" customHeight="1" s="102">
      <c r="B11" s="133" t="inlineStr">
        <is>
          <t>Charity</t>
        </is>
      </c>
      <c r="C11" s="134" t="n">
        <v>600</v>
      </c>
      <c r="D11" s="134" t="n"/>
    </row>
    <row r="12" ht="30" customHeight="1" s="102">
      <c r="B12" s="133" t="inlineStr">
        <is>
          <t>Club memberships</t>
        </is>
      </c>
      <c r="C12" s="134" t="n">
        <v>300</v>
      </c>
      <c r="D12" s="134" t="n"/>
    </row>
    <row r="13" ht="30" customHeight="1" s="102">
      <c r="B13" s="133" t="inlineStr">
        <is>
          <t>Home improvements</t>
        </is>
      </c>
      <c r="C13" s="134" t="n">
        <v>4800</v>
      </c>
      <c r="D13" s="134" t="n"/>
    </row>
    <row r="14" ht="30" customHeight="1" s="102">
      <c r="B14" s="133" t="inlineStr">
        <is>
          <t>Other 1</t>
        </is>
      </c>
      <c r="C14" s="134" t="n">
        <v>0</v>
      </c>
      <c r="D14" s="134" t="n"/>
    </row>
    <row r="15" ht="30" customHeight="1" s="102">
      <c r="B15" s="133" t="inlineStr">
        <is>
          <t>Other 2</t>
        </is>
      </c>
      <c r="C15" s="134" t="n">
        <v>0</v>
      </c>
      <c r="D15" s="134" t="n"/>
    </row>
    <row r="16" ht="30" customHeight="1" s="102">
      <c r="B16" s="133" t="inlineStr">
        <is>
          <t>Total</t>
        </is>
      </c>
      <c r="C16" s="134" t="n"/>
      <c r="D16" s="134" t="n"/>
    </row>
  </sheetData>
  <mergeCells count="2">
    <mergeCell ref="D2:E2"/>
    <mergeCell ref="F2:I3"/>
  </mergeCells>
  <hyperlinks>
    <hyperlink ref="F1" location="Guide!A1" tooltip="Select to navigate to Guide worksheet" display="Navigation button for Guide worksheet is in this cell."/>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4" tint="0.3999755851924192"/>
    <outlinePr summaryBelow="1" summaryRight="1"/>
    <pageSetUpPr autoPageBreaks="0" fitToPage="1"/>
  </sheetPr>
  <dimension ref="A1:J10"/>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71">
      <c r="A1" s="70" t="n"/>
      <c r="B1" s="16" t="inlineStr">
        <is>
          <t>PERSONAL CASH FLOW</t>
        </is>
      </c>
      <c r="C1" s="16" t="n"/>
      <c r="D1" s="16" t="n"/>
      <c r="E1" s="16" t="n"/>
      <c r="F1" s="16" t="inlineStr">
        <is>
          <t>Guide!A1</t>
        </is>
      </c>
      <c r="G1" s="16" t="inlineStr">
        <is>
          <t>'Annual Cash Flow'!A1</t>
        </is>
      </c>
      <c r="H1" s="16" t="inlineStr">
        <is>
          <t>Savings!A1</t>
        </is>
      </c>
      <c r="I1" s="16" t="n"/>
      <c r="J1" s="71" t="inlineStr">
        <is>
          <t> </t>
        </is>
      </c>
    </row>
    <row r="2" ht="44.1" customFormat="1" customHeight="1" s="3">
      <c r="B2" s="85" t="n"/>
      <c r="C2" s="85" t="inlineStr">
        <is>
          <t>Total cash flow to date:</t>
        </is>
      </c>
      <c r="D2" s="103" t="n"/>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Height="1" s="102">
      <c r="B3" s="32" t="n"/>
      <c r="C3" s="32" t="n"/>
      <c r="D3" s="137" t="n"/>
      <c r="E3" s="137" t="n"/>
    </row>
    <row r="4" ht="33.95" customFormat="1" customHeight="1" s="39">
      <c r="B4" s="112" t="inlineStr">
        <is>
          <t>Savings</t>
        </is>
      </c>
      <c r="C4" s="66" t="inlineStr">
        <is>
          <t xml:space="preserve">Annual  </t>
        </is>
      </c>
      <c r="D4" s="66" t="inlineStr">
        <is>
          <t xml:space="preserve">Monthly </t>
        </is>
      </c>
    </row>
    <row r="5" ht="30" customHeight="1" s="102">
      <c r="B5" s="133" t="inlineStr">
        <is>
          <t>Cash reserves</t>
        </is>
      </c>
      <c r="C5" s="134" t="n">
        <v>5000</v>
      </c>
      <c r="D5" s="134" t="n"/>
    </row>
    <row r="6" ht="30" customHeight="1" s="102">
      <c r="B6" s="133" t="inlineStr">
        <is>
          <t>401k etc.</t>
        </is>
      </c>
      <c r="C6" s="134" t="n">
        <v>12000</v>
      </c>
      <c r="D6" s="134" t="n"/>
    </row>
    <row r="7" ht="30" customHeight="1" s="102">
      <c r="B7" s="133" t="inlineStr">
        <is>
          <t>Savings/investment</t>
        </is>
      </c>
      <c r="C7" s="134" t="n">
        <v>6000</v>
      </c>
      <c r="D7" s="134" t="n"/>
    </row>
    <row r="8" ht="30" customHeight="1" s="102">
      <c r="B8" s="133" t="inlineStr">
        <is>
          <t>Other 1</t>
        </is>
      </c>
      <c r="C8" s="134" t="n">
        <v>0</v>
      </c>
      <c r="D8" s="134" t="n"/>
    </row>
    <row r="9" ht="30" customHeight="1" s="102">
      <c r="B9" s="133" t="inlineStr">
        <is>
          <t>Other 2</t>
        </is>
      </c>
      <c r="C9" s="134" t="n">
        <v>0</v>
      </c>
      <c r="D9" s="134" t="n"/>
    </row>
    <row r="10" ht="30" customHeight="1" s="102">
      <c r="B10" s="133" t="inlineStr">
        <is>
          <t>Total</t>
        </is>
      </c>
      <c r="C10" s="134" t="n"/>
      <c r="D10" s="134" t="n"/>
    </row>
  </sheetData>
  <mergeCells count="2">
    <mergeCell ref="D2:E2"/>
    <mergeCell ref="F2:I3"/>
  </mergeCells>
  <hyperlinks>
    <hyperlink ref="F1" location="Guide!A1" tooltip="Select to navigate to Guide worksheet" display="Navigation button for Guide worksheet is in this cell."/>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2023-01-31T06:46:20Z</dcterms:created>
  <dcterms:modified xsi:type="dcterms:W3CDTF">2026-03-05T04:05:07Z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