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ewFCFEStableGrowth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5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b val="1"/>
      <color rgb="FF000000"/>
      <sz val="9"/>
    </font>
    <font>
      <name val="Times New Roman"/>
      <family val="0"/>
      <color rgb="FF000000"/>
      <sz val="9"/>
    </font>
    <font>
      <name val="Times New Roman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CF305"/>
        <bgColor rgb="FFFFFF00"/>
      </patternFill>
    </fill>
    <fill>
      <patternFill patternType="solid">
        <fgColor rgb="FF69FFFF"/>
        <bgColor rgb="FF33CCCC"/>
      </patternFill>
    </fill>
  </fills>
  <borders count="24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1" pivotButton="0" quotePrefix="0" xfId="0"/>
    <xf numFmtId="0" fontId="6" fillId="0" borderId="3" applyAlignment="1" pivotButton="0" quotePrefix="0" xfId="0">
      <alignment horizontal="center" vertical="bottom"/>
    </xf>
    <xf numFmtId="0" fontId="0" fillId="0" borderId="22" pivotButton="0" quotePrefix="0" xfId="0"/>
    <xf numFmtId="0" fontId="0" fillId="0" borderId="23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2" borderId="4" applyAlignment="1" pivotButton="0" quotePrefix="0" xfId="17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17">
      <alignment horizontal="center" vertical="bottom"/>
    </xf>
    <xf numFmtId="164" fontId="7" fillId="2" borderId="5" applyAlignment="1" pivotButton="0" quotePrefix="0" xfId="17">
      <alignment horizontal="center" vertical="bottom"/>
    </xf>
    <xf numFmtId="0" fontId="7" fillId="0" borderId="6" applyAlignment="1" pivotButton="0" quotePrefix="0" xfId="0">
      <alignment horizontal="general" vertical="bottom"/>
    </xf>
    <xf numFmtId="0" fontId="0" fillId="0" borderId="6" pivotButton="0" quotePrefix="0" xfId="0"/>
    <xf numFmtId="1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 vertical="bottom"/>
    </xf>
    <xf numFmtId="10" fontId="7" fillId="3" borderId="4" applyAlignment="1" pivotButton="0" quotePrefix="0" xfId="0">
      <alignment horizontal="center" vertical="bottom"/>
    </xf>
    <xf numFmtId="9" fontId="7" fillId="2" borderId="4" applyAlignment="1" pivotButton="0" quotePrefix="0" xfId="0">
      <alignment horizontal="center" vertical="bottom"/>
    </xf>
    <xf numFmtId="10" fontId="7" fillId="2" borderId="4" applyAlignment="1" pivotButton="0" quotePrefix="0" xfId="17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7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10" fillId="0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0" borderId="4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center" vertical="bottom"/>
    </xf>
    <xf numFmtId="10" fontId="7" fillId="0" borderId="14" applyAlignment="1" pivotButton="0" quotePrefix="0" xfId="0">
      <alignment horizontal="center" vertical="bottom"/>
    </xf>
    <xf numFmtId="164" fontId="7" fillId="0" borderId="4" applyAlignment="1" pivotButton="0" quotePrefix="0" xfId="17">
      <alignment horizontal="center" vertical="bottom"/>
    </xf>
    <xf numFmtId="10" fontId="7" fillId="0" borderId="4" applyAlignment="1" pivotButton="0" quotePrefix="0" xfId="0">
      <alignment horizontal="center" vertical="bottom"/>
    </xf>
    <xf numFmtId="164" fontId="7" fillId="0" borderId="5" applyAlignment="1" pivotButton="0" quotePrefix="0" xfId="0">
      <alignment horizontal="center" vertical="bottom"/>
    </xf>
    <xf numFmtId="0" fontId="0" fillId="0" borderId="0" pivotButton="0" quotePrefix="0" xfId="0"/>
    <xf numFmtId="0" fontId="7" fillId="0" borderId="15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164" fontId="7" fillId="0" borderId="17" applyAlignment="1" pivotButton="0" quotePrefix="0" xfId="17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11" fillId="0" borderId="14" applyAlignment="1" pivotButton="0" quotePrefix="0" xfId="0">
      <alignment horizontal="center" vertical="bottom"/>
    </xf>
    <xf numFmtId="10" fontId="7" fillId="0" borderId="10" applyAlignment="1" pivotButton="0" quotePrefix="0" xfId="0">
      <alignment horizontal="center" vertical="bottom"/>
    </xf>
    <xf numFmtId="164" fontId="7" fillId="0" borderId="18" applyAlignment="1" pivotButton="0" quotePrefix="0" xfId="0">
      <alignment horizontal="center" vertical="bottom"/>
    </xf>
    <xf numFmtId="10" fontId="7" fillId="0" borderId="1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111982611982612"/>
          <y val="0.174678162277076"/>
          <w val="0.8618408618408619"/>
          <h val="0.716428487067438"/>
        </manualLayout>
      </layout>
      <lineChart>
        <grouping val="standard"/>
        <varyColors val="0"/>
        <ser>
          <idx val="0"/>
          <order val="0"/>
          <spPr>
            <a:solidFill>
              <a:srgbClr val="000000"/>
            </a:solidFill>
            <a:ln w="126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0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NewFCFEStableGrowth!$B$65:$B$73</f>
              <strCache>
                <ptCount val="9"/>
                <pt idx="0">
                  <v>10.00%</v>
                </pt>
                <pt idx="1">
                  <v>9.00%</v>
                </pt>
                <pt idx="2">
                  <v>8.00%</v>
                </pt>
                <pt idx="3">
                  <v>7.00%</v>
                </pt>
                <pt idx="4">
                  <v>6.00%</v>
                </pt>
                <pt idx="5">
                  <v>5.00%</v>
                </pt>
                <pt idx="6">
                  <v>4.00%</v>
                </pt>
                <pt idx="7">
                  <v>3.00%</v>
                </pt>
                <pt idx="8">
                  <v>2.00%</v>
                </pt>
              </strCache>
            </strRef>
          </cat>
          <val>
            <numRef>
              <f>NewFCFEStableGrowth!$C$65:$C$73</f>
              <numCache>
                <formatCode>\$#,##0.00_);[RED]"($"#,##0.00\)</formatCode>
                <ptCount val="9"/>
                <pt idx="0">
                  <v>98.27868852459019</v>
                </pt>
                <pt idx="1">
                  <v>73.33950617283951</v>
                </pt>
                <pt idx="2">
                  <v>58.2772277227723</v>
                </pt>
                <pt idx="3">
                  <v>48.1942148760331</v>
                </pt>
                <pt idx="4">
                  <v>40.9716312056738</v>
                </pt>
                <pt idx="5">
                  <v>35.5434782608696</v>
                </pt>
                <pt idx="6">
                  <v>31.3149171270718</v>
                </pt>
                <pt idx="7">
                  <v>27.9278606965174</v>
                </pt>
                <pt idx="8">
                  <v>25.1538461538462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58318895"/>
        <axId val="18584225"/>
      </lineChart>
      <catAx>
        <axId val="58318895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18584225"/>
        <crossesAt val="0"/>
        <auto val="1"/>
        <lblAlgn val="ctr"/>
        <lblOffset val="100"/>
        <noMultiLvlLbl val="0"/>
      </catAx>
      <valAx>
        <axId val="18584225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58318895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G27" authorId="0" shapeId="0">
      <text>
        <t>Aswath Damodaran:
If you set your perpetual growth rate at any number greater than zero, this should be no.</t>
      </text>
    </comment>
    <comment ref="G29" authorId="0" shapeId="0">
      <text>
        <t>Aswath Damodaran:
Your reinvestment rate should be consistent with your growth rate assumptions. If you answer yes to this question, you should enter the return on equity below.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600120</colOff>
      <row>62</row>
      <rowOff>0</rowOff>
    </from>
    <to>
      <col>8</col>
      <colOff>256320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90234375" defaultRowHeight="13" zeroHeight="0" outlineLevelRow="0"/>
  <cols>
    <col width="2.83" customWidth="1" style="58" min="1" max="1"/>
    <col width="12.83" customWidth="1" style="58" min="2" max="3"/>
  </cols>
  <sheetData>
    <row r="1" ht="19" customFormat="1" customHeight="1" s="59">
      <c r="B1" s="60" t="inlineStr">
        <is>
          <t>FCFE STABLE GROWTH MODEL</t>
        </is>
      </c>
    </row>
    <row r="2" ht="20" customFormat="1" customHeight="1" s="59">
      <c r="B2" s="61" t="n"/>
    </row>
    <row r="3" ht="19" customFormat="1" customHeight="1" s="59">
      <c r="B3" s="62" t="inlineStr">
        <is>
          <t>This model is designed to value the equity in a stable firm on the basis of</t>
        </is>
      </c>
      <c r="C3" s="63" t="n"/>
      <c r="D3" s="63" t="n"/>
      <c r="E3" s="63" t="n"/>
      <c r="F3" s="63" t="n"/>
      <c r="G3" s="63" t="n"/>
      <c r="H3" s="64" t="n"/>
    </row>
    <row r="4" ht="19" customFormat="1" customHeight="1" s="59">
      <c r="B4" s="65" t="inlineStr">
        <is>
          <t>free cashflows to equity, especially when they are</t>
        </is>
      </c>
      <c r="H4" s="66" t="n"/>
    </row>
    <row r="5" ht="20" customFormat="1" customHeight="1" s="59">
      <c r="B5" s="67" t="inlineStr">
        <is>
          <t>different from dividends paid.</t>
        </is>
      </c>
      <c r="C5" s="68" t="n"/>
      <c r="D5" s="68" t="n"/>
      <c r="E5" s="68" t="n"/>
      <c r="F5" s="68" t="n"/>
      <c r="G5" s="68" t="n"/>
      <c r="H5" s="69" t="n"/>
    </row>
    <row r="6" ht="19" customFormat="1" customHeight="1" s="59">
      <c r="D6" s="61" t="n"/>
    </row>
    <row r="7" ht="19" customFormat="1" customHeight="1" s="59">
      <c r="A7" s="70" t="n"/>
      <c r="B7" s="71" t="inlineStr">
        <is>
          <t>Assumptions in the model:</t>
        </is>
      </c>
      <c r="C7" s="70" t="n"/>
      <c r="D7" s="72" t="n"/>
      <c r="E7" s="70" t="n"/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</row>
    <row r="8" ht="19" customFormat="1" customHeight="1" s="59">
      <c r="A8" s="70" t="n"/>
      <c r="B8" s="70" t="inlineStr">
        <is>
          <t>1. The firm is in steady state and will grow at a stable rate forever.</t>
        </is>
      </c>
      <c r="C8" s="70" t="n"/>
      <c r="D8" s="72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</row>
    <row r="9" ht="19" customFormat="1" customHeight="1" s="59">
      <c r="A9" s="70" t="n"/>
      <c r="B9" s="70" t="inlineStr">
        <is>
          <t>2. The firm does not pay out what it can afford to in dividends, i.e., Dividends ≠ FCFE.</t>
        </is>
      </c>
      <c r="C9" s="70" t="n"/>
      <c r="D9" s="72" t="n"/>
      <c r="E9" s="70" t="n"/>
      <c r="F9" s="70" t="n"/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</row>
    <row r="10" ht="19" customFormat="1" customHeight="1" s="59">
      <c r="A10" s="70" t="n"/>
      <c r="B10" s="70" t="n"/>
      <c r="C10" s="70" t="n"/>
      <c r="D10" s="72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</row>
    <row r="11" ht="19" customFormat="1" customHeight="1" s="59">
      <c r="A11" s="70" t="n"/>
      <c r="B11" s="71" t="inlineStr">
        <is>
          <t>User defined inputs</t>
        </is>
      </c>
      <c r="C11" s="70" t="n"/>
      <c r="D11" s="72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</row>
    <row r="12" ht="18" customFormat="1" customHeight="1" s="58">
      <c r="A12" s="70" t="n"/>
      <c r="B12" s="70" t="inlineStr">
        <is>
          <t>The user has to define the following inputs to the model:</t>
        </is>
      </c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</row>
    <row r="13" ht="18" customFormat="1" customHeight="1" s="58">
      <c r="A13" s="70" t="n"/>
      <c r="B13" s="70" t="inlineStr">
        <is>
          <t xml:space="preserve">1. Current Earnings per share </t>
        </is>
      </c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</row>
    <row r="14" ht="18" customFormat="1" customHeight="1" s="58">
      <c r="A14" s="70" t="n"/>
      <c r="B14" s="70" t="inlineStr">
        <is>
          <t>2. Capital Spending and Depreciation per share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</row>
    <row r="15" ht="18" customFormat="1" customHeight="1" s="58">
      <c r="A15" s="70" t="n"/>
      <c r="B15" s="70" t="inlineStr">
        <is>
          <t>3. Change in working capital per share</t>
        </is>
      </c>
      <c r="C15" s="70" t="n"/>
      <c r="D15" s="70" t="n"/>
      <c r="E15" s="70" t="n"/>
      <c r="F15" s="70" t="n"/>
      <c r="G15" s="70" t="n"/>
      <c r="H15" s="70" t="n"/>
      <c r="I15" s="70" t="n"/>
      <c r="J15" s="70" t="n"/>
      <c r="K15" s="70" t="n"/>
      <c r="L15" s="70" t="n"/>
      <c r="M15" s="70" t="n"/>
      <c r="N15" s="70" t="n"/>
      <c r="O15" s="70" t="n"/>
    </row>
    <row r="16" ht="18" customFormat="1" customHeight="1" s="58">
      <c r="A16" s="70" t="n"/>
      <c r="B16" s="70" t="inlineStr">
        <is>
          <t>4. Desired debt level for financing working capital and capital spending needs.</t>
        </is>
      </c>
      <c r="C16" s="70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</row>
    <row r="17" ht="18" customFormat="1" customHeight="1" s="58">
      <c r="A17" s="70" t="n"/>
      <c r="B17" s="70" t="inlineStr">
        <is>
          <t>5. Cost of Equity or Inputs to the CAPM (Beta, Riskfree rate, Risk Premium)</t>
        </is>
      </c>
      <c r="C17" s="70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</row>
    <row r="18" ht="18" customFormat="1" customHeight="1" s="58">
      <c r="A18" s="70" t="n"/>
      <c r="B18" s="70" t="inlineStr">
        <is>
          <t>6. Expected Growth Rate in free cashflows to equity forever.</t>
        </is>
      </c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</row>
    <row r="19" ht="18" customFormat="1" customHeight="1" s="58">
      <c r="A19" s="70" t="n"/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</row>
    <row r="20" ht="18" customFormat="1" customHeight="1" s="58">
      <c r="A20" s="70" t="n"/>
      <c r="B20" s="71" t="inlineStr">
        <is>
          <t>Please enter inputs to the model:</t>
        </is>
      </c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</row>
    <row r="21" ht="18" customFormat="1" customHeight="1" s="58">
      <c r="A21" s="70" t="n"/>
      <c r="B21" s="70" t="inlineStr">
        <is>
          <t>Current Earnings per share =</t>
        </is>
      </c>
      <c r="C21" s="70" t="n"/>
      <c r="D21" s="73" t="n">
        <v>5.45</v>
      </c>
      <c r="E21" s="74" t="inlineStr">
        <is>
          <t>(in currency)</t>
        </is>
      </c>
      <c r="F21" s="75" t="inlineStr">
        <is>
          <t>{You can input all the numbers for the aggregate company, if you so desire}</t>
        </is>
      </c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</row>
    <row r="22" ht="18" customFormat="1" customHeight="1" s="58">
      <c r="A22" s="70" t="n"/>
      <c r="B22" s="70" t="n"/>
      <c r="C22" s="70" t="n"/>
      <c r="D22" s="76" t="n"/>
      <c r="E22" s="74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</row>
    <row r="23" ht="18" customFormat="1" customHeight="1" s="58">
      <c r="A23" s="70" t="n"/>
      <c r="B23" s="70" t="inlineStr">
        <is>
          <t>Capital Spending/share =</t>
        </is>
      </c>
      <c r="C23" s="70" t="n"/>
      <c r="D23" s="73" t="n">
        <v>2</v>
      </c>
      <c r="E23" s="74" t="inlineStr">
        <is>
          <t>(in currency)</t>
        </is>
      </c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</row>
    <row r="24" ht="18" customFormat="1" customHeight="1" s="58">
      <c r="A24" s="70" t="n"/>
      <c r="B24" s="70" t="inlineStr">
        <is>
          <t>Depreciation / share =</t>
        </is>
      </c>
      <c r="C24" s="70" t="n"/>
      <c r="D24" s="77">
        <f>1560/893</f>
        <v/>
      </c>
      <c r="E24" s="74" t="inlineStr">
        <is>
          <t>(in currency)</t>
        </is>
      </c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</row>
    <row r="25" ht="18" customFormat="1" customHeight="1" s="58">
      <c r="A25" s="70" t="n"/>
      <c r="B25" s="70" t="inlineStr">
        <is>
          <t>Chg. Working Capital/share =</t>
        </is>
      </c>
      <c r="C25" s="70" t="n"/>
      <c r="D25" s="77" t="n">
        <v>0.6</v>
      </c>
      <c r="E25" s="74" t="inlineStr">
        <is>
          <t>(in currency)</t>
        </is>
      </c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</row>
    <row r="26" ht="18" customFormat="1" customHeight="1" s="58">
      <c r="A26" s="70" t="n"/>
      <c r="B26" s="78" t="inlineStr">
        <is>
          <t>Desired debt financing ratio =</t>
        </is>
      </c>
      <c r="C26" s="79" t="n"/>
      <c r="D26" s="80" t="n">
        <v>0.2997</v>
      </c>
      <c r="E26" s="74" t="inlineStr">
        <is>
          <t>( in percent)</t>
        </is>
      </c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</row>
    <row r="27" ht="18" customFormat="1" customHeight="1" s="58">
      <c r="A27" s="70" t="n"/>
      <c r="B27" s="70" t="inlineStr">
        <is>
          <t>Do you want to offset capital expenditures by depreciation in the future?</t>
        </is>
      </c>
      <c r="C27" s="70" t="n"/>
      <c r="D27" s="76" t="n"/>
      <c r="E27" s="74" t="n"/>
      <c r="F27" s="70" t="n"/>
      <c r="G27" s="81" t="inlineStr">
        <is>
          <t>No</t>
        </is>
      </c>
      <c r="H27" s="70" t="inlineStr">
        <is>
          <t>(Yes or No)</t>
        </is>
      </c>
      <c r="I27" s="70" t="n"/>
      <c r="J27" s="70" t="n"/>
      <c r="K27" s="70" t="n"/>
      <c r="L27" s="70" t="n"/>
      <c r="M27" s="70" t="n"/>
      <c r="N27" s="70" t="n"/>
      <c r="O27" s="70" t="n"/>
    </row>
    <row r="28" ht="18" customFormat="1" customHeight="1" s="58">
      <c r="A28" s="70" t="n"/>
      <c r="B28" s="70" t="inlineStr">
        <is>
          <t>The reinvestment rate based upon your inputs is computed to be</t>
        </is>
      </c>
      <c r="C28" s="70" t="n"/>
      <c r="D28" s="76" t="n"/>
      <c r="E28" s="74" t="n"/>
      <c r="F28" s="70" t="n"/>
      <c r="G28" s="82">
        <f>(D23-D24+D25)*(1-D26)/D21</f>
        <v/>
      </c>
      <c r="H28" s="70" t="n"/>
      <c r="I28" s="70" t="n"/>
      <c r="J28" s="70" t="n"/>
      <c r="K28" s="70" t="n"/>
      <c r="L28" s="70" t="n"/>
      <c r="M28" s="70" t="n"/>
      <c r="N28" s="70" t="n"/>
      <c r="O28" s="70" t="n"/>
    </row>
    <row r="29" ht="18" customFormat="1" customHeight="1" s="58">
      <c r="A29" s="70" t="n"/>
      <c r="B29" s="70" t="inlineStr">
        <is>
          <t>Do you want to recompute this reinvestment rate based upon fundamentals?</t>
        </is>
      </c>
      <c r="C29" s="70" t="n"/>
      <c r="D29" s="76" t="n"/>
      <c r="E29" s="74" t="n"/>
      <c r="F29" s="70" t="n"/>
      <c r="G29" s="81" t="inlineStr">
        <is>
          <t>Yes</t>
        </is>
      </c>
      <c r="H29" s="70" t="n"/>
      <c r="I29" s="70" t="n"/>
      <c r="J29" s="70" t="n"/>
      <c r="K29" s="70" t="n"/>
      <c r="L29" s="70" t="n"/>
      <c r="M29" s="70" t="n"/>
      <c r="N29" s="70" t="n"/>
      <c r="O29" s="70" t="n"/>
    </row>
    <row r="30" ht="18" customFormat="1" customHeight="1" s="58">
      <c r="A30" s="70" t="n"/>
      <c r="B30" s="70" t="inlineStr">
        <is>
          <t>If yes, enter the return on equity that you expect this firm to have in perpetuity</t>
        </is>
      </c>
      <c r="C30" s="70" t="n"/>
      <c r="D30" s="76" t="n"/>
      <c r="E30" s="74" t="n"/>
      <c r="F30" s="70" t="n"/>
      <c r="G30" s="83" t="n">
        <v>0.12</v>
      </c>
      <c r="H30" s="70" t="n"/>
      <c r="I30" s="70" t="n"/>
      <c r="J30" s="70" t="n"/>
      <c r="K30" s="70" t="n"/>
      <c r="L30" s="70" t="n"/>
      <c r="M30" s="70" t="n"/>
      <c r="N30" s="70" t="n"/>
      <c r="O30" s="70" t="n"/>
    </row>
    <row r="31" ht="18" customFormat="1" customHeight="1" s="58">
      <c r="A31" s="70" t="n"/>
      <c r="B31" s="70" t="inlineStr">
        <is>
          <t>Desired debt financing ratio =</t>
        </is>
      </c>
      <c r="C31" s="70" t="n"/>
      <c r="D31" s="84" t="n">
        <v>0.2997</v>
      </c>
      <c r="E31" s="74" t="inlineStr">
        <is>
          <t>( in percent)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</row>
    <row r="32" ht="18" customFormat="1" customHeight="1" s="58">
      <c r="A32" s="70" t="n"/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</row>
    <row r="33" ht="18" customFormat="1" customHeight="1" s="58">
      <c r="A33" s="70" t="n"/>
      <c r="B33" s="70" t="inlineStr">
        <is>
          <t>Are you directly entering the cost of equity? (Yes or No)</t>
        </is>
      </c>
      <c r="C33" s="70" t="n"/>
      <c r="D33" s="70" t="n"/>
      <c r="E33" s="70" t="n"/>
      <c r="F33" s="81" t="inlineStr">
        <is>
          <t>No</t>
        </is>
      </c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</row>
    <row r="34" ht="18" customFormat="1" customHeight="1" s="58">
      <c r="A34" s="70" t="n"/>
      <c r="B34" s="70" t="inlineStr">
        <is>
          <t>If yes, enter cost of equity =</t>
        </is>
      </c>
      <c r="C34" s="70" t="n"/>
      <c r="D34" s="80" t="n"/>
      <c r="E34" s="74" t="inlineStr">
        <is>
          <t>(in percent)</t>
        </is>
      </c>
      <c r="F34" s="74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</row>
    <row r="35" ht="18" customFormat="1" customHeight="1" s="58">
      <c r="A35" s="70" t="n"/>
      <c r="B35" s="75" t="inlineStr">
        <is>
          <t>If no, enter the inputs for the CAPM</t>
        </is>
      </c>
      <c r="C35" s="70" t="n"/>
      <c r="D35" s="70" t="n"/>
      <c r="E35" s="70" t="n"/>
      <c r="F35" s="74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</row>
    <row r="36" ht="18" customFormat="1" customHeight="1" s="58">
      <c r="A36" s="70" t="n"/>
      <c r="B36" s="70" t="inlineStr">
        <is>
          <t>Beta of the stock =</t>
        </is>
      </c>
      <c r="C36" s="70" t="n"/>
      <c r="D36" s="81" t="n">
        <v>1.1</v>
      </c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</row>
    <row r="37" ht="18" customFormat="1" customHeight="1" s="58">
      <c r="A37" s="70" t="n"/>
      <c r="B37" s="70" t="inlineStr">
        <is>
          <t>Riskfree rate =</t>
        </is>
      </c>
      <c r="C37" s="70" t="n"/>
      <c r="D37" s="83" t="n">
        <v>0.07000000000000001</v>
      </c>
      <c r="E37" s="74" t="inlineStr">
        <is>
          <t>(in percent)</t>
        </is>
      </c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</row>
    <row r="38" ht="18" customFormat="1" customHeight="1" s="58">
      <c r="A38" s="70" t="n"/>
      <c r="B38" s="70" t="inlineStr">
        <is>
          <t>Risk Premium=</t>
        </is>
      </c>
      <c r="C38" s="70" t="n"/>
      <c r="D38" s="80" t="n">
        <v>0.055</v>
      </c>
      <c r="E38" s="74" t="inlineStr">
        <is>
          <t>(in percent)</t>
        </is>
      </c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</row>
    <row r="39" ht="18" customFormat="1" customHeight="1" s="58">
      <c r="A39" s="70" t="n"/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  <c r="M39" s="70" t="n"/>
      <c r="N39" s="70" t="n"/>
      <c r="O39" s="70" t="n"/>
    </row>
    <row r="40" ht="18" customFormat="1" customHeight="1" s="58">
      <c r="A40" s="70" t="n"/>
      <c r="B40" s="70" t="inlineStr">
        <is>
          <t>Expected Growth Rate =</t>
        </is>
      </c>
      <c r="C40" s="70" t="n"/>
      <c r="D40" s="83" t="n">
        <v>0.06</v>
      </c>
      <c r="E40" s="74" t="inlineStr">
        <is>
          <t xml:space="preserve"> (in percent)</t>
        </is>
      </c>
      <c r="F40" s="75" t="inlineStr">
        <is>
          <t>The expected growth rate for a stable firm</t>
        </is>
      </c>
      <c r="G40" s="70" t="n"/>
      <c r="H40" s="70" t="n"/>
      <c r="I40" s="70" t="n"/>
      <c r="J40" s="70" t="n"/>
      <c r="K40" s="70" t="n"/>
      <c r="L40" s="70" t="n"/>
      <c r="M40" s="70" t="n"/>
      <c r="N40" s="70" t="n"/>
      <c r="O40" s="70" t="n"/>
    </row>
    <row r="41" ht="18" customFormat="1" customHeight="1" s="58">
      <c r="A41" s="70" t="n"/>
      <c r="B41" s="70" t="n"/>
      <c r="C41" s="70" t="n"/>
      <c r="D41" s="70" t="n"/>
      <c r="E41" s="70" t="n"/>
      <c r="F41" s="75" t="inlineStr">
        <is>
          <t>cannot be significantly higher than the nominal</t>
        </is>
      </c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</row>
    <row r="42" ht="18" customFormat="1" customHeight="1" s="58">
      <c r="A42" s="70" t="n"/>
      <c r="B42" s="70" t="n"/>
      <c r="C42" s="70" t="n"/>
      <c r="D42" s="70" t="n"/>
      <c r="E42" s="70" t="n"/>
      <c r="F42" s="75" t="inlineStr">
        <is>
          <t>growth rate in the economy in which the firm</t>
        </is>
      </c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</row>
    <row r="43" ht="18" customFormat="1" customHeight="1" s="58">
      <c r="A43" s="70" t="n"/>
      <c r="B43" s="70" t="n"/>
      <c r="C43" s="70" t="n"/>
      <c r="D43" s="70" t="n"/>
      <c r="E43" s="70" t="n"/>
      <c r="F43" s="75" t="inlineStr">
        <is>
          <t>operates. It can be lower.</t>
        </is>
      </c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</row>
    <row r="44" ht="18" customFormat="1" customHeight="1" s="58">
      <c r="A44" s="70" t="n"/>
      <c r="B44" s="70" t="n"/>
      <c r="C44" s="70" t="n"/>
      <c r="D44" s="70" t="n"/>
      <c r="E44" s="70" t="n"/>
      <c r="F44" s="75" t="n"/>
      <c r="G44" s="70" t="n"/>
      <c r="H44" s="70" t="n"/>
      <c r="I44" s="70" t="n"/>
      <c r="J44" s="70" t="n"/>
      <c r="K44" s="70" t="n"/>
      <c r="L44" s="70" t="n"/>
      <c r="M44" s="70" t="n"/>
      <c r="N44" s="70" t="n"/>
      <c r="O44" s="70" t="n"/>
    </row>
    <row r="45" ht="18" customFormat="1" customHeight="1" s="58">
      <c r="A45" s="70" t="n"/>
      <c r="B45" s="85" t="inlineStr">
        <is>
          <t>Warnings:</t>
        </is>
      </c>
      <c r="C45" s="86">
        <f>IF(D40&gt;10%,"This is high for a stable growth rate","")</f>
        <v/>
      </c>
      <c r="D45" s="87" t="n"/>
      <c r="E45" s="87" t="n"/>
      <c r="F45" s="87" t="n"/>
      <c r="G45" s="88" t="n"/>
      <c r="H45" s="70" t="n"/>
      <c r="I45" s="70" t="n"/>
      <c r="J45" s="70" t="n"/>
      <c r="K45" s="70" t="n"/>
      <c r="L45" s="70" t="n"/>
      <c r="M45" s="70" t="n"/>
      <c r="N45" s="70" t="n"/>
      <c r="O45" s="70" t="n"/>
    </row>
    <row r="46" ht="18" customFormat="1" customHeight="1" s="58">
      <c r="A46" s="70" t="n"/>
      <c r="B46" s="89" t="n"/>
      <c r="C46" s="75">
        <f>IF(D36&gt;1.5,"This Beta is high for a stable firm"," ")</f>
        <v/>
      </c>
      <c r="D46" s="70" t="n"/>
      <c r="E46" s="70" t="n"/>
      <c r="F46" s="70" t="n"/>
      <c r="G46" s="78" t="n"/>
      <c r="H46" s="70" t="n"/>
      <c r="I46" s="70" t="n"/>
      <c r="J46" s="70" t="n"/>
      <c r="K46" s="70" t="n"/>
      <c r="L46" s="70" t="n"/>
      <c r="M46" s="70" t="n"/>
      <c r="N46" s="70" t="n"/>
      <c r="O46" s="70" t="n"/>
    </row>
    <row r="47" ht="19" customFormat="1" customHeight="1" s="59">
      <c r="A47" s="70" t="n"/>
      <c r="B47" s="90" t="n"/>
      <c r="C47" s="91">
        <f>IF(D23&gt;1.5*D24,"Capital Spending seems high relative to depreciation"," ")</f>
        <v/>
      </c>
      <c r="D47" s="92" t="n"/>
      <c r="E47" s="93" t="n"/>
      <c r="F47" s="93" t="n"/>
      <c r="G47" s="94" t="n"/>
      <c r="H47" s="70" t="n"/>
      <c r="I47" s="70" t="n"/>
      <c r="J47" s="70" t="n"/>
      <c r="K47" s="70" t="n"/>
      <c r="L47" s="70" t="n"/>
      <c r="M47" s="70" t="n"/>
      <c r="N47" s="70" t="n"/>
      <c r="O47" s="70" t="n"/>
    </row>
    <row r="48" ht="19" customFormat="1" customHeight="1" s="59">
      <c r="A48" s="70" t="n"/>
      <c r="B48" s="70" t="n"/>
      <c r="C48" s="70" t="n"/>
      <c r="D48" s="72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</row>
    <row r="49" ht="20" customFormat="1" customHeight="1" s="58">
      <c r="A49" s="70" t="n"/>
      <c r="B49" s="71" t="inlineStr">
        <is>
          <t>This is the output from the Gordon Growth Model</t>
        </is>
      </c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</row>
    <row r="50" ht="20" customFormat="1" customHeight="1" s="58">
      <c r="A50" s="70" t="n"/>
      <c r="B50" s="75" t="inlineStr">
        <is>
          <t>Firm Details: from inputs on prior page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</row>
    <row r="51" ht="20" customFormat="1" customHeight="1" s="58">
      <c r="A51" s="70" t="n"/>
      <c r="B51" s="70" t="inlineStr">
        <is>
          <t>Current Earnings per share =</t>
        </is>
      </c>
      <c r="C51" s="70" t="n"/>
      <c r="D51" s="95" t="n"/>
      <c r="E51" s="96" t="n"/>
      <c r="F51" s="97">
        <f>D21</f>
        <v/>
      </c>
      <c r="G51" s="70" t="n"/>
      <c r="H51" s="98" t="n"/>
      <c r="I51" s="70" t="n"/>
      <c r="J51" s="70" t="n"/>
      <c r="K51" s="70" t="n"/>
      <c r="L51" s="70" t="n"/>
      <c r="M51" s="70" t="n"/>
      <c r="N51" s="70" t="n"/>
      <c r="O51" s="70" t="n"/>
    </row>
    <row r="52" ht="20" customFormat="1" customHeight="1" s="58">
      <c r="A52" s="70" t="n"/>
      <c r="B52" s="70" t="inlineStr">
        <is>
          <t xml:space="preserve">  -(1- Desired debt fraction) *</t>
        </is>
      </c>
      <c r="C52" s="70" t="n"/>
      <c r="D52" s="99" t="n"/>
      <c r="E52" s="100">
        <f>(1-D31)</f>
        <v/>
      </c>
      <c r="F52" s="70" t="n"/>
      <c r="G52" s="70" t="n"/>
      <c r="H52" s="98" t="n"/>
      <c r="I52" s="70" t="n"/>
      <c r="J52" s="70" t="n"/>
      <c r="K52" s="70" t="n"/>
      <c r="L52" s="70" t="n"/>
      <c r="M52" s="70" t="n"/>
      <c r="N52" s="70" t="n"/>
      <c r="O52" s="70" t="n"/>
    </row>
    <row r="53" ht="20" customFormat="1" customHeight="1" s="58">
      <c r="A53" s="70" t="n"/>
      <c r="B53" s="70" t="inlineStr">
        <is>
          <t xml:space="preserve"> (Capital Spending - Depreciation)</t>
        </is>
      </c>
      <c r="C53" s="70" t="n"/>
      <c r="D53" s="95" t="n"/>
      <c r="E53" s="101">
        <f>IF(G27="Yes",0,IF(G29="Yes",((D40/G30)*D21-F55)/E52,D23-D24))</f>
        <v/>
      </c>
      <c r="F53" s="101">
        <f>E52*E53</f>
        <v/>
      </c>
      <c r="G53" s="70" t="n"/>
      <c r="H53" s="98" t="n"/>
      <c r="I53" s="70" t="n"/>
      <c r="J53" s="70" t="n"/>
      <c r="K53" s="70" t="n"/>
      <c r="L53" s="70" t="n"/>
      <c r="M53" s="70" t="n"/>
      <c r="N53" s="70" t="n"/>
      <c r="O53" s="70" t="n"/>
    </row>
    <row r="54" ht="20" customFormat="1" customHeight="1" s="58">
      <c r="A54" s="70" t="n"/>
      <c r="B54" s="70" t="inlineStr">
        <is>
          <t xml:space="preserve"> -(1- Desired debt fraction) *</t>
        </is>
      </c>
      <c r="C54" s="70" t="n"/>
      <c r="D54" s="95" t="n"/>
      <c r="E54" s="102">
        <f>(1-D31)</f>
        <v/>
      </c>
      <c r="F54" s="74" t="n"/>
      <c r="G54" s="70" t="n"/>
      <c r="H54" s="98" t="n"/>
      <c r="I54" s="70" t="n"/>
      <c r="J54" s="70" t="n"/>
      <c r="K54" s="70" t="n"/>
      <c r="L54" s="70" t="n"/>
      <c r="M54" s="70" t="n"/>
      <c r="N54" s="70" t="n"/>
      <c r="O54" s="70" t="n"/>
    </row>
    <row r="55" ht="20" customFormat="1" customHeight="1" s="58">
      <c r="A55" s="70" t="n"/>
      <c r="B55" s="70" t="inlineStr">
        <is>
          <t>∂ Working Capital</t>
        </is>
      </c>
      <c r="C55" s="70" t="n"/>
      <c r="D55" s="95" t="n"/>
      <c r="E55" s="103">
        <f>D25</f>
        <v/>
      </c>
      <c r="F55" s="101">
        <f>E54*E55</f>
        <v/>
      </c>
      <c r="G55" s="70" t="n"/>
      <c r="H55" s="98" t="n"/>
      <c r="I55" s="70" t="n"/>
      <c r="J55" s="70" t="n"/>
      <c r="K55" s="70" t="n"/>
      <c r="L55" s="70" t="n"/>
      <c r="M55" s="70" t="n"/>
      <c r="N55" s="70" t="n"/>
      <c r="O55" s="70" t="n"/>
    </row>
    <row r="56" ht="20" customFormat="1" customHeight="1" s="58">
      <c r="A56" s="70" t="n"/>
      <c r="B56" s="70" t="inlineStr">
        <is>
          <t>Free Cashflow to Equity =</t>
        </is>
      </c>
      <c r="C56" s="70" t="n"/>
      <c r="D56" s="98" t="n"/>
      <c r="E56" s="70" t="n"/>
      <c r="F56" s="103">
        <f>F51-F53-F55</f>
        <v/>
      </c>
      <c r="G56" s="70" t="n"/>
      <c r="H56" s="98" t="n"/>
      <c r="I56" s="70" t="n"/>
      <c r="J56" s="70" t="n"/>
      <c r="K56" s="70" t="n"/>
      <c r="L56" s="70" t="n"/>
      <c r="M56" s="70" t="n"/>
      <c r="N56" s="70" t="n"/>
      <c r="O56" s="70" t="n"/>
    </row>
    <row r="57" ht="20" customFormat="1" customHeight="1" s="58">
      <c r="A57" s="70" t="n"/>
      <c r="B57" s="70" t="n"/>
      <c r="C57" s="70" t="n"/>
      <c r="D57" s="98" t="n"/>
      <c r="E57" s="70" t="n"/>
      <c r="F57" s="96" t="n"/>
      <c r="G57" s="70" t="n"/>
      <c r="H57" s="98" t="n"/>
      <c r="I57" s="70" t="n"/>
      <c r="J57" s="70" t="n"/>
      <c r="K57" s="70" t="n"/>
      <c r="L57" s="70" t="n"/>
      <c r="M57" s="70" t="n"/>
      <c r="N57" s="70" t="n"/>
      <c r="O57" s="70" t="n"/>
    </row>
    <row r="58" ht="20" customFormat="1" customHeight="1" s="58">
      <c r="A58" s="70" t="n"/>
      <c r="B58" s="70" t="inlineStr">
        <is>
          <t>Cost of Equity =</t>
        </is>
      </c>
      <c r="C58" s="70" t="n"/>
      <c r="D58" s="98">
        <f>IF(F33="Yes",D34,D37+D36*D38)</f>
        <v/>
      </c>
      <c r="E58" s="70" t="n"/>
      <c r="F58" s="70" t="n"/>
      <c r="G58" s="70" t="n"/>
      <c r="H58" s="70" t="n"/>
      <c r="I58" s="70" t="n"/>
      <c r="J58" s="70" t="n"/>
      <c r="K58" s="70" t="n"/>
      <c r="L58" s="70" t="n"/>
      <c r="M58" s="70" t="n"/>
      <c r="N58" s="70" t="n"/>
      <c r="O58" s="70" t="n"/>
    </row>
    <row r="59" ht="20" customFormat="1" customHeight="1" s="58">
      <c r="A59" s="70" t="n"/>
      <c r="B59" s="70" t="inlineStr">
        <is>
          <t>Expected Growth rate =</t>
        </is>
      </c>
      <c r="C59" s="70" t="n"/>
      <c r="D59" s="98">
        <f>D40</f>
        <v/>
      </c>
      <c r="E59" s="70">
        <f>IF(D59&gt;0.1,"This is high for an infinite growth rate. Check it"," ")</f>
        <v/>
      </c>
      <c r="F59" s="70" t="n"/>
      <c r="G59" s="70" t="n"/>
      <c r="H59" s="70" t="n"/>
      <c r="I59" s="70" t="n"/>
      <c r="J59" s="70" t="n"/>
      <c r="K59" s="70" t="n"/>
      <c r="L59" s="70" t="n"/>
      <c r="M59" s="70" t="n"/>
      <c r="N59" s="70" t="n"/>
      <c r="O59" s="70" t="n"/>
    </row>
    <row r="60" ht="20" customHeight="1" s="104">
      <c r="A60" s="70" t="n"/>
      <c r="B60" s="70" t="n"/>
      <c r="C60" s="70" t="n"/>
      <c r="D60" s="70" t="n"/>
      <c r="E60" s="70" t="n"/>
      <c r="F60" s="70" t="n"/>
      <c r="G60" s="70" t="n"/>
      <c r="H60" s="70" t="n"/>
      <c r="I60" s="70" t="n"/>
      <c r="J60" s="70" t="n"/>
      <c r="K60" s="70" t="n"/>
      <c r="L60" s="70" t="n"/>
      <c r="M60" s="70" t="n"/>
      <c r="N60" s="70" t="n"/>
      <c r="O60" s="70" t="n"/>
    </row>
    <row r="61" ht="20" customHeight="1" s="104">
      <c r="A61" s="70" t="n"/>
      <c r="B61" s="70" t="n"/>
      <c r="C61" s="105" t="inlineStr">
        <is>
          <t>Gordon Growth Model Value =</t>
        </is>
      </c>
      <c r="D61" s="106" t="n"/>
      <c r="E61" s="106" t="n"/>
      <c r="F61" s="107">
        <f>F56*(1+D59)/(D58-D59)</f>
        <v/>
      </c>
      <c r="G61" s="70" t="n"/>
      <c r="H61" s="70" t="n"/>
      <c r="I61" s="70" t="n"/>
      <c r="J61" s="70" t="n"/>
      <c r="K61" s="70" t="n"/>
      <c r="L61" s="70" t="n"/>
      <c r="M61" s="70" t="n"/>
      <c r="N61" s="70" t="n"/>
      <c r="O61" s="70" t="n"/>
    </row>
    <row r="62" ht="13" customHeight="1" s="104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</row>
    <row r="63" ht="13" customFormat="1" customHeight="1" s="108"/>
    <row r="64" ht="13" customFormat="1" customHeight="1" s="108">
      <c r="B64" s="109" t="inlineStr">
        <is>
          <t>Growth rate</t>
        </is>
      </c>
      <c r="C64" s="110" t="inlineStr">
        <is>
          <t>Value</t>
        </is>
      </c>
    </row>
    <row r="65" ht="13" customHeight="1" s="104">
      <c r="A65" s="70" t="n"/>
      <c r="B65" s="111">
        <f>D59+4%</f>
        <v/>
      </c>
      <c r="C65" s="112">
        <f>$F$56*(1+B65)/($D$58-B65)</f>
        <v/>
      </c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</row>
    <row r="66" ht="13" customHeight="1" s="104">
      <c r="A66" s="70" t="n"/>
      <c r="B66" s="111">
        <f>D59+3%</f>
        <v/>
      </c>
      <c r="C66" s="112">
        <f>$F$56*(1+B66)/($D$58-B66)</f>
        <v/>
      </c>
      <c r="D66" s="70" t="n"/>
      <c r="E66" s="70" t="n"/>
      <c r="F66" s="70" t="n"/>
      <c r="G66" s="70" t="n"/>
      <c r="H66" s="70" t="n"/>
      <c r="I66" s="70" t="n"/>
      <c r="J66" s="70" t="n"/>
      <c r="K66" s="70" t="n"/>
      <c r="L66" s="70" t="n"/>
      <c r="M66" s="70" t="n"/>
      <c r="N66" s="70" t="n"/>
      <c r="O66" s="70" t="n"/>
    </row>
    <row r="67" ht="13" customHeight="1" s="104">
      <c r="A67" s="70" t="n"/>
      <c r="B67" s="111">
        <f>D59+2%</f>
        <v/>
      </c>
      <c r="C67" s="112">
        <f>$F$56*(1+B67)/($D$58-B67)</f>
        <v/>
      </c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  <c r="M67" s="70" t="n"/>
      <c r="N67" s="70" t="n"/>
      <c r="O67" s="70" t="n"/>
    </row>
    <row r="68" ht="13" customHeight="1" s="104">
      <c r="A68" s="70" t="n"/>
      <c r="B68" s="111">
        <f>D59+1%</f>
        <v/>
      </c>
      <c r="C68" s="112">
        <f>$F$56*(1+B68)/($D$58-B68)</f>
        <v/>
      </c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  <c r="M68" s="70" t="n"/>
      <c r="N68" s="70" t="n"/>
      <c r="O68" s="70" t="n"/>
    </row>
    <row r="69" ht="13" customHeight="1" s="104">
      <c r="A69" s="70" t="n"/>
      <c r="B69" s="111">
        <f>D59</f>
        <v/>
      </c>
      <c r="C69" s="112">
        <f>$F$56*(1+B69)/($D$58-B69)</f>
        <v/>
      </c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</row>
    <row r="70" ht="13" customHeight="1" s="104">
      <c r="A70" s="70" t="n"/>
      <c r="B70" s="111">
        <f>D59-1%</f>
        <v/>
      </c>
      <c r="C70" s="112">
        <f>$F$56*(1+B70)/($D$58-B70)</f>
        <v/>
      </c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</row>
    <row r="71" ht="13" customHeight="1" s="104">
      <c r="A71" s="70" t="n"/>
      <c r="B71" s="111">
        <f>D59-2%</f>
        <v/>
      </c>
      <c r="C71" s="112">
        <f>$F$56*(1+B71)/($D$58-B71)</f>
        <v/>
      </c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</row>
    <row r="72" ht="13" customHeight="1" s="104">
      <c r="A72" s="70" t="n"/>
      <c r="B72" s="111">
        <f>D59-3%</f>
        <v/>
      </c>
      <c r="C72" s="112">
        <f>$F$56*(1+B72)/($D$58-B72)</f>
        <v/>
      </c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  <c r="M72" s="70" t="n"/>
      <c r="N72" s="70" t="n"/>
      <c r="O72" s="70" t="n"/>
    </row>
    <row r="73" ht="13" customHeight="1" s="104">
      <c r="A73" s="70" t="n"/>
      <c r="B73" s="113">
        <f>D59-4%</f>
        <v/>
      </c>
      <c r="C73" s="103">
        <f>$F$56*(1+B73)/($D$58-B73)</f>
        <v/>
      </c>
      <c r="D73" s="70" t="n"/>
      <c r="E73" s="70" t="n"/>
      <c r="F73" s="70" t="n"/>
      <c r="G73" s="70" t="n"/>
      <c r="H73" s="70" t="n"/>
      <c r="I73" s="70" t="n"/>
      <c r="J73" s="70" t="n"/>
      <c r="K73" s="70" t="n"/>
      <c r="L73" s="70" t="n"/>
      <c r="M73" s="70" t="n"/>
      <c r="N73" s="70" t="n"/>
      <c r="O73" s="70" t="n"/>
    </row>
    <row r="74" ht="13" customHeight="1" s="104">
      <c r="A74" s="70" t="n"/>
      <c r="B74" s="70" t="n"/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</row>
    <row r="75" ht="13" customHeight="1" s="104">
      <c r="A75" s="70" t="n"/>
      <c r="B75" s="70" t="n"/>
      <c r="C75" s="70" t="n"/>
      <c r="D75" s="70" t="n"/>
      <c r="E75" s="70" t="n"/>
      <c r="F75" s="70" t="n"/>
      <c r="G75" s="70" t="n"/>
      <c r="H75" s="70" t="n"/>
      <c r="I75" s="70" t="n"/>
      <c r="J75" s="70" t="n"/>
      <c r="K75" s="70" t="n"/>
      <c r="L75" s="70" t="n"/>
      <c r="M75" s="70" t="n"/>
      <c r="N75" s="70" t="n"/>
      <c r="O75" s="70" t="n"/>
    </row>
    <row r="76" ht="13" customHeight="1" s="104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</row>
    <row r="77" ht="13" customHeight="1" s="104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</row>
    <row r="78" ht="13" customHeight="1" s="104">
      <c r="A78" s="70" t="n"/>
      <c r="B78" s="70" t="n"/>
      <c r="C78" s="70" t="n"/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70" t="n"/>
      <c r="O78" s="70" t="n"/>
    </row>
    <row r="79" ht="13" customHeight="1" s="104">
      <c r="A79" s="70" t="n"/>
      <c r="B79" s="70" t="n"/>
      <c r="C79" s="70" t="n"/>
      <c r="D79" s="70" t="n"/>
      <c r="E79" s="70" t="n"/>
      <c r="F79" s="70" t="n"/>
      <c r="G79" s="70" t="n"/>
      <c r="H79" s="70" t="n"/>
      <c r="I79" s="70" t="n"/>
      <c r="J79" s="70" t="n"/>
      <c r="K79" s="70" t="n"/>
      <c r="L79" s="70" t="n"/>
      <c r="M79" s="70" t="n"/>
      <c r="N79" s="70" t="n"/>
      <c r="O79" s="70" t="n"/>
    </row>
    <row r="80" ht="13" customHeight="1" s="104">
      <c r="A80" s="70" t="n"/>
      <c r="B80" s="70" t="n"/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</row>
    <row r="81" ht="13" customHeight="1" s="104">
      <c r="A81" s="70" t="n"/>
      <c r="B81" s="70" t="n"/>
      <c r="C81" s="70" t="n"/>
      <c r="D81" s="70" t="n"/>
      <c r="E81" s="70" t="n"/>
      <c r="F81" s="70" t="n"/>
      <c r="G81" s="70" t="n"/>
      <c r="H81" s="70" t="n"/>
      <c r="I81" s="70" t="n"/>
      <c r="J81" s="70" t="n"/>
      <c r="K81" s="70" t="n"/>
      <c r="L81" s="70" t="n"/>
      <c r="M81" s="70" t="n"/>
      <c r="N81" s="70" t="n"/>
      <c r="O81" s="70" t="n"/>
    </row>
    <row r="82" ht="13" customHeight="1" s="104">
      <c r="A82" s="70" t="n"/>
      <c r="B82" s="70" t="n"/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</row>
    <row r="83" ht="13" customHeight="1" s="104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</row>
    <row r="84" ht="13" customHeight="1" s="10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</row>
    <row r="85" ht="13" customHeight="1" s="104">
      <c r="A85" s="70" t="n"/>
      <c r="B85" s="70" t="n"/>
      <c r="C85" s="70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0" t="n"/>
      <c r="M85" s="70" t="n"/>
      <c r="N85" s="70" t="n"/>
      <c r="O85" s="70" t="n"/>
    </row>
  </sheetData>
  <mergeCells count="5">
    <mergeCell ref="B1:H1"/>
    <mergeCell ref="B4:H4"/>
    <mergeCell ref="B26:C26"/>
    <mergeCell ref="B3:H3"/>
    <mergeCell ref="B5:H5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&amp;CFCFE Stable Model</oddHeader>
    <oddFooter>&amp;CPage </oddFooter>
    <evenHeader/>
    <evenFooter/>
    <firstHeader/>
    <firstFooter/>
  </headerFooter>
  <rowBreaks count="3" manualBreakCount="3">
    <brk id="18" min="0" max="16383" man="1"/>
    <brk id="40" min="0" max="16383" man="1"/>
    <brk id="45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2026-03-05T04:05:41Z</dcterms:created>
  <dcterms:modified xsi:type="dcterms:W3CDTF">2026-03-05T04:05:41Z</dcterms:modified>
  <cp:lastModifiedBy>Aswath Damodaran</cp:lastModifiedBy>
  <cp:revision>0</cp:revision>
</cp:coreProperties>
</file>