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Geneva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0"/>
      <b val="1"/>
      <sz val="14"/>
    </font>
    <font>
      <name val="Times New Roman"/>
      <family val="0"/>
      <sz val="10"/>
    </font>
    <font>
      <name val="Times New Roman"/>
      <family val="0"/>
      <b val="1"/>
      <sz val="10"/>
    </font>
    <font>
      <name val="Geneva"/>
      <family val="2"/>
      <b val="1"/>
      <sz val="10"/>
    </font>
    <font>
      <name val="Times New Roman"/>
      <family val="0"/>
      <i val="1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2" fontId="6" fillId="0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center" vertical="bottom"/>
    </xf>
    <xf numFmtId="10" fontId="7" fillId="0" borderId="1" applyAlignment="1" pivotButton="0" quotePrefix="0" xfId="19">
      <alignment horizontal="center" vertical="bottom"/>
    </xf>
    <xf numFmtId="10" fontId="6" fillId="0" borderId="1" applyAlignment="1" pivotButton="0" quotePrefix="0" xfId="0">
      <alignment horizontal="center" vertical="bottom"/>
    </xf>
    <xf numFmtId="10" fontId="6" fillId="0" borderId="0" applyAlignment="1" pivotButton="0" quotePrefix="0" xfId="0">
      <alignment horizontal="center" vertical="bottom"/>
    </xf>
    <xf numFmtId="0" fontId="8" fillId="0" borderId="3" applyAlignment="1" pivotButton="0" quotePrefix="0" xfId="0">
      <alignment horizontal="center" vertical="bottom"/>
    </xf>
    <xf numFmtId="0" fontId="0" fillId="0" borderId="6" pivotButton="0" quotePrefix="0" xfId="0"/>
    <xf numFmtId="0" fontId="8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0">
      <alignment horizontal="center" vertical="bottom"/>
    </xf>
    <xf numFmtId="10" fontId="5" fillId="0" borderId="3" applyAlignment="1" pivotButton="0" quotePrefix="0" xfId="19">
      <alignment horizontal="center" vertical="bottom"/>
    </xf>
    <xf numFmtId="2" fontId="5" fillId="0" borderId="3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0546875" defaultRowHeight="14.65" zeroHeight="0" outlineLevelRow="0"/>
  <sheetData>
    <row r="1" ht="19.35" customHeight="1" s="21">
      <c r="A1" s="22" t="inlineStr">
        <is>
          <t>Inputs for synthetic rating estimation</t>
        </is>
      </c>
    </row>
    <row r="2" ht="14.65" customFormat="1" customHeight="1" s="23">
      <c r="A2" s="24" t="inlineStr">
        <is>
          <t>Enter the type of firm =</t>
        </is>
      </c>
      <c r="B2" s="24" t="n"/>
      <c r="C2" s="25" t="n">
        <v>1</v>
      </c>
      <c r="D2" s="24" t="inlineStr">
        <is>
          <t>(Enter 1 if large manufacturing firm, 2 if smaller or riskier firm, 3 if financial service firm)</t>
        </is>
      </c>
      <c r="E2" s="24" t="n"/>
      <c r="F2" s="24" t="n"/>
      <c r="G2" s="24" t="n"/>
      <c r="H2" s="24" t="n"/>
      <c r="I2" s="24" t="n"/>
      <c r="J2" s="24" t="n"/>
    </row>
    <row r="3" ht="14.65" customFormat="1" customHeight="1" s="23">
      <c r="A3" s="24" t="inlineStr">
        <is>
          <t>Enter current Earnings before interest and taxes (EBIT) =</t>
        </is>
      </c>
      <c r="B3" s="24" t="n"/>
      <c r="C3" s="24" t="n"/>
      <c r="D3" s="24" t="n"/>
      <c r="E3" s="24" t="n"/>
      <c r="F3" s="25" t="n">
        <v>10000</v>
      </c>
      <c r="G3" s="24" t="inlineStr">
        <is>
          <t>(Add back only long term interest expense for financial firms)</t>
        </is>
      </c>
      <c r="H3" s="24" t="n"/>
      <c r="I3" s="24" t="n"/>
      <c r="J3" s="24" t="n"/>
    </row>
    <row r="4" ht="14.65" customFormat="1" customHeight="1" s="23">
      <c r="A4" s="24" t="inlineStr">
        <is>
          <t>Enter current interest expenses =</t>
        </is>
      </c>
      <c r="B4" s="24" t="n"/>
      <c r="C4" s="24" t="n"/>
      <c r="D4" s="24" t="n"/>
      <c r="E4" s="24" t="n"/>
      <c r="F4" s="25" t="n">
        <v>2000</v>
      </c>
      <c r="G4" s="24" t="inlineStr">
        <is>
          <t>(Use only long term interest expense for financial firms)</t>
        </is>
      </c>
      <c r="H4" s="24" t="n"/>
      <c r="I4" s="24" t="n"/>
      <c r="J4" s="24" t="n"/>
    </row>
    <row r="5" ht="14.65" customFormat="1" customHeight="1" s="23">
      <c r="A5" s="24" t="inlineStr">
        <is>
          <t>Enter current long term government bond rate =</t>
        </is>
      </c>
      <c r="B5" s="24" t="n"/>
      <c r="C5" s="24" t="n"/>
      <c r="D5" s="24" t="n"/>
      <c r="E5" s="24" t="n"/>
      <c r="F5" s="26" t="n">
        <v>0.06</v>
      </c>
      <c r="G5" s="24" t="n"/>
      <c r="H5" s="24" t="n"/>
      <c r="I5" s="24" t="n"/>
      <c r="J5" s="24" t="n"/>
    </row>
    <row r="6" ht="14.65" customFormat="1" customHeight="1" s="23">
      <c r="A6" s="27" t="inlineStr">
        <is>
          <t>Output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</row>
    <row r="7" ht="14.65" customFormat="1" customHeight="1" s="23">
      <c r="A7" s="24" t="inlineStr">
        <is>
          <t>Interest  coverage ratio =</t>
        </is>
      </c>
      <c r="B7" s="24" t="n"/>
      <c r="C7" s="24" t="n"/>
      <c r="D7" s="28">
        <f>F3/F4</f>
        <v/>
      </c>
      <c r="E7" s="24" t="n"/>
      <c r="F7" s="24" t="n"/>
      <c r="G7" s="24" t="n"/>
      <c r="H7" s="24" t="n"/>
      <c r="I7" s="24" t="n"/>
      <c r="J7" s="24" t="n"/>
    </row>
    <row r="8" ht="14.65" customFormat="1" customHeight="1" s="23">
      <c r="A8" s="24" t="inlineStr">
        <is>
          <t>Estimated Bond Rating =</t>
        </is>
      </c>
      <c r="D8" s="29">
        <f>IF(C2=1,VLOOKUP(D7,A15:D28,3),(IF(C2=2,VLOOKUP(D7,A33:D46,3),VLOOKUP(D7,F15:I28,3))))</f>
        <v/>
      </c>
    </row>
    <row r="9" ht="14.65" customFormat="1" customHeight="1" s="23">
      <c r="A9" s="24" t="inlineStr">
        <is>
          <t>Estimated Default Spread =</t>
        </is>
      </c>
      <c r="D9" s="30">
        <f>IF(C2=1,VLOOKUP(D7,A15:D28,4),(IF(C2=2,VLOOKUP(D7,A33:D46,4),VLOOKUP(D7,F15:I28,4))))</f>
        <v/>
      </c>
    </row>
    <row r="10" ht="14.65" customFormat="1" customHeight="1" s="24">
      <c r="A10" s="24" t="inlineStr">
        <is>
          <t>Estimated Cost of Debt =</t>
        </is>
      </c>
      <c r="D10" s="31">
        <f>F5+D9</f>
        <v/>
      </c>
    </row>
    <row r="11" ht="14.65" customFormat="1" customHeight="1" s="24">
      <c r="D11" s="32" t="n"/>
    </row>
    <row r="12" ht="14.65" customFormat="1" customHeight="1" s="23">
      <c r="A12" s="27" t="inlineStr">
        <is>
          <t>For large manufacturing firms</t>
        </is>
      </c>
      <c r="F12" s="27" t="inlineStr">
        <is>
          <t>For financial service firms</t>
        </is>
      </c>
    </row>
    <row r="13" ht="14.65" customFormat="1" customHeight="1" s="23">
      <c r="A13" s="33" t="inlineStr">
        <is>
          <t>If interest coverage ratio is</t>
        </is>
      </c>
      <c r="B13" s="34" t="n"/>
      <c r="C13" s="35" t="n"/>
      <c r="D13" s="35" t="n"/>
      <c r="F13" s="36" t="inlineStr">
        <is>
          <t>If long term interest coverage ratio is</t>
        </is>
      </c>
      <c r="G13" s="37" t="n"/>
      <c r="H13" s="24" t="n"/>
      <c r="I13" s="24" t="n"/>
      <c r="J13" s="24" t="n"/>
    </row>
    <row r="14" ht="14.65" customFormat="1" customHeight="1" s="23">
      <c r="A14" s="33" t="inlineStr">
        <is>
          <t>&gt;</t>
        </is>
      </c>
      <c r="B14" s="33" t="inlineStr">
        <is>
          <t>≤ to</t>
        </is>
      </c>
      <c r="C14" s="33" t="inlineStr">
        <is>
          <t>Rating is</t>
        </is>
      </c>
      <c r="D14" s="33" t="inlineStr">
        <is>
          <t>Spread is</t>
        </is>
      </c>
      <c r="F14" s="38" t="inlineStr">
        <is>
          <t>greater than</t>
        </is>
      </c>
      <c r="G14" s="38" t="inlineStr">
        <is>
          <t>≤ to</t>
        </is>
      </c>
      <c r="H14" s="38" t="inlineStr">
        <is>
          <t>Rating is</t>
        </is>
      </c>
      <c r="I14" s="38" t="inlineStr">
        <is>
          <t>Spread is</t>
        </is>
      </c>
      <c r="J14" s="38" t="inlineStr">
        <is>
          <t>Operating Income Decline</t>
        </is>
      </c>
    </row>
    <row r="15" ht="14.65" customFormat="1" customHeight="1" s="23">
      <c r="A15" s="38" t="n">
        <v>-100000</v>
      </c>
      <c r="B15" s="38" t="n">
        <v>0.199999</v>
      </c>
      <c r="C15" s="38" t="inlineStr">
        <is>
          <t>D</t>
        </is>
      </c>
      <c r="D15" s="39" t="n">
        <v>0.1</v>
      </c>
      <c r="F15" s="38" t="n">
        <v>-100000</v>
      </c>
      <c r="G15" s="38" t="n">
        <v>0.049999</v>
      </c>
      <c r="H15" s="38" t="inlineStr">
        <is>
          <t>D</t>
        </is>
      </c>
      <c r="I15" s="40" t="n">
        <v>0.1</v>
      </c>
      <c r="J15" s="40" t="n">
        <v>-0.5</v>
      </c>
    </row>
    <row r="16" ht="14.65" customFormat="1" customHeight="1" s="23">
      <c r="A16" s="38" t="n">
        <v>0.2</v>
      </c>
      <c r="B16" s="38" t="n">
        <v>0.649999</v>
      </c>
      <c r="C16" s="38" t="inlineStr">
        <is>
          <t>C</t>
        </is>
      </c>
      <c r="D16" s="39" t="n">
        <v>0.075</v>
      </c>
      <c r="F16" s="38" t="n">
        <v>0.05</v>
      </c>
      <c r="G16" s="38" t="n">
        <v>0.099999</v>
      </c>
      <c r="H16" s="38" t="inlineStr">
        <is>
          <t>C</t>
        </is>
      </c>
      <c r="I16" s="40" t="n">
        <v>0.075</v>
      </c>
      <c r="J16" s="40" t="n">
        <v>-0.4</v>
      </c>
    </row>
    <row r="17" ht="14.65" customFormat="1" customHeight="1" s="23">
      <c r="A17" s="38" t="n">
        <v>0.65</v>
      </c>
      <c r="B17" s="38" t="n">
        <v>0.799999</v>
      </c>
      <c r="C17" s="38" t="inlineStr">
        <is>
          <t>CC</t>
        </is>
      </c>
      <c r="D17" s="39" t="n">
        <v>0.06</v>
      </c>
      <c r="F17" s="38" t="n">
        <v>0.1</v>
      </c>
      <c r="G17" s="38" t="n">
        <v>0.199999</v>
      </c>
      <c r="H17" s="38" t="inlineStr">
        <is>
          <t>CC</t>
        </is>
      </c>
      <c r="I17" s="40" t="n">
        <v>0.06</v>
      </c>
      <c r="J17" s="40" t="n">
        <v>-0.4</v>
      </c>
    </row>
    <row r="18" ht="14.65" customFormat="1" customHeight="1" s="23">
      <c r="A18" s="38" t="n">
        <v>0.8</v>
      </c>
      <c r="B18" s="38" t="n">
        <v>1.249999</v>
      </c>
      <c r="C18" s="38" t="inlineStr">
        <is>
          <t>CCC</t>
        </is>
      </c>
      <c r="D18" s="39" t="n">
        <v>0.05</v>
      </c>
      <c r="F18" s="38" t="n">
        <v>0.2</v>
      </c>
      <c r="G18" s="38" t="n">
        <v>0.299999</v>
      </c>
      <c r="H18" s="38" t="inlineStr">
        <is>
          <t>CCC</t>
        </is>
      </c>
      <c r="I18" s="40" t="n">
        <v>0.05</v>
      </c>
      <c r="J18" s="40" t="n">
        <v>-0.4</v>
      </c>
    </row>
    <row r="19" ht="14.65" customFormat="1" customHeight="1" s="23">
      <c r="A19" s="38" t="n">
        <v>1.25</v>
      </c>
      <c r="B19" s="38" t="n">
        <v>1.499999</v>
      </c>
      <c r="C19" s="38" t="inlineStr">
        <is>
          <t>B-</t>
        </is>
      </c>
      <c r="D19" s="39" t="n">
        <v>0.0425</v>
      </c>
      <c r="F19" s="38" t="n">
        <v>0.3</v>
      </c>
      <c r="G19" s="38" t="n">
        <v>0.399999</v>
      </c>
      <c r="H19" s="38" t="inlineStr">
        <is>
          <t>B-</t>
        </is>
      </c>
      <c r="I19" s="40" t="n">
        <v>0.0425</v>
      </c>
      <c r="J19" s="40" t="n">
        <v>-0.25</v>
      </c>
    </row>
    <row r="20" ht="14.65" customFormat="1" customHeight="1" s="23">
      <c r="A20" s="38" t="n">
        <v>1.5</v>
      </c>
      <c r="B20" s="38" t="n">
        <v>1.749999</v>
      </c>
      <c r="C20" s="38" t="inlineStr">
        <is>
          <t>B</t>
        </is>
      </c>
      <c r="D20" s="39" t="n">
        <v>0.0325</v>
      </c>
      <c r="F20" s="38" t="n">
        <v>0.4</v>
      </c>
      <c r="G20" s="38" t="n">
        <v>0.499999</v>
      </c>
      <c r="H20" s="38" t="inlineStr">
        <is>
          <t>B</t>
        </is>
      </c>
      <c r="I20" s="40" t="n">
        <v>0.0325</v>
      </c>
      <c r="J20" s="40" t="n">
        <v>-0.2</v>
      </c>
    </row>
    <row r="21" ht="14.65" customFormat="1" customHeight="1" s="23">
      <c r="A21" s="38" t="n">
        <v>1.75</v>
      </c>
      <c r="B21" s="38" t="n">
        <v>1.999999</v>
      </c>
      <c r="C21" s="38" t="inlineStr">
        <is>
          <t>B+</t>
        </is>
      </c>
      <c r="D21" s="39" t="n">
        <v>0.025</v>
      </c>
      <c r="F21" s="38" t="n">
        <v>0.5</v>
      </c>
      <c r="G21" s="38" t="n">
        <v>0.5999989999999999</v>
      </c>
      <c r="H21" s="38" t="inlineStr">
        <is>
          <t>B+</t>
        </is>
      </c>
      <c r="I21" s="40" t="n">
        <v>0.025</v>
      </c>
      <c r="J21" s="40" t="n">
        <v>-0.2</v>
      </c>
    </row>
    <row r="22" ht="14.65" customFormat="1" customHeight="1" s="23">
      <c r="A22" s="38" t="n">
        <v>2</v>
      </c>
      <c r="B22" s="38" t="n">
        <v>2.499999</v>
      </c>
      <c r="C22" s="38" t="inlineStr">
        <is>
          <t>BB</t>
        </is>
      </c>
      <c r="D22" s="39" t="n">
        <v>0.02</v>
      </c>
      <c r="F22" s="38" t="n">
        <v>0.6</v>
      </c>
      <c r="G22" s="38" t="n">
        <v>0.799999</v>
      </c>
      <c r="H22" s="38" t="inlineStr">
        <is>
          <t>BB</t>
        </is>
      </c>
      <c r="I22" s="40" t="n">
        <v>0.02</v>
      </c>
      <c r="J22" s="40" t="n">
        <v>-0.2</v>
      </c>
    </row>
    <row r="23" ht="14.65" customFormat="1" customHeight="1" s="23">
      <c r="A23" s="38" t="n">
        <v>2.5</v>
      </c>
      <c r="B23" s="38" t="n">
        <v>2.999999</v>
      </c>
      <c r="C23" s="38" t="inlineStr">
        <is>
          <t>BBB</t>
        </is>
      </c>
      <c r="D23" s="39" t="n">
        <v>0.015</v>
      </c>
      <c r="F23" s="38" t="n">
        <v>0.8</v>
      </c>
      <c r="G23" s="38" t="n">
        <v>0.999999</v>
      </c>
      <c r="H23" s="38" t="inlineStr">
        <is>
          <t>BBB</t>
        </is>
      </c>
      <c r="I23" s="40" t="n">
        <v>0.015</v>
      </c>
      <c r="J23" s="40" t="n">
        <v>-0.2</v>
      </c>
    </row>
    <row r="24" ht="14.65" customFormat="1" customHeight="1" s="23">
      <c r="A24" s="38" t="n">
        <v>3</v>
      </c>
      <c r="B24" s="38" t="n">
        <v>4.249999</v>
      </c>
      <c r="C24" s="38" t="inlineStr">
        <is>
          <t>A-</t>
        </is>
      </c>
      <c r="D24" s="39" t="n">
        <v>0.0125</v>
      </c>
      <c r="F24" s="38" t="n">
        <v>1</v>
      </c>
      <c r="G24" s="38" t="n">
        <v>1.49999</v>
      </c>
      <c r="H24" s="38" t="inlineStr">
        <is>
          <t>A-</t>
        </is>
      </c>
      <c r="I24" s="40" t="n">
        <v>0.0125</v>
      </c>
      <c r="J24" s="40" t="n">
        <v>-0.175</v>
      </c>
    </row>
    <row r="25" ht="14.65" customFormat="1" customHeight="1" s="23">
      <c r="A25" s="38" t="n">
        <v>4.25</v>
      </c>
      <c r="B25" s="38" t="n">
        <v>5.499999</v>
      </c>
      <c r="C25" s="38" t="inlineStr">
        <is>
          <t>A</t>
        </is>
      </c>
      <c r="D25" s="39" t="n">
        <v>0.01</v>
      </c>
      <c r="F25" s="38" t="n">
        <v>1.5</v>
      </c>
      <c r="G25" s="38" t="n">
        <v>1.99999</v>
      </c>
      <c r="H25" s="38" t="inlineStr">
        <is>
          <t>A</t>
        </is>
      </c>
      <c r="I25" s="40" t="n">
        <v>0.01</v>
      </c>
      <c r="J25" s="40" t="n">
        <v>-0.15</v>
      </c>
    </row>
    <row r="26" ht="14.65" customFormat="1" customHeight="1" s="23">
      <c r="A26" s="38" t="n">
        <v>5.5</v>
      </c>
      <c r="B26" s="38" t="n">
        <v>6.499999</v>
      </c>
      <c r="C26" s="38" t="inlineStr">
        <is>
          <t>A+</t>
        </is>
      </c>
      <c r="D26" s="39" t="n">
        <v>0.008</v>
      </c>
      <c r="F26" s="38" t="n">
        <v>2</v>
      </c>
      <c r="G26" s="38" t="n">
        <v>2.49999</v>
      </c>
      <c r="H26" s="38" t="inlineStr">
        <is>
          <t>A+</t>
        </is>
      </c>
      <c r="I26" s="40" t="n">
        <v>0.008</v>
      </c>
      <c r="J26" s="40" t="n">
        <v>-0.1</v>
      </c>
    </row>
    <row r="27" ht="14.65" customFormat="1" customHeight="1" s="23">
      <c r="A27" s="38" t="n">
        <v>6.5</v>
      </c>
      <c r="B27" s="38" t="n">
        <v>8.499999000000001</v>
      </c>
      <c r="C27" s="38" t="inlineStr">
        <is>
          <t>AA</t>
        </is>
      </c>
      <c r="D27" s="39" t="n">
        <v>0.005</v>
      </c>
      <c r="F27" s="38" t="n">
        <v>2.5</v>
      </c>
      <c r="G27" s="38" t="n">
        <v>2.99999</v>
      </c>
      <c r="H27" s="38" t="inlineStr">
        <is>
          <t>AA</t>
        </is>
      </c>
      <c r="I27" s="40" t="n">
        <v>0.005</v>
      </c>
      <c r="J27" s="40" t="n">
        <v>-0.05</v>
      </c>
    </row>
    <row r="28" ht="14.65" customFormat="1" customHeight="1" s="23">
      <c r="A28" s="41" t="n">
        <v>8.5</v>
      </c>
      <c r="B28" s="38" t="n">
        <v>100000</v>
      </c>
      <c r="C28" s="38" t="inlineStr">
        <is>
          <t>AAA</t>
        </is>
      </c>
      <c r="D28" s="39" t="n">
        <v>0.002</v>
      </c>
      <c r="F28" s="38" t="n">
        <v>3</v>
      </c>
      <c r="G28" s="38" t="n">
        <v>100000</v>
      </c>
      <c r="H28" s="38" t="inlineStr">
        <is>
          <t>AAA</t>
        </is>
      </c>
      <c r="I28" s="40" t="n">
        <v>0.002</v>
      </c>
      <c r="J28" s="40" t="n">
        <v>0</v>
      </c>
    </row>
    <row r="29" ht="14.65" customFormat="1" customHeight="1" s="23"/>
    <row r="30" ht="14.65" customFormat="1" customHeight="1" s="23">
      <c r="A30" s="27" t="inlineStr">
        <is>
          <t>For smaller and riskier firms</t>
        </is>
      </c>
    </row>
    <row r="31" ht="14.65" customFormat="1" customHeight="1" s="23">
      <c r="A31" s="33" t="inlineStr">
        <is>
          <t>If interest coverage ratio is</t>
        </is>
      </c>
      <c r="B31" s="34" t="n"/>
      <c r="C31" s="38" t="n"/>
      <c r="D31" s="38" t="n"/>
    </row>
    <row r="32" ht="14.65" customFormat="1" customHeight="1" s="23">
      <c r="A32" s="38" t="inlineStr">
        <is>
          <t>greater than</t>
        </is>
      </c>
      <c r="B32" s="38" t="inlineStr">
        <is>
          <t>≤ to</t>
        </is>
      </c>
      <c r="C32" s="38" t="inlineStr">
        <is>
          <t>Rating is</t>
        </is>
      </c>
      <c r="D32" s="38" t="inlineStr">
        <is>
          <t>Spread is</t>
        </is>
      </c>
    </row>
    <row r="33" ht="14.65" customFormat="1" customHeight="1" s="23">
      <c r="A33" s="38" t="n">
        <v>-100000</v>
      </c>
      <c r="B33" s="38" t="n">
        <v>0.499999</v>
      </c>
      <c r="C33" s="38" t="inlineStr">
        <is>
          <t>D</t>
        </is>
      </c>
      <c r="D33" s="40" t="n">
        <v>0.1</v>
      </c>
    </row>
    <row r="34" ht="14.65" customFormat="1" customHeight="1" s="23">
      <c r="A34" s="38" t="n">
        <v>0.5</v>
      </c>
      <c r="B34" s="38" t="n">
        <v>0.799999</v>
      </c>
      <c r="C34" s="38" t="inlineStr">
        <is>
          <t>C</t>
        </is>
      </c>
      <c r="D34" s="40" t="n">
        <v>0.075</v>
      </c>
    </row>
    <row r="35" ht="14.65" customFormat="1" customHeight="1" s="23">
      <c r="A35" s="38" t="n">
        <v>0.8</v>
      </c>
      <c r="B35" s="38" t="n">
        <v>1.249999</v>
      </c>
      <c r="C35" s="38" t="inlineStr">
        <is>
          <t>CC</t>
        </is>
      </c>
      <c r="D35" s="40" t="n">
        <v>0.06</v>
      </c>
    </row>
    <row r="36" ht="14.65" customFormat="1" customHeight="1" s="23">
      <c r="A36" s="38" t="n">
        <v>1.25</v>
      </c>
      <c r="B36" s="38" t="n">
        <v>1.499999</v>
      </c>
      <c r="C36" s="38" t="inlineStr">
        <is>
          <t>CCC</t>
        </is>
      </c>
      <c r="D36" s="40" t="n">
        <v>0.05</v>
      </c>
    </row>
    <row r="37" ht="14.65" customFormat="1" customHeight="1" s="23">
      <c r="A37" s="38" t="n">
        <v>1.5</v>
      </c>
      <c r="B37" s="38" t="n">
        <v>1.999999</v>
      </c>
      <c r="C37" s="38" t="inlineStr">
        <is>
          <t>B-</t>
        </is>
      </c>
      <c r="D37" s="40" t="n">
        <v>0.0425</v>
      </c>
    </row>
    <row r="38" ht="14.65" customFormat="1" customHeight="1" s="23">
      <c r="A38" s="38" t="n">
        <v>2</v>
      </c>
      <c r="B38" s="38" t="n">
        <v>2.499999</v>
      </c>
      <c r="C38" s="38" t="inlineStr">
        <is>
          <t>B</t>
        </is>
      </c>
      <c r="D38" s="40" t="n">
        <v>0.0325</v>
      </c>
    </row>
    <row r="39" ht="14.65" customFormat="1" customHeight="1" s="23">
      <c r="A39" s="38" t="n">
        <v>2.5</v>
      </c>
      <c r="B39" s="38" t="n">
        <v>2.999999</v>
      </c>
      <c r="C39" s="38" t="inlineStr">
        <is>
          <t>B+</t>
        </is>
      </c>
      <c r="D39" s="40" t="n">
        <v>0.025</v>
      </c>
    </row>
    <row r="40" ht="14.65" customFormat="1" customHeight="1" s="23">
      <c r="A40" s="38" t="n">
        <v>3</v>
      </c>
      <c r="B40" s="38" t="n">
        <v>3.499999</v>
      </c>
      <c r="C40" s="38" t="inlineStr">
        <is>
          <t>BB</t>
        </is>
      </c>
      <c r="D40" s="40" t="n">
        <v>0.02</v>
      </c>
    </row>
    <row r="41" ht="14.65" customFormat="1" customHeight="1" s="23">
      <c r="A41" s="38" t="n">
        <v>3.5</v>
      </c>
      <c r="B41" s="38" t="n">
        <v>4.499999</v>
      </c>
      <c r="C41" s="38" t="inlineStr">
        <is>
          <t>BBB</t>
        </is>
      </c>
      <c r="D41" s="40" t="n">
        <v>0.015</v>
      </c>
    </row>
    <row r="42" ht="14.65" customFormat="1" customHeight="1" s="23">
      <c r="A42" s="38" t="n">
        <v>4.5</v>
      </c>
      <c r="B42" s="38" t="n">
        <v>5.999999</v>
      </c>
      <c r="C42" s="38" t="inlineStr">
        <is>
          <t>A-</t>
        </is>
      </c>
      <c r="D42" s="40" t="n">
        <v>0.0125</v>
      </c>
    </row>
    <row r="43" ht="14.65" customFormat="1" customHeight="1" s="23">
      <c r="A43" s="38" t="n">
        <v>6</v>
      </c>
      <c r="B43" s="38" t="n">
        <v>7.499999</v>
      </c>
      <c r="C43" s="38" t="inlineStr">
        <is>
          <t>A</t>
        </is>
      </c>
      <c r="D43" s="40" t="n">
        <v>0.01</v>
      </c>
    </row>
    <row r="44" ht="14.65" customFormat="1" customHeight="1" s="23">
      <c r="A44" s="38" t="n">
        <v>7.5</v>
      </c>
      <c r="B44" s="38" t="n">
        <v>9.499999000000001</v>
      </c>
      <c r="C44" s="38" t="inlineStr">
        <is>
          <t>A+</t>
        </is>
      </c>
      <c r="D44" s="40" t="n">
        <v>0.008</v>
      </c>
    </row>
    <row r="45" ht="14.65" customFormat="1" customHeight="1" s="23">
      <c r="A45" s="38" t="n">
        <v>9.5</v>
      </c>
      <c r="B45" s="38" t="n">
        <v>12.499999</v>
      </c>
      <c r="C45" s="38" t="inlineStr">
        <is>
          <t>AA</t>
        </is>
      </c>
      <c r="D45" s="40" t="n">
        <v>0.005</v>
      </c>
    </row>
    <row r="46" ht="14.65" customFormat="1" customHeight="1" s="23">
      <c r="A46" s="38" t="n">
        <v>12.5</v>
      </c>
      <c r="B46" s="38" t="n">
        <v>100000</v>
      </c>
      <c r="C46" s="38" t="inlineStr">
        <is>
          <t>AAA</t>
        </is>
      </c>
      <c r="D46" s="40" t="n">
        <v>0.002</v>
      </c>
    </row>
  </sheetData>
  <mergeCells count="2">
    <mergeCell ref="A13:B13"/>
    <mergeCell ref="A31:B31"/>
  </mergeCells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 A1"/>
    </sheetView>
  </sheetViews>
  <sheetFormatPr baseColWidth="8" defaultColWidth="11.0546875" defaultRowHeight="14.65" zeroHeight="0" outlineLevelRow="0"/>
  <sheetData>
    <row r="1" ht="19.35" customHeight="1" s="21"/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2026-03-05T04:05:45Z</dcterms:created>
  <dcterms:modified xsi:type="dcterms:W3CDTF">2026-03-05T04:05:45Z</dcterms:modified>
  <cp:revision>0</cp:revision>
</cp:coreProperties>
</file>