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name="XXXXXXXXXXXXXXXXXXXXXXXXX" sheetId="1" state="hidden" r:id="rId1"/>
    <sheet name="Instruction" sheetId="2" state="visible" r:id="rId2"/>
    <sheet name="Financial Inputs" sheetId="3" state="visible" r:id="rId3"/>
    <sheet name="Labor Savings" sheetId="4" state="visible" r:id="rId4"/>
    <sheet name="PM Labor Savings " sheetId="5" state="visible" r:id="rId5"/>
    <sheet name="Production Increase" sheetId="6" state="visible" r:id="rId6"/>
    <sheet name="Scrap Savings" sheetId="7" state="visible" r:id="rId7"/>
    <sheet name="Miscellaneous Savings" sheetId="8" state="visible" r:id="rId8"/>
    <sheet name="Savings Summary" sheetId="9" state="visible" r:id="rId9"/>
    <sheet name="Investment Summary" sheetId="10" state="visible" r:id="rId10"/>
    <sheet name="Financial Spreadsheet " sheetId="11" state="visible" r:id="rId11"/>
    <sheet name="Module1" sheetId="12" state="hidden" r:id="rId12"/>
    <sheet name="YyUb15rA40OfsReezZBJfoS3m" sheetId="13" state="hidden" r:id="rId13"/>
  </sheets>
  <definedNames>
    <definedName name="Ann_Lab_Sav" hidden="0" function="0" vbProcedure="0">'Labor Savings'!$H$39</definedName>
    <definedName name="Ann_Prod_Hrs" hidden="0" function="0" vbProcedure="0">'Production Increase'!$G$14</definedName>
    <definedName name="Cap_Eval_Dur" hidden="0" function="0" vbProcedure="0">'Financial Inputs'!$F$21</definedName>
    <definedName name="Current_Production" hidden="0" function="0" vbProcedure="0">'Production Increase'!$I$8</definedName>
    <definedName name="Disability_Savings" hidden="0" function="0" vbProcedure="0">'Labor Savings'!$H$41</definedName>
    <definedName name="Hrs_Laborer" hidden="0" function="0" vbProcedure="0">'Labor Savings'!$H$22</definedName>
    <definedName name="Hurdle_Rate" hidden="0" function="0" vbProcedure="0">'Financial Inputs'!$F$19</definedName>
    <definedName name="Inc_Ann_Rev" hidden="0" function="0" vbProcedure="0">'Production Increase'!$I$27</definedName>
    <definedName name="invest5a_7" hidden="0" function="0" vbProcedure="0">#REF!</definedName>
    <definedName name="invest77a_1" hidden="0" function="0" vbProcedure="0">#REF!</definedName>
    <definedName name="invest7a_7" hidden="0" function="0" vbProcedure="0">#REF!</definedName>
    <definedName name="Investment" hidden="0" function="0" vbProcedure="0">'Financial Inputs'!$F$8</definedName>
    <definedName name="Misc_Savings" hidden="0" function="0" vbProcedure="0">'Miscellaneous Savings'!$I$15</definedName>
    <definedName name="PM_Lab_Savings" hidden="0" function="0" vbProcedure="0">'PM Labor Savings '!$H$18</definedName>
    <definedName name="Prod_Rate" hidden="0" function="0" vbProcedure="0">'Production Increase'!$G$9</definedName>
    <definedName name="Robotic_Ann_Prod_Hrs" hidden="0" function="0" vbProcedure="0">'Production Increase'!$G$22</definedName>
    <definedName name="Robotic_Production" hidden="0" function="0" vbProcedure="0">'Production Increase'!$I$16</definedName>
    <definedName name="Robotic_Prod_Rate" hidden="0" function="0" vbProcedure="0">'Production Increase'!$G$17</definedName>
    <definedName name="Scrap_Savings" hidden="0" function="0" vbProcedure="0">'Scrap Savings'!$I$19</definedName>
    <definedName name="shifts" hidden="0" function="0" vbProcedure="0">'Labor Savings'!$H$20</definedName>
    <definedName name="Tax_Rate" hidden="0" function="0" vbProcedure="0">'Financial Inputs'!$F$17</definedName>
    <definedName name="Total_Investment" hidden="0" function="0" vbProcedure="0">'Investment Summary'!$G$8</definedName>
    <definedName name="Unit_Price" hidden="0" function="0" vbProcedure="0">'Production Increase'!$G$25</definedName>
    <definedName name="_xlnm.Print_Area" localSheetId="1">'Instruction'!$A$2:$G$20</definedName>
    <definedName name="_xlnm.Print_Area" localSheetId="2">'Financial Inputs'!$B$3:$G$26</definedName>
    <definedName name="_xlnm.Print_Area" localSheetId="3">'Labor Savings'!$B$3:$I$43</definedName>
    <definedName name="_xlnm.Print_Area" localSheetId="4">'PM Labor Savings '!$B$3:$I$19</definedName>
    <definedName name="Ann_Lab_Sav" localSheetId="5" hidden="0" function="0" vbProcedure="0">'Production Increase'!$I$32</definedName>
    <definedName name="_xlnm.Print_Area" localSheetId="5">'Production Increase'!$B$3:$J$28</definedName>
    <definedName name="_xlnm.Print_Area" localSheetId="6">'Scrap Savings'!$B$3:$J$20</definedName>
    <definedName name="_xlnm.Print_Area" localSheetId="7">'Miscellaneous Savings'!$A$2:$K$17</definedName>
    <definedName name="_xlnm.Print_Area" localSheetId="8">'Savings Summary'!$B$3:$H$24</definedName>
    <definedName name="_xlnm.Print_Area" localSheetId="9">'Investment Summary'!$B$3:$H$27</definedName>
    <definedName name="disc_fact" localSheetId="10" hidden="0" function="0" vbProcedure="0">'Financial Spreadsheet '!$D$32</definedName>
    <definedName name="invest5a" localSheetId="10" hidden="0" function="0" vbProcedure="0">'Financial Spreadsheet '!$E$10</definedName>
    <definedName name="invest5a_1" localSheetId="10" hidden="0" function="0" vbProcedure="0">'Financial Spreadsheet '!$F$10</definedName>
    <definedName name="invest5a_2" localSheetId="10" hidden="0" function="0" vbProcedure="0">'Financial Spreadsheet '!$G$10</definedName>
    <definedName name="invest5a_3" localSheetId="10" hidden="0" function="0" vbProcedure="0">'Financial Spreadsheet '!$H$10</definedName>
    <definedName name="invest5a_4" localSheetId="10" hidden="0" function="0" vbProcedure="0">'Financial Spreadsheet '!$I$10</definedName>
    <definedName name="invest5a_5" localSheetId="10" hidden="0" function="0" vbProcedure="0">'Financial Spreadsheet '!$J$10</definedName>
    <definedName name="invest5a_6" localSheetId="10" hidden="0" function="0" vbProcedure="0">'Financial Spreadsheet '!$K$10</definedName>
    <definedName name="invest5a_7" localSheetId="10" hidden="0" function="0" vbProcedure="0">'Financial Spreadsheet '!$L$10</definedName>
    <definedName name="invest77a_1" localSheetId="10" hidden="0" function="0" vbProcedure="0">#REF!</definedName>
    <definedName name="invest7a" localSheetId="10" hidden="0" function="0" vbProcedure="0">'Financial Spreadsheet '!$E$11</definedName>
    <definedName name="invest7a_1" localSheetId="10" hidden="0" function="0" vbProcedure="0">'Financial Spreadsheet '!$F$11</definedName>
    <definedName name="invest7a_2" localSheetId="10" hidden="0" function="0" vbProcedure="0">'Financial Spreadsheet '!$G$11</definedName>
    <definedName name="invest7a_3" localSheetId="10" hidden="0" function="0" vbProcedure="0">'Financial Spreadsheet '!$H$11</definedName>
    <definedName name="invest7a_4" localSheetId="10" hidden="0" function="0" vbProcedure="0">'Financial Spreadsheet '!$I$11</definedName>
    <definedName name="invest7a_5" localSheetId="10" hidden="0" function="0" vbProcedure="0">'Financial Spreadsheet '!$J$11</definedName>
    <definedName name="invest7a_6" localSheetId="10" hidden="0" function="0" vbProcedure="0">'Financial Spreadsheet '!$K$11</definedName>
    <definedName name="invest7a_7" localSheetId="10" hidden="0" function="0" vbProcedure="0">'Financial Spreadsheet '!$L$11</definedName>
    <definedName name="_xlnm.Print_Area" localSheetId="10">'Financial Spreadsheet '!$B$3:$M$81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1">
    <numFmt numFmtId="164" formatCode="#,##0._);[RED]\(#,##0.\)"/>
    <numFmt numFmtId="165" formatCode="\$#,##0_);&quot;($&quot;#,##0\)"/>
    <numFmt numFmtId="166" formatCode="0.0%_)"/>
    <numFmt numFmtId="167" formatCode="0_);[RED]\(0\)"/>
    <numFmt numFmtId="168" formatCode="[$-409]#,##0_);\(#,##0\)"/>
    <numFmt numFmtId="169" formatCode="[$-409]#,##0_);[RED]\(#,##0\)"/>
    <numFmt numFmtId="170" formatCode="\$#,##0.00_);[RED]&quot;($&quot;#,##0.00\)"/>
    <numFmt numFmtId="171" formatCode="_(* #,##0_);_(* \(#,##0\);_(* \-??_);_(@_)"/>
    <numFmt numFmtId="172" formatCode="\$#,##0_);[RED]&quot;($&quot;#,##0\)"/>
    <numFmt numFmtId="173" formatCode="#,##0.0_);[RED]\(#,##0.0\)"/>
    <numFmt numFmtId="174" formatCode="[$-409]#,##0.00_);[RED]\(#,##0.00\)"/>
    <numFmt numFmtId="175" formatCode="0.0%"/>
    <numFmt numFmtId="176" formatCode="0.000"/>
    <numFmt numFmtId="177" formatCode="#,##0.0_);\(#,##0.0\)"/>
    <numFmt numFmtId="178" formatCode="General_)"/>
    <numFmt numFmtId="179" formatCode="#,##0.00000_);\(#,##0.00000\)"/>
    <numFmt numFmtId="180" formatCode="[$-409]#,##0.00_);\(#,##0.00\)"/>
    <numFmt numFmtId="181" formatCode="0.00_)"/>
    <numFmt numFmtId="182" formatCode="0.0000"/>
    <numFmt numFmtId="183" formatCode="#,##0.0000_);\(#,##0.0000\)"/>
    <numFmt numFmtId="184" formatCode="_(* #,##0.00_);_(* \(#,##0.00\);_(* \-??_);_(@_)"/>
    <numFmt numFmtId="185" formatCode="_(\$* #,##0.00_);_(\$* \(#,##0.00\);_(\$* \-??_);_(@_)"/>
    <numFmt numFmtId="186" formatCode="_(* #,##0.0_);_(* \(#,##0.00\);_(* \-??_);_(@_)"/>
    <numFmt numFmtId="187" formatCode="&quot;fl&quot;#,##0_);&quot;(fl&quot;#,##0\)"/>
    <numFmt numFmtId="188" formatCode="&quot;fl&quot;#,##0_);[RED]&quot;(fl&quot;#,##0\)"/>
    <numFmt numFmtId="189" formatCode="&quot;fl&quot;#,##0.00_);&quot;(fl&quot;#,##0.00\)"/>
    <numFmt numFmtId="190" formatCode="[$-409]m/d/yyyy"/>
    <numFmt numFmtId="191" formatCode="#,##0;[RED]\-#,##0"/>
    <numFmt numFmtId="192" formatCode="\60&quot;47:&quot;"/>
    <numFmt numFmtId="193" formatCode="&quot;fl&quot;#,##0.00_);[RED]&quot;(fl&quot;#,##0.00\)"/>
    <numFmt numFmtId="194" formatCode="_(&quot;fl&quot;* #,##0_);_(&quot;fl&quot;* \(#,##0\);_(&quot;fl&quot;* \-_);_(@_)"/>
  </numFmts>
  <fonts count="66">
    <font>
      <name val="Times New Roman"/>
      <family val="1"/>
      <sz val="14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9"/>
    </font>
    <font>
      <name val="Arial"/>
      <family val="2"/>
      <color rgb="FF000000"/>
      <sz val="10"/>
    </font>
    <font>
      <name val="MS Sans Serif"/>
      <family val="0"/>
      <sz val="10"/>
    </font>
    <font>
      <name val="Arial"/>
      <family val="2"/>
      <sz val="8"/>
    </font>
    <font>
      <name val="Arial"/>
      <family val="2"/>
      <b val="1"/>
      <sz val="12"/>
    </font>
    <font>
      <name val="Times New Roman"/>
      <family val="0"/>
      <color rgb="FF0000FF"/>
      <sz val="8"/>
      <u val="single"/>
    </font>
    <font>
      <name val="Arial"/>
      <family val="0"/>
      <b val="1"/>
      <i val="1"/>
      <sz val="16"/>
    </font>
    <font>
      <name val="Arial Black"/>
      <family val="2"/>
      <sz val="12"/>
    </font>
    <font>
      <name val="Arial Black"/>
      <family val="2"/>
      <i val="1"/>
      <color rgb="FFFF0000"/>
      <sz val="14"/>
      <u val="single"/>
    </font>
    <font>
      <name val="Arial Black"/>
      <family val="2"/>
      <color rgb="FFFF0000"/>
      <sz val="14"/>
      <u val="single"/>
    </font>
    <font>
      <name val="Arial Black"/>
      <family val="2"/>
      <sz val="14"/>
    </font>
    <font>
      <name val="Tahoma"/>
      <family val="2"/>
      <b val="1"/>
      <color rgb="FF000000"/>
      <sz val="10"/>
    </font>
    <font>
      <name val="Arial"/>
      <family val="2"/>
      <sz val="14"/>
    </font>
    <font>
      <name val="Arial Black"/>
      <family val="2"/>
      <sz val="16"/>
    </font>
    <font>
      <name val="Arial Black"/>
      <family val="2"/>
      <b val="1"/>
      <i val="1"/>
      <sz val="16"/>
      <u val="single"/>
    </font>
    <font>
      <name val="Arial"/>
      <family val="2"/>
      <i val="1"/>
      <sz val="14"/>
    </font>
    <font>
      <name val="Arial"/>
      <family val="2"/>
      <b val="1"/>
      <i val="1"/>
      <sz val="28"/>
      <u val="single"/>
    </font>
    <font>
      <name val="Arial"/>
      <family val="2"/>
      <sz val="18"/>
    </font>
    <font>
      <name val="Arial"/>
      <family val="2"/>
      <b val="1"/>
      <sz val="20"/>
    </font>
    <font>
      <name val="Arial"/>
      <family val="2"/>
      <b val="1"/>
      <sz val="18"/>
    </font>
    <font>
      <name val="Times New Roman"/>
      <family val="1"/>
      <sz val="18"/>
    </font>
    <font>
      <name val="Arial"/>
      <family val="2"/>
      <i val="1"/>
      <sz val="18"/>
      <u val="single"/>
    </font>
    <font>
      <name val="Arial"/>
      <family val="2"/>
      <b val="1"/>
      <color rgb="FFFF0000"/>
      <sz val="20"/>
    </font>
    <font>
      <name val="Times New Roman"/>
      <family val="1"/>
      <b val="1"/>
      <sz val="14"/>
    </font>
    <font>
      <name val="Arial"/>
      <family val="2"/>
      <b val="1"/>
      <sz val="18"/>
      <u val="single"/>
    </font>
    <font>
      <name val="Arial"/>
      <family val="2"/>
      <sz val="24"/>
    </font>
    <font>
      <name val="Arial"/>
      <family val="2"/>
      <b val="1"/>
      <sz val="18"/>
      <u val="double"/>
    </font>
    <font>
      <name val="Tahoma"/>
      <family val="2"/>
      <color rgb="FF000000"/>
      <sz val="10"/>
    </font>
    <font>
      <name val="Arial"/>
      <family val="2"/>
      <b val="1"/>
      <i val="1"/>
      <sz val="22"/>
    </font>
    <font>
      <name val="Arial"/>
      <family val="2"/>
      <b val="1"/>
      <i val="1"/>
      <sz val="28"/>
    </font>
    <font>
      <name val="Arial"/>
      <family val="2"/>
      <b val="1"/>
      <sz val="14"/>
    </font>
    <font>
      <name val="Arial"/>
      <family val="2"/>
      <b val="1"/>
      <sz val="22"/>
    </font>
    <font>
      <name val="Times New Roman"/>
      <family val="0"/>
      <b val="1"/>
      <i val="1"/>
      <sz val="22"/>
    </font>
    <font>
      <name val="Arial"/>
      <family val="2"/>
      <b val="1"/>
      <i val="1"/>
      <sz val="12"/>
    </font>
    <font>
      <name val="Arial Black"/>
      <family val="2"/>
      <color rgb="FFFF0000"/>
      <sz val="16"/>
    </font>
    <font>
      <name val="Times New Roman"/>
      <family val="1"/>
      <b val="1"/>
      <i val="1"/>
      <sz val="28"/>
    </font>
    <font>
      <name val="Times New Roman"/>
      <family val="1"/>
      <sz val="22"/>
    </font>
    <font>
      <name val="Times New Roman"/>
      <family val="1"/>
      <b val="1"/>
      <sz val="22"/>
    </font>
    <font>
      <name val="Arial"/>
      <family val="2"/>
      <b val="1"/>
      <sz val="24"/>
    </font>
    <font>
      <name val="Arial"/>
      <family val="2"/>
      <b val="1"/>
      <sz val="16"/>
      <u val="single"/>
    </font>
    <font>
      <name val="Arial"/>
      <family val="2"/>
      <sz val="16"/>
    </font>
    <font>
      <name val="Arial"/>
      <family val="2"/>
      <sz val="10"/>
    </font>
    <font>
      <name val="Arial"/>
      <family val="2"/>
      <sz val="12"/>
    </font>
    <font>
      <name val="Helvetica-Condensed"/>
      <family val="0"/>
      <sz val="9"/>
    </font>
    <font>
      <name val="Helvetica-Condensed"/>
      <family val="0"/>
      <sz val="12"/>
    </font>
    <font>
      <name val="Times New Roman"/>
      <family val="1"/>
      <b val="1"/>
      <i val="1"/>
      <sz val="22"/>
      <u val="single"/>
    </font>
    <font>
      <name val="Helvetica-Condensed"/>
      <family val="0"/>
      <sz val="13"/>
    </font>
    <font>
      <name val="Helvetica-Condensed"/>
      <family val="0"/>
      <b val="1"/>
      <sz val="13"/>
    </font>
    <font>
      <name val="Helvetica-Condensed"/>
      <family val="0"/>
      <color rgb="FFFF0000"/>
      <sz val="13"/>
    </font>
    <font>
      <name val="Helvetica-Condensed"/>
      <family val="0"/>
      <b val="1"/>
      <i val="1"/>
      <sz val="9"/>
    </font>
    <font>
      <name val="Helvetica-Condensed"/>
      <family val="0"/>
      <b val="1"/>
      <i val="1"/>
      <sz val="13"/>
    </font>
    <font>
      <name val="Arial"/>
      <family val="2"/>
      <sz val="13"/>
    </font>
    <font>
      <name val="Times New Roman"/>
      <family val="0"/>
      <b val="1"/>
      <sz val="13"/>
    </font>
    <font>
      <name val="Times New Roman"/>
      <family val="1"/>
      <sz val="13"/>
    </font>
    <font>
      <name val="Helvetica-Condensed"/>
      <family val="0"/>
      <b val="1"/>
      <sz val="11"/>
    </font>
    <font>
      <name val="Helvetica-Condensed"/>
      <family val="0"/>
      <sz val="11"/>
    </font>
    <font>
      <name val="Helvetica-Condensed"/>
      <family val="0"/>
      <b val="1"/>
      <i val="1"/>
      <sz val="22"/>
    </font>
    <font>
      <name val="Times New Roman"/>
      <family val="0"/>
      <i val="1"/>
      <sz val="12"/>
    </font>
    <font>
      <name val="Helvetica-Condensed"/>
      <family val="0"/>
      <i val="1"/>
      <sz val="12"/>
    </font>
    <font>
      <name val="Helvetica-Condensed"/>
      <family val="0"/>
      <sz val="18"/>
    </font>
    <font>
      <name val="Arial Black"/>
      <family val="2"/>
      <b val="1"/>
      <color rgb="FFFFFFFF"/>
      <sz val="18"/>
    </font>
    <font>
      <name val="Tahoma"/>
      <family val="0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0"/>
        <bgColor rgb="FFFFFF99"/>
      </patternFill>
    </fill>
    <fill>
      <patternFill patternType="solid">
        <fgColor rgb="FFFFFFFF"/>
        <bgColor rgb="FFFFFFC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32">
    <border>
      <left/>
      <right/>
      <top/>
      <bottom/>
      <diagonal/>
    </border>
    <border>
      <left/>
      <right/>
      <top style="double"/>
      <bottom style="double"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 style="medium"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/>
      <bottom/>
      <diagonal/>
    </border>
    <border>
      <left/>
      <right style="medium"/>
      <top style="medium"/>
      <bottom style="medium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45">
    <xf numFmtId="0" fontId="0" fillId="0" borderId="0" applyAlignment="1">
      <alignment horizontal="general" vertical="bottom"/>
    </xf>
    <xf numFmtId="184" fontId="0" fillId="0" borderId="0"/>
    <xf numFmtId="41" fontId="3" fillId="0" borderId="0"/>
    <xf numFmtId="185" fontId="0" fillId="0" borderId="0"/>
    <xf numFmtId="42" fontId="3" fillId="0" borderId="0"/>
    <xf numFmtId="9" fontId="0" fillId="0" borderId="0"/>
    <xf numFmtId="186" fontId="4" fillId="0" borderId="0"/>
    <xf numFmtId="178" fontId="4" fillId="0" borderId="0"/>
    <xf numFmtId="176" fontId="4" fillId="0" borderId="0"/>
    <xf numFmtId="187" fontId="4" fillId="0" borderId="0"/>
    <xf numFmtId="188" fontId="4" fillId="0" borderId="0"/>
    <xf numFmtId="186" fontId="4" fillId="0" borderId="0"/>
    <xf numFmtId="189" fontId="4" fillId="0" borderId="0"/>
    <xf numFmtId="178" fontId="4" fillId="0" borderId="0"/>
    <xf numFmtId="186" fontId="0" fillId="0" borderId="0"/>
    <xf numFmtId="178" fontId="0" fillId="0" borderId="0"/>
    <xf numFmtId="190" fontId="5" fillId="0" borderId="0"/>
    <xf numFmtId="191" fontId="6" fillId="0" borderId="1" applyAlignment="1">
      <alignment horizontal="general" vertical="center"/>
    </xf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0" fontId="7" fillId="2" borderId="0"/>
    <xf numFmtId="0" fontId="8" fillId="0" borderId="2"/>
    <xf numFmtId="0" fontId="8" fillId="0" borderId="3" applyAlignment="1">
      <alignment horizontal="left" vertical="center"/>
    </xf>
    <xf numFmtId="0" fontId="9" fillId="0" borderId="0"/>
    <xf numFmtId="0" fontId="7" fillId="3" borderId="0"/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181" fontId="10" fillId="0" borderId="0" applyAlignment="1">
      <alignment horizontal="general" vertical="bottom"/>
    </xf>
    <xf numFmtId="192" fontId="0" fillId="0" borderId="0"/>
    <xf numFmtId="188" fontId="0" fillId="0" borderId="0"/>
    <xf numFmtId="10" fontId="0" fillId="0" borderId="0"/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49" fontId="5" fillId="0" borderId="0"/>
    <xf numFmtId="193" fontId="4" fillId="0" borderId="0"/>
    <xf numFmtId="194" fontId="4" fillId="0" borderId="0"/>
  </cellStyleXfs>
  <cellXfs count="598"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11" fillId="4" borderId="8" applyAlignment="1" pivotButton="0" quotePrefix="0" xfId="0">
      <alignment horizontal="center" vertical="bottom"/>
    </xf>
    <xf numFmtId="0" fontId="0" fillId="4" borderId="9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6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0" fillId="4" borderId="13" applyAlignment="1" pivotButton="0" quotePrefix="0" xfId="0">
      <alignment horizontal="general" vertical="bottom"/>
    </xf>
    <xf numFmtId="0" fontId="14" fillId="7" borderId="8" applyAlignment="1" pivotButton="0" quotePrefix="0" xfId="0">
      <alignment horizontal="center" vertical="bottom"/>
    </xf>
    <xf numFmtId="0" fontId="14" fillId="7" borderId="14" applyAlignment="1" pivotButton="0" quotePrefix="0" xfId="0">
      <alignment horizontal="center" vertical="bottom"/>
    </xf>
    <xf numFmtId="0" fontId="16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10" applyAlignment="1" pivotButton="0" quotePrefix="0" xfId="0">
      <alignment horizontal="center" vertical="bottom"/>
    </xf>
    <xf numFmtId="0" fontId="17" fillId="4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6" fillId="4" borderId="4" applyAlignment="1" pivotButton="0" quotePrefix="0" xfId="0">
      <alignment horizontal="general" vertical="bottom"/>
    </xf>
    <xf numFmtId="0" fontId="16" fillId="4" borderId="5" applyAlignment="1" pivotButton="0" quotePrefix="0" xfId="0">
      <alignment horizontal="general" vertical="bottom"/>
    </xf>
    <xf numFmtId="0" fontId="16" fillId="4" borderId="6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4" borderId="7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16" fillId="4" borderId="9" applyAlignment="1" pivotButton="0" quotePrefix="0" xfId="0">
      <alignment horizontal="general" vertical="bottom"/>
    </xf>
    <xf numFmtId="0" fontId="20" fillId="4" borderId="0" applyAlignment="1" pivotButton="0" quotePrefix="0" xfId="0">
      <alignment horizontal="center" vertical="bottom"/>
    </xf>
    <xf numFmtId="0" fontId="21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2" fillId="4" borderId="7" applyAlignment="1" pivotButton="0" quotePrefix="0" xfId="0">
      <alignment horizontal="general" vertical="bottom"/>
    </xf>
    <xf numFmtId="164" fontId="23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165" fontId="23" fillId="5" borderId="1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/>
    </xf>
    <xf numFmtId="164" fontId="21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 wrapText="1"/>
    </xf>
    <xf numFmtId="164" fontId="22" fillId="4" borderId="0" applyAlignment="1" pivotButton="0" quotePrefix="0" xfId="0">
      <alignment horizontal="general" vertical="bottom"/>
    </xf>
    <xf numFmtId="164" fontId="22" fillId="4" borderId="7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165" fontId="23" fillId="6" borderId="15" applyAlignment="1" pivotButton="0" quotePrefix="0" xfId="0">
      <alignment horizontal="right" vertical="bottom"/>
    </xf>
    <xf numFmtId="165" fontId="23" fillId="6" borderId="10" applyAlignment="1" pivotButton="0" quotePrefix="0" xfId="0">
      <alignment horizontal="right" vertical="bottom"/>
    </xf>
    <xf numFmtId="165" fontId="23" fillId="6" borderId="16" applyAlignment="1" pivotButton="0" quotePrefix="0" xfId="0">
      <alignment horizontal="right" vertical="bottom"/>
    </xf>
    <xf numFmtId="166" fontId="23" fillId="5" borderId="10" applyAlignment="1" pivotButton="0" quotePrefix="0" xfId="0">
      <alignment horizontal="right" vertical="bottom"/>
    </xf>
    <xf numFmtId="167" fontId="23" fillId="5" borderId="10" applyAlignment="1" pivotButton="0" quotePrefix="0" xfId="0">
      <alignment horizontal="right" vertical="bottom"/>
    </xf>
    <xf numFmtId="0" fontId="26" fillId="4" borderId="0" applyAlignment="1" pivotButton="0" quotePrefix="0" xfId="0">
      <alignment horizontal="general" vertical="bottom"/>
    </xf>
    <xf numFmtId="0" fontId="16" fillId="4" borderId="11" applyAlignment="1" pivotButton="0" quotePrefix="0" xfId="0">
      <alignment horizontal="general" vertical="bottom"/>
    </xf>
    <xf numFmtId="0" fontId="16" fillId="4" borderId="12" applyAlignment="1" pivotButton="0" quotePrefix="0" xfId="0">
      <alignment horizontal="general" vertical="bottom"/>
    </xf>
    <xf numFmtId="0" fontId="16" fillId="4" borderId="13" applyAlignment="1" pivotButton="0" quotePrefix="0" xfId="0">
      <alignment horizontal="general" vertical="bottom"/>
    </xf>
    <xf numFmtId="168" fontId="23" fillId="0" borderId="10" applyAlignment="1" pivotButton="0" quotePrefix="0" xfId="0">
      <alignment horizontal="right" vertical="bottom"/>
    </xf>
    <xf numFmtId="0" fontId="22" fillId="4" borderId="9" applyAlignment="1" pivotButton="0" quotePrefix="0" xfId="0">
      <alignment horizontal="general" vertical="bottom"/>
    </xf>
    <xf numFmtId="169" fontId="27" fillId="6" borderId="8" applyAlignment="1" pivotButton="0" quotePrefix="0" xfId="0">
      <alignment horizontal="general" vertical="bottom"/>
    </xf>
    <xf numFmtId="1" fontId="16" fillId="4" borderId="0" applyAlignment="1" pivotButton="0" quotePrefix="0" xfId="0">
      <alignment horizontal="center" vertical="bottom"/>
    </xf>
    <xf numFmtId="169" fontId="27" fillId="6" borderId="10" applyAlignment="1" pivotButton="0" quotePrefix="0" xfId="0">
      <alignment horizontal="general" vertical="bottom"/>
    </xf>
    <xf numFmtId="169" fontId="27" fillId="6" borderId="17" applyAlignment="1" pivotButton="0" quotePrefix="0" xfId="0">
      <alignment horizontal="general" vertical="bottom"/>
    </xf>
    <xf numFmtId="1" fontId="21" fillId="4" borderId="0" applyAlignment="1" pivotButton="0" quotePrefix="0" xfId="0">
      <alignment horizontal="center" vertical="bottom"/>
    </xf>
    <xf numFmtId="170" fontId="21" fillId="4" borderId="0" applyAlignment="1" pivotButton="0" quotePrefix="0" xfId="0">
      <alignment horizontal="center" vertical="bottom"/>
    </xf>
    <xf numFmtId="171" fontId="23" fillId="5" borderId="10" applyAlignment="1" pivotButton="0" quotePrefix="0" xfId="15">
      <alignment horizontal="general" vertical="bottom"/>
    </xf>
    <xf numFmtId="169" fontId="27" fillId="5" borderId="8" applyAlignment="1" pivotButton="0" quotePrefix="0" xfId="0">
      <alignment horizontal="general" vertical="bottom"/>
    </xf>
    <xf numFmtId="169" fontId="27" fillId="5" borderId="10" applyAlignment="1" pivotButton="0" quotePrefix="0" xfId="0">
      <alignment horizontal="general" vertical="bottom"/>
    </xf>
    <xf numFmtId="169" fontId="27" fillId="5" borderId="14" applyAlignment="1" pivotButton="0" quotePrefix="0" xfId="0">
      <alignment horizontal="general" vertical="bottom"/>
    </xf>
    <xf numFmtId="169" fontId="27" fillId="4" borderId="0" applyAlignment="1" pivotButton="0" quotePrefix="0" xfId="0">
      <alignment horizontal="general" vertical="bottom"/>
    </xf>
    <xf numFmtId="169" fontId="23" fillId="4" borderId="8" applyAlignment="1" pivotButton="0" quotePrefix="0" xfId="0">
      <alignment horizontal="general" vertical="bottom"/>
    </xf>
    <xf numFmtId="169" fontId="28" fillId="4" borderId="17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4" borderId="7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9" fontId="30" fillId="4" borderId="14" applyAlignment="1" pivotButton="0" quotePrefix="0" xfId="0">
      <alignment horizontal="general" vertical="top"/>
    </xf>
    <xf numFmtId="0" fontId="29" fillId="4" borderId="9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65" fontId="30" fillId="4" borderId="0" applyAlignment="1" pivotButton="0" quotePrefix="0" xfId="0">
      <alignment horizontal="general" vertical="top"/>
    </xf>
    <xf numFmtId="0" fontId="28" fillId="4" borderId="0" applyAlignment="1" pivotButton="0" quotePrefix="0" xfId="0">
      <alignment horizontal="general" vertical="bottom"/>
    </xf>
    <xf numFmtId="170" fontId="23" fillId="4" borderId="0" applyAlignment="1" pivotButton="0" quotePrefix="0" xfId="0">
      <alignment horizontal="right" vertical="bottom"/>
    </xf>
    <xf numFmtId="170" fontId="27" fillId="6" borderId="8" applyAlignment="1" pivotButton="0" quotePrefix="0" xfId="0">
      <alignment horizontal="general" vertical="bottom"/>
    </xf>
    <xf numFmtId="170" fontId="27" fillId="6" borderId="10" applyAlignment="1" pivotButton="0" quotePrefix="0" xfId="0">
      <alignment horizontal="general" vertical="bottom"/>
    </xf>
    <xf numFmtId="170" fontId="27" fillId="6" borderId="17" applyAlignment="1" pivotButton="0" quotePrefix="0" xfId="0">
      <alignment horizontal="general" vertical="bottom"/>
    </xf>
    <xf numFmtId="165" fontId="23" fillId="4" borderId="8" applyAlignment="1" pivotButton="0" quotePrefix="0" xfId="0">
      <alignment horizontal="general" vertical="bottom"/>
    </xf>
    <xf numFmtId="165" fontId="28" fillId="4" borderId="17" applyAlignment="1" pivotButton="0" quotePrefix="0" xfId="0">
      <alignment horizontal="general" vertical="bottom"/>
    </xf>
    <xf numFmtId="165" fontId="30" fillId="4" borderId="14" applyAlignment="1" pivotButton="0" quotePrefix="0" xfId="0">
      <alignment horizontal="general" vertical="top"/>
    </xf>
    <xf numFmtId="165" fontId="23" fillId="0" borderId="10" applyAlignment="1" pivotButton="0" quotePrefix="0" xfId="0">
      <alignment horizontal="general" vertical="bottom"/>
    </xf>
    <xf numFmtId="9" fontId="27" fillId="5" borderId="10" applyAlignment="1" pivotButton="0" quotePrefix="0" xfId="19">
      <alignment horizontal="general" vertical="bottom"/>
    </xf>
    <xf numFmtId="0" fontId="32" fillId="4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32" fillId="4" borderId="9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4" borderId="0" applyAlignment="1" pivotButton="0" quotePrefix="0" xfId="0">
      <alignment horizontal="center" vertical="bottom"/>
    </xf>
    <xf numFmtId="0" fontId="33" fillId="4" borderId="0" applyAlignment="1" pivotButton="0" quotePrefix="0" xfId="0">
      <alignment horizontal="right" vertical="bottom"/>
    </xf>
    <xf numFmtId="0" fontId="32" fillId="4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general" vertical="bottom"/>
    </xf>
    <xf numFmtId="0" fontId="21" fillId="4" borderId="7" applyAlignment="1" pivotButton="0" quotePrefix="0" xfId="0">
      <alignment horizontal="general" vertical="bottom"/>
    </xf>
    <xf numFmtId="168" fontId="23" fillId="6" borderId="10" applyAlignment="1" pivotButton="0" quotePrefix="0" xfId="0">
      <alignment horizontal="right" vertical="bottom"/>
    </xf>
    <xf numFmtId="0" fontId="21" fillId="4" borderId="9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1" fontId="34" fillId="4" borderId="0" applyAlignment="1" pivotButton="0" quotePrefix="0" xfId="0">
      <alignment horizontal="center" vertical="bottom"/>
    </xf>
    <xf numFmtId="170" fontId="23" fillId="5" borderId="10" applyAlignment="1" pivotButton="0" quotePrefix="0" xfId="0">
      <alignment horizontal="right" vertical="bottom"/>
    </xf>
    <xf numFmtId="170" fontId="34" fillId="4" borderId="0" applyAlignment="1" pivotButton="0" quotePrefix="0" xfId="0">
      <alignment horizontal="center" vertical="bottom"/>
    </xf>
    <xf numFmtId="168" fontId="23" fillId="5" borderId="10" applyAlignment="1" pivotButton="0" quotePrefix="0" xfId="0">
      <alignment horizontal="right" vertical="bottom"/>
    </xf>
    <xf numFmtId="168" fontId="23" fillId="4" borderId="10" applyAlignment="1" pivotButton="0" quotePrefix="0" xfId="0">
      <alignment horizontal="general" vertical="bottom"/>
    </xf>
    <xf numFmtId="169" fontId="27" fillId="4" borderId="8" applyAlignment="1" pivotButton="0" quotePrefix="0" xfId="0">
      <alignment horizontal="general" vertical="bottom"/>
    </xf>
    <xf numFmtId="170" fontId="16" fillId="4" borderId="0" applyAlignment="1" pivotButton="0" quotePrefix="0" xfId="0">
      <alignment horizontal="center" vertical="bottom"/>
    </xf>
    <xf numFmtId="0" fontId="35" fillId="4" borderId="0" applyAlignment="1" pivotButton="0" quotePrefix="0" xfId="0">
      <alignment horizontal="general" vertical="bottom"/>
    </xf>
    <xf numFmtId="172" fontId="23" fillId="0" borderId="10" applyAlignment="1" pivotButton="0" quotePrefix="0" xfId="0">
      <alignment horizontal="general" vertical="bottom"/>
    </xf>
    <xf numFmtId="0" fontId="36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173" fontId="27" fillId="5" borderId="10" applyAlignment="1" pivotButton="0" quotePrefix="0" xfId="0">
      <alignment horizontal="general" vertical="bottom"/>
    </xf>
    <xf numFmtId="169" fontId="27" fillId="0" borderId="8" applyAlignment="1" pivotButton="0" quotePrefix="0" xfId="0">
      <alignment horizontal="general" vertical="bottom"/>
    </xf>
    <xf numFmtId="174" fontId="27" fillId="6" borderId="10" applyAlignment="1" pivotButton="0" quotePrefix="0" xfId="0">
      <alignment horizontal="center" vertical="bottom"/>
    </xf>
    <xf numFmtId="169" fontId="27" fillId="0" borderId="18" applyAlignment="1" pivotButton="0" quotePrefix="0" xfId="0">
      <alignment horizontal="general" vertical="bottom"/>
    </xf>
    <xf numFmtId="175" fontId="27" fillId="6" borderId="10" applyAlignment="1" pivotButton="0" quotePrefix="0" xfId="19">
      <alignment horizontal="center" vertical="bottom"/>
    </xf>
    <xf numFmtId="169" fontId="27" fillId="0" borderId="6" applyAlignment="1" pivotButton="0" quotePrefix="0" xfId="0">
      <alignment horizontal="general" vertical="bottom"/>
    </xf>
    <xf numFmtId="169" fontId="27" fillId="0" borderId="14" applyAlignment="1" pivotButton="0" quotePrefix="0" xfId="0">
      <alignment horizontal="general" vertical="bottom"/>
    </xf>
    <xf numFmtId="170" fontId="27" fillId="5" borderId="10" applyAlignment="1" pivotButton="0" quotePrefix="0" xfId="0">
      <alignment horizontal="general" vertical="bottom"/>
    </xf>
    <xf numFmtId="172" fontId="23" fillId="0" borderId="10" applyAlignment="1" pivotButton="0" quotePrefix="0" xfId="15">
      <alignment horizontal="general" vertical="bottom"/>
    </xf>
    <xf numFmtId="0" fontId="29" fillId="4" borderId="0" applyAlignment="1" pivotButton="0" quotePrefix="0" xfId="0">
      <alignment horizontal="general" vertical="bottom"/>
    </xf>
    <xf numFmtId="176" fontId="0" fillId="4" borderId="0" applyAlignment="1" pivotButton="0" quotePrefix="0" xfId="0">
      <alignment horizontal="general" vertical="bottom"/>
    </xf>
    <xf numFmtId="175" fontId="27" fillId="5" borderId="10" applyAlignment="1" pivotButton="0" quotePrefix="0" xfId="19">
      <alignment horizontal="right" vertical="bottom"/>
    </xf>
    <xf numFmtId="169" fontId="27" fillId="0" borderId="14" applyAlignment="1" pivotButton="0" quotePrefix="0" xfId="0">
      <alignment horizontal="right" vertical="bottom"/>
    </xf>
    <xf numFmtId="170" fontId="27" fillId="0" borderId="10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bottom"/>
    </xf>
    <xf numFmtId="172" fontId="23" fillId="6" borderId="10" applyAlignment="1" pivotButton="0" quotePrefix="0" xfId="1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38" fillId="7" borderId="1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0" fillId="4" borderId="9" applyAlignment="1" pivotButton="0" quotePrefix="0" xfId="0">
      <alignment horizontal="general" vertical="bottom"/>
    </xf>
    <xf numFmtId="0" fontId="39" fillId="4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general" vertical="bottom"/>
    </xf>
    <xf numFmtId="0" fontId="39" fillId="4" borderId="0" applyAlignment="1" pivotButton="0" quotePrefix="0" xfId="0">
      <alignment horizontal="center" vertical="bottom"/>
    </xf>
    <xf numFmtId="0" fontId="39" fillId="4" borderId="9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center" vertical="bottom"/>
    </xf>
    <xf numFmtId="0" fontId="39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0" fontId="24" fillId="4" borderId="7" applyAlignment="1" pivotButton="0" quotePrefix="0" xfId="0">
      <alignment horizontal="general" vertical="bottom"/>
    </xf>
    <xf numFmtId="0" fontId="24" fillId="4" borderId="9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40" fillId="4" borderId="0" applyAlignment="1" pivotButton="0" quotePrefix="0" xfId="0">
      <alignment horizontal="general" vertical="bottom"/>
    </xf>
    <xf numFmtId="0" fontId="41" fillId="4" borderId="7" applyAlignment="1" pivotButton="0" quotePrefix="0" xfId="0">
      <alignment horizontal="general" vertical="bottom"/>
    </xf>
    <xf numFmtId="0" fontId="42" fillId="4" borderId="0" applyAlignment="1" pivotButton="0" quotePrefix="0" xfId="0">
      <alignment horizontal="general" vertical="bottom"/>
    </xf>
    <xf numFmtId="165" fontId="22" fillId="4" borderId="0" applyAlignment="1" pivotButton="0" quotePrefix="0" xfId="0">
      <alignment horizontal="general" vertical="bottom"/>
    </xf>
    <xf numFmtId="165" fontId="22" fillId="0" borderId="10" applyAlignment="1" pivotButton="0" quotePrefix="0" xfId="0">
      <alignment horizontal="general" vertical="bottom"/>
    </xf>
    <xf numFmtId="0" fontId="40" fillId="4" borderId="9" applyAlignment="1" pivotButton="0" quotePrefix="0" xfId="0">
      <alignment horizontal="general" vertical="bottom"/>
    </xf>
    <xf numFmtId="165" fontId="40" fillId="4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16" fillId="4" borderId="12" applyAlignment="1" pivotButton="0" quotePrefix="0" xfId="0">
      <alignment horizontal="right" vertical="bottom"/>
    </xf>
    <xf numFmtId="0" fontId="0" fillId="4" borderId="13" applyAlignment="1" pivotButton="0" quotePrefix="0" xfId="0">
      <alignment horizontal="general" vertical="bottom"/>
    </xf>
    <xf numFmtId="0" fontId="38" fillId="4" borderId="0" applyAlignment="1" pivotButton="0" quotePrefix="0" xfId="0">
      <alignment horizontal="left" vertical="bottom"/>
    </xf>
    <xf numFmtId="0" fontId="33" fillId="4" borderId="0" applyAlignment="1" pivotButton="0" quotePrefix="0" xfId="0">
      <alignment horizontal="general" vertical="bottom"/>
    </xf>
    <xf numFmtId="0" fontId="33" fillId="4" borderId="7" applyAlignment="1" pivotButton="0" quotePrefix="0" xfId="0">
      <alignment horizontal="general" vertical="bottom"/>
    </xf>
    <xf numFmtId="0" fontId="33" fillId="4" borderId="9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43" fillId="4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23" fillId="4" borderId="7" applyAlignment="1" pivotButton="0" quotePrefix="0" xfId="0">
      <alignment horizontal="general" vertical="bottom"/>
    </xf>
    <xf numFmtId="0" fontId="23" fillId="4" borderId="9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4" fillId="4" borderId="0" applyAlignment="1" pivotButton="0" quotePrefix="0" xfId="0">
      <alignment horizontal="general" vertical="bottom"/>
    </xf>
    <xf numFmtId="170" fontId="22" fillId="4" borderId="0" applyAlignment="1" pivotButton="0" quotePrefix="0" xfId="0">
      <alignment horizontal="right" vertical="bottom"/>
    </xf>
    <xf numFmtId="166" fontId="23" fillId="0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5" fontId="42" fillId="4" borderId="0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5" fillId="4" borderId="7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6" fillId="4" borderId="0" applyAlignment="1" pivotButton="0" quotePrefix="0" xfId="0">
      <alignment horizontal="general" vertical="bottom"/>
    </xf>
    <xf numFmtId="0" fontId="45" fillId="4" borderId="9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165" fontId="23" fillId="0" borderId="10" applyAlignment="1" pivotButton="0" quotePrefix="0" xfId="17">
      <alignment horizontal="general" vertical="bottom"/>
    </xf>
    <xf numFmtId="177" fontId="23" fillId="0" borderId="10" applyAlignment="1" pivotButton="0" quotePrefix="0" xfId="17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4" applyAlignment="1" pivotButton="0" quotePrefix="0" xfId="0">
      <alignment horizontal="general" vertical="bottom"/>
    </xf>
    <xf numFmtId="0" fontId="47" fillId="4" borderId="5" applyAlignment="1" pivotButton="0" quotePrefix="0" xfId="0">
      <alignment horizontal="general" vertical="bottom"/>
    </xf>
    <xf numFmtId="0" fontId="47" fillId="4" borderId="6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7" applyAlignment="1" pivotButton="0" quotePrefix="0" xfId="0">
      <alignment horizontal="general" vertical="bottom"/>
    </xf>
    <xf numFmtId="0" fontId="47" fillId="4" borderId="9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48" fillId="4" borderId="7" applyAlignment="1" pivotButton="0" quotePrefix="0" xfId="0">
      <alignment horizontal="general" vertical="bottom"/>
    </xf>
    <xf numFmtId="0" fontId="48" fillId="4" borderId="9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36" fillId="4" borderId="0" applyAlignment="1" pivotButton="0" quotePrefix="0" xfId="0">
      <alignment horizontal="general" vertical="bottom"/>
    </xf>
    <xf numFmtId="0" fontId="36" fillId="4" borderId="7" applyAlignment="1" pivotButton="0" quotePrefix="0" xfId="0">
      <alignment horizontal="general" vertical="bottom"/>
    </xf>
    <xf numFmtId="0" fontId="49" fillId="4" borderId="0" applyAlignment="1" pivotButton="0" quotePrefix="0" xfId="0">
      <alignment horizontal="center" vertical="bottom"/>
    </xf>
    <xf numFmtId="0" fontId="36" fillId="4" borderId="9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left" vertical="bottom"/>
    </xf>
    <xf numFmtId="168" fontId="50" fillId="4" borderId="0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right" vertical="bottom"/>
    </xf>
    <xf numFmtId="168" fontId="50" fillId="4" borderId="0" applyAlignment="1" pivotButton="0" quotePrefix="0" xfId="0">
      <alignment horizontal="center" vertical="bottom"/>
    </xf>
    <xf numFmtId="168" fontId="50" fillId="4" borderId="0" applyAlignment="1" pivotButton="0" quotePrefix="0" xfId="0">
      <alignment horizontal="left" vertical="bottom"/>
    </xf>
    <xf numFmtId="169" fontId="52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center" vertical="bottom"/>
    </xf>
    <xf numFmtId="168" fontId="50" fillId="4" borderId="19" applyAlignment="1" pivotButton="0" quotePrefix="0" xfId="0">
      <alignment horizontal="left" vertical="bottom"/>
    </xf>
    <xf numFmtId="0" fontId="50" fillId="4" borderId="0" applyAlignment="1" pivotButton="0" quotePrefix="0" xfId="0">
      <alignment horizontal="general" vertical="bottom"/>
    </xf>
    <xf numFmtId="169" fontId="52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center" vertical="bottom"/>
    </xf>
    <xf numFmtId="168" fontId="51" fillId="4" borderId="0" applyAlignment="1" pivotButton="0" quotePrefix="0" xfId="0">
      <alignment horizontal="left" vertical="bottom"/>
    </xf>
    <xf numFmtId="168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3" fillId="4" borderId="0" applyAlignment="1" pivotButton="0" quotePrefix="0" xfId="0">
      <alignment horizontal="left" vertical="bottom"/>
    </xf>
    <xf numFmtId="168" fontId="53" fillId="4" borderId="7" applyAlignment="1" pivotButton="0" quotePrefix="0" xfId="0">
      <alignment horizontal="left" vertical="bottom"/>
    </xf>
    <xf numFmtId="168" fontId="54" fillId="4" borderId="0" applyAlignment="1" pivotButton="0" quotePrefix="0" xfId="0">
      <alignment horizontal="left" vertical="bottom"/>
    </xf>
    <xf numFmtId="169" fontId="54" fillId="4" borderId="0" applyAlignment="1" pivotButton="0" quotePrefix="0" xfId="0">
      <alignment horizontal="left" vertical="bottom"/>
    </xf>
    <xf numFmtId="168" fontId="53" fillId="4" borderId="9" applyAlignment="1" pivotButton="0" quotePrefix="0" xfId="0">
      <alignment horizontal="left" vertical="bottom"/>
    </xf>
    <xf numFmtId="168" fontId="53" fillId="0" borderId="0" applyAlignment="1" pivotButton="0" quotePrefix="0" xfId="0">
      <alignment horizontal="left" vertical="bottom"/>
    </xf>
    <xf numFmtId="169" fontId="55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8" fontId="50" fillId="4" borderId="19" applyAlignment="1" pivotButton="0" quotePrefix="0" xfId="0">
      <alignment horizontal="general" vertical="bottom"/>
    </xf>
    <xf numFmtId="175" fontId="56" fillId="4" borderId="0" applyAlignment="1" pivotButton="0" quotePrefix="0" xfId="0">
      <alignment horizontal="general" vertical="bottom"/>
    </xf>
    <xf numFmtId="169" fontId="56" fillId="4" borderId="0" applyAlignment="1" pivotButton="0" quotePrefix="0" xfId="0">
      <alignment horizontal="general" vertical="bottom"/>
    </xf>
    <xf numFmtId="0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75" fontId="56" fillId="4" borderId="19" applyAlignment="1" pivotButton="0" quotePrefix="0" xfId="0">
      <alignment horizontal="general" vertical="bottom"/>
    </xf>
    <xf numFmtId="179" fontId="50" fillId="4" borderId="19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0" fillId="4" borderId="0" applyAlignment="1" pivotButton="0" quotePrefix="0" xfId="0">
      <alignment horizontal="general" vertical="bottom"/>
    </xf>
    <xf numFmtId="0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9" fontId="51" fillId="4" borderId="10" applyAlignment="1" pivotButton="0" quotePrefix="0" xfId="0">
      <alignment horizontal="center" vertical="bottom"/>
    </xf>
    <xf numFmtId="169" fontId="51" fillId="4" borderId="18" applyAlignment="1" pivotButton="0" quotePrefix="0" xfId="0">
      <alignment horizontal="center" vertical="bottom"/>
    </xf>
    <xf numFmtId="0" fontId="57" fillId="4" borderId="0" applyAlignment="1" pivotButton="0" quotePrefix="0" xfId="0">
      <alignment horizontal="general" vertical="bottom"/>
    </xf>
    <xf numFmtId="0" fontId="50" fillId="4" borderId="0" applyAlignment="1" pivotButton="0" quotePrefix="0" xfId="0">
      <alignment horizontal="general" vertical="bottom"/>
    </xf>
    <xf numFmtId="168" fontId="51" fillId="4" borderId="20" applyAlignment="1" pivotButton="0" quotePrefix="0" xfId="0">
      <alignment horizontal="center" vertical="bottom"/>
    </xf>
    <xf numFmtId="172" fontId="51" fillId="4" borderId="10" applyAlignment="1" pivotButton="0" quotePrefix="0" xfId="0">
      <alignment horizontal="general" vertical="bottom"/>
    </xf>
    <xf numFmtId="175" fontId="51" fillId="4" borderId="18" applyAlignment="1" pivotButton="0" quotePrefix="0" xfId="0">
      <alignment horizontal="center" vertical="bottom"/>
    </xf>
    <xf numFmtId="168" fontId="51" fillId="4" borderId="11" applyAlignment="1" pivotButton="0" quotePrefix="0" xfId="0">
      <alignment horizontal="center" vertical="bottom"/>
    </xf>
    <xf numFmtId="172" fontId="51" fillId="4" borderId="14" applyAlignment="1" pivotButton="0" quotePrefix="0" xfId="0">
      <alignment horizontal="general" vertical="bottom"/>
    </xf>
    <xf numFmtId="175" fontId="51" fillId="4" borderId="13" applyAlignment="1" pivotButton="0" quotePrefix="0" xfId="0">
      <alignment horizontal="center" vertical="bottom"/>
    </xf>
    <xf numFmtId="180" fontId="51" fillId="4" borderId="11" applyAlignment="1" pivotButton="0" quotePrefix="0" xfId="0">
      <alignment horizontal="general" vertical="center"/>
    </xf>
    <xf numFmtId="168" fontId="51" fillId="4" borderId="2" applyAlignment="1" pivotButton="0" quotePrefix="0" xfId="0">
      <alignment horizontal="left" vertical="center"/>
    </xf>
    <xf numFmtId="168" fontId="51" fillId="4" borderId="18" applyAlignment="1" pivotButton="0" quotePrefix="0" xfId="0">
      <alignment horizontal="left" vertical="center"/>
    </xf>
    <xf numFmtId="178" fontId="50" fillId="4" borderId="0" applyAlignment="1" pivotButton="0" quotePrefix="0" xfId="0">
      <alignment horizontal="general" vertical="bottom"/>
    </xf>
    <xf numFmtId="0" fontId="47" fillId="4" borderId="11" applyAlignment="1" pivotButton="0" quotePrefix="0" xfId="0">
      <alignment horizontal="general" vertical="bottom"/>
    </xf>
    <xf numFmtId="168" fontId="58" fillId="4" borderId="12" applyAlignment="1" pivotButton="0" quotePrefix="0" xfId="0">
      <alignment horizontal="center" vertical="center"/>
    </xf>
    <xf numFmtId="180" fontId="58" fillId="4" borderId="12" applyAlignment="1" pivotButton="0" quotePrefix="0" xfId="0">
      <alignment horizontal="general" vertical="center"/>
    </xf>
    <xf numFmtId="168" fontId="58" fillId="4" borderId="12" applyAlignment="1" pivotButton="0" quotePrefix="0" xfId="0">
      <alignment horizontal="left" vertical="center"/>
    </xf>
    <xf numFmtId="168" fontId="58" fillId="4" borderId="12" applyAlignment="1" pivotButton="0" quotePrefix="0" xfId="0">
      <alignment horizontal="general" vertical="bottom"/>
    </xf>
    <xf numFmtId="178" fontId="59" fillId="4" borderId="12" applyAlignment="1" pivotButton="0" quotePrefix="0" xfId="0">
      <alignment horizontal="general" vertical="bottom"/>
    </xf>
    <xf numFmtId="0" fontId="47" fillId="4" borderId="13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center" vertical="bottom"/>
    </xf>
    <xf numFmtId="18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left" vertical="bottom"/>
    </xf>
    <xf numFmtId="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center" vertical="bottom"/>
    </xf>
    <xf numFmtId="0" fontId="60" fillId="0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center" vertical="bottom"/>
    </xf>
    <xf numFmtId="0" fontId="62" fillId="0" borderId="0" applyAlignment="1" pivotButton="0" quotePrefix="0" xfId="0">
      <alignment horizontal="general" vertical="bottom"/>
    </xf>
    <xf numFmtId="0" fontId="63" fillId="4" borderId="0" applyAlignment="1" pivotButton="0" quotePrefix="0" xfId="0">
      <alignment horizontal="general" vertical="bottom"/>
    </xf>
    <xf numFmtId="178" fontId="64" fillId="8" borderId="10" applyAlignment="1" pivotButton="0" quotePrefix="0" xfId="0">
      <alignment horizontal="center" vertical="bottom"/>
    </xf>
    <xf numFmtId="0" fontId="63" fillId="0" borderId="0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general" vertical="bottom"/>
    </xf>
    <xf numFmtId="178" fontId="48" fillId="7" borderId="21" applyAlignment="1" pivotButton="0" quotePrefix="0" xfId="0">
      <alignment horizontal="left" vertical="bottom"/>
    </xf>
    <xf numFmtId="181" fontId="48" fillId="7" borderId="22" applyAlignment="1" pivotButton="0" quotePrefix="0" xfId="0">
      <alignment horizontal="right" vertical="bottom"/>
    </xf>
    <xf numFmtId="181" fontId="48" fillId="7" borderId="23" applyAlignment="1" pivotButton="0" quotePrefix="0" xfId="0">
      <alignment horizontal="right" vertical="bottom"/>
    </xf>
    <xf numFmtId="0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right" vertical="bottom"/>
    </xf>
    <xf numFmtId="181" fontId="48" fillId="7" borderId="0" applyAlignment="1" pivotButton="0" quotePrefix="0" xfId="0">
      <alignment horizontal="right" vertical="bottom"/>
    </xf>
    <xf numFmtId="181" fontId="48" fillId="7" borderId="25" applyAlignment="1" pivotButton="0" quotePrefix="0" xfId="0">
      <alignment horizontal="right" vertical="bottom"/>
    </xf>
    <xf numFmtId="0" fontId="48" fillId="7" borderId="0" applyAlignment="1" pivotButton="0" quotePrefix="0" xfId="0">
      <alignment horizontal="general" vertical="bottom"/>
    </xf>
    <xf numFmtId="168" fontId="48" fillId="7" borderId="0" applyAlignment="1" pivotButton="0" quotePrefix="0" xfId="0">
      <alignment horizontal="general" vertical="bottom"/>
    </xf>
    <xf numFmtId="168" fontId="48" fillId="7" borderId="25" applyAlignment="1" pivotButton="0" quotePrefix="0" xfId="0">
      <alignment horizontal="general" vertical="bottom"/>
    </xf>
    <xf numFmtId="178" fontId="48" fillId="7" borderId="24" applyAlignment="1" pivotButton="0" quotePrefix="0" xfId="0">
      <alignment horizontal="left" vertical="bottom"/>
    </xf>
    <xf numFmtId="0" fontId="48" fillId="7" borderId="25" applyAlignment="1" pivotButton="0" quotePrefix="0" xfId="0">
      <alignment horizontal="general" vertical="bottom"/>
    </xf>
    <xf numFmtId="178" fontId="62" fillId="7" borderId="24" applyAlignment="1" pivotButton="0" quotePrefix="0" xfId="0">
      <alignment horizontal="left" vertical="bottom"/>
    </xf>
    <xf numFmtId="168" fontId="48" fillId="7" borderId="24" applyAlignment="1" pivotButton="0" quotePrefix="0" xfId="0">
      <alignment horizontal="left" vertical="bottom"/>
    </xf>
    <xf numFmtId="183" fontId="48" fillId="7" borderId="0" applyAlignment="1" pivotButton="0" quotePrefix="0" xfId="0">
      <alignment horizontal="general" vertical="bottom"/>
    </xf>
    <xf numFmtId="180" fontId="48" fillId="7" borderId="0" applyAlignment="1" pivotButton="0" quotePrefix="0" xfId="0">
      <alignment horizontal="general" vertical="bottom"/>
    </xf>
    <xf numFmtId="168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general" vertical="bottom"/>
    </xf>
    <xf numFmtId="183" fontId="48" fillId="7" borderId="26" applyAlignment="1" pivotButton="0" quotePrefix="0" xfId="0">
      <alignment horizontal="general" vertical="bottom"/>
    </xf>
    <xf numFmtId="168" fontId="62" fillId="7" borderId="27" applyAlignment="1" pivotButton="0" quotePrefix="0" xfId="0">
      <alignment horizontal="general" vertical="bottom"/>
    </xf>
    <xf numFmtId="182" fontId="48" fillId="7" borderId="19" applyAlignment="1" pivotButton="0" quotePrefix="0" xfId="0">
      <alignment horizontal="general" vertical="bottom"/>
    </xf>
    <xf numFmtId="183" fontId="48" fillId="7" borderId="28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62" fillId="4" borderId="29" applyAlignment="1" pivotButton="0" quotePrefix="0" xfId="0">
      <alignment horizontal="center" vertical="bottom"/>
    </xf>
    <xf numFmtId="0" fontId="62" fillId="4" borderId="30" applyAlignment="1" pivotButton="0" quotePrefix="0" xfId="0">
      <alignment horizontal="center" vertical="bottom"/>
    </xf>
    <xf numFmtId="0" fontId="62" fillId="4" borderId="31" applyAlignment="1" pivotButton="0" quotePrefix="0" xfId="0">
      <alignment horizontal="center" vertical="bottom"/>
    </xf>
    <xf numFmtId="0" fontId="48" fillId="4" borderId="0" applyAlignment="1" pivotButton="0" quotePrefix="0" xfId="0">
      <alignment horizontal="center" vertical="bottom"/>
    </xf>
    <xf numFmtId="168" fontId="48" fillId="4" borderId="0" applyAlignment="1" pivotButton="0" quotePrefix="0" xfId="17">
      <alignment horizontal="general" vertical="bottom"/>
    </xf>
    <xf numFmtId="168" fontId="48" fillId="4" borderId="0" applyAlignment="1" pivotButton="0" quotePrefix="0" xfId="0">
      <alignment horizontal="general" vertical="bottom"/>
    </xf>
    <xf numFmtId="183" fontId="48" fillId="4" borderId="29" applyAlignment="1" pivotButton="0" quotePrefix="0" xfId="0">
      <alignment horizontal="general" vertical="bottom"/>
    </xf>
    <xf numFmtId="183" fontId="48" fillId="4" borderId="26" applyAlignment="1" pivotButton="0" quotePrefix="0" xfId="0">
      <alignment horizontal="general" vertical="bottom"/>
    </xf>
    <xf numFmtId="168" fontId="48" fillId="4" borderId="0" applyAlignment="1" pivotButton="0" quotePrefix="0" xfId="0">
      <alignment horizontal="general" vertical="bottom"/>
    </xf>
    <xf numFmtId="10" fontId="48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11" fillId="4" borderId="8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6" pivotButton="0" quotePrefix="0" xfId="0"/>
    <xf numFmtId="0" fontId="0" fillId="4" borderId="9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6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0" fillId="4" borderId="13" applyAlignment="1" pivotButton="0" quotePrefix="0" xfId="0">
      <alignment horizontal="general" vertical="bottom"/>
    </xf>
    <xf numFmtId="0" fontId="14" fillId="7" borderId="8" applyAlignment="1" pivotButton="0" quotePrefix="0" xfId="0">
      <alignment horizontal="center" vertical="bottom"/>
    </xf>
    <xf numFmtId="0" fontId="14" fillId="7" borderId="14" applyAlignment="1" pivotButton="0" quotePrefix="0" xfId="0">
      <alignment horizontal="center" vertical="bottom"/>
    </xf>
    <xf numFmtId="0" fontId="0" fillId="0" borderId="12" pivotButton="0" quotePrefix="0" xfId="0"/>
    <xf numFmtId="0" fontId="0" fillId="0" borderId="13" pivotButton="0" quotePrefix="0" xfId="0"/>
    <xf numFmtId="0" fontId="16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7" fillId="2" borderId="10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18" pivotButton="0" quotePrefix="0" xfId="0"/>
    <xf numFmtId="0" fontId="16" fillId="4" borderId="4" applyAlignment="1" pivotButton="0" quotePrefix="0" xfId="0">
      <alignment horizontal="general" vertical="bottom"/>
    </xf>
    <xf numFmtId="0" fontId="16" fillId="4" borderId="5" applyAlignment="1" pivotButton="0" quotePrefix="0" xfId="0">
      <alignment horizontal="general" vertical="bottom"/>
    </xf>
    <xf numFmtId="0" fontId="16" fillId="4" borderId="6" applyAlignment="1" pivotButton="0" quotePrefix="0" xfId="0">
      <alignment horizontal="general" vertical="bottom"/>
    </xf>
    <xf numFmtId="0" fontId="16" fillId="4" borderId="7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16" fillId="4" borderId="9" applyAlignment="1" pivotButton="0" quotePrefix="0" xfId="0">
      <alignment horizontal="general" vertical="bottom"/>
    </xf>
    <xf numFmtId="0" fontId="20" fillId="4" borderId="0" applyAlignment="1" pivotButton="0" quotePrefix="0" xfId="0">
      <alignment horizontal="center" vertical="bottom"/>
    </xf>
    <xf numFmtId="0" fontId="21" fillId="4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2" fillId="4" borderId="7" applyAlignment="1" pivotButton="0" quotePrefix="0" xfId="0">
      <alignment horizontal="general" vertical="bottom"/>
    </xf>
    <xf numFmtId="164" fontId="23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165" fontId="23" fillId="5" borderId="10" applyAlignment="1" pivotButton="0" quotePrefix="0" xfId="0">
      <alignment horizontal="right" vertical="bottom"/>
    </xf>
    <xf numFmtId="164" fontId="21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 wrapText="1"/>
    </xf>
    <xf numFmtId="164" fontId="22" fillId="0" borderId="0" applyAlignment="1" pivotButton="0" quotePrefix="0" xfId="0">
      <alignment horizontal="general" vertical="bottom"/>
    </xf>
    <xf numFmtId="164" fontId="22" fillId="4" borderId="0" applyAlignment="1" pivotButton="0" quotePrefix="0" xfId="0">
      <alignment horizontal="general" vertical="bottom"/>
    </xf>
    <xf numFmtId="164" fontId="22" fillId="4" borderId="7" applyAlignment="1" pivotButton="0" quotePrefix="0" xfId="0">
      <alignment horizontal="general" vertical="bottom"/>
    </xf>
    <xf numFmtId="165" fontId="23" fillId="6" borderId="15" applyAlignment="1" pivotButton="0" quotePrefix="0" xfId="0">
      <alignment horizontal="right" vertical="bottom"/>
    </xf>
    <xf numFmtId="165" fontId="23" fillId="6" borderId="10" applyAlignment="1" pivotButton="0" quotePrefix="0" xfId="0">
      <alignment horizontal="right" vertical="bottom"/>
    </xf>
    <xf numFmtId="165" fontId="23" fillId="6" borderId="16" applyAlignment="1" pivotButton="0" quotePrefix="0" xfId="0">
      <alignment horizontal="right" vertical="bottom"/>
    </xf>
    <xf numFmtId="166" fontId="23" fillId="5" borderId="10" applyAlignment="1" pivotButton="0" quotePrefix="0" xfId="0">
      <alignment horizontal="right" vertical="bottom"/>
    </xf>
    <xf numFmtId="167" fontId="23" fillId="5" borderId="10" applyAlignment="1" pivotButton="0" quotePrefix="0" xfId="0">
      <alignment horizontal="right" vertical="bottom"/>
    </xf>
    <xf numFmtId="0" fontId="26" fillId="4" borderId="0" applyAlignment="1" pivotButton="0" quotePrefix="0" xfId="0">
      <alignment horizontal="general" vertical="bottom"/>
    </xf>
    <xf numFmtId="0" fontId="16" fillId="4" borderId="11" applyAlignment="1" pivotButton="0" quotePrefix="0" xfId="0">
      <alignment horizontal="general" vertical="bottom"/>
    </xf>
    <xf numFmtId="0" fontId="16" fillId="4" borderId="12" applyAlignment="1" pivotButton="0" quotePrefix="0" xfId="0">
      <alignment horizontal="general" vertical="bottom"/>
    </xf>
    <xf numFmtId="0" fontId="16" fillId="4" borderId="13" applyAlignment="1" pivotButton="0" quotePrefix="0" xfId="0">
      <alignment horizontal="general" vertical="bottom"/>
    </xf>
    <xf numFmtId="168" fontId="23" fillId="0" borderId="10" applyAlignment="1" pivotButton="0" quotePrefix="0" xfId="0">
      <alignment horizontal="right" vertical="bottom"/>
    </xf>
    <xf numFmtId="0" fontId="22" fillId="4" borderId="9" applyAlignment="1" pivotButton="0" quotePrefix="0" xfId="0">
      <alignment horizontal="general" vertical="bottom"/>
    </xf>
    <xf numFmtId="169" fontId="27" fillId="6" borderId="8" applyAlignment="1" pivotButton="0" quotePrefix="0" xfId="0">
      <alignment horizontal="general" vertical="bottom"/>
    </xf>
    <xf numFmtId="1" fontId="16" fillId="4" borderId="0" applyAlignment="1" pivotButton="0" quotePrefix="0" xfId="0">
      <alignment horizontal="center" vertical="bottom"/>
    </xf>
    <xf numFmtId="169" fontId="27" fillId="6" borderId="10" applyAlignment="1" pivotButton="0" quotePrefix="0" xfId="0">
      <alignment horizontal="general" vertical="bottom"/>
    </xf>
    <xf numFmtId="169" fontId="27" fillId="6" borderId="17" applyAlignment="1" pivotButton="0" quotePrefix="0" xfId="0">
      <alignment horizontal="general" vertical="bottom"/>
    </xf>
    <xf numFmtId="1" fontId="21" fillId="4" borderId="0" applyAlignment="1" pivotButton="0" quotePrefix="0" xfId="0">
      <alignment horizontal="center" vertical="bottom"/>
    </xf>
    <xf numFmtId="170" fontId="21" fillId="4" borderId="0" applyAlignment="1" pivotButton="0" quotePrefix="0" xfId="0">
      <alignment horizontal="center" vertical="bottom"/>
    </xf>
    <xf numFmtId="171" fontId="23" fillId="5" borderId="10" applyAlignment="1" pivotButton="0" quotePrefix="0" xfId="15">
      <alignment horizontal="general" vertical="bottom"/>
    </xf>
    <xf numFmtId="169" fontId="27" fillId="5" borderId="8" applyAlignment="1" pivotButton="0" quotePrefix="0" xfId="0">
      <alignment horizontal="general" vertical="bottom"/>
    </xf>
    <xf numFmtId="169" fontId="27" fillId="5" borderId="10" applyAlignment="1" pivotButton="0" quotePrefix="0" xfId="0">
      <alignment horizontal="general" vertical="bottom"/>
    </xf>
    <xf numFmtId="169" fontId="27" fillId="5" borderId="14" applyAlignment="1" pivotButton="0" quotePrefix="0" xfId="0">
      <alignment horizontal="general" vertical="bottom"/>
    </xf>
    <xf numFmtId="169" fontId="27" fillId="4" borderId="0" applyAlignment="1" pivotButton="0" quotePrefix="0" xfId="0">
      <alignment horizontal="general" vertical="bottom"/>
    </xf>
    <xf numFmtId="169" fontId="23" fillId="4" borderId="8" applyAlignment="1" pivotButton="0" quotePrefix="0" xfId="0">
      <alignment horizontal="general" vertical="bottom"/>
    </xf>
    <xf numFmtId="169" fontId="28" fillId="4" borderId="17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4" borderId="7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9" fontId="30" fillId="4" borderId="14" applyAlignment="1" pivotButton="0" quotePrefix="0" xfId="0">
      <alignment horizontal="general" vertical="top"/>
    </xf>
    <xf numFmtId="0" fontId="29" fillId="4" borderId="9" applyAlignment="1" pivotButton="0" quotePrefix="0" xfId="0">
      <alignment horizontal="general" vertical="bottom"/>
    </xf>
    <xf numFmtId="165" fontId="30" fillId="4" borderId="0" applyAlignment="1" pivotButton="0" quotePrefix="0" xfId="0">
      <alignment horizontal="general" vertical="top"/>
    </xf>
    <xf numFmtId="0" fontId="28" fillId="4" borderId="0" applyAlignment="1" pivotButton="0" quotePrefix="0" xfId="0">
      <alignment horizontal="general" vertical="bottom"/>
    </xf>
    <xf numFmtId="170" fontId="23" fillId="4" borderId="0" applyAlignment="1" pivotButton="0" quotePrefix="0" xfId="0">
      <alignment horizontal="right" vertical="bottom"/>
    </xf>
    <xf numFmtId="170" fontId="27" fillId="6" borderId="8" applyAlignment="1" pivotButton="0" quotePrefix="0" xfId="0">
      <alignment horizontal="general" vertical="bottom"/>
    </xf>
    <xf numFmtId="170" fontId="27" fillId="6" borderId="10" applyAlignment="1" pivotButton="0" quotePrefix="0" xfId="0">
      <alignment horizontal="general" vertical="bottom"/>
    </xf>
    <xf numFmtId="170" fontId="27" fillId="6" borderId="17" applyAlignment="1" pivotButton="0" quotePrefix="0" xfId="0">
      <alignment horizontal="general" vertical="bottom"/>
    </xf>
    <xf numFmtId="165" fontId="23" fillId="4" borderId="8" applyAlignment="1" pivotButton="0" quotePrefix="0" xfId="0">
      <alignment horizontal="general" vertical="bottom"/>
    </xf>
    <xf numFmtId="165" fontId="28" fillId="4" borderId="17" applyAlignment="1" pivotButton="0" quotePrefix="0" xfId="0">
      <alignment horizontal="general" vertical="bottom"/>
    </xf>
    <xf numFmtId="165" fontId="30" fillId="4" borderId="14" applyAlignment="1" pivotButton="0" quotePrefix="0" xfId="0">
      <alignment horizontal="general" vertical="top"/>
    </xf>
    <xf numFmtId="165" fontId="23" fillId="0" borderId="10" applyAlignment="1" pivotButton="0" quotePrefix="0" xfId="0">
      <alignment horizontal="general" vertical="bottom"/>
    </xf>
    <xf numFmtId="9" fontId="27" fillId="5" borderId="10" applyAlignment="1" pivotButton="0" quotePrefix="0" xfId="19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4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32" fillId="4" borderId="9" applyAlignment="1" pivotButton="0" quotePrefix="0" xfId="0">
      <alignment horizontal="general" vertical="bottom"/>
    </xf>
    <xf numFmtId="0" fontId="32" fillId="4" borderId="0" applyAlignment="1" pivotButton="0" quotePrefix="0" xfId="0">
      <alignment horizontal="center" vertical="bottom"/>
    </xf>
    <xf numFmtId="0" fontId="33" fillId="4" borderId="0" applyAlignment="1" pivotButton="0" quotePrefix="0" xfId="0">
      <alignment horizontal="right" vertical="bottom"/>
    </xf>
    <xf numFmtId="0" fontId="33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0" fontId="21" fillId="4" borderId="7" applyAlignment="1" pivotButton="0" quotePrefix="0" xfId="0">
      <alignment horizontal="general" vertical="bottom"/>
    </xf>
    <xf numFmtId="168" fontId="23" fillId="6" borderId="10" applyAlignment="1" pivotButton="0" quotePrefix="0" xfId="0">
      <alignment horizontal="right" vertical="bottom"/>
    </xf>
    <xf numFmtId="0" fontId="21" fillId="4" borderId="9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1" fontId="34" fillId="4" borderId="0" applyAlignment="1" pivotButton="0" quotePrefix="0" xfId="0">
      <alignment horizontal="center" vertical="bottom"/>
    </xf>
    <xf numFmtId="170" fontId="23" fillId="5" borderId="10" applyAlignment="1" pivotButton="0" quotePrefix="0" xfId="0">
      <alignment horizontal="right" vertical="bottom"/>
    </xf>
    <xf numFmtId="170" fontId="34" fillId="4" borderId="0" applyAlignment="1" pivotButton="0" quotePrefix="0" xfId="0">
      <alignment horizontal="center" vertical="bottom"/>
    </xf>
    <xf numFmtId="168" fontId="23" fillId="5" borderId="10" applyAlignment="1" pivotButton="0" quotePrefix="0" xfId="0">
      <alignment horizontal="right" vertical="bottom"/>
    </xf>
    <xf numFmtId="168" fontId="23" fillId="4" borderId="10" applyAlignment="1" pivotButton="0" quotePrefix="0" xfId="0">
      <alignment horizontal="general" vertical="bottom"/>
    </xf>
    <xf numFmtId="169" fontId="27" fillId="4" borderId="8" applyAlignment="1" pivotButton="0" quotePrefix="0" xfId="0">
      <alignment horizontal="general" vertical="bottom"/>
    </xf>
    <xf numFmtId="170" fontId="16" fillId="4" borderId="0" applyAlignment="1" pivotButton="0" quotePrefix="0" xfId="0">
      <alignment horizontal="center" vertical="bottom"/>
    </xf>
    <xf numFmtId="0" fontId="35" fillId="4" borderId="0" applyAlignment="1" pivotButton="0" quotePrefix="0" xfId="0">
      <alignment horizontal="general" vertical="bottom"/>
    </xf>
    <xf numFmtId="172" fontId="23" fillId="0" borderId="10" applyAlignment="1" pivotButton="0" quotePrefix="0" xfId="0">
      <alignment horizontal="general" vertical="bottom"/>
    </xf>
    <xf numFmtId="0" fontId="36" fillId="4" borderId="0" applyAlignment="1" pivotButton="0" quotePrefix="0" xfId="0">
      <alignment horizontal="center" vertical="bottom"/>
    </xf>
    <xf numFmtId="173" fontId="27" fillId="5" borderId="10" applyAlignment="1" pivotButton="0" quotePrefix="0" xfId="0">
      <alignment horizontal="general" vertical="bottom"/>
    </xf>
    <xf numFmtId="169" fontId="27" fillId="0" borderId="8" applyAlignment="1" pivotButton="0" quotePrefix="0" xfId="0">
      <alignment horizontal="general" vertical="bottom"/>
    </xf>
    <xf numFmtId="174" fontId="27" fillId="6" borderId="10" applyAlignment="1" pivotButton="0" quotePrefix="0" xfId="0">
      <alignment horizontal="center" vertical="bottom"/>
    </xf>
    <xf numFmtId="169" fontId="27" fillId="0" borderId="18" applyAlignment="1" pivotButton="0" quotePrefix="0" xfId="0">
      <alignment horizontal="general" vertical="bottom"/>
    </xf>
    <xf numFmtId="175" fontId="27" fillId="6" borderId="10" applyAlignment="1" pivotButton="0" quotePrefix="0" xfId="19">
      <alignment horizontal="center" vertical="bottom"/>
    </xf>
    <xf numFmtId="169" fontId="27" fillId="0" borderId="6" applyAlignment="1" pivotButton="0" quotePrefix="0" xfId="0">
      <alignment horizontal="general" vertical="bottom"/>
    </xf>
    <xf numFmtId="169" fontId="27" fillId="0" borderId="14" applyAlignment="1" pivotButton="0" quotePrefix="0" xfId="0">
      <alignment horizontal="general" vertical="bottom"/>
    </xf>
    <xf numFmtId="170" fontId="27" fillId="5" borderId="10" applyAlignment="1" pivotButton="0" quotePrefix="0" xfId="0">
      <alignment horizontal="general" vertical="bottom"/>
    </xf>
    <xf numFmtId="172" fontId="23" fillId="0" borderId="10" applyAlignment="1" pivotButton="0" quotePrefix="0" xfId="15">
      <alignment horizontal="general" vertical="bottom"/>
    </xf>
    <xf numFmtId="176" fontId="0" fillId="4" borderId="0" applyAlignment="1" pivotButton="0" quotePrefix="0" xfId="0">
      <alignment horizontal="general" vertical="bottom"/>
    </xf>
    <xf numFmtId="175" fontId="27" fillId="5" borderId="10" applyAlignment="1" pivotButton="0" quotePrefix="0" xfId="19">
      <alignment horizontal="right" vertical="bottom"/>
    </xf>
    <xf numFmtId="169" fontId="27" fillId="0" borderId="14" applyAlignment="1" pivotButton="0" quotePrefix="0" xfId="0">
      <alignment horizontal="right" vertical="bottom"/>
    </xf>
    <xf numFmtId="170" fontId="27" fillId="0" borderId="10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bottom"/>
    </xf>
    <xf numFmtId="172" fontId="23" fillId="6" borderId="10" applyAlignment="1" pivotButton="0" quotePrefix="0" xfId="15">
      <alignment horizontal="general" vertical="bottom"/>
    </xf>
    <xf numFmtId="0" fontId="38" fillId="7" borderId="1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39" fillId="4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general" vertical="bottom"/>
    </xf>
    <xf numFmtId="0" fontId="39" fillId="4" borderId="0" applyAlignment="1" pivotButton="0" quotePrefix="0" xfId="0">
      <alignment horizontal="center" vertical="bottom"/>
    </xf>
    <xf numFmtId="0" fontId="39" fillId="4" borderId="9" applyAlignment="1" pivotButton="0" quotePrefix="0" xfId="0">
      <alignment horizontal="general" vertical="bottom"/>
    </xf>
    <xf numFmtId="0" fontId="39" fillId="4" borderId="7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4" fillId="4" borderId="7" applyAlignment="1" pivotButton="0" quotePrefix="0" xfId="0">
      <alignment horizontal="general" vertical="bottom"/>
    </xf>
    <xf numFmtId="0" fontId="24" fillId="4" borderId="9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4" borderId="0" applyAlignment="1" pivotButton="0" quotePrefix="0" xfId="0">
      <alignment horizontal="general" vertical="bottom"/>
    </xf>
    <xf numFmtId="0" fontId="41" fillId="4" borderId="7" applyAlignment="1" pivotButton="0" quotePrefix="0" xfId="0">
      <alignment horizontal="general" vertical="bottom"/>
    </xf>
    <xf numFmtId="0" fontId="42" fillId="4" borderId="0" applyAlignment="1" pivotButton="0" quotePrefix="0" xfId="0">
      <alignment horizontal="general" vertical="bottom"/>
    </xf>
    <xf numFmtId="165" fontId="22" fillId="4" borderId="0" applyAlignment="1" pivotButton="0" quotePrefix="0" xfId="0">
      <alignment horizontal="general" vertical="bottom"/>
    </xf>
    <xf numFmtId="165" fontId="22" fillId="0" borderId="10" applyAlignment="1" pivotButton="0" quotePrefix="0" xfId="0">
      <alignment horizontal="general" vertical="bottom"/>
    </xf>
    <xf numFmtId="0" fontId="40" fillId="4" borderId="9" applyAlignment="1" pivotButton="0" quotePrefix="0" xfId="0">
      <alignment horizontal="general" vertical="bottom"/>
    </xf>
    <xf numFmtId="165" fontId="40" fillId="4" borderId="0" applyAlignment="1" pivotButton="0" quotePrefix="0" xfId="0">
      <alignment horizontal="general" vertical="bottom"/>
    </xf>
    <xf numFmtId="0" fontId="16" fillId="4" borderId="12" applyAlignment="1" pivotButton="0" quotePrefix="0" xfId="0">
      <alignment horizontal="right" vertical="bottom"/>
    </xf>
    <xf numFmtId="0" fontId="38" fillId="4" borderId="0" applyAlignment="1" pivotButton="0" quotePrefix="0" xfId="0">
      <alignment horizontal="left" vertical="bottom"/>
    </xf>
    <xf numFmtId="0" fontId="33" fillId="0" borderId="0" applyAlignment="1" pivotButton="0" quotePrefix="0" xfId="0">
      <alignment horizontal="general" vertical="bottom"/>
    </xf>
    <xf numFmtId="0" fontId="33" fillId="4" borderId="0" applyAlignment="1" pivotButton="0" quotePrefix="0" xfId="0">
      <alignment horizontal="general" vertical="bottom"/>
    </xf>
    <xf numFmtId="0" fontId="33" fillId="4" borderId="7" applyAlignment="1" pivotButton="0" quotePrefix="0" xfId="0">
      <alignment horizontal="general" vertical="bottom"/>
    </xf>
    <xf numFmtId="0" fontId="33" fillId="4" borderId="9" applyAlignment="1" pivotButton="0" quotePrefix="0" xfId="0">
      <alignment horizontal="general" vertical="bottom"/>
    </xf>
    <xf numFmtId="0" fontId="43" fillId="4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23" fillId="4" borderId="7" applyAlignment="1" pivotButton="0" quotePrefix="0" xfId="0">
      <alignment horizontal="general" vertical="bottom"/>
    </xf>
    <xf numFmtId="0" fontId="23" fillId="4" borderId="9" applyAlignment="1" pivotButton="0" quotePrefix="0" xfId="0">
      <alignment horizontal="general" vertical="bottom"/>
    </xf>
    <xf numFmtId="0" fontId="44" fillId="4" borderId="0" applyAlignment="1" pivotButton="0" quotePrefix="0" xfId="0">
      <alignment horizontal="general" vertical="bottom"/>
    </xf>
    <xf numFmtId="170" fontId="22" fillId="4" borderId="0" applyAlignment="1" pivotButton="0" quotePrefix="0" xfId="0">
      <alignment horizontal="right" vertical="bottom"/>
    </xf>
    <xf numFmtId="166" fontId="23" fillId="0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5" fontId="42" fillId="4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5" fillId="4" borderId="7" applyAlignment="1" pivotButton="0" quotePrefix="0" xfId="0">
      <alignment horizontal="general" vertical="bottom"/>
    </xf>
    <xf numFmtId="0" fontId="46" fillId="4" borderId="0" applyAlignment="1" pivotButton="0" quotePrefix="0" xfId="0">
      <alignment horizontal="general" vertical="bottom"/>
    </xf>
    <xf numFmtId="0" fontId="45" fillId="4" borderId="9" applyAlignment="1" pivotButton="0" quotePrefix="0" xfId="0">
      <alignment horizontal="general" vertical="bottom"/>
    </xf>
    <xf numFmtId="165" fontId="23" fillId="0" borderId="10" applyAlignment="1" pivotButton="0" quotePrefix="0" xfId="17">
      <alignment horizontal="general" vertical="bottom"/>
    </xf>
    <xf numFmtId="177" fontId="23" fillId="0" borderId="10" applyAlignment="1" pivotButton="0" quotePrefix="0" xfId="17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4" applyAlignment="1" pivotButton="0" quotePrefix="0" xfId="0">
      <alignment horizontal="general" vertical="bottom"/>
    </xf>
    <xf numFmtId="0" fontId="47" fillId="4" borderId="5" applyAlignment="1" pivotButton="0" quotePrefix="0" xfId="0">
      <alignment horizontal="general" vertical="bottom"/>
    </xf>
    <xf numFmtId="0" fontId="47" fillId="4" borderId="6" applyAlignment="1" pivotButton="0" quotePrefix="0" xfId="0">
      <alignment horizontal="general" vertical="bottom"/>
    </xf>
    <xf numFmtId="0" fontId="47" fillId="4" borderId="7" applyAlignment="1" pivotButton="0" quotePrefix="0" xfId="0">
      <alignment horizontal="general" vertical="bottom"/>
    </xf>
    <xf numFmtId="0" fontId="47" fillId="4" borderId="9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48" fillId="4" borderId="7" applyAlignment="1" pivotButton="0" quotePrefix="0" xfId="0">
      <alignment horizontal="general" vertical="bottom"/>
    </xf>
    <xf numFmtId="0" fontId="48" fillId="4" borderId="9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36" fillId="4" borderId="0" applyAlignment="1" pivotButton="0" quotePrefix="0" xfId="0">
      <alignment horizontal="general" vertical="bottom"/>
    </xf>
    <xf numFmtId="0" fontId="36" fillId="4" borderId="7" applyAlignment="1" pivotButton="0" quotePrefix="0" xfId="0">
      <alignment horizontal="general" vertical="bottom"/>
    </xf>
    <xf numFmtId="0" fontId="49" fillId="4" borderId="0" applyAlignment="1" pivotButton="0" quotePrefix="0" xfId="0">
      <alignment horizontal="center" vertical="bottom"/>
    </xf>
    <xf numFmtId="0" fontId="36" fillId="4" borderId="9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left" vertical="bottom"/>
    </xf>
    <xf numFmtId="168" fontId="50" fillId="4" borderId="0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right" vertical="bottom"/>
    </xf>
    <xf numFmtId="168" fontId="50" fillId="4" borderId="0" applyAlignment="1" pivotButton="0" quotePrefix="0" xfId="0">
      <alignment horizontal="center" vertical="bottom"/>
    </xf>
    <xf numFmtId="168" fontId="50" fillId="4" borderId="0" applyAlignment="1" pivotButton="0" quotePrefix="0" xfId="0">
      <alignment horizontal="left" vertical="bottom"/>
    </xf>
    <xf numFmtId="169" fontId="52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center" vertical="bottom"/>
    </xf>
    <xf numFmtId="168" fontId="50" fillId="4" borderId="19" applyAlignment="1" pivotButton="0" quotePrefix="0" xfId="0">
      <alignment horizontal="left" vertical="bottom"/>
    </xf>
    <xf numFmtId="0" fontId="50" fillId="4" borderId="0" applyAlignment="1" pivotButton="0" quotePrefix="0" xfId="0">
      <alignment horizontal="general" vertical="bottom"/>
    </xf>
    <xf numFmtId="169" fontId="52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center" vertical="bottom"/>
    </xf>
    <xf numFmtId="168" fontId="51" fillId="4" borderId="0" applyAlignment="1" pivotButton="0" quotePrefix="0" xfId="0">
      <alignment horizontal="left" vertical="bottom"/>
    </xf>
    <xf numFmtId="168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3" fillId="0" borderId="0" applyAlignment="1" pivotButton="0" quotePrefix="0" xfId="0">
      <alignment horizontal="left" vertical="bottom"/>
    </xf>
    <xf numFmtId="168" fontId="53" fillId="4" borderId="0" applyAlignment="1" pivotButton="0" quotePrefix="0" xfId="0">
      <alignment horizontal="left" vertical="bottom"/>
    </xf>
    <xf numFmtId="168" fontId="53" fillId="4" borderId="7" applyAlignment="1" pivotButton="0" quotePrefix="0" xfId="0">
      <alignment horizontal="left" vertical="bottom"/>
    </xf>
    <xf numFmtId="168" fontId="54" fillId="4" borderId="0" applyAlignment="1" pivotButton="0" quotePrefix="0" xfId="0">
      <alignment horizontal="left" vertical="bottom"/>
    </xf>
    <xf numFmtId="169" fontId="54" fillId="4" borderId="0" applyAlignment="1" pivotButton="0" quotePrefix="0" xfId="0">
      <alignment horizontal="left" vertical="bottom"/>
    </xf>
    <xf numFmtId="168" fontId="53" fillId="4" borderId="9" applyAlignment="1" pivotButton="0" quotePrefix="0" xfId="0">
      <alignment horizontal="left" vertical="bottom"/>
    </xf>
    <xf numFmtId="169" fontId="55" fillId="4" borderId="0" applyAlignment="1" pivotButton="0" quotePrefix="0" xfId="0">
      <alignment horizontal="general" vertical="bottom"/>
    </xf>
    <xf numFmtId="168" fontId="50" fillId="4" borderId="19" applyAlignment="1" pivotButton="0" quotePrefix="0" xfId="0">
      <alignment horizontal="general" vertical="bottom"/>
    </xf>
    <xf numFmtId="175" fontId="56" fillId="4" borderId="0" applyAlignment="1" pivotButton="0" quotePrefix="0" xfId="0">
      <alignment horizontal="general" vertical="bottom"/>
    </xf>
    <xf numFmtId="169" fontId="56" fillId="4" borderId="0" applyAlignment="1" pivotButton="0" quotePrefix="0" xfId="0">
      <alignment horizontal="general" vertical="bottom"/>
    </xf>
    <xf numFmtId="0" fontId="50" fillId="4" borderId="19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75" fontId="56" fillId="4" borderId="19" applyAlignment="1" pivotButton="0" quotePrefix="0" xfId="0">
      <alignment horizontal="general" vertical="bottom"/>
    </xf>
    <xf numFmtId="179" fontId="50" fillId="4" borderId="19" applyAlignment="1" pivotButton="0" quotePrefix="0" xfId="0">
      <alignment horizontal="general" vertical="bottom"/>
    </xf>
    <xf numFmtId="169" fontId="51" fillId="4" borderId="10" applyAlignment="1" pivotButton="0" quotePrefix="0" xfId="0">
      <alignment horizontal="center" vertical="bottom"/>
    </xf>
    <xf numFmtId="169" fontId="51" fillId="4" borderId="18" applyAlignment="1" pivotButton="0" quotePrefix="0" xfId="0">
      <alignment horizontal="center" vertical="bottom"/>
    </xf>
    <xf numFmtId="0" fontId="57" fillId="4" borderId="0" applyAlignment="1" pivotButton="0" quotePrefix="0" xfId="0">
      <alignment horizontal="general" vertical="bottom"/>
    </xf>
    <xf numFmtId="168" fontId="51" fillId="4" borderId="20" applyAlignment="1" pivotButton="0" quotePrefix="0" xfId="0">
      <alignment horizontal="center" vertical="bottom"/>
    </xf>
    <xf numFmtId="172" fontId="51" fillId="4" borderId="10" applyAlignment="1" pivotButton="0" quotePrefix="0" xfId="0">
      <alignment horizontal="general" vertical="bottom"/>
    </xf>
    <xf numFmtId="175" fontId="51" fillId="4" borderId="18" applyAlignment="1" pivotButton="0" quotePrefix="0" xfId="0">
      <alignment horizontal="center" vertical="bottom"/>
    </xf>
    <xf numFmtId="168" fontId="51" fillId="4" borderId="11" applyAlignment="1" pivotButton="0" quotePrefix="0" xfId="0">
      <alignment horizontal="center" vertical="bottom"/>
    </xf>
    <xf numFmtId="172" fontId="51" fillId="4" borderId="14" applyAlignment="1" pivotButton="0" quotePrefix="0" xfId="0">
      <alignment horizontal="general" vertical="bottom"/>
    </xf>
    <xf numFmtId="175" fontId="51" fillId="4" borderId="13" applyAlignment="1" pivotButton="0" quotePrefix="0" xfId="0">
      <alignment horizontal="center" vertical="bottom"/>
    </xf>
    <xf numFmtId="180" fontId="51" fillId="4" borderId="11" applyAlignment="1" pivotButton="0" quotePrefix="0" xfId="0">
      <alignment horizontal="general" vertical="center"/>
    </xf>
    <xf numFmtId="168" fontId="51" fillId="4" borderId="2" applyAlignment="1" pivotButton="0" quotePrefix="0" xfId="0">
      <alignment horizontal="left" vertical="center"/>
    </xf>
    <xf numFmtId="168" fontId="51" fillId="4" borderId="18" applyAlignment="1" pivotButton="0" quotePrefix="0" xfId="0">
      <alignment horizontal="left" vertical="center"/>
    </xf>
    <xf numFmtId="178" fontId="50" fillId="4" borderId="0" applyAlignment="1" pivotButton="0" quotePrefix="0" xfId="0">
      <alignment horizontal="general" vertical="bottom"/>
    </xf>
    <xf numFmtId="0" fontId="47" fillId="4" borderId="11" applyAlignment="1" pivotButton="0" quotePrefix="0" xfId="0">
      <alignment horizontal="general" vertical="bottom"/>
    </xf>
    <xf numFmtId="168" fontId="58" fillId="4" borderId="12" applyAlignment="1" pivotButton="0" quotePrefix="0" xfId="0">
      <alignment horizontal="center" vertical="center"/>
    </xf>
    <xf numFmtId="180" fontId="58" fillId="4" borderId="12" applyAlignment="1" pivotButton="0" quotePrefix="0" xfId="0">
      <alignment horizontal="general" vertical="center"/>
    </xf>
    <xf numFmtId="168" fontId="58" fillId="4" borderId="12" applyAlignment="1" pivotButton="0" quotePrefix="0" xfId="0">
      <alignment horizontal="left" vertical="center"/>
    </xf>
    <xf numFmtId="168" fontId="58" fillId="4" borderId="12" applyAlignment="1" pivotButton="0" quotePrefix="0" xfId="0">
      <alignment horizontal="general" vertical="bottom"/>
    </xf>
    <xf numFmtId="178" fontId="59" fillId="4" borderId="12" applyAlignment="1" pivotButton="0" quotePrefix="0" xfId="0">
      <alignment horizontal="general" vertical="bottom"/>
    </xf>
    <xf numFmtId="0" fontId="47" fillId="4" borderId="13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center" vertical="bottom"/>
    </xf>
    <xf numFmtId="18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left" vertical="bottom"/>
    </xf>
    <xf numFmtId="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0" fontId="60" fillId="0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center" vertical="bottom"/>
    </xf>
    <xf numFmtId="0" fontId="62" fillId="0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center" vertical="bottom"/>
    </xf>
    <xf numFmtId="0" fontId="63" fillId="0" borderId="0" applyAlignment="1" pivotButton="0" quotePrefix="0" xfId="0">
      <alignment horizontal="general" vertical="bottom"/>
    </xf>
    <xf numFmtId="0" fontId="63" fillId="4" borderId="0" applyAlignment="1" pivotButton="0" quotePrefix="0" xfId="0">
      <alignment horizontal="general" vertical="bottom"/>
    </xf>
    <xf numFmtId="178" fontId="64" fillId="8" borderId="10" applyAlignment="1" pivotButton="0" quotePrefix="0" xfId="0">
      <alignment horizontal="center" vertical="bottom"/>
    </xf>
    <xf numFmtId="178" fontId="47" fillId="4" borderId="0" applyAlignment="1" pivotButton="0" quotePrefix="0" xfId="0">
      <alignment horizontal="general" vertical="bottom"/>
    </xf>
    <xf numFmtId="178" fontId="48" fillId="7" borderId="21" applyAlignment="1" pivotButton="0" quotePrefix="0" xfId="0">
      <alignment horizontal="left" vertical="bottom"/>
    </xf>
    <xf numFmtId="181" fontId="48" fillId="7" borderId="22" applyAlignment="1" pivotButton="0" quotePrefix="0" xfId="0">
      <alignment horizontal="right" vertical="bottom"/>
    </xf>
    <xf numFmtId="181" fontId="48" fillId="7" borderId="23" applyAlignment="1" pivotButton="0" quotePrefix="0" xfId="0">
      <alignment horizontal="right" vertical="bottom"/>
    </xf>
    <xf numFmtId="0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right" vertical="bottom"/>
    </xf>
    <xf numFmtId="181" fontId="48" fillId="7" borderId="0" applyAlignment="1" pivotButton="0" quotePrefix="0" xfId="0">
      <alignment horizontal="right" vertical="bottom"/>
    </xf>
    <xf numFmtId="181" fontId="48" fillId="7" borderId="25" applyAlignment="1" pivotButton="0" quotePrefix="0" xfId="0">
      <alignment horizontal="right" vertical="bottom"/>
    </xf>
    <xf numFmtId="0" fontId="48" fillId="7" borderId="0" applyAlignment="1" pivotButton="0" quotePrefix="0" xfId="0">
      <alignment horizontal="general" vertical="bottom"/>
    </xf>
    <xf numFmtId="168" fontId="48" fillId="7" borderId="0" applyAlignment="1" pivotButton="0" quotePrefix="0" xfId="0">
      <alignment horizontal="general" vertical="bottom"/>
    </xf>
    <xf numFmtId="168" fontId="48" fillId="7" borderId="25" applyAlignment="1" pivotButton="0" quotePrefix="0" xfId="0">
      <alignment horizontal="general" vertical="bottom"/>
    </xf>
    <xf numFmtId="178" fontId="48" fillId="7" borderId="24" applyAlignment="1" pivotButton="0" quotePrefix="0" xfId="0">
      <alignment horizontal="left" vertical="bottom"/>
    </xf>
    <xf numFmtId="0" fontId="48" fillId="7" borderId="25" applyAlignment="1" pivotButton="0" quotePrefix="0" xfId="0">
      <alignment horizontal="general" vertical="bottom"/>
    </xf>
    <xf numFmtId="178" fontId="62" fillId="7" borderId="24" applyAlignment="1" pivotButton="0" quotePrefix="0" xfId="0">
      <alignment horizontal="left" vertical="bottom"/>
    </xf>
    <xf numFmtId="168" fontId="48" fillId="7" borderId="24" applyAlignment="1" pivotButton="0" quotePrefix="0" xfId="0">
      <alignment horizontal="left" vertical="bottom"/>
    </xf>
    <xf numFmtId="183" fontId="48" fillId="7" borderId="0" applyAlignment="1" pivotButton="0" quotePrefix="0" xfId="0">
      <alignment horizontal="general" vertical="bottom"/>
    </xf>
    <xf numFmtId="180" fontId="48" fillId="7" borderId="0" applyAlignment="1" pivotButton="0" quotePrefix="0" xfId="0">
      <alignment horizontal="general" vertical="bottom"/>
    </xf>
    <xf numFmtId="168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general" vertical="bottom"/>
    </xf>
    <xf numFmtId="183" fontId="48" fillId="7" borderId="26" applyAlignment="1" pivotButton="0" quotePrefix="0" xfId="0">
      <alignment horizontal="general" vertical="bottom"/>
    </xf>
    <xf numFmtId="168" fontId="62" fillId="7" borderId="27" applyAlignment="1" pivotButton="0" quotePrefix="0" xfId="0">
      <alignment horizontal="general" vertical="bottom"/>
    </xf>
    <xf numFmtId="182" fontId="48" fillId="7" borderId="19" applyAlignment="1" pivotButton="0" quotePrefix="0" xfId="0">
      <alignment horizontal="general" vertical="bottom"/>
    </xf>
    <xf numFmtId="183" fontId="48" fillId="7" borderId="28" applyAlignment="1" pivotButton="0" quotePrefix="0" xfId="0">
      <alignment horizontal="general" vertical="bottom"/>
    </xf>
    <xf numFmtId="0" fontId="62" fillId="4" borderId="29" applyAlignment="1" pivotButton="0" quotePrefix="0" xfId="0">
      <alignment horizontal="center" vertical="bottom"/>
    </xf>
    <xf numFmtId="0" fontId="62" fillId="4" borderId="30" applyAlignment="1" pivotButton="0" quotePrefix="0" xfId="0">
      <alignment horizontal="center" vertical="bottom"/>
    </xf>
    <xf numFmtId="0" fontId="62" fillId="4" borderId="31" applyAlignment="1" pivotButton="0" quotePrefix="0" xfId="0">
      <alignment horizontal="center" vertical="bottom"/>
    </xf>
    <xf numFmtId="0" fontId="48" fillId="4" borderId="0" applyAlignment="1" pivotButton="0" quotePrefix="0" xfId="0">
      <alignment horizontal="center" vertical="bottom"/>
    </xf>
    <xf numFmtId="168" fontId="48" fillId="4" borderId="0" applyAlignment="1" pivotButton="0" quotePrefix="0" xfId="17">
      <alignment horizontal="general" vertical="bottom"/>
    </xf>
    <xf numFmtId="168" fontId="48" fillId="4" borderId="0" applyAlignment="1" pivotButton="0" quotePrefix="0" xfId="0">
      <alignment horizontal="general" vertical="bottom"/>
    </xf>
    <xf numFmtId="183" fontId="48" fillId="4" borderId="29" applyAlignment="1" pivotButton="0" quotePrefix="0" xfId="0">
      <alignment horizontal="general" vertical="bottom"/>
    </xf>
    <xf numFmtId="183" fontId="48" fillId="4" borderId="26" applyAlignment="1" pivotButton="0" quotePrefix="0" xfId="0">
      <alignment horizontal="general" vertical="bottom"/>
    </xf>
    <xf numFmtId="10" fontId="48" fillId="4" borderId="0" applyAlignment="1" pivotButton="0" quotePrefix="0" xfId="0">
      <alignment horizontal="general" vertical="bottom"/>
    </xf>
  </cellXfs>
  <cellStyles count="45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alc Currency (0)" xfId="6"/>
    <cellStyle name="Calc Currency (2)" xfId="7"/>
    <cellStyle name="Calc Percent (0)" xfId="8"/>
    <cellStyle name="Calc Percent (1)" xfId="9"/>
    <cellStyle name="Calc Percent (2)" xfId="10"/>
    <cellStyle name="Calc Units (0)" xfId="11"/>
    <cellStyle name="Calc Units (1)" xfId="12"/>
    <cellStyle name="Calc Units (2)" xfId="13"/>
    <cellStyle name="Comma [00]" xfId="14"/>
    <cellStyle name="Currency [00]" xfId="15"/>
    <cellStyle name="Date Short" xfId="16"/>
    <cellStyle name="DELTA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Grey" xfId="23"/>
    <cellStyle name="Header1" xfId="24"/>
    <cellStyle name="Header2" xfId="25"/>
    <cellStyle name="Hyperlink 1" xfId="26"/>
    <cellStyle name="Input [yellow]" xfId="27"/>
    <cellStyle name="Link Currency (0)" xfId="28"/>
    <cellStyle name="Link Currency (2)" xfId="29"/>
    <cellStyle name="Link Units (0)" xfId="30"/>
    <cellStyle name="Link Units (1)" xfId="31"/>
    <cellStyle name="Link Units (2)" xfId="32"/>
    <cellStyle name="Normal - Style1" xfId="33"/>
    <cellStyle name="Percent [00]" xfId="34"/>
    <cellStyle name="Percent [0]" xfId="35"/>
    <cellStyle name="Percent [2]" xfId="36"/>
    <cellStyle name="PrePop Currency (0)" xfId="37"/>
    <cellStyle name="PrePop Currency (2)" xfId="38"/>
    <cellStyle name="PrePop Units (0)" xfId="39"/>
    <cellStyle name="PrePop Units (1)" xfId="40"/>
    <cellStyle name="PrePop Units (2)" xfId="41"/>
    <cellStyle name="Text Indent A" xfId="42"/>
    <cellStyle name="Text Indent B" xfId="43"/>
    <cellStyle name="Text Indent C" xfId="4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Unknown Author</author>
  </authors>
  <commentList>
    <comment ref="D10" authorId="0" shapeId="0">
      <text>
        <t>Select Boxes with a Triangle in the corner to read comments describing the contents to be entered into the box, or describing the meaning of the box.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F8" authorId="0" shapeId="0">
      <text>
        <t>This is the Base Bid Systems Price Without Options</t>
      </text>
    </comment>
    <comment ref="F17" authorId="0" shapeId="0">
      <text>
        <t>Use 40% if Actual Rate Is Not Known</t>
      </text>
    </comment>
    <comment ref="F19" authorId="0" shapeId="0">
      <text>
        <t>This is the Customers Minimum Required Rate of Return For Projects</t>
      </text>
    </comment>
    <comment ref="F21" authorId="0" shapeId="0">
      <text>
        <t>Enter "5" or "7" for the duration in years of the evaluation</t>
      </text>
    </comment>
    <comment ref="F23" authorId="0" shapeId="0">
      <text>
        <t>This is the Interest Rate The Customer Pays For Funds</t>
      </text>
    </comment>
    <comment ref="F25" authorId="0" shapeId="0">
      <text>
        <t>This is The Maximum Amount of Time The Customer is Willing to Wait For Their Payback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F32" authorId="0" shapeId="0">
      <text>
        <t>Burdened Rates.  Includes Benefits, Overhead, Etc...</t>
      </text>
    </comment>
    <comment ref="F42" authorId="0" shapeId="0">
      <text>
        <t>Use 5% if Actual Rate is Not Known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H10" authorId="0" shapeId="0">
      <text>
        <t>Burdened Rate Includes Benefits, Overhead, Etc...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G37" authorId="0" shapeId="0">
      <text>
        <t>Net Present Value is The Value Of Future Cash Flows Today.</t>
      </text>
    </comment>
    <comment ref="H37" authorId="0" shapeId="0">
      <text>
        <t xml:space="preserve">Internal Rate of Return is when  the net initial investment cash outflows = the present value of the incremental net cash inflows
</t>
      </text>
    </comment>
    <comment ref="H40" authorId="0" shapeId="0">
      <text>
        <t xml:space="preserve">The Payback Period is the amount of time it takes to recoupe our initial investment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9296875" defaultRowHeight="18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U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9296875" defaultRowHeight="18.75" zeroHeight="0" outlineLevelRow="0"/>
  <cols>
    <col width="2.77" customWidth="1" style="316" min="1" max="3"/>
    <col width="81.77" customWidth="1" style="316" min="5" max="5"/>
    <col width="3.55" customWidth="1" style="316" min="6" max="6"/>
    <col width="2.77" customWidth="1" style="316" min="7" max="7"/>
  </cols>
  <sheetData>
    <row r="1" ht="18.75" customHeight="1" s="317">
      <c r="A1" s="318" t="n"/>
      <c r="B1" s="318" t="n"/>
      <c r="C1" s="318" t="n"/>
      <c r="D1" s="318" t="n"/>
      <c r="E1" s="318" t="n"/>
      <c r="F1" s="318" t="n"/>
      <c r="G1" s="318" t="n"/>
      <c r="H1" s="318" t="n"/>
      <c r="I1" s="318" t="n"/>
      <c r="J1" s="318" t="n"/>
      <c r="K1" s="318" t="n"/>
      <c r="L1" s="318" t="n"/>
      <c r="M1" s="318" t="n"/>
      <c r="N1" s="318" t="n"/>
      <c r="O1" s="318" t="n"/>
      <c r="P1" s="318" t="n"/>
      <c r="Q1" s="318" t="n"/>
      <c r="R1" s="318" t="n"/>
      <c r="S1" s="318" t="n"/>
      <c r="T1" s="318" t="n"/>
      <c r="U1" s="318" t="n"/>
    </row>
    <row r="2" ht="19.5" customHeight="1" s="317">
      <c r="A2" s="318" t="n"/>
      <c r="B2" s="318" t="n"/>
      <c r="C2" s="318" t="n"/>
      <c r="D2" s="318" t="n"/>
      <c r="E2" s="318" t="n"/>
      <c r="F2" s="318" t="n"/>
      <c r="G2" s="318" t="n"/>
      <c r="H2" s="318" t="n"/>
      <c r="I2" s="318" t="n"/>
      <c r="J2" s="318" t="n"/>
      <c r="K2" s="318" t="n"/>
      <c r="L2" s="318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9.5" customHeight="1" s="317">
      <c r="A3" s="318" t="n"/>
      <c r="B3" s="319" t="n"/>
      <c r="C3" s="320" t="n"/>
      <c r="D3" s="320" t="n"/>
      <c r="E3" s="320" t="n"/>
      <c r="F3" s="321" t="n"/>
      <c r="G3" s="318" t="n"/>
      <c r="H3" s="318" t="n"/>
      <c r="I3" s="318" t="n"/>
      <c r="J3" s="318" t="n"/>
      <c r="K3" s="318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</row>
    <row r="4" ht="20.25" customHeight="1" s="317">
      <c r="A4" s="318" t="n"/>
      <c r="B4" s="322" t="n"/>
      <c r="C4" s="323" t="inlineStr">
        <is>
          <t>Go Through The Entire Workbook, Sheet By Sheet and Enter Data Using The Following Rules:</t>
        </is>
      </c>
      <c r="D4" s="324" t="n"/>
      <c r="E4" s="325" t="n"/>
      <c r="F4" s="326" t="n"/>
      <c r="G4" s="318" t="n"/>
      <c r="H4" s="318" t="n"/>
      <c r="I4" s="318" t="n"/>
      <c r="J4" s="318" t="n"/>
      <c r="K4" s="318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</row>
    <row r="5" ht="19.5" customHeight="1" s="317">
      <c r="A5" s="318" t="n"/>
      <c r="B5" s="322" t="n"/>
      <c r="C5" s="322" t="n"/>
      <c r="D5" s="318" t="n"/>
      <c r="E5" s="326" t="n"/>
      <c r="F5" s="326" t="n"/>
      <c r="G5" s="318" t="n"/>
      <c r="H5" s="318" t="n"/>
      <c r="I5" s="318" t="n"/>
      <c r="J5" s="318" t="n"/>
      <c r="K5" s="318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</row>
    <row r="6" ht="23.25" customHeight="1" s="317">
      <c r="A6" s="318" t="n"/>
      <c r="B6" s="322" t="n"/>
      <c r="C6" s="322" t="n"/>
      <c r="D6" s="327" t="n"/>
      <c r="E6" s="326" t="inlineStr">
        <is>
          <t xml:space="preserve"> - You Must Enter Data In The Light Green Boxes</t>
        </is>
      </c>
      <c r="F6" s="326" t="n"/>
      <c r="G6" s="318" t="n"/>
      <c r="H6" s="318" t="n"/>
      <c r="I6" s="318" t="n"/>
      <c r="J6" s="318" t="n"/>
      <c r="K6" s="318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</row>
    <row r="7" ht="19.5" customHeight="1" s="317">
      <c r="A7" s="318" t="n"/>
      <c r="B7" s="322" t="n"/>
      <c r="C7" s="322" t="n"/>
      <c r="D7" s="318" t="n"/>
      <c r="E7" s="326" t="n"/>
      <c r="F7" s="326" t="n"/>
      <c r="G7" s="318" t="n"/>
      <c r="H7" s="318" t="n"/>
      <c r="I7" s="318" t="n"/>
      <c r="J7" s="318" t="n"/>
      <c r="K7" s="318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</row>
    <row r="8" ht="23.25" customHeight="1" s="317">
      <c r="A8" s="318" t="n"/>
      <c r="B8" s="322" t="n"/>
      <c r="C8" s="322" t="n"/>
      <c r="D8" s="328" t="n"/>
      <c r="E8" s="326" t="inlineStr">
        <is>
          <t xml:space="preserve"> - You Can Enter Data (or Replace Data) In The Light Yellow Boxes</t>
        </is>
      </c>
      <c r="F8" s="326" t="n"/>
      <c r="G8" s="318" t="n"/>
      <c r="H8" s="318" t="n"/>
      <c r="I8" s="318" t="n"/>
      <c r="J8" s="318" t="n"/>
      <c r="K8" s="318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</row>
    <row r="9" ht="19.5" customHeight="1" s="317">
      <c r="A9" s="318" t="n"/>
      <c r="B9" s="322" t="n"/>
      <c r="C9" s="322" t="n"/>
      <c r="D9" s="318" t="n"/>
      <c r="E9" s="326" t="n"/>
      <c r="F9" s="326" t="n"/>
      <c r="G9" s="318" t="n"/>
      <c r="H9" s="318" t="n"/>
      <c r="I9" s="318" t="n"/>
      <c r="J9" s="318" t="n"/>
      <c r="K9" s="318" t="n"/>
      <c r="L9" s="318" t="n"/>
      <c r="M9" s="318" t="n"/>
      <c r="N9" s="318" t="n"/>
      <c r="O9" s="318" t="n"/>
      <c r="P9" s="318" t="n"/>
      <c r="Q9" s="318" t="n"/>
      <c r="R9" s="318" t="n"/>
      <c r="S9" s="318" t="n"/>
      <c r="T9" s="318" t="n"/>
      <c r="U9" s="318" t="n"/>
    </row>
    <row r="10" ht="23.25" customHeight="1" s="317">
      <c r="A10" s="318" t="n"/>
      <c r="B10" s="322" t="n"/>
      <c r="C10" s="322" t="n"/>
      <c r="D10" s="329" t="n"/>
      <c r="E10" s="326" t="inlineStr">
        <is>
          <t xml:space="preserve"> - The Fields With No Shading Are Automatically Calculated - DO NOT ENTER DATA!</t>
        </is>
      </c>
      <c r="F10" s="326" t="n"/>
      <c r="G10" s="318" t="n"/>
      <c r="H10" s="318" t="n"/>
      <c r="I10" s="318" t="n"/>
      <c r="J10" s="318" t="n"/>
      <c r="K10" s="318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</row>
    <row r="11" ht="19.5" customHeight="1" s="317">
      <c r="A11" s="318" t="n"/>
      <c r="B11" s="322" t="n"/>
      <c r="C11" s="330" t="n"/>
      <c r="D11" s="331" t="n"/>
      <c r="E11" s="332" t="n"/>
      <c r="F11" s="326" t="n"/>
      <c r="G11" s="318" t="n"/>
      <c r="H11" s="318" t="n"/>
      <c r="I11" s="318" t="n"/>
      <c r="J11" s="318" t="n"/>
      <c r="K11" s="318" t="n"/>
      <c r="L11" s="318" t="n"/>
      <c r="M11" s="318" t="n"/>
      <c r="N11" s="318" t="n"/>
      <c r="O11" s="318" t="n"/>
      <c r="P11" s="318" t="n"/>
      <c r="Q11" s="318" t="n"/>
      <c r="R11" s="318" t="n"/>
      <c r="S11" s="318" t="n"/>
      <c r="T11" s="318" t="n"/>
      <c r="U11" s="318" t="n"/>
    </row>
    <row r="12" ht="19.5" customHeight="1" s="317">
      <c r="A12" s="318" t="n"/>
      <c r="B12" s="330" t="n"/>
      <c r="C12" s="331" t="n"/>
      <c r="D12" s="331" t="n"/>
      <c r="E12" s="331" t="n"/>
      <c r="F12" s="332" t="n"/>
      <c r="G12" s="318" t="n"/>
      <c r="H12" s="318" t="n"/>
      <c r="I12" s="318" t="n"/>
      <c r="J12" s="318" t="n"/>
      <c r="K12" s="318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</row>
    <row r="13" ht="18.75" customHeight="1" s="317">
      <c r="A13" s="318" t="n"/>
      <c r="B13" s="318" t="n"/>
      <c r="C13" s="318" t="n"/>
      <c r="D13" s="318" t="n"/>
      <c r="E13" s="318" t="n"/>
      <c r="F13" s="318" t="n"/>
      <c r="G13" s="318" t="n"/>
      <c r="H13" s="318" t="n"/>
      <c r="I13" s="318" t="n"/>
      <c r="J13" s="318" t="n"/>
      <c r="K13" s="318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</row>
    <row r="14" ht="18.75" customHeight="1" s="317">
      <c r="A14" s="318" t="n"/>
      <c r="B14" s="318" t="n"/>
      <c r="C14" s="318" t="n"/>
      <c r="D14" s="318" t="n"/>
      <c r="E14" s="318" t="n"/>
      <c r="F14" s="318" t="n"/>
      <c r="G14" s="318" t="n"/>
      <c r="H14" s="318" t="n"/>
      <c r="I14" s="318" t="n"/>
      <c r="J14" s="318" t="n"/>
      <c r="K14" s="318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</row>
    <row r="15" ht="18.75" customHeight="1" s="317">
      <c r="A15" s="318" t="n"/>
      <c r="B15" s="318" t="n"/>
      <c r="C15" s="318" t="n"/>
      <c r="D15" s="318" t="n"/>
      <c r="E15" s="318" t="n"/>
      <c r="F15" s="318" t="n"/>
      <c r="G15" s="318" t="n"/>
      <c r="H15" s="318" t="n"/>
      <c r="I15" s="318" t="n"/>
      <c r="J15" s="318" t="n"/>
      <c r="K15" s="318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</row>
    <row r="16" ht="18.75" customHeight="1" s="317">
      <c r="A16" s="318" t="n"/>
      <c r="B16" s="318" t="n"/>
      <c r="C16" s="318" t="n"/>
      <c r="D16" s="318" t="n"/>
      <c r="E16" s="318" t="n"/>
      <c r="F16" s="318" t="n"/>
      <c r="G16" s="318" t="n"/>
      <c r="H16" s="318" t="n"/>
      <c r="I16" s="318" t="n"/>
      <c r="J16" s="318" t="n"/>
      <c r="K16" s="318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</row>
    <row r="17" ht="19.5" customHeight="1" s="317">
      <c r="A17" s="318" t="n"/>
      <c r="B17" s="318" t="n"/>
      <c r="C17" s="318" t="n"/>
      <c r="D17" s="318" t="n"/>
      <c r="E17" s="318" t="n"/>
      <c r="F17" s="318" t="n"/>
      <c r="G17" s="318" t="n"/>
      <c r="H17" s="318" t="n"/>
      <c r="I17" s="318" t="n"/>
      <c r="J17" s="318" t="n"/>
      <c r="K17" s="318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</row>
    <row r="18" ht="22.5" customHeight="1" s="317">
      <c r="A18" s="318" t="n"/>
      <c r="B18" s="318" t="n"/>
      <c r="C18" s="333" t="inlineStr">
        <is>
          <t>If You Don't Know An Exact Value For A Field Put In Your Best</t>
        </is>
      </c>
      <c r="D18" s="324" t="n"/>
      <c r="E18" s="325" t="n"/>
      <c r="F18" s="318" t="n"/>
      <c r="G18" s="318" t="n"/>
      <c r="H18" s="318" t="n"/>
      <c r="I18" s="318" t="n"/>
      <c r="J18" s="318" t="n"/>
      <c r="K18" s="318" t="n"/>
      <c r="L18" s="318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</row>
    <row r="19" ht="23.25" customHeight="1" s="317">
      <c r="A19" s="318" t="n"/>
      <c r="B19" s="318" t="n"/>
      <c r="C19" s="334" t="inlineStr">
        <is>
          <t>Estimate, Then Let The Customer Update It If Necessary</t>
        </is>
      </c>
      <c r="D19" s="335" t="n"/>
      <c r="E19" s="336" t="n"/>
      <c r="F19" s="318" t="n"/>
      <c r="G19" s="318" t="n"/>
      <c r="H19" s="318" t="n"/>
      <c r="I19" s="318" t="n"/>
      <c r="J19" s="318" t="n"/>
      <c r="K19" s="318" t="n"/>
      <c r="L19" s="318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</row>
    <row r="20" ht="18.75" customHeight="1" s="317">
      <c r="A20" s="318" t="n"/>
      <c r="B20" s="318" t="n"/>
      <c r="C20" s="318" t="n"/>
      <c r="D20" s="318" t="n"/>
      <c r="E20" s="318" t="n"/>
      <c r="F20" s="318" t="n"/>
      <c r="G20" s="318" t="n"/>
      <c r="H20" s="318" t="n"/>
      <c r="I20" s="318" t="n"/>
      <c r="J20" s="318" t="n"/>
      <c r="K20" s="318" t="n"/>
      <c r="L20" s="318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</row>
    <row r="21" ht="18.75" customHeight="1" s="317">
      <c r="A21" s="318" t="n"/>
      <c r="B21" s="318" t="n"/>
      <c r="C21" s="318" t="n"/>
      <c r="D21" s="318" t="n"/>
      <c r="E21" s="318" t="n"/>
      <c r="F21" s="318" t="n"/>
      <c r="G21" s="318" t="n"/>
      <c r="H21" s="318" t="n"/>
      <c r="I21" s="318" t="n"/>
      <c r="J21" s="318" t="n"/>
      <c r="K21" s="318" t="n"/>
      <c r="L21" s="318" t="n"/>
      <c r="M21" s="318" t="n"/>
      <c r="N21" s="318" t="n"/>
      <c r="O21" s="318" t="n"/>
      <c r="P21" s="318" t="n"/>
      <c r="Q21" s="318" t="n"/>
      <c r="R21" s="318" t="n"/>
      <c r="S21" s="318" t="n"/>
      <c r="T21" s="318" t="n"/>
      <c r="U21" s="318" t="n"/>
    </row>
    <row r="22" ht="18.75" customHeight="1" s="317">
      <c r="A22" s="318" t="n"/>
      <c r="B22" s="318" t="n"/>
      <c r="C22" s="318" t="n"/>
      <c r="D22" s="318" t="n"/>
      <c r="E22" s="318" t="n"/>
      <c r="F22" s="318" t="n"/>
      <c r="G22" s="318" t="n"/>
      <c r="H22" s="318" t="n"/>
      <c r="I22" s="318" t="n"/>
      <c r="J22" s="318" t="n"/>
      <c r="K22" s="318" t="n"/>
      <c r="L22" s="318" t="n"/>
      <c r="M22" s="318" t="n"/>
      <c r="N22" s="318" t="n"/>
      <c r="O22" s="318" t="n"/>
      <c r="P22" s="318" t="n"/>
      <c r="Q22" s="318" t="n"/>
      <c r="R22" s="318" t="n"/>
      <c r="S22" s="318" t="n"/>
      <c r="T22" s="318" t="n"/>
      <c r="U22" s="318" t="n"/>
    </row>
    <row r="23" ht="18.75" customHeight="1" s="317">
      <c r="A23" s="318" t="n"/>
      <c r="B23" s="318" t="n"/>
      <c r="C23" s="318" t="n"/>
      <c r="D23" s="318" t="n"/>
      <c r="E23" s="318" t="n"/>
      <c r="F23" s="318" t="n"/>
      <c r="G23" s="318" t="n"/>
      <c r="H23" s="318" t="n"/>
      <c r="I23" s="318" t="n"/>
      <c r="J23" s="318" t="n"/>
      <c r="K23" s="318" t="n"/>
      <c r="L23" s="318" t="n"/>
      <c r="M23" s="318" t="n"/>
      <c r="N23" s="318" t="n"/>
      <c r="O23" s="318" t="n"/>
      <c r="P23" s="318" t="n"/>
      <c r="Q23" s="318" t="n"/>
      <c r="R23" s="318" t="n"/>
      <c r="S23" s="318" t="n"/>
      <c r="T23" s="318" t="n"/>
      <c r="U23" s="318" t="n"/>
    </row>
    <row r="24" ht="18.75" customHeight="1" s="317">
      <c r="A24" s="318" t="n"/>
      <c r="B24" s="318" t="n"/>
      <c r="C24" s="318" t="n"/>
      <c r="D24" s="318" t="n"/>
      <c r="E24" s="318" t="n"/>
      <c r="F24" s="318" t="n"/>
      <c r="G24" s="318" t="n"/>
      <c r="H24" s="318" t="n"/>
      <c r="I24" s="318" t="n"/>
      <c r="J24" s="318" t="n"/>
      <c r="K24" s="318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</row>
    <row r="25" ht="18.75" customHeight="1" s="317">
      <c r="A25" s="318" t="n"/>
      <c r="B25" s="318" t="n"/>
      <c r="C25" s="318" t="n"/>
      <c r="D25" s="318" t="n"/>
      <c r="E25" s="318" t="n"/>
      <c r="F25" s="318" t="n"/>
      <c r="G25" s="318" t="n"/>
      <c r="H25" s="318" t="n"/>
      <c r="I25" s="318" t="n"/>
      <c r="J25" s="318" t="n"/>
      <c r="K25" s="318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</row>
    <row r="26" ht="18.75" customHeight="1" s="317">
      <c r="A26" s="318" t="n"/>
      <c r="B26" s="318" t="n"/>
      <c r="C26" s="318" t="n"/>
      <c r="D26" s="318" t="n"/>
      <c r="E26" s="318" t="n"/>
      <c r="F26" s="318" t="n"/>
      <c r="G26" s="318" t="n"/>
      <c r="H26" s="318" t="n"/>
      <c r="I26" s="318" t="n"/>
      <c r="J26" s="318" t="n"/>
      <c r="K26" s="318" t="n"/>
      <c r="L26" s="318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</row>
    <row r="27" ht="18.75" customHeight="1" s="317">
      <c r="A27" s="318" t="n"/>
      <c r="B27" s="318" t="n"/>
      <c r="C27" s="318" t="n"/>
      <c r="D27" s="318" t="n"/>
      <c r="E27" s="318" t="n"/>
      <c r="F27" s="318" t="n"/>
      <c r="G27" s="318" t="n"/>
      <c r="H27" s="318" t="n"/>
      <c r="I27" s="318" t="n"/>
      <c r="J27" s="318" t="n"/>
      <c r="K27" s="318" t="n"/>
      <c r="L27" s="318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</row>
    <row r="28" ht="18.75" customHeight="1" s="317">
      <c r="A28" s="318" t="n"/>
      <c r="B28" s="318" t="n"/>
      <c r="C28" s="318" t="n"/>
      <c r="D28" s="318" t="n"/>
      <c r="E28" s="318" t="n"/>
      <c r="F28" s="318" t="n"/>
      <c r="G28" s="318" t="n"/>
      <c r="H28" s="318" t="n"/>
      <c r="I28" s="318" t="n"/>
      <c r="J28" s="318" t="n"/>
      <c r="K28" s="318" t="n"/>
      <c r="L28" s="318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</row>
    <row r="29" ht="18.75" customHeight="1" s="317">
      <c r="A29" s="318" t="n"/>
      <c r="B29" s="318" t="n"/>
      <c r="C29" s="318" t="n"/>
      <c r="D29" s="318" t="n"/>
      <c r="E29" s="318" t="n"/>
      <c r="F29" s="318" t="n"/>
      <c r="G29" s="318" t="n"/>
      <c r="H29" s="318" t="n"/>
      <c r="I29" s="318" t="n"/>
      <c r="J29" s="318" t="n"/>
      <c r="K29" s="318" t="n"/>
      <c r="L29" s="318" t="n"/>
      <c r="M29" s="318" t="n"/>
      <c r="N29" s="318" t="n"/>
      <c r="O29" s="318" t="n"/>
      <c r="P29" s="318" t="n"/>
      <c r="Q29" s="318" t="n"/>
      <c r="R29" s="318" t="n"/>
      <c r="S29" s="318" t="n"/>
      <c r="T29" s="318" t="n"/>
      <c r="U29" s="318" t="n"/>
    </row>
    <row r="30" ht="18.75" customHeight="1" s="317">
      <c r="A30" s="318" t="n"/>
      <c r="B30" s="318" t="n"/>
      <c r="C30" s="318" t="n"/>
      <c r="D30" s="318" t="n"/>
      <c r="E30" s="318" t="n"/>
      <c r="F30" s="318" t="n"/>
      <c r="G30" s="318" t="n"/>
      <c r="H30" s="318" t="n"/>
      <c r="I30" s="318" t="n"/>
      <c r="J30" s="318" t="n"/>
      <c r="K30" s="318" t="n"/>
      <c r="L30" s="318" t="n"/>
      <c r="M30" s="318" t="n"/>
    </row>
    <row r="31" ht="18.75" customHeight="1" s="317">
      <c r="A31" s="318" t="n"/>
      <c r="B31" s="318" t="n"/>
      <c r="C31" s="318" t="n"/>
      <c r="D31" s="318" t="n"/>
      <c r="E31" s="318" t="n"/>
      <c r="F31" s="318" t="n"/>
      <c r="G31" s="318" t="n"/>
      <c r="H31" s="318" t="n"/>
      <c r="I31" s="318" t="n"/>
      <c r="J31" s="318" t="n"/>
      <c r="K31" s="318" t="n"/>
      <c r="L31" s="318" t="n"/>
      <c r="M31" s="318" t="n"/>
    </row>
    <row r="32" ht="18.75" customHeight="1" s="317">
      <c r="A32" s="318" t="n"/>
      <c r="B32" s="318" t="n"/>
      <c r="C32" s="318" t="n"/>
      <c r="D32" s="318" t="n"/>
      <c r="E32" s="318" t="n"/>
      <c r="F32" s="318" t="n"/>
      <c r="G32" s="318" t="n"/>
      <c r="H32" s="318" t="n"/>
      <c r="I32" s="318" t="n"/>
      <c r="J32" s="318" t="n"/>
      <c r="K32" s="318" t="n"/>
      <c r="L32" s="318" t="n"/>
      <c r="M32" s="318" t="n"/>
    </row>
    <row r="33" ht="18.75" customHeight="1" s="317">
      <c r="A33" s="318" t="n"/>
      <c r="B33" s="318" t="n"/>
      <c r="C33" s="318" t="n"/>
      <c r="D33" s="318" t="n"/>
      <c r="E33" s="318" t="n"/>
      <c r="F33" s="318" t="n"/>
      <c r="G33" s="318" t="n"/>
      <c r="H33" s="318" t="n"/>
      <c r="I33" s="318" t="n"/>
      <c r="J33" s="318" t="n"/>
      <c r="K33" s="318" t="n"/>
      <c r="L33" s="318" t="n"/>
      <c r="M33" s="318" t="n"/>
    </row>
    <row r="34" ht="18.75" customHeight="1" s="317">
      <c r="A34" s="318" t="n"/>
      <c r="B34" s="318" t="n"/>
      <c r="C34" s="318" t="n"/>
      <c r="D34" s="318" t="n"/>
      <c r="E34" s="318" t="n"/>
      <c r="F34" s="318" t="n"/>
      <c r="G34" s="318" t="n"/>
      <c r="H34" s="318" t="n"/>
      <c r="I34" s="318" t="n"/>
      <c r="J34" s="318" t="n"/>
      <c r="K34" s="318" t="n"/>
      <c r="L34" s="318" t="n"/>
      <c r="M34" s="318" t="n"/>
    </row>
    <row r="35" ht="18.75" customHeight="1" s="317">
      <c r="A35" s="318" t="n"/>
      <c r="B35" s="318" t="n"/>
      <c r="C35" s="318" t="n"/>
      <c r="D35" s="318" t="n"/>
      <c r="E35" s="318" t="n"/>
      <c r="F35" s="318" t="n"/>
      <c r="G35" s="318" t="n"/>
      <c r="H35" s="318" t="n"/>
      <c r="I35" s="318" t="n"/>
      <c r="J35" s="318" t="n"/>
      <c r="K35" s="318" t="n"/>
      <c r="L35" s="318" t="n"/>
      <c r="M35" s="318" t="n"/>
    </row>
    <row r="36" ht="18.75" customHeight="1" s="317">
      <c r="A36" s="318" t="n"/>
      <c r="B36" s="318" t="n"/>
      <c r="C36" s="318" t="n"/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 t="n"/>
      <c r="M36" s="318" t="n"/>
    </row>
    <row r="37" ht="18.75" customHeight="1" s="317">
      <c r="A37" s="318" t="n"/>
      <c r="B37" s="318" t="n"/>
      <c r="C37" s="318" t="n"/>
      <c r="D37" s="318" t="n"/>
      <c r="E37" s="318" t="n"/>
      <c r="F37" s="318" t="n"/>
      <c r="G37" s="318" t="n"/>
      <c r="H37" s="318" t="n"/>
      <c r="I37" s="318" t="n"/>
      <c r="J37" s="318" t="n"/>
      <c r="K37" s="318" t="n"/>
      <c r="L37" s="318" t="n"/>
      <c r="M37" s="318" t="n"/>
    </row>
    <row r="38" ht="18.75" customHeight="1" s="317">
      <c r="A38" s="318" t="n"/>
      <c r="B38" s="318" t="n"/>
      <c r="C38" s="318" t="n"/>
      <c r="D38" s="318" t="n"/>
      <c r="E38" s="318" t="n"/>
      <c r="F38" s="318" t="n"/>
      <c r="G38" s="318" t="n"/>
      <c r="H38" s="318" t="n"/>
      <c r="I38" s="318" t="n"/>
      <c r="J38" s="318" t="n"/>
      <c r="K38" s="318" t="n"/>
      <c r="L38" s="318" t="n"/>
      <c r="M38" s="318" t="n"/>
    </row>
    <row r="39" ht="18.75" customHeight="1" s="317">
      <c r="A39" s="318" t="n"/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</row>
    <row r="40" ht="18.75" customHeight="1" s="317">
      <c r="A40" s="318" t="n"/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</row>
    <row r="41" ht="18.75" customHeight="1" s="317">
      <c r="A41" s="318" t="n"/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</row>
    <row r="42" ht="18.75" customHeight="1" s="317">
      <c r="A42" s="318" t="n"/>
      <c r="B42" s="318" t="n"/>
      <c r="C42" s="318" t="n"/>
      <c r="D42" s="318" t="n"/>
      <c r="E42" s="318" t="n"/>
      <c r="F42" s="318" t="n"/>
      <c r="G42" s="318" t="n"/>
      <c r="H42" s="318" t="n"/>
      <c r="I42" s="318" t="n"/>
      <c r="J42" s="318" t="n"/>
      <c r="K42" s="318" t="n"/>
      <c r="L42" s="318" t="n"/>
      <c r="M42" s="318" t="n"/>
    </row>
    <row r="43" ht="18.75" customHeight="1" s="317">
      <c r="A43" s="318" t="n"/>
      <c r="B43" s="318" t="n"/>
      <c r="C43" s="318" t="n"/>
      <c r="D43" s="318" t="n"/>
      <c r="E43" s="318" t="n"/>
      <c r="F43" s="318" t="n"/>
      <c r="G43" s="318" t="n"/>
      <c r="H43" s="318" t="n"/>
      <c r="I43" s="318" t="n"/>
      <c r="J43" s="318" t="n"/>
      <c r="K43" s="318" t="n"/>
      <c r="L43" s="318" t="n"/>
      <c r="M43" s="318" t="n"/>
    </row>
    <row r="44" ht="18.75" customHeight="1" s="317">
      <c r="A44" s="318" t="n"/>
      <c r="B44" s="318" t="n"/>
      <c r="C44" s="318" t="n"/>
      <c r="D44" s="318" t="n"/>
      <c r="E44" s="318" t="n"/>
      <c r="F44" s="318" t="n"/>
      <c r="G44" s="318" t="n"/>
      <c r="H44" s="318" t="n"/>
      <c r="I44" s="318" t="n"/>
      <c r="J44" s="318" t="n"/>
      <c r="K44" s="318" t="n"/>
      <c r="L44" s="318" t="n"/>
      <c r="M44" s="318" t="n"/>
    </row>
    <row r="45" ht="18.75" customHeight="1" s="317">
      <c r="A45" s="318" t="n"/>
      <c r="B45" s="318" t="n"/>
      <c r="C45" s="318" t="n"/>
      <c r="D45" s="318" t="n"/>
      <c r="E45" s="318" t="n"/>
      <c r="F45" s="318" t="n"/>
      <c r="G45" s="318" t="n"/>
      <c r="H45" s="318" t="n"/>
      <c r="I45" s="318" t="n"/>
      <c r="J45" s="318" t="n"/>
      <c r="K45" s="318" t="n"/>
      <c r="L45" s="318" t="n"/>
      <c r="M45" s="318" t="n"/>
    </row>
    <row r="46" ht="18.75" customHeight="1" s="317">
      <c r="A46" s="318" t="n"/>
      <c r="B46" s="318" t="n"/>
      <c r="C46" s="318" t="n"/>
      <c r="D46" s="318" t="n"/>
      <c r="E46" s="318" t="n"/>
      <c r="F46" s="318" t="n"/>
      <c r="G46" s="318" t="n"/>
      <c r="H46" s="318" t="n"/>
      <c r="I46" s="318" t="n"/>
      <c r="J46" s="318" t="n"/>
      <c r="K46" s="318" t="n"/>
      <c r="L46" s="318" t="n"/>
      <c r="M46" s="318" t="n"/>
    </row>
    <row r="47" ht="18.75" customHeight="1" s="317">
      <c r="A47" s="318" t="n"/>
      <c r="B47" s="318" t="n"/>
      <c r="C47" s="318" t="n"/>
      <c r="D47" s="318" t="n"/>
      <c r="E47" s="318" t="n"/>
      <c r="F47" s="318" t="n"/>
      <c r="G47" s="318" t="n"/>
      <c r="H47" s="318" t="n"/>
      <c r="I47" s="318" t="n"/>
      <c r="J47" s="318" t="n"/>
      <c r="K47" s="318" t="n"/>
      <c r="L47" s="318" t="n"/>
      <c r="M47" s="318" t="n"/>
    </row>
    <row r="48" ht="18.75" customHeight="1" s="317">
      <c r="A48" s="318" t="n"/>
      <c r="B48" s="318" t="n"/>
      <c r="C48" s="318" t="n"/>
      <c r="D48" s="318" t="n"/>
      <c r="E48" s="318" t="n"/>
      <c r="F48" s="318" t="n"/>
      <c r="G48" s="318" t="n"/>
      <c r="H48" s="318" t="n"/>
      <c r="I48" s="318" t="n"/>
      <c r="J48" s="318" t="n"/>
      <c r="K48" s="318" t="n"/>
      <c r="L48" s="318" t="n"/>
      <c r="M48" s="318" t="n"/>
    </row>
    <row r="49" ht="18.75" customHeight="1" s="317">
      <c r="A49" s="318" t="n"/>
      <c r="B49" s="318" t="n"/>
      <c r="C49" s="318" t="n"/>
      <c r="D49" s="318" t="n"/>
      <c r="E49" s="318" t="n"/>
      <c r="F49" s="318" t="n"/>
      <c r="G49" s="318" t="n"/>
      <c r="H49" s="318" t="n"/>
      <c r="I49" s="318" t="n"/>
      <c r="J49" s="318" t="n"/>
      <c r="K49" s="318" t="n"/>
      <c r="L49" s="318" t="n"/>
      <c r="M49" s="318" t="n"/>
    </row>
    <row r="50" ht="18.75" customHeight="1" s="317">
      <c r="A50" s="318" t="n"/>
      <c r="B50" s="318" t="n"/>
      <c r="C50" s="318" t="n"/>
      <c r="D50" s="318" t="n"/>
      <c r="E50" s="318" t="n"/>
      <c r="F50" s="318" t="n"/>
      <c r="G50" s="318" t="n"/>
      <c r="H50" s="318" t="n"/>
      <c r="I50" s="318" t="n"/>
      <c r="J50" s="318" t="n"/>
      <c r="K50" s="318" t="n"/>
      <c r="L50" s="318" t="n"/>
      <c r="M50" s="318" t="n"/>
    </row>
    <row r="51" ht="18.75" customHeight="1" s="317">
      <c r="A51" s="318" t="n"/>
      <c r="B51" s="318" t="n"/>
      <c r="C51" s="318" t="n"/>
      <c r="D51" s="318" t="n"/>
      <c r="E51" s="318" t="n"/>
      <c r="F51" s="318" t="n"/>
      <c r="G51" s="318" t="n"/>
      <c r="H51" s="318" t="n"/>
      <c r="I51" s="318" t="n"/>
      <c r="J51" s="318" t="n"/>
      <c r="K51" s="318" t="n"/>
      <c r="L51" s="318" t="n"/>
      <c r="M51" s="318" t="n"/>
    </row>
    <row r="52" ht="18.75" customHeight="1" s="317">
      <c r="A52" s="318" t="n"/>
      <c r="B52" s="318" t="n"/>
      <c r="C52" s="318" t="n"/>
      <c r="D52" s="318" t="n"/>
      <c r="E52" s="318" t="n"/>
      <c r="F52" s="318" t="n"/>
      <c r="G52" s="318" t="n"/>
      <c r="H52" s="318" t="n"/>
      <c r="I52" s="318" t="n"/>
      <c r="J52" s="318" t="n"/>
      <c r="K52" s="318" t="n"/>
      <c r="L52" s="318" t="n"/>
      <c r="M52" s="318" t="n"/>
    </row>
    <row r="53" ht="18.75" customHeight="1" s="317">
      <c r="A53" s="318" t="n"/>
      <c r="B53" s="318" t="n"/>
      <c r="C53" s="318" t="n"/>
      <c r="D53" s="318" t="n"/>
      <c r="E53" s="318" t="n"/>
      <c r="F53" s="318" t="n"/>
      <c r="G53" s="318" t="n"/>
      <c r="H53" s="318" t="n"/>
      <c r="I53" s="318" t="n"/>
      <c r="J53" s="318" t="n"/>
      <c r="K53" s="318" t="n"/>
      <c r="L53" s="318" t="n"/>
      <c r="M53" s="318" t="n"/>
    </row>
    <row r="54" ht="18.75" customHeight="1" s="317">
      <c r="A54" s="318" t="n"/>
      <c r="B54" s="318" t="n"/>
      <c r="C54" s="318" t="n"/>
      <c r="D54" s="318" t="n"/>
      <c r="E54" s="318" t="n"/>
      <c r="F54" s="318" t="n"/>
      <c r="G54" s="318" t="n"/>
      <c r="H54" s="318" t="n"/>
      <c r="I54" s="318" t="n"/>
      <c r="J54" s="318" t="n"/>
      <c r="K54" s="318" t="n"/>
      <c r="L54" s="318" t="n"/>
      <c r="M54" s="318" t="n"/>
    </row>
    <row r="55" ht="18.75" customHeight="1" s="317">
      <c r="A55" s="318" t="n"/>
      <c r="B55" s="318" t="n"/>
      <c r="C55" s="318" t="n"/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</row>
    <row r="56" ht="18.75" customHeight="1" s="317">
      <c r="A56" s="318" t="n"/>
      <c r="B56" s="318" t="n"/>
      <c r="C56" s="318" t="n"/>
      <c r="D56" s="318" t="n"/>
      <c r="E56" s="318" t="n"/>
      <c r="F56" s="318" t="n"/>
      <c r="G56" s="318" t="n"/>
      <c r="H56" s="318" t="n"/>
      <c r="I56" s="318" t="n"/>
      <c r="J56" s="318" t="n"/>
      <c r="K56" s="318" t="n"/>
      <c r="L56" s="318" t="n"/>
      <c r="M56" s="318" t="n"/>
    </row>
    <row r="57" ht="18.75" customHeight="1" s="317">
      <c r="A57" s="318" t="n"/>
      <c r="B57" s="318" t="n"/>
      <c r="C57" s="318" t="n"/>
      <c r="D57" s="318" t="n"/>
      <c r="E57" s="318" t="n"/>
      <c r="F57" s="318" t="n"/>
      <c r="G57" s="318" t="n"/>
      <c r="H57" s="318" t="n"/>
      <c r="I57" s="318" t="n"/>
      <c r="J57" s="318" t="n"/>
      <c r="K57" s="318" t="n"/>
      <c r="L57" s="318" t="n"/>
      <c r="M57" s="318" t="n"/>
    </row>
    <row r="58" ht="18.75" customHeight="1" s="317">
      <c r="A58" s="318" t="n"/>
      <c r="B58" s="318" t="n"/>
      <c r="C58" s="318" t="n"/>
      <c r="D58" s="318" t="n"/>
      <c r="E58" s="318" t="n"/>
      <c r="F58" s="318" t="n"/>
      <c r="G58" s="318" t="n"/>
      <c r="H58" s="318" t="n"/>
      <c r="I58" s="318" t="n"/>
      <c r="J58" s="318" t="n"/>
      <c r="K58" s="318" t="n"/>
      <c r="L58" s="318" t="n"/>
      <c r="M58" s="318" t="n"/>
    </row>
    <row r="59" ht="18.75" customHeight="1" s="317">
      <c r="A59" s="318" t="n"/>
      <c r="B59" s="318" t="n"/>
      <c r="C59" s="318" t="n"/>
      <c r="D59" s="318" t="n"/>
      <c r="E59" s="318" t="n"/>
      <c r="F59" s="318" t="n"/>
      <c r="G59" s="318" t="n"/>
      <c r="H59" s="318" t="n"/>
      <c r="I59" s="318" t="n"/>
      <c r="J59" s="318" t="n"/>
      <c r="K59" s="318" t="n"/>
      <c r="L59" s="318" t="n"/>
      <c r="M59" s="318" t="n"/>
    </row>
    <row r="60" ht="18.75" customHeight="1" s="317">
      <c r="A60" s="318" t="n"/>
      <c r="B60" s="318" t="n"/>
      <c r="C60" s="318" t="n"/>
      <c r="D60" s="318" t="n"/>
      <c r="E60" s="318" t="n"/>
      <c r="F60" s="318" t="n"/>
      <c r="G60" s="318" t="n"/>
      <c r="H60" s="318" t="n"/>
      <c r="I60" s="318" t="n"/>
      <c r="J60" s="318" t="n"/>
      <c r="K60" s="318" t="n"/>
      <c r="L60" s="318" t="n"/>
      <c r="M60" s="318" t="n"/>
    </row>
    <row r="61" ht="18.75" customHeight="1" s="317">
      <c r="A61" s="318" t="n"/>
      <c r="B61" s="318" t="n"/>
      <c r="C61" s="318" t="n"/>
      <c r="D61" s="318" t="n"/>
      <c r="E61" s="318" t="n"/>
      <c r="F61" s="318" t="n"/>
      <c r="G61" s="318" t="n"/>
      <c r="H61" s="318" t="n"/>
      <c r="I61" s="318" t="n"/>
      <c r="J61" s="318" t="n"/>
      <c r="K61" s="318" t="n"/>
      <c r="L61" s="318" t="n"/>
      <c r="M61" s="318" t="n"/>
    </row>
    <row r="62" ht="18.75" customHeight="1" s="317">
      <c r="A62" s="318" t="n"/>
      <c r="B62" s="318" t="n"/>
      <c r="C62" s="318" t="n"/>
      <c r="D62" s="318" t="n"/>
      <c r="E62" s="318" t="n"/>
      <c r="F62" s="318" t="n"/>
      <c r="G62" s="318" t="n"/>
      <c r="H62" s="318" t="n"/>
      <c r="I62" s="318" t="n"/>
      <c r="J62" s="318" t="n"/>
      <c r="K62" s="318" t="n"/>
      <c r="L62" s="318" t="n"/>
      <c r="M62" s="318" t="n"/>
    </row>
    <row r="63" ht="18.75" customHeight="1" s="317">
      <c r="A63" s="318" t="n"/>
      <c r="B63" s="318" t="n"/>
      <c r="C63" s="318" t="n"/>
      <c r="D63" s="318" t="n"/>
      <c r="E63" s="318" t="n"/>
      <c r="F63" s="318" t="n"/>
      <c r="G63" s="318" t="n"/>
      <c r="H63" s="318" t="n"/>
      <c r="I63" s="318" t="n"/>
      <c r="J63" s="318" t="n"/>
      <c r="K63" s="318" t="n"/>
      <c r="L63" s="318" t="n"/>
      <c r="M63" s="318" t="n"/>
    </row>
    <row r="64" ht="18.75" customHeight="1" s="317">
      <c r="A64" s="318" t="n"/>
      <c r="B64" s="318" t="n"/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8" t="n"/>
    </row>
    <row r="65" ht="18.75" customHeight="1" s="317">
      <c r="A65" s="318" t="n"/>
      <c r="B65" s="318" t="n"/>
      <c r="C65" s="318" t="n"/>
      <c r="D65" s="318" t="n"/>
      <c r="E65" s="318" t="n"/>
      <c r="F65" s="318" t="n"/>
      <c r="G65" s="318" t="n"/>
      <c r="H65" s="318" t="n"/>
      <c r="I65" s="318" t="n"/>
      <c r="J65" s="318" t="n"/>
      <c r="K65" s="318" t="n"/>
      <c r="L65" s="318" t="n"/>
      <c r="M65" s="318" t="n"/>
    </row>
    <row r="66" ht="18.75" customHeight="1" s="317">
      <c r="A66" s="318" t="n"/>
      <c r="B66" s="318" t="n"/>
      <c r="C66" s="318" t="n"/>
      <c r="D66" s="318" t="n"/>
      <c r="E66" s="318" t="n"/>
      <c r="F66" s="318" t="n"/>
      <c r="G66" s="318" t="n"/>
      <c r="H66" s="318" t="n"/>
      <c r="I66" s="318" t="n"/>
      <c r="J66" s="318" t="n"/>
      <c r="K66" s="318" t="n"/>
      <c r="L66" s="318" t="n"/>
      <c r="M66" s="318" t="n"/>
    </row>
    <row r="67" ht="18.75" customHeight="1" s="317">
      <c r="A67" s="318" t="n"/>
      <c r="B67" s="318" t="n"/>
      <c r="C67" s="318" t="n"/>
      <c r="D67" s="318" t="n"/>
      <c r="E67" s="318" t="n"/>
      <c r="F67" s="318" t="n"/>
      <c r="G67" s="318" t="n"/>
      <c r="H67" s="318" t="n"/>
      <c r="I67" s="318" t="n"/>
      <c r="J67" s="318" t="n"/>
      <c r="K67" s="318" t="n"/>
      <c r="L67" s="318" t="n"/>
      <c r="M67" s="318" t="n"/>
    </row>
    <row r="68" ht="18.75" customHeight="1" s="317">
      <c r="A68" s="318" t="n"/>
      <c r="B68" s="318" t="n"/>
      <c r="C68" s="318" t="n"/>
      <c r="D68" s="318" t="n"/>
      <c r="E68" s="318" t="n"/>
      <c r="F68" s="318" t="n"/>
      <c r="G68" s="318" t="n"/>
      <c r="H68" s="318" t="n"/>
      <c r="I68" s="318" t="n"/>
      <c r="J68" s="318" t="n"/>
      <c r="K68" s="318" t="n"/>
      <c r="L68" s="318" t="n"/>
      <c r="M68" s="318" t="n"/>
    </row>
    <row r="69" ht="18.75" customHeight="1" s="317">
      <c r="A69" s="318" t="n"/>
      <c r="B69" s="318" t="n"/>
      <c r="C69" s="318" t="n"/>
      <c r="D69" s="318" t="n"/>
      <c r="E69" s="318" t="n"/>
      <c r="F69" s="318" t="n"/>
      <c r="G69" s="318" t="n"/>
      <c r="H69" s="318" t="n"/>
      <c r="I69" s="318" t="n"/>
      <c r="J69" s="318" t="n"/>
      <c r="K69" s="318" t="n"/>
      <c r="L69" s="318" t="n"/>
      <c r="M69" s="318" t="n"/>
    </row>
    <row r="70" ht="18.75" customHeight="1" s="317">
      <c r="A70" s="318" t="n"/>
      <c r="B70" s="318" t="n"/>
      <c r="C70" s="318" t="n"/>
      <c r="D70" s="318" t="n"/>
      <c r="E70" s="318" t="n"/>
      <c r="F70" s="318" t="n"/>
      <c r="G70" s="318" t="n"/>
      <c r="H70" s="318" t="n"/>
      <c r="I70" s="318" t="n"/>
      <c r="J70" s="318" t="n"/>
      <c r="K70" s="318" t="n"/>
      <c r="L70" s="318" t="n"/>
      <c r="M70" s="318" t="n"/>
    </row>
    <row r="71" ht="18.75" customHeight="1" s="317">
      <c r="A71" s="318" t="n"/>
      <c r="B71" s="318" t="n"/>
      <c r="C71" s="318" t="n"/>
      <c r="D71" s="318" t="n"/>
      <c r="E71" s="318" t="n"/>
      <c r="F71" s="318" t="n"/>
      <c r="G71" s="318" t="n"/>
      <c r="H71" s="318" t="n"/>
      <c r="I71" s="318" t="n"/>
      <c r="J71" s="318" t="n"/>
      <c r="K71" s="318" t="n"/>
      <c r="L71" s="318" t="n"/>
      <c r="M71" s="318" t="n"/>
    </row>
    <row r="72" ht="18.75" customHeight="1" s="317">
      <c r="A72" s="318" t="n"/>
      <c r="B72" s="318" t="n"/>
      <c r="C72" s="318" t="n"/>
      <c r="D72" s="318" t="n"/>
      <c r="E72" s="318" t="n"/>
      <c r="F72" s="318" t="n"/>
      <c r="G72" s="318" t="n"/>
      <c r="H72" s="318" t="n"/>
      <c r="I72" s="318" t="n"/>
      <c r="J72" s="318" t="n"/>
      <c r="K72" s="318" t="n"/>
      <c r="L72" s="318" t="n"/>
      <c r="M72" s="318" t="n"/>
    </row>
  </sheetData>
  <mergeCells count="3">
    <mergeCell ref="C18:E18"/>
    <mergeCell ref="C4:E4"/>
    <mergeCell ref="C19:E19"/>
  </mergeCells>
  <printOptions horizontalCentered="1" verticalCentered="1" headings="0" gridLines="0" gridLinesSet="1"/>
  <pageMargins left="0.25" right="0.25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B71"/>
  <sheetViews>
    <sheetView showFormulas="0" showGridLines="1" showRowColHeaders="1" showZeros="1" rightToLeft="0" tabSelected="0" showOutlineSymbols="1" defaultGridColor="1" view="normal" topLeftCell="A1" colorId="64" zoomScale="74" zoomScaleNormal="74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" zeroHeight="0" outlineLevelRow="0"/>
  <cols>
    <col width="2.77" customWidth="1" style="337" min="1" max="1"/>
    <col width="2.77" customWidth="1" style="338" min="2" max="2"/>
    <col width="8.77" customWidth="1" style="338" min="3" max="3"/>
    <col width="72.77" customWidth="1" style="338" min="4" max="4"/>
    <col width="5.77" customWidth="1" style="338" min="5" max="5"/>
    <col width="15.66" customWidth="1" style="338" min="6" max="6"/>
    <col width="2.77" customWidth="1" style="338" min="7" max="8"/>
    <col width="27.44" customWidth="1" style="338" min="9" max="9"/>
    <col width="8.880000000000001" customWidth="1" style="338" min="10" max="257"/>
  </cols>
  <sheetData>
    <row r="1" ht="25.5" customFormat="1" customHeight="1" s="339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2" t="n"/>
    </row>
    <row r="2" ht="18.75" customFormat="1" customHeight="1" s="337"/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5" t="n"/>
      <c r="H3" s="337" t="n"/>
      <c r="I3" s="337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48" t="n"/>
      <c r="H4" s="337" t="n"/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48" t="n"/>
      <c r="H5" s="337" t="n"/>
      <c r="I5" s="337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Format="1" customHeight="1" s="338">
      <c r="A6" s="337" t="n"/>
      <c r="B6" s="346" t="n"/>
      <c r="C6" s="349" t="inlineStr">
        <is>
          <t>Financial Inputs</t>
        </is>
      </c>
      <c r="G6" s="348" t="inlineStr">
        <is>
          <t> </t>
        </is>
      </c>
      <c r="H6" s="337" t="n"/>
      <c r="I6" s="337" t="n"/>
      <c r="J6" s="337" t="n"/>
      <c r="K6" s="337" t="n"/>
      <c r="L6" s="337" t="n"/>
      <c r="M6" s="337" t="n"/>
      <c r="N6" s="337" t="n"/>
      <c r="O6" s="337" t="n"/>
      <c r="P6" s="337" t="n"/>
      <c r="Q6" s="337" t="n"/>
      <c r="R6" s="337" t="n"/>
      <c r="S6" s="337" t="n"/>
      <c r="T6" s="337" t="n"/>
      <c r="U6" s="337" t="n"/>
      <c r="V6" s="337" t="n"/>
      <c r="W6" s="337" t="n"/>
      <c r="X6" s="337" t="n"/>
      <c r="Y6" s="337" t="n"/>
      <c r="Z6" s="337" t="n"/>
      <c r="AA6" s="337" t="n"/>
      <c r="AB6" s="337" t="n"/>
    </row>
    <row r="7" ht="18.75" customHeight="1" s="317">
      <c r="B7" s="346" t="n"/>
      <c r="C7" s="350" t="n"/>
      <c r="D7" s="350" t="n"/>
      <c r="E7" s="318" t="n"/>
      <c r="F7" s="337" t="n"/>
      <c r="G7" s="348" t="n"/>
      <c r="H7" s="337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7" customFormat="1" customHeight="1" s="351">
      <c r="A8" s="352" t="n"/>
      <c r="B8" s="353" t="n"/>
      <c r="C8" s="354" t="inlineStr">
        <is>
          <t>Robotic System Investment</t>
        </is>
      </c>
      <c r="D8" s="355" t="n"/>
      <c r="E8" s="356" t="n"/>
      <c r="F8" s="357" t="n">
        <v>160000</v>
      </c>
      <c r="G8" s="348" t="n"/>
      <c r="H8" s="352" t="n"/>
      <c r="I8" s="352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  <c r="U8" s="352" t="n"/>
      <c r="V8" s="352" t="n"/>
      <c r="W8" s="352" t="n"/>
      <c r="X8" s="352" t="n"/>
      <c r="Y8" s="352" t="n"/>
      <c r="Z8" s="352" t="n"/>
      <c r="AA8" s="352" t="n"/>
      <c r="AB8" s="352" t="n"/>
    </row>
    <row r="9" ht="93" customHeight="1" s="317">
      <c r="B9" s="346" t="n"/>
      <c r="C9" s="358" t="n"/>
      <c r="D9" s="359" t="inlineStr">
        <is>
          <t>(Total system price including all robots, peripheral equipment, controls, engineering, build, set-up &amp; run-off at FANUC Robotics, and installation supervision at end users)</t>
        </is>
      </c>
      <c r="E9" s="356" t="n"/>
      <c r="F9" s="350" t="n"/>
      <c r="G9" s="348" t="n"/>
      <c r="H9" s="337" t="n"/>
      <c r="I9" s="337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23.25" customHeight="1" s="317">
      <c r="B10" s="346" t="n"/>
      <c r="C10" s="350" t="n"/>
      <c r="D10" s="350" t="n"/>
      <c r="E10" s="356" t="n"/>
      <c r="F10" s="350" t="n"/>
      <c r="G10" s="348" t="n"/>
      <c r="H10" s="337" t="n"/>
      <c r="I10" s="337" t="n"/>
      <c r="J10" s="337" t="n"/>
      <c r="K10" s="337" t="n"/>
      <c r="L10" s="337" t="n"/>
      <c r="M10" s="337" t="n"/>
      <c r="N10" s="337" t="n"/>
      <c r="O10" s="337" t="n"/>
      <c r="P10" s="337" t="n"/>
      <c r="Q10" s="337" t="n"/>
      <c r="R10" s="337" t="n"/>
      <c r="S10" s="337" t="n"/>
      <c r="T10" s="337" t="n"/>
      <c r="U10" s="337" t="n"/>
      <c r="V10" s="337" t="n"/>
      <c r="W10" s="337" t="n"/>
      <c r="X10" s="337" t="n"/>
      <c r="Y10" s="337" t="n"/>
      <c r="Z10" s="337" t="n"/>
      <c r="AA10" s="337" t="n"/>
      <c r="AB10" s="337" t="n"/>
    </row>
    <row r="11" ht="27" customFormat="1" customHeight="1" s="360">
      <c r="A11" s="361" t="n"/>
      <c r="B11" s="362" t="n"/>
      <c r="C11" s="354" t="inlineStr">
        <is>
          <t>Plant Startup Expenses (if not included in Robotic System Investment)</t>
        </is>
      </c>
      <c r="D11" s="354" t="n"/>
      <c r="E11" s="356" t="n"/>
      <c r="F11" s="354" t="n"/>
      <c r="G11" s="348" t="n"/>
      <c r="H11" s="361" t="n"/>
      <c r="I11" s="361" t="n"/>
      <c r="J11" s="361" t="n"/>
      <c r="K11" s="361" t="n"/>
      <c r="L11" s="361" t="n"/>
      <c r="M11" s="361" t="n"/>
      <c r="N11" s="361" t="n"/>
      <c r="O11" s="361" t="n"/>
      <c r="P11" s="361" t="n"/>
      <c r="Q11" s="361" t="n"/>
      <c r="R11" s="361" t="n"/>
      <c r="S11" s="361" t="n"/>
      <c r="T11" s="361" t="n"/>
      <c r="U11" s="361" t="n"/>
      <c r="V11" s="361" t="n"/>
      <c r="W11" s="361" t="n"/>
      <c r="X11" s="361" t="n"/>
      <c r="Y11" s="361" t="n"/>
      <c r="Z11" s="361" t="n"/>
      <c r="AA11" s="361" t="n"/>
      <c r="AB11" s="361" t="n"/>
    </row>
    <row r="12" ht="27" customFormat="1" customHeight="1" s="351">
      <c r="A12" s="352" t="n"/>
      <c r="B12" s="353" t="n"/>
      <c r="C12" s="355" t="n"/>
      <c r="D12" s="355" t="inlineStr">
        <is>
          <t>Installation</t>
        </is>
      </c>
      <c r="E12" s="356" t="n"/>
      <c r="F12" s="363" t="n">
        <v>5000</v>
      </c>
      <c r="G12" s="348" t="n"/>
      <c r="H12" s="352" t="n"/>
      <c r="I12" s="352" t="n"/>
      <c r="J12" s="352" t="n"/>
      <c r="K12" s="352" t="n"/>
      <c r="L12" s="352" t="n"/>
      <c r="M12" s="352" t="n"/>
      <c r="N12" s="352" t="n"/>
      <c r="O12" s="352" t="n"/>
      <c r="P12" s="352" t="n"/>
      <c r="Q12" s="352" t="n"/>
      <c r="R12" s="352" t="n"/>
      <c r="S12" s="352" t="n"/>
      <c r="T12" s="352" t="n"/>
      <c r="U12" s="352" t="n"/>
      <c r="V12" s="352" t="n"/>
      <c r="W12" s="352" t="n"/>
      <c r="X12" s="352" t="n"/>
      <c r="Y12" s="352" t="n"/>
      <c r="Z12" s="352" t="n"/>
      <c r="AA12" s="352" t="n"/>
      <c r="AB12" s="352" t="n"/>
    </row>
    <row r="13" ht="27" customFormat="1" customHeight="1" s="351">
      <c r="A13" s="352" t="n"/>
      <c r="B13" s="353" t="n"/>
      <c r="C13" s="355" t="n"/>
      <c r="D13" s="355" t="inlineStr">
        <is>
          <t>Robotic Systems Training</t>
        </is>
      </c>
      <c r="E13" s="356" t="n"/>
      <c r="F13" s="364" t="n">
        <v>0</v>
      </c>
      <c r="G13" s="348" t="n"/>
      <c r="H13" s="352" t="n"/>
      <c r="I13" s="352" t="n"/>
      <c r="J13" s="352" t="n"/>
      <c r="K13" s="352" t="n"/>
      <c r="L13" s="352" t="n"/>
      <c r="M13" s="352" t="n"/>
      <c r="N13" s="352" t="n"/>
      <c r="O13" s="352" t="n"/>
      <c r="P13" s="352" t="n"/>
      <c r="Q13" s="352" t="n"/>
      <c r="R13" s="352" t="n"/>
      <c r="S13" s="352" t="n"/>
      <c r="T13" s="352" t="n"/>
      <c r="U13" s="352" t="n"/>
      <c r="V13" s="352" t="n"/>
      <c r="W13" s="352" t="n"/>
      <c r="X13" s="352" t="n"/>
      <c r="Y13" s="352" t="n"/>
      <c r="Z13" s="352" t="n"/>
      <c r="AA13" s="352" t="n"/>
      <c r="AB13" s="352" t="n"/>
    </row>
    <row r="14" ht="27" customFormat="1" customHeight="1" s="351">
      <c r="A14" s="352" t="n"/>
      <c r="B14" s="353" t="n"/>
      <c r="C14" s="355" t="n"/>
      <c r="D14" s="355" t="inlineStr">
        <is>
          <t>Internal Labor for Startup and Debug</t>
        </is>
      </c>
      <c r="E14" s="356" t="n"/>
      <c r="F14" s="365" t="n">
        <v>2500</v>
      </c>
      <c r="G14" s="348" t="n"/>
      <c r="H14" s="352" t="n"/>
      <c r="I14" s="352" t="n"/>
      <c r="J14" s="352" t="n"/>
      <c r="K14" s="352" t="n"/>
      <c r="L14" s="352" t="n"/>
      <c r="M14" s="352" t="n"/>
      <c r="N14" s="352" t="n"/>
      <c r="O14" s="352" t="n"/>
      <c r="P14" s="352" t="n"/>
      <c r="Q14" s="352" t="n"/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</row>
    <row r="15" ht="27" customFormat="1" customHeight="1" s="351">
      <c r="A15" s="352" t="n"/>
      <c r="B15" s="353" t="n"/>
      <c r="C15" s="355" t="n"/>
      <c r="D15" s="355" t="inlineStr">
        <is>
          <t>Production Support/Service Contracts</t>
        </is>
      </c>
      <c r="E15" s="356" t="n"/>
      <c r="F15" s="364" t="n">
        <v>0</v>
      </c>
      <c r="G15" s="348" t="n"/>
      <c r="H15" s="352" t="n"/>
      <c r="I15" s="352" t="n"/>
      <c r="J15" s="352" t="n"/>
      <c r="K15" s="352" t="n"/>
      <c r="L15" s="352" t="n"/>
      <c r="M15" s="352" t="n"/>
      <c r="N15" s="352" t="n"/>
      <c r="O15" s="352" t="n"/>
      <c r="P15" s="352" t="n"/>
      <c r="Q15" s="352" t="n"/>
      <c r="R15" s="352" t="n"/>
      <c r="S15" s="352" t="n"/>
      <c r="T15" s="352" t="n"/>
      <c r="U15" s="352" t="n"/>
      <c r="V15" s="352" t="n"/>
      <c r="W15" s="352" t="n"/>
      <c r="X15" s="352" t="n"/>
      <c r="Y15" s="352" t="n"/>
      <c r="Z15" s="352" t="n"/>
      <c r="AA15" s="352" t="n"/>
      <c r="AB15" s="352" t="n"/>
    </row>
    <row r="16" ht="24" customHeight="1" s="317">
      <c r="B16" s="346" t="n"/>
      <c r="C16" s="350" t="n"/>
      <c r="D16" s="350" t="n"/>
      <c r="E16" s="356" t="n"/>
      <c r="F16" s="350" t="n"/>
      <c r="G16" s="348" t="n"/>
      <c r="H16" s="337" t="n"/>
      <c r="I16" s="337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</row>
    <row r="17" ht="27" customFormat="1" customHeight="1" s="351">
      <c r="A17" s="352" t="n"/>
      <c r="B17" s="353" t="n"/>
      <c r="C17" s="355" t="inlineStr">
        <is>
          <t>Combined State and Federal Income Tax Rate</t>
        </is>
      </c>
      <c r="D17" s="355" t="n"/>
      <c r="E17" s="356" t="n"/>
      <c r="F17" s="366" t="n">
        <v>0.35</v>
      </c>
      <c r="G17" s="348" t="n"/>
      <c r="H17" s="352" t="n"/>
      <c r="I17" s="352" t="n"/>
      <c r="J17" s="352" t="n"/>
      <c r="K17" s="352" t="n"/>
      <c r="L17" s="352" t="n"/>
      <c r="M17" s="352" t="n"/>
      <c r="N17" s="352" t="n"/>
      <c r="O17" s="352" t="n"/>
      <c r="P17" s="352" t="n"/>
      <c r="Q17" s="352" t="n"/>
      <c r="R17" s="352" t="n"/>
      <c r="S17" s="352" t="n"/>
      <c r="T17" s="352" t="n"/>
      <c r="U17" s="352" t="n"/>
      <c r="V17" s="352" t="n"/>
      <c r="W17" s="352" t="n"/>
      <c r="X17" s="352" t="n"/>
      <c r="Y17" s="352" t="n"/>
      <c r="Z17" s="352" t="n"/>
      <c r="AA17" s="352" t="n"/>
      <c r="AB17" s="352" t="n"/>
    </row>
    <row r="18" ht="24" customHeight="1" s="317">
      <c r="B18" s="346" t="n"/>
      <c r="C18" s="350" t="n"/>
      <c r="D18" s="350" t="n"/>
      <c r="E18" s="356" t="n"/>
      <c r="F18" s="350" t="n"/>
      <c r="G18" s="348" t="n"/>
      <c r="H18" s="337" t="n"/>
      <c r="I18" s="337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</row>
    <row r="19" ht="27" customFormat="1" customHeight="1" s="351">
      <c r="A19" s="352" t="n"/>
      <c r="B19" s="353" t="n"/>
      <c r="C19" s="355" t="inlineStr">
        <is>
          <t>Corporate Hurdle Rate for Investment Decisions</t>
        </is>
      </c>
      <c r="D19" s="355" t="n"/>
      <c r="E19" s="356" t="n"/>
      <c r="F19" s="366" t="n">
        <v>0.33</v>
      </c>
      <c r="G19" s="348" t="n"/>
      <c r="H19" s="352" t="n"/>
      <c r="I19" s="352" t="n"/>
      <c r="J19" s="352" t="n"/>
      <c r="K19" s="352" t="n"/>
      <c r="L19" s="352" t="n"/>
      <c r="M19" s="352" t="n"/>
      <c r="N19" s="352" t="n"/>
      <c r="O19" s="352" t="n"/>
      <c r="P19" s="352" t="n"/>
      <c r="Q19" s="352" t="n"/>
      <c r="R19" s="352" t="n"/>
      <c r="S19" s="352" t="n"/>
      <c r="T19" s="352" t="n"/>
      <c r="U19" s="352" t="n"/>
      <c r="V19" s="352" t="n"/>
      <c r="W19" s="352" t="n"/>
      <c r="X19" s="352" t="n"/>
      <c r="Y19" s="352" t="n"/>
      <c r="Z19" s="352" t="n"/>
      <c r="AA19" s="352" t="n"/>
      <c r="AB19" s="352" t="n"/>
    </row>
    <row r="20" ht="24" customHeight="1" s="317">
      <c r="B20" s="346" t="n"/>
      <c r="C20" s="350" t="n"/>
      <c r="D20" s="350" t="n"/>
      <c r="E20" s="356" t="n"/>
      <c r="F20" s="350" t="n"/>
      <c r="G20" s="348" t="n"/>
      <c r="H20" s="337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  <c r="Z20" s="337" t="n"/>
      <c r="AA20" s="337" t="n"/>
      <c r="AB20" s="337" t="n"/>
    </row>
    <row r="21" ht="27" customFormat="1" customHeight="1" s="351">
      <c r="A21" s="352" t="n"/>
      <c r="B21" s="353" t="n"/>
      <c r="C21" s="355" t="inlineStr">
        <is>
          <t>Capital Evaluation Duration In Years (Enter "5" or "7")</t>
        </is>
      </c>
      <c r="D21" s="355" t="n"/>
      <c r="E21" s="356" t="n"/>
      <c r="F21" s="367" t="n">
        <v>5</v>
      </c>
      <c r="G21" s="348" t="n"/>
      <c r="H21" s="352" t="n"/>
      <c r="I21" s="368">
        <f>IF(Cap_Eval_Dur=5," ",IF(Cap_Eval_Dur=7," ",IF(Cap_Eval_Dur=0,"&lt;== Enter Duration","&lt;== Invalid Duration")))</f>
        <v/>
      </c>
      <c r="J21" s="352" t="n"/>
      <c r="K21" s="352" t="n"/>
      <c r="L21" s="352" t="n"/>
      <c r="M21" s="352" t="n"/>
      <c r="N21" s="352" t="n"/>
      <c r="O21" s="352" t="n"/>
      <c r="P21" s="352" t="n"/>
      <c r="Q21" s="352" t="n"/>
      <c r="R21" s="352" t="n"/>
      <c r="S21" s="352" t="n"/>
      <c r="T21" s="352" t="n"/>
      <c r="U21" s="352" t="n"/>
      <c r="V21" s="352" t="n"/>
      <c r="W21" s="352" t="n"/>
      <c r="X21" s="352" t="n"/>
      <c r="Y21" s="352" t="n"/>
      <c r="Z21" s="352" t="n"/>
      <c r="AA21" s="352" t="n"/>
      <c r="AB21" s="352" t="n"/>
    </row>
    <row r="22" ht="24" customHeight="1" s="317">
      <c r="B22" s="346" t="n"/>
      <c r="C22" s="350" t="n"/>
      <c r="D22" s="350" t="n"/>
      <c r="E22" s="356" t="n"/>
      <c r="F22" s="350" t="n"/>
      <c r="G22" s="348" t="n"/>
      <c r="H22" s="337" t="n"/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</row>
    <row r="23" ht="27" customFormat="1" customHeight="1" s="351">
      <c r="A23" s="352" t="n"/>
      <c r="B23" s="353" t="n"/>
      <c r="C23" s="355" t="inlineStr">
        <is>
          <t>Corporate Discount Factor / Weighted Average Cost of Capital</t>
        </is>
      </c>
      <c r="D23" s="355" t="n"/>
      <c r="E23" s="356" t="n"/>
      <c r="F23" s="366" t="n">
        <v>0.06</v>
      </c>
      <c r="G23" s="348" t="n"/>
      <c r="H23" s="352" t="n"/>
      <c r="I23" s="352" t="n"/>
      <c r="J23" s="352" t="n"/>
      <c r="K23" s="352" t="n"/>
      <c r="L23" s="352" t="n"/>
      <c r="M23" s="352" t="n"/>
      <c r="N23" s="352" t="n"/>
      <c r="O23" s="352" t="n"/>
      <c r="P23" s="352" t="n"/>
      <c r="Q23" s="352" t="n"/>
      <c r="R23" s="352" t="n"/>
      <c r="S23" s="352" t="n"/>
      <c r="T23" s="352" t="n"/>
      <c r="U23" s="352" t="n"/>
      <c r="V23" s="352" t="n"/>
      <c r="W23" s="352" t="n"/>
      <c r="X23" s="352" t="n"/>
      <c r="Y23" s="352" t="n"/>
      <c r="Z23" s="352" t="n"/>
      <c r="AA23" s="352" t="n"/>
      <c r="AB23" s="352" t="n"/>
    </row>
    <row r="24" ht="24" customHeight="1" s="317">
      <c r="B24" s="346" t="n"/>
      <c r="C24" s="350" t="n"/>
      <c r="D24" s="350" t="n"/>
      <c r="E24" s="356" t="n"/>
      <c r="F24" s="350" t="n"/>
      <c r="G24" s="348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</row>
    <row r="25" ht="27" customFormat="1" customHeight="1" s="351">
      <c r="A25" s="352" t="n"/>
      <c r="B25" s="353" t="n"/>
      <c r="C25" s="355" t="inlineStr">
        <is>
          <t>Corporate Payback Period (Months) for this Application</t>
        </is>
      </c>
      <c r="D25" s="355" t="n"/>
      <c r="E25" s="356" t="n"/>
      <c r="F25" s="367" t="n">
        <v>24</v>
      </c>
      <c r="G25" s="348" t="n"/>
      <c r="H25" s="352" t="n"/>
      <c r="I25" s="352" t="n"/>
      <c r="J25" s="352" t="n"/>
      <c r="K25" s="352" t="n"/>
      <c r="L25" s="352" t="n"/>
      <c r="M25" s="352" t="n"/>
      <c r="N25" s="352" t="n"/>
      <c r="O25" s="352" t="n"/>
      <c r="P25" s="352" t="n"/>
      <c r="Q25" s="352" t="n"/>
      <c r="R25" s="352" t="n"/>
      <c r="S25" s="352" t="n"/>
      <c r="T25" s="352" t="n"/>
      <c r="U25" s="352" t="n"/>
      <c r="V25" s="352" t="n"/>
      <c r="W25" s="352" t="n"/>
      <c r="X25" s="352" t="n"/>
      <c r="Y25" s="352" t="n"/>
      <c r="Z25" s="352" t="n"/>
      <c r="AA25" s="352" t="n"/>
      <c r="AB25" s="352" t="n"/>
    </row>
    <row r="26" ht="18.75" customHeight="1" s="317">
      <c r="B26" s="369" t="n"/>
      <c r="C26" s="370" t="n"/>
      <c r="D26" s="370" t="n"/>
      <c r="E26" s="370" t="n"/>
      <c r="F26" s="370" t="n"/>
      <c r="G26" s="371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</row>
    <row r="27" ht="18.75" customHeight="1" s="317">
      <c r="B27" s="337" t="n"/>
      <c r="C27" s="318" t="n"/>
      <c r="D27" s="318" t="n"/>
      <c r="E27" s="318" t="n"/>
      <c r="F27" s="318" t="n"/>
      <c r="G27" s="337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18" customHeight="1" s="317">
      <c r="B28" s="337" t="n"/>
      <c r="C28" s="337" t="inlineStr">
        <is>
          <t> </t>
        </is>
      </c>
      <c r="D28" s="337" t="inlineStr">
        <is>
          <t> </t>
        </is>
      </c>
      <c r="E28" s="337" t="inlineStr">
        <is>
          <t> </t>
        </is>
      </c>
      <c r="F28" s="337" t="inlineStr">
        <is>
          <t> </t>
        </is>
      </c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18" customHeight="1" s="317"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</row>
    <row r="30" ht="18" customHeight="1" s="317"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</row>
    <row r="31" ht="18" customHeight="1" s="317"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</row>
    <row r="32" ht="18" customHeight="1" s="317"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8" customHeight="1" s="317"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8" customHeight="1" s="317"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8" customHeight="1" s="317"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18" customHeight="1" s="317"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18" customHeight="1" s="317"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18" customHeight="1" s="317"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18" customHeight="1" s="317"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</row>
    <row r="40" ht="18" customHeight="1" s="317"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18" customHeight="1" s="317"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</row>
    <row r="42" ht="18" customHeight="1" s="317"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8" customHeight="1" s="317"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" customHeight="1" s="317"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" customHeight="1" s="317">
      <c r="B45" s="337" t="n"/>
      <c r="C45" s="337" t="n"/>
      <c r="D45" s="337" t="n"/>
      <c r="E45" s="337" t="n"/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" customHeight="1" s="317">
      <c r="B46" s="337" t="n"/>
      <c r="C46" s="337" t="n"/>
      <c r="D46" s="337" t="n"/>
      <c r="E46" s="337" t="n"/>
      <c r="F46" s="337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47" ht="18" customHeight="1" s="317">
      <c r="B47" s="337" t="n"/>
      <c r="C47" s="337" t="n"/>
      <c r="D47" s="337" t="n"/>
      <c r="E47" s="337" t="n"/>
      <c r="F47" s="337" t="n"/>
      <c r="G47" s="337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</row>
    <row r="48" ht="18" customHeight="1" s="317">
      <c r="B48" s="337" t="n"/>
      <c r="C48" s="337" t="n"/>
      <c r="D48" s="337" t="n"/>
      <c r="E48" s="337" t="n"/>
      <c r="F48" s="337" t="n"/>
      <c r="G48" s="337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</row>
    <row r="49" ht="18" customHeight="1" s="317">
      <c r="B49" s="337" t="n"/>
      <c r="C49" s="337" t="n"/>
      <c r="D49" s="337" t="n"/>
      <c r="E49" s="337" t="n"/>
      <c r="F49" s="337" t="n"/>
      <c r="G49" s="337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</row>
    <row r="50" ht="18" customHeight="1" s="317">
      <c r="B50" s="337" t="n"/>
      <c r="C50" s="337" t="n"/>
      <c r="D50" s="337" t="n"/>
      <c r="E50" s="337" t="n"/>
      <c r="F50" s="337" t="n"/>
      <c r="G50" s="337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</row>
    <row r="51" ht="18" customHeight="1" s="317">
      <c r="B51" s="337" t="n"/>
      <c r="C51" s="337" t="n"/>
      <c r="D51" s="337" t="n"/>
      <c r="E51" s="337" t="n"/>
      <c r="F51" s="337" t="n"/>
      <c r="G51" s="337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</row>
    <row r="52" ht="18" customHeight="1" s="317">
      <c r="B52" s="337" t="n"/>
      <c r="C52" s="337" t="n"/>
      <c r="D52" s="337" t="n"/>
      <c r="E52" s="337" t="n"/>
      <c r="F52" s="337" t="n"/>
      <c r="G52" s="337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</row>
    <row r="53" ht="18" customHeight="1" s="317">
      <c r="B53" s="337" t="n"/>
      <c r="C53" s="337" t="n"/>
      <c r="D53" s="337" t="n"/>
      <c r="E53" s="337" t="n"/>
      <c r="F53" s="337" t="n"/>
      <c r="G53" s="337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</row>
    <row r="54" ht="18" customHeight="1" s="317">
      <c r="B54" s="337" t="n"/>
      <c r="C54" s="337" t="n"/>
      <c r="D54" s="337" t="n"/>
      <c r="E54" s="337" t="n"/>
      <c r="F54" s="337" t="n"/>
      <c r="G54" s="337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</row>
    <row r="55" ht="18" customHeight="1" s="317">
      <c r="B55" s="337" t="n"/>
      <c r="C55" s="337" t="n"/>
      <c r="D55" s="337" t="n"/>
      <c r="E55" s="337" t="n"/>
      <c r="F55" s="337" t="n"/>
      <c r="G55" s="337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</row>
    <row r="56" ht="18" customHeight="1" s="317">
      <c r="B56" s="337" t="n"/>
      <c r="C56" s="337" t="n"/>
      <c r="D56" s="337" t="n"/>
      <c r="E56" s="337" t="n"/>
      <c r="F56" s="337" t="n"/>
      <c r="G56" s="337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</row>
    <row r="57" ht="18" customHeight="1" s="317">
      <c r="B57" s="337" t="n"/>
      <c r="C57" s="337" t="n"/>
      <c r="D57" s="337" t="n"/>
      <c r="E57" s="337" t="n"/>
      <c r="F57" s="337" t="n"/>
      <c r="G57" s="337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</row>
    <row r="58" ht="18" customHeight="1" s="317">
      <c r="B58" s="337" t="n"/>
      <c r="C58" s="337" t="n"/>
      <c r="D58" s="337" t="n"/>
      <c r="E58" s="337" t="n"/>
      <c r="F58" s="337" t="n"/>
      <c r="G58" s="337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</row>
    <row r="59" ht="18" customHeight="1" s="317">
      <c r="B59" s="337" t="n"/>
      <c r="C59" s="337" t="n"/>
      <c r="D59" s="337" t="n"/>
      <c r="E59" s="337" t="n"/>
      <c r="F59" s="337" t="n"/>
      <c r="G59" s="337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</row>
    <row r="60" ht="18" customHeight="1" s="317">
      <c r="B60" s="337" t="n"/>
      <c r="C60" s="337" t="n"/>
      <c r="D60" s="337" t="n"/>
      <c r="E60" s="337" t="n"/>
      <c r="F60" s="337" t="n"/>
      <c r="G60" s="337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</row>
    <row r="61" ht="18" customHeight="1" s="317">
      <c r="B61" s="337" t="n"/>
      <c r="C61" s="337" t="n"/>
      <c r="D61" s="337" t="n"/>
      <c r="E61" s="337" t="n"/>
      <c r="F61" s="337" t="n"/>
      <c r="G61" s="337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</row>
    <row r="62" ht="18" customHeight="1" s="317">
      <c r="B62" s="337" t="n"/>
      <c r="C62" s="337" t="n"/>
      <c r="D62" s="337" t="n"/>
      <c r="E62" s="337" t="n"/>
      <c r="F62" s="337" t="n"/>
      <c r="G62" s="337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</row>
    <row r="63" ht="18" customHeight="1" s="317">
      <c r="B63" s="337" t="n"/>
      <c r="C63" s="337" t="n"/>
      <c r="D63" s="337" t="n"/>
      <c r="E63" s="337" t="n"/>
      <c r="F63" s="337" t="n"/>
      <c r="G63" s="337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</row>
    <row r="64" ht="18" customHeight="1" s="317">
      <c r="B64" s="337" t="n"/>
      <c r="C64" s="337" t="n"/>
      <c r="D64" s="337" t="n"/>
      <c r="E64" s="337" t="n"/>
      <c r="F64" s="337" t="n"/>
      <c r="G64" s="337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</row>
    <row r="65" ht="18" customHeight="1" s="317">
      <c r="B65" s="337" t="n"/>
      <c r="C65" s="337" t="n"/>
      <c r="D65" s="337" t="n"/>
      <c r="E65" s="337" t="n"/>
      <c r="F65" s="337" t="n"/>
      <c r="G65" s="337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</row>
    <row r="66" ht="18" customHeight="1" s="317">
      <c r="B66" s="337" t="n"/>
      <c r="C66" s="337" t="n"/>
      <c r="D66" s="337" t="n"/>
      <c r="E66" s="337" t="n"/>
      <c r="F66" s="337" t="n"/>
      <c r="G66" s="337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</row>
    <row r="67" ht="18" customHeight="1" s="317"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</row>
    <row r="68" ht="18" customHeight="1" s="317">
      <c r="B68" s="337" t="n"/>
      <c r="C68" s="337" t="n"/>
      <c r="D68" s="337" t="n"/>
      <c r="E68" s="337" t="n"/>
      <c r="F68" s="337" t="n"/>
      <c r="G68" s="337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</row>
    <row r="69" ht="18" customHeight="1" s="317">
      <c r="B69" s="337" t="n"/>
      <c r="C69" s="337" t="n"/>
      <c r="D69" s="337" t="n"/>
      <c r="E69" s="337" t="n"/>
      <c r="F69" s="337" t="n"/>
      <c r="G69" s="337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</row>
    <row r="70" ht="18" customHeight="1" s="317">
      <c r="B70" s="337" t="n"/>
      <c r="C70" s="337" t="n"/>
      <c r="D70" s="337" t="n"/>
      <c r="E70" s="337" t="n"/>
      <c r="F70" s="337" t="n"/>
      <c r="G70" s="337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</row>
    <row r="71" ht="18" customHeight="1" s="317">
      <c r="F71" s="337" t="n"/>
    </row>
  </sheetData>
  <mergeCells count="2">
    <mergeCell ref="C6:F6"/>
    <mergeCell ref="A1:H1"/>
  </mergeCells>
  <printOptions horizontalCentered="1" verticalCentered="0" headings="0" gridLines="0" gridLinesSet="1"/>
  <pageMargins left="0.5" right="0.5" top="1.03958333333333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Description&amp;R&amp;"Arial,Bold"&amp;10 </oddHeader>
    <oddFooter>&amp;L&amp;"Arial,Bold"&amp;10 Proposal 10xxxx_x000a_ &amp;C&amp;"Times New Roman,Regular"The information contained herein is proprietary and confidential, and should not be shared outside "nickname"&amp;10 Page 1 of 9_x000a_&amp;R&amp;"Arial,Bold"&amp;10 &amp;D - &amp;T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B83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0.66" customWidth="1" style="338" min="5" max="5"/>
    <col width="10.44" customWidth="1" style="316" min="6" max="6"/>
    <col width="2.77" customWidth="1" style="338" min="7" max="7"/>
    <col width="17.66" customWidth="1" style="338" min="8" max="8"/>
    <col width="2.77" customWidth="1" style="338" min="9" max="10"/>
    <col width="8.880000000000001" customWidth="1" style="338" min="11" max="11"/>
    <col width="9.550000000000001" customWidth="1" style="338" min="12" max="12"/>
    <col width="8.880000000000001" customWidth="1" style="338" min="13" max="257"/>
  </cols>
  <sheetData>
    <row r="1" ht="25.5" customFormat="1" customHeight="1" s="339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2" t="n"/>
    </row>
    <row r="2" ht="19.5" customFormat="1" customHeight="1" s="337">
      <c r="F2" s="318" t="n"/>
    </row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5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48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18" t="n"/>
      <c r="G5" s="337" t="n"/>
      <c r="H5" s="337" t="n"/>
      <c r="I5" s="348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Height="1" s="317">
      <c r="B6" s="346" t="inlineStr">
        <is>
          <t> </t>
        </is>
      </c>
      <c r="C6" s="349" t="inlineStr">
        <is>
          <t>Labor Savings</t>
        </is>
      </c>
      <c r="I6" s="348" t="n"/>
      <c r="J6" s="337" t="n"/>
      <c r="K6" s="337" t="n"/>
      <c r="L6" s="337" t="n"/>
      <c r="M6" s="337" t="n"/>
      <c r="N6" s="337" t="n"/>
      <c r="O6" s="337" t="n"/>
      <c r="P6" s="337" t="n"/>
      <c r="Q6" s="337" t="n"/>
      <c r="R6" s="337" t="n"/>
      <c r="S6" s="337" t="n"/>
      <c r="T6" s="337" t="n"/>
      <c r="U6" s="337" t="n"/>
      <c r="V6" s="337" t="n"/>
      <c r="W6" s="337" t="n"/>
      <c r="X6" s="337" t="n"/>
      <c r="Y6" s="337" t="n"/>
      <c r="Z6" s="337" t="n"/>
      <c r="AA6" s="337" t="n"/>
      <c r="AB6" s="337" t="n"/>
    </row>
    <row r="7" ht="19.5" customHeight="1" s="317">
      <c r="B7" s="346" t="n"/>
      <c r="C7" s="337" t="inlineStr">
        <is>
          <t> </t>
        </is>
      </c>
      <c r="D7" s="337" t="n"/>
      <c r="E7" s="337" t="inlineStr">
        <is>
          <t> </t>
        </is>
      </c>
      <c r="F7" s="318" t="n"/>
      <c r="G7" s="337" t="n"/>
      <c r="H7" s="337" t="inlineStr">
        <is>
          <t> </t>
        </is>
      </c>
      <c r="I7" s="348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7" customFormat="1" customHeight="1" s="351">
      <c r="A8" s="352" t="n"/>
      <c r="B8" s="353" t="n"/>
      <c r="C8" s="355" t="inlineStr">
        <is>
          <t>Current Number of Laborers per Shift:</t>
        </is>
      </c>
      <c r="D8" s="355" t="n"/>
      <c r="E8" s="355" t="n"/>
      <c r="F8" s="318" t="n"/>
      <c r="G8" s="318" t="n"/>
      <c r="H8" s="372">
        <f>SUM(F9:F12)</f>
        <v/>
      </c>
      <c r="I8" s="373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  <c r="U8" s="352" t="n"/>
      <c r="V8" s="352" t="n"/>
      <c r="W8" s="352" t="n"/>
      <c r="X8" s="352" t="n"/>
      <c r="Y8" s="352" t="n"/>
      <c r="Z8" s="352" t="n"/>
      <c r="AA8" s="352" t="n"/>
      <c r="AB8" s="352" t="n"/>
    </row>
    <row r="9" ht="19.5" customHeight="1" s="317">
      <c r="B9" s="346" t="n"/>
      <c r="C9" s="337" t="n"/>
      <c r="D9" s="337" t="inlineStr">
        <is>
          <t> </t>
        </is>
      </c>
      <c r="E9" s="337" t="inlineStr">
        <is>
          <t>Operators</t>
        </is>
      </c>
      <c r="F9" s="374" t="n">
        <v>1</v>
      </c>
      <c r="G9" s="375" t="n"/>
      <c r="H9" s="375" t="n"/>
      <c r="I9" s="348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19.5" customHeight="1" s="317">
      <c r="B10" s="346" t="n"/>
      <c r="C10" s="337" t="n"/>
      <c r="D10" s="337" t="n"/>
      <c r="E10" s="337" t="inlineStr">
        <is>
          <t>Maintenance</t>
        </is>
      </c>
      <c r="F10" s="376" t="n">
        <v>0</v>
      </c>
      <c r="G10" s="375" t="n"/>
      <c r="H10" s="375" t="n"/>
      <c r="I10" s="348" t="n"/>
      <c r="J10" s="337" t="n"/>
      <c r="K10" s="337" t="n"/>
      <c r="L10" s="337" t="n"/>
      <c r="M10" s="337" t="n"/>
      <c r="N10" s="337" t="n"/>
      <c r="O10" s="337" t="n"/>
      <c r="P10" s="337" t="n"/>
      <c r="Q10" s="337" t="n"/>
      <c r="R10" s="337" t="n"/>
      <c r="S10" s="337" t="n"/>
      <c r="T10" s="337" t="n"/>
      <c r="U10" s="337" t="n"/>
      <c r="V10" s="337" t="n"/>
      <c r="W10" s="337" t="n"/>
      <c r="X10" s="337" t="n"/>
      <c r="Y10" s="337" t="n"/>
      <c r="Z10" s="337" t="n"/>
      <c r="AA10" s="337" t="n"/>
      <c r="AB10" s="337" t="n"/>
    </row>
    <row r="11" ht="19.5" customHeight="1" s="317">
      <c r="B11" s="346" t="n"/>
      <c r="C11" s="337" t="n"/>
      <c r="D11" s="337" t="n"/>
      <c r="E11" s="337" t="inlineStr">
        <is>
          <t>Technicians</t>
        </is>
      </c>
      <c r="F11" s="377" t="n">
        <v>0</v>
      </c>
      <c r="G11" s="375" t="n"/>
      <c r="H11" s="375" t="n"/>
      <c r="I11" s="348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7" t="n"/>
    </row>
    <row r="12" ht="19.5" customHeight="1" s="317">
      <c r="B12" s="346" t="n"/>
      <c r="C12" s="337" t="n"/>
      <c r="D12" s="337" t="n"/>
      <c r="E12" s="337" t="inlineStr">
        <is>
          <t>Material Handlers</t>
        </is>
      </c>
      <c r="F12" s="376" t="n">
        <v>1</v>
      </c>
      <c r="G12" s="375" t="n"/>
      <c r="H12" s="375" t="n"/>
      <c r="I12" s="348" t="n"/>
      <c r="J12" s="337" t="n"/>
      <c r="K12" s="337" t="n"/>
      <c r="L12" s="337" t="n"/>
      <c r="M12" s="337" t="n"/>
      <c r="N12" s="337" t="n"/>
      <c r="O12" s="337" t="n"/>
      <c r="P12" s="337" t="n"/>
      <c r="Q12" s="337" t="n"/>
      <c r="R12" s="337" t="n"/>
      <c r="S12" s="337" t="n"/>
      <c r="T12" s="337" t="n"/>
      <c r="U12" s="337" t="n"/>
      <c r="V12" s="337" t="n"/>
      <c r="W12" s="337" t="n"/>
      <c r="X12" s="337" t="n"/>
      <c r="Y12" s="337" t="n"/>
      <c r="Z12" s="337" t="n"/>
      <c r="AA12" s="337" t="n"/>
      <c r="AB12" s="337" t="n"/>
    </row>
    <row r="13" ht="24" customHeight="1" s="317">
      <c r="B13" s="346" t="n"/>
      <c r="C13" s="350" t="n"/>
      <c r="D13" s="350" t="n"/>
      <c r="E13" s="350" t="n"/>
      <c r="F13" s="356" t="n"/>
      <c r="G13" s="378" t="n"/>
      <c r="H13" s="378" t="n"/>
      <c r="I13" s="348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</row>
    <row r="14" ht="27" customFormat="1" customHeight="1" s="351">
      <c r="A14" s="352" t="n"/>
      <c r="B14" s="353" t="n"/>
      <c r="C14" s="355" t="inlineStr">
        <is>
          <t xml:space="preserve">Robotic System Number of Laborers per Shift: </t>
        </is>
      </c>
      <c r="D14" s="355" t="n"/>
      <c r="E14" s="355" t="n"/>
      <c r="F14" s="356" t="n"/>
      <c r="G14" s="355" t="n"/>
      <c r="H14" s="372">
        <f>SUM(F15:F18)</f>
        <v/>
      </c>
      <c r="I14" s="373" t="n"/>
      <c r="J14" s="352" t="n"/>
      <c r="K14" s="352" t="n"/>
      <c r="L14" s="352" t="n"/>
      <c r="M14" s="352" t="n"/>
      <c r="N14" s="352" t="n"/>
      <c r="O14" s="352" t="n"/>
      <c r="P14" s="352" t="n"/>
      <c r="Q14" s="352" t="n"/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</row>
    <row r="15" ht="19.5" customHeight="1" s="317">
      <c r="B15" s="346" t="n"/>
      <c r="C15" s="337" t="n"/>
      <c r="D15" s="337" t="inlineStr">
        <is>
          <t> </t>
        </is>
      </c>
      <c r="E15" s="337" t="inlineStr">
        <is>
          <t>Operators</t>
        </is>
      </c>
      <c r="F15" s="374" t="n">
        <v>0</v>
      </c>
      <c r="G15" s="375" t="n"/>
      <c r="H15" s="375" t="n"/>
      <c r="I15" s="348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</row>
    <row r="16" ht="19.5" customHeight="1" s="317">
      <c r="B16" s="346" t="n"/>
      <c r="C16" s="337" t="n"/>
      <c r="D16" s="337" t="n"/>
      <c r="E16" s="337" t="inlineStr">
        <is>
          <t>Maintenance</t>
        </is>
      </c>
      <c r="F16" s="376" t="n">
        <v>0</v>
      </c>
      <c r="G16" s="375" t="n"/>
      <c r="H16" s="375" t="n"/>
      <c r="I16" s="348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</row>
    <row r="17" ht="19.5" customHeight="1" s="317">
      <c r="B17" s="346" t="n"/>
      <c r="C17" s="337" t="n"/>
      <c r="D17" s="337" t="n"/>
      <c r="E17" s="337" t="inlineStr">
        <is>
          <t>Technicians</t>
        </is>
      </c>
      <c r="F17" s="377" t="n">
        <v>0</v>
      </c>
      <c r="G17" s="375" t="n"/>
      <c r="H17" s="375" t="n"/>
      <c r="I17" s="34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</row>
    <row r="18" ht="19.5" customHeight="1" s="317">
      <c r="B18" s="346" t="n"/>
      <c r="C18" s="337" t="n"/>
      <c r="D18" s="337" t="n"/>
      <c r="E18" s="337" t="inlineStr">
        <is>
          <t>Material Handlers</t>
        </is>
      </c>
      <c r="F18" s="376" t="n">
        <v>1</v>
      </c>
      <c r="G18" s="375" t="n"/>
      <c r="H18" s="375" t="n"/>
      <c r="I18" s="348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</row>
    <row r="19" ht="24" customHeight="1" s="317">
      <c r="B19" s="346" t="n"/>
      <c r="C19" s="350" t="n"/>
      <c r="D19" s="350" t="inlineStr">
        <is>
          <t> </t>
        </is>
      </c>
      <c r="E19" s="350" t="n"/>
      <c r="F19" s="356" t="n"/>
      <c r="G19" s="379" t="n"/>
      <c r="H19" s="379" t="inlineStr">
        <is>
          <t> </t>
        </is>
      </c>
      <c r="I19" s="348" t="n"/>
      <c r="J19" s="337" t="n"/>
      <c r="K19" s="337" t="n"/>
      <c r="L19" s="318" t="n"/>
      <c r="M19" s="318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  <c r="Z19" s="337" t="n"/>
      <c r="AA19" s="337" t="n"/>
      <c r="AB19" s="337" t="n"/>
    </row>
    <row r="20" ht="27" customFormat="1" customHeight="1" s="351">
      <c r="A20" s="352" t="n"/>
      <c r="B20" s="353" t="n"/>
      <c r="C20" s="355" t="inlineStr">
        <is>
          <t xml:space="preserve">Number of Shifts: </t>
        </is>
      </c>
      <c r="D20" s="355" t="n"/>
      <c r="E20" s="355" t="n"/>
      <c r="F20" s="356" t="n"/>
      <c r="G20" s="355" t="n"/>
      <c r="H20" s="380" t="n">
        <v>2</v>
      </c>
      <c r="I20" s="373" t="n"/>
      <c r="J20" s="352" t="n"/>
      <c r="K20" s="352" t="n"/>
      <c r="L20" s="318" t="n"/>
      <c r="M20" s="318" t="n"/>
      <c r="N20" s="352" t="n"/>
      <c r="O20" s="352" t="n"/>
      <c r="P20" s="352" t="n"/>
      <c r="Q20" s="352" t="n"/>
      <c r="R20" s="352" t="n"/>
      <c r="S20" s="352" t="n"/>
      <c r="T20" s="352" t="n"/>
      <c r="U20" s="352" t="n"/>
      <c r="V20" s="352" t="n"/>
      <c r="W20" s="352" t="n"/>
      <c r="X20" s="352" t="n"/>
      <c r="Y20" s="352" t="n"/>
      <c r="Z20" s="352" t="n"/>
      <c r="AA20" s="352" t="n"/>
      <c r="AB20" s="352" t="n"/>
    </row>
    <row r="21" ht="24" customHeight="1" s="317">
      <c r="B21" s="346" t="n"/>
      <c r="C21" s="350" t="n"/>
      <c r="D21" s="350" t="n"/>
      <c r="E21" s="350" t="n"/>
      <c r="F21" s="356" t="n"/>
      <c r="G21" s="379" t="n"/>
      <c r="H21" s="379" t="n"/>
      <c r="I21" s="348" t="n"/>
      <c r="J21" s="337" t="n"/>
      <c r="K21" s="337" t="n"/>
      <c r="L21" s="318" t="n"/>
      <c r="M21" s="318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</row>
    <row r="22" ht="24" customHeight="1" s="317">
      <c r="B22" s="346" t="n"/>
      <c r="C22" s="355" t="inlineStr">
        <is>
          <t>Annual Hours Per Laborer</t>
        </is>
      </c>
      <c r="D22" s="350" t="n"/>
      <c r="E22" s="350" t="n"/>
      <c r="F22" s="356" t="n"/>
      <c r="G22" s="355" t="n"/>
      <c r="H22" s="372">
        <f>F23*F24*F25</f>
        <v/>
      </c>
      <c r="I22" s="348" t="n"/>
      <c r="J22" s="337" t="n"/>
      <c r="K22" s="337" t="n"/>
      <c r="L22" s="318" t="n"/>
      <c r="M22" s="318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</row>
    <row r="23" ht="19.5" customHeight="1" s="317">
      <c r="B23" s="346" t="n"/>
      <c r="C23" s="337" t="n"/>
      <c r="D23" s="337" t="inlineStr">
        <is>
          <t> </t>
        </is>
      </c>
      <c r="E23" s="337" t="inlineStr">
        <is>
          <t>Production Hours Per Day</t>
        </is>
      </c>
      <c r="F23" s="381" t="n">
        <v>8</v>
      </c>
      <c r="G23" s="375" t="n"/>
      <c r="H23" s="375" t="n"/>
      <c r="I23" s="34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</row>
    <row r="24" ht="19.5" customHeight="1" s="317">
      <c r="B24" s="346" t="n"/>
      <c r="C24" s="337" t="n"/>
      <c r="D24" s="337" t="n"/>
      <c r="E24" s="337" t="inlineStr">
        <is>
          <t>Production Days Per Week</t>
        </is>
      </c>
      <c r="F24" s="382" t="n">
        <v>5</v>
      </c>
      <c r="G24" s="375" t="n"/>
      <c r="H24" s="375" t="n"/>
      <c r="I24" s="348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</row>
    <row r="25" ht="19.5" customHeight="1" s="317">
      <c r="B25" s="346" t="n"/>
      <c r="C25" s="337" t="n"/>
      <c r="D25" s="337" t="n"/>
      <c r="E25" s="337" t="inlineStr">
        <is>
          <t>Production Weeks Per Year</t>
        </is>
      </c>
      <c r="F25" s="383" t="n">
        <v>50</v>
      </c>
      <c r="G25" s="375" t="n"/>
      <c r="H25" s="375" t="n"/>
      <c r="I25" s="348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</row>
    <row r="26" ht="19.5" customHeight="1" s="317">
      <c r="B26" s="346" t="n"/>
      <c r="C26" s="337" t="n"/>
      <c r="D26" s="337" t="n"/>
      <c r="E26" s="337" t="n"/>
      <c r="F26" s="384" t="n"/>
      <c r="G26" s="375" t="n"/>
      <c r="H26" s="375" t="n"/>
      <c r="I26" s="348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</row>
    <row r="27" ht="23.25" customHeight="1" s="317">
      <c r="B27" s="346" t="n"/>
      <c r="C27" s="355" t="inlineStr">
        <is>
          <t>Current Annual Labor Hours:</t>
        </is>
      </c>
      <c r="D27" s="350" t="n"/>
      <c r="E27" s="350" t="n"/>
      <c r="F27" s="356" t="n"/>
      <c r="G27" s="350" t="n"/>
      <c r="H27" s="385">
        <f>Hrs_Laborer*H8*shifts</f>
        <v/>
      </c>
      <c r="I27" s="348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30" customHeight="1" s="317">
      <c r="B28" s="346" t="n"/>
      <c r="C28" s="355" t="inlineStr">
        <is>
          <t>Robotic System Annual Labor Hours:</t>
        </is>
      </c>
      <c r="D28" s="350" t="n"/>
      <c r="E28" s="350" t="n"/>
      <c r="F28" s="356" t="n"/>
      <c r="G28" s="350" t="n"/>
      <c r="H28" s="386">
        <f>Hrs_Laborer*H14*shifts</f>
        <v/>
      </c>
      <c r="I28" s="348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30.75" customFormat="1" customHeight="1" s="387">
      <c r="A29" s="388" t="n"/>
      <c r="B29" s="389" t="n"/>
      <c r="C29" s="355" t="inlineStr">
        <is>
          <t>Annual Labor Savings (Hours):</t>
        </is>
      </c>
      <c r="D29" s="350" t="n"/>
      <c r="E29" s="350" t="n"/>
      <c r="F29" s="356" t="n"/>
      <c r="G29" s="390" t="n"/>
      <c r="H29" s="391">
        <f>H27-H28</f>
        <v/>
      </c>
      <c r="I29" s="392" t="n"/>
      <c r="J29" s="388" t="n"/>
      <c r="K29" s="388" t="n"/>
      <c r="L29" s="388" t="n"/>
      <c r="M29" s="388" t="n"/>
      <c r="N29" s="388" t="n"/>
      <c r="O29" s="388" t="n"/>
      <c r="P29" s="388" t="n"/>
      <c r="Q29" s="388" t="n"/>
      <c r="R29" s="388" t="n"/>
      <c r="S29" s="388" t="n"/>
      <c r="T29" s="388" t="n"/>
      <c r="U29" s="388" t="n"/>
      <c r="V29" s="388" t="n"/>
      <c r="W29" s="388" t="n"/>
      <c r="X29" s="388" t="n"/>
      <c r="Y29" s="388" t="n"/>
      <c r="Z29" s="388" t="n"/>
      <c r="AA29" s="388" t="n"/>
      <c r="AB29" s="388" t="n"/>
    </row>
    <row r="30" ht="30" customFormat="1" customHeight="1" s="387">
      <c r="A30" s="388" t="n"/>
      <c r="B30" s="389" t="n"/>
      <c r="C30" s="355" t="n"/>
      <c r="D30" s="350" t="n"/>
      <c r="E30" s="350" t="n"/>
      <c r="F30" s="356" t="n"/>
      <c r="G30" s="390" t="n"/>
      <c r="H30" s="393" t="n"/>
      <c r="I30" s="392" t="n"/>
      <c r="J30" s="388" t="n"/>
      <c r="K30" s="388" t="n"/>
      <c r="L30" s="388" t="n"/>
      <c r="M30" s="388" t="n"/>
      <c r="N30" s="388" t="n"/>
      <c r="O30" s="388" t="n"/>
      <c r="P30" s="388" t="n"/>
      <c r="Q30" s="388" t="n"/>
      <c r="R30" s="388" t="n"/>
      <c r="S30" s="388" t="n"/>
      <c r="T30" s="388" t="n"/>
      <c r="U30" s="388" t="n"/>
      <c r="V30" s="388" t="n"/>
      <c r="W30" s="388" t="n"/>
      <c r="X30" s="388" t="n"/>
      <c r="Y30" s="388" t="n"/>
      <c r="Z30" s="388" t="n"/>
      <c r="AA30" s="388" t="n"/>
      <c r="AB30" s="388" t="n"/>
    </row>
    <row r="31" ht="27" customFormat="1" customHeight="1" s="351">
      <c r="A31" s="352" t="n"/>
      <c r="B31" s="353" t="n"/>
      <c r="C31" s="394" t="inlineStr">
        <is>
          <t>Burdened Hourly Rate for Laborers:</t>
        </is>
      </c>
      <c r="D31" s="355" t="n"/>
      <c r="E31" s="355" t="n"/>
      <c r="F31" s="356" t="n"/>
      <c r="G31" s="395" t="n"/>
      <c r="H31" s="318" t="n"/>
      <c r="I31" s="373" t="n"/>
      <c r="J31" s="352" t="n"/>
      <c r="K31" s="352" t="n"/>
      <c r="L31" s="352" t="n"/>
      <c r="M31" s="352" t="n"/>
      <c r="N31" s="352" t="n"/>
      <c r="O31" s="352" t="n"/>
      <c r="P31" s="352" t="n"/>
      <c r="Q31" s="352" t="n"/>
      <c r="R31" s="352" t="n"/>
      <c r="S31" s="352" t="n"/>
      <c r="T31" s="352" t="n"/>
      <c r="U31" s="352" t="n"/>
      <c r="V31" s="352" t="n"/>
      <c r="W31" s="352" t="n"/>
      <c r="X31" s="352" t="n"/>
      <c r="Y31" s="352" t="n"/>
      <c r="Z31" s="352" t="n"/>
      <c r="AA31" s="352" t="n"/>
      <c r="AB31" s="352" t="n"/>
    </row>
    <row r="32" ht="19.5" customHeight="1" s="317">
      <c r="B32" s="346" t="n"/>
      <c r="C32" s="337" t="n"/>
      <c r="D32" s="337" t="inlineStr">
        <is>
          <t> </t>
        </is>
      </c>
      <c r="E32" s="337" t="inlineStr">
        <is>
          <t>Operators</t>
        </is>
      </c>
      <c r="F32" s="396" t="n">
        <v>20</v>
      </c>
      <c r="G32" s="375" t="n"/>
      <c r="H32" s="375" t="n"/>
      <c r="I32" s="348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9.5" customHeight="1" s="317">
      <c r="B33" s="346" t="n"/>
      <c r="C33" s="337" t="n"/>
      <c r="D33" s="337" t="n"/>
      <c r="E33" s="337" t="inlineStr">
        <is>
          <t>Maintenance</t>
        </is>
      </c>
      <c r="F33" s="397" t="n">
        <v>0</v>
      </c>
      <c r="G33" s="375" t="n"/>
      <c r="H33" s="375" t="n"/>
      <c r="I33" s="348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9.5" customHeight="1" s="317">
      <c r="B34" s="346" t="n"/>
      <c r="C34" s="337" t="n"/>
      <c r="D34" s="337" t="n"/>
      <c r="E34" s="337" t="inlineStr">
        <is>
          <t>Technicians</t>
        </is>
      </c>
      <c r="F34" s="398" t="n">
        <v>0</v>
      </c>
      <c r="G34" s="375" t="n"/>
      <c r="H34" s="375" t="n"/>
      <c r="I34" s="348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9.5" customHeight="1" s="317">
      <c r="B35" s="346" t="n"/>
      <c r="C35" s="337" t="n"/>
      <c r="D35" s="337" t="n"/>
      <c r="E35" s="337" t="inlineStr">
        <is>
          <t>Material Handlers</t>
        </is>
      </c>
      <c r="F35" s="397" t="n">
        <v>20</v>
      </c>
      <c r="G35" s="375" t="n"/>
      <c r="H35" s="375" t="n"/>
      <c r="I35" s="348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24" customHeight="1" s="317">
      <c r="B36" s="346" t="n"/>
      <c r="C36" s="350" t="n"/>
      <c r="D36" s="350" t="n"/>
      <c r="E36" s="350" t="n"/>
      <c r="F36" s="356" t="n"/>
      <c r="G36" s="350" t="n"/>
      <c r="H36" s="350" t="n"/>
      <c r="I36" s="348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23.25" customHeight="1" s="317">
      <c r="B37" s="346" t="n"/>
      <c r="C37" s="355" t="inlineStr">
        <is>
          <t>Current Annual Labor Cost:</t>
        </is>
      </c>
      <c r="D37" s="350" t="n"/>
      <c r="E37" s="350" t="n"/>
      <c r="F37" s="356" t="n"/>
      <c r="G37" s="350" t="n"/>
      <c r="H37" s="399">
        <f>(((Hrs_Laborer)*(($F$9*$F$32)+($F$10*$F$33)+($F$11*$F$34)+($F$12*$F$35)))*shifts)</f>
        <v/>
      </c>
      <c r="I37" s="348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30" customHeight="1" s="317">
      <c r="B38" s="346" t="n"/>
      <c r="C38" s="355" t="inlineStr">
        <is>
          <t xml:space="preserve">Robotic System Annual Labor Cost: </t>
        </is>
      </c>
      <c r="D38" s="350" t="n"/>
      <c r="E38" s="350" t="n"/>
      <c r="F38" s="356" t="n"/>
      <c r="G38" s="350" t="n"/>
      <c r="H38" s="400">
        <f>((Hrs_Laborer)*(($F$15*$F$32)+($F$16*$F$33)+($F$17*$F$34)+($F$18*$F$35)))*shifts</f>
        <v/>
      </c>
      <c r="I38" s="348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30.75" customFormat="1" customHeight="1" s="387">
      <c r="A39" s="388" t="n"/>
      <c r="B39" s="389" t="n"/>
      <c r="C39" s="355" t="inlineStr">
        <is>
          <t>Annual Labor Savings (Dollars):</t>
        </is>
      </c>
      <c r="D39" s="350" t="n"/>
      <c r="E39" s="350" t="n"/>
      <c r="F39" s="356" t="n"/>
      <c r="G39" s="390" t="n"/>
      <c r="H39" s="401">
        <f>H37-H38</f>
        <v/>
      </c>
      <c r="I39" s="392" t="n"/>
      <c r="J39" s="388" t="n"/>
      <c r="K39" s="388" t="n"/>
      <c r="L39" s="388" t="n"/>
      <c r="M39" s="388" t="n"/>
      <c r="N39" s="388" t="n"/>
      <c r="O39" s="388" t="n"/>
      <c r="P39" s="388" t="n"/>
      <c r="Q39" s="388" t="n"/>
      <c r="R39" s="388" t="n"/>
      <c r="S39" s="388" t="n"/>
      <c r="T39" s="388" t="n"/>
      <c r="U39" s="388" t="n"/>
      <c r="V39" s="388" t="n"/>
      <c r="W39" s="388" t="n"/>
      <c r="X39" s="388" t="n"/>
      <c r="Y39" s="388" t="n"/>
      <c r="Z39" s="388" t="n"/>
      <c r="AA39" s="388" t="n"/>
      <c r="AB39" s="388" t="n"/>
    </row>
    <row r="40" ht="24" customHeight="1" s="317">
      <c r="B40" s="346" t="n"/>
      <c r="C40" s="350" t="n"/>
      <c r="D40" s="350" t="inlineStr">
        <is>
          <t> </t>
        </is>
      </c>
      <c r="E40" s="350" t="n"/>
      <c r="F40" s="356" t="n"/>
      <c r="G40" s="350" t="n"/>
      <c r="H40" s="350" t="n"/>
      <c r="I40" s="348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30.75" customFormat="1" customHeight="1" s="387">
      <c r="A41" s="388" t="n"/>
      <c r="B41" s="389" t="n"/>
      <c r="C41" s="355" t="inlineStr">
        <is>
          <t>Annual Lost Time and Disability Savings:</t>
        </is>
      </c>
      <c r="D41" s="350" t="n"/>
      <c r="E41" s="350" t="n"/>
      <c r="F41" s="356" t="n"/>
      <c r="G41" s="390" t="n"/>
      <c r="H41" s="402">
        <f>H39*F42</f>
        <v/>
      </c>
      <c r="I41" s="392" t="n"/>
      <c r="J41" s="388" t="n"/>
      <c r="K41" s="388" t="n"/>
      <c r="L41" s="388" t="n"/>
      <c r="M41" s="388" t="n"/>
      <c r="N41" s="388" t="n"/>
      <c r="O41" s="388" t="n"/>
      <c r="P41" s="388" t="n"/>
      <c r="Q41" s="388" t="n"/>
      <c r="R41" s="388" t="n"/>
      <c r="S41" s="388" t="n"/>
      <c r="T41" s="388" t="n"/>
      <c r="U41" s="388" t="n"/>
      <c r="V41" s="388" t="n"/>
      <c r="W41" s="388" t="n"/>
      <c r="X41" s="388" t="n"/>
      <c r="Y41" s="388" t="n"/>
      <c r="Z41" s="388" t="n"/>
      <c r="AA41" s="388" t="n"/>
      <c r="AB41" s="388" t="n"/>
    </row>
    <row r="42" ht="19.5" customHeight="1" s="317">
      <c r="B42" s="346" t="n"/>
      <c r="C42" s="337" t="n"/>
      <c r="D42" s="337" t="inlineStr">
        <is>
          <t> </t>
        </is>
      </c>
      <c r="E42" s="337" t="inlineStr">
        <is>
          <t>Annual Average Percentage Rate:</t>
        </is>
      </c>
      <c r="F42" s="403" t="n">
        <v>0.05</v>
      </c>
      <c r="G42" s="375" t="n"/>
      <c r="H42" s="375" t="n"/>
      <c r="I42" s="348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9.5" customHeight="1" s="317">
      <c r="B43" s="369" t="n"/>
      <c r="C43" s="370" t="n"/>
      <c r="D43" s="370" t="n"/>
      <c r="E43" s="370" t="inlineStr">
        <is>
          <t> </t>
        </is>
      </c>
      <c r="F43" s="331" t="n"/>
      <c r="G43" s="370" t="n"/>
      <c r="H43" s="370" t="inlineStr">
        <is>
          <t> </t>
        </is>
      </c>
      <c r="I43" s="371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.75" customHeight="1" s="317">
      <c r="B44" s="337" t="n"/>
      <c r="C44" s="337" t="n"/>
      <c r="D44" s="337" t="n"/>
      <c r="E44" s="337" t="inlineStr">
        <is>
          <t> </t>
        </is>
      </c>
      <c r="F44" s="318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.75" customHeight="1" s="317">
      <c r="B45" s="337" t="n"/>
      <c r="C45" s="337" t="n"/>
      <c r="D45" s="337" t="n"/>
      <c r="E45" s="337" t="n"/>
      <c r="F45" s="318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.75" customHeight="1" s="317">
      <c r="B46" s="337" t="n"/>
      <c r="C46" s="337" t="n"/>
      <c r="D46" s="337" t="n"/>
      <c r="E46" s="337" t="n"/>
      <c r="F46" s="318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47" ht="18.75" customHeight="1" s="317">
      <c r="B47" s="337" t="n"/>
      <c r="C47" s="337" t="n"/>
      <c r="D47" s="337" t="n"/>
      <c r="E47" s="337" t="n"/>
      <c r="F47" s="318" t="n"/>
      <c r="G47" s="337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</row>
    <row r="48" ht="18.75" customHeight="1" s="317">
      <c r="B48" s="337" t="n"/>
      <c r="C48" s="337" t="n"/>
      <c r="D48" s="337" t="n"/>
      <c r="E48" s="337" t="n"/>
      <c r="F48" s="318" t="n"/>
      <c r="G48" s="337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</row>
    <row r="49" ht="18.75" customHeight="1" s="317">
      <c r="B49" s="337" t="n"/>
      <c r="C49" s="337" t="n"/>
      <c r="D49" s="337" t="n"/>
      <c r="E49" s="337" t="n"/>
      <c r="F49" s="318" t="n">
        <v>15</v>
      </c>
      <c r="G49" s="337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</row>
    <row r="50" ht="18.75" customHeight="1" s="317">
      <c r="B50" s="337" t="n"/>
      <c r="C50" s="337" t="n"/>
      <c r="D50" s="337" t="n"/>
      <c r="E50" s="337" t="n"/>
      <c r="F50" s="318" t="n"/>
      <c r="G50" s="337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</row>
    <row r="51" ht="18.75" customHeight="1" s="317">
      <c r="B51" s="337" t="n"/>
      <c r="C51" s="337" t="n"/>
      <c r="D51" s="337" t="n"/>
      <c r="E51" s="337" t="n"/>
      <c r="F51" s="318" t="n"/>
      <c r="G51" s="337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</row>
    <row r="52" ht="18.75" customHeight="1" s="317">
      <c r="B52" s="337" t="n"/>
      <c r="C52" s="337" t="n"/>
      <c r="D52" s="337" t="n"/>
      <c r="E52" s="337" t="n"/>
      <c r="F52" s="318" t="n"/>
      <c r="G52" s="337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</row>
    <row r="53" ht="18.75" customHeight="1" s="317">
      <c r="B53" s="337" t="n"/>
      <c r="C53" s="337" t="n"/>
      <c r="D53" s="337" t="n"/>
      <c r="E53" s="337" t="n"/>
      <c r="F53" s="318" t="n"/>
      <c r="G53" s="337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</row>
    <row r="54" ht="18.75" customHeight="1" s="317">
      <c r="B54" s="337" t="n"/>
      <c r="C54" s="337" t="n"/>
      <c r="D54" s="337" t="n"/>
      <c r="E54" s="337" t="n"/>
      <c r="F54" s="318" t="n"/>
      <c r="G54" s="337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</row>
    <row r="55" ht="18.75" customHeight="1" s="317">
      <c r="B55" s="337" t="n"/>
      <c r="C55" s="337" t="n"/>
      <c r="D55" s="337" t="n"/>
      <c r="E55" s="337" t="n"/>
      <c r="F55" s="318" t="n"/>
      <c r="G55" s="337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</row>
    <row r="56" ht="18.75" customHeight="1" s="317">
      <c r="B56" s="337" t="n"/>
      <c r="C56" s="337" t="n"/>
      <c r="D56" s="337" t="n"/>
      <c r="E56" s="337" t="n"/>
      <c r="F56" s="318" t="n"/>
      <c r="G56" s="337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</row>
    <row r="57" ht="18.75" customHeight="1" s="317">
      <c r="B57" s="337" t="n"/>
      <c r="C57" s="337" t="n"/>
      <c r="D57" s="337" t="n"/>
      <c r="E57" s="337" t="n"/>
      <c r="F57" s="318" t="n"/>
      <c r="G57" s="337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</row>
    <row r="58" ht="18.75" customHeight="1" s="317">
      <c r="B58" s="337" t="n"/>
      <c r="C58" s="337" t="n"/>
      <c r="D58" s="337" t="n"/>
      <c r="E58" s="337" t="n"/>
      <c r="F58" s="318" t="n"/>
      <c r="G58" s="337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</row>
    <row r="59" ht="18.75" customHeight="1" s="317">
      <c r="B59" s="337" t="n"/>
      <c r="C59" s="337" t="n"/>
      <c r="D59" s="337" t="n"/>
      <c r="E59" s="337" t="n"/>
      <c r="F59" s="318" t="n"/>
      <c r="G59" s="337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</row>
    <row r="60" ht="18.75" customHeight="1" s="317">
      <c r="B60" s="337" t="n"/>
      <c r="C60" s="337" t="n"/>
      <c r="D60" s="337" t="n"/>
      <c r="E60" s="337" t="n"/>
      <c r="F60" s="318" t="n"/>
      <c r="G60" s="337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</row>
    <row r="61" ht="18.75" customHeight="1" s="317">
      <c r="B61" s="337" t="n"/>
      <c r="C61" s="337" t="n"/>
      <c r="D61" s="337" t="n"/>
      <c r="E61" s="337" t="n"/>
      <c r="F61" s="318" t="n"/>
      <c r="G61" s="337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</row>
    <row r="62" ht="18.75" customHeight="1" s="317">
      <c r="B62" s="337" t="n"/>
      <c r="C62" s="337" t="n"/>
      <c r="D62" s="337" t="n"/>
      <c r="E62" s="337" t="n"/>
      <c r="F62" s="318" t="n"/>
      <c r="G62" s="337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</row>
    <row r="63" ht="18.75" customHeight="1" s="317">
      <c r="B63" s="337" t="n"/>
      <c r="C63" s="337" t="n"/>
      <c r="D63" s="337" t="n"/>
      <c r="E63" s="337" t="n"/>
      <c r="F63" s="318" t="n"/>
      <c r="G63" s="337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</row>
    <row r="64" ht="18.75" customHeight="1" s="317">
      <c r="B64" s="337" t="n"/>
      <c r="C64" s="337" t="n"/>
      <c r="D64" s="337" t="n"/>
      <c r="E64" s="337" t="n"/>
      <c r="F64" s="318" t="n"/>
      <c r="G64" s="337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</row>
    <row r="65" ht="18.75" customHeight="1" s="317">
      <c r="B65" s="337" t="n"/>
      <c r="C65" s="337" t="n"/>
      <c r="D65" s="337" t="n"/>
      <c r="E65" s="337" t="n"/>
      <c r="F65" s="318" t="n"/>
      <c r="G65" s="337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</row>
    <row r="66" ht="18.75" customHeight="1" s="317">
      <c r="B66" s="337" t="n"/>
      <c r="C66" s="337" t="n"/>
      <c r="D66" s="337" t="n"/>
      <c r="E66" s="337" t="n"/>
      <c r="F66" s="318" t="n"/>
      <c r="G66" s="337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</row>
    <row r="67" ht="18.75" customHeight="1" s="317">
      <c r="B67" s="337" t="n"/>
      <c r="C67" s="337" t="n"/>
      <c r="D67" s="337" t="n"/>
      <c r="E67" s="337" t="n"/>
      <c r="F67" s="318" t="n"/>
      <c r="G67" s="337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</row>
    <row r="68" ht="18.75" customHeight="1" s="317">
      <c r="B68" s="337" t="n"/>
      <c r="C68" s="337" t="n"/>
      <c r="D68" s="337" t="n"/>
      <c r="E68" s="337" t="n"/>
      <c r="F68" s="318" t="n"/>
      <c r="G68" s="337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</row>
    <row r="69" ht="18.75" customHeight="1" s="317">
      <c r="B69" s="337" t="n"/>
      <c r="C69" s="337" t="n"/>
      <c r="D69" s="337" t="n"/>
      <c r="E69" s="337" t="n"/>
      <c r="F69" s="318" t="n"/>
      <c r="G69" s="337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</row>
    <row r="70" ht="18.75" customHeight="1" s="317">
      <c r="B70" s="337" t="n"/>
      <c r="C70" s="337" t="n"/>
      <c r="D70" s="337" t="n"/>
      <c r="E70" s="337" t="n"/>
      <c r="F70" s="318" t="n"/>
      <c r="G70" s="337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</row>
    <row r="71" ht="18.75" customHeight="1" s="317">
      <c r="B71" s="337" t="n"/>
      <c r="C71" s="337" t="n"/>
      <c r="D71" s="337" t="n"/>
      <c r="E71" s="337" t="n"/>
      <c r="F71" s="318" t="n"/>
      <c r="G71" s="337" t="n"/>
      <c r="H71" s="337" t="n"/>
      <c r="I71" s="337" t="n"/>
      <c r="J71" s="337" t="n"/>
      <c r="K71" s="337" t="n"/>
      <c r="L71" s="337" t="n"/>
      <c r="M71" s="337" t="n"/>
      <c r="N71" s="337" t="n"/>
      <c r="O71" s="337" t="n"/>
      <c r="P71" s="337" t="n"/>
      <c r="Q71" s="337" t="n"/>
      <c r="R71" s="337" t="n"/>
      <c r="S71" s="337" t="n"/>
      <c r="T71" s="337" t="n"/>
      <c r="U71" s="337" t="n"/>
      <c r="V71" s="337" t="n"/>
      <c r="W71" s="337" t="n"/>
      <c r="X71" s="337" t="n"/>
      <c r="Y71" s="337" t="n"/>
      <c r="Z71" s="337" t="n"/>
      <c r="AA71" s="337" t="n"/>
      <c r="AB71" s="337" t="n"/>
    </row>
    <row r="72" ht="18.75" customHeight="1" s="317">
      <c r="B72" s="337" t="n"/>
      <c r="C72" s="337" t="n"/>
      <c r="D72" s="337" t="n"/>
      <c r="E72" s="337" t="n"/>
      <c r="F72" s="318" t="n"/>
      <c r="G72" s="337" t="n"/>
      <c r="H72" s="337" t="n"/>
      <c r="I72" s="337" t="n"/>
      <c r="J72" s="337" t="n"/>
      <c r="K72" s="337" t="n"/>
      <c r="L72" s="337" t="n"/>
      <c r="M72" s="337" t="n"/>
      <c r="N72" s="337" t="n"/>
      <c r="O72" s="337" t="n"/>
      <c r="P72" s="337" t="n"/>
      <c r="Q72" s="337" t="n"/>
      <c r="R72" s="337" t="n"/>
      <c r="S72" s="337" t="n"/>
      <c r="T72" s="337" t="n"/>
      <c r="U72" s="337" t="n"/>
      <c r="V72" s="337" t="n"/>
      <c r="W72" s="337" t="n"/>
      <c r="X72" s="337" t="n"/>
      <c r="Y72" s="337" t="n"/>
      <c r="Z72" s="337" t="n"/>
      <c r="AA72" s="337" t="n"/>
      <c r="AB72" s="337" t="n"/>
    </row>
    <row r="73" ht="18.75" customHeight="1" s="317">
      <c r="B73" s="337" t="n"/>
      <c r="C73" s="337" t="n"/>
      <c r="D73" s="337" t="n"/>
      <c r="E73" s="337" t="n"/>
      <c r="F73" s="318" t="n"/>
      <c r="G73" s="337" t="n"/>
      <c r="H73" s="337" t="n"/>
      <c r="I73" s="337" t="n"/>
      <c r="J73" s="337" t="n"/>
      <c r="K73" s="337" t="n"/>
      <c r="L73" s="337" t="n"/>
      <c r="M73" s="337" t="n"/>
      <c r="N73" s="337" t="n"/>
      <c r="O73" s="337" t="n"/>
      <c r="P73" s="337" t="n"/>
      <c r="Q73" s="337" t="n"/>
      <c r="R73" s="337" t="n"/>
      <c r="S73" s="337" t="n"/>
      <c r="T73" s="337" t="n"/>
      <c r="U73" s="337" t="n"/>
      <c r="V73" s="337" t="n"/>
      <c r="W73" s="337" t="n"/>
      <c r="X73" s="337" t="n"/>
      <c r="Y73" s="337" t="n"/>
      <c r="Z73" s="337" t="n"/>
      <c r="AA73" s="337" t="n"/>
      <c r="AB73" s="337" t="n"/>
    </row>
    <row r="74" ht="18.75" customHeight="1" s="317">
      <c r="B74" s="337" t="n"/>
      <c r="C74" s="337" t="n"/>
      <c r="D74" s="337" t="n"/>
      <c r="E74" s="337" t="n"/>
      <c r="F74" s="318" t="n"/>
      <c r="G74" s="337" t="n"/>
      <c r="H74" s="337" t="n"/>
      <c r="I74" s="337" t="n"/>
      <c r="J74" s="337" t="n"/>
      <c r="K74" s="337" t="n"/>
      <c r="L74" s="337" t="n"/>
      <c r="M74" s="337" t="n"/>
      <c r="N74" s="337" t="n"/>
      <c r="O74" s="337" t="n"/>
      <c r="P74" s="337" t="n"/>
      <c r="Q74" s="337" t="n"/>
      <c r="R74" s="337" t="n"/>
      <c r="S74" s="337" t="n"/>
      <c r="T74" s="337" t="n"/>
      <c r="U74" s="337" t="n"/>
      <c r="V74" s="337" t="n"/>
      <c r="W74" s="337" t="n"/>
      <c r="X74" s="337" t="n"/>
      <c r="Y74" s="337" t="n"/>
      <c r="Z74" s="337" t="n"/>
      <c r="AA74" s="337" t="n"/>
      <c r="AB74" s="337" t="n"/>
    </row>
    <row r="75" ht="18.75" customHeight="1" s="317">
      <c r="B75" s="337" t="n"/>
      <c r="C75" s="337" t="n"/>
      <c r="D75" s="337" t="n"/>
      <c r="E75" s="337" t="n"/>
      <c r="F75" s="318" t="n"/>
      <c r="G75" s="337" t="n"/>
      <c r="H75" s="337" t="n"/>
      <c r="I75" s="337" t="n"/>
      <c r="J75" s="337" t="n"/>
      <c r="K75" s="337" t="n"/>
      <c r="L75" s="337" t="n"/>
      <c r="M75" s="337" t="n"/>
      <c r="N75" s="337" t="n"/>
      <c r="O75" s="337" t="n"/>
      <c r="P75" s="337" t="n"/>
      <c r="Q75" s="337" t="n"/>
      <c r="R75" s="337" t="n"/>
      <c r="S75" s="337" t="n"/>
      <c r="T75" s="337" t="n"/>
      <c r="U75" s="337" t="n"/>
      <c r="V75" s="337" t="n"/>
      <c r="W75" s="337" t="n"/>
      <c r="X75" s="337" t="n"/>
      <c r="Y75" s="337" t="n"/>
      <c r="Z75" s="337" t="n"/>
      <c r="AA75" s="337" t="n"/>
      <c r="AB75" s="337" t="n"/>
    </row>
    <row r="76" ht="18.75" customHeight="1" s="317">
      <c r="B76" s="337" t="n"/>
      <c r="C76" s="337" t="n"/>
      <c r="D76" s="337" t="n"/>
      <c r="E76" s="337" t="n"/>
      <c r="F76" s="318" t="n"/>
      <c r="G76" s="337" t="n"/>
      <c r="H76" s="337" t="n"/>
      <c r="I76" s="337" t="n"/>
      <c r="J76" s="337" t="n"/>
      <c r="K76" s="337" t="n"/>
      <c r="L76" s="337" t="n"/>
      <c r="M76" s="337" t="n"/>
      <c r="N76" s="337" t="n"/>
      <c r="O76" s="337" t="n"/>
      <c r="P76" s="337" t="n"/>
      <c r="Q76" s="337" t="n"/>
      <c r="R76" s="337" t="n"/>
      <c r="S76" s="337" t="n"/>
      <c r="T76" s="337" t="n"/>
      <c r="U76" s="337" t="n"/>
      <c r="V76" s="337" t="n"/>
      <c r="W76" s="337" t="n"/>
      <c r="X76" s="337" t="n"/>
      <c r="Y76" s="337" t="n"/>
      <c r="Z76" s="337" t="n"/>
      <c r="AA76" s="337" t="n"/>
      <c r="AB76" s="337" t="n"/>
    </row>
    <row r="77" ht="18.75" customHeight="1" s="317">
      <c r="B77" s="337" t="n"/>
      <c r="C77" s="337" t="n"/>
      <c r="D77" s="337" t="n"/>
      <c r="E77" s="337" t="n"/>
      <c r="F77" s="318" t="n"/>
      <c r="G77" s="337" t="n"/>
      <c r="H77" s="337" t="n"/>
      <c r="I77" s="337" t="n"/>
      <c r="J77" s="337" t="n"/>
      <c r="K77" s="337" t="n"/>
      <c r="L77" s="337" t="n"/>
      <c r="M77" s="337" t="n"/>
      <c r="N77" s="337" t="n"/>
      <c r="O77" s="337" t="n"/>
      <c r="P77" s="337" t="n"/>
      <c r="Q77" s="337" t="n"/>
      <c r="R77" s="337" t="n"/>
      <c r="S77" s="337" t="n"/>
      <c r="T77" s="337" t="n"/>
      <c r="U77" s="337" t="n"/>
      <c r="V77" s="337" t="n"/>
      <c r="W77" s="337" t="n"/>
      <c r="X77" s="337" t="n"/>
      <c r="Y77" s="337" t="n"/>
      <c r="Z77" s="337" t="n"/>
      <c r="AA77" s="337" t="n"/>
      <c r="AB77" s="337" t="n"/>
    </row>
    <row r="78" ht="18.75" customHeight="1" s="317">
      <c r="B78" s="337" t="n"/>
      <c r="C78" s="337" t="n"/>
      <c r="D78" s="337" t="n"/>
      <c r="E78" s="337" t="n"/>
      <c r="F78" s="318" t="n"/>
      <c r="G78" s="337" t="n"/>
      <c r="H78" s="337" t="n"/>
      <c r="I78" s="337" t="n"/>
      <c r="J78" s="337" t="n"/>
      <c r="K78" s="337" t="n"/>
      <c r="L78" s="337" t="n"/>
      <c r="M78" s="337" t="n"/>
      <c r="N78" s="337" t="n"/>
      <c r="O78" s="337" t="n"/>
      <c r="P78" s="337" t="n"/>
      <c r="Q78" s="337" t="n"/>
      <c r="R78" s="337" t="n"/>
      <c r="S78" s="337" t="n"/>
      <c r="T78" s="337" t="n"/>
      <c r="U78" s="337" t="n"/>
      <c r="V78" s="337" t="n"/>
      <c r="W78" s="337" t="n"/>
      <c r="X78" s="337" t="n"/>
      <c r="Y78" s="337" t="n"/>
      <c r="Z78" s="337" t="n"/>
      <c r="AA78" s="337" t="n"/>
      <c r="AB78" s="337" t="n"/>
    </row>
    <row r="79" ht="18.75" customHeight="1" s="317">
      <c r="B79" s="337" t="n"/>
      <c r="C79" s="337" t="n"/>
      <c r="D79" s="337" t="n"/>
      <c r="E79" s="337" t="n"/>
      <c r="F79" s="318" t="n"/>
      <c r="G79" s="337" t="n"/>
      <c r="H79" s="337" t="n"/>
      <c r="I79" s="337" t="n"/>
      <c r="J79" s="337" t="n"/>
      <c r="K79" s="337" t="n"/>
      <c r="L79" s="337" t="n"/>
      <c r="M79" s="337" t="n"/>
      <c r="N79" s="337" t="n"/>
      <c r="O79" s="337" t="n"/>
      <c r="P79" s="337" t="n"/>
      <c r="Q79" s="337" t="n"/>
      <c r="R79" s="337" t="n"/>
      <c r="S79" s="337" t="n"/>
      <c r="T79" s="337" t="n"/>
      <c r="U79" s="337" t="n"/>
      <c r="V79" s="337" t="n"/>
      <c r="W79" s="337" t="n"/>
      <c r="X79" s="337" t="n"/>
      <c r="Y79" s="337" t="n"/>
      <c r="Z79" s="337" t="n"/>
      <c r="AA79" s="337" t="n"/>
      <c r="AB79" s="337" t="n"/>
    </row>
    <row r="80" ht="18.75" customHeight="1" s="317">
      <c r="B80" s="337" t="n"/>
      <c r="C80" s="337" t="n"/>
      <c r="D80" s="337" t="n"/>
      <c r="E80" s="337" t="n"/>
      <c r="F80" s="318" t="n"/>
      <c r="G80" s="337" t="n"/>
      <c r="H80" s="337" t="n"/>
      <c r="I80" s="337" t="n"/>
      <c r="J80" s="337" t="n"/>
      <c r="K80" s="337" t="n"/>
      <c r="L80" s="337" t="n"/>
      <c r="M80" s="337" t="n"/>
      <c r="N80" s="337" t="n"/>
      <c r="O80" s="337" t="n"/>
      <c r="P80" s="337" t="n"/>
      <c r="Q80" s="337" t="n"/>
      <c r="R80" s="337" t="n"/>
      <c r="S80" s="337" t="n"/>
      <c r="T80" s="337" t="n"/>
      <c r="U80" s="337" t="n"/>
      <c r="V80" s="337" t="n"/>
      <c r="W80" s="337" t="n"/>
      <c r="X80" s="337" t="n"/>
      <c r="Y80" s="337" t="n"/>
      <c r="Z80" s="337" t="n"/>
      <c r="AA80" s="337" t="n"/>
      <c r="AB80" s="337" t="n"/>
    </row>
    <row r="81" ht="18.75" customHeight="1" s="317">
      <c r="B81" s="337" t="n"/>
      <c r="C81" s="337" t="n"/>
      <c r="D81" s="337" t="n"/>
      <c r="E81" s="337" t="n"/>
      <c r="F81" s="318" t="n"/>
      <c r="G81" s="337" t="n"/>
      <c r="H81" s="337" t="n"/>
      <c r="I81" s="337" t="n"/>
      <c r="J81" s="337" t="n"/>
      <c r="K81" s="337" t="n"/>
      <c r="L81" s="337" t="n"/>
      <c r="M81" s="337" t="n"/>
      <c r="N81" s="337" t="n"/>
      <c r="O81" s="337" t="n"/>
      <c r="P81" s="337" t="n"/>
      <c r="Q81" s="337" t="n"/>
      <c r="R81" s="337" t="n"/>
      <c r="S81" s="337" t="n"/>
      <c r="T81" s="337" t="n"/>
      <c r="U81" s="337" t="n"/>
      <c r="V81" s="337" t="n"/>
      <c r="W81" s="337" t="n"/>
      <c r="X81" s="337" t="n"/>
      <c r="Y81" s="337" t="n"/>
      <c r="Z81" s="337" t="n"/>
      <c r="AA81" s="337" t="n"/>
      <c r="AB81" s="337" t="n"/>
    </row>
    <row r="82" ht="18.75" customHeight="1" s="317">
      <c r="B82" s="337" t="n"/>
      <c r="C82" s="337" t="n"/>
      <c r="D82" s="337" t="n"/>
      <c r="E82" s="337" t="n"/>
      <c r="F82" s="318" t="n"/>
      <c r="G82" s="337" t="n"/>
      <c r="H82" s="337" t="n"/>
      <c r="I82" s="337" t="n"/>
      <c r="J82" s="337" t="n"/>
      <c r="K82" s="337" t="n"/>
      <c r="L82" s="337" t="n"/>
      <c r="M82" s="337" t="n"/>
      <c r="N82" s="337" t="n"/>
      <c r="O82" s="337" t="n"/>
      <c r="P82" s="337" t="n"/>
      <c r="Q82" s="337" t="n"/>
      <c r="R82" s="337" t="n"/>
      <c r="S82" s="337" t="n"/>
      <c r="T82" s="337" t="n"/>
      <c r="U82" s="337" t="n"/>
      <c r="V82" s="337" t="n"/>
      <c r="W82" s="337" t="n"/>
      <c r="X82" s="337" t="n"/>
      <c r="Y82" s="337" t="n"/>
      <c r="Z82" s="337" t="n"/>
      <c r="AA82" s="337" t="n"/>
      <c r="AB82" s="337" t="n"/>
    </row>
    <row r="83" ht="18.75" customHeight="1" s="317">
      <c r="B83" s="337" t="n"/>
      <c r="C83" s="337" t="n"/>
      <c r="D83" s="337" t="n"/>
      <c r="E83" s="337" t="n"/>
      <c r="F83" s="318" t="n"/>
      <c r="G83" s="337" t="n"/>
      <c r="H83" s="337" t="n"/>
      <c r="I83" s="337" t="n"/>
      <c r="J83" s="337" t="n"/>
      <c r="K83" s="337" t="n"/>
      <c r="L83" s="337" t="n"/>
      <c r="M83" s="337" t="n"/>
      <c r="N83" s="337" t="n"/>
      <c r="O83" s="337" t="n"/>
      <c r="P83" s="337" t="n"/>
      <c r="Q83" s="337" t="n"/>
      <c r="R83" s="337" t="n"/>
      <c r="S83" s="337" t="n"/>
      <c r="T83" s="337" t="n"/>
      <c r="U83" s="337" t="n"/>
      <c r="V83" s="337" t="n"/>
      <c r="W83" s="337" t="n"/>
      <c r="X83" s="337" t="n"/>
      <c r="Y83" s="337" t="n"/>
      <c r="Z83" s="337" t="n"/>
      <c r="AA83" s="337" t="n"/>
      <c r="AB83" s="337" t="n"/>
    </row>
  </sheetData>
  <mergeCells count="2">
    <mergeCell ref="A1:J1"/>
    <mergeCell ref="C6:H6"/>
  </mergeCells>
  <printOptions horizontalCentered="1" verticalCentered="1" headings="0" gridLines="0" gridLinesSet="1"/>
  <pageMargins left="0.5" right="0.5" top="0.875" bottom="0.875" header="0.5" footer="0.4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2 of 9_x000a_&amp;R&amp;"Arial,Bold"&amp;10 &amp;D - &amp;T_x000a_ 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Q63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60.77" customWidth="1" style="338" min="5" max="5"/>
    <col width="8.77" customWidth="1" style="338" min="6" max="6"/>
    <col width="2.77" customWidth="1" style="338" min="7" max="7"/>
    <col width="15.77" customWidth="1" style="338" min="8" max="8"/>
    <col width="2.77" customWidth="1" style="338" min="9" max="10"/>
    <col width="8.880000000000001" customWidth="1" style="338" min="11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2" t="n"/>
    </row>
    <row r="2" ht="18.75" customFormat="1" customHeight="1" s="337"/>
    <row r="3" ht="17.4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5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</row>
    <row r="4" ht="17.4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48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</row>
    <row r="5" ht="18.75" customHeight="1" s="317">
      <c r="B5" s="346" t="n"/>
      <c r="C5" s="347" t="inlineStr">
        <is>
          <t>In This Area</t>
        </is>
      </c>
      <c r="D5" s="337" t="n"/>
      <c r="E5" s="337" t="n"/>
      <c r="F5" s="337" t="n"/>
      <c r="G5" s="337" t="n"/>
      <c r="H5" s="337" t="n"/>
      <c r="I5" s="348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</row>
    <row r="6" ht="34.5" customFormat="1" customHeight="1" s="404">
      <c r="A6" s="405" t="n"/>
      <c r="B6" s="406" t="n"/>
      <c r="C6" s="349" t="inlineStr">
        <is>
          <t>Preventive Maintenance (PM) Labor Cost</t>
        </is>
      </c>
      <c r="I6" s="407" t="n"/>
      <c r="J6" s="405" t="n"/>
      <c r="K6" s="405" t="n"/>
      <c r="L6" s="405" t="n"/>
      <c r="M6" s="405" t="n"/>
      <c r="N6" s="405" t="n"/>
      <c r="O6" s="405" t="n"/>
      <c r="P6" s="405" t="n"/>
      <c r="Q6" s="405" t="n"/>
      <c r="R6" s="405" t="n"/>
      <c r="S6" s="405" t="n"/>
      <c r="T6" s="405" t="n"/>
      <c r="U6" s="405" t="n"/>
      <c r="V6" s="405" t="n"/>
      <c r="W6" s="405" t="n"/>
      <c r="X6" s="405" t="n"/>
      <c r="Y6" s="405" t="n"/>
    </row>
    <row r="7" ht="35.25" customFormat="1" customHeight="1" s="404">
      <c r="A7" s="405" t="n"/>
      <c r="B7" s="406" t="n"/>
      <c r="C7" s="337" t="n"/>
      <c r="D7" s="408" t="n"/>
      <c r="E7" s="337" t="inlineStr">
        <is>
          <t> </t>
        </is>
      </c>
      <c r="F7" s="409" t="n"/>
      <c r="G7" s="405" t="n"/>
      <c r="H7" s="410" t="n"/>
      <c r="I7" s="407" t="n"/>
      <c r="J7" s="405" t="n"/>
      <c r="K7" s="405" t="n"/>
      <c r="L7" s="405" t="n"/>
      <c r="M7" s="405" t="n"/>
      <c r="N7" s="405" t="n"/>
      <c r="O7" s="405" t="n"/>
      <c r="P7" s="405" t="n"/>
      <c r="Q7" s="405" t="n"/>
      <c r="R7" s="405" t="n"/>
      <c r="S7" s="405" t="n"/>
      <c r="T7" s="405" t="n"/>
      <c r="U7" s="405" t="n"/>
      <c r="V7" s="405" t="n"/>
      <c r="W7" s="405" t="n"/>
      <c r="X7" s="405" t="n"/>
      <c r="Y7" s="405" t="n"/>
    </row>
    <row r="8" ht="24" customFormat="1" customHeight="1" s="411">
      <c r="A8" s="350" t="n"/>
      <c r="B8" s="412" t="n"/>
      <c r="C8" s="355" t="inlineStr">
        <is>
          <t>Total Additional Number of PM Personnel Assigned:</t>
        </is>
      </c>
      <c r="D8" s="350" t="n"/>
      <c r="E8" s="350" t="n"/>
      <c r="F8" s="318" t="n"/>
      <c r="G8" s="350" t="n"/>
      <c r="H8" s="413" t="n">
        <v>0</v>
      </c>
      <c r="I8" s="414" t="n"/>
      <c r="J8" s="350" t="n"/>
      <c r="K8" s="350" t="n"/>
      <c r="L8" s="350" t="n"/>
      <c r="M8" s="350" t="n"/>
      <c r="N8" s="350" t="n"/>
      <c r="O8" s="350" t="n"/>
      <c r="P8" s="350" t="n"/>
      <c r="Q8" s="350" t="n"/>
      <c r="R8" s="350" t="n"/>
      <c r="S8" s="350" t="n"/>
      <c r="T8" s="350" t="n"/>
      <c r="U8" s="350" t="n"/>
      <c r="V8" s="350" t="n"/>
      <c r="W8" s="350" t="n"/>
      <c r="X8" s="350" t="n"/>
      <c r="Y8" s="350" t="n"/>
    </row>
    <row r="9" ht="19.5" customHeight="1" s="317">
      <c r="B9" s="346" t="n"/>
      <c r="C9" s="415" t="n"/>
      <c r="D9" s="337" t="n"/>
      <c r="E9" s="337" t="n"/>
      <c r="F9" s="318" t="n"/>
      <c r="G9" s="337" t="n"/>
      <c r="H9" s="416" t="n"/>
      <c r="I9" s="348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</row>
    <row r="10" ht="24" customFormat="1" customHeight="1" s="411">
      <c r="A10" s="350" t="n"/>
      <c r="B10" s="412" t="n"/>
      <c r="C10" s="355" t="inlineStr">
        <is>
          <t>Burdened Hourly Rate for PM:</t>
        </is>
      </c>
      <c r="D10" s="350" t="n"/>
      <c r="E10" s="350" t="n"/>
      <c r="F10" s="318" t="n"/>
      <c r="G10" s="350" t="n"/>
      <c r="H10" s="417" t="n">
        <v>0</v>
      </c>
      <c r="I10" s="414" t="n"/>
      <c r="J10" s="350" t="n"/>
      <c r="K10" s="350" t="n"/>
      <c r="L10" s="350" t="n"/>
      <c r="M10" s="350" t="n"/>
      <c r="N10" s="350" t="n"/>
      <c r="O10" s="350" t="n"/>
      <c r="P10" s="350" t="n"/>
      <c r="Q10" s="350" t="n"/>
      <c r="R10" s="350" t="n"/>
      <c r="S10" s="350" t="n"/>
      <c r="T10" s="350" t="n"/>
      <c r="U10" s="350" t="n"/>
      <c r="V10" s="350" t="n"/>
      <c r="W10" s="350" t="n"/>
      <c r="X10" s="350" t="n"/>
      <c r="Y10" s="350" t="n"/>
    </row>
    <row r="11" ht="19.5" customHeight="1" s="317">
      <c r="B11" s="346" t="n"/>
      <c r="C11" s="415" t="n"/>
      <c r="D11" s="337" t="n"/>
      <c r="E11" s="337" t="inlineStr">
        <is>
          <t> </t>
        </is>
      </c>
      <c r="F11" s="318" t="n"/>
      <c r="G11" s="337" t="n"/>
      <c r="H11" s="418" t="n"/>
      <c r="I11" s="348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</row>
    <row r="12" ht="24" customFormat="1" customHeight="1" s="411">
      <c r="A12" s="350" t="n"/>
      <c r="B12" s="412" t="n"/>
      <c r="C12" s="355" t="inlineStr">
        <is>
          <t>Number of proposed FANUC Robots In System:</t>
        </is>
      </c>
      <c r="D12" s="350" t="n"/>
      <c r="E12" s="350" t="n"/>
      <c r="F12" s="318" t="n"/>
      <c r="G12" s="350" t="n"/>
      <c r="H12" s="419" t="n">
        <v>0</v>
      </c>
      <c r="I12" s="414" t="n"/>
      <c r="J12" s="350" t="n"/>
      <c r="K12" s="350" t="n"/>
      <c r="L12" s="350" t="n"/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</row>
    <row r="13" ht="19.5" customHeight="1" s="317">
      <c r="B13" s="346" t="n"/>
      <c r="C13" s="415" t="n"/>
      <c r="D13" s="337" t="n"/>
      <c r="E13" s="337" t="n"/>
      <c r="F13" s="318" t="n"/>
      <c r="G13" s="337" t="n"/>
      <c r="H13" s="415" t="n"/>
      <c r="I13" s="348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</row>
    <row r="14" ht="24" customFormat="1" customHeight="1" s="411">
      <c r="A14" s="350" t="n"/>
      <c r="B14" s="412" t="n"/>
      <c r="C14" s="355" t="inlineStr">
        <is>
          <t>Proposed PM Man-Hours per Year</t>
        </is>
      </c>
      <c r="D14" s="350" t="n"/>
      <c r="E14" s="350" t="n"/>
      <c r="F14" s="318" t="n"/>
      <c r="G14" s="350" t="n"/>
      <c r="H14" s="420">
        <f>F15+F16</f>
        <v/>
      </c>
      <c r="I14" s="414" t="n"/>
      <c r="J14" s="350" t="n"/>
      <c r="K14" s="350" t="n"/>
      <c r="L14" s="350" t="n"/>
      <c r="M14" s="350" t="n"/>
      <c r="N14" s="350" t="n"/>
      <c r="O14" s="350" t="n"/>
      <c r="P14" s="350" t="n"/>
      <c r="Q14" s="350" t="n"/>
      <c r="R14" s="350" t="n"/>
      <c r="S14" s="350" t="n"/>
      <c r="T14" s="350" t="n"/>
      <c r="U14" s="350" t="n"/>
      <c r="V14" s="350" t="n"/>
      <c r="W14" s="350" t="n"/>
      <c r="X14" s="350" t="n"/>
      <c r="Y14" s="350" t="n"/>
    </row>
    <row r="15" ht="19.5" customHeight="1" s="317">
      <c r="B15" s="346" t="n"/>
      <c r="C15" s="337" t="n"/>
      <c r="D15" s="337" t="inlineStr">
        <is>
          <t>Number of Robots * 4 Hrs. per Quarter * 4-Quarters</t>
        </is>
      </c>
      <c r="E15" s="337" t="n"/>
      <c r="F15" s="421">
        <f>H12*4*4</f>
        <v/>
      </c>
      <c r="G15" s="337" t="n"/>
      <c r="H15" s="422" t="n"/>
      <c r="I15" s="348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  <c r="AD15" s="337" t="n"/>
      <c r="AE15" s="337" t="n"/>
      <c r="AF15" s="337" t="n"/>
      <c r="AG15" s="337" t="n"/>
      <c r="AH15" s="337" t="n"/>
      <c r="AI15" s="337" t="n"/>
      <c r="AJ15" s="337" t="n"/>
      <c r="AK15" s="337" t="n"/>
      <c r="AL15" s="337" t="n"/>
      <c r="AM15" s="337" t="n"/>
      <c r="AN15" s="337" t="n"/>
      <c r="AO15" s="337" t="n"/>
      <c r="AP15" s="337" t="n"/>
      <c r="AQ15" s="337" t="n"/>
    </row>
    <row r="16" ht="19.5" customHeight="1" s="317">
      <c r="B16" s="346" t="n"/>
      <c r="C16" s="337" t="inlineStr">
        <is>
          <t> </t>
        </is>
      </c>
      <c r="D16" s="337" t="inlineStr">
        <is>
          <t>Yearly Peripheral Equipment Estimate</t>
        </is>
      </c>
      <c r="E16" s="337" t="n"/>
      <c r="F16" s="382" t="n">
        <v>0</v>
      </c>
      <c r="G16" s="337" t="n"/>
      <c r="H16" s="422" t="n"/>
      <c r="I16" s="348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  <c r="AC16" s="337" t="n"/>
      <c r="AD16" s="337" t="n"/>
      <c r="AE16" s="337" t="n"/>
      <c r="AF16" s="337" t="n"/>
      <c r="AG16" s="337" t="n"/>
      <c r="AH16" s="337" t="n"/>
      <c r="AI16" s="337" t="n"/>
      <c r="AJ16" s="337" t="n"/>
      <c r="AK16" s="337" t="n"/>
      <c r="AL16" s="337" t="n"/>
      <c r="AM16" s="337" t="n"/>
      <c r="AN16" s="337" t="n"/>
      <c r="AO16" s="337" t="n"/>
      <c r="AP16" s="337" t="n"/>
      <c r="AQ16" s="337" t="n"/>
    </row>
    <row r="17" ht="19.5" customHeight="1" s="317">
      <c r="B17" s="346" t="n"/>
      <c r="C17" s="337" t="n"/>
      <c r="D17" s="337" t="n"/>
      <c r="E17" s="337" t="inlineStr">
        <is>
          <t> </t>
        </is>
      </c>
      <c r="F17" s="318" t="n"/>
      <c r="G17" s="337" t="n"/>
      <c r="H17" s="337" t="n"/>
      <c r="I17" s="34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  <c r="AD17" s="337" t="n"/>
      <c r="AE17" s="337" t="n"/>
      <c r="AF17" s="337" t="n"/>
      <c r="AG17" s="337" t="n"/>
      <c r="AH17" s="337" t="n"/>
      <c r="AI17" s="337" t="n"/>
      <c r="AJ17" s="337" t="n"/>
      <c r="AK17" s="337" t="n"/>
      <c r="AL17" s="337" t="n"/>
      <c r="AM17" s="337" t="n"/>
      <c r="AN17" s="337" t="n"/>
      <c r="AO17" s="337" t="n"/>
      <c r="AP17" s="337" t="n"/>
      <c r="AQ17" s="337" t="n"/>
    </row>
    <row r="18" ht="28.5" customFormat="1" customHeight="1" s="411">
      <c r="A18" s="350" t="n"/>
      <c r="B18" s="412" t="n"/>
      <c r="C18" s="423" t="inlineStr">
        <is>
          <t>Annual PM Labor Savings:</t>
        </is>
      </c>
      <c r="D18" s="350" t="n"/>
      <c r="E18" s="350" t="n"/>
      <c r="F18" s="318" t="n"/>
      <c r="G18" s="350" t="n"/>
      <c r="H18" s="424">
        <f>-H10*H14</f>
        <v/>
      </c>
      <c r="I18" s="414" t="n"/>
      <c r="J18" s="350" t="n"/>
      <c r="K18" s="350" t="n"/>
      <c r="L18" s="350" t="n"/>
      <c r="M18" s="350" t="n"/>
      <c r="N18" s="350" t="n"/>
      <c r="O18" s="350" t="n"/>
      <c r="P18" s="350" t="n"/>
      <c r="Q18" s="350" t="n"/>
      <c r="R18" s="350" t="n"/>
      <c r="S18" s="350" t="n"/>
      <c r="T18" s="350" t="n"/>
      <c r="U18" s="350" t="n"/>
      <c r="V18" s="350" t="n"/>
      <c r="W18" s="350" t="n"/>
      <c r="X18" s="350" t="n"/>
      <c r="Y18" s="350" t="n"/>
    </row>
    <row r="19" ht="19.5" customHeight="1" s="317">
      <c r="B19" s="369" t="n"/>
      <c r="C19" s="370" t="n"/>
      <c r="D19" s="370" t="n"/>
      <c r="E19" s="370" t="n"/>
      <c r="F19" s="331" t="n"/>
      <c r="G19" s="370" t="n"/>
      <c r="H19" s="370" t="n"/>
      <c r="I19" s="371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</row>
    <row r="20" ht="18.75" customHeight="1" s="317">
      <c r="B20" s="337" t="n"/>
      <c r="C20" s="337" t="n"/>
      <c r="D20" s="337" t="n"/>
      <c r="E20" s="337" t="n"/>
      <c r="F20" s="318" t="n"/>
      <c r="G20" s="337" t="n"/>
      <c r="H20" s="337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</row>
    <row r="21" ht="18" customHeight="1" s="317">
      <c r="B21" s="337" t="n"/>
      <c r="C21" s="337" t="n"/>
      <c r="D21" s="337" t="n"/>
      <c r="E21" s="337" t="n"/>
      <c r="F21" s="337" t="n"/>
      <c r="G21" s="337" t="n"/>
      <c r="H21" s="337" t="n"/>
      <c r="I21" s="337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</row>
    <row r="22" ht="18" customHeight="1" s="317">
      <c r="B22" s="337" t="n"/>
      <c r="C22" s="337" t="n"/>
      <c r="D22" s="337" t="n"/>
      <c r="E22" s="337" t="n"/>
      <c r="F22" s="337" t="n"/>
      <c r="G22" s="337" t="n"/>
      <c r="H22" s="337" t="n"/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</row>
    <row r="23" ht="18" customHeight="1" s="317">
      <c r="B23" s="337" t="n"/>
      <c r="C23" s="337" t="n"/>
      <c r="D23" s="337" t="n"/>
      <c r="E23" s="337" t="n"/>
      <c r="F23" s="337" t="n"/>
      <c r="G23" s="337" t="n"/>
      <c r="H23" s="337" t="n"/>
      <c r="I23" s="337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</row>
    <row r="24" ht="18" customHeight="1" s="317">
      <c r="B24" s="337" t="n"/>
      <c r="C24" s="337" t="n"/>
      <c r="D24" s="337" t="n"/>
      <c r="E24" s="337" t="n"/>
      <c r="F24" s="337" t="n"/>
      <c r="G24" s="337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</row>
    <row r="25" ht="18" customHeight="1" s="317">
      <c r="B25" s="337" t="n"/>
      <c r="C25" s="337" t="n"/>
      <c r="D25" s="337" t="n"/>
      <c r="E25" s="337" t="n"/>
      <c r="F25" s="337" t="n"/>
      <c r="G25" s="337" t="n"/>
      <c r="H25" s="337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</row>
    <row r="26" ht="18" customHeight="1" s="317">
      <c r="B26" s="337" t="n"/>
      <c r="C26" s="337" t="n"/>
      <c r="D26" s="337" t="n"/>
      <c r="E26" s="337" t="n"/>
      <c r="F26" s="337" t="n"/>
      <c r="G26" s="337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</row>
    <row r="27" ht="18" customHeight="1" s="317">
      <c r="B27" s="337" t="n"/>
      <c r="C27" s="337" t="n"/>
      <c r="D27" s="337" t="n"/>
      <c r="E27" s="337" t="n"/>
      <c r="F27" s="337" t="n"/>
      <c r="G27" s="337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</row>
    <row r="28" ht="18" customHeight="1" s="317">
      <c r="B28" s="337" t="n"/>
      <c r="C28" s="337" t="n"/>
      <c r="D28" s="337" t="n"/>
      <c r="E28" s="337" t="n"/>
      <c r="F28" s="337" t="n"/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</row>
    <row r="29" ht="18" customHeight="1" s="317"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</row>
    <row r="30" ht="18" customHeight="1" s="317"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</row>
    <row r="31" ht="18" customHeight="1" s="317"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</row>
    <row r="32" ht="18" customHeight="1" s="317"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</row>
    <row r="33" ht="18" customHeight="1" s="317"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</row>
    <row r="34" ht="18" customHeight="1" s="317"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</row>
    <row r="35" ht="18" customHeight="1" s="317"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</row>
    <row r="36" ht="18" customHeight="1" s="317"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</row>
    <row r="37" ht="18" customHeight="1" s="317"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</row>
    <row r="38" ht="18" customHeight="1" s="317"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</row>
    <row r="39" ht="18" customHeight="1" s="317"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</row>
    <row r="40" ht="18" customHeight="1" s="317"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</row>
    <row r="41" ht="18" customHeight="1" s="317"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</row>
    <row r="42" ht="18" customHeight="1" s="317"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</row>
    <row r="43" ht="18" customHeight="1" s="317"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</row>
    <row r="44" ht="18" customHeight="1" s="317"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</row>
    <row r="45" ht="18" customHeight="1" s="317"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</row>
    <row r="46" ht="18" customHeight="1" s="317">
      <c r="F46" s="337" t="n"/>
      <c r="G46" s="337" t="n"/>
    </row>
    <row r="47" ht="18" customHeight="1" s="317">
      <c r="F47" s="337" t="n"/>
      <c r="G47" s="337" t="n"/>
    </row>
    <row r="48" ht="18" customHeight="1" s="317">
      <c r="F48" s="337" t="n"/>
      <c r="G48" s="337" t="n"/>
    </row>
    <row r="49" ht="18" customHeight="1" s="317">
      <c r="F49" s="337" t="n"/>
      <c r="G49" s="337" t="n"/>
    </row>
    <row r="50" ht="18" customHeight="1" s="317">
      <c r="F50" s="337" t="n"/>
      <c r="G50" s="337" t="n"/>
    </row>
    <row r="51" ht="18" customHeight="1" s="317">
      <c r="F51" s="337" t="n"/>
      <c r="G51" s="337" t="n"/>
    </row>
    <row r="52" ht="18" customHeight="1" s="317">
      <c r="F52" s="337" t="n"/>
      <c r="G52" s="337" t="n"/>
    </row>
    <row r="53" ht="18" customHeight="1" s="317">
      <c r="F53" s="337" t="n"/>
      <c r="G53" s="337" t="n"/>
    </row>
    <row r="54" ht="18" customHeight="1" s="317">
      <c r="F54" s="337" t="n"/>
      <c r="G54" s="337" t="n"/>
    </row>
    <row r="55" ht="18" customHeight="1" s="317">
      <c r="F55" s="337" t="n"/>
      <c r="G55" s="337" t="n"/>
    </row>
    <row r="56" ht="18" customHeight="1" s="317">
      <c r="F56" s="337" t="n"/>
      <c r="G56" s="337" t="n"/>
    </row>
    <row r="57" ht="18" customHeight="1" s="317">
      <c r="F57" s="337" t="n"/>
      <c r="G57" s="337" t="n"/>
    </row>
    <row r="58" ht="18" customHeight="1" s="317">
      <c r="F58" s="337" t="n"/>
      <c r="G58" s="337" t="n"/>
    </row>
    <row r="59" ht="18" customHeight="1" s="317">
      <c r="F59" s="337" t="n"/>
      <c r="G59" s="337" t="n"/>
    </row>
    <row r="60" ht="18" customHeight="1" s="317">
      <c r="F60" s="337" t="n"/>
      <c r="G60" s="337" t="n"/>
    </row>
    <row r="61" ht="18" customHeight="1" s="317">
      <c r="F61" s="337" t="n"/>
      <c r="G61" s="337" t="n"/>
    </row>
    <row r="62" ht="18" customHeight="1" s="317">
      <c r="F62" s="337" t="n"/>
      <c r="G62" s="337" t="n"/>
    </row>
    <row r="63" ht="18" customHeight="1" s="317">
      <c r="F63" s="337" t="n"/>
      <c r="G63" s="337" t="n"/>
    </row>
  </sheetData>
  <mergeCells count="2">
    <mergeCell ref="A1:J1"/>
    <mergeCell ref="C6:H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3 of 9_x000a_&amp;R&amp;"Arial,Bold"&amp;10 &amp;D - &amp;T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AC76"/>
  <sheetViews>
    <sheetView showFormulas="0" showGridLines="1" showRowColHeaders="1" showZeros="1" rightToLeft="0" tabSelected="0" showOutlineSymbols="1" defaultGridColor="1" view="normal" topLeftCell="A1" colorId="64" zoomScale="72" zoomScaleNormal="72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9.32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Production Increase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9.5" customHeight="1" s="317">
      <c r="A7" s="337" t="n"/>
      <c r="B7" s="346" t="n"/>
      <c r="C7" s="337" t="inlineStr">
        <is>
          <t> </t>
        </is>
      </c>
      <c r="D7" s="337" t="n"/>
      <c r="E7" s="337" t="inlineStr">
        <is>
          <t> </t>
        </is>
      </c>
      <c r="F7" s="337" t="n"/>
      <c r="G7" s="318" t="n"/>
      <c r="H7" s="337" t="n"/>
      <c r="I7" s="337" t="inlineStr">
        <is>
          <t> 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27" customFormat="1" customHeight="1" s="351">
      <c r="A8" s="352" t="n"/>
      <c r="B8" s="353" t="n"/>
      <c r="C8" s="355" t="inlineStr">
        <is>
          <t>Current Systems Annual Production</t>
        </is>
      </c>
      <c r="D8" s="355" t="n"/>
      <c r="E8" s="355" t="n"/>
      <c r="F8" s="355" t="n"/>
      <c r="G8" s="318" t="n"/>
      <c r="H8" s="318" t="n"/>
      <c r="I8" s="372">
        <f>Prod_Rate*Ann_Prod_Hrs</f>
        <v/>
      </c>
      <c r="J8" s="373" t="n"/>
      <c r="K8" s="352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52" t="n"/>
      <c r="W8" s="352" t="n"/>
      <c r="X8" s="352" t="n"/>
      <c r="Y8" s="352" t="n"/>
      <c r="Z8" s="352" t="n"/>
      <c r="AA8" s="352" t="n"/>
      <c r="AB8" s="352" t="n"/>
      <c r="AC8" s="352" t="n"/>
    </row>
    <row r="9" ht="19.5" customHeight="1" s="317">
      <c r="A9" s="337" t="n"/>
      <c r="B9" s="346" t="n"/>
      <c r="C9" s="337" t="n"/>
      <c r="D9" s="337" t="n"/>
      <c r="E9" s="337" t="inlineStr">
        <is>
          <t>Production Rate Per Hour</t>
        </is>
      </c>
      <c r="F9" s="337" t="n"/>
      <c r="G9" s="426" t="n">
        <v>60</v>
      </c>
      <c r="H9" s="375" t="n"/>
      <c r="I9" s="375" t="n"/>
      <c r="J9" s="348" t="n"/>
      <c r="K9" s="337" t="n"/>
      <c r="L9" s="318" t="n"/>
      <c r="M9" s="318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37" t="n"/>
      <c r="W9" s="337" t="n"/>
      <c r="X9" s="337" t="n"/>
      <c r="Y9" s="337" t="n"/>
      <c r="Z9" s="337" t="n"/>
      <c r="AA9" s="337" t="n"/>
      <c r="AB9" s="337" t="n"/>
      <c r="AC9" s="337" t="n"/>
    </row>
    <row r="10" ht="19.5" customHeight="1" s="317">
      <c r="A10" s="337" t="n"/>
      <c r="B10" s="346" t="n"/>
      <c r="C10" s="337" t="n"/>
      <c r="D10" s="337" t="n"/>
      <c r="E10" s="337" t="inlineStr">
        <is>
          <t>Total Available Production Hours Per Year</t>
        </is>
      </c>
      <c r="F10" s="337" t="n"/>
      <c r="G10" s="427">
        <f>'Labor Savings'!F23*'Labor Savings'!F24*'Labor Savings'!F25*shifts</f>
        <v/>
      </c>
      <c r="H10" s="375" t="n"/>
      <c r="I10" s="375" t="n"/>
      <c r="J10" s="348" t="n"/>
      <c r="K10" s="337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19.5" customHeight="1" s="317">
      <c r="A11" s="337" t="n"/>
      <c r="B11" s="346" t="n"/>
      <c r="C11" s="337" t="n"/>
      <c r="D11" s="337" t="n"/>
      <c r="E11" s="337" t="inlineStr">
        <is>
          <t>Less Daily Scheduled Downtime (lunches, breaks, etc. - hrs)</t>
        </is>
      </c>
      <c r="F11" s="428" t="n"/>
      <c r="G11" s="429">
        <f>-F11*'Labor Savings'!$F$24*'Labor Savings'!$F$25*shifts</f>
        <v/>
      </c>
      <c r="H11" s="375" t="n"/>
      <c r="I11" s="375" t="n"/>
      <c r="J11" s="348" t="n"/>
      <c r="K11" s="337" t="n"/>
      <c r="L11" s="318" t="n"/>
      <c r="M11" s="318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37" t="n"/>
      <c r="W11" s="337" t="n"/>
      <c r="X11" s="337" t="n"/>
      <c r="Y11" s="337" t="n"/>
      <c r="Z11" s="337" t="n"/>
      <c r="AA11" s="337" t="n"/>
      <c r="AB11" s="337" t="n"/>
      <c r="AC11" s="337" t="n"/>
    </row>
    <row r="12" ht="19.5" customHeight="1" s="317">
      <c r="A12" s="337" t="n"/>
      <c r="B12" s="346" t="n"/>
      <c r="C12" s="337" t="n"/>
      <c r="D12" s="337" t="n"/>
      <c r="E12" s="337" t="inlineStr">
        <is>
          <t>Less Annual Unscheduled Downtime (avg. percentage)</t>
        </is>
      </c>
      <c r="F12" s="430" t="n">
        <v>0.05</v>
      </c>
      <c r="G12" s="431">
        <f>-F12*'Labor Savings'!$F$23*'Labor Savings'!$F$24*'Labor Savings'!$F$25*shifts</f>
        <v/>
      </c>
      <c r="H12" s="375" t="n"/>
      <c r="I12" s="375" t="n"/>
      <c r="J12" s="348" t="n"/>
      <c r="K12" s="337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37" t="n"/>
      <c r="W12" s="337" t="n"/>
      <c r="X12" s="337" t="n"/>
      <c r="Y12" s="337" t="n"/>
      <c r="Z12" s="337" t="n"/>
      <c r="AA12" s="337" t="n"/>
      <c r="AB12" s="337" t="n"/>
      <c r="AC12" s="337" t="n"/>
    </row>
    <row r="13" ht="19.5" customHeight="1" s="317">
      <c r="A13" s="337" t="n"/>
      <c r="B13" s="346" t="n"/>
      <c r="C13" s="337" t="n"/>
      <c r="D13" s="337" t="n"/>
      <c r="E13" s="337" t="inlineStr">
        <is>
          <t>Less Annual Change-Over (hours)</t>
        </is>
      </c>
      <c r="F13" s="337" t="n"/>
      <c r="G13" s="376" t="n">
        <v>0</v>
      </c>
      <c r="H13" s="375" t="n"/>
      <c r="I13" s="375" t="n"/>
      <c r="J13" s="348" t="n"/>
      <c r="K13" s="337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</row>
    <row r="14" ht="19.5" customHeight="1" s="317">
      <c r="A14" s="337" t="n"/>
      <c r="B14" s="346" t="n"/>
      <c r="C14" s="337" t="n"/>
      <c r="D14" s="337" t="n"/>
      <c r="E14" s="337" t="inlineStr">
        <is>
          <t>Net Annual Production Hours</t>
        </is>
      </c>
      <c r="F14" s="337" t="n"/>
      <c r="G14" s="432">
        <f>SUM(G10:G13)</f>
        <v/>
      </c>
      <c r="H14" s="375" t="n"/>
      <c r="I14" s="375" t="n"/>
      <c r="J14" s="348" t="n"/>
      <c r="K14" s="337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0" t="n"/>
      <c r="D15" s="350" t="n"/>
      <c r="E15" s="350" t="n"/>
      <c r="F15" s="350" t="n"/>
      <c r="G15" s="356" t="n"/>
      <c r="H15" s="378" t="n"/>
      <c r="I15" s="378" t="n"/>
      <c r="J15" s="348" t="n"/>
      <c r="K15" s="337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27" customFormat="1" customHeight="1" s="351">
      <c r="A16" s="352" t="n"/>
      <c r="B16" s="353" t="n"/>
      <c r="C16" s="355" t="inlineStr">
        <is>
          <t>FANUC Robotics Proposed Systems Annual Production</t>
        </is>
      </c>
      <c r="D16" s="355" t="n"/>
      <c r="E16" s="355" t="n"/>
      <c r="F16" s="355" t="n"/>
      <c r="G16" s="356" t="n"/>
      <c r="H16" s="355" t="n"/>
      <c r="I16" s="372">
        <f>Robotic_Prod_Rate*Robotic_Ann_Prod_Hrs</f>
        <v/>
      </c>
      <c r="J16" s="373" t="n"/>
      <c r="K16" s="352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52" t="n"/>
      <c r="W16" s="352" t="n"/>
      <c r="X16" s="352" t="n"/>
      <c r="Y16" s="352" t="n"/>
      <c r="Z16" s="352" t="n"/>
      <c r="AA16" s="352" t="n"/>
      <c r="AB16" s="352" t="n"/>
      <c r="AC16" s="352" t="n"/>
    </row>
    <row r="17" ht="19.5" customHeight="1" s="317">
      <c r="A17" s="337" t="n"/>
      <c r="B17" s="346" t="n"/>
      <c r="C17" s="337" t="n"/>
      <c r="D17" s="337" t="n"/>
      <c r="E17" s="337" t="inlineStr">
        <is>
          <t>Production Rate Per Hour</t>
        </is>
      </c>
      <c r="F17" s="337" t="n"/>
      <c r="G17" s="426" t="n">
        <v>70</v>
      </c>
      <c r="H17" s="375" t="n"/>
      <c r="I17" s="375" t="n"/>
      <c r="J17" s="348" t="n"/>
      <c r="K17" s="337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19.5" customHeight="1" s="317">
      <c r="A18" s="337" t="n"/>
      <c r="B18" s="346" t="n"/>
      <c r="C18" s="337" t="n"/>
      <c r="D18" s="337" t="n"/>
      <c r="E18" s="337" t="inlineStr">
        <is>
          <t>Total Available Production Hours Per Year</t>
        </is>
      </c>
      <c r="F18" s="337" t="n"/>
      <c r="G18" s="374" t="n">
        <v>4000</v>
      </c>
      <c r="H18" s="375" t="n"/>
      <c r="I18" s="375" t="n"/>
      <c r="J18" s="348" t="n"/>
      <c r="K18" s="337" t="n"/>
      <c r="L18" s="318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19.5" customHeight="1" s="317">
      <c r="A19" s="337" t="n"/>
      <c r="B19" s="346" t="n"/>
      <c r="C19" s="337" t="n"/>
      <c r="D19" s="337" t="n"/>
      <c r="E19" s="337" t="inlineStr">
        <is>
          <t>Less Daily Scheduled Downtime (lunches, breaks, etc. - hrs)</t>
        </is>
      </c>
      <c r="F19" s="428" t="n">
        <v>0</v>
      </c>
      <c r="G19" s="429">
        <f>-F19*'Labor Savings'!$F$24*'Labor Savings'!$F$25*shifts</f>
        <v/>
      </c>
      <c r="H19" s="375" t="n"/>
      <c r="I19" s="375" t="n"/>
      <c r="J19" s="348" t="n"/>
      <c r="K19" s="337" t="n"/>
      <c r="L19" s="318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19.5" customHeight="1" s="317">
      <c r="A20" s="337" t="n"/>
      <c r="B20" s="346" t="n"/>
      <c r="C20" s="337" t="n"/>
      <c r="D20" s="337" t="n"/>
      <c r="E20" s="337" t="inlineStr">
        <is>
          <t>Less Annual Unscheduled Downtime (avg. percentage)</t>
        </is>
      </c>
      <c r="F20" s="430" t="n">
        <v>0</v>
      </c>
      <c r="G20" s="431">
        <f>-F20*'Labor Savings'!$F$23*'Labor Savings'!$F$24*'Labor Savings'!$F$25*shifts</f>
        <v/>
      </c>
      <c r="H20" s="375" t="n"/>
      <c r="I20" s="375" t="n"/>
      <c r="J20" s="348" t="n"/>
      <c r="K20" s="337" t="n"/>
      <c r="L20" s="318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</row>
    <row r="21" ht="19.5" customHeight="1" s="317">
      <c r="A21" s="337" t="n"/>
      <c r="B21" s="346" t="n"/>
      <c r="C21" s="337" t="n"/>
      <c r="D21" s="337" t="n"/>
      <c r="E21" s="337" t="inlineStr">
        <is>
          <t>Less Annual Change-Over (hours)</t>
        </is>
      </c>
      <c r="F21" s="350" t="n"/>
      <c r="G21" s="376" t="n">
        <v>0</v>
      </c>
      <c r="H21" s="379" t="n"/>
      <c r="I21" s="379" t="inlineStr">
        <is>
          <t> </t>
        </is>
      </c>
      <c r="J21" s="348" t="n"/>
      <c r="K21" s="337" t="n"/>
      <c r="L21" s="318" t="n"/>
      <c r="M21" s="318" t="n"/>
      <c r="N21" s="318" t="n"/>
      <c r="O21" s="318" t="n"/>
      <c r="P21" s="318" t="n"/>
      <c r="Q21" s="318" t="n"/>
      <c r="R21" s="318" t="n"/>
      <c r="S21" s="318" t="n"/>
      <c r="T21" s="318" t="n"/>
      <c r="U21" s="318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19.5" customFormat="1" customHeight="1" s="351">
      <c r="A22" s="352" t="n"/>
      <c r="B22" s="353" t="n"/>
      <c r="C22" s="337" t="n"/>
      <c r="D22" s="337" t="n"/>
      <c r="E22" s="337" t="inlineStr">
        <is>
          <t>Net Annual Production Hours</t>
        </is>
      </c>
      <c r="F22" s="355" t="n"/>
      <c r="G22" s="432">
        <f>SUM(G18:G21)</f>
        <v/>
      </c>
      <c r="H22" s="355" t="n"/>
      <c r="I22" s="318" t="n"/>
      <c r="J22" s="373" t="n"/>
      <c r="K22" s="352" t="n"/>
      <c r="L22" s="318" t="n"/>
      <c r="M22" s="318" t="n"/>
      <c r="N22" s="318" t="n"/>
      <c r="O22" s="318" t="n"/>
      <c r="P22" s="318" t="n"/>
      <c r="Q22" s="318" t="n"/>
      <c r="R22" s="318" t="n"/>
      <c r="S22" s="318" t="n"/>
      <c r="T22" s="318" t="n"/>
      <c r="U22" s="318" t="n"/>
      <c r="V22" s="352" t="n"/>
      <c r="W22" s="352" t="n"/>
      <c r="X22" s="352" t="n"/>
      <c r="Y22" s="352" t="n"/>
      <c r="Z22" s="352" t="n"/>
      <c r="AA22" s="352" t="n"/>
      <c r="AB22" s="352" t="n"/>
      <c r="AC22" s="352" t="n"/>
    </row>
    <row r="23" ht="24" customHeight="1" s="317">
      <c r="A23" s="337" t="n"/>
      <c r="B23" s="346" t="n"/>
      <c r="C23" s="350" t="n"/>
      <c r="D23" s="350" t="n"/>
      <c r="E23" s="350" t="n"/>
      <c r="F23" s="350" t="n"/>
      <c r="G23" s="356" t="n"/>
      <c r="H23" s="379" t="n"/>
      <c r="I23" s="379" t="n"/>
      <c r="J23" s="348" t="n"/>
      <c r="K23" s="337" t="n"/>
      <c r="L23" s="318" t="n"/>
      <c r="M23" s="318" t="n"/>
      <c r="N23" s="318" t="n"/>
      <c r="O23" s="318" t="n"/>
      <c r="P23" s="318" t="n"/>
      <c r="Q23" s="318" t="n"/>
      <c r="R23" s="318" t="n"/>
      <c r="S23" s="318" t="n"/>
      <c r="T23" s="318" t="n"/>
      <c r="U23" s="318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27" customFormat="1" customHeight="1" s="351">
      <c r="A24" s="352" t="n"/>
      <c r="B24" s="353" t="n"/>
      <c r="C24" s="355" t="inlineStr">
        <is>
          <t>Increased Annual Production</t>
        </is>
      </c>
      <c r="D24" s="355" t="n"/>
      <c r="E24" s="355" t="n"/>
      <c r="F24" s="355" t="n"/>
      <c r="G24" s="356" t="n"/>
      <c r="H24" s="395" t="n"/>
      <c r="I24" s="372">
        <f>Robotic_Production-Current_Production</f>
        <v/>
      </c>
      <c r="J24" s="373" t="n"/>
      <c r="K24" s="352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  <c r="V24" s="352" t="n"/>
      <c r="W24" s="352" t="n"/>
      <c r="X24" s="352" t="n"/>
      <c r="Y24" s="352" t="n"/>
      <c r="Z24" s="352" t="n"/>
      <c r="AA24" s="352" t="n"/>
      <c r="AB24" s="352" t="n"/>
      <c r="AC24" s="352" t="n"/>
    </row>
    <row r="25" ht="19.5" customHeight="1" s="317">
      <c r="A25" s="337" t="n"/>
      <c r="B25" s="346" t="n"/>
      <c r="C25" s="337" t="n"/>
      <c r="D25" s="337" t="inlineStr">
        <is>
          <t> </t>
        </is>
      </c>
      <c r="E25" s="337" t="inlineStr">
        <is>
          <t>Price Per Unit</t>
        </is>
      </c>
      <c r="F25" s="337" t="n"/>
      <c r="G25" s="433" t="n">
        <v>25</v>
      </c>
      <c r="H25" s="375" t="n"/>
      <c r="I25" s="375" t="n"/>
      <c r="J25" s="348" t="n"/>
      <c r="K25" s="337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24" customHeight="1" s="317">
      <c r="A26" s="337" t="n"/>
      <c r="B26" s="346" t="n"/>
      <c r="C26" s="350" t="n"/>
      <c r="D26" s="350" t="n"/>
      <c r="E26" s="350" t="inlineStr">
        <is>
          <t> </t>
        </is>
      </c>
      <c r="F26" s="350" t="n"/>
      <c r="G26" s="356" t="n"/>
      <c r="H26" s="379" t="n"/>
      <c r="I26" s="379" t="n"/>
      <c r="J26" s="348" t="n"/>
      <c r="K26" s="337" t="n"/>
      <c r="L26" s="337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  <c r="V26" s="337" t="n"/>
      <c r="W26" s="337" t="n"/>
      <c r="X26" s="337" t="n"/>
      <c r="Y26" s="337" t="n"/>
      <c r="Z26" s="337" t="n"/>
      <c r="AA26" s="337" t="n"/>
      <c r="AB26" s="337" t="n"/>
      <c r="AC26" s="337" t="n"/>
    </row>
    <row r="27" ht="24" customHeight="1" s="317">
      <c r="A27" s="337" t="n"/>
      <c r="B27" s="346" t="n"/>
      <c r="C27" s="355" t="inlineStr">
        <is>
          <t>Increased Annual Revenue</t>
        </is>
      </c>
      <c r="D27" s="350" t="n"/>
      <c r="E27" s="350" t="n"/>
      <c r="F27" s="350" t="n"/>
      <c r="G27" s="356" t="n"/>
      <c r="H27" s="355" t="n"/>
      <c r="I27" s="434">
        <f>I24*G25</f>
        <v/>
      </c>
      <c r="J27" s="348" t="n"/>
      <c r="K27" s="337" t="n"/>
      <c r="L27" s="337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9.5" customHeight="1" s="317">
      <c r="A28" s="337" t="n"/>
      <c r="B28" s="369" t="n"/>
      <c r="C28" s="331" t="n"/>
      <c r="D28" s="331" t="n"/>
      <c r="E28" s="331" t="n"/>
      <c r="F28" s="331" t="n"/>
      <c r="G28" s="331" t="n"/>
      <c r="H28" s="331" t="n"/>
      <c r="I28" s="331" t="n"/>
      <c r="J28" s="371" t="n"/>
      <c r="K28" s="337" t="n"/>
      <c r="L28" s="337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A29" s="337" t="n"/>
      <c r="B29" s="337" t="n"/>
      <c r="C29" s="318" t="n"/>
      <c r="D29" s="318" t="n"/>
      <c r="E29" s="318" t="n"/>
      <c r="F29" s="318" t="n"/>
      <c r="G29" s="318" t="n"/>
      <c r="H29" s="318" t="n"/>
      <c r="I29" s="318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A30" s="337" t="n"/>
      <c r="B30" s="337" t="n"/>
      <c r="C30" s="318" t="n"/>
      <c r="D30" s="318" t="n"/>
      <c r="E30" s="318" t="n"/>
      <c r="F30" s="318" t="n"/>
      <c r="G30" s="318" t="n"/>
      <c r="H30" s="318" t="n"/>
      <c r="I30" s="318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A31" s="337" t="n"/>
      <c r="B31" s="337" t="n"/>
      <c r="C31" s="318" t="n"/>
      <c r="D31" s="318" t="n"/>
      <c r="E31" s="318" t="n"/>
      <c r="F31" s="318" t="n"/>
      <c r="G31" s="318" t="n"/>
      <c r="H31" s="318" t="n"/>
      <c r="I31" s="318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30" customFormat="1" customHeight="1" s="387">
      <c r="A32" s="388" t="n"/>
      <c r="B32" s="388" t="n"/>
      <c r="C32" s="318" t="n"/>
      <c r="D32" s="318" t="n"/>
      <c r="E32" s="318" t="n"/>
      <c r="F32" s="318" t="n"/>
      <c r="G32" s="318" t="n"/>
      <c r="H32" s="318" t="n"/>
      <c r="I32" s="318" t="n"/>
      <c r="J32" s="388" t="n"/>
      <c r="K32" s="388" t="n"/>
      <c r="L32" s="388" t="n"/>
      <c r="M32" s="388" t="n"/>
      <c r="N32" s="388" t="n"/>
      <c r="O32" s="388" t="n"/>
      <c r="P32" s="388" t="n"/>
      <c r="Q32" s="388" t="n"/>
      <c r="R32" s="388" t="n"/>
      <c r="S32" s="388" t="n"/>
      <c r="T32" s="388" t="n"/>
      <c r="U32" s="388" t="n"/>
      <c r="V32" s="388" t="n"/>
      <c r="W32" s="388" t="n"/>
      <c r="X32" s="388" t="n"/>
      <c r="Y32" s="388" t="n"/>
      <c r="Z32" s="388" t="n"/>
      <c r="AA32" s="388" t="n"/>
      <c r="AB32" s="388" t="n"/>
      <c r="AC32" s="388" t="n"/>
    </row>
    <row r="33" ht="18.75" customHeight="1" s="317">
      <c r="A33" s="337" t="n"/>
      <c r="B33" s="337" t="n"/>
      <c r="C33" s="318" t="n"/>
      <c r="D33" s="318" t="n"/>
      <c r="E33" s="318" t="n"/>
      <c r="F33" s="318" t="n"/>
      <c r="G33" s="318" t="n"/>
      <c r="H33" s="318" t="n"/>
      <c r="I33" s="318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30" customFormat="1" customHeight="1" s="387">
      <c r="A34" s="388" t="n"/>
      <c r="B34" s="388" t="n"/>
      <c r="C34" s="318" t="n"/>
      <c r="D34" s="318" t="n"/>
      <c r="E34" s="318" t="n"/>
      <c r="F34" s="318" t="n"/>
      <c r="G34" s="318" t="n"/>
      <c r="H34" s="318" t="n"/>
      <c r="I34" s="318" t="n"/>
      <c r="J34" s="388" t="n"/>
      <c r="K34" s="388" t="n"/>
      <c r="L34" s="388" t="n"/>
      <c r="M34" s="388" t="n"/>
      <c r="N34" s="388" t="n"/>
      <c r="O34" s="388" t="n"/>
      <c r="P34" s="388" t="n"/>
      <c r="Q34" s="388" t="n"/>
      <c r="R34" s="388" t="n"/>
      <c r="S34" s="388" t="n"/>
      <c r="T34" s="388" t="n"/>
      <c r="U34" s="388" t="n"/>
      <c r="V34" s="388" t="n"/>
      <c r="W34" s="388" t="n"/>
      <c r="X34" s="388" t="n"/>
      <c r="Y34" s="388" t="n"/>
      <c r="Z34" s="388" t="n"/>
      <c r="AA34" s="388" t="n"/>
      <c r="AB34" s="388" t="n"/>
      <c r="AC34" s="388" t="n"/>
    </row>
    <row r="35" ht="18.75" customHeight="1" s="317">
      <c r="A35" s="337" t="n"/>
      <c r="B35" s="337" t="n"/>
      <c r="C35" s="318" t="n"/>
      <c r="D35" s="318" t="n"/>
      <c r="E35" s="318" t="n"/>
      <c r="F35" s="318" t="n"/>
      <c r="G35" s="318" t="n"/>
      <c r="H35" s="318" t="n"/>
      <c r="I35" s="318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A36" s="337" t="n"/>
      <c r="B36" s="337" t="n"/>
      <c r="C36" s="337" t="n"/>
      <c r="D36" s="337" t="n"/>
      <c r="E36" s="337" t="inlineStr">
        <is>
          <t> </t>
        </is>
      </c>
      <c r="F36" s="337" t="n"/>
      <c r="G36" s="318" t="n"/>
      <c r="H36" s="337" t="n"/>
      <c r="I36" s="337" t="inlineStr">
        <is>
          <t> </t>
        </is>
      </c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A37" s="337" t="n"/>
      <c r="B37" s="337" t="n"/>
      <c r="C37" s="337" t="n"/>
      <c r="D37" s="337" t="n"/>
      <c r="E37" s="337" t="inlineStr">
        <is>
          <t> </t>
        </is>
      </c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  <row r="65" ht="18.75" customHeight="1" s="317">
      <c r="B65" s="337" t="n"/>
      <c r="C65" s="337" t="n"/>
      <c r="D65" s="337" t="n"/>
      <c r="E65" s="337" t="n"/>
      <c r="F65" s="337" t="n"/>
      <c r="G65" s="318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  <c r="AC65" s="337" t="n"/>
    </row>
    <row r="66" ht="18.75" customHeight="1" s="317">
      <c r="B66" s="337" t="n"/>
      <c r="C66" s="337" t="n"/>
      <c r="D66" s="337" t="n"/>
      <c r="E66" s="337" t="n"/>
      <c r="F66" s="337" t="n"/>
      <c r="G66" s="318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  <c r="AC66" s="337" t="n"/>
    </row>
    <row r="67" ht="18.75" customHeight="1" s="317">
      <c r="B67" s="337" t="n"/>
      <c r="C67" s="337" t="n"/>
      <c r="D67" s="337" t="n"/>
      <c r="E67" s="337" t="n"/>
      <c r="F67" s="337" t="n"/>
      <c r="G67" s="318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  <c r="AC67" s="337" t="n"/>
    </row>
    <row r="68" ht="18.75" customHeight="1" s="317">
      <c r="B68" s="337" t="n"/>
      <c r="C68" s="337" t="n"/>
      <c r="D68" s="337" t="n"/>
      <c r="E68" s="337" t="n"/>
      <c r="F68" s="337" t="n"/>
      <c r="G68" s="318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  <c r="AC68" s="337" t="n"/>
    </row>
    <row r="69" ht="18.75" customHeight="1" s="317">
      <c r="B69" s="337" t="n"/>
      <c r="C69" s="337" t="n"/>
      <c r="D69" s="337" t="n"/>
      <c r="E69" s="337" t="n"/>
      <c r="F69" s="337" t="n"/>
      <c r="G69" s="318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  <c r="AC69" s="337" t="n"/>
    </row>
    <row r="70" ht="18.75" customHeight="1" s="317">
      <c r="B70" s="337" t="n"/>
      <c r="C70" s="337" t="n"/>
      <c r="D70" s="337" t="n"/>
      <c r="E70" s="337" t="n"/>
      <c r="F70" s="337" t="n"/>
      <c r="G70" s="318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  <c r="AC70" s="337" t="n"/>
    </row>
    <row r="71" ht="18.75" customHeight="1" s="317">
      <c r="B71" s="337" t="n"/>
      <c r="C71" s="337" t="n"/>
      <c r="D71" s="337" t="n"/>
      <c r="E71" s="337" t="n"/>
      <c r="F71" s="337" t="n"/>
      <c r="G71" s="318" t="n"/>
      <c r="H71" s="337" t="n"/>
      <c r="I71" s="337" t="n"/>
      <c r="J71" s="337" t="n"/>
      <c r="K71" s="337" t="n"/>
      <c r="L71" s="337" t="n"/>
      <c r="M71" s="337" t="n"/>
      <c r="N71" s="337" t="n"/>
      <c r="O71" s="337" t="n"/>
      <c r="P71" s="337" t="n"/>
      <c r="Q71" s="337" t="n"/>
      <c r="R71" s="337" t="n"/>
      <c r="S71" s="337" t="n"/>
      <c r="T71" s="337" t="n"/>
      <c r="U71" s="337" t="n"/>
      <c r="V71" s="337" t="n"/>
      <c r="W71" s="337" t="n"/>
      <c r="X71" s="337" t="n"/>
      <c r="Y71" s="337" t="n"/>
      <c r="Z71" s="337" t="n"/>
      <c r="AA71" s="337" t="n"/>
      <c r="AB71" s="337" t="n"/>
      <c r="AC71" s="337" t="n"/>
    </row>
    <row r="72" ht="18.75" customHeight="1" s="317">
      <c r="B72" s="337" t="n"/>
      <c r="C72" s="337" t="n"/>
      <c r="D72" s="337" t="n"/>
      <c r="E72" s="337" t="n"/>
      <c r="F72" s="337" t="n"/>
      <c r="G72" s="318" t="n"/>
      <c r="H72" s="337" t="n"/>
      <c r="I72" s="337" t="n"/>
      <c r="J72" s="337" t="n"/>
      <c r="K72" s="337" t="n"/>
      <c r="L72" s="337" t="n"/>
      <c r="M72" s="337" t="n"/>
      <c r="N72" s="337" t="n"/>
      <c r="O72" s="337" t="n"/>
      <c r="P72" s="337" t="n"/>
      <c r="Q72" s="337" t="n"/>
      <c r="R72" s="337" t="n"/>
      <c r="S72" s="337" t="n"/>
      <c r="T72" s="337" t="n"/>
      <c r="U72" s="337" t="n"/>
      <c r="V72" s="337" t="n"/>
      <c r="W72" s="337" t="n"/>
      <c r="X72" s="337" t="n"/>
      <c r="Y72" s="337" t="n"/>
      <c r="Z72" s="337" t="n"/>
      <c r="AA72" s="337" t="n"/>
      <c r="AB72" s="337" t="n"/>
      <c r="AC72" s="337" t="n"/>
    </row>
    <row r="73" ht="18.75" customHeight="1" s="317">
      <c r="B73" s="337" t="n"/>
      <c r="C73" s="337" t="n"/>
      <c r="D73" s="337" t="n"/>
      <c r="E73" s="337" t="n"/>
      <c r="F73" s="337" t="n"/>
      <c r="G73" s="318" t="n"/>
      <c r="H73" s="337" t="n"/>
      <c r="I73" s="337" t="n"/>
      <c r="J73" s="337" t="n"/>
      <c r="K73" s="337" t="n"/>
      <c r="L73" s="337" t="n"/>
      <c r="M73" s="337" t="n"/>
      <c r="N73" s="337" t="n"/>
      <c r="O73" s="337" t="n"/>
      <c r="P73" s="337" t="n"/>
      <c r="Q73" s="337" t="n"/>
      <c r="R73" s="337" t="n"/>
      <c r="S73" s="337" t="n"/>
      <c r="T73" s="337" t="n"/>
      <c r="U73" s="337" t="n"/>
      <c r="V73" s="337" t="n"/>
      <c r="W73" s="337" t="n"/>
      <c r="X73" s="337" t="n"/>
      <c r="Y73" s="337" t="n"/>
      <c r="Z73" s="337" t="n"/>
      <c r="AA73" s="337" t="n"/>
      <c r="AB73" s="337" t="n"/>
      <c r="AC73" s="337" t="n"/>
    </row>
    <row r="74" ht="18.75" customHeight="1" s="317">
      <c r="B74" s="337" t="n"/>
      <c r="C74" s="337" t="n"/>
      <c r="D74" s="337" t="n"/>
      <c r="E74" s="337" t="n"/>
      <c r="F74" s="337" t="n"/>
      <c r="G74" s="318" t="n"/>
      <c r="H74" s="337" t="n"/>
      <c r="I74" s="337" t="n"/>
      <c r="J74" s="337" t="n"/>
      <c r="K74" s="337" t="n"/>
      <c r="L74" s="337" t="n"/>
      <c r="M74" s="337" t="n"/>
      <c r="N74" s="337" t="n"/>
      <c r="O74" s="337" t="n"/>
      <c r="P74" s="337" t="n"/>
      <c r="Q74" s="337" t="n"/>
      <c r="R74" s="337" t="n"/>
      <c r="S74" s="337" t="n"/>
      <c r="T74" s="337" t="n"/>
      <c r="U74" s="337" t="n"/>
      <c r="V74" s="337" t="n"/>
      <c r="W74" s="337" t="n"/>
      <c r="X74" s="337" t="n"/>
      <c r="Y74" s="337" t="n"/>
      <c r="Z74" s="337" t="n"/>
      <c r="AA74" s="337" t="n"/>
      <c r="AB74" s="337" t="n"/>
      <c r="AC74" s="337" t="n"/>
    </row>
    <row r="75" ht="18.75" customHeight="1" s="317">
      <c r="B75" s="337" t="n"/>
      <c r="C75" s="337" t="n"/>
      <c r="D75" s="337" t="n"/>
      <c r="E75" s="337" t="n"/>
      <c r="F75" s="337" t="n"/>
      <c r="G75" s="318" t="n"/>
      <c r="H75" s="337" t="n"/>
      <c r="I75" s="337" t="n"/>
      <c r="J75" s="337" t="n"/>
      <c r="K75" s="337" t="n"/>
      <c r="L75" s="337" t="n"/>
      <c r="M75" s="337" t="n"/>
      <c r="N75" s="337" t="n"/>
      <c r="O75" s="337" t="n"/>
      <c r="P75" s="337" t="n"/>
      <c r="Q75" s="337" t="n"/>
      <c r="R75" s="337" t="n"/>
      <c r="S75" s="337" t="n"/>
      <c r="T75" s="337" t="n"/>
      <c r="U75" s="337" t="n"/>
      <c r="V75" s="337" t="n"/>
      <c r="W75" s="337" t="n"/>
      <c r="X75" s="337" t="n"/>
      <c r="Y75" s="337" t="n"/>
      <c r="Z75" s="337" t="n"/>
      <c r="AA75" s="337" t="n"/>
      <c r="AB75" s="337" t="n"/>
      <c r="AC75" s="337" t="n"/>
    </row>
    <row r="76" ht="18.75" customHeight="1" s="317">
      <c r="B76" s="337" t="n"/>
      <c r="C76" s="337" t="n"/>
      <c r="D76" s="337" t="n"/>
      <c r="E76" s="337" t="n"/>
      <c r="F76" s="337" t="n"/>
      <c r="G76" s="318" t="n"/>
      <c r="H76" s="337" t="n"/>
      <c r="I76" s="337" t="n"/>
      <c r="J76" s="337" t="n"/>
      <c r="K76" s="337" t="n"/>
      <c r="L76" s="337" t="n"/>
      <c r="M76" s="337" t="n"/>
      <c r="N76" s="337" t="n"/>
      <c r="O76" s="337" t="n"/>
      <c r="P76" s="337" t="n"/>
      <c r="Q76" s="337" t="n"/>
      <c r="R76" s="337" t="n"/>
      <c r="S76" s="337" t="n"/>
      <c r="T76" s="337" t="n"/>
      <c r="U76" s="337" t="n"/>
      <c r="V76" s="337" t="n"/>
      <c r="W76" s="337" t="n"/>
      <c r="X76" s="337" t="n"/>
      <c r="Y76" s="337" t="n"/>
      <c r="Z76" s="337" t="n"/>
      <c r="AA76" s="337" t="n"/>
      <c r="AB76" s="337" t="n"/>
      <c r="AC76" s="337" t="n"/>
    </row>
  </sheetData>
  <mergeCells count="2">
    <mergeCell ref="A1:K1"/>
    <mergeCell ref="C6:I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4 of 9_x000a_&amp;R&amp;"Arial,Bold"&amp;10 &amp;D - &amp;T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AC68"/>
  <sheetViews>
    <sheetView showFormulas="0" showGridLines="1" showRowColHeaders="1" showZeros="1" rightToLeft="0" tabSelected="0" showOutlineSymbols="1" defaultGridColor="1" view="normal" topLeftCell="A1" colorId="64" zoomScale="71" zoomScaleNormal="71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9.32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Scrap Reduction Savings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9.5" customHeight="1" s="317">
      <c r="A7" s="337" t="n"/>
      <c r="B7" s="346" t="n"/>
      <c r="C7" s="337" t="inlineStr">
        <is>
          <t> </t>
        </is>
      </c>
      <c r="D7" s="337" t="n"/>
      <c r="E7" s="337" t="inlineStr">
        <is>
          <t> </t>
        </is>
      </c>
      <c r="F7" s="337" t="n"/>
      <c r="G7" s="318" t="n"/>
      <c r="H7" s="337" t="n"/>
      <c r="I7" s="337" t="inlineStr">
        <is>
          <t> 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27" customFormat="1" customHeight="1" s="351">
      <c r="A8" s="352" t="n"/>
      <c r="B8" s="353" t="n"/>
      <c r="C8" s="355" t="inlineStr">
        <is>
          <t>Current Systems Annual Scrap</t>
        </is>
      </c>
      <c r="D8" s="355" t="n"/>
      <c r="E8" s="355" t="n"/>
      <c r="F8" s="355" t="n"/>
      <c r="G8" s="318" t="n"/>
      <c r="H8" s="318" t="n"/>
      <c r="I8" s="372">
        <f>ROUNDUP(G9*G10,0)</f>
        <v/>
      </c>
      <c r="J8" s="373" t="n"/>
      <c r="K8" s="352" t="n"/>
      <c r="L8" s="318" t="n"/>
      <c r="M8" s="435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52" t="n"/>
      <c r="W8" s="352" t="n"/>
      <c r="X8" s="352" t="n"/>
      <c r="Y8" s="352" t="n"/>
      <c r="Z8" s="352" t="n"/>
      <c r="AA8" s="352" t="n"/>
      <c r="AB8" s="352" t="n"/>
      <c r="AC8" s="352" t="n"/>
    </row>
    <row r="9" ht="19.5" customHeight="1" s="317">
      <c r="A9" s="337" t="n"/>
      <c r="B9" s="346" t="n"/>
      <c r="C9" s="337" t="n"/>
      <c r="D9" s="337" t="n"/>
      <c r="E9" s="337" t="inlineStr">
        <is>
          <t>Scrap Rate</t>
        </is>
      </c>
      <c r="F9" s="337" t="n"/>
      <c r="G9" s="436" t="n">
        <v>0.01</v>
      </c>
      <c r="H9" s="375" t="n"/>
      <c r="I9" s="375" t="n"/>
      <c r="J9" s="348" t="n"/>
      <c r="K9" s="337" t="n"/>
      <c r="L9" s="318" t="n"/>
      <c r="M9" s="435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37" t="n"/>
      <c r="W9" s="337" t="n"/>
      <c r="X9" s="337" t="n"/>
      <c r="Y9" s="337" t="n"/>
      <c r="Z9" s="337" t="n"/>
      <c r="AA9" s="337" t="n"/>
      <c r="AB9" s="337" t="n"/>
      <c r="AC9" s="337" t="n"/>
    </row>
    <row r="10" ht="19.5" customHeight="1" s="317">
      <c r="A10" s="337" t="n"/>
      <c r="B10" s="346" t="n"/>
      <c r="C10" s="337" t="n"/>
      <c r="D10" s="337" t="n"/>
      <c r="E10" s="337" t="inlineStr">
        <is>
          <t>Net Annual Production Hours (Current System)</t>
        </is>
      </c>
      <c r="F10" s="337" t="n"/>
      <c r="G10" s="437">
        <f>Ann_Prod_Hrs</f>
        <v/>
      </c>
      <c r="H10" s="375" t="n"/>
      <c r="I10" s="375" t="n"/>
      <c r="J10" s="348" t="n"/>
      <c r="K10" s="337" t="n"/>
      <c r="L10" s="318" t="n"/>
      <c r="M10" s="435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24" customHeight="1" s="317">
      <c r="A11" s="337" t="n"/>
      <c r="B11" s="346" t="n"/>
      <c r="C11" s="350" t="n"/>
      <c r="D11" s="350" t="n"/>
      <c r="E11" s="350" t="n"/>
      <c r="F11" s="350" t="n"/>
      <c r="G11" s="356" t="n"/>
      <c r="H11" s="378" t="n"/>
      <c r="I11" s="378" t="n"/>
      <c r="J11" s="348" t="n"/>
      <c r="K11" s="337" t="n"/>
      <c r="L11" s="318" t="n"/>
      <c r="M11" s="435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37" t="n"/>
      <c r="W11" s="337" t="n"/>
      <c r="X11" s="337" t="n"/>
      <c r="Y11" s="337" t="n"/>
      <c r="Z11" s="337" t="n"/>
      <c r="AA11" s="337" t="n"/>
      <c r="AB11" s="337" t="n"/>
      <c r="AC11" s="337" t="n"/>
    </row>
    <row r="12" ht="27" customFormat="1" customHeight="1" s="351">
      <c r="A12" s="352" t="n"/>
      <c r="B12" s="353" t="n"/>
      <c r="C12" s="355" t="inlineStr">
        <is>
          <t>FANUC Robotics Proposed Systems Annual Production</t>
        </is>
      </c>
      <c r="D12" s="355" t="n"/>
      <c r="E12" s="355" t="n"/>
      <c r="F12" s="355" t="n"/>
      <c r="G12" s="356" t="n"/>
      <c r="H12" s="355" t="n"/>
      <c r="I12" s="372">
        <f>ROUNDUP(G13*G14,0)</f>
        <v/>
      </c>
      <c r="J12" s="373" t="n"/>
      <c r="K12" s="352" t="n"/>
      <c r="L12" s="318" t="n"/>
      <c r="M12" s="435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52" t="n"/>
      <c r="W12" s="352" t="n"/>
      <c r="X12" s="352" t="n"/>
      <c r="Y12" s="352" t="n"/>
      <c r="Z12" s="352" t="n"/>
      <c r="AA12" s="352" t="n"/>
      <c r="AB12" s="352" t="n"/>
      <c r="AC12" s="352" t="n"/>
    </row>
    <row r="13" ht="19.5" customHeight="1" s="317">
      <c r="A13" s="337" t="n"/>
      <c r="B13" s="346" t="n"/>
      <c r="C13" s="337" t="n"/>
      <c r="D13" s="337" t="n"/>
      <c r="E13" s="337" t="inlineStr">
        <is>
          <t>Scrap Rate</t>
        </is>
      </c>
      <c r="F13" s="337" t="n"/>
      <c r="G13" s="436" t="n">
        <v>0.005</v>
      </c>
      <c r="H13" s="375" t="n"/>
      <c r="I13" s="375" t="n"/>
      <c r="J13" s="348" t="n"/>
      <c r="K13" s="337" t="n"/>
      <c r="L13" s="318" t="n"/>
      <c r="M13" s="435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</row>
    <row r="14" ht="19.5" customHeight="1" s="317">
      <c r="A14" s="337" t="n"/>
      <c r="B14" s="346" t="n"/>
      <c r="C14" s="337" t="n"/>
      <c r="D14" s="337" t="n"/>
      <c r="E14" s="337" t="inlineStr">
        <is>
          <t>Net Annual Production Hours (FANUC Robotics System)</t>
        </is>
      </c>
      <c r="F14" s="337" t="n"/>
      <c r="G14" s="437">
        <f>'Production Increase'!G22</f>
        <v/>
      </c>
      <c r="H14" s="375" t="n"/>
      <c r="I14" s="375" t="n"/>
      <c r="J14" s="348" t="n"/>
      <c r="K14" s="337" t="n"/>
      <c r="L14" s="318" t="n"/>
      <c r="M14" s="435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0" t="n"/>
      <c r="D15" s="350" t="n"/>
      <c r="E15" s="350" t="n"/>
      <c r="F15" s="350" t="n"/>
      <c r="G15" s="356" t="n"/>
      <c r="H15" s="379" t="n"/>
      <c r="I15" s="379" t="n"/>
      <c r="J15" s="348" t="n"/>
      <c r="K15" s="337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27" customFormat="1" customHeight="1" s="351">
      <c r="A16" s="352" t="n"/>
      <c r="B16" s="353" t="n"/>
      <c r="C16" s="355" t="inlineStr">
        <is>
          <t>Increased Annual Production</t>
        </is>
      </c>
      <c r="D16" s="355" t="n"/>
      <c r="E16" s="355" t="n"/>
      <c r="F16" s="355" t="n"/>
      <c r="G16" s="356" t="n"/>
      <c r="H16" s="395" t="n"/>
      <c r="I16" s="372">
        <f>I8-I12</f>
        <v/>
      </c>
      <c r="J16" s="373" t="n"/>
      <c r="K16" s="352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52" t="n"/>
      <c r="W16" s="352" t="n"/>
      <c r="X16" s="352" t="n"/>
      <c r="Y16" s="352" t="n"/>
      <c r="Z16" s="352" t="n"/>
      <c r="AA16" s="352" t="n"/>
      <c r="AB16" s="352" t="n"/>
      <c r="AC16" s="352" t="n"/>
    </row>
    <row r="17" ht="19.5" customHeight="1" s="317">
      <c r="A17" s="337" t="n"/>
      <c r="B17" s="346" t="n"/>
      <c r="C17" s="337" t="n"/>
      <c r="D17" s="337" t="inlineStr">
        <is>
          <t> </t>
        </is>
      </c>
      <c r="E17" s="337" t="inlineStr">
        <is>
          <t>Price Per Unit</t>
        </is>
      </c>
      <c r="F17" s="337" t="n"/>
      <c r="G17" s="438">
        <f>Unit_Price</f>
        <v/>
      </c>
      <c r="H17" s="375" t="n"/>
      <c r="I17" s="375" t="n"/>
      <c r="J17" s="348" t="n"/>
      <c r="K17" s="337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24" customHeight="1" s="317">
      <c r="A18" s="337" t="n"/>
      <c r="B18" s="346" t="n"/>
      <c r="C18" s="350" t="n"/>
      <c r="D18" s="350" t="n"/>
      <c r="E18" s="350" t="inlineStr">
        <is>
          <t> </t>
        </is>
      </c>
      <c r="F18" s="350" t="n"/>
      <c r="G18" s="356" t="n"/>
      <c r="H18" s="379" t="n"/>
      <c r="I18" s="379" t="n"/>
      <c r="J18" s="348" t="n"/>
      <c r="K18" s="337" t="n"/>
      <c r="L18" s="337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24" customHeight="1" s="317">
      <c r="A19" s="337" t="n"/>
      <c r="B19" s="346" t="n"/>
      <c r="C19" s="355" t="inlineStr">
        <is>
          <t>Scrap Reduction Savings</t>
        </is>
      </c>
      <c r="D19" s="350" t="n"/>
      <c r="E19" s="350" t="n"/>
      <c r="F19" s="350" t="n"/>
      <c r="G19" s="356" t="n"/>
      <c r="H19" s="355" t="n"/>
      <c r="I19" s="434">
        <f>I16*G17</f>
        <v/>
      </c>
      <c r="J19" s="348" t="n"/>
      <c r="K19" s="337" t="n"/>
      <c r="L19" s="337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19.5" customHeight="1" s="317">
      <c r="A20" s="337" t="n"/>
      <c r="B20" s="369" t="n"/>
      <c r="C20" s="331" t="n"/>
      <c r="D20" s="331" t="n"/>
      <c r="E20" s="331" t="n"/>
      <c r="F20" s="331" t="n"/>
      <c r="G20" s="331" t="n"/>
      <c r="H20" s="331" t="n"/>
      <c r="I20" s="331" t="n"/>
      <c r="J20" s="371" t="n"/>
      <c r="K20" s="337" t="n"/>
      <c r="L20" s="337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</row>
    <row r="21" ht="18.75" customHeight="1" s="317">
      <c r="A21" s="337" t="n"/>
      <c r="B21" s="337" t="n"/>
      <c r="C21" s="318" t="n"/>
      <c r="D21" s="318" t="n"/>
      <c r="E21" s="318" t="n"/>
      <c r="F21" s="318" t="n"/>
      <c r="G21" s="318" t="n"/>
      <c r="H21" s="318" t="n"/>
      <c r="I21" s="318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18.75" customHeight="1" s="317">
      <c r="A22" s="337" t="n"/>
      <c r="B22" s="337" t="n"/>
      <c r="C22" s="318" t="n"/>
      <c r="D22" s="318" t="n"/>
      <c r="E22" s="318" t="n"/>
      <c r="F22" s="318" t="n"/>
      <c r="G22" s="318" t="n"/>
      <c r="H22" s="318" t="n"/>
      <c r="I22" s="318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  <c r="AC22" s="337" t="n"/>
    </row>
    <row r="23" ht="18.75" customHeight="1" s="317">
      <c r="A23" s="337" t="n"/>
      <c r="B23" s="337" t="n"/>
      <c r="C23" s="318" t="n"/>
      <c r="D23" s="318" t="n"/>
      <c r="E23" s="318" t="n"/>
      <c r="F23" s="318" t="n"/>
      <c r="G23" s="318" t="n"/>
      <c r="H23" s="318" t="n"/>
      <c r="I23" s="31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30" customFormat="1" customHeight="1" s="387">
      <c r="A24" s="388" t="n"/>
      <c r="B24" s="388" t="n"/>
      <c r="C24" s="318" t="n"/>
      <c r="D24" s="318" t="n"/>
      <c r="E24" s="318" t="n"/>
      <c r="F24" s="318" t="n"/>
      <c r="G24" s="318" t="n"/>
      <c r="H24" s="318" t="n"/>
      <c r="I24" s="318" t="n"/>
      <c r="J24" s="388" t="n"/>
      <c r="K24" s="388" t="n"/>
      <c r="L24" s="388" t="n"/>
      <c r="M24" s="388" t="n"/>
      <c r="N24" s="388" t="n"/>
      <c r="O24" s="388" t="n"/>
      <c r="P24" s="388" t="n"/>
      <c r="Q24" s="388" t="n"/>
      <c r="R24" s="388" t="n"/>
      <c r="S24" s="388" t="n"/>
      <c r="T24" s="388" t="n"/>
      <c r="U24" s="388" t="n"/>
      <c r="V24" s="388" t="n"/>
      <c r="W24" s="388" t="n"/>
      <c r="X24" s="388" t="n"/>
      <c r="Y24" s="388" t="n"/>
      <c r="Z24" s="388" t="n"/>
      <c r="AA24" s="388" t="n"/>
      <c r="AB24" s="388" t="n"/>
      <c r="AC24" s="388" t="n"/>
    </row>
    <row r="25" ht="18.75" customHeight="1" s="317">
      <c r="A25" s="337" t="n"/>
      <c r="B25" s="337" t="n"/>
      <c r="C25" s="318" t="n"/>
      <c r="D25" s="318" t="n"/>
      <c r="E25" s="318" t="n"/>
      <c r="F25" s="318" t="n"/>
      <c r="G25" s="318" t="n"/>
      <c r="H25" s="318" t="n"/>
      <c r="I25" s="318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30" customFormat="1" customHeight="1" s="387">
      <c r="A26" s="388" t="n"/>
      <c r="B26" s="388" t="n"/>
      <c r="C26" s="318" t="n"/>
      <c r="D26" s="318" t="n"/>
      <c r="E26" s="318" t="n"/>
      <c r="F26" s="318" t="n"/>
      <c r="G26" s="318" t="n"/>
      <c r="H26" s="318" t="n"/>
      <c r="I26" s="318" t="n"/>
      <c r="J26" s="388" t="n"/>
      <c r="K26" s="388" t="n"/>
      <c r="L26" s="388" t="n"/>
      <c r="M26" s="388" t="n"/>
      <c r="N26" s="388" t="n"/>
      <c r="O26" s="388" t="n"/>
      <c r="P26" s="388" t="n"/>
      <c r="Q26" s="388" t="n"/>
      <c r="R26" s="388" t="n"/>
      <c r="S26" s="388" t="n"/>
      <c r="T26" s="388" t="n"/>
      <c r="U26" s="388" t="n"/>
      <c r="V26" s="388" t="n"/>
      <c r="W26" s="388" t="n"/>
      <c r="X26" s="388" t="n"/>
      <c r="Y26" s="388" t="n"/>
      <c r="Z26" s="388" t="n"/>
      <c r="AA26" s="388" t="n"/>
      <c r="AB26" s="388" t="n"/>
      <c r="AC26" s="388" t="n"/>
    </row>
    <row r="27" ht="18.75" customHeight="1" s="317">
      <c r="A27" s="337" t="n"/>
      <c r="B27" s="337" t="n"/>
      <c r="C27" s="318" t="n"/>
      <c r="D27" s="318" t="n"/>
      <c r="E27" s="318" t="n"/>
      <c r="F27" s="318" t="n"/>
      <c r="G27" s="318" t="n"/>
      <c r="H27" s="318" t="n"/>
      <c r="I27" s="318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8.75" customHeight="1" s="317">
      <c r="A28" s="337" t="n"/>
      <c r="B28" s="337" t="n"/>
      <c r="C28" s="337" t="n"/>
      <c r="D28" s="337" t="n"/>
      <c r="E28" s="337" t="inlineStr">
        <is>
          <t> </t>
        </is>
      </c>
      <c r="F28" s="337" t="n"/>
      <c r="G28" s="318" t="n"/>
      <c r="H28" s="337" t="n"/>
      <c r="I28" s="337" t="inlineStr">
        <is>
          <t> </t>
        </is>
      </c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A29" s="337" t="n"/>
      <c r="B29" s="337" t="n"/>
      <c r="C29" s="337" t="n"/>
      <c r="D29" s="337" t="n"/>
      <c r="E29" s="337" t="inlineStr">
        <is>
          <t> </t>
        </is>
      </c>
      <c r="F29" s="337" t="n"/>
      <c r="G29" s="318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B30" s="337" t="n"/>
      <c r="C30" s="337" t="n"/>
      <c r="D30" s="337" t="n"/>
      <c r="E30" s="337" t="n"/>
      <c r="F30" s="337" t="n"/>
      <c r="G30" s="318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B31" s="337" t="n"/>
      <c r="C31" s="337" t="n"/>
      <c r="D31" s="337" t="n"/>
      <c r="E31" s="337" t="n"/>
      <c r="F31" s="337" t="n"/>
      <c r="G31" s="318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18.75" customHeight="1" s="317">
      <c r="B32" s="337" t="n"/>
      <c r="C32" s="337" t="n"/>
      <c r="D32" s="337" t="n"/>
      <c r="E32" s="337" t="n"/>
      <c r="F32" s="337" t="n"/>
      <c r="G32" s="318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  <c r="AC32" s="337" t="n"/>
    </row>
    <row r="33" ht="18.75" customHeight="1" s="317">
      <c r="B33" s="337" t="n"/>
      <c r="C33" s="337" t="n"/>
      <c r="D33" s="337" t="n"/>
      <c r="E33" s="337" t="n"/>
      <c r="F33" s="337" t="n"/>
      <c r="G33" s="318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18.75" customHeight="1" s="317">
      <c r="B34" s="337" t="n"/>
      <c r="C34" s="337" t="n"/>
      <c r="D34" s="337" t="n"/>
      <c r="E34" s="337" t="n"/>
      <c r="F34" s="337" t="n"/>
      <c r="G34" s="318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  <c r="AC34" s="337" t="n"/>
    </row>
    <row r="35" ht="18.75" customHeight="1" s="317">
      <c r="B35" s="337" t="n"/>
      <c r="C35" s="337" t="n"/>
      <c r="D35" s="337" t="n"/>
      <c r="E35" s="337" t="n"/>
      <c r="F35" s="337" t="n"/>
      <c r="G35" s="318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B36" s="337" t="n"/>
      <c r="C36" s="337" t="n"/>
      <c r="D36" s="337" t="n"/>
      <c r="E36" s="337" t="n"/>
      <c r="F36" s="337" t="n"/>
      <c r="G36" s="318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B37" s="337" t="n"/>
      <c r="C37" s="337" t="n"/>
      <c r="D37" s="337" t="n"/>
      <c r="E37" s="337" t="n"/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  <row r="65" ht="18.75" customHeight="1" s="317">
      <c r="B65" s="337" t="n"/>
      <c r="C65" s="337" t="n"/>
      <c r="D65" s="337" t="n"/>
      <c r="E65" s="337" t="n"/>
      <c r="F65" s="337" t="n"/>
      <c r="G65" s="318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  <c r="AC65" s="337" t="n"/>
    </row>
    <row r="66" ht="18.75" customHeight="1" s="317">
      <c r="B66" s="337" t="n"/>
      <c r="C66" s="337" t="n"/>
      <c r="D66" s="337" t="n"/>
      <c r="E66" s="337" t="n"/>
      <c r="F66" s="337" t="n"/>
      <c r="G66" s="318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  <c r="AC66" s="337" t="n"/>
    </row>
    <row r="67" ht="18.75" customHeight="1" s="317">
      <c r="B67" s="337" t="n"/>
      <c r="C67" s="337" t="n"/>
      <c r="D67" s="337" t="n"/>
      <c r="E67" s="337" t="n"/>
      <c r="F67" s="337" t="n"/>
      <c r="G67" s="318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  <c r="AC67" s="337" t="n"/>
    </row>
    <row r="68" ht="18.75" customHeight="1" s="317">
      <c r="B68" s="337" t="n"/>
      <c r="C68" s="337" t="n"/>
      <c r="D68" s="337" t="n"/>
      <c r="E68" s="337" t="n"/>
      <c r="F68" s="337" t="n"/>
      <c r="G68" s="318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  <c r="AC68" s="337" t="n"/>
    </row>
  </sheetData>
  <mergeCells count="2">
    <mergeCell ref="A1:K1"/>
    <mergeCell ref="C6:I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5 of 9_x000a_&amp;R&amp;"Arial,Bold"&amp;10 &amp;D - &amp;T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AC64"/>
  <sheetViews>
    <sheetView showFormulas="0" showGridLines="1" showRowColHeaders="1" showZeros="1" rightToLeft="0" tabSelected="0" showOutlineSymbols="1" defaultGridColor="1" view="normal" topLeftCell="A1" colorId="64" zoomScale="76" zoomScaleNormal="76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1.77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Miscellaneous Saving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4.25" customHeight="1" s="317">
      <c r="A7" s="337" t="n"/>
      <c r="B7" s="346" t="n"/>
      <c r="C7" s="439" t="inlineStr">
        <is>
          <t>This Sheet To Be Used For Unique Savings Opportunities Specific To Your Application (Modify As Required)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19.5" customHeight="1" s="317">
      <c r="A8" s="337" t="n"/>
      <c r="B8" s="346" t="n"/>
      <c r="C8" s="337" t="inlineStr">
        <is>
          <t> </t>
        </is>
      </c>
      <c r="D8" s="337" t="n"/>
      <c r="E8" s="337" t="inlineStr">
        <is>
          <t> </t>
        </is>
      </c>
      <c r="F8" s="337" t="n"/>
      <c r="G8" s="318" t="n"/>
      <c r="H8" s="337" t="n"/>
      <c r="I8" s="337" t="inlineStr">
        <is>
          <t> </t>
        </is>
      </c>
      <c r="J8" s="348" t="n"/>
      <c r="K8" s="337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37" t="n"/>
      <c r="W8" s="337" t="n"/>
      <c r="X8" s="337" t="n"/>
      <c r="Y8" s="337" t="n"/>
      <c r="Z8" s="337" t="n"/>
      <c r="AA8" s="337" t="n"/>
      <c r="AB8" s="337" t="n"/>
      <c r="AC8" s="337" t="n"/>
    </row>
    <row r="9" ht="27" customFormat="1" customHeight="1" s="351">
      <c r="A9" s="352" t="n"/>
      <c r="B9" s="353" t="n"/>
      <c r="C9" s="355" t="inlineStr">
        <is>
          <t>Miscellaneous Saving #1</t>
        </is>
      </c>
      <c r="D9" s="355" t="n"/>
      <c r="E9" s="355" t="n"/>
      <c r="F9" s="355" t="n"/>
      <c r="G9" s="318" t="n"/>
      <c r="H9" s="318" t="n"/>
      <c r="I9" s="440" t="n">
        <v>0</v>
      </c>
      <c r="J9" s="373" t="n"/>
      <c r="K9" s="352" t="n"/>
      <c r="L9" s="318" t="n"/>
      <c r="M9" s="435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52" t="n"/>
      <c r="W9" s="352" t="n"/>
      <c r="X9" s="352" t="n"/>
      <c r="Y9" s="352" t="n"/>
      <c r="Z9" s="352" t="n"/>
      <c r="AA9" s="352" t="n"/>
      <c r="AB9" s="352" t="n"/>
      <c r="AC9" s="352" t="n"/>
    </row>
    <row r="10" ht="24" customHeight="1" s="317">
      <c r="A10" s="337" t="n"/>
      <c r="B10" s="346" t="n"/>
      <c r="C10" s="350" t="n"/>
      <c r="D10" s="350" t="n"/>
      <c r="E10" s="350" t="n"/>
      <c r="F10" s="350" t="n"/>
      <c r="G10" s="356" t="n"/>
      <c r="H10" s="378" t="n"/>
      <c r="I10" s="378" t="n"/>
      <c r="J10" s="348" t="n"/>
      <c r="K10" s="337" t="n"/>
      <c r="L10" s="318" t="n"/>
      <c r="M10" s="435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27" customFormat="1" customHeight="1" s="351">
      <c r="A11" s="352" t="n"/>
      <c r="B11" s="353" t="n"/>
      <c r="C11" s="355" t="inlineStr">
        <is>
          <t>Miscellaneous Saving #1</t>
        </is>
      </c>
      <c r="D11" s="355" t="n"/>
      <c r="E11" s="355" t="n"/>
      <c r="F11" s="355" t="n"/>
      <c r="G11" s="356" t="n"/>
      <c r="H11" s="355" t="n"/>
      <c r="I11" s="440" t="n">
        <v>0</v>
      </c>
      <c r="J11" s="373" t="n"/>
      <c r="K11" s="352" t="n"/>
      <c r="L11" s="318" t="n"/>
      <c r="M11" s="435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52" t="n"/>
      <c r="W11" s="352" t="n"/>
      <c r="X11" s="352" t="n"/>
      <c r="Y11" s="352" t="n"/>
      <c r="Z11" s="352" t="n"/>
      <c r="AA11" s="352" t="n"/>
      <c r="AB11" s="352" t="n"/>
      <c r="AC11" s="352" t="n"/>
    </row>
    <row r="12" ht="24" customHeight="1" s="317">
      <c r="A12" s="337" t="n"/>
      <c r="B12" s="346" t="n"/>
      <c r="C12" s="350" t="n"/>
      <c r="D12" s="350" t="n"/>
      <c r="E12" s="350" t="n"/>
      <c r="F12" s="350" t="n"/>
      <c r="G12" s="356" t="n"/>
      <c r="H12" s="379" t="n"/>
      <c r="I12" s="379" t="n"/>
      <c r="J12" s="348" t="n"/>
      <c r="K12" s="337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37" t="n"/>
      <c r="W12" s="337" t="n"/>
      <c r="X12" s="337" t="n"/>
      <c r="Y12" s="337" t="n"/>
      <c r="Z12" s="337" t="n"/>
      <c r="AA12" s="337" t="n"/>
      <c r="AB12" s="337" t="n"/>
      <c r="AC12" s="337" t="n"/>
    </row>
    <row r="13" ht="27" customFormat="1" customHeight="1" s="351">
      <c r="A13" s="352" t="n"/>
      <c r="B13" s="353" t="n"/>
      <c r="C13" s="355" t="inlineStr">
        <is>
          <t>Miscellaneous Saving #1</t>
        </is>
      </c>
      <c r="D13" s="355" t="n"/>
      <c r="E13" s="355" t="n"/>
      <c r="F13" s="355" t="n"/>
      <c r="G13" s="356" t="n"/>
      <c r="H13" s="395" t="n"/>
      <c r="I13" s="440" t="n">
        <v>0</v>
      </c>
      <c r="J13" s="373" t="n"/>
      <c r="K13" s="352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52" t="n"/>
      <c r="W13" s="352" t="n"/>
      <c r="X13" s="352" t="n"/>
      <c r="Y13" s="352" t="n"/>
      <c r="Z13" s="352" t="n"/>
      <c r="AA13" s="352" t="n"/>
      <c r="AB13" s="352" t="n"/>
      <c r="AC13" s="352" t="n"/>
    </row>
    <row r="14" ht="24" customHeight="1" s="317">
      <c r="A14" s="337" t="n"/>
      <c r="B14" s="346" t="n"/>
      <c r="C14" s="350" t="n"/>
      <c r="D14" s="350" t="n"/>
      <c r="E14" s="350" t="inlineStr">
        <is>
          <t> </t>
        </is>
      </c>
      <c r="F14" s="350" t="n"/>
      <c r="G14" s="356" t="n"/>
      <c r="H14" s="379" t="n"/>
      <c r="I14" s="379" t="n"/>
      <c r="J14" s="348" t="n"/>
      <c r="K14" s="337" t="n"/>
      <c r="L14" s="337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5" t="inlineStr">
        <is>
          <t>Total Miscellaneous Savings</t>
        </is>
      </c>
      <c r="D15" s="350" t="n"/>
      <c r="E15" s="350" t="n"/>
      <c r="F15" s="350" t="n"/>
      <c r="G15" s="356" t="n"/>
      <c r="H15" s="355" t="n"/>
      <c r="I15" s="434">
        <f>SUM(I9:I13)</f>
        <v/>
      </c>
      <c r="J15" s="348" t="n"/>
      <c r="K15" s="337" t="n"/>
      <c r="L15" s="337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19.5" customHeight="1" s="317">
      <c r="A16" s="337" t="n"/>
      <c r="B16" s="369" t="n"/>
      <c r="C16" s="331" t="n"/>
      <c r="D16" s="331" t="n"/>
      <c r="E16" s="331" t="n"/>
      <c r="F16" s="331" t="n"/>
      <c r="G16" s="331" t="n"/>
      <c r="H16" s="331" t="n"/>
      <c r="I16" s="331" t="n"/>
      <c r="J16" s="371" t="n"/>
      <c r="K16" s="337" t="n"/>
      <c r="L16" s="337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37" t="n"/>
      <c r="W16" s="337" t="n"/>
      <c r="X16" s="337" t="n"/>
      <c r="Y16" s="337" t="n"/>
      <c r="Z16" s="337" t="n"/>
      <c r="AA16" s="337" t="n"/>
      <c r="AB16" s="337" t="n"/>
      <c r="AC16" s="337" t="n"/>
    </row>
    <row r="17" ht="18.75" customHeight="1" s="317">
      <c r="A17" s="337" t="n"/>
      <c r="B17" s="337" t="n"/>
      <c r="C17" s="318" t="n"/>
      <c r="D17" s="318" t="n"/>
      <c r="E17" s="318" t="n"/>
      <c r="F17" s="318" t="n"/>
      <c r="G17" s="318" t="n"/>
      <c r="H17" s="318" t="n"/>
      <c r="I17" s="31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18.75" customHeight="1" s="317">
      <c r="A18" s="337" t="n"/>
      <c r="B18" s="337" t="n"/>
      <c r="C18" s="318" t="n"/>
      <c r="D18" s="318" t="n"/>
      <c r="E18" s="318" t="n"/>
      <c r="F18" s="318" t="n"/>
      <c r="G18" s="318" t="n"/>
      <c r="H18" s="318" t="n"/>
      <c r="I18" s="318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18.75" customHeight="1" s="317">
      <c r="A19" s="337" t="n"/>
      <c r="B19" s="337" t="n"/>
      <c r="C19" s="318" t="n"/>
      <c r="D19" s="318" t="n"/>
      <c r="E19" s="318" t="n"/>
      <c r="F19" s="318" t="n"/>
      <c r="G19" s="318" t="n"/>
      <c r="H19" s="318" t="n"/>
      <c r="I19" s="318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30" customFormat="1" customHeight="1" s="387">
      <c r="A20" s="388" t="n"/>
      <c r="B20" s="388" t="n"/>
      <c r="C20" s="318" t="n"/>
      <c r="D20" s="318" t="n"/>
      <c r="E20" s="318" t="n"/>
      <c r="F20" s="318" t="n"/>
      <c r="G20" s="318" t="n"/>
      <c r="H20" s="318" t="n"/>
      <c r="I20" s="318" t="n"/>
      <c r="J20" s="388" t="n"/>
      <c r="K20" s="388" t="n"/>
      <c r="L20" s="388" t="n"/>
      <c r="M20" s="388" t="n"/>
      <c r="N20" s="388" t="n"/>
      <c r="O20" s="388" t="n"/>
      <c r="P20" s="388" t="n"/>
      <c r="Q20" s="388" t="n"/>
      <c r="R20" s="388" t="n"/>
      <c r="S20" s="388" t="n"/>
      <c r="T20" s="388" t="n"/>
      <c r="U20" s="388" t="n"/>
      <c r="V20" s="388" t="n"/>
      <c r="W20" s="388" t="n"/>
      <c r="X20" s="388" t="n"/>
      <c r="Y20" s="388" t="n"/>
      <c r="Z20" s="388" t="n"/>
      <c r="AA20" s="388" t="n"/>
      <c r="AB20" s="388" t="n"/>
      <c r="AC20" s="388" t="n"/>
    </row>
    <row r="21" ht="18.75" customHeight="1" s="317">
      <c r="A21" s="337" t="n"/>
      <c r="B21" s="337" t="n"/>
      <c r="C21" s="318" t="n"/>
      <c r="D21" s="318" t="n"/>
      <c r="E21" s="318" t="n"/>
      <c r="F21" s="318" t="n"/>
      <c r="G21" s="318" t="n"/>
      <c r="H21" s="318" t="n"/>
      <c r="I21" s="318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30" customFormat="1" customHeight="1" s="387">
      <c r="A22" s="388" t="n"/>
      <c r="B22" s="388" t="n"/>
      <c r="C22" s="318" t="n"/>
      <c r="D22" s="318" t="n"/>
      <c r="E22" s="318" t="n"/>
      <c r="F22" s="318" t="n"/>
      <c r="G22" s="318" t="n"/>
      <c r="H22" s="318" t="n"/>
      <c r="I22" s="318" t="n"/>
      <c r="J22" s="388" t="n"/>
      <c r="K22" s="388" t="n"/>
      <c r="L22" s="388" t="n"/>
      <c r="M22" s="388" t="n"/>
      <c r="N22" s="388" t="n"/>
      <c r="O22" s="388" t="n"/>
      <c r="P22" s="388" t="n"/>
      <c r="Q22" s="388" t="n"/>
      <c r="R22" s="388" t="n"/>
      <c r="S22" s="388" t="n"/>
      <c r="T22" s="388" t="n"/>
      <c r="U22" s="388" t="n"/>
      <c r="V22" s="388" t="n"/>
      <c r="W22" s="388" t="n"/>
      <c r="X22" s="388" t="n"/>
      <c r="Y22" s="388" t="n"/>
      <c r="Z22" s="388" t="n"/>
      <c r="AA22" s="388" t="n"/>
      <c r="AB22" s="388" t="n"/>
      <c r="AC22" s="388" t="n"/>
    </row>
    <row r="23" ht="18.75" customHeight="1" s="317">
      <c r="A23" s="337" t="n"/>
      <c r="B23" s="337" t="n"/>
      <c r="C23" s="318" t="n"/>
      <c r="D23" s="318" t="n"/>
      <c r="E23" s="318" t="n"/>
      <c r="F23" s="318" t="n"/>
      <c r="G23" s="318" t="n"/>
      <c r="H23" s="318" t="n"/>
      <c r="I23" s="31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18.75" customHeight="1" s="317">
      <c r="A24" s="337" t="n"/>
      <c r="B24" s="337" t="n"/>
      <c r="C24" s="337" t="n"/>
      <c r="D24" s="337" t="n"/>
      <c r="E24" s="337" t="n"/>
      <c r="F24" s="337" t="n"/>
      <c r="G24" s="318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  <c r="AC24" s="337" t="n"/>
    </row>
    <row r="25" ht="18.75" customHeight="1" s="317">
      <c r="A25" s="337" t="n"/>
      <c r="B25" s="337" t="n"/>
      <c r="C25" s="337" t="n"/>
      <c r="D25" s="337" t="n"/>
      <c r="E25" s="337" t="n"/>
      <c r="F25" s="337" t="n"/>
      <c r="G25" s="318" t="n"/>
      <c r="H25" s="337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18.75" customHeight="1" s="317">
      <c r="B26" s="337" t="n"/>
      <c r="C26" s="337" t="n"/>
      <c r="D26" s="337" t="n"/>
      <c r="E26" s="337" t="n"/>
      <c r="F26" s="337" t="n"/>
      <c r="G26" s="318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  <c r="AC26" s="337" t="n"/>
    </row>
    <row r="27" ht="18.75" customHeight="1" s="317">
      <c r="B27" s="337" t="n"/>
      <c r="C27" s="337" t="n"/>
      <c r="D27" s="337" t="n"/>
      <c r="E27" s="337" t="n"/>
      <c r="F27" s="337" t="n"/>
      <c r="G27" s="318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8.75" customHeight="1" s="317">
      <c r="B28" s="337" t="n"/>
      <c r="C28" s="337" t="n"/>
      <c r="D28" s="337" t="n"/>
      <c r="E28" s="337" t="n"/>
      <c r="F28" s="337" t="n"/>
      <c r="G28" s="318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B29" s="337" t="n"/>
      <c r="C29" s="337" t="n"/>
      <c r="D29" s="337" t="n"/>
      <c r="E29" s="337" t="n"/>
      <c r="F29" s="337" t="n"/>
      <c r="G29" s="318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B30" s="337" t="n"/>
      <c r="C30" s="337" t="n"/>
      <c r="D30" s="337" t="n"/>
      <c r="E30" s="337" t="n"/>
      <c r="F30" s="337" t="n"/>
      <c r="G30" s="318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B31" s="337" t="n"/>
      <c r="C31" s="337" t="n"/>
      <c r="D31" s="337" t="n"/>
      <c r="E31" s="337" t="n"/>
      <c r="F31" s="337" t="n"/>
      <c r="G31" s="318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18.75" customHeight="1" s="317">
      <c r="B32" s="337" t="n"/>
      <c r="C32" s="337" t="n"/>
      <c r="D32" s="337" t="n"/>
      <c r="E32" s="337" t="n"/>
      <c r="F32" s="337" t="n"/>
      <c r="G32" s="318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  <c r="AC32" s="337" t="n"/>
    </row>
    <row r="33" ht="18.75" customHeight="1" s="317">
      <c r="B33" s="337" t="n"/>
      <c r="C33" s="337" t="n"/>
      <c r="D33" s="337" t="n"/>
      <c r="E33" s="337" t="n"/>
      <c r="F33" s="337" t="n"/>
      <c r="G33" s="318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18.75" customHeight="1" s="317">
      <c r="B34" s="337" t="n"/>
      <c r="C34" s="337" t="n"/>
      <c r="D34" s="337" t="n"/>
      <c r="E34" s="337" t="n"/>
      <c r="F34" s="337" t="n"/>
      <c r="G34" s="318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  <c r="AC34" s="337" t="n"/>
    </row>
    <row r="35" ht="18.75" customHeight="1" s="317">
      <c r="B35" s="337" t="n"/>
      <c r="C35" s="337" t="n"/>
      <c r="D35" s="337" t="n"/>
      <c r="E35" s="337" t="n"/>
      <c r="F35" s="337" t="n"/>
      <c r="G35" s="318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B36" s="337" t="n"/>
      <c r="C36" s="337" t="n"/>
      <c r="D36" s="337" t="n"/>
      <c r="E36" s="337" t="n"/>
      <c r="F36" s="337" t="n"/>
      <c r="G36" s="318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B37" s="337" t="n"/>
      <c r="C37" s="337" t="n"/>
      <c r="D37" s="337" t="n"/>
      <c r="E37" s="337" t="n"/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</sheetData>
  <mergeCells count="3">
    <mergeCell ref="A1:K1"/>
    <mergeCell ref="C6:I6"/>
    <mergeCell ref="C7:I7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6 of 9_x000a_&amp;R&amp;"Arial,Bold"&amp;10 &amp;D - &amp;T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B9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0" ySplit="1" topLeftCell="BM2" activePane="bottomLeft" state="frozen"/>
      <selection pane="topLeft" activeCell="A1" activeCellId="0" sqref="A1"/>
      <selection pane="bottomLeft" activeCell="D9" activeCellId="0" sqref="D9"/>
    </sheetView>
  </sheetViews>
  <sheetFormatPr baseColWidth="8" defaultColWidth="8.87890625" defaultRowHeight="18.75" zeroHeight="0" outlineLevelRow="0"/>
  <cols>
    <col width="2.77" customWidth="1" style="318" min="1" max="1"/>
    <col width="2.77" customWidth="1" style="316" min="2" max="2"/>
    <col width="1.66" customWidth="1" style="316" min="3" max="3"/>
    <col width="63.77" customWidth="1" style="316" min="4" max="4"/>
    <col width="8.77" customWidth="1" style="316" min="5" max="5"/>
    <col width="2.77" customWidth="1" style="316" min="6" max="6"/>
    <col width="18.66" customWidth="1" style="316" min="7" max="7"/>
    <col width="2.77" customWidth="1" style="316" min="8" max="9"/>
    <col width="8.880000000000001" customWidth="1" style="316" min="10" max="10"/>
    <col width="14.1" customWidth="1" style="316" min="11" max="11"/>
    <col width="8.880000000000001" customWidth="1" style="316" min="12" max="257"/>
  </cols>
  <sheetData>
    <row r="1" ht="25.5" customFormat="1" customHeight="1" s="318">
      <c r="A1" s="441" t="inlineStr">
        <is>
          <t>DO NOT CHANGE ANY VALUES OR ENTER ANY DATA ON THIS SHEET!!!!!!!!!!!!!!!!!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2" t="n"/>
    </row>
    <row r="2" ht="19.5" customFormat="1" customHeight="1" s="318"/>
    <row r="3" ht="18.75" customHeight="1" s="317">
      <c r="B3" s="319" t="n"/>
      <c r="C3" s="320" t="n"/>
      <c r="D3" s="320" t="n"/>
      <c r="E3" s="320" t="n"/>
      <c r="F3" s="320" t="n"/>
      <c r="G3" s="320" t="n"/>
      <c r="H3" s="321" t="n"/>
      <c r="I3" s="318" t="n"/>
      <c r="J3" s="318" t="n"/>
      <c r="K3" s="318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18" t="n"/>
      <c r="W3" s="318" t="n"/>
      <c r="X3" s="318" t="n"/>
      <c r="Y3" s="318" t="n"/>
      <c r="Z3" s="318" t="n"/>
      <c r="AA3" s="318" t="n"/>
      <c r="AB3" s="318" t="n"/>
    </row>
    <row r="4" ht="18.75" customFormat="1" customHeight="1" s="316">
      <c r="A4" s="318" t="n"/>
      <c r="B4" s="322" t="n"/>
      <c r="C4" s="318" t="n"/>
      <c r="D4" s="347" t="inlineStr">
        <is>
          <t>Insert Customer Logo</t>
        </is>
      </c>
      <c r="E4" s="318" t="n"/>
      <c r="F4" s="318" t="n"/>
      <c r="G4" s="318" t="n"/>
      <c r="H4" s="326" t="n"/>
      <c r="I4" s="318" t="n"/>
      <c r="J4" s="318" t="n"/>
      <c r="K4" s="318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18" t="n"/>
      <c r="W4" s="318" t="n"/>
      <c r="X4" s="318" t="n"/>
      <c r="Y4" s="318" t="n"/>
      <c r="Z4" s="318" t="n"/>
      <c r="AA4" s="318" t="n"/>
      <c r="AB4" s="318" t="n"/>
    </row>
    <row r="5" ht="18" customFormat="1" customHeight="1" s="442">
      <c r="A5" s="443" t="n"/>
      <c r="B5" s="444" t="n"/>
      <c r="C5" s="445" t="n"/>
      <c r="D5" s="347" t="inlineStr">
        <is>
          <t>In This Area</t>
        </is>
      </c>
      <c r="E5" s="445" t="n"/>
      <c r="F5" s="445" t="n"/>
      <c r="G5" s="445" t="n"/>
      <c r="H5" s="446" t="n"/>
      <c r="I5" s="443" t="n"/>
      <c r="J5" s="443" t="n"/>
      <c r="K5" s="443" t="n"/>
      <c r="L5" s="443" t="n"/>
      <c r="M5" s="443" t="n"/>
      <c r="N5" s="443" t="n"/>
      <c r="O5" s="443" t="n"/>
      <c r="P5" s="443" t="n"/>
      <c r="Q5" s="443" t="n"/>
      <c r="R5" s="443" t="n"/>
      <c r="S5" s="443" t="n"/>
      <c r="T5" s="443" t="n"/>
      <c r="U5" s="443" t="n"/>
      <c r="V5" s="443" t="n"/>
      <c r="W5" s="443" t="n"/>
      <c r="X5" s="443" t="n"/>
      <c r="Y5" s="443" t="n"/>
      <c r="Z5" s="443" t="n"/>
      <c r="AA5" s="443" t="n"/>
      <c r="AB5" s="443" t="n"/>
    </row>
    <row r="6" ht="34.5" customFormat="1" customHeight="1" s="442">
      <c r="A6" s="443" t="n"/>
      <c r="B6" s="444" t="n"/>
      <c r="C6" s="349" t="inlineStr">
        <is>
          <t>Annual Savings Summary</t>
        </is>
      </c>
      <c r="H6" s="446" t="n"/>
      <c r="I6" s="443" t="n"/>
      <c r="J6" s="443" t="n"/>
      <c r="K6" s="443" t="n"/>
      <c r="L6" s="443" t="n"/>
      <c r="M6" s="443" t="n"/>
      <c r="N6" s="443" t="n"/>
      <c r="O6" s="443" t="n"/>
      <c r="P6" s="443" t="n"/>
      <c r="Q6" s="443" t="n"/>
      <c r="R6" s="443" t="n"/>
      <c r="S6" s="443" t="n"/>
      <c r="T6" s="443" t="n"/>
      <c r="U6" s="443" t="n"/>
      <c r="V6" s="443" t="n"/>
      <c r="W6" s="443" t="n"/>
      <c r="X6" s="443" t="n"/>
      <c r="Y6" s="443" t="n"/>
      <c r="Z6" s="443" t="n"/>
      <c r="AA6" s="443" t="n"/>
      <c r="AB6" s="443" t="n"/>
    </row>
    <row r="7" ht="34.5" customFormat="1" customHeight="1" s="442">
      <c r="A7" s="443" t="n"/>
      <c r="B7" s="447" t="n"/>
      <c r="C7" s="445" t="n"/>
      <c r="D7" s="443" t="n"/>
      <c r="E7" s="445" t="n"/>
      <c r="F7" s="445" t="n"/>
      <c r="G7" s="445" t="n"/>
      <c r="H7" s="446" t="n"/>
      <c r="I7" s="443" t="n"/>
      <c r="J7" s="443" t="n"/>
      <c r="K7" s="443" t="n"/>
      <c r="L7" s="443" t="n"/>
      <c r="M7" s="443" t="n"/>
      <c r="N7" s="443" t="n"/>
      <c r="O7" s="443" t="n"/>
      <c r="P7" s="443" t="n"/>
      <c r="Q7" s="443" t="n"/>
      <c r="R7" s="443" t="n"/>
      <c r="S7" s="443" t="n"/>
      <c r="T7" s="443" t="n"/>
      <c r="U7" s="443" t="n"/>
      <c r="V7" s="443" t="n"/>
      <c r="W7" s="443" t="n"/>
      <c r="X7" s="443" t="n"/>
      <c r="Y7" s="443" t="n"/>
      <c r="Z7" s="443" t="n"/>
      <c r="AA7" s="443" t="n"/>
      <c r="AB7" s="443" t="n"/>
    </row>
    <row r="8" ht="8.1" customFormat="1" customHeight="1" s="448">
      <c r="A8" s="356" t="n"/>
      <c r="B8" s="449" t="n"/>
      <c r="C8" s="355" t="n"/>
      <c r="D8" s="355" t="n"/>
      <c r="E8" s="318" t="n"/>
      <c r="F8" s="355" t="n"/>
      <c r="G8" s="355" t="n"/>
      <c r="H8" s="450" t="n"/>
      <c r="I8" s="356" t="n"/>
      <c r="J8" s="356" t="n"/>
      <c r="K8" s="356" t="n"/>
      <c r="L8" s="356" t="n"/>
      <c r="M8" s="356" t="n"/>
      <c r="N8" s="356" t="n"/>
      <c r="O8" s="356" t="n"/>
      <c r="P8" s="356" t="n"/>
      <c r="Q8" s="356" t="n"/>
      <c r="R8" s="356" t="n"/>
      <c r="S8" s="356" t="n"/>
      <c r="T8" s="356" t="n"/>
      <c r="U8" s="356" t="n"/>
      <c r="V8" s="356" t="n"/>
      <c r="W8" s="356" t="n"/>
      <c r="X8" s="356" t="n"/>
      <c r="Y8" s="356" t="n"/>
      <c r="Z8" s="356" t="n"/>
      <c r="AA8" s="356" t="n"/>
      <c r="AB8" s="356" t="n"/>
    </row>
    <row r="9" ht="24" customFormat="1" customHeight="1" s="448">
      <c r="A9" s="356" t="n"/>
      <c r="B9" s="449" t="n"/>
      <c r="C9" s="355" t="inlineStr">
        <is>
          <t>Operator Labor Savings :</t>
        </is>
      </c>
      <c r="D9" s="318" t="n"/>
      <c r="E9" s="318" t="n"/>
      <c r="F9" s="390" t="n"/>
      <c r="G9" s="402">
        <f>'Labor Savings'!H39</f>
        <v/>
      </c>
      <c r="H9" s="450" t="n"/>
      <c r="I9" s="356" t="n"/>
      <c r="J9" s="356" t="n"/>
      <c r="K9" s="356" t="n"/>
      <c r="L9" s="356" t="n"/>
      <c r="M9" s="356" t="n"/>
      <c r="N9" s="356" t="n"/>
      <c r="O9" s="356" t="n"/>
      <c r="P9" s="356" t="n"/>
      <c r="Q9" s="356" t="n"/>
      <c r="R9" s="356" t="n"/>
      <c r="S9" s="356" t="n"/>
      <c r="T9" s="356" t="n"/>
      <c r="U9" s="356" t="n"/>
      <c r="V9" s="356" t="n"/>
      <c r="W9" s="356" t="n"/>
      <c r="X9" s="356" t="n"/>
      <c r="Y9" s="356" t="n"/>
      <c r="Z9" s="356" t="n"/>
      <c r="AA9" s="356" t="n"/>
      <c r="AB9" s="356" t="n"/>
    </row>
    <row r="10" ht="19.5" customHeight="1" s="317">
      <c r="B10" s="322" t="inlineStr">
        <is>
          <t> </t>
        </is>
      </c>
      <c r="C10" s="337" t="n"/>
      <c r="D10" s="337" t="inlineStr">
        <is>
          <t> </t>
        </is>
      </c>
      <c r="E10" s="318" t="n"/>
      <c r="F10" s="337" t="n"/>
      <c r="G10" s="337" t="n"/>
      <c r="H10" s="326" t="n"/>
      <c r="I10" s="318" t="n"/>
      <c r="J10" s="318" t="n"/>
      <c r="K10" s="318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18" t="n"/>
      <c r="W10" s="318" t="n"/>
      <c r="X10" s="318" t="n"/>
      <c r="Y10" s="318" t="n"/>
      <c r="Z10" s="318" t="n"/>
      <c r="AA10" s="318" t="n"/>
      <c r="AB10" s="318" t="n"/>
    </row>
    <row r="11" ht="24" customFormat="1" customHeight="1" s="448">
      <c r="A11" s="356" t="n"/>
      <c r="B11" s="449" t="n"/>
      <c r="C11" s="355" t="inlineStr">
        <is>
          <t>Lost Time and Disability Savings :</t>
        </is>
      </c>
      <c r="D11" s="318" t="n"/>
      <c r="E11" s="318" t="n"/>
      <c r="F11" s="390" t="n"/>
      <c r="G11" s="402">
        <f>Disability_Savings</f>
        <v/>
      </c>
      <c r="H11" s="450" t="n"/>
      <c r="I11" s="356" t="n"/>
      <c r="J11" s="356" t="n"/>
      <c r="K11" s="356" t="n"/>
      <c r="L11" s="356" t="n"/>
      <c r="M11" s="356" t="n"/>
      <c r="N11" s="356" t="n"/>
      <c r="O11" s="356" t="n"/>
      <c r="P11" s="356" t="n"/>
      <c r="Q11" s="356" t="n"/>
      <c r="R11" s="356" t="n"/>
      <c r="S11" s="356" t="n"/>
      <c r="T11" s="356" t="n"/>
      <c r="U11" s="356" t="n"/>
      <c r="V11" s="356" t="n"/>
      <c r="W11" s="356" t="n"/>
      <c r="X11" s="356" t="n"/>
      <c r="Y11" s="356" t="n"/>
      <c r="Z11" s="356" t="n"/>
      <c r="AA11" s="356" t="n"/>
      <c r="AB11" s="356" t="n"/>
    </row>
    <row r="12" ht="19.5" customHeight="1" s="317">
      <c r="B12" s="322" t="inlineStr">
        <is>
          <t> </t>
        </is>
      </c>
      <c r="C12" s="337" t="n"/>
      <c r="D12" s="337" t="inlineStr">
        <is>
          <t> </t>
        </is>
      </c>
      <c r="E12" s="318" t="n"/>
      <c r="F12" s="337" t="n"/>
      <c r="G12" s="337" t="n"/>
      <c r="H12" s="326" t="n"/>
      <c r="I12" s="318" t="n"/>
      <c r="J12" s="318" t="n"/>
      <c r="K12" s="318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18" t="n"/>
      <c r="W12" s="318" t="n"/>
      <c r="X12" s="318" t="n"/>
      <c r="Y12" s="318" t="n"/>
      <c r="Z12" s="318" t="n"/>
      <c r="AA12" s="318" t="n"/>
      <c r="AB12" s="318" t="n"/>
    </row>
    <row r="13" ht="24" customFormat="1" customHeight="1" s="448">
      <c r="A13" s="356" t="n"/>
      <c r="B13" s="449" t="n"/>
      <c r="C13" s="355" t="inlineStr">
        <is>
          <t>Workers Compensation Premiums ($1.3 per $100 of payroll)</t>
        </is>
      </c>
      <c r="D13" s="356" t="n"/>
      <c r="E13" s="318" t="n"/>
      <c r="F13" s="390" t="n"/>
      <c r="G13" s="402">
        <f>'Financial Spreadsheet '!F17</f>
        <v/>
      </c>
      <c r="H13" s="450" t="n"/>
      <c r="I13" s="356" t="n"/>
      <c r="J13" s="356" t="n"/>
      <c r="K13" s="356" t="n"/>
      <c r="L13" s="356" t="n"/>
      <c r="M13" s="356" t="n"/>
      <c r="N13" s="356" t="n"/>
      <c r="O13" s="356" t="n"/>
      <c r="P13" s="356" t="n"/>
      <c r="Q13" s="356" t="n"/>
      <c r="R13" s="356" t="n"/>
      <c r="S13" s="356" t="n"/>
      <c r="T13" s="356" t="n"/>
      <c r="U13" s="356" t="n"/>
      <c r="V13" s="356" t="n"/>
      <c r="W13" s="356" t="n"/>
      <c r="X13" s="356" t="n"/>
      <c r="Y13" s="356" t="n"/>
      <c r="Z13" s="356" t="n"/>
      <c r="AA13" s="356" t="n"/>
      <c r="AB13" s="356" t="n"/>
    </row>
    <row r="14" ht="19.5" customHeight="1" s="317">
      <c r="B14" s="322" t="inlineStr">
        <is>
          <t> </t>
        </is>
      </c>
      <c r="C14" s="337" t="n"/>
      <c r="D14" s="337" t="inlineStr">
        <is>
          <t> </t>
        </is>
      </c>
      <c r="E14" s="318" t="n"/>
      <c r="F14" s="337" t="n"/>
      <c r="G14" s="337" t="n"/>
      <c r="H14" s="326" t="n"/>
      <c r="I14" s="318" t="n"/>
      <c r="J14" s="318" t="n"/>
      <c r="K14" s="318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18" t="n"/>
      <c r="W14" s="318" t="n"/>
      <c r="X14" s="318" t="n"/>
      <c r="Y14" s="318" t="n"/>
      <c r="Z14" s="318" t="n"/>
      <c r="AA14" s="318" t="n"/>
      <c r="AB14" s="318" t="n"/>
    </row>
    <row r="15" ht="24" customFormat="1" customHeight="1" s="448">
      <c r="A15" s="356" t="n"/>
      <c r="B15" s="449" t="n"/>
      <c r="C15" s="355" t="inlineStr">
        <is>
          <t>System Preventive Maintenance:</t>
        </is>
      </c>
      <c r="D15" s="350" t="n"/>
      <c r="E15" s="318" t="n"/>
      <c r="F15" s="390" t="n"/>
      <c r="G15" s="402">
        <f>'PM Labor Savings '!H18</f>
        <v/>
      </c>
      <c r="H15" s="450" t="n"/>
      <c r="I15" s="356" t="n"/>
      <c r="J15" s="356" t="n"/>
      <c r="K15" s="356" t="n"/>
      <c r="L15" s="356" t="n"/>
      <c r="M15" s="356" t="n"/>
      <c r="N15" s="356" t="n"/>
      <c r="O15" s="356" t="n"/>
      <c r="P15" s="356" t="n"/>
      <c r="Q15" s="356" t="n"/>
      <c r="R15" s="356" t="n"/>
      <c r="S15" s="356" t="n"/>
      <c r="T15" s="356" t="n"/>
      <c r="U15" s="356" t="n"/>
      <c r="V15" s="356" t="n"/>
      <c r="W15" s="356" t="n"/>
      <c r="X15" s="356" t="n"/>
      <c r="Y15" s="356" t="n"/>
      <c r="Z15" s="356" t="n"/>
      <c r="AA15" s="356" t="n"/>
      <c r="AB15" s="356" t="n"/>
    </row>
    <row r="16" ht="24" customFormat="1" customHeight="1" s="448">
      <c r="A16" s="356" t="n"/>
      <c r="B16" s="449" t="n"/>
      <c r="C16" s="355" t="n"/>
      <c r="D16" s="350" t="n"/>
      <c r="E16" s="318" t="n"/>
      <c r="F16" s="390" t="n"/>
      <c r="G16" s="390" t="n"/>
      <c r="H16" s="450" t="n"/>
      <c r="I16" s="356" t="n"/>
      <c r="J16" s="356" t="n"/>
      <c r="K16" s="356" t="n"/>
      <c r="L16" s="356" t="n"/>
      <c r="M16" s="356" t="n"/>
      <c r="N16" s="356" t="n"/>
      <c r="O16" s="356" t="n"/>
      <c r="P16" s="356" t="n"/>
      <c r="Q16" s="356" t="n"/>
      <c r="R16" s="356" t="n"/>
      <c r="S16" s="356" t="n"/>
      <c r="T16" s="356" t="n"/>
      <c r="U16" s="356" t="n"/>
      <c r="V16" s="356" t="n"/>
      <c r="W16" s="356" t="n"/>
      <c r="X16" s="356" t="n"/>
      <c r="Y16" s="356" t="n"/>
      <c r="Z16" s="356" t="n"/>
      <c r="AA16" s="356" t="n"/>
      <c r="AB16" s="356" t="n"/>
    </row>
    <row r="17" ht="24" customFormat="1" customHeight="1" s="448">
      <c r="A17" s="356" t="n"/>
      <c r="B17" s="449" t="n"/>
      <c r="C17" s="355" t="inlineStr">
        <is>
          <t>Production Increase Value:</t>
        </is>
      </c>
      <c r="D17" s="350" t="n"/>
      <c r="E17" s="318" t="n"/>
      <c r="F17" s="390" t="n"/>
      <c r="G17" s="402">
        <f>Inc_Ann_Rev</f>
        <v/>
      </c>
      <c r="H17" s="450" t="n"/>
      <c r="I17" s="356" t="n"/>
      <c r="J17" s="356" t="n"/>
      <c r="K17" s="356" t="n"/>
      <c r="L17" s="356" t="n"/>
      <c r="M17" s="356" t="n"/>
      <c r="N17" s="356" t="n"/>
      <c r="O17" s="356" t="n"/>
      <c r="P17" s="356" t="n"/>
      <c r="Q17" s="356" t="n"/>
      <c r="R17" s="356" t="n"/>
      <c r="S17" s="356" t="n"/>
      <c r="T17" s="356" t="n"/>
      <c r="U17" s="356" t="n"/>
      <c r="V17" s="356" t="n"/>
      <c r="W17" s="356" t="n"/>
      <c r="X17" s="356" t="n"/>
      <c r="Y17" s="356" t="n"/>
      <c r="Z17" s="356" t="n"/>
      <c r="AA17" s="356" t="n"/>
      <c r="AB17" s="356" t="n"/>
    </row>
    <row r="18" ht="24" customFormat="1" customHeight="1" s="448">
      <c r="A18" s="356" t="n"/>
      <c r="B18" s="449" t="n"/>
      <c r="C18" s="355" t="n"/>
      <c r="D18" s="350" t="n"/>
      <c r="E18" s="318" t="n"/>
      <c r="F18" s="390" t="n"/>
      <c r="G18" s="390" t="n"/>
      <c r="H18" s="450" t="n"/>
      <c r="I18" s="356" t="n"/>
      <c r="J18" s="356" t="n"/>
      <c r="K18" s="356" t="n"/>
      <c r="L18" s="356" t="n"/>
      <c r="M18" s="356" t="n"/>
      <c r="N18" s="356" t="n"/>
      <c r="O18" s="356" t="n"/>
      <c r="P18" s="356" t="n"/>
      <c r="Q18" s="356" t="n"/>
      <c r="R18" s="356" t="n"/>
      <c r="S18" s="356" t="n"/>
      <c r="T18" s="356" t="n"/>
      <c r="U18" s="356" t="n"/>
      <c r="V18" s="356" t="n"/>
      <c r="W18" s="356" t="n"/>
      <c r="X18" s="356" t="n"/>
      <c r="Y18" s="356" t="n"/>
      <c r="Z18" s="356" t="n"/>
      <c r="AA18" s="356" t="n"/>
      <c r="AB18" s="356" t="n"/>
    </row>
    <row r="19" ht="24" customFormat="1" customHeight="1" s="448">
      <c r="A19" s="356" t="n"/>
      <c r="B19" s="449" t="n"/>
      <c r="C19" s="355" t="inlineStr">
        <is>
          <t>Scrap Reduction Savings:</t>
        </is>
      </c>
      <c r="D19" s="350" t="n"/>
      <c r="E19" s="318" t="n"/>
      <c r="F19" s="390" t="n"/>
      <c r="G19" s="402">
        <f>Scrap_Savings</f>
        <v/>
      </c>
      <c r="H19" s="450" t="n"/>
      <c r="I19" s="356" t="n"/>
      <c r="J19" s="356" t="n"/>
      <c r="K19" s="356" t="n"/>
      <c r="L19" s="356" t="n"/>
      <c r="M19" s="356" t="n"/>
      <c r="N19" s="356" t="n"/>
      <c r="O19" s="356" t="n"/>
      <c r="P19" s="356" t="n"/>
      <c r="Q19" s="356" t="n"/>
      <c r="R19" s="356" t="n"/>
      <c r="S19" s="356" t="n"/>
      <c r="T19" s="356" t="n"/>
      <c r="U19" s="356" t="n"/>
      <c r="V19" s="356" t="n"/>
      <c r="W19" s="356" t="n"/>
      <c r="X19" s="356" t="n"/>
      <c r="Y19" s="356" t="n"/>
      <c r="Z19" s="356" t="n"/>
      <c r="AA19" s="356" t="n"/>
      <c r="AB19" s="356" t="n"/>
    </row>
    <row r="20" ht="24" customFormat="1" customHeight="1" s="448">
      <c r="A20" s="356" t="n"/>
      <c r="B20" s="449" t="n"/>
      <c r="C20" s="355" t="n"/>
      <c r="D20" s="350" t="n"/>
      <c r="E20" s="318" t="n"/>
      <c r="F20" s="390" t="n"/>
      <c r="G20" s="390" t="n"/>
      <c r="H20" s="450" t="n"/>
      <c r="I20" s="356" t="n"/>
      <c r="J20" s="356" t="n"/>
      <c r="K20" s="356" t="n"/>
      <c r="L20" s="356" t="n"/>
      <c r="M20" s="356" t="n"/>
      <c r="N20" s="356" t="n"/>
      <c r="O20" s="356" t="n"/>
      <c r="P20" s="356" t="n"/>
      <c r="Q20" s="356" t="n"/>
      <c r="R20" s="356" t="n"/>
      <c r="S20" s="356" t="n"/>
      <c r="T20" s="356" t="n"/>
      <c r="U20" s="356" t="n"/>
      <c r="V20" s="356" t="n"/>
      <c r="W20" s="356" t="n"/>
      <c r="X20" s="356" t="n"/>
      <c r="Y20" s="356" t="n"/>
      <c r="Z20" s="356" t="n"/>
      <c r="AA20" s="356" t="n"/>
      <c r="AB20" s="356" t="n"/>
    </row>
    <row r="21" ht="24" customFormat="1" customHeight="1" s="448">
      <c r="A21" s="356" t="n"/>
      <c r="B21" s="449" t="n"/>
      <c r="C21" s="355" t="inlineStr">
        <is>
          <t>Miscellaneous Savings:</t>
        </is>
      </c>
      <c r="D21" s="350" t="n"/>
      <c r="E21" s="318" t="n"/>
      <c r="F21" s="390" t="n"/>
      <c r="G21" s="402">
        <f>Misc_Savings</f>
        <v/>
      </c>
      <c r="H21" s="450" t="n"/>
      <c r="I21" s="356" t="n"/>
      <c r="J21" s="356" t="n"/>
      <c r="K21" s="356" t="n"/>
      <c r="L21" s="356" t="n"/>
      <c r="M21" s="356" t="n"/>
      <c r="N21" s="356" t="n"/>
      <c r="O21" s="356" t="n"/>
      <c r="P21" s="356" t="n"/>
      <c r="Q21" s="356" t="n"/>
      <c r="R21" s="356" t="n"/>
      <c r="S21" s="356" t="n"/>
      <c r="T21" s="356" t="n"/>
      <c r="U21" s="356" t="n"/>
      <c r="V21" s="356" t="n"/>
      <c r="W21" s="356" t="n"/>
      <c r="X21" s="356" t="n"/>
      <c r="Y21" s="356" t="n"/>
      <c r="Z21" s="356" t="n"/>
      <c r="AA21" s="356" t="n"/>
      <c r="AB21" s="356" t="n"/>
    </row>
    <row r="22" ht="24" customFormat="1" customHeight="1" s="448">
      <c r="A22" s="356" t="n"/>
      <c r="B22" s="449" t="n"/>
      <c r="C22" s="355" t="n"/>
      <c r="D22" s="350" t="n"/>
      <c r="E22" s="318" t="n"/>
      <c r="F22" s="390" t="n"/>
      <c r="G22" s="390" t="n"/>
      <c r="H22" s="450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</row>
    <row r="23" ht="30.75" customFormat="1" customHeight="1" s="451">
      <c r="A23" s="452" t="n"/>
      <c r="B23" s="453" t="n"/>
      <c r="C23" s="423" t="inlineStr">
        <is>
          <t>Total Annual Profit Increase:</t>
        </is>
      </c>
      <c r="D23" s="454" t="n"/>
      <c r="E23" s="318" t="n"/>
      <c r="F23" s="455" t="n"/>
      <c r="G23" s="456">
        <f>SUM(G9:G22)</f>
        <v/>
      </c>
      <c r="H23" s="457" t="n"/>
      <c r="I23" s="452" t="n"/>
      <c r="J23" s="452" t="n"/>
      <c r="K23" s="458" t="n"/>
      <c r="L23" s="452" t="n"/>
      <c r="M23" s="452" t="n"/>
      <c r="N23" s="452" t="n"/>
      <c r="O23" s="452" t="n"/>
      <c r="P23" s="452" t="n"/>
      <c r="Q23" s="452" t="n"/>
      <c r="R23" s="452" t="n"/>
      <c r="S23" s="452" t="n"/>
      <c r="T23" s="452" t="n"/>
      <c r="U23" s="452" t="n"/>
      <c r="V23" s="452" t="n"/>
      <c r="W23" s="452" t="n"/>
      <c r="X23" s="452" t="n"/>
      <c r="Y23" s="452" t="n"/>
      <c r="Z23" s="452" t="n"/>
      <c r="AA23" s="452" t="n"/>
      <c r="AB23" s="452" t="n"/>
    </row>
    <row r="24" ht="19.5" customHeight="1" s="317">
      <c r="B24" s="330" t="n"/>
      <c r="C24" s="331" t="n"/>
      <c r="D24" s="459" t="inlineStr">
        <is>
          <t> </t>
        </is>
      </c>
      <c r="E24" s="331" t="n"/>
      <c r="F24" s="331" t="n"/>
      <c r="G24" s="331" t="n"/>
      <c r="H24" s="332" t="n"/>
      <c r="I24" s="318" t="n"/>
      <c r="J24" s="318" t="n"/>
      <c r="K24" s="318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  <c r="V24" s="318" t="n"/>
      <c r="W24" s="318" t="n"/>
      <c r="X24" s="318" t="n"/>
      <c r="Y24" s="318" t="n"/>
      <c r="Z24" s="318" t="n"/>
      <c r="AA24" s="318" t="n"/>
      <c r="AB24" s="318" t="n"/>
    </row>
    <row r="25" ht="18.75" customHeight="1" s="317">
      <c r="B25" s="318" t="n"/>
      <c r="C25" s="318" t="n"/>
      <c r="D25" s="318" t="inlineStr">
        <is>
          <t> </t>
        </is>
      </c>
      <c r="E25" s="318" t="n"/>
      <c r="F25" s="318" t="n"/>
      <c r="G25" s="318" t="n"/>
      <c r="H25" s="318" t="n"/>
      <c r="I25" s="318" t="n"/>
      <c r="J25" s="318" t="n"/>
      <c r="K25" s="318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  <c r="V25" s="318" t="n"/>
      <c r="W25" s="318" t="n"/>
      <c r="X25" s="318" t="n"/>
      <c r="Y25" s="318" t="n"/>
      <c r="Z25" s="318" t="n"/>
      <c r="AA25" s="318" t="n"/>
      <c r="AB25" s="318" t="n"/>
    </row>
    <row r="26" ht="18.75" customHeight="1" s="317">
      <c r="B26" s="318" t="n"/>
      <c r="C26" s="318" t="n"/>
      <c r="D26" s="318" t="n"/>
      <c r="E26" s="318" t="n"/>
      <c r="F26" s="318" t="n"/>
      <c r="G26" s="318" t="n"/>
      <c r="H26" s="318" t="n"/>
      <c r="I26" s="318" t="n"/>
      <c r="J26" s="318" t="n"/>
      <c r="K26" s="318" t="n"/>
      <c r="L26" s="318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  <c r="V26" s="318" t="n"/>
      <c r="W26" s="318" t="n"/>
      <c r="X26" s="318" t="n"/>
      <c r="Y26" s="318" t="n"/>
      <c r="Z26" s="318" t="n"/>
      <c r="AA26" s="318" t="n"/>
      <c r="AB26" s="318" t="n"/>
    </row>
    <row r="27" ht="18.75" customHeight="1" s="317">
      <c r="B27" s="318" t="n"/>
      <c r="C27" s="318" t="n"/>
      <c r="D27" s="318" t="n"/>
      <c r="E27" s="318" t="n"/>
      <c r="F27" s="318" t="n"/>
      <c r="G27" s="318" t="n"/>
      <c r="H27" s="318" t="n"/>
      <c r="I27" s="318" t="n"/>
      <c r="J27" s="318" t="n"/>
      <c r="K27" s="318" t="n"/>
      <c r="L27" s="318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  <c r="V27" s="318" t="n"/>
      <c r="W27" s="318" t="n"/>
      <c r="X27" s="318" t="n"/>
      <c r="Y27" s="318" t="n"/>
      <c r="Z27" s="318" t="n"/>
      <c r="AA27" s="318" t="n"/>
      <c r="AB27" s="318" t="n"/>
    </row>
    <row r="28" ht="18.75" customHeight="1" s="317">
      <c r="B28" s="318" t="n"/>
      <c r="C28" s="318" t="n"/>
      <c r="D28" s="318" t="n"/>
      <c r="E28" s="318" t="n"/>
      <c r="F28" s="318" t="n"/>
      <c r="G28" s="318" t="n"/>
      <c r="H28" s="318" t="n"/>
      <c r="I28" s="318" t="n"/>
      <c r="J28" s="318" t="n"/>
      <c r="K28" s="318" t="n"/>
      <c r="L28" s="318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  <c r="V28" s="318" t="n"/>
      <c r="W28" s="318" t="n"/>
      <c r="X28" s="318" t="n"/>
      <c r="Y28" s="318" t="n"/>
      <c r="Z28" s="318" t="n"/>
      <c r="AA28" s="318" t="n"/>
      <c r="AB28" s="318" t="n"/>
    </row>
    <row r="29" ht="18.75" customHeight="1" s="317">
      <c r="B29" s="318" t="n"/>
      <c r="C29" s="318" t="n"/>
      <c r="D29" s="318" t="n"/>
      <c r="E29" s="318" t="n"/>
      <c r="F29" s="318" t="n"/>
      <c r="G29" s="318" t="n"/>
      <c r="H29" s="318" t="n"/>
      <c r="I29" s="318" t="n"/>
      <c r="J29" s="318" t="n"/>
      <c r="K29" s="318" t="n"/>
      <c r="L29" s="318" t="n"/>
      <c r="M29" s="318" t="n"/>
      <c r="N29" s="318" t="n"/>
      <c r="O29" s="318" t="n"/>
      <c r="P29" s="318" t="n"/>
      <c r="Q29" s="318" t="n"/>
      <c r="R29" s="318" t="n"/>
      <c r="S29" s="318" t="n"/>
      <c r="T29" s="318" t="n"/>
      <c r="U29" s="318" t="n"/>
      <c r="V29" s="318" t="n"/>
      <c r="W29" s="318" t="n"/>
      <c r="X29" s="318" t="n"/>
      <c r="Y29" s="318" t="n"/>
      <c r="Z29" s="318" t="n"/>
      <c r="AA29" s="318" t="n"/>
      <c r="AB29" s="318" t="n"/>
    </row>
    <row r="30" ht="18.75" customHeight="1" s="317">
      <c r="B30" s="318" t="n"/>
      <c r="C30" s="318" t="n"/>
      <c r="D30" s="318" t="n"/>
      <c r="E30" s="318" t="n"/>
      <c r="F30" s="318" t="n"/>
      <c r="G30" s="318" t="n"/>
      <c r="H30" s="318" t="n"/>
      <c r="I30" s="318" t="n"/>
      <c r="J30" s="318" t="n"/>
      <c r="K30" s="318" t="n"/>
      <c r="L30" s="318" t="n"/>
      <c r="M30" s="318" t="n"/>
      <c r="N30" s="318" t="n"/>
      <c r="O30" s="318" t="n"/>
      <c r="P30" s="318" t="n"/>
      <c r="Q30" s="318" t="n"/>
      <c r="R30" s="318" t="n"/>
      <c r="S30" s="318" t="n"/>
      <c r="T30" s="318" t="n"/>
      <c r="U30" s="318" t="n"/>
      <c r="V30" s="318" t="n"/>
      <c r="W30" s="318" t="n"/>
      <c r="X30" s="318" t="n"/>
      <c r="Y30" s="318" t="n"/>
      <c r="Z30" s="318" t="n"/>
      <c r="AA30" s="318" t="n"/>
      <c r="AB30" s="318" t="n"/>
    </row>
    <row r="31" ht="18.75" customHeight="1" s="317">
      <c r="B31" s="318" t="n"/>
      <c r="C31" s="318" t="n"/>
      <c r="D31" s="318" t="n"/>
      <c r="E31" s="318" t="n"/>
      <c r="F31" s="318" t="n"/>
      <c r="G31" s="318" t="n"/>
      <c r="H31" s="318" t="n"/>
      <c r="I31" s="318" t="n"/>
      <c r="J31" s="318" t="n"/>
      <c r="K31" s="318" t="n"/>
      <c r="L31" s="318" t="n"/>
      <c r="M31" s="318" t="n"/>
      <c r="N31" s="318" t="n"/>
      <c r="O31" s="318" t="n"/>
      <c r="P31" s="318" t="n"/>
      <c r="Q31" s="318" t="n"/>
      <c r="R31" s="318" t="n"/>
      <c r="S31" s="318" t="n"/>
      <c r="T31" s="318" t="n"/>
      <c r="U31" s="318" t="n"/>
      <c r="V31" s="318" t="n"/>
      <c r="W31" s="318" t="n"/>
      <c r="X31" s="318" t="n"/>
      <c r="Y31" s="318" t="n"/>
      <c r="Z31" s="318" t="n"/>
      <c r="AA31" s="318" t="n"/>
      <c r="AB31" s="318" t="n"/>
    </row>
    <row r="32" ht="18.75" customHeight="1" s="317">
      <c r="B32" s="318" t="n"/>
      <c r="C32" s="318" t="n"/>
      <c r="D32" s="318" t="n"/>
      <c r="E32" s="318" t="n"/>
      <c r="F32" s="318" t="n"/>
      <c r="G32" s="318" t="n"/>
      <c r="H32" s="318" t="n"/>
      <c r="I32" s="318" t="n"/>
      <c r="J32" s="318" t="n"/>
      <c r="K32" s="318" t="n"/>
      <c r="L32" s="318" t="n"/>
      <c r="M32" s="318" t="n"/>
      <c r="N32" s="318" t="n"/>
      <c r="O32" s="318" t="n"/>
      <c r="P32" s="318" t="n"/>
      <c r="Q32" s="318" t="n"/>
      <c r="R32" s="318" t="n"/>
      <c r="S32" s="318" t="n"/>
      <c r="T32" s="318" t="n"/>
      <c r="U32" s="318" t="n"/>
      <c r="V32" s="318" t="n"/>
      <c r="W32" s="318" t="n"/>
      <c r="X32" s="318" t="n"/>
      <c r="Y32" s="318" t="n"/>
      <c r="Z32" s="318" t="n"/>
      <c r="AA32" s="318" t="n"/>
      <c r="AB32" s="318" t="n"/>
    </row>
    <row r="33" ht="18.75" customHeight="1" s="317">
      <c r="B33" s="318" t="n"/>
      <c r="C33" s="318" t="n"/>
      <c r="D33" s="318" t="n"/>
      <c r="E33" s="318" t="n"/>
      <c r="F33" s="318" t="n"/>
      <c r="G33" s="318" t="n"/>
      <c r="H33" s="318" t="n"/>
      <c r="I33" s="318" t="n"/>
      <c r="J33" s="318" t="n"/>
      <c r="K33" s="318" t="n"/>
      <c r="L33" s="318" t="n"/>
      <c r="M33" s="318" t="n"/>
      <c r="N33" s="318" t="n"/>
      <c r="O33" s="318" t="n"/>
      <c r="P33" s="318" t="n"/>
      <c r="Q33" s="318" t="n"/>
      <c r="R33" s="318" t="n"/>
      <c r="S33" s="318" t="n"/>
      <c r="T33" s="318" t="n"/>
      <c r="U33" s="318" t="n"/>
      <c r="V33" s="318" t="n"/>
      <c r="W33" s="318" t="n"/>
      <c r="X33" s="318" t="n"/>
      <c r="Y33" s="318" t="n"/>
      <c r="Z33" s="318" t="n"/>
      <c r="AA33" s="318" t="n"/>
      <c r="AB33" s="318" t="n"/>
    </row>
    <row r="34" ht="18.75" customHeight="1" s="317">
      <c r="B34" s="318" t="n"/>
      <c r="C34" s="318" t="n"/>
      <c r="D34" s="318" t="n"/>
      <c r="E34" s="318" t="n"/>
      <c r="F34" s="318" t="n"/>
      <c r="G34" s="318" t="n"/>
      <c r="H34" s="318" t="n"/>
      <c r="I34" s="318" t="n"/>
      <c r="J34" s="318" t="n"/>
      <c r="K34" s="318" t="n"/>
      <c r="L34" s="318" t="n"/>
      <c r="M34" s="318" t="n"/>
      <c r="N34" s="318" t="n"/>
      <c r="O34" s="318" t="n"/>
      <c r="P34" s="318" t="n"/>
      <c r="Q34" s="318" t="n"/>
      <c r="R34" s="318" t="n"/>
      <c r="S34" s="318" t="n"/>
      <c r="T34" s="318" t="n"/>
      <c r="U34" s="318" t="n"/>
      <c r="V34" s="318" t="n"/>
      <c r="W34" s="318" t="n"/>
      <c r="X34" s="318" t="n"/>
      <c r="Y34" s="318" t="n"/>
      <c r="Z34" s="318" t="n"/>
      <c r="AA34" s="318" t="n"/>
      <c r="AB34" s="318" t="n"/>
    </row>
    <row r="35" ht="18.75" customHeight="1" s="317">
      <c r="B35" s="318" t="n"/>
      <c r="C35" s="318" t="n"/>
      <c r="D35" s="318" t="n"/>
      <c r="E35" s="318" t="n"/>
      <c r="F35" s="318" t="n"/>
      <c r="G35" s="318" t="n"/>
      <c r="H35" s="318" t="n"/>
      <c r="I35" s="318" t="n"/>
      <c r="J35" s="318" t="n"/>
      <c r="K35" s="318" t="n"/>
      <c r="L35" s="318" t="n"/>
      <c r="M35" s="318" t="n"/>
      <c r="N35" s="318" t="n"/>
      <c r="O35" s="318" t="n"/>
      <c r="P35" s="318" t="n"/>
      <c r="Q35" s="318" t="n"/>
      <c r="R35" s="318" t="n"/>
      <c r="S35" s="318" t="n"/>
      <c r="T35" s="318" t="n"/>
      <c r="U35" s="318" t="n"/>
      <c r="V35" s="318" t="n"/>
      <c r="W35" s="318" t="n"/>
      <c r="X35" s="318" t="n"/>
      <c r="Y35" s="318" t="n"/>
      <c r="Z35" s="318" t="n"/>
      <c r="AA35" s="318" t="n"/>
      <c r="AB35" s="318" t="n"/>
    </row>
    <row r="36" ht="18.75" customHeight="1" s="317">
      <c r="B36" s="318" t="n"/>
      <c r="C36" s="318" t="n"/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 t="n"/>
      <c r="M36" s="318" t="n"/>
      <c r="N36" s="318" t="n"/>
      <c r="O36" s="318" t="n"/>
      <c r="P36" s="318" t="n"/>
      <c r="Q36" s="318" t="n"/>
      <c r="R36" s="318" t="n"/>
      <c r="S36" s="318" t="n"/>
      <c r="T36" s="318" t="n"/>
      <c r="U36" s="318" t="n"/>
      <c r="V36" s="318" t="n"/>
      <c r="W36" s="318" t="n"/>
      <c r="X36" s="318" t="n"/>
      <c r="Y36" s="318" t="n"/>
      <c r="Z36" s="318" t="n"/>
      <c r="AA36" s="318" t="n"/>
      <c r="AB36" s="318" t="n"/>
    </row>
    <row r="37" ht="18.75" customHeight="1" s="317">
      <c r="B37" s="318" t="n"/>
      <c r="C37" s="318" t="n"/>
      <c r="D37" s="318" t="n"/>
      <c r="E37" s="318" t="n"/>
      <c r="F37" s="318" t="n"/>
      <c r="G37" s="318" t="n"/>
      <c r="H37" s="318" t="n"/>
      <c r="I37" s="318" t="n"/>
      <c r="J37" s="318" t="n"/>
      <c r="K37" s="318" t="n"/>
      <c r="L37" s="318" t="n"/>
      <c r="M37" s="318" t="n"/>
      <c r="N37" s="318" t="n"/>
      <c r="O37" s="318" t="n"/>
      <c r="P37" s="318" t="n"/>
      <c r="Q37" s="318" t="n"/>
      <c r="R37" s="318" t="n"/>
      <c r="S37" s="318" t="n"/>
      <c r="T37" s="318" t="n"/>
      <c r="U37" s="318" t="n"/>
      <c r="V37" s="318" t="n"/>
      <c r="W37" s="318" t="n"/>
      <c r="X37" s="318" t="n"/>
      <c r="Y37" s="318" t="n"/>
      <c r="Z37" s="318" t="n"/>
      <c r="AA37" s="318" t="n"/>
      <c r="AB37" s="318" t="n"/>
    </row>
    <row r="38" ht="18.75" customHeight="1" s="317">
      <c r="B38" s="318" t="n"/>
      <c r="C38" s="318" t="n"/>
      <c r="D38" s="318" t="n"/>
      <c r="E38" s="318" t="n"/>
      <c r="F38" s="318" t="n"/>
      <c r="G38" s="318" t="n"/>
      <c r="H38" s="318" t="n"/>
      <c r="I38" s="318" t="n"/>
      <c r="J38" s="318" t="n"/>
      <c r="K38" s="318" t="n"/>
      <c r="L38" s="318" t="n"/>
      <c r="M38" s="318" t="n"/>
      <c r="N38" s="318" t="n"/>
      <c r="O38" s="318" t="n"/>
      <c r="P38" s="318" t="n"/>
      <c r="Q38" s="318" t="n"/>
      <c r="R38" s="318" t="n"/>
      <c r="S38" s="318" t="n"/>
      <c r="T38" s="318" t="n"/>
      <c r="U38" s="318" t="n"/>
      <c r="V38" s="318" t="n"/>
      <c r="W38" s="318" t="n"/>
      <c r="X38" s="318" t="n"/>
      <c r="Y38" s="318" t="n"/>
      <c r="Z38" s="318" t="n"/>
      <c r="AA38" s="318" t="n"/>
      <c r="AB38" s="318" t="n"/>
    </row>
    <row r="39" ht="18.75" customHeight="1" s="317"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  <c r="N39" s="318" t="n"/>
      <c r="O39" s="318" t="n"/>
      <c r="P39" s="318" t="n"/>
      <c r="Q39" s="318" t="n"/>
      <c r="R39" s="318" t="n"/>
      <c r="S39" s="318" t="n"/>
      <c r="T39" s="318" t="n"/>
      <c r="U39" s="318" t="n"/>
      <c r="V39" s="318" t="n"/>
      <c r="W39" s="318" t="n"/>
      <c r="X39" s="318" t="n"/>
      <c r="Y39" s="318" t="n"/>
      <c r="Z39" s="318" t="n"/>
      <c r="AA39" s="318" t="n"/>
      <c r="AB39" s="318" t="n"/>
    </row>
    <row r="40" ht="18.75" customHeight="1" s="317"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  <c r="N40" s="318" t="n"/>
      <c r="O40" s="318" t="n"/>
      <c r="P40" s="318" t="n"/>
      <c r="Q40" s="318" t="n"/>
      <c r="R40" s="318" t="n"/>
      <c r="S40" s="318" t="n"/>
      <c r="T40" s="318" t="n"/>
      <c r="U40" s="318" t="n"/>
      <c r="V40" s="318" t="n"/>
      <c r="W40" s="318" t="n"/>
      <c r="X40" s="318" t="n"/>
      <c r="Y40" s="318" t="n"/>
      <c r="Z40" s="318" t="n"/>
      <c r="AA40" s="318" t="n"/>
      <c r="AB40" s="318" t="n"/>
    </row>
    <row r="41" ht="18.75" customHeight="1" s="317"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  <c r="N41" s="318" t="n"/>
      <c r="O41" s="318" t="n"/>
      <c r="P41" s="318" t="n"/>
      <c r="Q41" s="318" t="n"/>
      <c r="R41" s="318" t="n"/>
      <c r="S41" s="318" t="n"/>
      <c r="T41" s="318" t="n"/>
      <c r="U41" s="318" t="n"/>
      <c r="V41" s="318" t="n"/>
      <c r="W41" s="318" t="n"/>
      <c r="X41" s="318" t="n"/>
      <c r="Y41" s="318" t="n"/>
      <c r="Z41" s="318" t="n"/>
      <c r="AA41" s="318" t="n"/>
      <c r="AB41" s="318" t="n"/>
    </row>
    <row r="42" ht="18.75" customHeight="1" s="317">
      <c r="B42" s="318" t="n"/>
      <c r="C42" s="318" t="n"/>
      <c r="D42" s="318" t="n"/>
      <c r="E42" s="318" t="n"/>
      <c r="F42" s="318" t="n"/>
      <c r="G42" s="318" t="n"/>
      <c r="H42" s="318" t="n"/>
      <c r="I42" s="318" t="n"/>
      <c r="J42" s="318" t="n"/>
      <c r="K42" s="318" t="n"/>
      <c r="L42" s="318" t="n"/>
      <c r="M42" s="318" t="n"/>
      <c r="N42" s="318" t="n"/>
      <c r="O42" s="318" t="n"/>
      <c r="P42" s="318" t="n"/>
      <c r="Q42" s="318" t="n"/>
      <c r="R42" s="318" t="n"/>
      <c r="S42" s="318" t="n"/>
      <c r="T42" s="318" t="n"/>
      <c r="U42" s="318" t="n"/>
      <c r="V42" s="318" t="n"/>
      <c r="W42" s="318" t="n"/>
      <c r="X42" s="318" t="n"/>
      <c r="Y42" s="318" t="n"/>
      <c r="Z42" s="318" t="n"/>
      <c r="AA42" s="318" t="n"/>
      <c r="AB42" s="318" t="n"/>
    </row>
    <row r="43" ht="18.75" customHeight="1" s="317">
      <c r="B43" s="318" t="n"/>
      <c r="C43" s="318" t="n"/>
      <c r="D43" s="318" t="n"/>
      <c r="E43" s="318" t="n"/>
      <c r="F43" s="318" t="n"/>
      <c r="G43" s="318" t="n"/>
      <c r="H43" s="318" t="n"/>
      <c r="I43" s="318" t="n"/>
      <c r="J43" s="318" t="n"/>
      <c r="K43" s="318" t="n"/>
      <c r="L43" s="318" t="n"/>
      <c r="M43" s="318" t="n"/>
      <c r="N43" s="318" t="n"/>
      <c r="O43" s="318" t="n"/>
      <c r="P43" s="318" t="n"/>
      <c r="Q43" s="318" t="n"/>
      <c r="R43" s="318" t="n"/>
      <c r="S43" s="318" t="n"/>
      <c r="T43" s="318" t="n"/>
      <c r="U43" s="318" t="n"/>
      <c r="V43" s="318" t="n"/>
      <c r="W43" s="318" t="n"/>
      <c r="X43" s="318" t="n"/>
      <c r="Y43" s="318" t="n"/>
      <c r="Z43" s="318" t="n"/>
      <c r="AA43" s="318" t="n"/>
      <c r="AB43" s="318" t="n"/>
    </row>
    <row r="44" ht="18.75" customHeight="1" s="317">
      <c r="B44" s="318" t="n"/>
      <c r="C44" s="318" t="n"/>
      <c r="D44" s="318" t="n"/>
      <c r="E44" s="318" t="n"/>
      <c r="F44" s="318" t="n"/>
      <c r="G44" s="318" t="n"/>
      <c r="H44" s="318" t="n"/>
      <c r="I44" s="318" t="n"/>
      <c r="J44" s="318" t="n"/>
      <c r="K44" s="318" t="n"/>
      <c r="L44" s="318" t="n"/>
      <c r="M44" s="318" t="n"/>
      <c r="N44" s="318" t="n"/>
      <c r="O44" s="318" t="n"/>
      <c r="P44" s="318" t="n"/>
      <c r="Q44" s="318" t="n"/>
      <c r="R44" s="318" t="n"/>
      <c r="S44" s="318" t="n"/>
      <c r="T44" s="318" t="n"/>
      <c r="U44" s="318" t="n"/>
      <c r="V44" s="318" t="n"/>
      <c r="W44" s="318" t="n"/>
      <c r="X44" s="318" t="n"/>
      <c r="Y44" s="318" t="n"/>
      <c r="Z44" s="318" t="n"/>
      <c r="AA44" s="318" t="n"/>
      <c r="AB44" s="318" t="n"/>
    </row>
    <row r="45" ht="18.75" customHeight="1" s="317">
      <c r="B45" s="318" t="n"/>
      <c r="C45" s="318" t="n"/>
      <c r="D45" s="318" t="n"/>
      <c r="E45" s="318" t="n"/>
      <c r="F45" s="318" t="n"/>
      <c r="G45" s="318" t="n"/>
      <c r="H45" s="318" t="n"/>
      <c r="I45" s="318" t="n"/>
      <c r="J45" s="318" t="n"/>
      <c r="K45" s="318" t="n"/>
      <c r="L45" s="318" t="n"/>
      <c r="M45" s="318" t="n"/>
      <c r="N45" s="318" t="n"/>
      <c r="O45" s="318" t="n"/>
      <c r="P45" s="318" t="n"/>
      <c r="Q45" s="318" t="n"/>
      <c r="R45" s="318" t="n"/>
      <c r="S45" s="318" t="n"/>
      <c r="T45" s="318" t="n"/>
      <c r="U45" s="318" t="n"/>
      <c r="V45" s="318" t="n"/>
      <c r="W45" s="318" t="n"/>
      <c r="X45" s="318" t="n"/>
      <c r="Y45" s="318" t="n"/>
      <c r="Z45" s="318" t="n"/>
      <c r="AA45" s="318" t="n"/>
      <c r="AB45" s="318" t="n"/>
    </row>
    <row r="46" ht="18.75" customHeight="1" s="317">
      <c r="B46" s="318" t="n"/>
      <c r="C46" s="318" t="n"/>
      <c r="D46" s="318" t="n"/>
      <c r="E46" s="318" t="n"/>
      <c r="F46" s="318" t="n"/>
      <c r="G46" s="318" t="n"/>
      <c r="H46" s="318" t="n"/>
      <c r="I46" s="318" t="n"/>
      <c r="J46" s="318" t="n"/>
      <c r="K46" s="318" t="n"/>
      <c r="L46" s="318" t="n"/>
      <c r="M46" s="318" t="n"/>
      <c r="N46" s="318" t="n"/>
      <c r="O46" s="318" t="n"/>
      <c r="P46" s="318" t="n"/>
      <c r="Q46" s="318" t="n"/>
      <c r="R46" s="318" t="n"/>
      <c r="S46" s="318" t="n"/>
      <c r="T46" s="318" t="n"/>
      <c r="U46" s="318" t="n"/>
      <c r="V46" s="318" t="n"/>
      <c r="W46" s="318" t="n"/>
      <c r="X46" s="318" t="n"/>
      <c r="Y46" s="318" t="n"/>
      <c r="Z46" s="318" t="n"/>
      <c r="AA46" s="318" t="n"/>
      <c r="AB46" s="318" t="n"/>
    </row>
    <row r="47" ht="18.75" customHeight="1" s="317">
      <c r="B47" s="318" t="n"/>
      <c r="C47" s="318" t="n"/>
      <c r="D47" s="318" t="n"/>
      <c r="E47" s="318" t="n"/>
      <c r="F47" s="318" t="n"/>
      <c r="G47" s="318" t="n"/>
      <c r="H47" s="318" t="n"/>
      <c r="I47" s="318" t="n"/>
      <c r="J47" s="318" t="n"/>
      <c r="K47" s="318" t="n"/>
      <c r="L47" s="318" t="n"/>
      <c r="M47" s="318" t="n"/>
      <c r="N47" s="318" t="n"/>
      <c r="O47" s="318" t="n"/>
      <c r="P47" s="318" t="n"/>
      <c r="Q47" s="318" t="n"/>
      <c r="R47" s="318" t="n"/>
      <c r="S47" s="318" t="n"/>
      <c r="T47" s="318" t="n"/>
      <c r="U47" s="318" t="n"/>
      <c r="V47" s="318" t="n"/>
      <c r="W47" s="318" t="n"/>
      <c r="X47" s="318" t="n"/>
      <c r="Y47" s="318" t="n"/>
      <c r="Z47" s="318" t="n"/>
      <c r="AA47" s="318" t="n"/>
      <c r="AB47" s="318" t="n"/>
    </row>
    <row r="48" ht="18.75" customHeight="1" s="317">
      <c r="B48" s="318" t="n"/>
      <c r="C48" s="318" t="n"/>
      <c r="D48" s="318" t="n"/>
      <c r="E48" s="318" t="n"/>
      <c r="F48" s="318" t="n"/>
      <c r="G48" s="318" t="n"/>
      <c r="H48" s="318" t="n"/>
      <c r="I48" s="318" t="n"/>
      <c r="J48" s="318" t="n"/>
      <c r="K48" s="318" t="n"/>
      <c r="L48" s="318" t="n"/>
      <c r="M48" s="318" t="n"/>
      <c r="N48" s="318" t="n"/>
      <c r="O48" s="318" t="n"/>
      <c r="P48" s="318" t="n"/>
      <c r="Q48" s="318" t="n"/>
      <c r="R48" s="318" t="n"/>
      <c r="S48" s="318" t="n"/>
      <c r="T48" s="318" t="n"/>
      <c r="U48" s="318" t="n"/>
      <c r="V48" s="318" t="n"/>
      <c r="W48" s="318" t="n"/>
      <c r="X48" s="318" t="n"/>
      <c r="Y48" s="318" t="n"/>
      <c r="Z48" s="318" t="n"/>
      <c r="AA48" s="318" t="n"/>
      <c r="AB48" s="318" t="n"/>
    </row>
    <row r="49" ht="18.75" customHeight="1" s="317">
      <c r="B49" s="318" t="n"/>
      <c r="C49" s="318" t="n"/>
      <c r="D49" s="318" t="n"/>
      <c r="E49" s="318" t="n"/>
      <c r="F49" s="318" t="n"/>
      <c r="G49" s="318" t="n"/>
      <c r="H49" s="318" t="n"/>
      <c r="I49" s="318" t="n"/>
      <c r="J49" s="318" t="n"/>
      <c r="K49" s="318" t="n"/>
      <c r="L49" s="318" t="n"/>
      <c r="M49" s="318" t="n"/>
      <c r="N49" s="318" t="n"/>
      <c r="O49" s="318" t="n"/>
      <c r="P49" s="318" t="n"/>
      <c r="Q49" s="318" t="n"/>
      <c r="R49" s="318" t="n"/>
      <c r="S49" s="318" t="n"/>
      <c r="T49" s="318" t="n"/>
      <c r="U49" s="318" t="n"/>
      <c r="V49" s="318" t="n"/>
      <c r="W49" s="318" t="n"/>
      <c r="X49" s="318" t="n"/>
      <c r="Y49" s="318" t="n"/>
      <c r="Z49" s="318" t="n"/>
      <c r="AA49" s="318" t="n"/>
      <c r="AB49" s="318" t="n"/>
    </row>
    <row r="50" ht="18.75" customHeight="1" s="317">
      <c r="B50" s="318" t="n"/>
      <c r="C50" s="318" t="n"/>
      <c r="D50" s="318" t="n"/>
      <c r="E50" s="318" t="n"/>
      <c r="F50" s="318" t="n"/>
      <c r="G50" s="318" t="n"/>
      <c r="H50" s="318" t="n"/>
      <c r="I50" s="318" t="n"/>
      <c r="J50" s="318" t="n"/>
      <c r="K50" s="318" t="n"/>
      <c r="L50" s="318" t="n"/>
      <c r="M50" s="318" t="n"/>
      <c r="N50" s="318" t="n"/>
      <c r="O50" s="318" t="n"/>
      <c r="P50" s="318" t="n"/>
      <c r="Q50" s="318" t="n"/>
      <c r="R50" s="318" t="n"/>
      <c r="S50" s="318" t="n"/>
      <c r="T50" s="318" t="n"/>
      <c r="U50" s="318" t="n"/>
      <c r="V50" s="318" t="n"/>
      <c r="W50" s="318" t="n"/>
      <c r="X50" s="318" t="n"/>
      <c r="Y50" s="318" t="n"/>
      <c r="Z50" s="318" t="n"/>
      <c r="AA50" s="318" t="n"/>
      <c r="AB50" s="318" t="n"/>
    </row>
    <row r="51" ht="18.75" customHeight="1" s="317">
      <c r="B51" s="318" t="n"/>
      <c r="C51" s="318" t="n"/>
      <c r="D51" s="318" t="n"/>
      <c r="E51" s="318" t="n"/>
      <c r="F51" s="318" t="n"/>
      <c r="G51" s="318" t="n"/>
      <c r="H51" s="318" t="n"/>
      <c r="I51" s="318" t="n"/>
      <c r="J51" s="318" t="n"/>
      <c r="K51" s="318" t="n"/>
      <c r="L51" s="318" t="n"/>
      <c r="M51" s="318" t="n"/>
      <c r="N51" s="318" t="n"/>
      <c r="O51" s="318" t="n"/>
      <c r="P51" s="318" t="n"/>
      <c r="Q51" s="318" t="n"/>
      <c r="R51" s="318" t="n"/>
      <c r="S51" s="318" t="n"/>
      <c r="T51" s="318" t="n"/>
      <c r="U51" s="318" t="n"/>
      <c r="V51" s="318" t="n"/>
      <c r="W51" s="318" t="n"/>
      <c r="X51" s="318" t="n"/>
      <c r="Y51" s="318" t="n"/>
      <c r="Z51" s="318" t="n"/>
      <c r="AA51" s="318" t="n"/>
      <c r="AB51" s="318" t="n"/>
    </row>
    <row r="52" ht="18.75" customHeight="1" s="317">
      <c r="B52" s="318" t="n"/>
      <c r="C52" s="318" t="n"/>
      <c r="D52" s="318" t="n"/>
      <c r="E52" s="318" t="n"/>
      <c r="F52" s="318" t="n"/>
      <c r="G52" s="318" t="n"/>
      <c r="H52" s="318" t="n"/>
      <c r="I52" s="318" t="n"/>
      <c r="J52" s="318" t="n"/>
      <c r="K52" s="318" t="n"/>
      <c r="L52" s="318" t="n"/>
      <c r="M52" s="318" t="n"/>
      <c r="N52" s="318" t="n"/>
      <c r="O52" s="318" t="n"/>
      <c r="P52" s="318" t="n"/>
      <c r="Q52" s="318" t="n"/>
      <c r="R52" s="318" t="n"/>
      <c r="S52" s="318" t="n"/>
      <c r="T52" s="318" t="n"/>
      <c r="U52" s="318" t="n"/>
      <c r="V52" s="318" t="n"/>
      <c r="W52" s="318" t="n"/>
      <c r="X52" s="318" t="n"/>
      <c r="Y52" s="318" t="n"/>
      <c r="Z52" s="318" t="n"/>
      <c r="AA52" s="318" t="n"/>
      <c r="AB52" s="318" t="n"/>
    </row>
    <row r="53" ht="18.75" customHeight="1" s="317">
      <c r="B53" s="318" t="n"/>
      <c r="C53" s="318" t="n"/>
      <c r="D53" s="318" t="n"/>
      <c r="E53" s="318" t="n"/>
      <c r="F53" s="318" t="n"/>
      <c r="G53" s="318" t="n"/>
      <c r="H53" s="318" t="n"/>
      <c r="I53" s="318" t="n"/>
      <c r="J53" s="318" t="n"/>
      <c r="K53" s="318" t="n"/>
      <c r="L53" s="318" t="n"/>
      <c r="M53" s="318" t="n"/>
      <c r="N53" s="318" t="n"/>
      <c r="O53" s="318" t="n"/>
      <c r="P53" s="318" t="n"/>
      <c r="Q53" s="318" t="n"/>
      <c r="R53" s="318" t="n"/>
      <c r="S53" s="318" t="n"/>
      <c r="T53" s="318" t="n"/>
      <c r="U53" s="318" t="n"/>
      <c r="V53" s="318" t="n"/>
      <c r="W53" s="318" t="n"/>
      <c r="X53" s="318" t="n"/>
      <c r="Y53" s="318" t="n"/>
      <c r="Z53" s="318" t="n"/>
      <c r="AA53" s="318" t="n"/>
      <c r="AB53" s="318" t="n"/>
    </row>
    <row r="54" ht="18.75" customHeight="1" s="317">
      <c r="B54" s="318" t="n"/>
      <c r="C54" s="318" t="n"/>
      <c r="D54" s="318" t="n"/>
      <c r="E54" s="318" t="n"/>
      <c r="F54" s="318" t="n"/>
      <c r="G54" s="318" t="n"/>
      <c r="H54" s="318" t="n"/>
      <c r="I54" s="318" t="n"/>
      <c r="J54" s="318" t="n"/>
      <c r="K54" s="318" t="n"/>
      <c r="L54" s="318" t="n"/>
      <c r="M54" s="318" t="n"/>
      <c r="N54" s="318" t="n"/>
      <c r="O54" s="318" t="n"/>
      <c r="P54" s="318" t="n"/>
      <c r="Q54" s="318" t="n"/>
      <c r="R54" s="318" t="n"/>
      <c r="S54" s="318" t="n"/>
      <c r="T54" s="318" t="n"/>
      <c r="U54" s="318" t="n"/>
      <c r="V54" s="318" t="n"/>
      <c r="W54" s="318" t="n"/>
      <c r="X54" s="318" t="n"/>
      <c r="Y54" s="318" t="n"/>
      <c r="Z54" s="318" t="n"/>
      <c r="AA54" s="318" t="n"/>
      <c r="AB54" s="318" t="n"/>
    </row>
    <row r="55" ht="18.75" customHeight="1" s="317">
      <c r="B55" s="318" t="n"/>
      <c r="C55" s="318" t="n"/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</row>
    <row r="56" ht="18.75" customHeight="1" s="317">
      <c r="B56" s="318" t="n"/>
      <c r="C56" s="318" t="n"/>
      <c r="D56" s="318" t="n"/>
      <c r="E56" s="318" t="n"/>
      <c r="F56" s="318" t="n"/>
      <c r="G56" s="318" t="n"/>
      <c r="H56" s="318" t="n"/>
      <c r="I56" s="318" t="n"/>
      <c r="J56" s="318" t="n"/>
      <c r="K56" s="318" t="n"/>
      <c r="L56" s="318" t="n"/>
      <c r="M56" s="318" t="n"/>
      <c r="N56" s="318" t="n"/>
      <c r="O56" s="318" t="n"/>
      <c r="P56" s="318" t="n"/>
      <c r="Q56" s="318" t="n"/>
      <c r="R56" s="318" t="n"/>
      <c r="S56" s="318" t="n"/>
      <c r="T56" s="318" t="n"/>
      <c r="U56" s="318" t="n"/>
      <c r="V56" s="318" t="n"/>
      <c r="W56" s="318" t="n"/>
      <c r="X56" s="318" t="n"/>
      <c r="Y56" s="318" t="n"/>
      <c r="Z56" s="318" t="n"/>
      <c r="AA56" s="318" t="n"/>
      <c r="AB56" s="318" t="n"/>
    </row>
    <row r="57" ht="18.75" customHeight="1" s="317">
      <c r="B57" s="318" t="n"/>
      <c r="C57" s="318" t="n"/>
      <c r="D57" s="318" t="n"/>
      <c r="E57" s="318" t="n"/>
      <c r="F57" s="318" t="n"/>
      <c r="G57" s="318" t="n"/>
      <c r="H57" s="318" t="n"/>
      <c r="I57" s="318" t="n"/>
      <c r="J57" s="318" t="n"/>
      <c r="K57" s="318" t="n"/>
      <c r="L57" s="318" t="n"/>
      <c r="M57" s="318" t="n"/>
      <c r="N57" s="318" t="n"/>
      <c r="O57" s="318" t="n"/>
      <c r="P57" s="318" t="n"/>
      <c r="Q57" s="318" t="n"/>
      <c r="R57" s="318" t="n"/>
      <c r="S57" s="318" t="n"/>
      <c r="T57" s="318" t="n"/>
      <c r="U57" s="318" t="n"/>
      <c r="V57" s="318" t="n"/>
      <c r="W57" s="318" t="n"/>
      <c r="X57" s="318" t="n"/>
      <c r="Y57" s="318" t="n"/>
      <c r="Z57" s="318" t="n"/>
      <c r="AA57" s="318" t="n"/>
      <c r="AB57" s="318" t="n"/>
    </row>
    <row r="58" ht="18.75" customHeight="1" s="317">
      <c r="B58" s="318" t="n"/>
      <c r="C58" s="318" t="n"/>
      <c r="D58" s="318" t="n"/>
      <c r="E58" s="318" t="n"/>
      <c r="F58" s="318" t="n"/>
      <c r="G58" s="318" t="n"/>
      <c r="H58" s="318" t="n"/>
      <c r="I58" s="318" t="n"/>
      <c r="J58" s="318" t="n"/>
      <c r="K58" s="318" t="n"/>
      <c r="L58" s="318" t="n"/>
      <c r="M58" s="318" t="n"/>
      <c r="N58" s="318" t="n"/>
      <c r="O58" s="318" t="n"/>
      <c r="P58" s="318" t="n"/>
      <c r="Q58" s="318" t="n"/>
      <c r="R58" s="318" t="n"/>
      <c r="S58" s="318" t="n"/>
      <c r="T58" s="318" t="n"/>
      <c r="U58" s="318" t="n"/>
      <c r="V58" s="318" t="n"/>
      <c r="W58" s="318" t="n"/>
      <c r="X58" s="318" t="n"/>
      <c r="Y58" s="318" t="n"/>
      <c r="Z58" s="318" t="n"/>
      <c r="AA58" s="318" t="n"/>
      <c r="AB58" s="318" t="n"/>
    </row>
    <row r="59" ht="18.75" customHeight="1" s="317">
      <c r="B59" s="318" t="n"/>
      <c r="C59" s="318" t="n"/>
      <c r="D59" s="318" t="n"/>
      <c r="E59" s="318" t="n"/>
      <c r="F59" s="318" t="n"/>
      <c r="G59" s="318" t="n"/>
      <c r="H59" s="318" t="n"/>
      <c r="I59" s="318" t="n"/>
      <c r="J59" s="318" t="n"/>
      <c r="K59" s="318" t="n"/>
      <c r="L59" s="318" t="n"/>
      <c r="M59" s="318" t="n"/>
      <c r="N59" s="318" t="n"/>
      <c r="O59" s="318" t="n"/>
      <c r="P59" s="318" t="n"/>
      <c r="Q59" s="318" t="n"/>
      <c r="R59" s="318" t="n"/>
      <c r="S59" s="318" t="n"/>
      <c r="T59" s="318" t="n"/>
      <c r="U59" s="318" t="n"/>
      <c r="V59" s="318" t="n"/>
      <c r="W59" s="318" t="n"/>
      <c r="X59" s="318" t="n"/>
      <c r="Y59" s="318" t="n"/>
      <c r="Z59" s="318" t="n"/>
      <c r="AA59" s="318" t="n"/>
      <c r="AB59" s="318" t="n"/>
    </row>
    <row r="60" ht="18.75" customHeight="1" s="317">
      <c r="B60" s="318" t="n"/>
      <c r="C60" s="318" t="n"/>
      <c r="D60" s="318" t="n"/>
      <c r="E60" s="318" t="n"/>
      <c r="F60" s="318" t="n"/>
      <c r="G60" s="318" t="n"/>
      <c r="H60" s="318" t="n"/>
      <c r="I60" s="318" t="n"/>
      <c r="J60" s="318" t="n"/>
      <c r="K60" s="318" t="n"/>
      <c r="L60" s="318" t="n"/>
      <c r="M60" s="318" t="n"/>
      <c r="N60" s="318" t="n"/>
      <c r="O60" s="318" t="n"/>
      <c r="P60" s="318" t="n"/>
      <c r="Q60" s="318" t="n"/>
      <c r="R60" s="318" t="n"/>
      <c r="S60" s="318" t="n"/>
      <c r="T60" s="318" t="n"/>
      <c r="U60" s="318" t="n"/>
      <c r="V60" s="318" t="n"/>
      <c r="W60" s="318" t="n"/>
      <c r="X60" s="318" t="n"/>
      <c r="Y60" s="318" t="n"/>
      <c r="Z60" s="318" t="n"/>
      <c r="AA60" s="318" t="n"/>
      <c r="AB60" s="318" t="n"/>
    </row>
    <row r="61" ht="18.75" customHeight="1" s="317">
      <c r="B61" s="318" t="n"/>
      <c r="C61" s="318" t="n"/>
      <c r="D61" s="318" t="n"/>
      <c r="E61" s="318" t="n"/>
      <c r="F61" s="318" t="n"/>
      <c r="G61" s="318" t="n"/>
      <c r="H61" s="318" t="n"/>
      <c r="I61" s="318" t="n"/>
      <c r="J61" s="318" t="n"/>
      <c r="K61" s="318" t="n"/>
      <c r="L61" s="318" t="n"/>
      <c r="M61" s="318" t="n"/>
      <c r="N61" s="318" t="n"/>
      <c r="O61" s="318" t="n"/>
      <c r="P61" s="318" t="n"/>
      <c r="Q61" s="318" t="n"/>
      <c r="R61" s="318" t="n"/>
      <c r="S61" s="318" t="n"/>
      <c r="T61" s="318" t="n"/>
      <c r="U61" s="318" t="n"/>
      <c r="V61" s="318" t="n"/>
      <c r="W61" s="318" t="n"/>
      <c r="X61" s="318" t="n"/>
      <c r="Y61" s="318" t="n"/>
      <c r="Z61" s="318" t="n"/>
      <c r="AA61" s="318" t="n"/>
      <c r="AB61" s="318" t="n"/>
    </row>
    <row r="62" ht="18.75" customHeight="1" s="317">
      <c r="B62" s="318" t="n"/>
      <c r="C62" s="318" t="n"/>
      <c r="D62" s="318" t="n"/>
      <c r="E62" s="318" t="n"/>
      <c r="F62" s="318" t="n"/>
      <c r="G62" s="318" t="n"/>
      <c r="H62" s="318" t="n"/>
      <c r="I62" s="318" t="n"/>
      <c r="J62" s="318" t="n"/>
      <c r="K62" s="318" t="n"/>
      <c r="L62" s="318" t="n"/>
      <c r="M62" s="318" t="n"/>
      <c r="N62" s="318" t="n"/>
      <c r="O62" s="318" t="n"/>
      <c r="P62" s="318" t="n"/>
      <c r="Q62" s="318" t="n"/>
      <c r="R62" s="318" t="n"/>
      <c r="S62" s="318" t="n"/>
      <c r="T62" s="318" t="n"/>
      <c r="U62" s="318" t="n"/>
      <c r="V62" s="318" t="n"/>
      <c r="W62" s="318" t="n"/>
      <c r="X62" s="318" t="n"/>
      <c r="Y62" s="318" t="n"/>
      <c r="Z62" s="318" t="n"/>
      <c r="AA62" s="318" t="n"/>
      <c r="AB62" s="318" t="n"/>
    </row>
    <row r="63" ht="18.75" customHeight="1" s="317">
      <c r="B63" s="318" t="n"/>
      <c r="C63" s="318" t="n"/>
      <c r="D63" s="318" t="n"/>
      <c r="E63" s="318" t="n"/>
      <c r="F63" s="318" t="n"/>
      <c r="G63" s="318" t="n"/>
      <c r="H63" s="318" t="n"/>
      <c r="I63" s="318" t="n"/>
      <c r="J63" s="318" t="n"/>
      <c r="K63" s="318" t="n"/>
      <c r="L63" s="318" t="n"/>
      <c r="M63" s="318" t="n"/>
      <c r="N63" s="318" t="n"/>
      <c r="O63" s="318" t="n"/>
      <c r="P63" s="318" t="n"/>
      <c r="Q63" s="318" t="n"/>
      <c r="R63" s="318" t="n"/>
      <c r="S63" s="318" t="n"/>
      <c r="T63" s="318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</row>
    <row r="64" ht="18.75" customHeight="1" s="317">
      <c r="B64" s="318" t="n"/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8" t="n"/>
      <c r="N64" s="318" t="n"/>
      <c r="O64" s="318" t="n"/>
      <c r="P64" s="318" t="n"/>
      <c r="Q64" s="318" t="n"/>
      <c r="R64" s="318" t="n"/>
      <c r="S64" s="318" t="n"/>
      <c r="T64" s="318" t="n"/>
      <c r="U64" s="318" t="n"/>
      <c r="V64" s="318" t="n"/>
      <c r="W64" s="318" t="n"/>
      <c r="X64" s="318" t="n"/>
      <c r="Y64" s="318" t="n"/>
      <c r="Z64" s="318" t="n"/>
      <c r="AA64" s="318" t="n"/>
      <c r="AB64" s="318" t="n"/>
    </row>
    <row r="65" ht="18.75" customHeight="1" s="317">
      <c r="B65" s="318" t="n"/>
      <c r="C65" s="318" t="n"/>
      <c r="D65" s="318" t="n"/>
      <c r="E65" s="318" t="n"/>
      <c r="F65" s="318" t="n"/>
      <c r="G65" s="318" t="n"/>
      <c r="H65" s="318" t="n"/>
      <c r="I65" s="318" t="n"/>
      <c r="J65" s="318" t="n"/>
      <c r="K65" s="318" t="n"/>
      <c r="L65" s="318" t="n"/>
      <c r="M65" s="318" t="n"/>
      <c r="N65" s="318" t="n"/>
      <c r="O65" s="318" t="n"/>
      <c r="P65" s="318" t="n"/>
      <c r="Q65" s="318" t="n"/>
      <c r="R65" s="318" t="n"/>
      <c r="S65" s="318" t="n"/>
      <c r="T65" s="318" t="n"/>
      <c r="U65" s="318" t="n"/>
      <c r="V65" s="318" t="n"/>
      <c r="W65" s="318" t="n"/>
      <c r="X65" s="318" t="n"/>
      <c r="Y65" s="318" t="n"/>
      <c r="Z65" s="318" t="n"/>
      <c r="AA65" s="318" t="n"/>
      <c r="AB65" s="318" t="n"/>
    </row>
    <row r="66" ht="18.75" customHeight="1" s="317">
      <c r="G66" s="318" t="n"/>
      <c r="H66" s="318" t="n"/>
      <c r="I66" s="318" t="n"/>
      <c r="J66" s="318" t="n"/>
      <c r="K66" s="318" t="n"/>
      <c r="L66" s="318" t="n"/>
      <c r="M66" s="318" t="n"/>
      <c r="N66" s="318" t="n"/>
      <c r="O66" s="318" t="n"/>
      <c r="P66" s="318" t="n"/>
      <c r="Q66" s="318" t="n"/>
      <c r="R66" s="318" t="n"/>
      <c r="S66" s="318" t="n"/>
      <c r="T66" s="318" t="n"/>
      <c r="U66" s="318" t="n"/>
      <c r="V66" s="318" t="n"/>
      <c r="W66" s="318" t="n"/>
      <c r="X66" s="318" t="n"/>
      <c r="Y66" s="318" t="n"/>
      <c r="Z66" s="318" t="n"/>
      <c r="AA66" s="318" t="n"/>
      <c r="AB66" s="318" t="n"/>
    </row>
    <row r="67" ht="18.75" customHeight="1" s="317">
      <c r="G67" s="318" t="n"/>
      <c r="H67" s="318" t="n"/>
      <c r="I67" s="318" t="n"/>
      <c r="J67" s="318" t="n"/>
      <c r="K67" s="318" t="n"/>
      <c r="L67" s="318" t="n"/>
      <c r="M67" s="318" t="n"/>
      <c r="N67" s="318" t="n"/>
      <c r="O67" s="318" t="n"/>
      <c r="P67" s="318" t="n"/>
      <c r="Q67" s="318" t="n"/>
      <c r="R67" s="318" t="n"/>
      <c r="S67" s="318" t="n"/>
      <c r="T67" s="318" t="n"/>
      <c r="U67" s="318" t="n"/>
      <c r="V67" s="318" t="n"/>
      <c r="W67" s="318" t="n"/>
      <c r="X67" s="318" t="n"/>
      <c r="Y67" s="318" t="n"/>
      <c r="Z67" s="318" t="n"/>
      <c r="AA67" s="318" t="n"/>
      <c r="AB67" s="318" t="n"/>
    </row>
    <row r="68" ht="18.75" customHeight="1" s="317">
      <c r="G68" s="318" t="n"/>
      <c r="H68" s="318" t="n"/>
      <c r="I68" s="318" t="n"/>
      <c r="J68" s="318" t="n"/>
      <c r="K68" s="318" t="n"/>
      <c r="L68" s="318" t="n"/>
      <c r="M68" s="318" t="n"/>
      <c r="N68" s="318" t="n"/>
      <c r="O68" s="318" t="n"/>
      <c r="P68" s="318" t="n"/>
      <c r="Q68" s="318" t="n"/>
      <c r="R68" s="318" t="n"/>
      <c r="S68" s="318" t="n"/>
      <c r="T68" s="318" t="n"/>
      <c r="U68" s="318" t="n"/>
      <c r="V68" s="318" t="n"/>
      <c r="W68" s="318" t="n"/>
      <c r="X68" s="318" t="n"/>
      <c r="Y68" s="318" t="n"/>
      <c r="Z68" s="318" t="n"/>
      <c r="AA68" s="318" t="n"/>
      <c r="AB68" s="318" t="n"/>
    </row>
    <row r="69" ht="18.75" customHeight="1" s="317">
      <c r="G69" s="318" t="n"/>
      <c r="H69" s="318" t="n"/>
      <c r="I69" s="318" t="n"/>
      <c r="J69" s="318" t="n"/>
      <c r="K69" s="318" t="n"/>
      <c r="L69" s="318" t="n"/>
      <c r="M69" s="318" t="n"/>
      <c r="N69" s="318" t="n"/>
      <c r="O69" s="318" t="n"/>
      <c r="P69" s="318" t="n"/>
      <c r="Q69" s="318" t="n"/>
      <c r="R69" s="318" t="n"/>
      <c r="S69" s="318" t="n"/>
      <c r="T69" s="318" t="n"/>
      <c r="U69" s="318" t="n"/>
      <c r="V69" s="318" t="n"/>
      <c r="W69" s="318" t="n"/>
      <c r="X69" s="318" t="n"/>
      <c r="Y69" s="318" t="n"/>
      <c r="Z69" s="318" t="n"/>
      <c r="AA69" s="318" t="n"/>
      <c r="AB69" s="318" t="n"/>
    </row>
    <row r="70" ht="18.75" customHeight="1" s="317">
      <c r="G70" s="318" t="n"/>
      <c r="H70" s="318" t="n"/>
      <c r="I70" s="318" t="n"/>
      <c r="J70" s="318" t="n"/>
      <c r="K70" s="318" t="n"/>
      <c r="L70" s="318" t="n"/>
      <c r="M70" s="318" t="n"/>
      <c r="N70" s="318" t="n"/>
      <c r="O70" s="318" t="n"/>
      <c r="P70" s="318" t="n"/>
      <c r="Q70" s="318" t="n"/>
      <c r="R70" s="318" t="n"/>
      <c r="S70" s="318" t="n"/>
      <c r="T70" s="318" t="n"/>
      <c r="U70" s="318" t="n"/>
      <c r="V70" s="318" t="n"/>
      <c r="W70" s="318" t="n"/>
      <c r="X70" s="318" t="n"/>
      <c r="Y70" s="318" t="n"/>
      <c r="Z70" s="318" t="n"/>
      <c r="AA70" s="318" t="n"/>
      <c r="AB70" s="318" t="n"/>
    </row>
    <row r="71" ht="18.75" customHeight="1" s="317">
      <c r="G71" s="318" t="n"/>
      <c r="H71" s="318" t="n"/>
      <c r="I71" s="318" t="n"/>
      <c r="J71" s="318" t="n"/>
      <c r="K71" s="318" t="n"/>
      <c r="L71" s="318" t="n"/>
      <c r="M71" s="318" t="n"/>
      <c r="N71" s="318" t="n"/>
      <c r="O71" s="318" t="n"/>
      <c r="P71" s="318" t="n"/>
      <c r="Q71" s="318" t="n"/>
      <c r="R71" s="318" t="n"/>
      <c r="S71" s="318" t="n"/>
      <c r="T71" s="318" t="n"/>
      <c r="U71" s="318" t="n"/>
      <c r="V71" s="318" t="n"/>
      <c r="W71" s="318" t="n"/>
      <c r="X71" s="318" t="n"/>
      <c r="Y71" s="318" t="n"/>
      <c r="Z71" s="318" t="n"/>
      <c r="AA71" s="318" t="n"/>
      <c r="AB71" s="318" t="n"/>
    </row>
    <row r="72" ht="18.75" customHeight="1" s="317">
      <c r="G72" s="318" t="n"/>
      <c r="H72" s="318" t="n"/>
      <c r="I72" s="318" t="n"/>
      <c r="J72" s="318" t="n"/>
      <c r="K72" s="318" t="n"/>
      <c r="L72" s="318" t="n"/>
      <c r="M72" s="318" t="n"/>
      <c r="N72" s="318" t="n"/>
      <c r="O72" s="318" t="n"/>
      <c r="P72" s="318" t="n"/>
      <c r="Q72" s="318" t="n"/>
      <c r="R72" s="318" t="n"/>
      <c r="S72" s="318" t="n"/>
      <c r="T72" s="318" t="n"/>
      <c r="U72" s="318" t="n"/>
      <c r="V72" s="318" t="n"/>
      <c r="W72" s="318" t="n"/>
      <c r="X72" s="318" t="n"/>
      <c r="Y72" s="318" t="n"/>
      <c r="Z72" s="318" t="n"/>
      <c r="AA72" s="318" t="n"/>
      <c r="AB72" s="318" t="n"/>
    </row>
    <row r="73" ht="18.75" customHeight="1" s="317">
      <c r="G73" s="318" t="n"/>
      <c r="H73" s="318" t="n"/>
      <c r="I73" s="318" t="n"/>
      <c r="J73" s="318" t="n"/>
      <c r="K73" s="318" t="n"/>
      <c r="L73" s="318" t="n"/>
      <c r="M73" s="318" t="n"/>
      <c r="N73" s="318" t="n"/>
      <c r="O73" s="318" t="n"/>
      <c r="P73" s="318" t="n"/>
      <c r="Q73" s="318" t="n"/>
      <c r="R73" s="318" t="n"/>
      <c r="S73" s="318" t="n"/>
      <c r="T73" s="318" t="n"/>
      <c r="U73" s="318" t="n"/>
      <c r="V73" s="318" t="n"/>
      <c r="W73" s="318" t="n"/>
      <c r="X73" s="318" t="n"/>
      <c r="Y73" s="318" t="n"/>
      <c r="Z73" s="318" t="n"/>
      <c r="AA73" s="318" t="n"/>
      <c r="AB73" s="318" t="n"/>
    </row>
    <row r="74" ht="18.75" customHeight="1" s="317">
      <c r="G74" s="318" t="n"/>
      <c r="H74" s="318" t="n"/>
      <c r="I74" s="318" t="n"/>
      <c r="J74" s="318" t="n"/>
      <c r="K74" s="318" t="n"/>
      <c r="L74" s="318" t="n"/>
      <c r="M74" s="318" t="n"/>
      <c r="N74" s="318" t="n"/>
      <c r="O74" s="318" t="n"/>
      <c r="P74" s="318" t="n"/>
      <c r="Q74" s="318" t="n"/>
      <c r="R74" s="318" t="n"/>
      <c r="S74" s="318" t="n"/>
      <c r="T74" s="318" t="n"/>
      <c r="U74" s="318" t="n"/>
      <c r="V74" s="318" t="n"/>
      <c r="W74" s="318" t="n"/>
      <c r="X74" s="318" t="n"/>
      <c r="Y74" s="318" t="n"/>
      <c r="Z74" s="318" t="n"/>
      <c r="AA74" s="318" t="n"/>
      <c r="AB74" s="318" t="n"/>
    </row>
    <row r="75" ht="18.75" customHeight="1" s="317">
      <c r="H75" s="318" t="n"/>
      <c r="I75" s="318" t="n"/>
      <c r="J75" s="318" t="n"/>
      <c r="K75" s="318" t="n"/>
      <c r="L75" s="318" t="n"/>
      <c r="M75" s="318" t="n"/>
      <c r="N75" s="318" t="n"/>
      <c r="O75" s="318" t="n"/>
      <c r="P75" s="318" t="n"/>
      <c r="Q75" s="318" t="n"/>
      <c r="R75" s="318" t="n"/>
      <c r="S75" s="318" t="n"/>
      <c r="T75" s="318" t="n"/>
      <c r="U75" s="318" t="n"/>
      <c r="V75" s="318" t="n"/>
      <c r="W75" s="318" t="n"/>
      <c r="X75" s="318" t="n"/>
      <c r="Y75" s="318" t="n"/>
      <c r="Z75" s="318" t="n"/>
      <c r="AA75" s="318" t="n"/>
      <c r="AB75" s="318" t="n"/>
    </row>
    <row r="76" ht="18.75" customHeight="1" s="317">
      <c r="H76" s="318" t="n"/>
      <c r="I76" s="318" t="n"/>
      <c r="J76" s="318" t="n"/>
      <c r="K76" s="318" t="n"/>
      <c r="L76" s="318" t="n"/>
      <c r="M76" s="318" t="n"/>
      <c r="N76" s="318" t="n"/>
      <c r="O76" s="318" t="n"/>
      <c r="P76" s="318" t="n"/>
      <c r="Q76" s="318" t="n"/>
      <c r="R76" s="318" t="n"/>
      <c r="S76" s="318" t="n"/>
      <c r="T76" s="318" t="n"/>
      <c r="U76" s="318" t="n"/>
      <c r="V76" s="318" t="n"/>
      <c r="W76" s="318" t="n"/>
      <c r="X76" s="318" t="n"/>
      <c r="Y76" s="318" t="n"/>
      <c r="Z76" s="318" t="n"/>
      <c r="AA76" s="318" t="n"/>
      <c r="AB76" s="318" t="n"/>
    </row>
    <row r="77" ht="18.75" customHeight="1" s="317">
      <c r="H77" s="318" t="n"/>
      <c r="I77" s="318" t="n"/>
      <c r="J77" s="318" t="n"/>
      <c r="K77" s="318" t="n"/>
      <c r="L77" s="318" t="n"/>
      <c r="M77" s="318" t="n"/>
      <c r="N77" s="318" t="n"/>
      <c r="O77" s="318" t="n"/>
      <c r="P77" s="318" t="n"/>
      <c r="Q77" s="318" t="n"/>
      <c r="R77" s="318" t="n"/>
      <c r="S77" s="318" t="n"/>
      <c r="T77" s="318" t="n"/>
      <c r="U77" s="318" t="n"/>
      <c r="V77" s="318" t="n"/>
      <c r="W77" s="318" t="n"/>
      <c r="X77" s="318" t="n"/>
      <c r="Y77" s="318" t="n"/>
      <c r="Z77" s="318" t="n"/>
      <c r="AA77" s="318" t="n"/>
      <c r="AB77" s="318" t="n"/>
    </row>
    <row r="78" ht="18.75" customHeight="1" s="317">
      <c r="H78" s="318" t="n"/>
      <c r="I78" s="318" t="n"/>
      <c r="J78" s="318" t="n"/>
      <c r="K78" s="318" t="n"/>
      <c r="L78" s="318" t="n"/>
      <c r="M78" s="318" t="n"/>
      <c r="N78" s="318" t="n"/>
      <c r="O78" s="318" t="n"/>
      <c r="P78" s="318" t="n"/>
      <c r="Q78" s="318" t="n"/>
      <c r="R78" s="318" t="n"/>
      <c r="S78" s="318" t="n"/>
      <c r="T78" s="318" t="n"/>
      <c r="U78" s="318" t="n"/>
      <c r="V78" s="318" t="n"/>
      <c r="W78" s="318" t="n"/>
      <c r="X78" s="318" t="n"/>
      <c r="Y78" s="318" t="n"/>
      <c r="Z78" s="318" t="n"/>
      <c r="AA78" s="318" t="n"/>
      <c r="AB78" s="318" t="n"/>
    </row>
    <row r="79" ht="18.75" customHeight="1" s="317">
      <c r="H79" s="318" t="n"/>
      <c r="I79" s="318" t="n"/>
      <c r="J79" s="318" t="n"/>
      <c r="K79" s="318" t="n"/>
      <c r="L79" s="318" t="n"/>
      <c r="M79" s="318" t="n"/>
      <c r="N79" s="318" t="n"/>
      <c r="O79" s="318" t="n"/>
      <c r="P79" s="318" t="n"/>
      <c r="Q79" s="318" t="n"/>
      <c r="R79" s="318" t="n"/>
      <c r="S79" s="318" t="n"/>
      <c r="T79" s="318" t="n"/>
      <c r="U79" s="318" t="n"/>
      <c r="V79" s="318" t="n"/>
      <c r="W79" s="318" t="n"/>
      <c r="X79" s="318" t="n"/>
      <c r="Y79" s="318" t="n"/>
      <c r="Z79" s="318" t="n"/>
      <c r="AA79" s="318" t="n"/>
      <c r="AB79" s="318" t="n"/>
    </row>
    <row r="80" ht="18.75" customHeight="1" s="317">
      <c r="H80" s="318" t="n"/>
      <c r="I80" s="318" t="n"/>
      <c r="J80" s="318" t="n"/>
      <c r="K80" s="318" t="n"/>
      <c r="L80" s="318" t="n"/>
      <c r="M80" s="318" t="n"/>
      <c r="N80" s="318" t="n"/>
      <c r="O80" s="318" t="n"/>
      <c r="P80" s="318" t="n"/>
      <c r="Q80" s="318" t="n"/>
      <c r="R80" s="318" t="n"/>
      <c r="S80" s="318" t="n"/>
      <c r="T80" s="318" t="n"/>
      <c r="U80" s="318" t="n"/>
      <c r="V80" s="318" t="n"/>
      <c r="W80" s="318" t="n"/>
      <c r="X80" s="318" t="n"/>
      <c r="Y80" s="318" t="n"/>
      <c r="Z80" s="318" t="n"/>
      <c r="AA80" s="318" t="n"/>
      <c r="AB80" s="318" t="n"/>
    </row>
    <row r="81" ht="18.75" customHeight="1" s="317">
      <c r="H81" s="318" t="n"/>
      <c r="I81" s="318" t="n"/>
      <c r="J81" s="318" t="n"/>
      <c r="K81" s="318" t="n"/>
      <c r="L81" s="318" t="n"/>
      <c r="M81" s="318" t="n"/>
      <c r="N81" s="318" t="n"/>
      <c r="O81" s="318" t="n"/>
      <c r="P81" s="318" t="n"/>
      <c r="Q81" s="318" t="n"/>
      <c r="R81" s="318" t="n"/>
      <c r="S81" s="318" t="n"/>
      <c r="T81" s="318" t="n"/>
      <c r="U81" s="318" t="n"/>
      <c r="V81" s="318" t="n"/>
      <c r="W81" s="318" t="n"/>
      <c r="X81" s="318" t="n"/>
      <c r="Y81" s="318" t="n"/>
      <c r="Z81" s="318" t="n"/>
      <c r="AA81" s="318" t="n"/>
      <c r="AB81" s="318" t="n"/>
    </row>
    <row r="82" ht="18.75" customHeight="1" s="317">
      <c r="H82" s="318" t="n"/>
      <c r="I82" s="318" t="n"/>
      <c r="J82" s="318" t="n"/>
      <c r="K82" s="318" t="n"/>
      <c r="L82" s="318" t="n"/>
      <c r="M82" s="318" t="n"/>
      <c r="N82" s="318" t="n"/>
      <c r="O82" s="318" t="n"/>
      <c r="P82" s="318" t="n"/>
      <c r="Q82" s="318" t="n"/>
      <c r="R82" s="318" t="n"/>
      <c r="S82" s="318" t="n"/>
      <c r="T82" s="318" t="n"/>
      <c r="U82" s="318" t="n"/>
      <c r="V82" s="318" t="n"/>
      <c r="W82" s="318" t="n"/>
      <c r="X82" s="318" t="n"/>
      <c r="Y82" s="318" t="n"/>
      <c r="Z82" s="318" t="n"/>
      <c r="AA82" s="318" t="n"/>
      <c r="AB82" s="318" t="n"/>
    </row>
    <row r="83" ht="18.75" customHeight="1" s="317">
      <c r="H83" s="318" t="n"/>
      <c r="I83" s="318" t="n"/>
      <c r="J83" s="318" t="n"/>
      <c r="K83" s="318" t="n"/>
      <c r="L83" s="318" t="n"/>
      <c r="M83" s="318" t="n"/>
      <c r="N83" s="318" t="n"/>
      <c r="O83" s="318" t="n"/>
      <c r="P83" s="318" t="n"/>
      <c r="Q83" s="318" t="n"/>
      <c r="R83" s="318" t="n"/>
      <c r="S83" s="318" t="n"/>
      <c r="T83" s="318" t="n"/>
      <c r="U83" s="318" t="n"/>
      <c r="V83" s="318" t="n"/>
      <c r="W83" s="318" t="n"/>
      <c r="X83" s="318" t="n"/>
      <c r="Y83" s="318" t="n"/>
      <c r="Z83" s="318" t="n"/>
      <c r="AA83" s="318" t="n"/>
      <c r="AB83" s="318" t="n"/>
    </row>
    <row r="84" ht="18.75" customHeight="1" s="317">
      <c r="H84" s="318" t="n"/>
      <c r="I84" s="318" t="n"/>
      <c r="J84" s="318" t="n"/>
      <c r="K84" s="318" t="n"/>
      <c r="L84" s="318" t="n"/>
      <c r="M84" s="318" t="n"/>
      <c r="N84" s="318" t="n"/>
      <c r="O84" s="318" t="n"/>
      <c r="P84" s="318" t="n"/>
      <c r="Q84" s="318" t="n"/>
      <c r="R84" s="318" t="n"/>
      <c r="S84" s="318" t="n"/>
      <c r="T84" s="318" t="n"/>
      <c r="U84" s="318" t="n"/>
      <c r="V84" s="318" t="n"/>
      <c r="W84" s="318" t="n"/>
      <c r="X84" s="318" t="n"/>
      <c r="Y84" s="318" t="n"/>
      <c r="Z84" s="318" t="n"/>
      <c r="AA84" s="318" t="n"/>
      <c r="AB84" s="318" t="n"/>
    </row>
    <row r="85" ht="18.75" customHeight="1" s="317">
      <c r="H85" s="318" t="n"/>
      <c r="I85" s="318" t="n"/>
      <c r="J85" s="318" t="n"/>
      <c r="K85" s="318" t="n"/>
      <c r="L85" s="318" t="n"/>
      <c r="M85" s="318" t="n"/>
      <c r="N85" s="318" t="n"/>
      <c r="O85" s="318" t="n"/>
      <c r="P85" s="318" t="n"/>
      <c r="Q85" s="318" t="n"/>
      <c r="R85" s="318" t="n"/>
      <c r="S85" s="318" t="n"/>
      <c r="T85" s="318" t="n"/>
      <c r="U85" s="318" t="n"/>
      <c r="V85" s="318" t="n"/>
      <c r="W85" s="318" t="n"/>
      <c r="X85" s="318" t="n"/>
      <c r="Y85" s="318" t="n"/>
      <c r="Z85" s="318" t="n"/>
      <c r="AA85" s="318" t="n"/>
      <c r="AB85" s="318" t="n"/>
    </row>
    <row r="86" ht="18.75" customHeight="1" s="317">
      <c r="H86" s="318" t="n"/>
      <c r="I86" s="318" t="n"/>
      <c r="J86" s="318" t="n"/>
      <c r="K86" s="318" t="n"/>
      <c r="L86" s="318" t="n"/>
      <c r="M86" s="318" t="n"/>
      <c r="N86" s="318" t="n"/>
      <c r="O86" s="318" t="n"/>
      <c r="P86" s="318" t="n"/>
      <c r="Q86" s="318" t="n"/>
      <c r="R86" s="318" t="n"/>
      <c r="S86" s="318" t="n"/>
      <c r="T86" s="318" t="n"/>
      <c r="U86" s="318" t="n"/>
      <c r="V86" s="318" t="n"/>
      <c r="W86" s="318" t="n"/>
      <c r="X86" s="318" t="n"/>
      <c r="Y86" s="318" t="n"/>
      <c r="Z86" s="318" t="n"/>
      <c r="AA86" s="318" t="n"/>
      <c r="AB86" s="318" t="n"/>
    </row>
    <row r="87" ht="18.75" customHeight="1" s="317">
      <c r="H87" s="318" t="n"/>
      <c r="I87" s="318" t="n"/>
      <c r="J87" s="318" t="n"/>
      <c r="K87" s="318" t="n"/>
      <c r="L87" s="318" t="n"/>
      <c r="M87" s="318" t="n"/>
      <c r="N87" s="318" t="n"/>
      <c r="O87" s="318" t="n"/>
      <c r="P87" s="318" t="n"/>
      <c r="Q87" s="318" t="n"/>
      <c r="R87" s="318" t="n"/>
      <c r="S87" s="318" t="n"/>
      <c r="T87" s="318" t="n"/>
      <c r="U87" s="318" t="n"/>
      <c r="V87" s="318" t="n"/>
      <c r="W87" s="318" t="n"/>
      <c r="X87" s="318" t="n"/>
      <c r="Y87" s="318" t="n"/>
      <c r="Z87" s="318" t="n"/>
      <c r="AA87" s="318" t="n"/>
      <c r="AB87" s="318" t="n"/>
    </row>
    <row r="88" ht="18.75" customHeight="1" s="317">
      <c r="H88" s="318" t="n"/>
      <c r="I88" s="318" t="n"/>
      <c r="J88" s="318" t="n"/>
      <c r="K88" s="318" t="n"/>
      <c r="L88" s="318" t="n"/>
      <c r="M88" s="318" t="n"/>
      <c r="N88" s="318" t="n"/>
      <c r="O88" s="318" t="n"/>
      <c r="P88" s="318" t="n"/>
      <c r="Q88" s="318" t="n"/>
      <c r="R88" s="318" t="n"/>
      <c r="S88" s="318" t="n"/>
      <c r="T88" s="318" t="n"/>
      <c r="U88" s="318" t="n"/>
      <c r="V88" s="318" t="n"/>
      <c r="W88" s="318" t="n"/>
      <c r="X88" s="318" t="n"/>
      <c r="Y88" s="318" t="n"/>
      <c r="Z88" s="318" t="n"/>
      <c r="AA88" s="318" t="n"/>
      <c r="AB88" s="318" t="n"/>
    </row>
    <row r="89" ht="18.75" customHeight="1" s="317">
      <c r="H89" s="318" t="n"/>
      <c r="I89" s="318" t="n"/>
      <c r="J89" s="318" t="n"/>
      <c r="K89" s="318" t="n"/>
      <c r="L89" s="318" t="n"/>
      <c r="M89" s="318" t="n"/>
      <c r="N89" s="318" t="n"/>
      <c r="O89" s="318" t="n"/>
      <c r="P89" s="318" t="n"/>
      <c r="Q89" s="318" t="n"/>
      <c r="R89" s="318" t="n"/>
      <c r="S89" s="318" t="n"/>
      <c r="T89" s="318" t="n"/>
      <c r="U89" s="318" t="n"/>
      <c r="V89" s="318" t="n"/>
      <c r="W89" s="318" t="n"/>
      <c r="X89" s="318" t="n"/>
      <c r="Y89" s="318" t="n"/>
      <c r="Z89" s="318" t="n"/>
      <c r="AA89" s="318" t="n"/>
      <c r="AB89" s="318" t="n"/>
    </row>
    <row r="90" ht="18.75" customHeight="1" s="317">
      <c r="H90" s="318" t="n"/>
      <c r="I90" s="318" t="n"/>
      <c r="J90" s="318" t="n"/>
      <c r="K90" s="318" t="n"/>
      <c r="L90" s="318" t="n"/>
      <c r="M90" s="318" t="n"/>
      <c r="N90" s="318" t="n"/>
      <c r="O90" s="318" t="n"/>
      <c r="P90" s="318" t="n"/>
      <c r="Q90" s="318" t="n"/>
      <c r="R90" s="318" t="n"/>
      <c r="S90" s="318" t="n"/>
      <c r="T90" s="318" t="n"/>
      <c r="U90" s="318" t="n"/>
      <c r="V90" s="318" t="n"/>
      <c r="W90" s="318" t="n"/>
      <c r="X90" s="318" t="n"/>
      <c r="Y90" s="318" t="n"/>
      <c r="Z90" s="318" t="n"/>
      <c r="AA90" s="318" t="n"/>
      <c r="AB90" s="318" t="n"/>
    </row>
  </sheetData>
  <mergeCells count="2">
    <mergeCell ref="A1:I1"/>
    <mergeCell ref="C6:G6"/>
  </mergeCells>
  <printOptions horizontalCentered="1" verticalCentered="0" headings="0" gridLines="0" gridLinesSet="1"/>
  <pageMargins left="0.5" right="0.5" top="0.9840277777777779" bottom="0.75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10xxxx&amp;C&amp;"Times New Roman,Regular"The information contained herein is proprietary and confidential, and should not be shared outside "nickname"&amp;10 Page 7 of 9_x000a_&amp;R&amp;"Arial,Bold"&amp;10 &amp;D - &amp;T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F56"/>
  <sheetViews>
    <sheetView showFormulas="0" showGridLines="1" showRowColHeaders="1" showZeros="1" rightToLeft="0" tabSelected="0" showOutlineSymbols="1" defaultGridColor="1" view="normal" topLeftCell="A1" colorId="64" zoomScale="77" zoomScaleNormal="77" zoomScalePageLayoutView="100" workbookViewId="0">
      <pane xSplit="0" ySplit="1" topLeftCell="BM2" activePane="bottomLeft" state="frozen"/>
      <selection pane="topLeft" activeCell="A1" activeCellId="0" sqref="A1"/>
      <selection pane="bottomLeft" activeCell="E9" activeCellId="0" sqref="E9"/>
    </sheetView>
  </sheetViews>
  <sheetFormatPr baseColWidth="8" defaultColWidth="8.87890625" defaultRowHeight="18" zeroHeight="0" outlineLevelRow="0"/>
  <cols>
    <col width="2.77" customWidth="1" style="338" min="1" max="2"/>
    <col width="2.66" customWidth="1" style="338" min="3" max="3"/>
    <col width="64.44" customWidth="1" style="338" min="4" max="4"/>
    <col width="8.77" customWidth="1" style="338" min="5" max="5"/>
    <col width="4.77" customWidth="1" style="338" min="6" max="6"/>
    <col width="15.77" customWidth="1" style="338" min="7" max="7"/>
    <col width="2.77" customWidth="1" style="338" min="8" max="9"/>
    <col width="8.880000000000001" customWidth="1" style="338" min="10" max="257"/>
  </cols>
  <sheetData>
    <row r="1" ht="25.5" customHeight="1" s="317">
      <c r="A1" s="441" t="inlineStr">
        <is>
          <t>DO NOT CHANGE ANY VALUES OR ENTER ANY DATA ON THIS SHEET!!!!!!!!!!!!!!!!!!!!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2" t="n"/>
      <c r="J1" s="460" t="n"/>
      <c r="K1" s="460" t="n"/>
      <c r="L1" s="460" t="n"/>
      <c r="M1" s="460" t="n"/>
      <c r="N1" s="460" t="n"/>
      <c r="O1" s="337" t="n"/>
      <c r="P1" s="337" t="n"/>
      <c r="Q1" s="337" t="n"/>
      <c r="R1" s="337" t="n"/>
      <c r="S1" s="337" t="n"/>
      <c r="T1" s="33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337" t="n"/>
      <c r="AE1" s="337" t="n"/>
      <c r="AF1" s="337" t="n"/>
    </row>
    <row r="2" ht="18.75" customFormat="1" customHeight="1" s="337"/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5" t="n"/>
      <c r="I3" s="337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48" t="n"/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37" t="n"/>
      <c r="H5" s="348" t="n"/>
      <c r="I5" s="337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Format="1" customHeight="1" s="461">
      <c r="A6" s="462" t="inlineStr">
        <is>
          <t> </t>
        </is>
      </c>
      <c r="B6" s="463" t="n"/>
      <c r="C6" s="349" t="inlineStr">
        <is>
          <t>Investment Summary</t>
        </is>
      </c>
      <c r="H6" s="464" t="n"/>
      <c r="I6" s="462" t="n"/>
      <c r="J6" s="462" t="n"/>
      <c r="K6" s="462" t="n"/>
      <c r="L6" s="462" t="n"/>
      <c r="M6" s="462" t="n"/>
      <c r="N6" s="462" t="n"/>
      <c r="O6" s="462" t="n"/>
      <c r="P6" s="462" t="n"/>
      <c r="Q6" s="462" t="n"/>
      <c r="R6" s="462" t="n"/>
      <c r="S6" s="462" t="n"/>
      <c r="T6" s="462" t="n"/>
      <c r="U6" s="462" t="n"/>
      <c r="V6" s="462" t="n"/>
      <c r="W6" s="462" t="n"/>
      <c r="X6" s="462" t="n"/>
      <c r="Y6" s="462" t="n"/>
      <c r="Z6" s="462" t="n"/>
      <c r="AA6" s="462" t="n"/>
      <c r="AB6" s="462" t="n"/>
    </row>
    <row r="7" ht="18.75" customHeight="1" s="317">
      <c r="A7" s="337" t="n"/>
      <c r="B7" s="346" t="n"/>
      <c r="C7" s="337" t="n"/>
      <c r="D7" s="337" t="inlineStr">
        <is>
          <t> </t>
        </is>
      </c>
      <c r="E7" s="318" t="n"/>
      <c r="F7" s="337" t="n"/>
      <c r="G7" s="465" t="n"/>
      <c r="H7" s="348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4" customFormat="1" customHeight="1" s="466">
      <c r="A8" s="355" t="n"/>
      <c r="B8" s="467" t="n"/>
      <c r="C8" s="355" t="inlineStr">
        <is>
          <t>Total Initial Investment:</t>
        </is>
      </c>
      <c r="D8" s="355" t="n"/>
      <c r="E8" s="318" t="n"/>
      <c r="F8" s="375" t="n"/>
      <c r="G8" s="402">
        <f>SUM('Financial Inputs'!F8:F15)</f>
        <v/>
      </c>
      <c r="H8" s="468" t="n"/>
      <c r="I8" s="355" t="n"/>
      <c r="J8" s="355" t="n"/>
      <c r="K8" s="355" t="n"/>
      <c r="L8" s="355" t="n"/>
      <c r="M8" s="355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</row>
    <row r="9" ht="12" customHeight="1" s="317">
      <c r="A9" s="337" t="n"/>
      <c r="B9" s="346" t="n"/>
      <c r="C9" s="337" t="n"/>
      <c r="D9" s="337" t="n"/>
      <c r="E9" s="318" t="n"/>
      <c r="F9" s="337" t="n"/>
      <c r="G9" s="337" t="n"/>
      <c r="H9" s="348" t="n"/>
      <c r="I9" s="337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24" customFormat="1" customHeight="1" s="466">
      <c r="A10" s="355" t="n"/>
      <c r="B10" s="467" t="n"/>
      <c r="C10" s="355" t="inlineStr">
        <is>
          <t>Total Annual Profit Increase (Before Income Taxes):</t>
        </is>
      </c>
      <c r="D10" s="355" t="n"/>
      <c r="E10" s="318" t="n"/>
      <c r="F10" s="375" t="n"/>
      <c r="G10" s="402">
        <f>'Savings Summary'!G23</f>
        <v/>
      </c>
      <c r="H10" s="468" t="n"/>
      <c r="I10" s="355" t="n"/>
      <c r="J10" s="355" t="n"/>
      <c r="K10" s="355" t="n"/>
      <c r="L10" s="355" t="n"/>
      <c r="M10" s="355" t="n"/>
      <c r="N10" s="355" t="n"/>
      <c r="O10" s="355" t="n"/>
      <c r="P10" s="355" t="n"/>
      <c r="Q10" s="355" t="n"/>
      <c r="R10" s="355" t="n"/>
      <c r="S10" s="355" t="n"/>
      <c r="T10" s="355" t="n"/>
      <c r="U10" s="355" t="n"/>
      <c r="V10" s="355" t="n"/>
      <c r="W10" s="355" t="n"/>
      <c r="X10" s="355" t="n"/>
      <c r="Y10" s="355" t="n"/>
      <c r="Z10" s="355" t="n"/>
      <c r="AA10" s="355" t="n"/>
      <c r="AB10" s="355" t="n"/>
    </row>
    <row r="11" ht="11.25" customHeight="1" s="317">
      <c r="A11" s="337" t="inlineStr">
        <is>
          <t> </t>
        </is>
      </c>
      <c r="B11" s="346" t="n"/>
      <c r="C11" s="469" t="n"/>
      <c r="D11" s="469" t="n"/>
      <c r="E11" s="318" t="n"/>
      <c r="F11" s="470" t="n"/>
      <c r="G11" s="338" t="n"/>
      <c r="H11" s="348" t="n"/>
      <c r="I11" s="337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7" t="n"/>
    </row>
    <row r="12" ht="24" customFormat="1" customHeight="1" s="466">
      <c r="A12" s="355" t="n"/>
      <c r="B12" s="467" t="n"/>
      <c r="C12" s="355" t="inlineStr">
        <is>
          <t>Weighted Average Cost of Capital / Discount Factor:</t>
        </is>
      </c>
      <c r="D12" s="355" t="n"/>
      <c r="E12" s="318" t="n"/>
      <c r="F12" s="422" t="n"/>
      <c r="G12" s="471">
        <f>'Financial Inputs'!F23</f>
        <v/>
      </c>
      <c r="H12" s="468" t="n"/>
      <c r="I12" s="355" t="n"/>
      <c r="J12" s="355" t="n"/>
      <c r="K12" s="355" t="n"/>
      <c r="L12" s="355" t="n"/>
      <c r="M12" s="355" t="n"/>
      <c r="N12" s="355" t="n"/>
      <c r="O12" s="355" t="n"/>
      <c r="P12" s="355" t="n"/>
      <c r="Q12" s="355" t="n"/>
      <c r="R12" s="355" t="n"/>
      <c r="S12" s="355" t="n"/>
      <c r="T12" s="355" t="n"/>
      <c r="U12" s="355" t="n"/>
      <c r="V12" s="355" t="n"/>
      <c r="W12" s="355" t="n"/>
      <c r="X12" s="355" t="n"/>
      <c r="Y12" s="355" t="n"/>
      <c r="Z12" s="355" t="n"/>
      <c r="AA12" s="355" t="n"/>
      <c r="AB12" s="355" t="n"/>
    </row>
    <row r="13" ht="12" customHeight="1" s="317">
      <c r="A13" s="337" t="n"/>
      <c r="B13" s="346" t="n"/>
      <c r="C13" s="337" t="n"/>
      <c r="D13" s="337" t="inlineStr">
        <is>
          <t> </t>
        </is>
      </c>
      <c r="E13" s="318" t="n"/>
      <c r="F13" s="352" t="n"/>
      <c r="G13" s="337" t="n"/>
      <c r="H13" s="348" t="n"/>
      <c r="I13" s="337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</row>
    <row r="14" ht="24" customFormat="1" customHeight="1" s="466">
      <c r="A14" s="355" t="n"/>
      <c r="B14" s="467" t="n"/>
      <c r="C14" s="355" t="inlineStr">
        <is>
          <t>Corporate Hurdle Rate:</t>
        </is>
      </c>
      <c r="D14" s="355" t="n"/>
      <c r="E14" s="318" t="n"/>
      <c r="F14" s="337" t="n"/>
      <c r="G14" s="472">
        <f>Hurdle_Rate</f>
        <v/>
      </c>
      <c r="H14" s="468" t="n"/>
      <c r="I14" s="355" t="n"/>
      <c r="J14" s="355" t="n"/>
      <c r="K14" s="355" t="n"/>
      <c r="L14" s="355" t="n"/>
      <c r="M14" s="355" t="n"/>
      <c r="N14" s="355" t="n"/>
      <c r="O14" s="355" t="n"/>
      <c r="P14" s="355" t="n"/>
      <c r="Q14" s="355" t="n"/>
      <c r="R14" s="355" t="n"/>
      <c r="S14" s="355" t="n"/>
      <c r="T14" s="355" t="n"/>
      <c r="U14" s="355" t="n"/>
      <c r="V14" s="355" t="n"/>
      <c r="W14" s="355" t="n"/>
      <c r="X14" s="355" t="n"/>
      <c r="Y14" s="355" t="n"/>
      <c r="Z14" s="355" t="n"/>
      <c r="AA14" s="355" t="n"/>
      <c r="AB14" s="355" t="n"/>
    </row>
    <row r="15" ht="12" customHeight="1" s="317">
      <c r="A15" s="337" t="n"/>
      <c r="B15" s="346" t="n"/>
      <c r="C15" s="337" t="n"/>
      <c r="D15" s="337" t="inlineStr">
        <is>
          <t> </t>
        </is>
      </c>
      <c r="E15" s="318" t="n"/>
      <c r="F15" s="337" t="n"/>
      <c r="G15" s="337" t="n"/>
      <c r="H15" s="348" t="n"/>
      <c r="I15" s="337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</row>
    <row r="16" ht="30.75" customFormat="1" customHeight="1" s="466">
      <c r="A16" s="355" t="n"/>
      <c r="B16" s="467" t="n"/>
      <c r="C16" s="355">
        <f>Cap_Eval_Dur</f>
        <v/>
      </c>
      <c r="D16" s="355" t="inlineStr">
        <is>
          <t>Year IRR Generated From Project:</t>
        </is>
      </c>
      <c r="E16" s="318" t="n"/>
      <c r="F16" s="473" t="n"/>
      <c r="G16" s="471">
        <f>'Financial Spreadsheet '!H38</f>
        <v/>
      </c>
      <c r="H16" s="468" t="n"/>
      <c r="I16" s="355" t="n"/>
      <c r="J16" s="355" t="n"/>
      <c r="K16" s="355" t="n"/>
      <c r="L16" s="355" t="n"/>
      <c r="M16" s="355" t="n"/>
      <c r="N16" s="355" t="n"/>
      <c r="O16" s="355" t="n"/>
      <c r="P16" s="355" t="n"/>
      <c r="Q16" s="355" t="n"/>
      <c r="R16" s="355" t="n"/>
      <c r="S16" s="355" t="n"/>
      <c r="T16" s="355" t="n"/>
      <c r="U16" s="355" t="n"/>
      <c r="V16" s="355" t="n"/>
      <c r="W16" s="355" t="n"/>
      <c r="X16" s="355" t="n"/>
      <c r="Y16" s="355" t="n"/>
      <c r="Z16" s="355" t="n"/>
      <c r="AA16" s="355" t="n"/>
      <c r="AB16" s="355" t="n"/>
    </row>
    <row r="17" ht="18.75" customFormat="1" customHeight="1" s="474">
      <c r="A17" s="475" t="n"/>
      <c r="B17" s="476" t="n"/>
      <c r="C17" s="475" t="n"/>
      <c r="D17" s="477" t="inlineStr">
        <is>
          <t>(True Interest Return Generated by the Project)</t>
        </is>
      </c>
      <c r="E17" s="318" t="n"/>
      <c r="F17" s="337" t="n"/>
      <c r="G17" s="475" t="n"/>
      <c r="H17" s="478" t="n"/>
      <c r="I17" s="475" t="n"/>
      <c r="J17" s="475" t="n"/>
      <c r="K17" s="475" t="n"/>
      <c r="L17" s="475" t="n"/>
      <c r="M17" s="475" t="n"/>
      <c r="N17" s="475" t="n"/>
      <c r="O17" s="475" t="n"/>
      <c r="P17" s="475" t="n"/>
      <c r="Q17" s="475" t="n"/>
      <c r="R17" s="475" t="n"/>
      <c r="S17" s="475" t="n"/>
      <c r="T17" s="475" t="n"/>
      <c r="U17" s="475" t="n"/>
      <c r="V17" s="475" t="n"/>
      <c r="W17" s="475" t="n"/>
      <c r="X17" s="475" t="n"/>
      <c r="Y17" s="475" t="n"/>
      <c r="Z17" s="475" t="n"/>
      <c r="AA17" s="475" t="n"/>
      <c r="AB17" s="475" t="n"/>
    </row>
    <row r="18" ht="18.75" customFormat="1" customHeight="1" s="474">
      <c r="A18" s="475" t="n"/>
      <c r="B18" s="476" t="n"/>
      <c r="C18" s="475" t="n"/>
      <c r="D18" s="477" t="inlineStr">
        <is>
          <t>(If IRR &gt; Hurdle Rate, Accept the Project)</t>
        </is>
      </c>
      <c r="E18" s="318" t="n"/>
      <c r="F18" s="337" t="n"/>
      <c r="G18" s="475" t="n"/>
      <c r="H18" s="478" t="n"/>
      <c r="I18" s="475" t="n"/>
      <c r="J18" s="475" t="n"/>
      <c r="K18" s="475" t="n"/>
      <c r="L18" s="475" t="n"/>
      <c r="M18" s="475" t="n"/>
      <c r="N18" s="475" t="n"/>
      <c r="O18" s="475" t="n"/>
      <c r="P18" s="475" t="n"/>
      <c r="Q18" s="475" t="n"/>
      <c r="R18" s="475" t="n"/>
      <c r="S18" s="475" t="n"/>
      <c r="T18" s="475" t="n"/>
      <c r="U18" s="475" t="n"/>
      <c r="V18" s="475" t="n"/>
      <c r="W18" s="475" t="n"/>
      <c r="X18" s="475" t="n"/>
      <c r="Y18" s="475" t="n"/>
      <c r="Z18" s="475" t="n"/>
      <c r="AA18" s="475" t="n"/>
      <c r="AB18" s="475" t="n"/>
    </row>
    <row r="19" ht="18.75" customFormat="1" customHeight="1" s="474">
      <c r="A19" s="475" t="n"/>
      <c r="B19" s="476" t="n"/>
      <c r="C19" s="475" t="n"/>
      <c r="D19" s="477" t="inlineStr">
        <is>
          <t>(If IRR &lt; Hurdle Rate, Reject the Project)</t>
        </is>
      </c>
      <c r="E19" s="318" t="n"/>
      <c r="F19" s="337" t="n"/>
      <c r="G19" s="475" t="inlineStr">
        <is>
          <t> </t>
        </is>
      </c>
      <c r="H19" s="478" t="n"/>
      <c r="I19" s="475" t="n"/>
      <c r="J19" s="475" t="n"/>
      <c r="K19" s="475" t="n"/>
      <c r="L19" s="475" t="n"/>
      <c r="M19" s="475" t="n"/>
      <c r="N19" s="475" t="n"/>
      <c r="O19" s="475" t="n"/>
      <c r="P19" s="475" t="n"/>
      <c r="Q19" s="475" t="n"/>
      <c r="R19" s="475" t="n"/>
      <c r="S19" s="475" t="n"/>
      <c r="T19" s="475" t="n"/>
      <c r="U19" s="475" t="n"/>
      <c r="V19" s="475" t="n"/>
      <c r="W19" s="475" t="n"/>
      <c r="X19" s="475" t="n"/>
      <c r="Y19" s="475" t="n"/>
      <c r="Z19" s="475" t="n"/>
      <c r="AA19" s="475" t="n"/>
      <c r="AB19" s="475" t="n"/>
    </row>
    <row r="20" ht="12" customHeight="1" s="317">
      <c r="A20" s="337" t="inlineStr">
        <is>
          <t> </t>
        </is>
      </c>
      <c r="B20" s="346" t="n"/>
      <c r="C20" s="337" t="n"/>
      <c r="D20" s="337" t="n"/>
      <c r="E20" s="318" t="n"/>
      <c r="F20" s="337" t="n"/>
      <c r="G20" s="337" t="n"/>
      <c r="H20" s="348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  <c r="Z20" s="337" t="n"/>
      <c r="AA20" s="337" t="n"/>
      <c r="AB20" s="337" t="n"/>
    </row>
    <row r="21" ht="24" customFormat="1" customHeight="1" s="466">
      <c r="A21" s="355" t="n"/>
      <c r="B21" s="467" t="n"/>
      <c r="C21" s="355">
        <f>Cap_Eval_Dur</f>
        <v/>
      </c>
      <c r="D21" s="355" t="inlineStr">
        <is>
          <t>Year NPV:</t>
        </is>
      </c>
      <c r="E21" s="318" t="n"/>
      <c r="F21" s="337" t="n"/>
      <c r="G21" s="479">
        <f>'Financial Spreadsheet '!G38</f>
        <v/>
      </c>
      <c r="H21" s="468" t="n"/>
      <c r="I21" s="355" t="n"/>
      <c r="J21" s="355" t="n"/>
      <c r="K21" s="355" t="n"/>
      <c r="L21" s="355" t="n"/>
      <c r="M21" s="355" t="n"/>
      <c r="N21" s="355" t="n"/>
      <c r="O21" s="355" t="n"/>
      <c r="P21" s="355" t="n"/>
      <c r="Q21" s="355" t="n"/>
      <c r="R21" s="355" t="n"/>
      <c r="S21" s="355" t="n"/>
      <c r="T21" s="355" t="n"/>
      <c r="U21" s="355" t="n"/>
      <c r="V21" s="355" t="n"/>
      <c r="W21" s="355" t="n"/>
      <c r="X21" s="355" t="n"/>
      <c r="Y21" s="355" t="n"/>
      <c r="Z21" s="355" t="n"/>
      <c r="AA21" s="355" t="n"/>
      <c r="AB21" s="355" t="n"/>
    </row>
    <row r="22" ht="18.75" customFormat="1" customHeight="1" s="474">
      <c r="A22" s="475" t="n"/>
      <c r="B22" s="476" t="n"/>
      <c r="C22" s="475" t="n"/>
      <c r="D22" s="477" t="inlineStr">
        <is>
          <t>(Present Value of Net Annual Cash Flows)</t>
        </is>
      </c>
      <c r="E22" s="318" t="n"/>
      <c r="F22" s="337" t="n"/>
      <c r="G22" s="475" t="n"/>
      <c r="H22" s="478" t="n"/>
      <c r="I22" s="475" t="n"/>
      <c r="J22" s="475" t="n"/>
      <c r="K22" s="475" t="n"/>
      <c r="L22" s="475" t="n"/>
      <c r="M22" s="475" t="n"/>
      <c r="N22" s="475" t="n"/>
      <c r="O22" s="475" t="n"/>
      <c r="P22" s="475" t="n"/>
      <c r="Q22" s="475" t="n"/>
      <c r="R22" s="475" t="n"/>
      <c r="S22" s="475" t="n"/>
      <c r="T22" s="475" t="n"/>
      <c r="U22" s="475" t="n"/>
      <c r="V22" s="475" t="n"/>
      <c r="W22" s="475" t="n"/>
      <c r="X22" s="475" t="n"/>
      <c r="Y22" s="475" t="n"/>
      <c r="Z22" s="475" t="n"/>
      <c r="AA22" s="475" t="n"/>
      <c r="AB22" s="475" t="n"/>
    </row>
    <row r="23" ht="18.75" customFormat="1" customHeight="1" s="474">
      <c r="A23" s="475" t="inlineStr">
        <is>
          <t> </t>
        </is>
      </c>
      <c r="B23" s="476" t="n"/>
      <c r="C23" s="475" t="n"/>
      <c r="D23" s="477" t="inlineStr">
        <is>
          <t>(IF NPV &gt; $0, Accept the Project)</t>
        </is>
      </c>
      <c r="E23" s="318" t="n"/>
      <c r="F23" s="337" t="n"/>
      <c r="G23" s="475" t="n"/>
      <c r="H23" s="478" t="n"/>
      <c r="I23" s="475" t="n"/>
      <c r="J23" s="475" t="n"/>
      <c r="K23" s="475" t="n"/>
      <c r="L23" s="475" t="n"/>
      <c r="M23" s="475" t="n"/>
      <c r="N23" s="475" t="n"/>
      <c r="O23" s="475" t="n"/>
      <c r="P23" s="475" t="n"/>
      <c r="Q23" s="475" t="n"/>
      <c r="R23" s="475" t="n"/>
      <c r="S23" s="475" t="n"/>
      <c r="T23" s="475" t="n"/>
      <c r="U23" s="475" t="n"/>
      <c r="V23" s="475" t="n"/>
      <c r="W23" s="475" t="n"/>
      <c r="X23" s="475" t="n"/>
      <c r="Y23" s="475" t="n"/>
      <c r="Z23" s="475" t="n"/>
      <c r="AA23" s="475" t="n"/>
      <c r="AB23" s="475" t="n"/>
    </row>
    <row r="24" ht="18.75" customFormat="1" customHeight="1" s="474">
      <c r="A24" s="475" t="n"/>
      <c r="B24" s="476" t="n"/>
      <c r="C24" s="475" t="n"/>
      <c r="D24" s="477" t="inlineStr">
        <is>
          <t>(IF NPV &lt; $0, Reject the Project)</t>
        </is>
      </c>
      <c r="E24" s="318" t="n"/>
      <c r="F24" s="337" t="n"/>
      <c r="G24" s="475" t="n"/>
      <c r="H24" s="478" t="n"/>
      <c r="I24" s="475" t="n"/>
      <c r="J24" s="475" t="n"/>
      <c r="K24" s="475" t="n"/>
      <c r="L24" s="475" t="n"/>
      <c r="M24" s="475" t="n"/>
      <c r="N24" s="475" t="n"/>
      <c r="O24" s="475" t="n"/>
      <c r="P24" s="475" t="n"/>
      <c r="Q24" s="475" t="n"/>
      <c r="R24" s="475" t="n"/>
      <c r="S24" s="475" t="n"/>
      <c r="T24" s="475" t="n"/>
      <c r="U24" s="475" t="n"/>
      <c r="V24" s="475" t="n"/>
      <c r="W24" s="475" t="n"/>
      <c r="X24" s="475" t="n"/>
      <c r="Y24" s="475" t="n"/>
      <c r="Z24" s="475" t="n"/>
      <c r="AA24" s="475" t="n"/>
      <c r="AB24" s="475" t="n"/>
    </row>
    <row r="25" ht="12" customHeight="1" s="317">
      <c r="A25" s="337" t="n"/>
      <c r="B25" s="346" t="n"/>
      <c r="C25" s="337" t="n"/>
      <c r="D25" s="337" t="n"/>
      <c r="E25" s="318" t="n"/>
      <c r="F25" s="337" t="n"/>
      <c r="G25" s="337" t="n"/>
      <c r="H25" s="348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</row>
    <row r="26" ht="24" customFormat="1" customHeight="1" s="466">
      <c r="A26" s="355" t="n"/>
      <c r="B26" s="467" t="n"/>
      <c r="C26" s="355" t="inlineStr">
        <is>
          <t>Payback In Months (Before Income Taxes):</t>
        </is>
      </c>
      <c r="D26" s="355" t="n"/>
      <c r="E26" s="318" t="n"/>
      <c r="F26" s="337" t="n"/>
      <c r="G26" s="480">
        <f>G8/G10*12</f>
        <v/>
      </c>
      <c r="H26" s="468" t="n"/>
      <c r="I26" s="355" t="n"/>
      <c r="J26" s="355" t="n"/>
      <c r="K26" s="355" t="n"/>
      <c r="L26" s="355" t="n"/>
      <c r="M26" s="355" t="n"/>
      <c r="N26" s="355" t="n"/>
      <c r="O26" s="355" t="n"/>
      <c r="P26" s="355" t="n"/>
      <c r="Q26" s="355" t="n"/>
      <c r="R26" s="355" t="n"/>
      <c r="S26" s="355" t="n"/>
      <c r="T26" s="355" t="n"/>
      <c r="U26" s="355" t="n"/>
      <c r="V26" s="355" t="n"/>
      <c r="W26" s="355" t="n"/>
      <c r="X26" s="355" t="n"/>
      <c r="Y26" s="355" t="n"/>
      <c r="Z26" s="355" t="n"/>
      <c r="AA26" s="355" t="n"/>
      <c r="AB26" s="355" t="n"/>
    </row>
    <row r="27" ht="18.75" customHeight="1" s="317">
      <c r="A27" s="337" t="n"/>
      <c r="B27" s="369" t="n"/>
      <c r="C27" s="370" t="n"/>
      <c r="D27" s="370" t="n"/>
      <c r="E27" s="370" t="n"/>
      <c r="F27" s="370" t="n"/>
      <c r="G27" s="370" t="n"/>
      <c r="H27" s="371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18" customHeight="1" s="317">
      <c r="A28" s="337" t="n"/>
      <c r="B28" s="337" t="n"/>
      <c r="C28" s="337" t="n"/>
      <c r="D28" s="337" t="n"/>
      <c r="E28" s="337" t="n"/>
      <c r="F28" s="337" t="n"/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18" customHeight="1" s="317">
      <c r="A29" s="337" t="n"/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</row>
    <row r="30" ht="18" customHeight="1" s="317">
      <c r="A30" s="337" t="n"/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</row>
    <row r="31" ht="18" customHeight="1" s="317">
      <c r="A31" s="337" t="n"/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</row>
    <row r="32" ht="18" customHeight="1" s="317">
      <c r="A32" s="337" t="n"/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8" customHeight="1" s="317">
      <c r="A33" s="337" t="n"/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8" customHeight="1" s="317">
      <c r="A34" s="337" t="n"/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8" customHeight="1" s="317">
      <c r="A35" s="337" t="n"/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18" customHeight="1" s="317">
      <c r="A36" s="337" t="n"/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18" customHeight="1" s="317">
      <c r="A37" s="337" t="n"/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18" customHeight="1" s="317">
      <c r="A38" s="337" t="n"/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18" customHeight="1" s="317">
      <c r="A39" s="337" t="n"/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</row>
    <row r="40" ht="18" customHeight="1" s="317">
      <c r="A40" s="337" t="n"/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18" customHeight="1" s="317">
      <c r="A41" s="337" t="n"/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</row>
    <row r="42" ht="18" customHeight="1" s="317">
      <c r="A42" s="337" t="n"/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8" customHeight="1" s="317">
      <c r="A43" s="337" t="n"/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" customHeight="1" s="317">
      <c r="A44" s="337" t="n"/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" customHeight="1" s="317">
      <c r="A45" s="337" t="n"/>
      <c r="B45" s="337" t="n"/>
      <c r="C45" s="337" t="n"/>
      <c r="D45" s="337" t="n"/>
      <c r="E45" s="337" t="n"/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" customHeight="1" s="317">
      <c r="A46" s="337" t="n"/>
      <c r="B46" s="337" t="n"/>
      <c r="C46" s="337" t="n"/>
      <c r="D46" s="337" t="n"/>
      <c r="E46" s="337" t="n"/>
      <c r="F46" s="337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56" ht="18" customHeight="1" s="317">
      <c r="G56" s="481" t="n"/>
    </row>
  </sheetData>
  <mergeCells count="2">
    <mergeCell ref="A1:I1"/>
    <mergeCell ref="C6:G6"/>
  </mergeCells>
  <printOptions horizontalCentered="1" verticalCentered="0" headings="0" gridLines="0" gridLinesSet="1"/>
  <pageMargins left="0.5" right="0.5" top="0.9840277777777779" bottom="0.75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#10xxxx_x000a_ &amp;C&amp;"Times New Roman,Italic"&amp;8T&amp;10he information contained herein is proprietary and confidential, and should not be shared outside "nickname"&amp;10 Page 8 of 9_x000a_&amp;R&amp;"Arial,Bold"&amp;10 &amp;D - &amp;T_x000a_ 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G140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0" ySplit="1" topLeftCell="BM2" activePane="bottomLeft" state="frozen"/>
      <selection pane="topLeft" activeCell="A1" activeCellId="0" sqref="A1"/>
      <selection pane="bottomLeft" activeCell="C24" activeCellId="0" sqref="C24"/>
    </sheetView>
  </sheetViews>
  <sheetFormatPr baseColWidth="8" defaultColWidth="8.87890625" defaultRowHeight="12" zeroHeight="0" outlineLevelRow="0"/>
  <cols>
    <col width="2.77" customWidth="1" style="482" min="1" max="2"/>
    <col width="28.99" customWidth="1" style="482" min="3" max="3"/>
    <col width="7.22" customWidth="1" style="482" min="4" max="4"/>
    <col width="11.77" customWidth="1" style="482" min="5" max="12"/>
    <col width="2.77" customWidth="1" style="482" min="13" max="14"/>
    <col width="8.880000000000001" customWidth="1" style="482" min="15" max="257"/>
  </cols>
  <sheetData>
    <row r="1" ht="24" customHeight="1" s="317">
      <c r="A1" s="441" t="inlineStr">
        <is>
          <t>DO NOT CHANGE ANY VALUES OR ENTER ANY DATA ON THIS SHEET!!!!!!!!!!!!!!!!!!!!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1" t="n"/>
      <c r="L1" s="341" t="n"/>
      <c r="M1" s="341" t="n"/>
      <c r="N1" s="342" t="n"/>
      <c r="O1" s="483" t="n"/>
      <c r="P1" s="483" t="n"/>
      <c r="Q1" s="483" t="n"/>
      <c r="R1" s="483" t="n"/>
      <c r="S1" s="483" t="n"/>
      <c r="T1" s="483" t="n"/>
      <c r="U1" s="483" t="n"/>
      <c r="V1" s="483" t="n"/>
      <c r="W1" s="483" t="n"/>
      <c r="X1" s="483" t="n"/>
      <c r="Y1" s="483" t="n"/>
      <c r="Z1" s="483" t="n"/>
      <c r="AA1" s="483" t="n"/>
      <c r="AB1" s="483" t="n"/>
    </row>
    <row r="2" ht="12.75" customHeight="1" s="317">
      <c r="A2" s="483" t="n"/>
      <c r="B2" s="483" t="n"/>
      <c r="C2" s="483" t="n"/>
      <c r="D2" s="483" t="n"/>
      <c r="E2" s="483" t="n"/>
      <c r="F2" s="483" t="n"/>
      <c r="G2" s="483" t="n"/>
      <c r="H2" s="483" t="n"/>
      <c r="I2" s="483" t="n"/>
      <c r="J2" s="483" t="n"/>
      <c r="K2" s="483" t="n"/>
      <c r="L2" s="483" t="n"/>
      <c r="M2" s="483" t="n"/>
      <c r="N2" s="483" t="n"/>
      <c r="O2" s="483" t="n"/>
      <c r="P2" s="483" t="n"/>
      <c r="Q2" s="483" t="n"/>
      <c r="R2" s="483" t="n"/>
      <c r="S2" s="483" t="n"/>
      <c r="T2" s="483" t="n"/>
      <c r="U2" s="483" t="n"/>
      <c r="V2" s="483" t="n"/>
      <c r="W2" s="483" t="n"/>
      <c r="X2" s="483" t="n"/>
      <c r="Y2" s="483" t="n"/>
      <c r="Z2" s="483" t="n"/>
      <c r="AA2" s="483" t="n"/>
      <c r="AB2" s="483" t="n"/>
    </row>
    <row r="3" ht="12" customHeight="1" s="317">
      <c r="A3" s="483" t="n"/>
      <c r="B3" s="484" t="n"/>
      <c r="C3" s="485" t="n"/>
      <c r="D3" s="485" t="n"/>
      <c r="E3" s="485" t="n"/>
      <c r="F3" s="485" t="n"/>
      <c r="G3" s="485" t="n"/>
      <c r="H3" s="485" t="n"/>
      <c r="I3" s="485" t="n"/>
      <c r="J3" s="485" t="n"/>
      <c r="K3" s="485" t="n"/>
      <c r="L3" s="485" t="n"/>
      <c r="M3" s="486" t="n"/>
      <c r="N3" s="483" t="n"/>
      <c r="O3" s="483" t="n"/>
      <c r="P3" s="483" t="n"/>
      <c r="Q3" s="483" t="n"/>
      <c r="R3" s="483" t="n"/>
      <c r="S3" s="483" t="n"/>
      <c r="T3" s="483" t="n"/>
      <c r="U3" s="483" t="n"/>
      <c r="V3" s="483" t="n"/>
      <c r="W3" s="483" t="n"/>
      <c r="X3" s="483" t="n"/>
      <c r="Y3" s="483" t="n"/>
      <c r="Z3" s="483" t="n"/>
      <c r="AA3" s="483" t="n"/>
      <c r="AB3" s="483" t="n"/>
    </row>
    <row r="4" ht="18.75" customFormat="1" customHeight="1" s="482">
      <c r="A4" s="483" t="n"/>
      <c r="B4" s="487" t="n"/>
      <c r="C4" s="347" t="inlineStr">
        <is>
          <t>Insert Customer Logo</t>
        </is>
      </c>
      <c r="D4" s="483" t="n"/>
      <c r="E4" s="483" t="n"/>
      <c r="F4" s="483" t="n"/>
      <c r="G4" s="483" t="n"/>
      <c r="H4" s="483" t="n"/>
      <c r="I4" s="483" t="n"/>
      <c r="J4" s="483" t="n"/>
      <c r="K4" s="483" t="n"/>
      <c r="L4" s="483" t="n"/>
      <c r="M4" s="488" t="n"/>
      <c r="N4" s="483" t="n"/>
      <c r="O4" s="483" t="n"/>
      <c r="P4" s="483" t="n"/>
      <c r="Q4" s="483" t="n"/>
      <c r="R4" s="483" t="n"/>
      <c r="S4" s="483" t="n"/>
      <c r="T4" s="483" t="n"/>
      <c r="U4" s="483" t="n"/>
      <c r="V4" s="483" t="n"/>
      <c r="W4" s="483" t="n"/>
      <c r="X4" s="483" t="n"/>
      <c r="Y4" s="483" t="n"/>
      <c r="Z4" s="483" t="n"/>
      <c r="AA4" s="483" t="n"/>
      <c r="AB4" s="483" t="n"/>
    </row>
    <row r="5" ht="18.75" customFormat="1" customHeight="1" s="489">
      <c r="A5" s="490" t="n"/>
      <c r="B5" s="491" t="n"/>
      <c r="C5" s="347" t="inlineStr">
        <is>
          <t>In This Area</t>
        </is>
      </c>
      <c r="D5" s="490" t="n"/>
      <c r="E5" s="490" t="n"/>
      <c r="F5" s="490" t="n"/>
      <c r="G5" s="490" t="n"/>
      <c r="H5" s="490" t="n"/>
      <c r="I5" s="490" t="n"/>
      <c r="J5" s="490" t="n"/>
      <c r="K5" s="490" t="n"/>
      <c r="L5" s="490" t="n"/>
      <c r="M5" s="492" t="n"/>
      <c r="N5" s="490" t="n"/>
      <c r="O5" s="490" t="n"/>
      <c r="P5" s="490" t="n"/>
      <c r="Q5" s="490" t="n"/>
      <c r="R5" s="490" t="n"/>
      <c r="S5" s="490" t="n"/>
      <c r="T5" s="490" t="n"/>
      <c r="U5" s="490" t="n"/>
      <c r="V5" s="490" t="n"/>
      <c r="W5" s="490" t="n"/>
      <c r="X5" s="490" t="n"/>
      <c r="Y5" s="490" t="n"/>
      <c r="Z5" s="490" t="n"/>
      <c r="AA5" s="490" t="n"/>
      <c r="AB5" s="490" t="n"/>
    </row>
    <row r="6" ht="27" customFormat="1" customHeight="1" s="493">
      <c r="A6" s="494" t="n"/>
      <c r="B6" s="495" t="n"/>
      <c r="C6" s="496" t="n"/>
      <c r="M6" s="497" t="n"/>
      <c r="N6" s="494" t="n"/>
      <c r="O6" s="494" t="n"/>
      <c r="P6" s="494" t="n"/>
      <c r="Q6" s="494" t="n"/>
      <c r="R6" s="494" t="n"/>
      <c r="S6" s="494" t="n"/>
      <c r="T6" s="494" t="n"/>
      <c r="U6" s="494" t="n"/>
      <c r="V6" s="494" t="n"/>
      <c r="W6" s="494" t="n"/>
      <c r="X6" s="494" t="n"/>
      <c r="Y6" s="494" t="n"/>
      <c r="Z6" s="494" t="n"/>
      <c r="AA6" s="494" t="n"/>
      <c r="AB6" s="494" t="n"/>
    </row>
    <row r="7" ht="6" customHeight="1" s="317">
      <c r="A7" s="483" t="n"/>
      <c r="B7" s="487" t="n"/>
      <c r="C7" s="498" t="inlineStr">
        <is>
          <t> </t>
        </is>
      </c>
      <c r="D7" s="498" t="n"/>
      <c r="E7" s="498" t="n"/>
      <c r="F7" s="483" t="inlineStr">
        <is>
          <t> </t>
        </is>
      </c>
      <c r="G7" s="483" t="n"/>
      <c r="H7" s="483" t="n"/>
      <c r="I7" s="483" t="inlineStr">
        <is>
          <t> </t>
        </is>
      </c>
      <c r="J7" s="483" t="inlineStr">
        <is>
          <t> </t>
        </is>
      </c>
      <c r="K7" s="483" t="n"/>
      <c r="L7" s="483" t="n"/>
      <c r="M7" s="488" t="n"/>
      <c r="N7" s="483" t="n"/>
      <c r="O7" s="483" t="n"/>
      <c r="P7" s="483" t="n"/>
      <c r="Q7" s="483" t="n"/>
      <c r="R7" s="483" t="n"/>
      <c r="S7" s="483" t="n"/>
      <c r="T7" s="483" t="n"/>
      <c r="U7" s="483" t="n"/>
      <c r="V7" s="483" t="n"/>
      <c r="W7" s="483" t="n"/>
      <c r="X7" s="483" t="n"/>
      <c r="Y7" s="483" t="n"/>
      <c r="Z7" s="483" t="n"/>
      <c r="AA7" s="483" t="n"/>
      <c r="AB7" s="483" t="n"/>
    </row>
    <row r="8" ht="18.75" customHeight="1" s="317">
      <c r="A8" s="483" t="n"/>
      <c r="B8" s="487" t="n"/>
      <c r="C8" s="499" t="inlineStr">
        <is>
          <t> </t>
        </is>
      </c>
      <c r="D8" s="500" t="inlineStr">
        <is>
          <t>Today (Year 0)</t>
        </is>
      </c>
      <c r="F8" s="500" t="inlineStr">
        <is>
          <t>Year 1</t>
        </is>
      </c>
      <c r="G8" s="500" t="inlineStr">
        <is>
          <t>Year 2</t>
        </is>
      </c>
      <c r="H8" s="500" t="inlineStr">
        <is>
          <t>Year 3</t>
        </is>
      </c>
      <c r="I8" s="500" t="inlineStr">
        <is>
          <t>Year 4</t>
        </is>
      </c>
      <c r="J8" s="500" t="inlineStr">
        <is>
          <t>Year 5</t>
        </is>
      </c>
      <c r="K8" s="500" t="inlineStr">
        <is>
          <t>Year 6</t>
        </is>
      </c>
      <c r="L8" s="500" t="inlineStr">
        <is>
          <t>Year 7</t>
        </is>
      </c>
      <c r="M8" s="488" t="n"/>
      <c r="N8" s="483" t="n"/>
      <c r="O8" s="483" t="n"/>
      <c r="P8" s="483" t="n"/>
      <c r="Q8" s="483" t="n"/>
      <c r="R8" s="483" t="n"/>
      <c r="S8" s="483" t="n"/>
      <c r="T8" s="483" t="n"/>
      <c r="U8" s="483" t="n"/>
      <c r="V8" s="483" t="n"/>
      <c r="W8" s="483" t="n"/>
      <c r="X8" s="483" t="n"/>
      <c r="Y8" s="483" t="n"/>
      <c r="Z8" s="483" t="n"/>
      <c r="AA8" s="483" t="n"/>
      <c r="AB8" s="483" t="n"/>
    </row>
    <row r="9" ht="6" customHeight="1" s="317">
      <c r="A9" s="483" t="n"/>
      <c r="B9" s="487" t="n"/>
      <c r="C9" s="499" t="inlineStr">
        <is>
          <t> </t>
        </is>
      </c>
      <c r="D9" s="499" t="n"/>
      <c r="E9" s="499" t="n"/>
      <c r="F9" s="501" t="inlineStr">
        <is>
          <t> </t>
        </is>
      </c>
      <c r="G9" s="501" t="n"/>
      <c r="H9" s="501" t="n"/>
      <c r="I9" s="499" t="n"/>
      <c r="J9" s="499" t="n"/>
      <c r="K9" s="499" t="n"/>
      <c r="L9" s="499" t="n"/>
      <c r="M9" s="488" t="n"/>
      <c r="N9" s="483" t="n"/>
      <c r="O9" s="483" t="n"/>
      <c r="P9" s="483" t="n"/>
      <c r="Q9" s="483" t="n"/>
      <c r="R9" s="483" t="n"/>
      <c r="S9" s="483" t="n"/>
      <c r="T9" s="483" t="n"/>
      <c r="U9" s="483" t="n"/>
      <c r="V9" s="483" t="n"/>
      <c r="W9" s="483" t="n"/>
      <c r="X9" s="483" t="n"/>
      <c r="Y9" s="483" t="n"/>
      <c r="Z9" s="483" t="n"/>
      <c r="AA9" s="483" t="n"/>
      <c r="AB9" s="483" t="n"/>
    </row>
    <row r="10" ht="16.5" customHeight="1" s="317">
      <c r="A10" s="483" t="n"/>
      <c r="B10" s="487" t="n"/>
      <c r="C10" s="502" t="inlineStr">
        <is>
          <t xml:space="preserve"> 5 Year (-)</t>
        </is>
      </c>
      <c r="D10" s="499" t="n"/>
      <c r="E10" s="503">
        <f>IF(Cap_Eval_Dur=5,-Total_Investment,IF(Cap_Eval_Dur&lt;&gt;7,"Invalid Value",0))</f>
        <v/>
      </c>
      <c r="F10" s="504" t="n">
        <v>0</v>
      </c>
      <c r="G10" s="505" t="n"/>
      <c r="H10" s="504" t="n"/>
      <c r="I10" s="504" t="n"/>
      <c r="J10" s="504" t="n"/>
      <c r="K10" s="504" t="n"/>
      <c r="L10" s="504" t="n"/>
      <c r="M10" s="488" t="n"/>
      <c r="N10" s="483" t="n"/>
      <c r="O10" s="483" t="n"/>
      <c r="P10" s="483" t="n"/>
      <c r="Q10" s="483" t="n"/>
      <c r="R10" s="483" t="n"/>
      <c r="S10" s="483" t="n"/>
      <c r="T10" s="483" t="n"/>
      <c r="U10" s="483" t="n"/>
      <c r="V10" s="483" t="n"/>
      <c r="W10" s="483" t="n"/>
      <c r="X10" s="483" t="n"/>
      <c r="Y10" s="483" t="n"/>
      <c r="Z10" s="483" t="n"/>
      <c r="AA10" s="483" t="n"/>
      <c r="AB10" s="483" t="n"/>
    </row>
    <row r="11" ht="16.5" customHeight="1" s="317">
      <c r="A11" s="483" t="n"/>
      <c r="B11" s="487" t="n"/>
      <c r="C11" s="506" t="inlineStr">
        <is>
          <t xml:space="preserve"> 7 Year (-)</t>
        </is>
      </c>
      <c r="D11" s="507" t="n"/>
      <c r="E11" s="508">
        <f>IF(Cap_Eval_Dur=7,-Total_Investment,IF(Cap_Eval_Dur&lt;&gt;5,"Invalid Value",0))</f>
        <v/>
      </c>
      <c r="F11" s="509" t="n">
        <v>0</v>
      </c>
      <c r="G11" s="510" t="n"/>
      <c r="H11" s="509" t="n"/>
      <c r="I11" s="509" t="n"/>
      <c r="J11" s="509" t="n"/>
      <c r="K11" s="509" t="n"/>
      <c r="L11" s="509" t="n"/>
      <c r="M11" s="488" t="n"/>
      <c r="N11" s="483" t="n"/>
      <c r="O11" s="483" t="n"/>
      <c r="P11" s="483" t="n"/>
      <c r="Q11" s="483" t="n"/>
      <c r="R11" s="483" t="n"/>
      <c r="S11" s="483" t="n"/>
      <c r="T11" s="483" t="n"/>
      <c r="U11" s="483" t="n"/>
      <c r="V11" s="483" t="n"/>
      <c r="W11" s="483" t="n"/>
      <c r="X11" s="483" t="n"/>
      <c r="Y11" s="483" t="n"/>
      <c r="Z11" s="483" t="n"/>
      <c r="AA11" s="483" t="n"/>
      <c r="AB11" s="483" t="n"/>
    </row>
    <row r="12" ht="16.5" customHeight="1" s="317">
      <c r="A12" s="483" t="n"/>
      <c r="B12" s="487" t="n"/>
      <c r="C12" s="511" t="inlineStr">
        <is>
          <t>Total Equipment Investment</t>
        </is>
      </c>
      <c r="D12" s="512" t="n"/>
      <c r="E12" s="513">
        <f>SUM(E10:E11)</f>
        <v/>
      </c>
      <c r="F12" s="513">
        <f>SUM(F10:F11)</f>
        <v/>
      </c>
      <c r="G12" s="513">
        <f>SUM(G10:G11)</f>
        <v/>
      </c>
      <c r="H12" s="513">
        <f>SUM(H10:H11)</f>
        <v/>
      </c>
      <c r="I12" s="513">
        <f>SUM(I10:I11)</f>
        <v/>
      </c>
      <c r="J12" s="513">
        <f>SUM(J10:J11)</f>
        <v/>
      </c>
      <c r="K12" s="513">
        <f>SUM(K10:K11)</f>
        <v/>
      </c>
      <c r="L12" s="513">
        <f>SUM(L10:L11)</f>
        <v/>
      </c>
      <c r="M12" s="488" t="n"/>
      <c r="N12" s="483" t="n"/>
      <c r="O12" s="483" t="n"/>
      <c r="P12" s="483" t="n"/>
      <c r="Q12" s="483" t="n"/>
      <c r="R12" s="483" t="n"/>
      <c r="S12" s="483" t="n"/>
      <c r="T12" s="483" t="n"/>
      <c r="U12" s="483" t="n"/>
      <c r="V12" s="483" t="n"/>
      <c r="W12" s="483" t="n"/>
      <c r="X12" s="483" t="n"/>
      <c r="Y12" s="483" t="n"/>
      <c r="Z12" s="483" t="n"/>
      <c r="AA12" s="483" t="n"/>
      <c r="AB12" s="483" t="n"/>
    </row>
    <row r="13" ht="6" customHeight="1" s="317">
      <c r="A13" s="483" t="n"/>
      <c r="B13" s="487" t="n"/>
      <c r="C13" s="499" t="inlineStr">
        <is>
          <t> </t>
        </is>
      </c>
      <c r="D13" s="499" t="n"/>
      <c r="E13" s="504" t="n"/>
      <c r="F13" s="504" t="n"/>
      <c r="G13" s="504" t="n"/>
      <c r="H13" s="504" t="inlineStr">
        <is>
          <t> </t>
        </is>
      </c>
      <c r="I13" s="504" t="inlineStr">
        <is>
          <t> </t>
        </is>
      </c>
      <c r="J13" s="504" t="n"/>
      <c r="K13" s="504" t="inlineStr">
        <is>
          <t> </t>
        </is>
      </c>
      <c r="L13" s="504" t="n"/>
      <c r="M13" s="488" t="n"/>
      <c r="N13" s="483" t="n"/>
      <c r="O13" s="483" t="n"/>
      <c r="P13" s="483" t="n"/>
      <c r="Q13" s="483" t="n"/>
      <c r="R13" s="483" t="n"/>
      <c r="S13" s="483" t="n"/>
      <c r="T13" s="483" t="n"/>
      <c r="U13" s="483" t="n"/>
      <c r="V13" s="483" t="n"/>
      <c r="W13" s="483" t="n"/>
      <c r="X13" s="483" t="n"/>
      <c r="Y13" s="483" t="n"/>
      <c r="Z13" s="483" t="n"/>
      <c r="AA13" s="483" t="n"/>
      <c r="AB13" s="483" t="n"/>
    </row>
    <row r="14" ht="16.5" customFormat="1" customHeight="1" s="514">
      <c r="A14" s="515" t="n"/>
      <c r="B14" s="516" t="n"/>
      <c r="C14" s="517" t="inlineStr">
        <is>
          <t>Cash Flow Data:</t>
        </is>
      </c>
      <c r="D14" s="517" t="inlineStr">
        <is>
          <t> </t>
        </is>
      </c>
      <c r="E14" s="518" t="n"/>
      <c r="F14" s="518" t="inlineStr">
        <is>
          <t> </t>
        </is>
      </c>
      <c r="G14" s="518" t="inlineStr">
        <is>
          <t> </t>
        </is>
      </c>
      <c r="H14" s="518" t="n"/>
      <c r="I14" s="518" t="inlineStr">
        <is>
          <t> </t>
        </is>
      </c>
      <c r="J14" s="518" t="n"/>
      <c r="K14" s="518" t="n"/>
      <c r="L14" s="518" t="n"/>
      <c r="M14" s="519" t="n"/>
      <c r="N14" s="515" t="n"/>
      <c r="O14" s="515" t="n"/>
      <c r="P14" s="515" t="n"/>
      <c r="Q14" s="515" t="n"/>
      <c r="R14" s="515" t="n"/>
      <c r="S14" s="515" t="n"/>
      <c r="T14" s="515" t="n"/>
      <c r="U14" s="515" t="n"/>
      <c r="V14" s="515" t="n"/>
      <c r="W14" s="515" t="n"/>
      <c r="X14" s="515" t="n"/>
      <c r="Y14" s="515" t="n"/>
      <c r="Z14" s="515" t="n"/>
      <c r="AA14" s="515" t="n"/>
      <c r="AB14" s="515" t="n"/>
    </row>
    <row r="15" ht="16.5" customHeight="1" s="317">
      <c r="A15" s="483" t="n"/>
      <c r="B15" s="487" t="n"/>
      <c r="C15" s="502" t="inlineStr">
        <is>
          <t>Operator Labor Savings</t>
        </is>
      </c>
      <c r="D15" s="499" t="inlineStr">
        <is>
          <t>   </t>
        </is>
      </c>
      <c r="E15" s="504" t="n"/>
      <c r="F15" s="504">
        <f>Ann_Lab_Sav</f>
        <v/>
      </c>
      <c r="G15" s="504">
        <f>Ann_Lab_Sav</f>
        <v/>
      </c>
      <c r="H15" s="504">
        <f>Ann_Lab_Sav</f>
        <v/>
      </c>
      <c r="I15" s="504">
        <f>Ann_Lab_Sav</f>
        <v/>
      </c>
      <c r="J15" s="504">
        <f>Ann_Lab_Sav</f>
        <v/>
      </c>
      <c r="K15" s="504">
        <f>Ann_Lab_Sav</f>
        <v/>
      </c>
      <c r="L15" s="504">
        <f>Ann_Lab_Sav</f>
        <v/>
      </c>
      <c r="M15" s="488" t="n"/>
      <c r="N15" s="483" t="n"/>
      <c r="O15" s="483" t="n"/>
      <c r="P15" s="483" t="n"/>
      <c r="Q15" s="483" t="n"/>
      <c r="R15" s="483" t="n"/>
      <c r="S15" s="483" t="n"/>
      <c r="T15" s="483" t="n"/>
      <c r="U15" s="483" t="n"/>
      <c r="V15" s="483" t="n"/>
      <c r="W15" s="483" t="n"/>
      <c r="X15" s="483" t="n"/>
      <c r="Y15" s="483" t="n"/>
      <c r="Z15" s="483" t="n"/>
      <c r="AA15" s="483" t="n"/>
      <c r="AB15" s="483" t="n"/>
    </row>
    <row r="16" ht="16.5" customHeight="1" s="317">
      <c r="A16" s="483" t="n"/>
      <c r="B16" s="487" t="n"/>
      <c r="C16" s="502" t="inlineStr">
        <is>
          <t>Annual lost time and disability savings</t>
        </is>
      </c>
      <c r="D16" s="499" t="n"/>
      <c r="E16" s="504" t="n"/>
      <c r="F16" s="520">
        <f>Disability_Savings</f>
        <v/>
      </c>
      <c r="G16" s="520">
        <f>Disability_Savings</f>
        <v/>
      </c>
      <c r="H16" s="520">
        <f>Disability_Savings</f>
        <v/>
      </c>
      <c r="I16" s="520">
        <f>Disability_Savings</f>
        <v/>
      </c>
      <c r="J16" s="520">
        <f>Disability_Savings</f>
        <v/>
      </c>
      <c r="K16" s="520">
        <f>Disability_Savings</f>
        <v/>
      </c>
      <c r="L16" s="520">
        <f>Disability_Savings</f>
        <v/>
      </c>
      <c r="M16" s="488" t="n"/>
      <c r="N16" s="483" t="n"/>
      <c r="O16" s="483" t="n"/>
      <c r="P16" s="483" t="n"/>
      <c r="Q16" s="483" t="n"/>
      <c r="R16" s="483" t="n"/>
      <c r="S16" s="483" t="n"/>
      <c r="T16" s="483" t="n"/>
      <c r="U16" s="483" t="n"/>
      <c r="V16" s="483" t="n"/>
      <c r="W16" s="483" t="n"/>
      <c r="X16" s="483" t="n"/>
      <c r="Y16" s="483" t="n"/>
      <c r="Z16" s="483" t="n"/>
      <c r="AA16" s="483" t="n"/>
      <c r="AB16" s="483" t="n"/>
    </row>
    <row r="17" ht="16.5" customHeight="1" s="317">
      <c r="A17" s="483" t="n"/>
      <c r="B17" s="487" t="n"/>
      <c r="C17" s="502" t="inlineStr">
        <is>
          <t>Workers Comp Premiums</t>
        </is>
      </c>
      <c r="D17" s="499" t="n"/>
      <c r="E17" s="504" t="n"/>
      <c r="F17" s="520">
        <f>1.3*Ann_Lab_Sav/100</f>
        <v/>
      </c>
      <c r="G17" s="520">
        <f>1.3*Ann_Lab_Sav/100</f>
        <v/>
      </c>
      <c r="H17" s="520">
        <f>1.3*Ann_Lab_Sav/100</f>
        <v/>
      </c>
      <c r="I17" s="520">
        <f>1.3*Ann_Lab_Sav/100</f>
        <v/>
      </c>
      <c r="J17" s="520">
        <f>1.3*Ann_Lab_Sav/100</f>
        <v/>
      </c>
      <c r="K17" s="520">
        <f>1.3*Ann_Lab_Sav/100</f>
        <v/>
      </c>
      <c r="L17" s="520">
        <f>1.3*Ann_Lab_Sav/100</f>
        <v/>
      </c>
      <c r="M17" s="488" t="n"/>
      <c r="N17" s="483" t="n"/>
      <c r="O17" s="483" t="n"/>
      <c r="P17" s="483" t="n"/>
      <c r="Q17" s="483" t="n"/>
      <c r="R17" s="483" t="n"/>
      <c r="S17" s="483" t="n"/>
      <c r="T17" s="483" t="n"/>
      <c r="U17" s="483" t="n"/>
      <c r="V17" s="483" t="n"/>
      <c r="W17" s="483" t="n"/>
      <c r="X17" s="483" t="n"/>
      <c r="Y17" s="483" t="n"/>
      <c r="Z17" s="483" t="n"/>
      <c r="AA17" s="483" t="n"/>
      <c r="AB17" s="483" t="n"/>
    </row>
    <row r="18" ht="16.5" customHeight="1" s="317">
      <c r="A18" s="483" t="n"/>
      <c r="B18" s="487" t="n"/>
      <c r="C18" s="502" t="inlineStr">
        <is>
          <t>System Preventive Maintenance</t>
        </is>
      </c>
      <c r="D18" s="499" t="n"/>
      <c r="E18" s="504" t="n"/>
      <c r="F18" s="520">
        <f>PM_Lab_Savings</f>
        <v/>
      </c>
      <c r="G18" s="520">
        <f>PM_Lab_Savings</f>
        <v/>
      </c>
      <c r="H18" s="520">
        <f>PM_Lab_Savings</f>
        <v/>
      </c>
      <c r="I18" s="520">
        <f>PM_Lab_Savings</f>
        <v/>
      </c>
      <c r="J18" s="520">
        <f>PM_Lab_Savings</f>
        <v/>
      </c>
      <c r="K18" s="520">
        <f>PM_Lab_Savings</f>
        <v/>
      </c>
      <c r="L18" s="520">
        <f>PM_Lab_Savings</f>
        <v/>
      </c>
      <c r="M18" s="488" t="n"/>
      <c r="N18" s="483" t="n"/>
      <c r="O18" s="483" t="n"/>
      <c r="P18" s="483" t="n"/>
      <c r="Q18" s="483" t="n"/>
      <c r="R18" s="483" t="n"/>
      <c r="S18" s="483" t="n"/>
      <c r="T18" s="483" t="n"/>
      <c r="U18" s="483" t="n"/>
      <c r="V18" s="483" t="n"/>
      <c r="W18" s="483" t="n"/>
      <c r="X18" s="483" t="n"/>
      <c r="Y18" s="483" t="n"/>
      <c r="Z18" s="483" t="n"/>
      <c r="AA18" s="483" t="n"/>
      <c r="AB18" s="483" t="n"/>
    </row>
    <row r="19" ht="16.5" customHeight="1" s="317">
      <c r="A19" s="483" t="n"/>
      <c r="B19" s="487" t="n"/>
      <c r="C19" s="502" t="inlineStr">
        <is>
          <t>Increased Annual Revenue (Production Increase)</t>
        </is>
      </c>
      <c r="D19" s="499" t="n"/>
      <c r="E19" s="504" t="n"/>
      <c r="F19" s="504">
        <f>Inc_Ann_Rev</f>
        <v/>
      </c>
      <c r="G19" s="504">
        <f>Inc_Ann_Rev</f>
        <v/>
      </c>
      <c r="H19" s="504">
        <f>Inc_Ann_Rev</f>
        <v/>
      </c>
      <c r="I19" s="504">
        <f>Inc_Ann_Rev</f>
        <v/>
      </c>
      <c r="J19" s="504">
        <f>Inc_Ann_Rev</f>
        <v/>
      </c>
      <c r="K19" s="504">
        <f>Inc_Ann_Rev</f>
        <v/>
      </c>
      <c r="L19" s="504">
        <f>Inc_Ann_Rev</f>
        <v/>
      </c>
      <c r="M19" s="488" t="n"/>
      <c r="N19" s="483" t="n"/>
      <c r="O19" s="483" t="n"/>
      <c r="P19" s="483" t="n"/>
      <c r="Q19" s="483" t="n"/>
      <c r="R19" s="483" t="n"/>
      <c r="S19" s="483" t="n"/>
      <c r="T19" s="483" t="n"/>
      <c r="U19" s="483" t="n"/>
      <c r="V19" s="483" t="n"/>
      <c r="W19" s="483" t="n"/>
      <c r="X19" s="483" t="n"/>
      <c r="Y19" s="483" t="n"/>
      <c r="Z19" s="483" t="n"/>
      <c r="AA19" s="483" t="n"/>
      <c r="AB19" s="483" t="n"/>
    </row>
    <row r="20" ht="16.5" customHeight="1" s="317">
      <c r="A20" s="483" t="n"/>
      <c r="B20" s="487" t="n"/>
      <c r="C20" s="502" t="inlineStr">
        <is>
          <t>Scrap Savings</t>
        </is>
      </c>
      <c r="D20" s="499" t="n"/>
      <c r="E20" s="504" t="n"/>
      <c r="F20" s="504">
        <f>Scrap_Savings</f>
        <v/>
      </c>
      <c r="G20" s="504">
        <f>Scrap_Savings</f>
        <v/>
      </c>
      <c r="H20" s="504">
        <f>Scrap_Savings</f>
        <v/>
      </c>
      <c r="I20" s="504">
        <f>Scrap_Savings</f>
        <v/>
      </c>
      <c r="J20" s="504">
        <f>Scrap_Savings</f>
        <v/>
      </c>
      <c r="K20" s="504">
        <f>Scrap_Savings</f>
        <v/>
      </c>
      <c r="L20" s="504">
        <f>Scrap_Savings</f>
        <v/>
      </c>
      <c r="M20" s="488" t="n"/>
      <c r="N20" s="483" t="n"/>
      <c r="O20" s="483" t="n"/>
      <c r="P20" s="483" t="n"/>
      <c r="Q20" s="483" t="n"/>
      <c r="R20" s="483" t="n"/>
      <c r="S20" s="483" t="n"/>
      <c r="T20" s="483" t="n"/>
      <c r="U20" s="483" t="n"/>
      <c r="V20" s="483" t="n"/>
      <c r="W20" s="483" t="n"/>
      <c r="X20" s="483" t="n"/>
      <c r="Y20" s="483" t="n"/>
      <c r="Z20" s="483" t="n"/>
      <c r="AA20" s="483" t="n"/>
      <c r="AB20" s="483" t="n"/>
    </row>
    <row r="21" ht="16.5" customHeight="1" s="317">
      <c r="A21" s="483" t="n"/>
      <c r="B21" s="487" t="n"/>
      <c r="C21" s="502" t="inlineStr">
        <is>
          <t>Miscellaneous Savings</t>
        </is>
      </c>
      <c r="D21" s="499" t="n"/>
      <c r="E21" s="504" t="n"/>
      <c r="F21" s="504">
        <f>Misc_Savings</f>
        <v/>
      </c>
      <c r="G21" s="504">
        <f>Misc_Savings</f>
        <v/>
      </c>
      <c r="H21" s="504">
        <f>Misc_Savings</f>
        <v/>
      </c>
      <c r="I21" s="504">
        <f>Misc_Savings</f>
        <v/>
      </c>
      <c r="J21" s="504">
        <f>Misc_Savings</f>
        <v/>
      </c>
      <c r="K21" s="504">
        <f>Misc_Savings</f>
        <v/>
      </c>
      <c r="L21" s="504">
        <f>Misc_Savings</f>
        <v/>
      </c>
      <c r="M21" s="488" t="n"/>
      <c r="N21" s="483" t="n"/>
      <c r="O21" s="483" t="n"/>
      <c r="P21" s="483" t="n"/>
      <c r="Q21" s="483" t="n"/>
      <c r="R21" s="483" t="n"/>
      <c r="S21" s="483" t="n"/>
      <c r="T21" s="483" t="n"/>
      <c r="U21" s="483" t="n"/>
      <c r="V21" s="483" t="n"/>
      <c r="W21" s="483" t="n"/>
      <c r="X21" s="483" t="n"/>
      <c r="Y21" s="483" t="n"/>
      <c r="Z21" s="483" t="n"/>
      <c r="AA21" s="483" t="n"/>
      <c r="AB21" s="483" t="n"/>
    </row>
    <row r="22" ht="16.5" customHeight="1" s="317">
      <c r="A22" s="483" t="n"/>
      <c r="B22" s="487" t="n"/>
      <c r="C22" s="506" t="inlineStr">
        <is>
          <t>Equipment Depreciation (-)</t>
        </is>
      </c>
      <c r="D22" s="521" t="n"/>
      <c r="E22" s="509" t="n"/>
      <c r="F22" s="509">
        <f>E77</f>
        <v/>
      </c>
      <c r="G22" s="509">
        <f>F77</f>
        <v/>
      </c>
      <c r="H22" s="509">
        <f>G77</f>
        <v/>
      </c>
      <c r="I22" s="509">
        <f>H77</f>
        <v/>
      </c>
      <c r="J22" s="509">
        <f>I77</f>
        <v/>
      </c>
      <c r="K22" s="509">
        <f>J77</f>
        <v/>
      </c>
      <c r="L22" s="509">
        <f>K77</f>
        <v/>
      </c>
      <c r="M22" s="488" t="n"/>
      <c r="N22" s="483" t="n"/>
      <c r="O22" s="483" t="n"/>
      <c r="P22" s="483" t="n"/>
      <c r="Q22" s="483" t="n"/>
      <c r="R22" s="483" t="n"/>
      <c r="S22" s="483" t="n"/>
      <c r="T22" s="483" t="n"/>
      <c r="U22" s="483" t="n"/>
      <c r="V22" s="483" t="n"/>
      <c r="W22" s="483" t="n"/>
      <c r="X22" s="483" t="n"/>
      <c r="Y22" s="483" t="n"/>
      <c r="Z22" s="483" t="n"/>
      <c r="AA22" s="483" t="n"/>
      <c r="AB22" s="483" t="n"/>
    </row>
    <row r="23" ht="16.5" customHeight="1" s="317">
      <c r="A23" s="483" t="n"/>
      <c r="B23" s="487" t="n"/>
      <c r="C23" s="511" t="inlineStr">
        <is>
          <t>Net Pre-Tax Profit:</t>
        </is>
      </c>
      <c r="D23" s="512" t="n"/>
      <c r="E23" s="513" t="n"/>
      <c r="F23" s="513">
        <f>SUM(F15:F22)</f>
        <v/>
      </c>
      <c r="G23" s="513">
        <f>SUM(G15:G22)</f>
        <v/>
      </c>
      <c r="H23" s="513">
        <f>SUM(H15:H22)</f>
        <v/>
      </c>
      <c r="I23" s="513">
        <f>SUM(I15:I22)</f>
        <v/>
      </c>
      <c r="J23" s="513">
        <f>SUM(J15:J22)</f>
        <v/>
      </c>
      <c r="K23" s="513">
        <f>SUM(K15:K22)</f>
        <v/>
      </c>
      <c r="L23" s="513">
        <f>SUM(L15:L22)</f>
        <v/>
      </c>
      <c r="M23" s="488" t="n"/>
      <c r="N23" s="483" t="n"/>
      <c r="O23" s="483" t="n"/>
      <c r="P23" s="483" t="n"/>
      <c r="Q23" s="483" t="n"/>
      <c r="R23" s="483" t="n"/>
      <c r="S23" s="483" t="n"/>
      <c r="T23" s="483" t="n"/>
      <c r="U23" s="483" t="n"/>
      <c r="V23" s="483" t="n"/>
      <c r="W23" s="483" t="n"/>
      <c r="X23" s="483" t="n"/>
      <c r="Y23" s="483" t="n"/>
      <c r="Z23" s="483" t="n"/>
      <c r="AA23" s="483" t="n"/>
      <c r="AB23" s="483" t="n"/>
    </row>
    <row r="24" ht="16.5" customHeight="1" s="317">
      <c r="A24" s="483" t="n"/>
      <c r="B24" s="487" t="n"/>
      <c r="C24" s="511" t="n"/>
      <c r="D24" s="512" t="n"/>
      <c r="E24" s="513" t="n"/>
      <c r="F24" s="513" t="n"/>
      <c r="G24" s="513" t="n"/>
      <c r="H24" s="513" t="n"/>
      <c r="I24" s="513" t="n"/>
      <c r="J24" s="513" t="n"/>
      <c r="K24" s="513" t="n"/>
      <c r="L24" s="513" t="n"/>
      <c r="M24" s="488" t="n"/>
      <c r="N24" s="483" t="n"/>
      <c r="O24" s="483" t="n"/>
      <c r="P24" s="483" t="n"/>
      <c r="Q24" s="483" t="n"/>
      <c r="R24" s="483" t="n"/>
      <c r="S24" s="483" t="n"/>
      <c r="T24" s="483" t="n"/>
      <c r="U24" s="483" t="n"/>
      <c r="V24" s="483" t="n"/>
      <c r="W24" s="483" t="n"/>
      <c r="X24" s="483" t="n"/>
      <c r="Y24" s="483" t="n"/>
      <c r="Z24" s="483" t="n"/>
      <c r="AA24" s="483" t="n"/>
      <c r="AB24" s="483" t="n"/>
    </row>
    <row r="25" ht="8.1" customHeight="1" s="317">
      <c r="A25" s="483" t="n"/>
      <c r="B25" s="487" t="n"/>
      <c r="C25" s="507" t="n"/>
      <c r="D25" s="507" t="n"/>
      <c r="E25" s="504" t="n"/>
      <c r="F25" s="504" t="n"/>
      <c r="G25" s="504" t="n"/>
      <c r="H25" s="504" t="n"/>
      <c r="I25" s="504" t="n"/>
      <c r="J25" s="504" t="n"/>
      <c r="K25" s="504" t="n"/>
      <c r="L25" s="504" t="n"/>
      <c r="M25" s="488" t="n"/>
      <c r="N25" s="483" t="n"/>
      <c r="O25" s="483" t="n"/>
      <c r="P25" s="483" t="n"/>
      <c r="Q25" s="483" t="n"/>
      <c r="R25" s="483" t="n"/>
      <c r="S25" s="483" t="n"/>
      <c r="T25" s="483" t="n"/>
      <c r="U25" s="483" t="n"/>
      <c r="V25" s="483" t="n"/>
      <c r="W25" s="483" t="n"/>
      <c r="X25" s="483" t="n"/>
      <c r="Y25" s="483" t="n"/>
      <c r="Z25" s="483" t="n"/>
      <c r="AA25" s="483" t="n"/>
      <c r="AB25" s="483" t="n"/>
    </row>
    <row r="26" ht="16.5" customHeight="1" s="317">
      <c r="A26" s="483" t="n"/>
      <c r="B26" s="487" t="n"/>
      <c r="C26" s="502" t="inlineStr">
        <is>
          <t xml:space="preserve"> Income Taxes @</t>
        </is>
      </c>
      <c r="D26" s="522">
        <f>Tax_Rate</f>
        <v/>
      </c>
      <c r="E26" s="523" t="n"/>
      <c r="F26" s="504">
        <f>-F23*Tax_Rate</f>
        <v/>
      </c>
      <c r="G26" s="504">
        <f>-G23*Tax_Rate</f>
        <v/>
      </c>
      <c r="H26" s="504">
        <f>-H23*Tax_Rate</f>
        <v/>
      </c>
      <c r="I26" s="504">
        <f>-I23*Tax_Rate</f>
        <v/>
      </c>
      <c r="J26" s="504">
        <f>-J23*Tax_Rate</f>
        <v/>
      </c>
      <c r="K26" s="504">
        <f>-K23*Tax_Rate</f>
        <v/>
      </c>
      <c r="L26" s="504">
        <f>-L23*Tax_Rate</f>
        <v/>
      </c>
      <c r="M26" s="488" t="n"/>
      <c r="N26" s="483" t="n"/>
      <c r="O26" s="483" t="n"/>
      <c r="P26" s="483" t="n"/>
      <c r="Q26" s="483" t="n"/>
      <c r="R26" s="483" t="n"/>
      <c r="S26" s="483" t="n"/>
      <c r="T26" s="483" t="n"/>
      <c r="U26" s="483" t="n"/>
      <c r="V26" s="483" t="n"/>
      <c r="W26" s="483" t="n"/>
      <c r="X26" s="483" t="n"/>
      <c r="Y26" s="483" t="n"/>
      <c r="Z26" s="483" t="n"/>
      <c r="AA26" s="483" t="n"/>
      <c r="AB26" s="483" t="n"/>
    </row>
    <row r="27" ht="16.5" customHeight="1" s="317">
      <c r="A27" s="483" t="n"/>
      <c r="B27" s="487" t="n"/>
      <c r="C27" s="506" t="inlineStr">
        <is>
          <t xml:space="preserve"> Add Depreciation (+)</t>
        </is>
      </c>
      <c r="D27" s="524" t="n"/>
      <c r="E27" s="509" t="n"/>
      <c r="F27" s="509">
        <f>-F22</f>
        <v/>
      </c>
      <c r="G27" s="509">
        <f>-G22</f>
        <v/>
      </c>
      <c r="H27" s="509">
        <f>-H22</f>
        <v/>
      </c>
      <c r="I27" s="509">
        <f>-I22</f>
        <v/>
      </c>
      <c r="J27" s="509">
        <f>-J22</f>
        <v/>
      </c>
      <c r="K27" s="509">
        <f>-K22</f>
        <v/>
      </c>
      <c r="L27" s="509">
        <f>-L22</f>
        <v/>
      </c>
      <c r="M27" s="488" t="n"/>
      <c r="N27" s="483" t="n"/>
      <c r="O27" s="483" t="n"/>
      <c r="P27" s="483" t="n"/>
      <c r="Q27" s="483" t="n"/>
      <c r="R27" s="483" t="n"/>
      <c r="S27" s="483" t="n"/>
      <c r="T27" s="483" t="n"/>
      <c r="U27" s="483" t="n"/>
      <c r="V27" s="483" t="n"/>
      <c r="W27" s="483" t="n"/>
      <c r="X27" s="483" t="n"/>
      <c r="Y27" s="483" t="n"/>
      <c r="Z27" s="483" t="n"/>
      <c r="AA27" s="483" t="n"/>
      <c r="AB27" s="483" t="n"/>
    </row>
    <row r="28" ht="16.5" customHeight="1" s="317">
      <c r="A28" s="483" t="n"/>
      <c r="B28" s="487" t="n"/>
      <c r="C28" s="511" t="inlineStr">
        <is>
          <t>Net Annual Cash Flow (after tax):</t>
        </is>
      </c>
      <c r="D28" s="525" t="n"/>
      <c r="E28" s="513">
        <f>SUM(E23:E27)+E12</f>
        <v/>
      </c>
      <c r="F28" s="513">
        <f>SUM(F23:F27)+F12</f>
        <v/>
      </c>
      <c r="G28" s="513">
        <f>SUM(G23:G27)+G12</f>
        <v/>
      </c>
      <c r="H28" s="513">
        <f>SUM(H23:H27)+H12</f>
        <v/>
      </c>
      <c r="I28" s="513">
        <f>SUM(I23:I27)+I12</f>
        <v/>
      </c>
      <c r="J28" s="513">
        <f>SUM(J23:J27)+J12</f>
        <v/>
      </c>
      <c r="K28" s="513">
        <f>SUM(K23:K27)+K12</f>
        <v/>
      </c>
      <c r="L28" s="513">
        <f>SUM(L23:L27)+L12</f>
        <v/>
      </c>
      <c r="M28" s="488" t="n"/>
      <c r="N28" s="483" t="n"/>
      <c r="O28" s="483" t="n"/>
      <c r="P28" s="483" t="n"/>
      <c r="Q28" s="483" t="n"/>
      <c r="R28" s="483" t="n"/>
      <c r="S28" s="483" t="n"/>
      <c r="T28" s="483" t="n"/>
      <c r="U28" s="483" t="n"/>
      <c r="V28" s="483" t="n"/>
      <c r="W28" s="483" t="n"/>
      <c r="X28" s="483" t="n"/>
      <c r="Y28" s="483" t="n"/>
      <c r="Z28" s="483" t="n"/>
      <c r="AA28" s="483" t="n"/>
      <c r="AB28" s="483" t="n"/>
    </row>
    <row r="29" ht="16.5" customHeight="1" s="317">
      <c r="A29" s="483" t="n"/>
      <c r="B29" s="487" t="n"/>
      <c r="C29" s="511" t="n"/>
      <c r="D29" s="525" t="n"/>
      <c r="E29" s="513" t="n"/>
      <c r="F29" s="513" t="n"/>
      <c r="G29" s="513" t="n"/>
      <c r="H29" s="513" t="n"/>
      <c r="I29" s="513" t="n"/>
      <c r="J29" s="513" t="n"/>
      <c r="K29" s="513" t="n"/>
      <c r="L29" s="513" t="n"/>
      <c r="M29" s="488" t="n"/>
      <c r="N29" s="483" t="n"/>
      <c r="O29" s="483" t="n"/>
      <c r="P29" s="483" t="n"/>
      <c r="Q29" s="483" t="n"/>
      <c r="R29" s="483" t="n"/>
      <c r="S29" s="483" t="n"/>
      <c r="T29" s="483" t="n"/>
      <c r="U29" s="483" t="n"/>
      <c r="V29" s="483" t="n"/>
      <c r="W29" s="483" t="n"/>
      <c r="X29" s="483" t="n"/>
      <c r="Y29" s="483" t="n"/>
      <c r="Z29" s="483" t="n"/>
      <c r="AA29" s="483" t="n"/>
      <c r="AB29" s="483" t="n"/>
    </row>
    <row r="30" ht="8.1" customHeight="1" s="317">
      <c r="A30" s="483" t="n"/>
      <c r="B30" s="487" t="n"/>
      <c r="C30" s="507" t="n"/>
      <c r="D30" s="507" t="n"/>
      <c r="E30" s="504" t="n"/>
      <c r="F30" s="504" t="n"/>
      <c r="G30" s="504" t="n"/>
      <c r="H30" s="504" t="n"/>
      <c r="I30" s="504" t="n"/>
      <c r="J30" s="504" t="n"/>
      <c r="K30" s="504" t="n"/>
      <c r="L30" s="504" t="n"/>
      <c r="M30" s="488" t="n"/>
      <c r="N30" s="483" t="n"/>
      <c r="O30" s="483" t="n"/>
      <c r="P30" s="483" t="n"/>
      <c r="Q30" s="483" t="n"/>
      <c r="R30" s="483" t="n"/>
      <c r="S30" s="483" t="n"/>
      <c r="T30" s="483" t="n"/>
      <c r="U30" s="483" t="n"/>
      <c r="V30" s="483" t="n"/>
      <c r="W30" s="483" t="n"/>
      <c r="X30" s="483" t="n"/>
      <c r="Y30" s="483" t="n"/>
      <c r="Z30" s="483" t="n"/>
      <c r="AA30" s="483" t="n"/>
      <c r="AB30" s="483" t="n"/>
    </row>
    <row r="31" ht="16.5" customHeight="1" s="317">
      <c r="A31" s="483" t="n"/>
      <c r="B31" s="487" t="n"/>
      <c r="C31" s="502" t="inlineStr">
        <is>
          <t>Cumulative Cash Flow:</t>
        </is>
      </c>
      <c r="D31" s="499" t="n"/>
      <c r="E31" s="504">
        <f>E28</f>
        <v/>
      </c>
      <c r="F31" s="504">
        <f>SUM($E$28:F28)</f>
        <v/>
      </c>
      <c r="G31" s="504">
        <f>SUM($E$28:G28)</f>
        <v/>
      </c>
      <c r="H31" s="504">
        <f>SUM($E$28:H28)</f>
        <v/>
      </c>
      <c r="I31" s="504">
        <f>SUM($E$28:I28)</f>
        <v/>
      </c>
      <c r="J31" s="504">
        <f>SUM($E$28:J28)</f>
        <v/>
      </c>
      <c r="K31" s="504">
        <f>SUM($E$28:K28)</f>
        <v/>
      </c>
      <c r="L31" s="504">
        <f>SUM($E$28:L28)</f>
        <v/>
      </c>
      <c r="M31" s="488" t="n"/>
      <c r="N31" s="483" t="n"/>
      <c r="O31" s="483" t="n"/>
      <c r="P31" s="483" t="n"/>
      <c r="Q31" s="483" t="n"/>
      <c r="R31" s="483" t="n"/>
      <c r="S31" s="483" t="n"/>
      <c r="T31" s="483" t="n"/>
      <c r="U31" s="483" t="n"/>
      <c r="V31" s="483" t="n"/>
      <c r="W31" s="483" t="n"/>
      <c r="X31" s="483" t="n"/>
      <c r="Y31" s="483" t="n"/>
      <c r="Z31" s="483" t="n"/>
      <c r="AA31" s="483" t="n"/>
      <c r="AB31" s="483" t="n"/>
    </row>
    <row r="32" ht="16.5" customHeight="1" s="317">
      <c r="A32" s="483" t="n"/>
      <c r="B32" s="487" t="n"/>
      <c r="C32" s="506" t="inlineStr">
        <is>
          <t>Weighted Average Cost of Capital @</t>
        </is>
      </c>
      <c r="D32" s="526">
        <f>'Financial Inputs'!F23</f>
        <v/>
      </c>
      <c r="E32" s="527" t="n">
        <v>1</v>
      </c>
      <c r="F32" s="527">
        <f>E32/(1+disc_fact)</f>
        <v/>
      </c>
      <c r="G32" s="527">
        <f>F32/(1+disc_fact)</f>
        <v/>
      </c>
      <c r="H32" s="527">
        <f>G32/(1+disc_fact)</f>
        <v/>
      </c>
      <c r="I32" s="527">
        <f>H32/(1+disc_fact)</f>
        <v/>
      </c>
      <c r="J32" s="527">
        <f>I32/(1+disc_fact)</f>
        <v/>
      </c>
      <c r="K32" s="527">
        <f>J32/(1+disc_fact)</f>
        <v/>
      </c>
      <c r="L32" s="527">
        <f>K32/(1+disc_fact)</f>
        <v/>
      </c>
      <c r="M32" s="488" t="n"/>
      <c r="N32" s="483" t="n"/>
      <c r="O32" s="483" t="n"/>
      <c r="P32" s="483" t="n"/>
      <c r="Q32" s="483" t="n"/>
      <c r="R32" s="483" t="n"/>
      <c r="S32" s="483" t="n"/>
      <c r="T32" s="483" t="n"/>
      <c r="U32" s="483" t="n"/>
      <c r="V32" s="483" t="n"/>
      <c r="W32" s="483" t="n"/>
      <c r="X32" s="483" t="n"/>
      <c r="Y32" s="483" t="n"/>
      <c r="Z32" s="483" t="n"/>
      <c r="AA32" s="483" t="n"/>
      <c r="AB32" s="483" t="n"/>
    </row>
    <row r="33" ht="16.5" customHeight="1" s="317">
      <c r="A33" s="483" t="n"/>
      <c r="B33" s="487" t="n"/>
      <c r="C33" s="512" t="inlineStr">
        <is>
          <t>Present Value of Annual Cash Flows</t>
        </is>
      </c>
      <c r="D33" s="525" t="n"/>
      <c r="E33" s="513">
        <f>E28*E32</f>
        <v/>
      </c>
      <c r="F33" s="513">
        <f>F28*F32</f>
        <v/>
      </c>
      <c r="G33" s="513">
        <f>G28*G32</f>
        <v/>
      </c>
      <c r="H33" s="513">
        <f>H28*H32</f>
        <v/>
      </c>
      <c r="I33" s="513">
        <f>I28*I32</f>
        <v/>
      </c>
      <c r="J33" s="513">
        <f>J28*J32</f>
        <v/>
      </c>
      <c r="K33" s="513">
        <f>K28*K32</f>
        <v/>
      </c>
      <c r="L33" s="513">
        <f>L28*L32</f>
        <v/>
      </c>
      <c r="M33" s="488" t="n"/>
      <c r="N33" s="483" t="n"/>
      <c r="O33" s="483" t="n"/>
      <c r="P33" s="483" t="n"/>
      <c r="Q33" s="483" t="n"/>
      <c r="R33" s="483" t="n"/>
      <c r="S33" s="483" t="n"/>
      <c r="T33" s="483" t="n"/>
      <c r="U33" s="483" t="n"/>
      <c r="V33" s="483" t="n"/>
      <c r="W33" s="483" t="n"/>
      <c r="X33" s="483" t="n"/>
      <c r="Y33" s="483" t="n"/>
      <c r="Z33" s="483" t="n"/>
      <c r="AA33" s="483" t="n"/>
      <c r="AB33" s="483" t="n"/>
    </row>
    <row r="34" ht="8.1" customHeight="1" s="317">
      <c r="A34" s="483" t="n"/>
      <c r="B34" s="487" t="n"/>
      <c r="C34" s="499" t="n"/>
      <c r="D34" s="507" t="n"/>
      <c r="E34" s="504" t="n"/>
      <c r="F34" s="504" t="n"/>
      <c r="G34" s="504" t="n"/>
      <c r="H34" s="504" t="n"/>
      <c r="I34" s="504" t="n"/>
      <c r="J34" s="504" t="n"/>
      <c r="K34" s="504" t="n"/>
      <c r="L34" s="504" t="n"/>
      <c r="M34" s="488" t="n"/>
      <c r="N34" s="483" t="n"/>
      <c r="O34" s="483" t="n"/>
      <c r="P34" s="483" t="n"/>
      <c r="Q34" s="483" t="n"/>
      <c r="R34" s="483" t="n"/>
      <c r="S34" s="483" t="n"/>
      <c r="T34" s="483" t="n"/>
      <c r="U34" s="483" t="n"/>
      <c r="V34" s="483" t="n"/>
      <c r="W34" s="483" t="n"/>
      <c r="X34" s="483" t="n"/>
      <c r="Y34" s="483" t="n"/>
      <c r="Z34" s="483" t="n"/>
      <c r="AA34" s="483" t="n"/>
      <c r="AB34" s="483" t="n"/>
    </row>
    <row r="35" ht="16.5" customHeight="1" s="317">
      <c r="A35" s="483" t="n"/>
      <c r="B35" s="487" t="n"/>
      <c r="C35" s="512" t="inlineStr">
        <is>
          <t>Cumulative Discount Cash Flow</t>
        </is>
      </c>
      <c r="D35" s="525" t="n"/>
      <c r="E35" s="513">
        <f>E33</f>
        <v/>
      </c>
      <c r="F35" s="513">
        <f>SUM($E$33:F33)</f>
        <v/>
      </c>
      <c r="G35" s="513">
        <f>SUM($E$33:G33)</f>
        <v/>
      </c>
      <c r="H35" s="513">
        <f>SUM($E$33:H33)</f>
        <v/>
      </c>
      <c r="I35" s="513">
        <f>SUM($E$33:I33)</f>
        <v/>
      </c>
      <c r="J35" s="513">
        <f>SUM($E$33:J33)</f>
        <v/>
      </c>
      <c r="K35" s="513">
        <f>SUM($E$33:K33)</f>
        <v/>
      </c>
      <c r="L35" s="513">
        <f>SUM($E$33:L33)</f>
        <v/>
      </c>
      <c r="M35" s="488" t="n"/>
      <c r="N35" s="483" t="n"/>
      <c r="O35" s="483" t="n"/>
      <c r="P35" s="483" t="n"/>
      <c r="Q35" s="483" t="n"/>
      <c r="R35" s="483" t="n"/>
      <c r="S35" s="483" t="n"/>
      <c r="T35" s="483" t="n"/>
      <c r="U35" s="483" t="n"/>
      <c r="V35" s="483" t="n"/>
      <c r="W35" s="483" t="n"/>
      <c r="X35" s="483" t="n"/>
      <c r="Y35" s="483" t="n"/>
      <c r="Z35" s="483" t="n"/>
      <c r="AA35" s="483" t="n"/>
      <c r="AB35" s="483" t="n"/>
    </row>
    <row r="36" ht="17.25" customHeight="1" s="317">
      <c r="A36" s="483" t="n"/>
      <c r="B36" s="487" t="n"/>
      <c r="C36" s="512" t="n"/>
      <c r="D36" s="525" t="n"/>
      <c r="E36" s="513" t="n"/>
      <c r="F36" s="513" t="n"/>
      <c r="G36" s="513" t="n"/>
      <c r="H36" s="513" t="n"/>
      <c r="I36" s="513" t="n"/>
      <c r="J36" s="513" t="n"/>
      <c r="K36" s="513" t="n"/>
      <c r="L36" s="513" t="n"/>
      <c r="M36" s="488" t="n"/>
      <c r="N36" s="483" t="n"/>
      <c r="O36" s="483" t="n"/>
      <c r="P36" s="483" t="n"/>
      <c r="Q36" s="483" t="n"/>
      <c r="R36" s="483" t="n"/>
      <c r="S36" s="483" t="n"/>
      <c r="T36" s="483" t="n"/>
      <c r="U36" s="483" t="n"/>
      <c r="V36" s="483" t="n"/>
      <c r="W36" s="483" t="n"/>
      <c r="X36" s="483" t="n"/>
      <c r="Y36" s="483" t="n"/>
      <c r="Z36" s="483" t="n"/>
      <c r="AA36" s="483" t="n"/>
      <c r="AB36" s="483" t="n"/>
    </row>
    <row r="37" ht="17.25" customHeight="1" s="317">
      <c r="A37" s="483" t="n"/>
      <c r="B37" s="487" t="n"/>
      <c r="C37" s="512" t="n"/>
      <c r="D37" s="525" t="n"/>
      <c r="E37" s="513" t="n"/>
      <c r="F37" s="528" t="inlineStr">
        <is>
          <t>Time Period</t>
        </is>
      </c>
      <c r="G37" s="529" t="inlineStr">
        <is>
          <t>NPV</t>
        </is>
      </c>
      <c r="H37" s="529" t="inlineStr">
        <is>
          <t>IRR</t>
        </is>
      </c>
      <c r="I37" s="513" t="n"/>
      <c r="J37" s="513" t="n"/>
      <c r="K37" s="513" t="n"/>
      <c r="L37" s="513" t="n"/>
      <c r="M37" s="488" t="n"/>
      <c r="N37" s="483" t="n"/>
      <c r="O37" s="483" t="n"/>
      <c r="P37" s="483" t="n"/>
      <c r="Q37" s="483" t="n"/>
      <c r="R37" s="483" t="n"/>
      <c r="S37" s="483" t="n"/>
      <c r="T37" s="483" t="n"/>
      <c r="U37" s="483" t="n"/>
      <c r="V37" s="483" t="n"/>
      <c r="W37" s="483" t="n"/>
      <c r="X37" s="483" t="n"/>
      <c r="Y37" s="483" t="n"/>
      <c r="Z37" s="483" t="n"/>
      <c r="AA37" s="483" t="n"/>
      <c r="AB37" s="483" t="n"/>
    </row>
    <row r="38" ht="15.95" customHeight="1" s="317">
      <c r="A38" s="483" t="n"/>
      <c r="B38" s="487" t="n"/>
      <c r="C38" s="530" t="n"/>
      <c r="D38" s="507" t="n"/>
      <c r="E38" s="507" t="n"/>
      <c r="F38" s="531" t="inlineStr">
        <is>
          <t>5 Years</t>
        </is>
      </c>
      <c r="G38" s="532">
        <f>SUM(E33:J33)</f>
        <v/>
      </c>
      <c r="H38" s="533">
        <f>IRR(E28:J28)</f>
        <v/>
      </c>
      <c r="I38" s="512" t="n"/>
      <c r="J38" s="512" t="n"/>
      <c r="K38" s="512" t="n"/>
      <c r="L38" s="512" t="n"/>
      <c r="M38" s="488" t="n"/>
      <c r="N38" s="483" t="n"/>
      <c r="O38" s="483" t="n"/>
      <c r="P38" s="483" t="n"/>
      <c r="Q38" s="483" t="n"/>
      <c r="R38" s="483" t="n"/>
      <c r="S38" s="483" t="n"/>
      <c r="T38" s="483" t="n"/>
      <c r="U38" s="483" t="n"/>
      <c r="V38" s="483" t="n"/>
      <c r="W38" s="483" t="n"/>
      <c r="X38" s="483" t="n"/>
      <c r="Y38" s="483" t="n"/>
      <c r="Z38" s="483" t="n"/>
      <c r="AA38" s="483" t="n"/>
      <c r="AB38" s="483" t="n"/>
    </row>
    <row r="39" ht="15.95" customHeight="1" s="317">
      <c r="A39" s="483" t="n"/>
      <c r="B39" s="487" t="n"/>
      <c r="C39" s="530" t="n"/>
      <c r="D39" s="507" t="n"/>
      <c r="E39" s="507" t="n"/>
      <c r="F39" s="534" t="inlineStr">
        <is>
          <t>7 Years</t>
        </is>
      </c>
      <c r="G39" s="535">
        <f>SUM(E33:L33)</f>
        <v/>
      </c>
      <c r="H39" s="536">
        <f>IRR(E28:L28)</f>
        <v/>
      </c>
      <c r="I39" s="512" t="n"/>
      <c r="J39" s="512" t="n"/>
      <c r="K39" s="512" t="n"/>
      <c r="L39" s="512" t="n"/>
      <c r="M39" s="488" t="n"/>
      <c r="N39" s="483" t="n"/>
      <c r="O39" s="483" t="n"/>
      <c r="P39" s="483" t="n"/>
      <c r="Q39" s="483" t="n"/>
      <c r="R39" s="483" t="n"/>
      <c r="S39" s="483" t="n"/>
      <c r="T39" s="483" t="n"/>
      <c r="U39" s="483" t="n"/>
      <c r="V39" s="483" t="n"/>
      <c r="W39" s="483" t="n"/>
      <c r="X39" s="483" t="n"/>
      <c r="Y39" s="483" t="n"/>
      <c r="Z39" s="483" t="n"/>
      <c r="AA39" s="483" t="n"/>
      <c r="AB39" s="483" t="n"/>
    </row>
    <row r="40" ht="32.1" customHeight="1" s="317">
      <c r="A40" s="483" t="n"/>
      <c r="B40" s="487" t="n"/>
      <c r="C40" s="530" t="n"/>
      <c r="D40" s="507" t="n"/>
      <c r="E40" s="507" t="n"/>
      <c r="F40" s="537">
        <f>SUM(E51:L52)</f>
        <v/>
      </c>
      <c r="G40" s="538" t="inlineStr">
        <is>
          <t xml:space="preserve"> Years After Tax Payback</t>
        </is>
      </c>
      <c r="H40" s="539" t="n"/>
      <c r="I40" s="540" t="n"/>
      <c r="J40" s="540" t="n"/>
      <c r="K40" s="540" t="n"/>
      <c r="L40" s="540" t="n"/>
      <c r="M40" s="488" t="n"/>
      <c r="N40" s="483" t="n"/>
      <c r="O40" s="483" t="n"/>
      <c r="P40" s="483" t="n"/>
      <c r="Q40" s="483" t="n"/>
      <c r="R40" s="483" t="n"/>
      <c r="S40" s="483" t="n"/>
      <c r="T40" s="483" t="n"/>
      <c r="U40" s="483" t="n"/>
      <c r="V40" s="483" t="n"/>
      <c r="W40" s="483" t="n"/>
      <c r="X40" s="483" t="n"/>
      <c r="Y40" s="483" t="n"/>
      <c r="Z40" s="483" t="n"/>
      <c r="AA40" s="483" t="n"/>
      <c r="AB40" s="483" t="n"/>
    </row>
    <row r="41" ht="15" customHeight="1" s="317">
      <c r="A41" s="483" t="n"/>
      <c r="B41" s="541" t="n"/>
      <c r="C41" s="542" t="n"/>
      <c r="D41" s="543" t="n"/>
      <c r="E41" s="543" t="n"/>
      <c r="F41" s="544" t="n"/>
      <c r="G41" s="544" t="n"/>
      <c r="H41" s="545" t="n"/>
      <c r="I41" s="546" t="n"/>
      <c r="J41" s="546" t="n"/>
      <c r="K41" s="546" t="n"/>
      <c r="L41" s="546" t="n"/>
      <c r="M41" s="547" t="n"/>
      <c r="N41" s="483" t="n"/>
      <c r="O41" s="483" t="n"/>
      <c r="P41" s="483" t="n"/>
      <c r="Q41" s="483" t="n"/>
      <c r="R41" s="483" t="n"/>
      <c r="S41" s="483" t="n"/>
      <c r="T41" s="483" t="n"/>
      <c r="U41" s="483" t="n"/>
      <c r="V41" s="483" t="n"/>
      <c r="W41" s="483" t="n"/>
      <c r="X41" s="483" t="n"/>
      <c r="Y41" s="483" t="n"/>
      <c r="Z41" s="483" t="n"/>
      <c r="AA41" s="483" t="n"/>
      <c r="AB41" s="483" t="n"/>
    </row>
    <row r="42" ht="15" customHeight="1" s="317">
      <c r="A42" s="483" t="n"/>
      <c r="B42" s="483" t="n"/>
      <c r="C42" s="548" t="n"/>
      <c r="D42" s="549" t="n"/>
      <c r="E42" s="549" t="n"/>
      <c r="F42" s="550" t="n"/>
      <c r="G42" s="551" t="n"/>
      <c r="H42" s="552" t="n"/>
      <c r="I42" s="553" t="n"/>
      <c r="J42" s="553" t="n"/>
      <c r="K42" s="553" t="n"/>
      <c r="L42" s="553" t="n"/>
      <c r="M42" s="483" t="n"/>
      <c r="N42" s="483" t="n"/>
      <c r="O42" s="483" t="n"/>
      <c r="P42" s="483" t="n"/>
      <c r="Q42" s="483" t="n"/>
      <c r="R42" s="483" t="n"/>
      <c r="S42" s="483" t="n"/>
      <c r="T42" s="483" t="n"/>
      <c r="U42" s="483" t="n"/>
      <c r="V42" s="483" t="n"/>
      <c r="W42" s="483" t="n"/>
      <c r="X42" s="483" t="n"/>
      <c r="Y42" s="483" t="n"/>
      <c r="Z42" s="483" t="n"/>
      <c r="AA42" s="483" t="n"/>
      <c r="AB42" s="483" t="n"/>
    </row>
    <row r="43" ht="15" customHeight="1" s="317">
      <c r="A43" s="483" t="n"/>
      <c r="B43" s="483" t="n"/>
      <c r="C43" s="548" t="n"/>
      <c r="D43" s="549" t="n"/>
      <c r="E43" s="549" t="n"/>
      <c r="F43" s="550" t="n"/>
      <c r="G43" s="551" t="n"/>
      <c r="H43" s="552" t="n"/>
      <c r="I43" s="553" t="n"/>
      <c r="J43" s="553" t="n"/>
      <c r="K43" s="553" t="n"/>
      <c r="L43" s="553" t="n"/>
      <c r="M43" s="483" t="n"/>
      <c r="N43" s="483" t="n"/>
      <c r="O43" s="483" t="n"/>
      <c r="P43" s="483" t="n"/>
      <c r="Q43" s="483" t="n"/>
      <c r="R43" s="483" t="n"/>
      <c r="S43" s="483" t="n"/>
      <c r="T43" s="483" t="n"/>
      <c r="U43" s="483" t="n"/>
      <c r="V43" s="483" t="n"/>
      <c r="W43" s="483" t="n"/>
      <c r="X43" s="483" t="n"/>
      <c r="Y43" s="483" t="n"/>
      <c r="Z43" s="483" t="n"/>
      <c r="AA43" s="483" t="n"/>
      <c r="AB43" s="483" t="n"/>
    </row>
    <row r="44" ht="15" customFormat="1" customHeight="1" s="482">
      <c r="A44" s="483" t="n"/>
      <c r="B44" s="483" t="n"/>
      <c r="C44" s="548" t="n"/>
      <c r="D44" s="549" t="n"/>
      <c r="E44" s="549" t="n"/>
      <c r="F44" s="550" t="n"/>
      <c r="G44" s="551" t="n"/>
      <c r="H44" s="552" t="n"/>
      <c r="I44" s="553" t="n"/>
      <c r="J44" s="553" t="n"/>
      <c r="K44" s="553" t="n"/>
      <c r="L44" s="553" t="n"/>
      <c r="M44" s="483" t="n"/>
      <c r="N44" s="483" t="n"/>
      <c r="O44" s="483" t="n"/>
      <c r="P44" s="483" t="n"/>
      <c r="Q44" s="483" t="n"/>
      <c r="R44" s="483" t="n"/>
      <c r="S44" s="483" t="n"/>
      <c r="T44" s="483" t="n"/>
      <c r="U44" s="483" t="n"/>
      <c r="V44" s="483" t="n"/>
      <c r="W44" s="483" t="n"/>
      <c r="X44" s="483" t="n"/>
      <c r="Y44" s="483" t="n"/>
      <c r="Z44" s="483" t="n"/>
      <c r="AA44" s="483" t="n"/>
      <c r="AB44" s="483" t="n"/>
    </row>
    <row r="45" ht="15" customFormat="1" customHeight="1" s="482">
      <c r="A45" s="483" t="n"/>
      <c r="B45" s="483" t="n"/>
      <c r="C45" s="548" t="n"/>
      <c r="D45" s="549" t="n"/>
      <c r="E45" s="549" t="n"/>
      <c r="F45" s="550" t="n"/>
      <c r="G45" s="551" t="n"/>
      <c r="H45" s="552" t="n"/>
      <c r="I45" s="553" t="n"/>
      <c r="J45" s="553" t="n"/>
      <c r="K45" s="553" t="n"/>
      <c r="L45" s="553" t="n"/>
      <c r="M45" s="483" t="n"/>
      <c r="N45" s="483" t="n"/>
      <c r="O45" s="483" t="n"/>
      <c r="P45" s="483" t="n"/>
      <c r="Q45" s="483" t="n"/>
      <c r="R45" s="483" t="n"/>
      <c r="S45" s="483" t="n"/>
      <c r="T45" s="483" t="n"/>
      <c r="U45" s="483" t="n"/>
      <c r="V45" s="483" t="n"/>
      <c r="W45" s="483" t="n"/>
      <c r="X45" s="483" t="n"/>
      <c r="Y45" s="483" t="n"/>
      <c r="Z45" s="483" t="n"/>
      <c r="AA45" s="483" t="n"/>
      <c r="AB45" s="483" t="n"/>
    </row>
    <row r="46" ht="27.75" customFormat="1" customHeight="1" s="554">
      <c r="A46" s="555" t="n"/>
      <c r="B46" s="555" t="n"/>
      <c r="C46" s="556" t="inlineStr">
        <is>
          <t>Financial Analysis</t>
        </is>
      </c>
      <c r="M46" s="555" t="n"/>
      <c r="N46" s="555" t="n"/>
      <c r="O46" s="555" t="n"/>
      <c r="P46" s="555" t="n"/>
      <c r="Q46" s="555" t="n"/>
      <c r="R46" s="555" t="n"/>
      <c r="S46" s="555" t="n"/>
      <c r="T46" s="555" t="n"/>
      <c r="U46" s="555" t="n"/>
      <c r="V46" s="555" t="n"/>
      <c r="W46" s="555" t="n"/>
      <c r="X46" s="555" t="n"/>
      <c r="Y46" s="555" t="n"/>
      <c r="Z46" s="555" t="n"/>
      <c r="AA46" s="555" t="n"/>
      <c r="AB46" s="555" t="n"/>
    </row>
    <row r="47" ht="15.75" customFormat="1" customHeight="1" s="557">
      <c r="A47" s="558" t="n"/>
      <c r="B47" s="558" t="n"/>
      <c r="C47" s="559" t="inlineStr">
        <is>
          <t>(continued)</t>
        </is>
      </c>
      <c r="M47" s="558" t="n"/>
      <c r="N47" s="558" t="n"/>
      <c r="O47" s="558" t="n"/>
      <c r="P47" s="558" t="n"/>
      <c r="Q47" s="558" t="n"/>
      <c r="R47" s="558" t="n"/>
      <c r="S47" s="558" t="n"/>
      <c r="T47" s="558" t="n"/>
      <c r="U47" s="558" t="n"/>
      <c r="V47" s="558" t="n"/>
      <c r="W47" s="558" t="n"/>
      <c r="X47" s="558" t="n"/>
      <c r="Y47" s="558" t="n"/>
      <c r="Z47" s="558" t="n"/>
      <c r="AA47" s="558" t="n"/>
      <c r="AB47" s="558" t="n"/>
    </row>
    <row r="48" ht="15.75" customFormat="1" customHeight="1" s="560">
      <c r="A48" s="561" t="n"/>
      <c r="B48" s="561" t="n"/>
      <c r="C48" s="562" t="n"/>
      <c r="D48" s="562" t="n"/>
      <c r="E48" s="562" t="n"/>
      <c r="F48" s="562" t="n"/>
      <c r="G48" s="562" t="n"/>
      <c r="H48" s="562" t="n"/>
      <c r="I48" s="562" t="n"/>
      <c r="J48" s="562" t="n"/>
      <c r="K48" s="562" t="n"/>
      <c r="L48" s="562" t="n"/>
      <c r="M48" s="561" t="n"/>
      <c r="N48" s="561" t="n"/>
      <c r="O48" s="561" t="n"/>
      <c r="P48" s="561" t="n"/>
      <c r="Q48" s="561" t="n"/>
      <c r="R48" s="561" t="n"/>
      <c r="S48" s="561" t="n"/>
      <c r="T48" s="561" t="n"/>
      <c r="U48" s="561" t="n"/>
      <c r="V48" s="561" t="n"/>
      <c r="W48" s="561" t="n"/>
      <c r="X48" s="561" t="n"/>
      <c r="Y48" s="561" t="n"/>
      <c r="Z48" s="561" t="n"/>
      <c r="AA48" s="561" t="n"/>
      <c r="AB48" s="561" t="n"/>
    </row>
    <row r="49" ht="27.75" customFormat="1" customHeight="1" s="563">
      <c r="A49" s="564" t="n"/>
      <c r="B49" s="564" t="n"/>
      <c r="C49" s="565" t="inlineStr">
        <is>
          <t>NOT FOR CUSTOMER PRESENTATION</t>
        </is>
      </c>
      <c r="D49" s="341" t="n"/>
      <c r="E49" s="341" t="n"/>
      <c r="F49" s="341" t="n"/>
      <c r="G49" s="341" t="n"/>
      <c r="H49" s="341" t="n"/>
      <c r="I49" s="341" t="n"/>
      <c r="J49" s="341" t="n"/>
      <c r="K49" s="341" t="n"/>
      <c r="L49" s="342" t="n"/>
      <c r="M49" s="564" t="n"/>
      <c r="N49" s="564" t="n"/>
      <c r="O49" s="564" t="n"/>
      <c r="P49" s="564" t="n"/>
      <c r="Q49" s="564" t="n"/>
      <c r="R49" s="564" t="n"/>
      <c r="S49" s="564" t="n"/>
      <c r="T49" s="564" t="n"/>
      <c r="U49" s="564" t="n"/>
      <c r="V49" s="564" t="n"/>
      <c r="W49" s="564" t="n"/>
      <c r="X49" s="564" t="n"/>
      <c r="Y49" s="564" t="n"/>
      <c r="Z49" s="564" t="n"/>
      <c r="AA49" s="564" t="n"/>
      <c r="AB49" s="564" t="n"/>
    </row>
    <row r="50" ht="12" customHeight="1" s="317">
      <c r="A50" s="483" t="n"/>
      <c r="B50" s="483" t="n"/>
      <c r="C50" s="566" t="n"/>
      <c r="D50" s="566" t="n"/>
      <c r="E50" s="566" t="n"/>
      <c r="F50" s="566" t="n"/>
      <c r="G50" s="566" t="n"/>
      <c r="H50" s="566" t="n"/>
      <c r="I50" s="483" t="n"/>
      <c r="J50" s="483" t="n"/>
      <c r="K50" s="483" t="n"/>
      <c r="L50" s="483" t="n"/>
      <c r="M50" s="483" t="n"/>
      <c r="N50" s="483" t="n"/>
      <c r="O50" s="483" t="n"/>
      <c r="P50" s="483" t="n"/>
      <c r="Q50" s="483" t="n"/>
      <c r="R50" s="483" t="n"/>
      <c r="S50" s="483" t="n"/>
      <c r="T50" s="483" t="n"/>
      <c r="U50" s="483" t="n"/>
      <c r="V50" s="483" t="n"/>
      <c r="W50" s="483" t="n"/>
      <c r="X50" s="483" t="n"/>
      <c r="Y50" s="483" t="n"/>
      <c r="Z50" s="483" t="n"/>
      <c r="AA50" s="483" t="n"/>
      <c r="AB50" s="483" t="n"/>
    </row>
    <row r="51" ht="15" customHeight="1" s="317">
      <c r="A51" s="483" t="n"/>
      <c r="B51" s="483" t="n"/>
      <c r="C51" s="567" t="inlineStr">
        <is>
          <t xml:space="preserve">Payback </t>
        </is>
      </c>
      <c r="D51" s="568" t="n"/>
      <c r="E51" s="568">
        <f>IF(F31&lt;0,1,0)</f>
        <v/>
      </c>
      <c r="F51" s="568">
        <f>IF(G31&lt;0,1,0)</f>
        <v/>
      </c>
      <c r="G51" s="568">
        <f>IF(H31&lt;0,1,0)</f>
        <v/>
      </c>
      <c r="H51" s="568">
        <f>IF(I31&lt;0,1,0)</f>
        <v/>
      </c>
      <c r="I51" s="568">
        <f>IF(J31&lt;0,1,0)</f>
        <v/>
      </c>
      <c r="J51" s="568">
        <f>IF(K31&lt;0,1,0)</f>
        <v/>
      </c>
      <c r="K51" s="568">
        <f>IF(L31&lt;0,1,0)</f>
        <v/>
      </c>
      <c r="L51" s="569" t="inlineStr">
        <is>
          <t> </t>
        </is>
      </c>
      <c r="M51" s="483" t="n"/>
      <c r="N51" s="483" t="n"/>
      <c r="O51" s="483" t="n"/>
      <c r="P51" s="483" t="n"/>
      <c r="Q51" s="483" t="n"/>
      <c r="R51" s="483" t="n"/>
      <c r="S51" s="483" t="n"/>
      <c r="T51" s="483" t="n"/>
      <c r="U51" s="483" t="n"/>
      <c r="V51" s="483" t="n"/>
      <c r="W51" s="483" t="n"/>
      <c r="X51" s="483" t="n"/>
      <c r="Y51" s="483" t="n"/>
      <c r="Z51" s="483" t="n"/>
      <c r="AA51" s="483" t="n"/>
      <c r="AB51" s="483" t="n"/>
    </row>
    <row r="52" ht="15" customHeight="1" s="317">
      <c r="A52" s="483" t="n"/>
      <c r="B52" s="483" t="n"/>
      <c r="C52" s="570" t="inlineStr">
        <is>
          <t>Calculation Detail:</t>
        </is>
      </c>
      <c r="D52" s="571" t="n"/>
      <c r="E52" s="571">
        <f>IF(F31&gt;0,(-E12/(F31-E12)))</f>
        <v/>
      </c>
      <c r="F52" s="572">
        <f>IF(G31&gt;0,(IF(F31&lt;0,(-F31/(-F31+G31)),0)))</f>
        <v/>
      </c>
      <c r="G52" s="572">
        <f>IF(H31&gt;0,(IF(G31&lt;0,(-G31/(-G31+H31)),0)))</f>
        <v/>
      </c>
      <c r="H52" s="572">
        <f>IF(I31&gt;0,(IF(H31&lt;0,(-H31/(-H31+I31)),0)))</f>
        <v/>
      </c>
      <c r="I52" s="572">
        <f>IF(J31&gt;0,(IF(I31&lt;0,(-I31/(-I31+J31)),0)))</f>
        <v/>
      </c>
      <c r="J52" s="572">
        <f>IF(K31&gt;0,(IF(J31&lt;0,(-J31/(-J31+K31)),0)))</f>
        <v/>
      </c>
      <c r="K52" s="572">
        <f>IF(L31&gt;0,(IF(K31&lt;0,(-K31/(-K31+L31)),0)))</f>
        <v/>
      </c>
      <c r="L52" s="573" t="inlineStr">
        <is>
          <t> </t>
        </is>
      </c>
      <c r="M52" s="483" t="n"/>
      <c r="N52" s="483" t="n"/>
      <c r="O52" s="483" t="n"/>
      <c r="P52" s="483" t="n"/>
      <c r="Q52" s="483" t="n"/>
      <c r="R52" s="483" t="n"/>
      <c r="S52" s="483" t="n"/>
      <c r="T52" s="483" t="n"/>
      <c r="U52" s="483" t="n"/>
      <c r="V52" s="483" t="n"/>
      <c r="W52" s="483" t="n"/>
      <c r="X52" s="483" t="n"/>
      <c r="Y52" s="483" t="n"/>
      <c r="Z52" s="483" t="n"/>
      <c r="AA52" s="483" t="n"/>
      <c r="AB52" s="483" t="n"/>
    </row>
    <row r="53" ht="15" customHeight="1" s="317">
      <c r="A53" s="483" t="n"/>
      <c r="B53" s="483" t="n"/>
      <c r="C53" s="570" t="n"/>
      <c r="D53" s="574" t="n"/>
      <c r="E53" s="574" t="n"/>
      <c r="F53" s="574" t="n"/>
      <c r="G53" s="575" t="n"/>
      <c r="H53" s="575" t="n"/>
      <c r="I53" s="575" t="n"/>
      <c r="J53" s="575" t="n"/>
      <c r="K53" s="575" t="n"/>
      <c r="L53" s="576" t="n"/>
      <c r="M53" s="483" t="n"/>
      <c r="N53" s="483" t="n"/>
      <c r="O53" s="483" t="n"/>
      <c r="P53" s="483" t="n"/>
      <c r="Q53" s="483" t="n"/>
      <c r="R53" s="483" t="n"/>
      <c r="S53" s="483" t="n"/>
      <c r="T53" s="483" t="n"/>
      <c r="U53" s="483" t="n"/>
      <c r="V53" s="483" t="n"/>
      <c r="W53" s="483" t="n"/>
      <c r="X53" s="483" t="n"/>
      <c r="Y53" s="483" t="n"/>
      <c r="Z53" s="483" t="n"/>
      <c r="AA53" s="483" t="n"/>
      <c r="AB53" s="483" t="n"/>
    </row>
    <row r="54" ht="15" customHeight="1" s="317">
      <c r="A54" s="483" t="n"/>
      <c r="B54" s="483" t="n"/>
      <c r="C54" s="577" t="inlineStr">
        <is>
          <t>Formula Checks:</t>
        </is>
      </c>
      <c r="D54" s="575">
        <f>(NPV(disc_fact,$F$28:$J$28)+$E$28)-G38</f>
        <v/>
      </c>
      <c r="E54" s="575" t="n"/>
      <c r="F54" s="574" t="n"/>
      <c r="G54" s="574" t="n"/>
      <c r="H54" s="574" t="n"/>
      <c r="I54" s="574" t="n"/>
      <c r="J54" s="574" t="n"/>
      <c r="K54" s="574" t="n"/>
      <c r="L54" s="578" t="n"/>
      <c r="M54" s="483" t="n"/>
      <c r="N54" s="483" t="n"/>
      <c r="O54" s="483" t="n"/>
      <c r="P54" s="483" t="n"/>
      <c r="Q54" s="483" t="n"/>
      <c r="R54" s="483" t="n"/>
      <c r="S54" s="483" t="n"/>
      <c r="T54" s="483" t="n"/>
      <c r="U54" s="483" t="n"/>
      <c r="V54" s="483" t="n"/>
      <c r="W54" s="483" t="n"/>
      <c r="X54" s="483" t="n"/>
      <c r="Y54" s="483" t="n"/>
      <c r="Z54" s="483" t="n"/>
      <c r="AA54" s="483" t="n"/>
      <c r="AB54" s="483" t="n"/>
    </row>
    <row r="55" ht="15" customHeight="1" s="317">
      <c r="A55" s="483" t="n"/>
      <c r="B55" s="483" t="n"/>
      <c r="C55" s="579" t="inlineStr">
        <is>
          <t>(Should = 0 )</t>
        </is>
      </c>
      <c r="D55" s="575">
        <f>(NPV(disc_fact,$F$28:$L$28)+$E$28)-G39</f>
        <v/>
      </c>
      <c r="E55" s="575" t="n"/>
      <c r="F55" s="575" t="n"/>
      <c r="G55" s="574" t="inlineStr">
        <is>
          <t> </t>
        </is>
      </c>
      <c r="H55" s="574" t="n"/>
      <c r="I55" s="574" t="n"/>
      <c r="J55" s="574" t="n"/>
      <c r="K55" s="574" t="n"/>
      <c r="L55" s="578" t="n"/>
      <c r="M55" s="483" t="n"/>
      <c r="N55" s="483" t="n"/>
      <c r="O55" s="483" t="n"/>
      <c r="P55" s="483" t="n"/>
      <c r="Q55" s="483" t="n"/>
      <c r="R55" s="483" t="n"/>
      <c r="S55" s="483" t="n"/>
      <c r="T55" s="483" t="n"/>
      <c r="U55" s="483" t="n"/>
      <c r="V55" s="483" t="n"/>
      <c r="W55" s="483" t="n"/>
      <c r="X55" s="483" t="n"/>
      <c r="Y55" s="483" t="n"/>
      <c r="Z55" s="483" t="n"/>
      <c r="AA55" s="483" t="n"/>
      <c r="AB55" s="483" t="n"/>
    </row>
    <row r="56" ht="15" customHeight="1" s="317">
      <c r="A56" s="483" t="n"/>
      <c r="B56" s="483" t="n"/>
      <c r="C56" s="570" t="n"/>
      <c r="D56" s="575">
        <f>NPV(H38,E28:J28)</f>
        <v/>
      </c>
      <c r="E56" s="575" t="n"/>
      <c r="F56" s="575" t="n"/>
      <c r="G56" s="574" t="inlineStr">
        <is>
          <t> </t>
        </is>
      </c>
      <c r="H56" s="574" t="n"/>
      <c r="I56" s="574" t="n"/>
      <c r="J56" s="574" t="n"/>
      <c r="K56" s="574" t="n"/>
      <c r="L56" s="578" t="n"/>
      <c r="M56" s="483" t="n"/>
      <c r="N56" s="483" t="n"/>
      <c r="O56" s="483" t="n"/>
      <c r="P56" s="483" t="n"/>
      <c r="Q56" s="483" t="n"/>
      <c r="R56" s="483" t="n"/>
      <c r="S56" s="483" t="n"/>
      <c r="T56" s="483" t="n"/>
      <c r="U56" s="483" t="n"/>
      <c r="V56" s="483" t="n"/>
      <c r="W56" s="483" t="n"/>
      <c r="X56" s="483" t="n"/>
      <c r="Y56" s="483" t="n"/>
      <c r="Z56" s="483" t="n"/>
      <c r="AA56" s="483" t="n"/>
      <c r="AB56" s="483" t="n"/>
    </row>
    <row r="57" ht="15" customHeight="1" s="317">
      <c r="A57" s="483" t="n"/>
      <c r="B57" s="483" t="n"/>
      <c r="C57" s="570" t="n"/>
      <c r="D57" s="575">
        <f>NPV(H39,E28:L28)</f>
        <v/>
      </c>
      <c r="E57" s="575" t="n"/>
      <c r="F57" s="575" t="n"/>
      <c r="G57" s="574" t="n"/>
      <c r="H57" s="574" t="inlineStr">
        <is>
          <t> </t>
        </is>
      </c>
      <c r="I57" s="574" t="n"/>
      <c r="J57" s="574" t="n"/>
      <c r="K57" s="574" t="n"/>
      <c r="L57" s="578" t="n"/>
      <c r="M57" s="483" t="n"/>
      <c r="N57" s="483" t="n"/>
      <c r="O57" s="483" t="n"/>
      <c r="P57" s="483" t="n"/>
      <c r="Q57" s="483" t="n"/>
      <c r="R57" s="483" t="n"/>
      <c r="S57" s="483" t="n"/>
      <c r="T57" s="483" t="n"/>
      <c r="U57" s="483" t="n"/>
      <c r="V57" s="483" t="n"/>
      <c r="W57" s="483" t="n"/>
      <c r="X57" s="483" t="n"/>
      <c r="Y57" s="483" t="n"/>
      <c r="Z57" s="483" t="n"/>
      <c r="AA57" s="483" t="n"/>
      <c r="AB57" s="483" t="n"/>
    </row>
    <row r="58" ht="15" customHeight="1" s="317">
      <c r="A58" s="483" t="n"/>
      <c r="B58" s="483" t="n"/>
      <c r="C58" s="570" t="n"/>
      <c r="D58" s="574" t="n"/>
      <c r="E58" s="574" t="n"/>
      <c r="F58" s="574" t="n"/>
      <c r="G58" s="574" t="n"/>
      <c r="H58" s="574" t="n"/>
      <c r="I58" s="574" t="n"/>
      <c r="J58" s="574" t="n"/>
      <c r="K58" s="574" t="n"/>
      <c r="L58" s="578" t="n"/>
      <c r="M58" s="483" t="n"/>
      <c r="N58" s="483" t="n"/>
      <c r="O58" s="483" t="n"/>
      <c r="P58" s="483" t="n"/>
      <c r="Q58" s="483" t="n"/>
      <c r="R58" s="483" t="n"/>
      <c r="S58" s="483" t="n"/>
      <c r="T58" s="483" t="n"/>
      <c r="U58" s="483" t="n"/>
      <c r="V58" s="483" t="n"/>
      <c r="W58" s="483" t="n"/>
      <c r="X58" s="483" t="n"/>
      <c r="Y58" s="483" t="n"/>
      <c r="Z58" s="483" t="n"/>
      <c r="AA58" s="483" t="n"/>
      <c r="AB58" s="483" t="n"/>
    </row>
    <row r="59" ht="15" customHeight="1" s="317">
      <c r="A59" s="483" t="n"/>
      <c r="B59" s="483" t="n"/>
      <c r="C59" s="580" t="inlineStr">
        <is>
          <t>IRR 7YR</t>
        </is>
      </c>
      <c r="D59" s="575" t="n"/>
      <c r="E59" s="575" t="n"/>
      <c r="F59" s="575">
        <f>IRR(F54:L54,F60)</f>
        <v/>
      </c>
      <c r="G59" s="581">
        <f>IRR(E33:L33,G60)</f>
        <v/>
      </c>
      <c r="H59" s="575" t="n"/>
      <c r="I59" s="575" t="n"/>
      <c r="J59" s="575" t="n"/>
      <c r="K59" s="575" t="n"/>
      <c r="L59" s="576" t="n"/>
      <c r="M59" s="483" t="n"/>
      <c r="N59" s="483" t="n"/>
      <c r="O59" s="483" t="n"/>
      <c r="P59" s="483" t="n"/>
      <c r="Q59" s="483" t="n"/>
      <c r="R59" s="483" t="n"/>
      <c r="S59" s="483" t="n"/>
      <c r="T59" s="483" t="n"/>
      <c r="U59" s="483" t="n"/>
      <c r="V59" s="483" t="n"/>
      <c r="W59" s="483" t="n"/>
      <c r="X59" s="483" t="n"/>
      <c r="Y59" s="483" t="n"/>
      <c r="Z59" s="483" t="n"/>
      <c r="AA59" s="483" t="n"/>
      <c r="AB59" s="483" t="n"/>
    </row>
    <row r="60" ht="15" customHeight="1" s="317">
      <c r="A60" s="483" t="n"/>
      <c r="B60" s="483" t="n"/>
      <c r="C60" s="580" t="inlineStr">
        <is>
          <t>GUESS</t>
        </is>
      </c>
      <c r="D60" s="575" t="n"/>
      <c r="E60" s="575" t="n"/>
      <c r="F60" s="582" t="n">
        <v>0.5</v>
      </c>
      <c r="G60" s="582" t="n">
        <v>0.5</v>
      </c>
      <c r="H60" s="575" t="n"/>
      <c r="I60" s="575" t="n"/>
      <c r="J60" s="575" t="n"/>
      <c r="K60" s="575" t="n"/>
      <c r="L60" s="576" t="n"/>
      <c r="M60" s="483" t="n"/>
      <c r="N60" s="483" t="n"/>
      <c r="O60" s="483" t="n"/>
      <c r="P60" s="483" t="n"/>
      <c r="Q60" s="483" t="n"/>
      <c r="R60" s="483" t="n"/>
      <c r="S60" s="483" t="n"/>
      <c r="T60" s="483" t="n"/>
      <c r="U60" s="483" t="n"/>
      <c r="V60" s="483" t="n"/>
      <c r="W60" s="483" t="n"/>
      <c r="X60" s="483" t="n"/>
      <c r="Y60" s="483" t="n"/>
      <c r="Z60" s="483" t="n"/>
      <c r="AA60" s="483" t="n"/>
      <c r="AB60" s="483" t="n"/>
    </row>
    <row r="61" ht="15" customHeight="1" s="317">
      <c r="A61" s="483" t="n"/>
      <c r="B61" s="483" t="n"/>
      <c r="C61" s="583" t="n"/>
      <c r="D61" s="575" t="n"/>
      <c r="E61" s="575" t="n"/>
      <c r="F61" s="575" t="n"/>
      <c r="G61" s="575" t="n"/>
      <c r="H61" s="575" t="n"/>
      <c r="I61" s="575" t="n"/>
      <c r="J61" s="575" t="n"/>
      <c r="K61" s="575" t="n"/>
      <c r="L61" s="576" t="n"/>
      <c r="M61" s="483" t="n"/>
      <c r="N61" s="483" t="n"/>
      <c r="O61" s="483" t="n"/>
      <c r="P61" s="483" t="n"/>
      <c r="Q61" s="483" t="n"/>
      <c r="R61" s="483" t="n"/>
      <c r="S61" s="483" t="n"/>
      <c r="T61" s="483" t="n"/>
      <c r="U61" s="483" t="n"/>
      <c r="V61" s="483" t="n"/>
      <c r="W61" s="483" t="n"/>
      <c r="X61" s="483" t="n"/>
      <c r="Y61" s="483" t="n"/>
      <c r="Z61" s="483" t="n"/>
      <c r="AA61" s="483" t="n"/>
      <c r="AB61" s="483" t="n"/>
    </row>
    <row r="62" ht="15" customHeight="1" s="317">
      <c r="A62" s="483" t="n"/>
      <c r="B62" s="483" t="n"/>
      <c r="C62" s="580" t="inlineStr">
        <is>
          <t>Depreciation Rates:</t>
        </is>
      </c>
      <c r="D62" s="584" t="n"/>
      <c r="E62" s="584">
        <f>IF(Cap_Eval_Dur=5,0.2,IF(Cap_Eval_Dur=7,1/7,"Invalid Entry"))</f>
        <v/>
      </c>
      <c r="F62" s="584">
        <f>IF(Cap_Eval_Dur=5,0.2,IF(Cap_Eval_Dur=7,1/7,"Invalid Entry"))</f>
        <v/>
      </c>
      <c r="G62" s="584">
        <f>IF(Cap_Eval_Dur=5,0.2,IF(Cap_Eval_Dur=7,1/7,"Invalid Entry"))</f>
        <v/>
      </c>
      <c r="H62" s="584">
        <f>IF(Cap_Eval_Dur=5,0.2,IF(Cap_Eval_Dur=7,1/7,"Invalid Entry"))</f>
        <v/>
      </c>
      <c r="I62" s="584">
        <f>IF(Cap_Eval_Dur=5,0.2,IF(Cap_Eval_Dur=7,1/7,"Invalid Entry"))</f>
        <v/>
      </c>
      <c r="J62" s="584">
        <f>IF(Cap_Eval_Dur=5,0,IF(Cap_Eval_Dur=7,1/7,"Invalid Entry"))</f>
        <v/>
      </c>
      <c r="K62" s="584">
        <f>IF(Cap_Eval_Dur=5,0,IF(Cap_Eval_Dur=7,1/7,"Invalid Entry"))</f>
        <v/>
      </c>
      <c r="L62" s="585">
        <f>SUM(E62:K62)-1</f>
        <v/>
      </c>
      <c r="M62" s="483" t="n"/>
      <c r="N62" s="483" t="n"/>
      <c r="O62" s="483" t="n"/>
      <c r="P62" s="483" t="n"/>
      <c r="Q62" s="483" t="n"/>
      <c r="R62" s="483" t="n"/>
      <c r="S62" s="483" t="n"/>
      <c r="T62" s="483" t="n"/>
      <c r="U62" s="483" t="n"/>
      <c r="V62" s="483" t="n"/>
      <c r="W62" s="483" t="n"/>
      <c r="X62" s="483" t="n"/>
      <c r="Y62" s="483" t="n"/>
      <c r="Z62" s="483" t="n"/>
      <c r="AA62" s="483" t="n"/>
      <c r="AB62" s="483" t="n"/>
    </row>
    <row r="63" ht="15" customHeight="1" s="317">
      <c r="A63" s="483" t="n"/>
      <c r="B63" s="483" t="n"/>
      <c r="C63" s="586" t="inlineStr">
        <is>
          <t>(Straight-Line - Change if Applicable)</t>
        </is>
      </c>
      <c r="D63" s="587" t="n"/>
      <c r="E63" s="587" t="n"/>
      <c r="F63" s="587" t="n"/>
      <c r="G63" s="587" t="n"/>
      <c r="H63" s="587" t="n"/>
      <c r="I63" s="587" t="n"/>
      <c r="J63" s="587" t="n"/>
      <c r="K63" s="587" t="n"/>
      <c r="L63" s="588" t="n"/>
      <c r="M63" s="483" t="n"/>
      <c r="N63" s="483" t="n"/>
      <c r="O63" s="483" t="n"/>
      <c r="P63" s="483" t="n"/>
      <c r="Q63" s="483" t="n"/>
      <c r="R63" s="483" t="n"/>
      <c r="S63" s="483" t="n"/>
      <c r="T63" s="483" t="n"/>
      <c r="U63" s="483" t="n"/>
      <c r="V63" s="483" t="n"/>
      <c r="W63" s="483" t="n"/>
      <c r="X63" s="483" t="n"/>
      <c r="Y63" s="483" t="n"/>
      <c r="Z63" s="483" t="n"/>
      <c r="AA63" s="483" t="n"/>
      <c r="AB63" s="483" t="n"/>
    </row>
    <row r="64" ht="15" customHeight="1" s="317">
      <c r="A64" s="483" t="n"/>
      <c r="B64" s="483" t="n"/>
      <c r="C64" s="490" t="n"/>
      <c r="D64" s="490" t="n"/>
      <c r="E64" s="490" t="n"/>
      <c r="F64" s="490" t="n"/>
      <c r="G64" s="490" t="n"/>
      <c r="H64" s="490" t="n"/>
      <c r="I64" s="490" t="n"/>
      <c r="J64" s="490" t="n"/>
      <c r="K64" s="490" t="n"/>
      <c r="L64" s="490" t="n"/>
      <c r="M64" s="483" t="n"/>
      <c r="N64" s="483" t="n"/>
      <c r="O64" s="483" t="n"/>
      <c r="P64" s="483" t="n"/>
      <c r="Q64" s="483" t="n"/>
      <c r="R64" s="483" t="n"/>
      <c r="S64" s="483" t="n"/>
      <c r="T64" s="483" t="n"/>
      <c r="U64" s="483" t="n"/>
      <c r="V64" s="483" t="n"/>
      <c r="W64" s="483" t="n"/>
      <c r="X64" s="483" t="n"/>
      <c r="Y64" s="483" t="n"/>
      <c r="Z64" s="483" t="n"/>
      <c r="AA64" s="483" t="n"/>
      <c r="AB64" s="483" t="n"/>
    </row>
    <row r="65" ht="15" customHeight="1" s="317">
      <c r="A65" s="483" t="n"/>
      <c r="B65" s="483" t="n"/>
      <c r="C65" s="490" t="n"/>
      <c r="D65" s="490" t="n"/>
      <c r="E65" s="490" t="n"/>
      <c r="F65" s="490" t="inlineStr">
        <is>
          <t> </t>
        </is>
      </c>
      <c r="G65" s="490" t="inlineStr">
        <is>
          <t> </t>
        </is>
      </c>
      <c r="H65" s="490" t="n"/>
      <c r="I65" s="490" t="n"/>
      <c r="J65" s="490" t="n"/>
      <c r="K65" s="490" t="n"/>
      <c r="L65" s="589" t="inlineStr">
        <is>
          <t>Formula</t>
        </is>
      </c>
      <c r="M65" s="483" t="n"/>
      <c r="N65" s="483" t="n"/>
      <c r="O65" s="483" t="n"/>
      <c r="P65" s="483" t="n"/>
      <c r="Q65" s="483" t="n"/>
      <c r="R65" s="483" t="n"/>
      <c r="S65" s="483" t="n"/>
      <c r="T65" s="483" t="n"/>
      <c r="U65" s="483" t="n"/>
      <c r="V65" s="483" t="n"/>
      <c r="W65" s="483" t="n"/>
      <c r="X65" s="483" t="n"/>
      <c r="Y65" s="483" t="n"/>
      <c r="Z65" s="483" t="n"/>
      <c r="AA65" s="483" t="n"/>
      <c r="AB65" s="483" t="n"/>
    </row>
    <row r="66" ht="15" customHeight="1" s="317">
      <c r="A66" s="483" t="n"/>
      <c r="B66" s="483" t="n"/>
      <c r="C66" s="490" t="n"/>
      <c r="D66" s="490" t="n"/>
      <c r="E66" s="490" t="n"/>
      <c r="F66" s="490" t="inlineStr">
        <is>
          <t> </t>
        </is>
      </c>
      <c r="G66" s="490" t="n"/>
      <c r="H66" s="490" t="inlineStr">
        <is>
          <t> </t>
        </is>
      </c>
      <c r="I66" s="490" t="inlineStr">
        <is>
          <t> </t>
        </is>
      </c>
      <c r="J66" s="490" t="n"/>
      <c r="K66" s="490" t="n"/>
      <c r="L66" s="590" t="inlineStr">
        <is>
          <t>Checker</t>
        </is>
      </c>
      <c r="M66" s="483" t="n"/>
      <c r="N66" s="483" t="n"/>
      <c r="O66" s="483" t="n"/>
      <c r="P66" s="483" t="n"/>
      <c r="Q66" s="483" t="n"/>
      <c r="R66" s="483" t="n"/>
      <c r="S66" s="483" t="n"/>
      <c r="T66" s="483" t="n"/>
      <c r="U66" s="483" t="n"/>
      <c r="V66" s="483" t="n"/>
      <c r="W66" s="483" t="n"/>
      <c r="X66" s="483" t="n"/>
      <c r="Y66" s="483" t="n"/>
      <c r="Z66" s="483" t="n"/>
      <c r="AA66" s="483" t="n"/>
      <c r="AB66" s="483" t="n"/>
    </row>
    <row r="67" ht="15" customHeight="1" s="317">
      <c r="A67" s="483" t="n"/>
      <c r="B67" s="483" t="n"/>
      <c r="C67" s="490" t="n"/>
      <c r="D67" s="490" t="n"/>
      <c r="E67" s="490" t="n"/>
      <c r="F67" s="490" t="n"/>
      <c r="G67" s="490" t="inlineStr">
        <is>
          <t> </t>
        </is>
      </c>
      <c r="H67" s="490" t="n"/>
      <c r="I67" s="490" t="n"/>
      <c r="J67" s="490" t="n"/>
      <c r="K67" s="490" t="n"/>
      <c r="L67" s="591" t="inlineStr">
        <is>
          <t>Should = 0</t>
        </is>
      </c>
      <c r="M67" s="483" t="n"/>
      <c r="N67" s="483" t="n"/>
      <c r="O67" s="483" t="n"/>
      <c r="P67" s="483" t="n"/>
      <c r="Q67" s="483" t="n"/>
      <c r="R67" s="483" t="n"/>
      <c r="S67" s="483" t="n"/>
      <c r="T67" s="483" t="n"/>
      <c r="U67" s="483" t="n"/>
      <c r="V67" s="483" t="n"/>
      <c r="W67" s="483" t="n"/>
      <c r="X67" s="483" t="n"/>
      <c r="Y67" s="483" t="n"/>
      <c r="Z67" s="483" t="n"/>
      <c r="AA67" s="483" t="n"/>
      <c r="AB67" s="483" t="n"/>
    </row>
    <row r="68" ht="15" customHeight="1" s="317">
      <c r="A68" s="483" t="n"/>
      <c r="B68" s="483" t="n"/>
      <c r="C68" s="490" t="n"/>
      <c r="D68" s="490" t="n"/>
      <c r="E68" s="592" t="inlineStr">
        <is>
          <t>Deprec.</t>
        </is>
      </c>
      <c r="F68" s="592" t="inlineStr">
        <is>
          <t>Deprec.</t>
        </is>
      </c>
      <c r="G68" s="592" t="inlineStr">
        <is>
          <t>Deprec.</t>
        </is>
      </c>
      <c r="H68" s="592" t="inlineStr">
        <is>
          <t>Deprec.</t>
        </is>
      </c>
      <c r="I68" s="592" t="inlineStr">
        <is>
          <t>Deprec.</t>
        </is>
      </c>
      <c r="J68" s="592" t="inlineStr">
        <is>
          <t>Deprec.</t>
        </is>
      </c>
      <c r="K68" s="592" t="inlineStr">
        <is>
          <t>Deprec.</t>
        </is>
      </c>
      <c r="L68" s="490" t="n"/>
      <c r="M68" s="483" t="n"/>
      <c r="N68" s="483" t="n"/>
      <c r="O68" s="483" t="n"/>
      <c r="P68" s="483" t="n"/>
      <c r="Q68" s="483" t="n"/>
      <c r="R68" s="483" t="n"/>
      <c r="S68" s="483" t="n"/>
      <c r="T68" s="483" t="n"/>
      <c r="U68" s="483" t="n"/>
      <c r="V68" s="483" t="n"/>
      <c r="W68" s="483" t="n"/>
      <c r="X68" s="483" t="n"/>
      <c r="Y68" s="483" t="n"/>
      <c r="Z68" s="483" t="n"/>
      <c r="AA68" s="483" t="n"/>
      <c r="AB68" s="483" t="n"/>
    </row>
    <row r="69" ht="15" customHeight="1" s="317">
      <c r="A69" s="483" t="n"/>
      <c r="B69" s="483" t="n"/>
      <c r="C69" s="490" t="inlineStr">
        <is>
          <t>Investment Year 1</t>
        </is>
      </c>
      <c r="D69" s="490" t="n"/>
      <c r="E69" s="593">
        <f>(invest5a*E62)+(invest7a*E62)</f>
        <v/>
      </c>
      <c r="F69" s="594">
        <f>(invest5a*F62)+(invest7a*F62)</f>
        <v/>
      </c>
      <c r="G69" s="594">
        <f>(invest5a*G62)+(invest7a*G62)</f>
        <v/>
      </c>
      <c r="H69" s="594">
        <f>(invest5a*H62)+(invest7a*H62)</f>
        <v/>
      </c>
      <c r="I69" s="594">
        <f>(invest5a*I62)+(invest7a*I62)</f>
        <v/>
      </c>
      <c r="J69" s="594">
        <f>(invest5a*J62)+(invest7a*J62)</f>
        <v/>
      </c>
      <c r="K69" s="594">
        <f>(invest5a*K62)+(invest7a*K62)</f>
        <v/>
      </c>
      <c r="L69" s="595">
        <f>SUM(E69:K69)-E33</f>
        <v/>
      </c>
      <c r="M69" s="483" t="n"/>
      <c r="N69" s="483" t="n"/>
      <c r="O69" s="483" t="n"/>
      <c r="P69" s="483" t="n"/>
      <c r="Q69" s="483" t="n"/>
      <c r="R69" s="483" t="n"/>
      <c r="S69" s="483" t="n"/>
      <c r="T69" s="483" t="n"/>
      <c r="U69" s="483" t="n"/>
      <c r="V69" s="483" t="n"/>
      <c r="W69" s="483" t="n"/>
      <c r="X69" s="483" t="n"/>
      <c r="Y69" s="483" t="n"/>
      <c r="Z69" s="483" t="n"/>
      <c r="AA69" s="483" t="n"/>
      <c r="AB69" s="483" t="n"/>
    </row>
    <row r="70" ht="15" customHeight="1" s="317">
      <c r="A70" s="483" t="n"/>
      <c r="B70" s="483" t="n"/>
      <c r="C70" s="490" t="inlineStr">
        <is>
          <t>Investment Year 2</t>
        </is>
      </c>
      <c r="D70" s="490" t="n"/>
      <c r="E70" s="490" t="inlineStr">
        <is>
          <t> </t>
        </is>
      </c>
      <c r="F70" s="594">
        <f>(invest5a_1*E62)+(invest7a_1*E62)</f>
        <v/>
      </c>
      <c r="G70" s="594">
        <f>(invest5a_1*F62)+(invest7a_1*F62)</f>
        <v/>
      </c>
      <c r="H70" s="594">
        <f>(invest5a_1*G62)+(invest7a_1*G62)</f>
        <v/>
      </c>
      <c r="I70" s="594">
        <f>(invest5a_1*H62)+(invest7a_1*H62)</f>
        <v/>
      </c>
      <c r="J70" s="594">
        <f>(invest5a_1*I62)+(invest7a_1*I62)</f>
        <v/>
      </c>
      <c r="K70" s="594">
        <f>(invest5a_1*J62)+(invest7a_1*J62)</f>
        <v/>
      </c>
      <c r="L70" s="595">
        <f>SUM(E70:K70)</f>
        <v/>
      </c>
      <c r="M70" s="483" t="n"/>
      <c r="N70" s="483" t="n"/>
      <c r="O70" s="483" t="n"/>
      <c r="P70" s="483" t="n"/>
      <c r="Q70" s="483" t="n"/>
      <c r="R70" s="483" t="n"/>
      <c r="S70" s="483" t="n"/>
      <c r="T70" s="483" t="n"/>
      <c r="U70" s="483" t="n"/>
      <c r="V70" s="483" t="n"/>
      <c r="W70" s="483" t="n"/>
      <c r="X70" s="483" t="n"/>
      <c r="Y70" s="483" t="n"/>
      <c r="Z70" s="483" t="n"/>
      <c r="AA70" s="483" t="n"/>
      <c r="AB70" s="483" t="n"/>
    </row>
    <row r="71" ht="15" customHeight="1" s="317">
      <c r="A71" s="483" t="n"/>
      <c r="B71" s="483" t="n"/>
      <c r="C71" s="490" t="inlineStr">
        <is>
          <t>Investment Year 3</t>
        </is>
      </c>
      <c r="D71" s="490" t="n"/>
      <c r="E71" s="490" t="inlineStr">
        <is>
          <t> </t>
        </is>
      </c>
      <c r="F71" s="490" t="n"/>
      <c r="G71" s="594">
        <f>(invest5a_2*E62)+(invest7a_2*E62)</f>
        <v/>
      </c>
      <c r="H71" s="594">
        <f>(invest5a_2*F62)+(invest7a_2*F62)</f>
        <v/>
      </c>
      <c r="I71" s="594">
        <f>(invest5a_2*G62)+(invest7a_2*G62)</f>
        <v/>
      </c>
      <c r="J71" s="594">
        <f>(invest5a_2*H62)+(invest7a_2*H62)</f>
        <v/>
      </c>
      <c r="K71" s="594">
        <f>(invest5a_2*I62)+(invest7a_2*I62)</f>
        <v/>
      </c>
      <c r="L71" s="595">
        <f>SUM(E71:K71)</f>
        <v/>
      </c>
      <c r="M71" s="483" t="n"/>
      <c r="N71" s="483" t="n"/>
      <c r="O71" s="483" t="n"/>
      <c r="P71" s="483" t="n"/>
      <c r="Q71" s="483" t="n"/>
      <c r="R71" s="483" t="n"/>
      <c r="S71" s="483" t="n"/>
      <c r="T71" s="483" t="n"/>
      <c r="U71" s="483" t="n"/>
      <c r="V71" s="483" t="n"/>
      <c r="W71" s="483" t="n"/>
      <c r="X71" s="483" t="n"/>
      <c r="Y71" s="483" t="n"/>
      <c r="Z71" s="483" t="n"/>
      <c r="AA71" s="483" t="n"/>
      <c r="AB71" s="483" t="n"/>
    </row>
    <row r="72" ht="15" customHeight="1" s="317">
      <c r="A72" s="483" t="n"/>
      <c r="B72" s="483" t="n"/>
      <c r="C72" s="490" t="inlineStr">
        <is>
          <t>Investment Year 4</t>
        </is>
      </c>
      <c r="D72" s="490" t="n"/>
      <c r="E72" s="490" t="inlineStr">
        <is>
          <t> </t>
        </is>
      </c>
      <c r="F72" s="490" t="n"/>
      <c r="G72" s="490" t="n"/>
      <c r="H72" s="594">
        <f>(invest5a_3*E62)+(invest7a_3*E62)</f>
        <v/>
      </c>
      <c r="I72" s="594">
        <f>(invest5a_3*F62)+(invest7a_3*F62)</f>
        <v/>
      </c>
      <c r="J72" s="594">
        <f>(invest5a_3*G62)+(invest7a_3*G62)</f>
        <v/>
      </c>
      <c r="K72" s="594">
        <f>(invest5a_3*H62)+(invest7a_3*H62)</f>
        <v/>
      </c>
      <c r="L72" s="595">
        <f>SUM(E72:K72)</f>
        <v/>
      </c>
      <c r="M72" s="483" t="n"/>
      <c r="N72" s="483" t="n"/>
      <c r="O72" s="483" t="n"/>
      <c r="P72" s="483" t="n"/>
      <c r="Q72" s="483" t="n"/>
      <c r="R72" s="483" t="n"/>
      <c r="S72" s="483" t="n"/>
      <c r="T72" s="483" t="n"/>
      <c r="U72" s="483" t="n"/>
      <c r="V72" s="483" t="n"/>
      <c r="W72" s="483" t="n"/>
      <c r="X72" s="483" t="n"/>
      <c r="Y72" s="483" t="n"/>
      <c r="Z72" s="483" t="n"/>
      <c r="AA72" s="483" t="n"/>
      <c r="AB72" s="483" t="n"/>
    </row>
    <row r="73" ht="15" customHeight="1" s="317">
      <c r="A73" s="483" t="n"/>
      <c r="B73" s="483" t="n"/>
      <c r="C73" s="490" t="inlineStr">
        <is>
          <t>Investment Year 5</t>
        </is>
      </c>
      <c r="D73" s="490" t="n"/>
      <c r="E73" s="490" t="inlineStr">
        <is>
          <t> </t>
        </is>
      </c>
      <c r="F73" s="490" t="inlineStr">
        <is>
          <t> </t>
        </is>
      </c>
      <c r="G73" s="490" t="n"/>
      <c r="H73" s="490" t="n"/>
      <c r="I73" s="594">
        <f>(invest5a_4*E62)+(invest7a_4*E62)</f>
        <v/>
      </c>
      <c r="J73" s="594">
        <f>(invest5a_4*F62)+(invest7a_4*F62)</f>
        <v/>
      </c>
      <c r="K73" s="594">
        <f>(invest5a_4*G62)+(invest7a_4*G62)</f>
        <v/>
      </c>
      <c r="L73" s="595">
        <f>SUM(E73:K73)</f>
        <v/>
      </c>
      <c r="M73" s="483" t="n"/>
      <c r="N73" s="483" t="n"/>
      <c r="O73" s="483" t="n"/>
      <c r="P73" s="483" t="n"/>
      <c r="Q73" s="483" t="n"/>
      <c r="R73" s="483" t="n"/>
      <c r="S73" s="483" t="n"/>
      <c r="T73" s="483" t="n"/>
      <c r="U73" s="483" t="n"/>
      <c r="V73" s="483" t="n"/>
      <c r="W73" s="483" t="n"/>
      <c r="X73" s="483" t="n"/>
      <c r="Y73" s="483" t="n"/>
      <c r="Z73" s="483" t="n"/>
      <c r="AA73" s="483" t="n"/>
      <c r="AB73" s="483" t="n"/>
    </row>
    <row r="74" ht="15" customHeight="1" s="317">
      <c r="A74" s="483" t="n"/>
      <c r="B74" s="483" t="n"/>
      <c r="C74" s="490" t="inlineStr">
        <is>
          <t>Investment Year 6</t>
        </is>
      </c>
      <c r="D74" s="490" t="n"/>
      <c r="E74" s="490" t="n"/>
      <c r="F74" s="490" t="inlineStr">
        <is>
          <t> </t>
        </is>
      </c>
      <c r="G74" s="490" t="n"/>
      <c r="H74" s="490" t="inlineStr">
        <is>
          <t> </t>
        </is>
      </c>
      <c r="I74" s="490" t="n"/>
      <c r="J74" s="594">
        <f>(invest5a_5*E62)+(invest7a_5*E62)</f>
        <v/>
      </c>
      <c r="K74" s="594">
        <f>(invest5a_5*F62)+(invest7a_5*F62)</f>
        <v/>
      </c>
      <c r="L74" s="595">
        <f>SUM(E74:K74)</f>
        <v/>
      </c>
      <c r="M74" s="483" t="n"/>
      <c r="N74" s="483" t="n"/>
      <c r="O74" s="483" t="n"/>
      <c r="P74" s="483" t="n"/>
      <c r="Q74" s="483" t="n"/>
      <c r="R74" s="483" t="n"/>
      <c r="S74" s="483" t="n"/>
      <c r="T74" s="483" t="n"/>
      <c r="U74" s="483" t="n"/>
      <c r="V74" s="483" t="n"/>
      <c r="W74" s="483" t="n"/>
      <c r="X74" s="483" t="n"/>
      <c r="Y74" s="483" t="n"/>
      <c r="Z74" s="483" t="n"/>
      <c r="AA74" s="483" t="n"/>
      <c r="AB74" s="483" t="n"/>
    </row>
    <row r="75" ht="15" customHeight="1" s="317">
      <c r="A75" s="483" t="n"/>
      <c r="B75" s="483" t="n"/>
      <c r="C75" s="490" t="inlineStr">
        <is>
          <t>Investment Year 7</t>
        </is>
      </c>
      <c r="D75" s="490" t="n"/>
      <c r="E75" s="490" t="n"/>
      <c r="F75" s="490" t="inlineStr">
        <is>
          <t> </t>
        </is>
      </c>
      <c r="G75" s="490" t="inlineStr">
        <is>
          <t> </t>
        </is>
      </c>
      <c r="H75" s="490" t="inlineStr">
        <is>
          <t> </t>
        </is>
      </c>
      <c r="I75" s="490" t="n"/>
      <c r="J75" s="490" t="inlineStr">
        <is>
          <t> </t>
        </is>
      </c>
      <c r="K75" s="594">
        <f>(invest5a_6*E62)+(invest7a_6*E62)</f>
        <v/>
      </c>
      <c r="L75" s="596">
        <f>SUM(E75:K75)</f>
        <v/>
      </c>
      <c r="M75" s="483" t="n"/>
      <c r="N75" s="483" t="n"/>
      <c r="O75" s="483" t="n"/>
      <c r="P75" s="483" t="n"/>
      <c r="Q75" s="483" t="n"/>
      <c r="R75" s="483" t="n"/>
      <c r="S75" s="483" t="n"/>
      <c r="T75" s="483" t="n"/>
      <c r="U75" s="483" t="n"/>
      <c r="V75" s="483" t="n"/>
      <c r="W75" s="483" t="n"/>
      <c r="X75" s="483" t="n"/>
      <c r="Y75" s="483" t="n"/>
      <c r="Z75" s="483" t="n"/>
      <c r="AA75" s="483" t="n"/>
      <c r="AB75" s="483" t="n"/>
    </row>
    <row r="76" ht="15" customHeight="1" s="317">
      <c r="A76" s="483" t="n"/>
      <c r="B76" s="483" t="n"/>
      <c r="C76" s="490" t="n"/>
      <c r="D76" s="490" t="n"/>
      <c r="E76" s="490" t="n"/>
      <c r="F76" s="490" t="n"/>
      <c r="G76" s="490" t="n"/>
      <c r="H76" s="490" t="n"/>
      <c r="I76" s="490" t="n"/>
      <c r="J76" s="490" t="n"/>
      <c r="K76" s="490" t="n"/>
      <c r="L76" s="490" t="n"/>
      <c r="M76" s="483" t="n"/>
      <c r="N76" s="483" t="n"/>
      <c r="O76" s="483" t="n"/>
      <c r="P76" s="483" t="n"/>
      <c r="Q76" s="483" t="n"/>
      <c r="R76" s="483" t="n"/>
      <c r="S76" s="483" t="n"/>
      <c r="T76" s="483" t="n"/>
      <c r="U76" s="483" t="n"/>
      <c r="V76" s="483" t="n"/>
      <c r="W76" s="483" t="n"/>
      <c r="X76" s="483" t="n"/>
      <c r="Y76" s="483" t="n"/>
      <c r="Z76" s="483" t="n"/>
      <c r="AA76" s="483" t="n"/>
      <c r="AB76" s="483" t="n"/>
    </row>
    <row r="77" ht="15" customHeight="1" s="317">
      <c r="A77" s="483" t="n"/>
      <c r="B77" s="483" t="n"/>
      <c r="C77" s="490" t="inlineStr">
        <is>
          <t>Total Depreciation</t>
        </is>
      </c>
      <c r="D77" s="490" t="n"/>
      <c r="E77" s="594">
        <f>SUM(E69:E75)</f>
        <v/>
      </c>
      <c r="F77" s="594">
        <f>SUM(F69:F75)</f>
        <v/>
      </c>
      <c r="G77" s="594">
        <f>SUM(G69:G75)</f>
        <v/>
      </c>
      <c r="H77" s="594">
        <f>SUM(H69:H75)</f>
        <v/>
      </c>
      <c r="I77" s="594">
        <f>SUM(I69:I75)</f>
        <v/>
      </c>
      <c r="J77" s="594">
        <f>SUM(J69:J75)</f>
        <v/>
      </c>
      <c r="K77" s="594">
        <f>SUM(K69:K75)</f>
        <v/>
      </c>
      <c r="L77" s="490" t="n"/>
      <c r="M77" s="483" t="n"/>
      <c r="N77" s="483" t="n"/>
      <c r="O77" s="483" t="n"/>
      <c r="P77" s="483" t="n"/>
      <c r="Q77" s="483" t="n"/>
      <c r="R77" s="483" t="n"/>
      <c r="S77" s="483" t="n"/>
      <c r="T77" s="483" t="n"/>
      <c r="U77" s="483" t="n"/>
      <c r="V77" s="483" t="n"/>
      <c r="W77" s="483" t="n"/>
      <c r="X77" s="483" t="n"/>
      <c r="Y77" s="483" t="n"/>
      <c r="Z77" s="483" t="n"/>
      <c r="AA77" s="483" t="n"/>
      <c r="AB77" s="483" t="n"/>
    </row>
    <row r="78" ht="15" customHeight="1" s="317">
      <c r="A78" s="483" t="n"/>
      <c r="B78" s="483" t="n"/>
      <c r="C78" s="490" t="n"/>
      <c r="D78" s="490" t="n"/>
      <c r="E78" s="490" t="n"/>
      <c r="F78" s="490" t="n"/>
      <c r="G78" s="490" t="n"/>
      <c r="H78" s="490" t="n"/>
      <c r="I78" s="490" t="n"/>
      <c r="J78" s="490" t="n"/>
      <c r="K78" s="490" t="n"/>
      <c r="L78" s="490" t="n"/>
      <c r="M78" s="483" t="n"/>
      <c r="N78" s="483" t="n"/>
      <c r="O78" s="483" t="n"/>
      <c r="P78" s="483" t="n"/>
      <c r="Q78" s="483" t="n"/>
      <c r="R78" s="483" t="n"/>
      <c r="S78" s="483" t="n"/>
      <c r="T78" s="483" t="n"/>
      <c r="U78" s="483" t="n"/>
      <c r="V78" s="483" t="n"/>
      <c r="W78" s="483" t="n"/>
      <c r="X78" s="483" t="n"/>
      <c r="Y78" s="483" t="n"/>
      <c r="Z78" s="483" t="n"/>
      <c r="AA78" s="483" t="n"/>
      <c r="AB78" s="483" t="n"/>
    </row>
    <row r="79" ht="15" customHeight="1" s="317">
      <c r="A79" s="483" t="n"/>
      <c r="B79" s="483" t="n"/>
      <c r="C79" s="490" t="inlineStr">
        <is>
          <t>Inflation Factors</t>
        </is>
      </c>
      <c r="D79" s="490" t="n"/>
      <c r="E79" s="490" t="n"/>
      <c r="F79" s="490" t="inlineStr">
        <is>
          <t> </t>
        </is>
      </c>
      <c r="G79" s="490" t="n"/>
      <c r="H79" s="490" t="n"/>
      <c r="I79" s="490" t="n"/>
      <c r="J79" s="490" t="n"/>
      <c r="K79" s="490" t="n"/>
      <c r="L79" s="490" t="n"/>
      <c r="M79" s="483" t="n"/>
      <c r="N79" s="483" t="n"/>
      <c r="O79" s="483" t="n"/>
      <c r="P79" s="483" t="n"/>
      <c r="Q79" s="483" t="n"/>
      <c r="R79" s="483" t="n"/>
      <c r="S79" s="483" t="n"/>
      <c r="T79" s="483" t="n"/>
      <c r="U79" s="483" t="n"/>
      <c r="V79" s="483" t="n"/>
      <c r="W79" s="483" t="n"/>
      <c r="X79" s="483" t="n"/>
      <c r="Y79" s="483" t="n"/>
      <c r="Z79" s="483" t="n"/>
      <c r="AA79" s="483" t="n"/>
      <c r="AB79" s="483" t="n"/>
    </row>
    <row r="80" ht="15" customHeight="1" s="317">
      <c r="A80" s="483" t="n"/>
      <c r="B80" s="483" t="n"/>
      <c r="C80" s="490" t="inlineStr">
        <is>
          <t>Enter Rate</t>
        </is>
      </c>
      <c r="D80" s="597" t="n">
        <v>0</v>
      </c>
      <c r="E80" s="597" t="n">
        <v>1</v>
      </c>
      <c r="F80" s="597">
        <f>E80*(1+$D80)</f>
        <v/>
      </c>
      <c r="G80" s="597">
        <f>F80*(1+$D80)</f>
        <v/>
      </c>
      <c r="H80" s="597">
        <f>G80*(1+$D80)</f>
        <v/>
      </c>
      <c r="I80" s="597">
        <f>H80*(1+$D80)</f>
        <v/>
      </c>
      <c r="J80" s="597">
        <f>I80*(1+$D80)</f>
        <v/>
      </c>
      <c r="K80" s="597">
        <f>J80*(1+$D80)</f>
        <v/>
      </c>
      <c r="L80" s="490" t="n"/>
      <c r="M80" s="483" t="n"/>
      <c r="N80" s="483" t="n"/>
      <c r="O80" s="483" t="n"/>
      <c r="P80" s="483" t="n"/>
      <c r="Q80" s="483" t="n"/>
      <c r="R80" s="483" t="n"/>
      <c r="S80" s="483" t="n"/>
      <c r="T80" s="483" t="n"/>
      <c r="U80" s="483" t="n"/>
      <c r="V80" s="483" t="n"/>
      <c r="W80" s="483" t="n"/>
      <c r="X80" s="483" t="n"/>
      <c r="Y80" s="483" t="n"/>
      <c r="Z80" s="483" t="n"/>
      <c r="AA80" s="483" t="n"/>
      <c r="AB80" s="483" t="n"/>
    </row>
    <row r="81" ht="12" customHeight="1" s="317">
      <c r="A81" s="483" t="n"/>
      <c r="B81" s="483" t="n"/>
      <c r="C81" s="483" t="n"/>
      <c r="D81" s="483" t="n"/>
      <c r="E81" s="483" t="n"/>
      <c r="F81" s="483" t="n"/>
      <c r="G81" s="483" t="n"/>
      <c r="H81" s="483" t="n"/>
      <c r="I81" s="483" t="n"/>
      <c r="J81" s="483" t="n"/>
      <c r="K81" s="483" t="n"/>
      <c r="L81" s="483" t="n"/>
      <c r="M81" s="483" t="n"/>
      <c r="N81" s="483" t="n"/>
      <c r="O81" s="483" t="n"/>
      <c r="P81" s="483" t="n"/>
      <c r="Q81" s="483" t="n"/>
      <c r="R81" s="483" t="n"/>
      <c r="S81" s="483" t="n"/>
      <c r="T81" s="483" t="n"/>
      <c r="U81" s="483" t="n"/>
      <c r="V81" s="483" t="n"/>
      <c r="W81" s="483" t="n"/>
      <c r="X81" s="483" t="n"/>
      <c r="Y81" s="483" t="n"/>
      <c r="Z81" s="483" t="n"/>
      <c r="AA81" s="483" t="n"/>
      <c r="AB81" s="483" t="n"/>
    </row>
    <row r="82" ht="12" customHeight="1" s="317">
      <c r="A82" s="483" t="n"/>
      <c r="B82" s="483" t="n"/>
      <c r="C82" s="483" t="n"/>
      <c r="D82" s="483" t="n"/>
      <c r="E82" s="483" t="n"/>
      <c r="F82" s="483" t="n"/>
      <c r="G82" s="483" t="inlineStr">
        <is>
          <t> </t>
        </is>
      </c>
      <c r="H82" s="483" t="n"/>
      <c r="I82" s="483" t="n"/>
      <c r="J82" s="483" t="n"/>
      <c r="K82" s="483" t="n"/>
      <c r="L82" s="483" t="n"/>
      <c r="M82" s="483" t="n"/>
      <c r="N82" s="483" t="n"/>
      <c r="O82" s="483" t="n"/>
      <c r="P82" s="483" t="n"/>
      <c r="Q82" s="483" t="n"/>
      <c r="R82" s="483" t="n"/>
      <c r="S82" s="483" t="n"/>
      <c r="T82" s="483" t="n"/>
      <c r="U82" s="483" t="n"/>
      <c r="V82" s="483" t="n"/>
      <c r="W82" s="483" t="n"/>
      <c r="X82" s="483" t="n"/>
      <c r="Y82" s="483" t="n"/>
      <c r="Z82" s="483" t="n"/>
      <c r="AA82" s="483" t="n"/>
      <c r="AB82" s="483" t="n"/>
    </row>
    <row r="83" ht="12" customHeight="1" s="317">
      <c r="A83" s="483" t="n"/>
      <c r="B83" s="483" t="n"/>
      <c r="C83" s="483" t="n"/>
      <c r="D83" s="483" t="n"/>
      <c r="E83" s="483" t="n"/>
      <c r="F83" s="483" t="n"/>
      <c r="G83" s="483" t="n"/>
      <c r="H83" s="483" t="n"/>
      <c r="I83" s="483" t="n"/>
      <c r="J83" s="483" t="n"/>
      <c r="K83" s="483" t="n"/>
      <c r="L83" s="483" t="n"/>
      <c r="M83" s="483" t="n"/>
      <c r="N83" s="483" t="n"/>
      <c r="O83" s="483" t="n"/>
      <c r="P83" s="483" t="n"/>
      <c r="Q83" s="483" t="n"/>
      <c r="R83" s="483" t="n"/>
      <c r="S83" s="483" t="n"/>
      <c r="T83" s="483" t="n"/>
      <c r="U83" s="483" t="n"/>
      <c r="V83" s="483" t="n"/>
      <c r="W83" s="483" t="n"/>
      <c r="X83" s="483" t="n"/>
      <c r="Y83" s="483" t="n"/>
      <c r="Z83" s="483" t="n"/>
      <c r="AA83" s="483" t="n"/>
      <c r="AB83" s="483" t="n"/>
    </row>
    <row r="84" ht="12" customHeight="1" s="317">
      <c r="A84" s="483" t="n"/>
      <c r="B84" s="483" t="n"/>
      <c r="C84" s="483" t="n"/>
      <c r="D84" s="483" t="n"/>
      <c r="E84" s="483" t="n"/>
      <c r="F84" s="483" t="n"/>
      <c r="G84" s="483" t="n"/>
      <c r="H84" s="483" t="n"/>
      <c r="I84" s="483" t="n"/>
      <c r="J84" s="483" t="n"/>
      <c r="K84" s="483" t="n"/>
      <c r="L84" s="483" t="n"/>
      <c r="M84" s="483" t="n"/>
      <c r="N84" s="483" t="n"/>
      <c r="O84" s="483" t="n"/>
      <c r="P84" s="483" t="n"/>
      <c r="Q84" s="483" t="n"/>
      <c r="R84" s="483" t="n"/>
      <c r="S84" s="483" t="n"/>
      <c r="T84" s="483" t="n"/>
      <c r="U84" s="483" t="n"/>
      <c r="V84" s="483" t="n"/>
      <c r="W84" s="483" t="n"/>
      <c r="X84" s="483" t="n"/>
      <c r="Y84" s="483" t="n"/>
      <c r="Z84" s="483" t="n"/>
      <c r="AA84" s="483" t="n"/>
      <c r="AB84" s="483" t="n"/>
    </row>
    <row r="85" ht="12" customHeight="1" s="317">
      <c r="A85" s="483" t="n"/>
      <c r="B85" s="483" t="n"/>
      <c r="C85" s="483" t="n"/>
      <c r="D85" s="483" t="n"/>
      <c r="E85" s="483" t="n"/>
      <c r="F85" s="483" t="n"/>
      <c r="G85" s="483" t="n"/>
      <c r="H85" s="483" t="n"/>
      <c r="I85" s="483" t="n"/>
      <c r="J85" s="483" t="n"/>
      <c r="K85" s="483" t="n"/>
      <c r="L85" s="483" t="n"/>
      <c r="M85" s="483" t="n"/>
      <c r="N85" s="483" t="n"/>
      <c r="O85" s="483" t="n"/>
      <c r="P85" s="483" t="n"/>
      <c r="Q85" s="483" t="n"/>
      <c r="R85" s="483" t="n"/>
      <c r="S85" s="483" t="n"/>
      <c r="T85" s="483" t="n"/>
      <c r="U85" s="483" t="n"/>
      <c r="V85" s="483" t="n"/>
      <c r="W85" s="483" t="n"/>
      <c r="X85" s="483" t="n"/>
      <c r="Y85" s="483" t="n"/>
      <c r="Z85" s="483" t="n"/>
      <c r="AA85" s="483" t="n"/>
      <c r="AB85" s="483" t="n"/>
    </row>
    <row r="86" ht="12" customHeight="1" s="317">
      <c r="A86" s="483" t="n"/>
      <c r="B86" s="483" t="n"/>
      <c r="C86" s="483" t="n"/>
      <c r="D86" s="483" t="n"/>
      <c r="E86" s="483" t="n"/>
      <c r="F86" s="483" t="n"/>
      <c r="G86" s="483" t="n"/>
      <c r="H86" s="483" t="n"/>
      <c r="I86" s="483" t="n"/>
      <c r="J86" s="483" t="n"/>
      <c r="K86" s="483" t="n"/>
      <c r="L86" s="483" t="n"/>
      <c r="M86" s="483" t="n"/>
      <c r="N86" s="483" t="n"/>
      <c r="O86" s="483" t="n"/>
      <c r="P86" s="483" t="n"/>
      <c r="Q86" s="483" t="n"/>
      <c r="R86" s="483" t="n"/>
      <c r="S86" s="483" t="n"/>
      <c r="T86" s="483" t="n"/>
      <c r="U86" s="483" t="n"/>
      <c r="V86" s="483" t="n"/>
      <c r="W86" s="483" t="n"/>
      <c r="X86" s="483" t="n"/>
      <c r="Y86" s="483" t="n"/>
      <c r="Z86" s="483" t="n"/>
      <c r="AA86" s="483" t="n"/>
      <c r="AB86" s="483" t="n"/>
    </row>
    <row r="87" ht="12" customHeight="1" s="317">
      <c r="A87" s="483" t="n"/>
      <c r="B87" s="483" t="n"/>
      <c r="C87" s="483" t="n"/>
      <c r="D87" s="483" t="n"/>
      <c r="E87" s="483" t="n"/>
      <c r="F87" s="483" t="n"/>
      <c r="G87" s="483" t="n"/>
      <c r="H87" s="483" t="n"/>
      <c r="I87" s="483" t="n"/>
      <c r="J87" s="483" t="n"/>
      <c r="K87" s="483" t="n"/>
      <c r="L87" s="483" t="n"/>
      <c r="M87" s="483" t="n"/>
      <c r="N87" s="483" t="n"/>
      <c r="O87" s="483" t="n"/>
      <c r="P87" s="483" t="n"/>
      <c r="Q87" s="483" t="n"/>
      <c r="R87" s="483" t="n"/>
      <c r="S87" s="483" t="n"/>
      <c r="T87" s="483" t="n"/>
      <c r="U87" s="483" t="n"/>
      <c r="V87" s="483" t="n"/>
      <c r="W87" s="483" t="n"/>
      <c r="X87" s="483" t="n"/>
      <c r="Y87" s="483" t="n"/>
      <c r="Z87" s="483" t="n"/>
      <c r="AA87" s="483" t="n"/>
      <c r="AB87" s="483" t="n"/>
    </row>
    <row r="88" ht="12" customHeight="1" s="317">
      <c r="A88" s="483" t="n"/>
      <c r="B88" s="483" t="n"/>
      <c r="C88" s="483" t="n"/>
      <c r="D88" s="483" t="n"/>
      <c r="E88" s="483" t="n"/>
      <c r="F88" s="483" t="n"/>
      <c r="G88" s="483" t="n"/>
      <c r="H88" s="483" t="n"/>
      <c r="I88" s="483" t="n"/>
      <c r="J88" s="483" t="n"/>
      <c r="K88" s="483" t="n"/>
      <c r="L88" s="483" t="n"/>
      <c r="M88" s="483" t="n"/>
      <c r="N88" s="483" t="n"/>
      <c r="O88" s="483" t="n"/>
      <c r="P88" s="483" t="n"/>
      <c r="Q88" s="483" t="n"/>
      <c r="R88" s="483" t="n"/>
      <c r="S88" s="483" t="n"/>
      <c r="T88" s="483" t="n"/>
      <c r="U88" s="483" t="n"/>
      <c r="V88" s="483" t="n"/>
      <c r="W88" s="483" t="n"/>
      <c r="X88" s="483" t="n"/>
      <c r="Y88" s="483" t="n"/>
      <c r="Z88" s="483" t="n"/>
      <c r="AA88" s="483" t="n"/>
      <c r="AB88" s="483" t="n"/>
    </row>
    <row r="89" ht="12" customHeight="1" s="317">
      <c r="A89" s="483" t="n"/>
      <c r="B89" s="483" t="n"/>
      <c r="C89" s="483" t="n"/>
      <c r="D89" s="483" t="n"/>
      <c r="E89" s="483" t="n"/>
      <c r="F89" s="483" t="n"/>
      <c r="G89" s="483" t="n"/>
      <c r="H89" s="483" t="n"/>
      <c r="I89" s="483" t="n"/>
      <c r="J89" s="483" t="n"/>
      <c r="K89" s="483" t="n"/>
      <c r="L89" s="483" t="n"/>
      <c r="M89" s="483" t="n"/>
      <c r="N89" s="483" t="n"/>
      <c r="O89" s="483" t="n"/>
      <c r="P89" s="483" t="n"/>
      <c r="Q89" s="483" t="n"/>
      <c r="R89" s="483" t="n"/>
      <c r="S89" s="483" t="n"/>
      <c r="T89" s="483" t="n"/>
      <c r="U89" s="483" t="n"/>
      <c r="V89" s="483" t="n"/>
      <c r="W89" s="483" t="n"/>
      <c r="X89" s="483" t="n"/>
      <c r="Y89" s="483" t="n"/>
      <c r="Z89" s="483" t="n"/>
      <c r="AA89" s="483" t="n"/>
      <c r="AB89" s="483" t="n"/>
    </row>
    <row r="90" ht="12" customHeight="1" s="317">
      <c r="A90" s="483" t="n"/>
      <c r="B90" s="483" t="n"/>
      <c r="C90" s="483" t="n"/>
      <c r="D90" s="483" t="n"/>
      <c r="E90" s="483" t="n"/>
      <c r="F90" s="483" t="n"/>
      <c r="G90" s="483" t="n"/>
      <c r="H90" s="483" t="n"/>
      <c r="I90" s="483" t="n"/>
      <c r="J90" s="483" t="n"/>
      <c r="K90" s="483" t="n"/>
      <c r="L90" s="483" t="n"/>
      <c r="M90" s="483" t="n"/>
      <c r="N90" s="483" t="n"/>
      <c r="O90" s="483" t="n"/>
      <c r="P90" s="483" t="n"/>
      <c r="Q90" s="483" t="n"/>
      <c r="R90" s="483" t="n"/>
      <c r="S90" s="483" t="n"/>
      <c r="T90" s="483" t="n"/>
      <c r="U90" s="483" t="n"/>
      <c r="V90" s="483" t="n"/>
      <c r="W90" s="483" t="n"/>
      <c r="X90" s="483" t="n"/>
      <c r="Y90" s="483" t="n"/>
      <c r="Z90" s="483" t="n"/>
      <c r="AA90" s="483" t="n"/>
      <c r="AB90" s="483" t="n"/>
    </row>
    <row r="91" ht="12" customHeight="1" s="317">
      <c r="A91" s="483" t="n"/>
      <c r="B91" s="483" t="n"/>
      <c r="C91" s="483" t="n"/>
      <c r="D91" s="483" t="n"/>
      <c r="E91" s="483" t="n"/>
      <c r="F91" s="483" t="n"/>
      <c r="G91" s="483" t="n"/>
      <c r="H91" s="483" t="n"/>
      <c r="I91" s="483" t="n"/>
      <c r="J91" s="483" t="n"/>
      <c r="K91" s="483" t="n"/>
      <c r="L91" s="483" t="n"/>
      <c r="M91" s="483" t="n"/>
      <c r="N91" s="483" t="n"/>
      <c r="O91" s="483" t="n"/>
      <c r="P91" s="483" t="n"/>
      <c r="Q91" s="483" t="n"/>
      <c r="R91" s="483" t="n"/>
      <c r="S91" s="483" t="n"/>
      <c r="T91" s="483" t="n"/>
      <c r="U91" s="483" t="n"/>
      <c r="V91" s="483" t="n"/>
      <c r="W91" s="483" t="n"/>
      <c r="X91" s="483" t="n"/>
      <c r="Y91" s="483" t="n"/>
      <c r="Z91" s="483" t="n"/>
      <c r="AA91" s="483" t="n"/>
      <c r="AB91" s="483" t="n"/>
    </row>
    <row r="92" ht="12" customHeight="1" s="317">
      <c r="A92" s="483" t="n"/>
      <c r="B92" s="483" t="n"/>
      <c r="C92" s="483" t="n"/>
      <c r="D92" s="483" t="n"/>
      <c r="E92" s="483" t="n"/>
      <c r="F92" s="483" t="n"/>
      <c r="G92" s="483" t="n"/>
      <c r="H92" s="483" t="n"/>
      <c r="I92" s="483" t="n"/>
      <c r="J92" s="483" t="n"/>
      <c r="K92" s="483" t="n"/>
      <c r="L92" s="483" t="n"/>
      <c r="M92" s="483" t="n"/>
      <c r="N92" s="483" t="n"/>
      <c r="O92" s="483" t="n"/>
      <c r="P92" s="483" t="n"/>
      <c r="Q92" s="483" t="n"/>
      <c r="R92" s="483" t="n"/>
      <c r="S92" s="483" t="n"/>
      <c r="T92" s="483" t="n"/>
      <c r="U92" s="483" t="n"/>
      <c r="V92" s="483" t="n"/>
      <c r="W92" s="483" t="n"/>
      <c r="X92" s="483" t="n"/>
      <c r="Y92" s="483" t="n"/>
      <c r="Z92" s="483" t="n"/>
      <c r="AA92" s="483" t="n"/>
      <c r="AB92" s="483" t="n"/>
    </row>
    <row r="93" ht="12" customHeight="1" s="317">
      <c r="A93" s="483" t="n"/>
      <c r="B93" s="483" t="n"/>
      <c r="C93" s="483" t="n"/>
      <c r="D93" s="483" t="n"/>
      <c r="E93" s="483" t="n"/>
      <c r="F93" s="483" t="n"/>
      <c r="G93" s="483" t="n"/>
      <c r="H93" s="483" t="n"/>
      <c r="I93" s="483" t="n"/>
      <c r="J93" s="483" t="n"/>
      <c r="K93" s="483" t="n"/>
      <c r="L93" s="483" t="n"/>
      <c r="M93" s="483" t="n"/>
      <c r="N93" s="483" t="n"/>
      <c r="O93" s="483" t="n"/>
      <c r="P93" s="483" t="n"/>
      <c r="Q93" s="483" t="n"/>
      <c r="R93" s="483" t="n"/>
      <c r="S93" s="483" t="n"/>
      <c r="T93" s="483" t="n"/>
      <c r="U93" s="483" t="n"/>
      <c r="V93" s="483" t="n"/>
      <c r="W93" s="483" t="n"/>
      <c r="X93" s="483" t="n"/>
      <c r="Y93" s="483" t="n"/>
      <c r="Z93" s="483" t="n"/>
      <c r="AA93" s="483" t="n"/>
      <c r="AB93" s="483" t="n"/>
    </row>
    <row r="94" ht="12" customHeight="1" s="317">
      <c r="A94" s="483" t="n"/>
      <c r="B94" s="483" t="n"/>
      <c r="C94" s="483" t="n"/>
      <c r="D94" s="483" t="n"/>
      <c r="E94" s="483" t="n"/>
      <c r="F94" s="483" t="n"/>
      <c r="G94" s="483" t="n"/>
      <c r="H94" s="483" t="n"/>
      <c r="I94" s="483" t="n"/>
      <c r="J94" s="483" t="n"/>
      <c r="K94" s="483" t="n"/>
      <c r="L94" s="483" t="n"/>
      <c r="M94" s="483" t="n"/>
      <c r="N94" s="483" t="n"/>
      <c r="O94" s="483" t="n"/>
      <c r="P94" s="483" t="n"/>
      <c r="Q94" s="483" t="n"/>
      <c r="R94" s="483" t="n"/>
      <c r="S94" s="483" t="n"/>
      <c r="T94" s="483" t="n"/>
      <c r="U94" s="483" t="n"/>
      <c r="V94" s="483" t="n"/>
      <c r="W94" s="483" t="n"/>
      <c r="X94" s="483" t="n"/>
      <c r="Y94" s="483" t="n"/>
      <c r="Z94" s="483" t="n"/>
      <c r="AA94" s="483" t="n"/>
      <c r="AB94" s="483" t="n"/>
    </row>
    <row r="95" ht="12" customHeight="1" s="317">
      <c r="A95" s="483" t="n"/>
      <c r="B95" s="483" t="n"/>
      <c r="C95" s="483" t="n"/>
      <c r="D95" s="483" t="n"/>
      <c r="E95" s="483" t="n"/>
      <c r="F95" s="483" t="n"/>
      <c r="G95" s="483" t="n"/>
      <c r="H95" s="483" t="n"/>
      <c r="I95" s="483" t="n"/>
      <c r="J95" s="483" t="n"/>
      <c r="K95" s="483" t="n"/>
      <c r="L95" s="483" t="n"/>
      <c r="M95" s="483" t="n"/>
      <c r="N95" s="483" t="n"/>
      <c r="O95" s="483" t="n"/>
      <c r="P95" s="483" t="n"/>
      <c r="Q95" s="483" t="n"/>
      <c r="R95" s="483" t="n"/>
      <c r="S95" s="483" t="n"/>
      <c r="T95" s="483" t="n"/>
      <c r="U95" s="483" t="n"/>
      <c r="V95" s="483" t="n"/>
      <c r="W95" s="483" t="n"/>
      <c r="X95" s="483" t="n"/>
      <c r="Y95" s="483" t="n"/>
      <c r="Z95" s="483" t="n"/>
      <c r="AA95" s="483" t="n"/>
      <c r="AB95" s="483" t="n"/>
    </row>
    <row r="96" ht="12" customHeight="1" s="317">
      <c r="A96" s="483" t="n"/>
      <c r="B96" s="483" t="n"/>
      <c r="C96" s="483" t="n"/>
      <c r="D96" s="483" t="n"/>
      <c r="E96" s="483" t="n"/>
      <c r="F96" s="483" t="n"/>
      <c r="G96" s="483" t="n"/>
      <c r="H96" s="483" t="n"/>
      <c r="I96" s="483" t="n"/>
      <c r="J96" s="483" t="n"/>
      <c r="K96" s="483" t="n"/>
      <c r="L96" s="483" t="n"/>
      <c r="M96" s="483" t="n"/>
      <c r="N96" s="483" t="n"/>
      <c r="O96" s="483" t="n"/>
      <c r="P96" s="483" t="n"/>
      <c r="Q96" s="483" t="n"/>
      <c r="R96" s="483" t="n"/>
      <c r="S96" s="483" t="n"/>
      <c r="T96" s="483" t="n"/>
      <c r="U96" s="483" t="n"/>
      <c r="V96" s="483" t="n"/>
      <c r="W96" s="483" t="n"/>
      <c r="X96" s="483" t="n"/>
      <c r="Y96" s="483" t="n"/>
      <c r="Z96" s="483" t="n"/>
      <c r="AA96" s="483" t="n"/>
      <c r="AB96" s="483" t="n"/>
    </row>
    <row r="97" ht="12" customHeight="1" s="317">
      <c r="A97" s="483" t="n"/>
      <c r="B97" s="483" t="n"/>
      <c r="C97" s="483" t="n"/>
      <c r="D97" s="483" t="n"/>
      <c r="E97" s="483" t="n"/>
      <c r="F97" s="483" t="n"/>
      <c r="G97" s="483" t="n"/>
      <c r="H97" s="483" t="n"/>
      <c r="I97" s="483" t="n"/>
      <c r="J97" s="483" t="n"/>
      <c r="K97" s="483" t="n"/>
      <c r="L97" s="483" t="n"/>
      <c r="M97" s="483" t="n"/>
      <c r="N97" s="483" t="n"/>
      <c r="O97" s="483" t="n"/>
      <c r="P97" s="483" t="n"/>
      <c r="Q97" s="483" t="n"/>
      <c r="R97" s="483" t="n"/>
      <c r="S97" s="483" t="n"/>
      <c r="T97" s="483" t="n"/>
      <c r="U97" s="483" t="n"/>
      <c r="V97" s="483" t="n"/>
      <c r="W97" s="483" t="n"/>
      <c r="X97" s="483" t="n"/>
      <c r="Y97" s="483" t="n"/>
      <c r="Z97" s="483" t="n"/>
      <c r="AA97" s="483" t="n"/>
      <c r="AB97" s="483" t="n"/>
    </row>
    <row r="98" ht="12" customHeight="1" s="317">
      <c r="A98" s="483" t="n"/>
      <c r="B98" s="483" t="n"/>
      <c r="C98" s="483" t="n"/>
      <c r="D98" s="483" t="n"/>
      <c r="E98" s="483" t="n"/>
      <c r="F98" s="483" t="n"/>
      <c r="G98" s="483" t="n"/>
      <c r="H98" s="483" t="n"/>
      <c r="I98" s="483" t="n"/>
      <c r="J98" s="483" t="n"/>
      <c r="K98" s="483" t="n"/>
      <c r="L98" s="483" t="n"/>
      <c r="M98" s="483" t="n"/>
      <c r="N98" s="483" t="n"/>
      <c r="O98" s="483" t="n"/>
      <c r="P98" s="483" t="n"/>
      <c r="Q98" s="483" t="n"/>
      <c r="R98" s="483" t="n"/>
      <c r="S98" s="483" t="n"/>
      <c r="T98" s="483" t="n"/>
      <c r="U98" s="483" t="n"/>
      <c r="V98" s="483" t="n"/>
      <c r="W98" s="483" t="n"/>
      <c r="X98" s="483" t="n"/>
      <c r="Y98" s="483" t="n"/>
      <c r="Z98" s="483" t="n"/>
      <c r="AA98" s="483" t="n"/>
      <c r="AB98" s="483" t="n"/>
    </row>
    <row r="99" ht="12" customHeight="1" s="317">
      <c r="A99" s="483" t="n"/>
      <c r="B99" s="483" t="n"/>
      <c r="C99" s="483" t="n"/>
      <c r="D99" s="483" t="n"/>
      <c r="E99" s="483" t="n"/>
      <c r="F99" s="483" t="n"/>
      <c r="G99" s="483" t="n"/>
      <c r="H99" s="483" t="n"/>
      <c r="I99" s="483" t="n"/>
      <c r="J99" s="483" t="n"/>
      <c r="K99" s="483" t="n"/>
      <c r="L99" s="483" t="n"/>
      <c r="M99" s="483" t="n"/>
      <c r="N99" s="483" t="n"/>
      <c r="O99" s="483" t="n"/>
      <c r="P99" s="483" t="n"/>
      <c r="Q99" s="483" t="n"/>
      <c r="R99" s="483" t="n"/>
      <c r="S99" s="483" t="n"/>
      <c r="T99" s="483" t="n"/>
      <c r="U99" s="483" t="n"/>
      <c r="V99" s="483" t="n"/>
      <c r="W99" s="483" t="n"/>
      <c r="X99" s="483" t="n"/>
      <c r="Y99" s="483" t="n"/>
      <c r="Z99" s="483" t="n"/>
      <c r="AA99" s="483" t="n"/>
      <c r="AB99" s="483" t="n"/>
    </row>
    <row r="100" ht="12" customHeight="1" s="317">
      <c r="A100" s="483" t="n"/>
      <c r="B100" s="483" t="n"/>
      <c r="C100" s="483" t="n"/>
      <c r="D100" s="483" t="n"/>
      <c r="E100" s="483" t="n"/>
      <c r="F100" s="483" t="n"/>
      <c r="G100" s="483" t="n"/>
      <c r="H100" s="483" t="n"/>
      <c r="I100" s="483" t="n"/>
      <c r="J100" s="483" t="n"/>
      <c r="K100" s="483" t="n"/>
      <c r="L100" s="483" t="n"/>
      <c r="M100" s="483" t="n"/>
      <c r="N100" s="483" t="n"/>
      <c r="O100" s="483" t="n"/>
      <c r="P100" s="483" t="n"/>
      <c r="Q100" s="483" t="n"/>
      <c r="R100" s="483" t="n"/>
      <c r="S100" s="483" t="n"/>
      <c r="T100" s="483" t="n"/>
      <c r="U100" s="483" t="n"/>
      <c r="V100" s="483" t="n"/>
      <c r="W100" s="483" t="n"/>
      <c r="X100" s="483" t="n"/>
      <c r="Y100" s="483" t="n"/>
      <c r="Z100" s="483" t="n"/>
      <c r="AA100" s="483" t="n"/>
      <c r="AB100" s="483" t="n"/>
      <c r="AC100" s="483" t="n"/>
      <c r="AD100" s="483" t="n"/>
      <c r="AE100" s="483" t="n"/>
      <c r="AF100" s="483" t="n"/>
      <c r="AG100" s="483" t="n"/>
    </row>
    <row r="101" ht="12" customHeight="1" s="317">
      <c r="C101" s="483" t="n"/>
      <c r="D101" s="483" t="n"/>
      <c r="E101" s="483" t="n"/>
      <c r="F101" s="483" t="n"/>
      <c r="G101" s="483" t="n"/>
      <c r="H101" s="483" t="n"/>
      <c r="I101" s="483" t="n"/>
      <c r="J101" s="483" t="n"/>
      <c r="K101" s="483" t="n"/>
      <c r="L101" s="483" t="n"/>
      <c r="M101" s="483" t="n"/>
      <c r="N101" s="483" t="n"/>
      <c r="O101" s="483" t="n"/>
      <c r="P101" s="483" t="n"/>
      <c r="Q101" s="483" t="n"/>
      <c r="R101" s="483" t="n"/>
      <c r="S101" s="483" t="n"/>
      <c r="T101" s="483" t="n"/>
      <c r="U101" s="483" t="n"/>
      <c r="V101" s="483" t="n"/>
      <c r="W101" s="483" t="n"/>
      <c r="X101" s="483" t="n"/>
      <c r="Y101" s="483" t="n"/>
      <c r="Z101" s="483" t="n"/>
      <c r="AA101" s="483" t="n"/>
      <c r="AB101" s="483" t="n"/>
      <c r="AC101" s="483" t="n"/>
      <c r="AD101" s="483" t="n"/>
      <c r="AE101" s="483" t="n"/>
      <c r="AF101" s="483" t="n"/>
      <c r="AG101" s="483" t="n"/>
    </row>
    <row r="102" ht="12" customHeight="1" s="317">
      <c r="C102" s="483" t="n"/>
      <c r="D102" s="483" t="n"/>
      <c r="E102" s="483" t="n"/>
      <c r="F102" s="483" t="n"/>
      <c r="G102" s="483" t="n"/>
      <c r="H102" s="483" t="n"/>
      <c r="I102" s="483" t="n"/>
      <c r="J102" s="483" t="n"/>
      <c r="K102" s="483" t="n"/>
      <c r="L102" s="483" t="n"/>
      <c r="M102" s="483" t="n"/>
      <c r="N102" s="483" t="n"/>
      <c r="O102" s="483" t="n"/>
      <c r="P102" s="483" t="n"/>
      <c r="Q102" s="483" t="n"/>
      <c r="R102" s="483" t="n"/>
      <c r="S102" s="483" t="n"/>
      <c r="T102" s="483" t="n"/>
      <c r="U102" s="483" t="n"/>
      <c r="V102" s="483" t="n"/>
      <c r="W102" s="483" t="n"/>
      <c r="X102" s="483" t="n"/>
      <c r="Y102" s="483" t="n"/>
      <c r="Z102" s="483" t="n"/>
      <c r="AA102" s="483" t="n"/>
      <c r="AB102" s="483" t="n"/>
      <c r="AC102" s="483" t="n"/>
      <c r="AD102" s="483" t="n"/>
      <c r="AE102" s="483" t="n"/>
      <c r="AF102" s="483" t="n"/>
      <c r="AG102" s="483" t="n"/>
    </row>
    <row r="103" ht="12" customHeight="1" s="317">
      <c r="C103" s="483" t="n"/>
      <c r="D103" s="483" t="n"/>
      <c r="E103" s="483" t="n"/>
      <c r="F103" s="483" t="n"/>
      <c r="G103" s="483" t="n"/>
      <c r="H103" s="483" t="n"/>
      <c r="I103" s="483" t="n"/>
      <c r="J103" s="483" t="n"/>
      <c r="K103" s="483" t="n"/>
      <c r="L103" s="483" t="n"/>
      <c r="M103" s="483" t="n"/>
      <c r="N103" s="483" t="n"/>
      <c r="O103" s="483" t="n"/>
      <c r="P103" s="483" t="n"/>
      <c r="Q103" s="483" t="n"/>
      <c r="R103" s="483" t="n"/>
      <c r="S103" s="483" t="n"/>
      <c r="T103" s="483" t="n"/>
      <c r="U103" s="483" t="n"/>
      <c r="V103" s="483" t="n"/>
      <c r="W103" s="483" t="n"/>
      <c r="X103" s="483" t="n"/>
      <c r="Y103" s="483" t="n"/>
      <c r="Z103" s="483" t="n"/>
      <c r="AA103" s="483" t="n"/>
      <c r="AB103" s="483" t="n"/>
      <c r="AC103" s="483" t="n"/>
      <c r="AD103" s="483" t="n"/>
      <c r="AE103" s="483" t="n"/>
      <c r="AF103" s="483" t="n"/>
      <c r="AG103" s="483" t="n"/>
    </row>
    <row r="104" ht="12" customHeight="1" s="317">
      <c r="C104" s="483" t="n"/>
      <c r="D104" s="483" t="n"/>
      <c r="E104" s="483" t="n"/>
      <c r="F104" s="483" t="n"/>
      <c r="G104" s="483" t="n"/>
      <c r="H104" s="483" t="n"/>
      <c r="I104" s="483" t="n"/>
      <c r="J104" s="483" t="n"/>
      <c r="K104" s="483" t="n"/>
      <c r="L104" s="483" t="n"/>
      <c r="M104" s="483" t="n"/>
      <c r="N104" s="483" t="n"/>
      <c r="O104" s="483" t="n"/>
      <c r="P104" s="483" t="n"/>
      <c r="Q104" s="483" t="n"/>
      <c r="R104" s="483" t="n"/>
      <c r="S104" s="483" t="n"/>
      <c r="T104" s="483" t="n"/>
      <c r="U104" s="483" t="n"/>
      <c r="V104" s="483" t="n"/>
      <c r="W104" s="483" t="n"/>
      <c r="X104" s="483" t="n"/>
      <c r="Y104" s="483" t="n"/>
      <c r="Z104" s="483" t="n"/>
      <c r="AA104" s="483" t="n"/>
      <c r="AB104" s="483" t="n"/>
      <c r="AC104" s="483" t="n"/>
      <c r="AD104" s="483" t="n"/>
      <c r="AE104" s="483" t="n"/>
      <c r="AF104" s="483" t="n"/>
      <c r="AG104" s="483" t="n"/>
    </row>
    <row r="105" ht="12" customHeight="1" s="317">
      <c r="C105" s="483" t="n"/>
      <c r="D105" s="483" t="n"/>
      <c r="E105" s="483" t="n"/>
      <c r="F105" s="483" t="n"/>
      <c r="G105" s="483" t="n"/>
      <c r="H105" s="483" t="n"/>
      <c r="I105" s="483" t="n"/>
      <c r="J105" s="483" t="n"/>
      <c r="K105" s="483" t="n"/>
      <c r="L105" s="483" t="n"/>
      <c r="M105" s="483" t="n"/>
      <c r="N105" s="483" t="n"/>
      <c r="O105" s="483" t="n"/>
      <c r="P105" s="483" t="n"/>
      <c r="Q105" s="483" t="n"/>
      <c r="R105" s="483" t="n"/>
      <c r="S105" s="483" t="n"/>
      <c r="T105" s="483" t="n"/>
      <c r="U105" s="483" t="n"/>
      <c r="V105" s="483" t="n"/>
      <c r="W105" s="483" t="n"/>
      <c r="X105" s="483" t="n"/>
      <c r="Y105" s="483" t="n"/>
      <c r="Z105" s="483" t="n"/>
      <c r="AA105" s="483" t="n"/>
      <c r="AB105" s="483" t="n"/>
      <c r="AC105" s="483" t="n"/>
      <c r="AD105" s="483" t="n"/>
      <c r="AE105" s="483" t="n"/>
      <c r="AF105" s="483" t="n"/>
      <c r="AG105" s="483" t="n"/>
    </row>
    <row r="106" ht="12" customHeight="1" s="317">
      <c r="C106" s="483" t="n"/>
      <c r="D106" s="483" t="n"/>
      <c r="E106" s="483" t="n"/>
      <c r="F106" s="483" t="n"/>
      <c r="G106" s="483" t="n"/>
      <c r="H106" s="483" t="n"/>
      <c r="I106" s="483" t="n"/>
      <c r="J106" s="483" t="n"/>
      <c r="K106" s="483" t="n"/>
      <c r="L106" s="483" t="n"/>
      <c r="M106" s="483" t="n"/>
      <c r="N106" s="483" t="n"/>
      <c r="O106" s="483" t="n"/>
      <c r="P106" s="483" t="n"/>
      <c r="Q106" s="483" t="n"/>
      <c r="R106" s="483" t="n"/>
      <c r="S106" s="483" t="n"/>
      <c r="T106" s="483" t="n"/>
      <c r="U106" s="483" t="n"/>
      <c r="V106" s="483" t="n"/>
      <c r="W106" s="483" t="n"/>
      <c r="X106" s="483" t="n"/>
      <c r="Y106" s="483" t="n"/>
      <c r="Z106" s="483" t="n"/>
      <c r="AA106" s="483" t="n"/>
      <c r="AB106" s="483" t="n"/>
      <c r="AC106" s="483" t="n"/>
      <c r="AD106" s="483" t="n"/>
      <c r="AE106" s="483" t="n"/>
      <c r="AF106" s="483" t="n"/>
      <c r="AG106" s="483" t="n"/>
    </row>
    <row r="107" ht="12" customHeight="1" s="317">
      <c r="C107" s="483" t="n"/>
      <c r="D107" s="483" t="n"/>
      <c r="E107" s="483" t="n"/>
      <c r="F107" s="483" t="n"/>
      <c r="G107" s="483" t="n"/>
      <c r="H107" s="483" t="n"/>
      <c r="I107" s="483" t="n"/>
      <c r="J107" s="483" t="n"/>
      <c r="K107" s="483" t="n"/>
      <c r="L107" s="483" t="n"/>
      <c r="M107" s="483" t="n"/>
      <c r="N107" s="483" t="n"/>
      <c r="O107" s="483" t="n"/>
      <c r="P107" s="483" t="n"/>
      <c r="Q107" s="483" t="n"/>
      <c r="R107" s="483" t="n"/>
      <c r="S107" s="483" t="n"/>
      <c r="T107" s="483" t="n"/>
      <c r="U107" s="483" t="n"/>
      <c r="V107" s="483" t="n"/>
      <c r="W107" s="483" t="n"/>
      <c r="X107" s="483" t="n"/>
      <c r="Y107" s="483" t="n"/>
      <c r="Z107" s="483" t="n"/>
      <c r="AA107" s="483" t="n"/>
      <c r="AB107" s="483" t="n"/>
      <c r="AC107" s="483" t="n"/>
      <c r="AD107" s="483" t="n"/>
      <c r="AE107" s="483" t="n"/>
      <c r="AF107" s="483" t="n"/>
      <c r="AG107" s="483" t="n"/>
    </row>
    <row r="108" ht="12" customHeight="1" s="317">
      <c r="C108" s="483" t="n"/>
      <c r="D108" s="483" t="n"/>
      <c r="E108" s="483" t="n"/>
      <c r="F108" s="483" t="n"/>
      <c r="G108" s="483" t="n"/>
      <c r="H108" s="483" t="n"/>
      <c r="I108" s="483" t="n"/>
      <c r="J108" s="483" t="n"/>
      <c r="K108" s="483" t="n"/>
      <c r="L108" s="483" t="n"/>
      <c r="M108" s="483" t="n"/>
      <c r="N108" s="483" t="n"/>
      <c r="O108" s="483" t="n"/>
      <c r="P108" s="483" t="n"/>
      <c r="Q108" s="483" t="n"/>
      <c r="R108" s="483" t="n"/>
      <c r="S108" s="483" t="n"/>
      <c r="T108" s="483" t="n"/>
      <c r="U108" s="483" t="n"/>
      <c r="V108" s="483" t="n"/>
      <c r="W108" s="483" t="n"/>
      <c r="X108" s="483" t="n"/>
      <c r="Y108" s="483" t="n"/>
      <c r="Z108" s="483" t="n"/>
      <c r="AA108" s="483" t="n"/>
      <c r="AB108" s="483" t="n"/>
      <c r="AC108" s="483" t="n"/>
      <c r="AD108" s="483" t="n"/>
      <c r="AE108" s="483" t="n"/>
      <c r="AF108" s="483" t="n"/>
      <c r="AG108" s="483" t="n"/>
    </row>
    <row r="109" ht="12" customHeight="1" s="317">
      <c r="C109" s="483" t="n"/>
      <c r="D109" s="483" t="n"/>
      <c r="E109" s="483" t="n"/>
      <c r="F109" s="483" t="n"/>
      <c r="G109" s="483" t="n"/>
      <c r="H109" s="483" t="n"/>
      <c r="I109" s="483" t="n"/>
      <c r="J109" s="483" t="n"/>
      <c r="K109" s="483" t="n"/>
      <c r="L109" s="483" t="n"/>
      <c r="M109" s="483" t="n"/>
      <c r="N109" s="483" t="n"/>
      <c r="O109" s="483" t="n"/>
      <c r="P109" s="483" t="n"/>
      <c r="Q109" s="483" t="n"/>
      <c r="R109" s="483" t="n"/>
      <c r="S109" s="483" t="n"/>
      <c r="T109" s="483" t="n"/>
      <c r="U109" s="483" t="n"/>
      <c r="V109" s="483" t="n"/>
      <c r="W109" s="483" t="n"/>
      <c r="X109" s="483" t="n"/>
      <c r="Y109" s="483" t="n"/>
      <c r="Z109" s="483" t="n"/>
      <c r="AA109" s="483" t="n"/>
      <c r="AB109" s="483" t="n"/>
      <c r="AC109" s="483" t="n"/>
      <c r="AD109" s="483" t="n"/>
      <c r="AE109" s="483" t="n"/>
      <c r="AF109" s="483" t="n"/>
      <c r="AG109" s="483" t="n"/>
    </row>
    <row r="110" ht="12" customHeight="1" s="317">
      <c r="C110" s="483" t="n"/>
      <c r="D110" s="483" t="n"/>
      <c r="E110" s="483" t="n"/>
      <c r="F110" s="483" t="n"/>
      <c r="G110" s="483" t="n"/>
      <c r="H110" s="483" t="n"/>
      <c r="I110" s="483" t="n"/>
      <c r="J110" s="483" t="n"/>
      <c r="K110" s="483" t="n"/>
      <c r="L110" s="483" t="n"/>
      <c r="M110" s="483" t="n"/>
      <c r="N110" s="483" t="n"/>
      <c r="O110" s="483" t="n"/>
      <c r="P110" s="483" t="n"/>
      <c r="Q110" s="483" t="n"/>
      <c r="R110" s="483" t="n"/>
      <c r="S110" s="483" t="n"/>
      <c r="T110" s="483" t="n"/>
      <c r="U110" s="483" t="n"/>
      <c r="V110" s="483" t="n"/>
      <c r="W110" s="483" t="n"/>
      <c r="X110" s="483" t="n"/>
      <c r="Y110" s="483" t="n"/>
      <c r="Z110" s="483" t="n"/>
      <c r="AA110" s="483" t="n"/>
      <c r="AB110" s="483" t="n"/>
      <c r="AC110" s="483" t="n"/>
      <c r="AD110" s="483" t="n"/>
      <c r="AE110" s="483" t="n"/>
      <c r="AF110" s="483" t="n"/>
      <c r="AG110" s="483" t="n"/>
    </row>
    <row r="111" ht="12" customHeight="1" s="317">
      <c r="C111" s="483" t="n"/>
      <c r="D111" s="483" t="n"/>
      <c r="E111" s="483" t="n"/>
      <c r="F111" s="483" t="n"/>
      <c r="G111" s="483" t="n"/>
      <c r="H111" s="483" t="n"/>
      <c r="I111" s="483" t="n"/>
      <c r="J111" s="483" t="n"/>
      <c r="K111" s="483" t="n"/>
      <c r="L111" s="483" t="n"/>
      <c r="M111" s="483" t="n"/>
      <c r="N111" s="483" t="n"/>
      <c r="O111" s="483" t="n"/>
      <c r="P111" s="483" t="n"/>
      <c r="Q111" s="483" t="n"/>
      <c r="R111" s="483" t="n"/>
      <c r="S111" s="483" t="n"/>
      <c r="T111" s="483" t="n"/>
      <c r="U111" s="483" t="n"/>
      <c r="V111" s="483" t="n"/>
      <c r="W111" s="483" t="n"/>
      <c r="X111" s="483" t="n"/>
      <c r="Y111" s="483" t="n"/>
      <c r="Z111" s="483" t="n"/>
      <c r="AA111" s="483" t="n"/>
      <c r="AB111" s="483" t="n"/>
      <c r="AC111" s="483" t="n"/>
      <c r="AD111" s="483" t="n"/>
      <c r="AE111" s="483" t="n"/>
      <c r="AF111" s="483" t="n"/>
      <c r="AG111" s="483" t="n"/>
    </row>
    <row r="112" ht="12" customHeight="1" s="317">
      <c r="C112" s="483" t="n"/>
      <c r="D112" s="483" t="n"/>
      <c r="E112" s="483" t="n"/>
      <c r="F112" s="483" t="n"/>
      <c r="G112" s="483" t="n"/>
      <c r="H112" s="483" t="n"/>
      <c r="I112" s="483" t="n"/>
      <c r="J112" s="483" t="n"/>
      <c r="K112" s="483" t="n"/>
      <c r="L112" s="483" t="n"/>
      <c r="M112" s="483" t="n"/>
      <c r="N112" s="483" t="n"/>
      <c r="O112" s="483" t="n"/>
      <c r="P112" s="483" t="n"/>
      <c r="Q112" s="483" t="n"/>
      <c r="R112" s="483" t="n"/>
      <c r="S112" s="483" t="n"/>
      <c r="T112" s="483" t="n"/>
      <c r="U112" s="483" t="n"/>
      <c r="V112" s="483" t="n"/>
      <c r="W112" s="483" t="n"/>
      <c r="X112" s="483" t="n"/>
      <c r="Y112" s="483" t="n"/>
      <c r="Z112" s="483" t="n"/>
      <c r="AA112" s="483" t="n"/>
      <c r="AB112" s="483" t="n"/>
      <c r="AC112" s="483" t="n"/>
      <c r="AD112" s="483" t="n"/>
      <c r="AE112" s="483" t="n"/>
      <c r="AF112" s="483" t="n"/>
      <c r="AG112" s="483" t="n"/>
    </row>
    <row r="113" ht="12" customHeight="1" s="317">
      <c r="C113" s="483" t="n"/>
      <c r="D113" s="483" t="n"/>
      <c r="E113" s="483" t="n"/>
      <c r="F113" s="483" t="n"/>
      <c r="G113" s="483" t="n"/>
      <c r="H113" s="483" t="n"/>
      <c r="I113" s="483" t="n"/>
      <c r="J113" s="483" t="n"/>
      <c r="K113" s="483" t="n"/>
      <c r="L113" s="483" t="n"/>
      <c r="M113" s="483" t="n"/>
      <c r="N113" s="483" t="n"/>
      <c r="O113" s="483" t="n"/>
      <c r="P113" s="483" t="n"/>
      <c r="Q113" s="483" t="n"/>
      <c r="R113" s="483" t="n"/>
      <c r="S113" s="483" t="n"/>
      <c r="T113" s="483" t="n"/>
      <c r="U113" s="483" t="n"/>
      <c r="V113" s="483" t="n"/>
      <c r="W113" s="483" t="n"/>
      <c r="X113" s="483" t="n"/>
      <c r="Y113" s="483" t="n"/>
      <c r="Z113" s="483" t="n"/>
      <c r="AA113" s="483" t="n"/>
      <c r="AB113" s="483" t="n"/>
      <c r="AC113" s="483" t="n"/>
      <c r="AD113" s="483" t="n"/>
      <c r="AE113" s="483" t="n"/>
      <c r="AF113" s="483" t="n"/>
      <c r="AG113" s="483" t="n"/>
    </row>
    <row r="114" ht="12" customHeight="1" s="317">
      <c r="C114" s="483" t="n"/>
      <c r="D114" s="483" t="n"/>
      <c r="E114" s="483" t="n"/>
      <c r="F114" s="483" t="n"/>
      <c r="G114" s="483" t="n"/>
      <c r="H114" s="483" t="n"/>
      <c r="I114" s="483" t="n"/>
      <c r="J114" s="483" t="n"/>
      <c r="K114" s="483" t="n"/>
      <c r="L114" s="483" t="n"/>
      <c r="M114" s="483" t="n"/>
      <c r="N114" s="483" t="n"/>
      <c r="O114" s="483" t="n"/>
      <c r="P114" s="483" t="n"/>
      <c r="Q114" s="483" t="n"/>
      <c r="R114" s="483" t="n"/>
      <c r="S114" s="483" t="n"/>
      <c r="T114" s="483" t="n"/>
      <c r="U114" s="483" t="n"/>
      <c r="V114" s="483" t="n"/>
      <c r="W114" s="483" t="n"/>
      <c r="X114" s="483" t="n"/>
      <c r="Y114" s="483" t="n"/>
      <c r="Z114" s="483" t="n"/>
      <c r="AA114" s="483" t="n"/>
      <c r="AB114" s="483" t="n"/>
      <c r="AC114" s="483" t="n"/>
      <c r="AD114" s="483" t="n"/>
      <c r="AE114" s="483" t="n"/>
      <c r="AF114" s="483" t="n"/>
      <c r="AG114" s="483" t="n"/>
    </row>
    <row r="115" ht="12" customHeight="1" s="317">
      <c r="C115" s="483" t="n"/>
      <c r="D115" s="483" t="n"/>
      <c r="E115" s="483" t="n"/>
      <c r="F115" s="483" t="n"/>
      <c r="G115" s="483" t="n"/>
      <c r="H115" s="483" t="n"/>
      <c r="I115" s="483" t="n"/>
      <c r="J115" s="483" t="n"/>
      <c r="K115" s="483" t="n"/>
      <c r="L115" s="483" t="n"/>
      <c r="M115" s="483" t="n"/>
      <c r="N115" s="483" t="n"/>
      <c r="O115" s="483" t="n"/>
      <c r="P115" s="483" t="n"/>
      <c r="Q115" s="483" t="n"/>
      <c r="R115" s="483" t="n"/>
      <c r="S115" s="483" t="n"/>
      <c r="T115" s="483" t="n"/>
      <c r="U115" s="483" t="n"/>
      <c r="V115" s="483" t="n"/>
      <c r="W115" s="483" t="n"/>
      <c r="X115" s="483" t="n"/>
      <c r="Y115" s="483" t="n"/>
      <c r="Z115" s="483" t="n"/>
      <c r="AA115" s="483" t="n"/>
      <c r="AB115" s="483" t="n"/>
      <c r="AC115" s="483" t="n"/>
      <c r="AD115" s="483" t="n"/>
      <c r="AE115" s="483" t="n"/>
      <c r="AF115" s="483" t="n"/>
      <c r="AG115" s="483" t="n"/>
    </row>
    <row r="116" ht="12" customHeight="1" s="317">
      <c r="C116" s="483" t="n"/>
      <c r="D116" s="483" t="n"/>
      <c r="E116" s="483" t="n"/>
      <c r="F116" s="483" t="n"/>
      <c r="G116" s="483" t="n"/>
      <c r="H116" s="483" t="n"/>
      <c r="I116" s="483" t="n"/>
      <c r="J116" s="483" t="n"/>
      <c r="K116" s="483" t="n"/>
      <c r="L116" s="483" t="n"/>
      <c r="M116" s="483" t="n"/>
      <c r="N116" s="483" t="n"/>
      <c r="O116" s="483" t="n"/>
      <c r="P116" s="483" t="n"/>
      <c r="Q116" s="483" t="n"/>
      <c r="R116" s="483" t="n"/>
      <c r="S116" s="483" t="n"/>
      <c r="T116" s="483" t="n"/>
      <c r="U116" s="483" t="n"/>
      <c r="V116" s="483" t="n"/>
      <c r="W116" s="483" t="n"/>
      <c r="X116" s="483" t="n"/>
      <c r="Y116" s="483" t="n"/>
      <c r="Z116" s="483" t="n"/>
      <c r="AA116" s="483" t="n"/>
      <c r="AB116" s="483" t="n"/>
      <c r="AC116" s="483" t="n"/>
      <c r="AD116" s="483" t="n"/>
      <c r="AE116" s="483" t="n"/>
      <c r="AF116" s="483" t="n"/>
      <c r="AG116" s="483" t="n"/>
    </row>
    <row r="117" ht="12" customHeight="1" s="317">
      <c r="C117" s="483" t="n"/>
      <c r="D117" s="483" t="n"/>
      <c r="E117" s="483" t="n"/>
      <c r="F117" s="483" t="n"/>
      <c r="G117" s="483" t="n"/>
      <c r="H117" s="483" t="n"/>
      <c r="I117" s="483" t="n"/>
      <c r="J117" s="483" t="n"/>
      <c r="K117" s="483" t="n"/>
      <c r="L117" s="483" t="n"/>
      <c r="M117" s="483" t="n"/>
      <c r="N117" s="483" t="n"/>
      <c r="O117" s="483" t="n"/>
      <c r="P117" s="483" t="n"/>
      <c r="Q117" s="483" t="n"/>
      <c r="R117" s="483" t="n"/>
      <c r="S117" s="483" t="n"/>
      <c r="T117" s="483" t="n"/>
      <c r="U117" s="483" t="n"/>
      <c r="V117" s="483" t="n"/>
      <c r="W117" s="483" t="n"/>
      <c r="X117" s="483" t="n"/>
      <c r="Y117" s="483" t="n"/>
      <c r="Z117" s="483" t="n"/>
      <c r="AA117" s="483" t="n"/>
      <c r="AB117" s="483" t="n"/>
      <c r="AC117" s="483" t="n"/>
      <c r="AD117" s="483" t="n"/>
      <c r="AE117" s="483" t="n"/>
      <c r="AF117" s="483" t="n"/>
      <c r="AG117" s="483" t="n"/>
    </row>
    <row r="118" ht="12" customHeight="1" s="317">
      <c r="C118" s="483" t="n"/>
      <c r="D118" s="483" t="n"/>
      <c r="E118" s="483" t="n"/>
      <c r="F118" s="483" t="n"/>
      <c r="G118" s="483" t="n"/>
      <c r="H118" s="483" t="n"/>
      <c r="I118" s="483" t="n"/>
      <c r="J118" s="483" t="n"/>
      <c r="K118" s="483" t="n"/>
      <c r="L118" s="483" t="n"/>
      <c r="M118" s="483" t="n"/>
      <c r="N118" s="483" t="n"/>
      <c r="O118" s="483" t="n"/>
      <c r="P118" s="483" t="n"/>
      <c r="Q118" s="483" t="n"/>
      <c r="R118" s="483" t="n"/>
      <c r="S118" s="483" t="n"/>
      <c r="T118" s="483" t="n"/>
      <c r="U118" s="483" t="n"/>
      <c r="V118" s="483" t="n"/>
      <c r="W118" s="483" t="n"/>
      <c r="X118" s="483" t="n"/>
      <c r="Y118" s="483" t="n"/>
      <c r="Z118" s="483" t="n"/>
      <c r="AA118" s="483" t="n"/>
      <c r="AB118" s="483" t="n"/>
      <c r="AC118" s="483" t="n"/>
      <c r="AD118" s="483" t="n"/>
      <c r="AE118" s="483" t="n"/>
      <c r="AF118" s="483" t="n"/>
      <c r="AG118" s="483" t="n"/>
    </row>
    <row r="119" ht="12" customHeight="1" s="317">
      <c r="C119" s="483" t="n"/>
      <c r="D119" s="483" t="n"/>
      <c r="E119" s="483" t="n"/>
      <c r="F119" s="483" t="n"/>
      <c r="G119" s="483" t="n"/>
      <c r="H119" s="483" t="n"/>
      <c r="I119" s="483" t="n"/>
      <c r="J119" s="483" t="n"/>
      <c r="K119" s="483" t="n"/>
      <c r="L119" s="483" t="n"/>
      <c r="M119" s="483" t="n"/>
      <c r="N119" s="483" t="n"/>
      <c r="O119" s="483" t="n"/>
      <c r="P119" s="483" t="n"/>
      <c r="Q119" s="483" t="n"/>
      <c r="R119" s="483" t="n"/>
      <c r="S119" s="483" t="n"/>
      <c r="T119" s="483" t="n"/>
      <c r="U119" s="483" t="n"/>
      <c r="V119" s="483" t="n"/>
      <c r="W119" s="483" t="n"/>
      <c r="X119" s="483" t="n"/>
      <c r="Y119" s="483" t="n"/>
      <c r="Z119" s="483" t="n"/>
      <c r="AA119" s="483" t="n"/>
      <c r="AB119" s="483" t="n"/>
      <c r="AC119" s="483" t="n"/>
      <c r="AD119" s="483" t="n"/>
      <c r="AE119" s="483" t="n"/>
      <c r="AF119" s="483" t="n"/>
      <c r="AG119" s="483" t="n"/>
    </row>
    <row r="120" ht="12" customHeight="1" s="317">
      <c r="C120" s="483" t="n"/>
      <c r="D120" s="483" t="n"/>
      <c r="E120" s="483" t="n"/>
      <c r="F120" s="483" t="n"/>
      <c r="G120" s="483" t="n"/>
      <c r="H120" s="483" t="n"/>
      <c r="I120" s="483" t="n"/>
      <c r="J120" s="483" t="n"/>
      <c r="K120" s="483" t="n"/>
      <c r="L120" s="483" t="n"/>
      <c r="M120" s="483" t="n"/>
      <c r="N120" s="483" t="n"/>
      <c r="O120" s="483" t="n"/>
      <c r="P120" s="483" t="n"/>
      <c r="Q120" s="483" t="n"/>
      <c r="R120" s="483" t="n"/>
      <c r="S120" s="483" t="n"/>
      <c r="T120" s="483" t="n"/>
      <c r="U120" s="483" t="n"/>
      <c r="V120" s="483" t="n"/>
      <c r="W120" s="483" t="n"/>
      <c r="X120" s="483" t="n"/>
      <c r="Y120" s="483" t="n"/>
      <c r="Z120" s="483" t="n"/>
      <c r="AA120" s="483" t="n"/>
      <c r="AB120" s="483" t="n"/>
      <c r="AC120" s="483" t="n"/>
      <c r="AD120" s="483" t="n"/>
      <c r="AE120" s="483" t="n"/>
      <c r="AF120" s="483" t="n"/>
      <c r="AG120" s="483" t="n"/>
    </row>
    <row r="121" ht="12" customHeight="1" s="317">
      <c r="C121" s="483" t="n"/>
      <c r="D121" s="483" t="n"/>
      <c r="E121" s="483" t="n"/>
      <c r="F121" s="483" t="n"/>
      <c r="G121" s="483" t="n"/>
      <c r="H121" s="483" t="n"/>
      <c r="I121" s="483" t="n"/>
      <c r="J121" s="483" t="n"/>
      <c r="K121" s="483" t="n"/>
      <c r="L121" s="483" t="n"/>
      <c r="M121" s="483" t="n"/>
      <c r="N121" s="483" t="n"/>
      <c r="O121" s="483" t="n"/>
      <c r="P121" s="483" t="n"/>
      <c r="Q121" s="483" t="n"/>
      <c r="R121" s="483" t="n"/>
      <c r="S121" s="483" t="n"/>
      <c r="T121" s="483" t="n"/>
      <c r="U121" s="483" t="n"/>
      <c r="V121" s="483" t="n"/>
      <c r="W121" s="483" t="n"/>
      <c r="X121" s="483" t="n"/>
      <c r="Y121" s="483" t="n"/>
      <c r="Z121" s="483" t="n"/>
      <c r="AA121" s="483" t="n"/>
      <c r="AB121" s="483" t="n"/>
      <c r="AC121" s="483" t="n"/>
      <c r="AD121" s="483" t="n"/>
      <c r="AE121" s="483" t="n"/>
      <c r="AF121" s="483" t="n"/>
      <c r="AG121" s="483" t="n"/>
    </row>
    <row r="122" ht="12" customHeight="1" s="317">
      <c r="C122" s="483" t="n"/>
      <c r="D122" s="483" t="n"/>
      <c r="E122" s="483" t="n"/>
      <c r="F122" s="483" t="n"/>
      <c r="G122" s="483" t="n"/>
      <c r="H122" s="483" t="n"/>
      <c r="I122" s="483" t="n"/>
      <c r="J122" s="483" t="n"/>
      <c r="K122" s="483" t="n"/>
      <c r="L122" s="483" t="n"/>
      <c r="M122" s="483" t="n"/>
      <c r="N122" s="483" t="n"/>
      <c r="O122" s="483" t="n"/>
      <c r="P122" s="483" t="n"/>
      <c r="Q122" s="483" t="n"/>
      <c r="R122" s="483" t="n"/>
      <c r="S122" s="483" t="n"/>
      <c r="T122" s="483" t="n"/>
      <c r="U122" s="483" t="n"/>
      <c r="V122" s="483" t="n"/>
      <c r="W122" s="483" t="n"/>
      <c r="X122" s="483" t="n"/>
      <c r="Y122" s="483" t="n"/>
      <c r="Z122" s="483" t="n"/>
      <c r="AA122" s="483" t="n"/>
      <c r="AB122" s="483" t="n"/>
      <c r="AC122" s="483" t="n"/>
      <c r="AD122" s="483" t="n"/>
      <c r="AE122" s="483" t="n"/>
      <c r="AF122" s="483" t="n"/>
      <c r="AG122" s="483" t="n"/>
    </row>
    <row r="123" ht="12" customHeight="1" s="317">
      <c r="C123" s="483" t="n"/>
      <c r="D123" s="483" t="n"/>
      <c r="E123" s="483" t="n"/>
      <c r="F123" s="483" t="n"/>
      <c r="G123" s="483" t="n"/>
      <c r="H123" s="483" t="n"/>
      <c r="I123" s="483" t="n"/>
      <c r="J123" s="483" t="n"/>
      <c r="K123" s="483" t="n"/>
      <c r="L123" s="483" t="n"/>
      <c r="M123" s="483" t="n"/>
      <c r="N123" s="483" t="n"/>
      <c r="O123" s="483" t="n"/>
      <c r="P123" s="483" t="n"/>
      <c r="Q123" s="483" t="n"/>
      <c r="R123" s="483" t="n"/>
      <c r="S123" s="483" t="n"/>
      <c r="T123" s="483" t="n"/>
      <c r="U123" s="483" t="n"/>
      <c r="V123" s="483" t="n"/>
      <c r="W123" s="483" t="n"/>
      <c r="X123" s="483" t="n"/>
      <c r="Y123" s="483" t="n"/>
      <c r="Z123" s="483" t="n"/>
      <c r="AA123" s="483" t="n"/>
      <c r="AB123" s="483" t="n"/>
      <c r="AC123" s="483" t="n"/>
      <c r="AD123" s="483" t="n"/>
      <c r="AE123" s="483" t="n"/>
      <c r="AF123" s="483" t="n"/>
      <c r="AG123" s="483" t="n"/>
    </row>
    <row r="124" ht="12" customHeight="1" s="317">
      <c r="C124" s="483" t="n"/>
      <c r="D124" s="483" t="n"/>
      <c r="E124" s="483" t="n"/>
      <c r="F124" s="483" t="n"/>
      <c r="G124" s="483" t="n"/>
      <c r="H124" s="483" t="n"/>
      <c r="I124" s="483" t="n"/>
      <c r="J124" s="483" t="n"/>
      <c r="K124" s="483" t="n"/>
      <c r="L124" s="483" t="n"/>
      <c r="M124" s="483" t="n"/>
      <c r="N124" s="483" t="n"/>
      <c r="O124" s="483" t="n"/>
      <c r="P124" s="483" t="n"/>
      <c r="Q124" s="483" t="n"/>
      <c r="R124" s="483" t="n"/>
      <c r="S124" s="483" t="n"/>
      <c r="T124" s="483" t="n"/>
      <c r="U124" s="483" t="n"/>
      <c r="V124" s="483" t="n"/>
      <c r="W124" s="483" t="n"/>
      <c r="X124" s="483" t="n"/>
      <c r="Y124" s="483" t="n"/>
      <c r="Z124" s="483" t="n"/>
      <c r="AA124" s="483" t="n"/>
      <c r="AB124" s="483" t="n"/>
      <c r="AC124" s="483" t="n"/>
      <c r="AD124" s="483" t="n"/>
      <c r="AE124" s="483" t="n"/>
      <c r="AF124" s="483" t="n"/>
      <c r="AG124" s="483" t="n"/>
    </row>
    <row r="125" ht="12" customHeight="1" s="317">
      <c r="C125" s="483" t="n"/>
      <c r="D125" s="483" t="n"/>
      <c r="E125" s="483" t="n"/>
      <c r="F125" s="483" t="n"/>
      <c r="G125" s="483" t="n"/>
      <c r="H125" s="483" t="n"/>
      <c r="I125" s="483" t="n"/>
      <c r="J125" s="483" t="n"/>
      <c r="K125" s="483" t="n"/>
      <c r="L125" s="483" t="n"/>
      <c r="M125" s="483" t="n"/>
      <c r="N125" s="483" t="n"/>
      <c r="O125" s="483" t="n"/>
      <c r="P125" s="483" t="n"/>
      <c r="Q125" s="483" t="n"/>
      <c r="R125" s="483" t="n"/>
      <c r="S125" s="483" t="n"/>
      <c r="T125" s="483" t="n"/>
      <c r="U125" s="483" t="n"/>
      <c r="V125" s="483" t="n"/>
      <c r="W125" s="483" t="n"/>
      <c r="X125" s="483" t="n"/>
      <c r="Y125" s="483" t="n"/>
      <c r="Z125" s="483" t="n"/>
      <c r="AA125" s="483" t="n"/>
      <c r="AB125" s="483" t="n"/>
      <c r="AC125" s="483" t="n"/>
      <c r="AD125" s="483" t="n"/>
      <c r="AE125" s="483" t="n"/>
      <c r="AF125" s="483" t="n"/>
      <c r="AG125" s="483" t="n"/>
    </row>
    <row r="126" ht="12" customHeight="1" s="317">
      <c r="C126" s="483" t="n"/>
      <c r="D126" s="483" t="n"/>
      <c r="E126" s="483" t="n"/>
      <c r="F126" s="483" t="n"/>
      <c r="G126" s="483" t="n"/>
      <c r="H126" s="483" t="n"/>
      <c r="I126" s="483" t="n"/>
      <c r="J126" s="483" t="n"/>
      <c r="K126" s="483" t="n"/>
      <c r="L126" s="483" t="n"/>
      <c r="M126" s="483" t="n"/>
      <c r="N126" s="483" t="n"/>
      <c r="O126" s="483" t="n"/>
      <c r="P126" s="483" t="n"/>
      <c r="Q126" s="483" t="n"/>
      <c r="R126" s="483" t="n"/>
      <c r="S126" s="483" t="n"/>
      <c r="T126" s="483" t="n"/>
      <c r="U126" s="483" t="n"/>
      <c r="V126" s="483" t="n"/>
      <c r="W126" s="483" t="n"/>
      <c r="X126" s="483" t="n"/>
      <c r="Y126" s="483" t="n"/>
      <c r="Z126" s="483" t="n"/>
      <c r="AA126" s="483" t="n"/>
      <c r="AB126" s="483" t="n"/>
      <c r="AC126" s="483" t="n"/>
      <c r="AD126" s="483" t="n"/>
      <c r="AE126" s="483" t="n"/>
      <c r="AF126" s="483" t="n"/>
      <c r="AG126" s="483" t="n"/>
    </row>
    <row r="127" ht="12" customHeight="1" s="317">
      <c r="C127" s="483" t="n"/>
      <c r="D127" s="483" t="n"/>
      <c r="E127" s="483" t="n"/>
      <c r="F127" s="483" t="n"/>
      <c r="G127" s="483" t="n"/>
      <c r="H127" s="483" t="n"/>
      <c r="I127" s="483" t="n"/>
      <c r="J127" s="483" t="n"/>
      <c r="K127" s="483" t="n"/>
      <c r="L127" s="483" t="n"/>
      <c r="M127" s="483" t="n"/>
      <c r="N127" s="483" t="n"/>
      <c r="O127" s="483" t="n"/>
      <c r="P127" s="483" t="n"/>
      <c r="Q127" s="483" t="n"/>
      <c r="R127" s="483" t="n"/>
      <c r="S127" s="483" t="n"/>
      <c r="T127" s="483" t="n"/>
      <c r="U127" s="483" t="n"/>
      <c r="V127" s="483" t="n"/>
      <c r="W127" s="483" t="n"/>
      <c r="X127" s="483" t="n"/>
      <c r="Y127" s="483" t="n"/>
      <c r="Z127" s="483" t="n"/>
      <c r="AA127" s="483" t="n"/>
      <c r="AB127" s="483" t="n"/>
      <c r="AC127" s="483" t="n"/>
      <c r="AD127" s="483" t="n"/>
      <c r="AE127" s="483" t="n"/>
      <c r="AF127" s="483" t="n"/>
      <c r="AG127" s="483" t="n"/>
    </row>
    <row r="128" ht="12" customHeight="1" s="317">
      <c r="C128" s="483" t="n"/>
      <c r="D128" s="483" t="n"/>
      <c r="E128" s="483" t="n"/>
      <c r="F128" s="483" t="n"/>
      <c r="G128" s="483" t="n"/>
      <c r="H128" s="483" t="n"/>
      <c r="I128" s="483" t="n"/>
      <c r="J128" s="483" t="n"/>
      <c r="K128" s="483" t="n"/>
      <c r="L128" s="483" t="n"/>
      <c r="M128" s="483" t="n"/>
      <c r="N128" s="483" t="n"/>
      <c r="O128" s="483" t="n"/>
      <c r="P128" s="483" t="n"/>
      <c r="Q128" s="483" t="n"/>
      <c r="R128" s="483" t="n"/>
      <c r="S128" s="483" t="n"/>
      <c r="T128" s="483" t="n"/>
      <c r="U128" s="483" t="n"/>
      <c r="V128" s="483" t="n"/>
      <c r="W128" s="483" t="n"/>
      <c r="X128" s="483" t="n"/>
      <c r="Y128" s="483" t="n"/>
      <c r="Z128" s="483" t="n"/>
      <c r="AA128" s="483" t="n"/>
      <c r="AB128" s="483" t="n"/>
      <c r="AC128" s="483" t="n"/>
      <c r="AD128" s="483" t="n"/>
      <c r="AE128" s="483" t="n"/>
      <c r="AF128" s="483" t="n"/>
      <c r="AG128" s="483" t="n"/>
    </row>
    <row r="129" ht="12" customHeight="1" s="317">
      <c r="C129" s="483" t="n"/>
      <c r="D129" s="483" t="n"/>
      <c r="E129" s="483" t="n"/>
      <c r="F129" s="483" t="n"/>
      <c r="G129" s="483" t="n"/>
      <c r="H129" s="483" t="n"/>
      <c r="I129" s="483" t="n"/>
      <c r="J129" s="483" t="n"/>
      <c r="K129" s="483" t="n"/>
      <c r="L129" s="483" t="n"/>
      <c r="M129" s="483" t="n"/>
      <c r="N129" s="483" t="n"/>
      <c r="O129" s="483" t="n"/>
      <c r="P129" s="483" t="n"/>
      <c r="Q129" s="483" t="n"/>
      <c r="R129" s="483" t="n"/>
      <c r="S129" s="483" t="n"/>
      <c r="T129" s="483" t="n"/>
      <c r="U129" s="483" t="n"/>
      <c r="V129" s="483" t="n"/>
      <c r="W129" s="483" t="n"/>
      <c r="X129" s="483" t="n"/>
      <c r="Y129" s="483" t="n"/>
      <c r="Z129" s="483" t="n"/>
      <c r="AA129" s="483" t="n"/>
      <c r="AB129" s="483" t="n"/>
      <c r="AC129" s="483" t="n"/>
      <c r="AD129" s="483" t="n"/>
      <c r="AE129" s="483" t="n"/>
      <c r="AF129" s="483" t="n"/>
      <c r="AG129" s="483" t="n"/>
    </row>
    <row r="130" ht="12" customHeight="1" s="317">
      <c r="C130" s="483" t="n"/>
      <c r="D130" s="483" t="n"/>
      <c r="E130" s="483" t="n"/>
      <c r="F130" s="483" t="n"/>
      <c r="G130" s="483" t="n"/>
      <c r="H130" s="483" t="n"/>
      <c r="I130" s="483" t="n"/>
      <c r="J130" s="483" t="n"/>
      <c r="K130" s="483" t="n"/>
      <c r="L130" s="483" t="n"/>
      <c r="M130" s="483" t="n"/>
      <c r="N130" s="483" t="n"/>
      <c r="O130" s="483" t="n"/>
      <c r="P130" s="483" t="n"/>
      <c r="Q130" s="483" t="n"/>
      <c r="R130" s="483" t="n"/>
      <c r="S130" s="483" t="n"/>
      <c r="T130" s="483" t="n"/>
      <c r="U130" s="483" t="n"/>
      <c r="V130" s="483" t="n"/>
      <c r="W130" s="483" t="n"/>
      <c r="X130" s="483" t="n"/>
      <c r="Y130" s="483" t="n"/>
      <c r="Z130" s="483" t="n"/>
      <c r="AA130" s="483" t="n"/>
      <c r="AB130" s="483" t="n"/>
      <c r="AC130" s="483" t="n"/>
      <c r="AD130" s="483" t="n"/>
      <c r="AE130" s="483" t="n"/>
      <c r="AF130" s="483" t="n"/>
      <c r="AG130" s="483" t="n"/>
    </row>
    <row r="131" ht="12" customHeight="1" s="317">
      <c r="C131" s="483" t="n"/>
      <c r="D131" s="483" t="n"/>
      <c r="E131" s="483" t="n"/>
      <c r="F131" s="483" t="n"/>
      <c r="G131" s="483" t="n"/>
      <c r="H131" s="483" t="n"/>
      <c r="I131" s="483" t="n"/>
      <c r="J131" s="483" t="n"/>
      <c r="K131" s="483" t="n"/>
      <c r="L131" s="483" t="n"/>
      <c r="M131" s="483" t="n"/>
      <c r="N131" s="483" t="n"/>
      <c r="O131" s="483" t="n"/>
      <c r="P131" s="483" t="n"/>
      <c r="Q131" s="483" t="n"/>
      <c r="R131" s="483" t="n"/>
      <c r="S131" s="483" t="n"/>
      <c r="T131" s="483" t="n"/>
      <c r="U131" s="483" t="n"/>
      <c r="V131" s="483" t="n"/>
      <c r="W131" s="483" t="n"/>
      <c r="X131" s="483" t="n"/>
      <c r="Y131" s="483" t="n"/>
      <c r="Z131" s="483" t="n"/>
      <c r="AA131" s="483" t="n"/>
      <c r="AB131" s="483" t="n"/>
      <c r="AC131" s="483" t="n"/>
      <c r="AD131" s="483" t="n"/>
      <c r="AE131" s="483" t="n"/>
      <c r="AF131" s="483" t="n"/>
      <c r="AG131" s="483" t="n"/>
    </row>
    <row r="132" ht="12" customHeight="1" s="317">
      <c r="C132" s="483" t="n"/>
      <c r="D132" s="483" t="n"/>
      <c r="E132" s="483" t="n"/>
      <c r="F132" s="483" t="n"/>
      <c r="G132" s="483" t="n"/>
      <c r="H132" s="483" t="n"/>
      <c r="I132" s="483" t="n"/>
      <c r="J132" s="483" t="n"/>
      <c r="K132" s="483" t="n"/>
      <c r="L132" s="483" t="n"/>
      <c r="M132" s="483" t="n"/>
      <c r="N132" s="483" t="n"/>
      <c r="O132" s="483" t="n"/>
      <c r="P132" s="483" t="n"/>
      <c r="Q132" s="483" t="n"/>
      <c r="R132" s="483" t="n"/>
      <c r="S132" s="483" t="n"/>
      <c r="T132" s="483" t="n"/>
      <c r="U132" s="483" t="n"/>
      <c r="V132" s="483" t="n"/>
      <c r="W132" s="483" t="n"/>
      <c r="X132" s="483" t="n"/>
      <c r="Y132" s="483" t="n"/>
      <c r="Z132" s="483" t="n"/>
      <c r="AA132" s="483" t="n"/>
      <c r="AB132" s="483" t="n"/>
      <c r="AC132" s="483" t="n"/>
      <c r="AD132" s="483" t="n"/>
      <c r="AE132" s="483" t="n"/>
      <c r="AF132" s="483" t="n"/>
      <c r="AG132" s="483" t="n"/>
    </row>
    <row r="133" ht="12" customHeight="1" s="317">
      <c r="O133" s="483" t="n"/>
      <c r="P133" s="483" t="n"/>
      <c r="Q133" s="483" t="n"/>
      <c r="R133" s="483" t="n"/>
      <c r="S133" s="483" t="n"/>
      <c r="T133" s="483" t="n"/>
      <c r="U133" s="483" t="n"/>
      <c r="V133" s="483" t="n"/>
      <c r="W133" s="483" t="n"/>
      <c r="X133" s="483" t="n"/>
      <c r="Y133" s="483" t="n"/>
      <c r="Z133" s="483" t="n"/>
      <c r="AA133" s="483" t="n"/>
      <c r="AB133" s="483" t="n"/>
      <c r="AC133" s="483" t="n"/>
      <c r="AD133" s="483" t="n"/>
      <c r="AE133" s="483" t="n"/>
      <c r="AF133" s="483" t="n"/>
      <c r="AG133" s="483" t="n"/>
    </row>
    <row r="134" ht="12" customHeight="1" s="317">
      <c r="O134" s="483" t="n"/>
      <c r="P134" s="483" t="n"/>
      <c r="Q134" s="483" t="n"/>
      <c r="R134" s="483" t="n"/>
      <c r="S134" s="483" t="n"/>
      <c r="T134" s="483" t="n"/>
      <c r="U134" s="483" t="n"/>
      <c r="V134" s="483" t="n"/>
      <c r="W134" s="483" t="n"/>
      <c r="X134" s="483" t="n"/>
      <c r="Y134" s="483" t="n"/>
      <c r="Z134" s="483" t="n"/>
      <c r="AA134" s="483" t="n"/>
      <c r="AB134" s="483" t="n"/>
      <c r="AC134" s="483" t="n"/>
      <c r="AD134" s="483" t="n"/>
      <c r="AE134" s="483" t="n"/>
      <c r="AF134" s="483" t="n"/>
      <c r="AG134" s="483" t="n"/>
    </row>
    <row r="135" ht="12" customHeight="1" s="317">
      <c r="O135" s="483" t="n"/>
      <c r="P135" s="483" t="n"/>
      <c r="Q135" s="483" t="n"/>
      <c r="R135" s="483" t="n"/>
      <c r="S135" s="483" t="n"/>
      <c r="T135" s="483" t="n"/>
      <c r="U135" s="483" t="n"/>
      <c r="V135" s="483" t="n"/>
      <c r="W135" s="483" t="n"/>
      <c r="X135" s="483" t="n"/>
      <c r="Y135" s="483" t="n"/>
      <c r="Z135" s="483" t="n"/>
      <c r="AA135" s="483" t="n"/>
      <c r="AB135" s="483" t="n"/>
      <c r="AC135" s="483" t="n"/>
      <c r="AD135" s="483" t="n"/>
      <c r="AE135" s="483" t="n"/>
      <c r="AF135" s="483" t="n"/>
      <c r="AG135" s="483" t="n"/>
    </row>
    <row r="136" ht="12" customHeight="1" s="317">
      <c r="O136" s="483" t="n"/>
      <c r="P136" s="483" t="n"/>
      <c r="Q136" s="483" t="n"/>
      <c r="R136" s="483" t="n"/>
      <c r="S136" s="483" t="n"/>
      <c r="T136" s="483" t="n"/>
      <c r="U136" s="483" t="n"/>
      <c r="V136" s="483" t="n"/>
      <c r="W136" s="483" t="n"/>
      <c r="X136" s="483" t="n"/>
      <c r="Y136" s="483" t="n"/>
      <c r="Z136" s="483" t="n"/>
      <c r="AA136" s="483" t="n"/>
      <c r="AB136" s="483" t="n"/>
      <c r="AC136" s="483" t="n"/>
      <c r="AD136" s="483" t="n"/>
      <c r="AE136" s="483" t="n"/>
      <c r="AF136" s="483" t="n"/>
      <c r="AG136" s="483" t="n"/>
    </row>
    <row r="137" ht="12" customHeight="1" s="317">
      <c r="O137" s="483" t="n"/>
      <c r="P137" s="483" t="n"/>
      <c r="Q137" s="483" t="n"/>
      <c r="R137" s="483" t="n"/>
      <c r="S137" s="483" t="n"/>
      <c r="T137" s="483" t="n"/>
      <c r="U137" s="483" t="n"/>
      <c r="V137" s="483" t="n"/>
      <c r="W137" s="483" t="n"/>
      <c r="X137" s="483" t="n"/>
      <c r="Y137" s="483" t="n"/>
      <c r="Z137" s="483" t="n"/>
      <c r="AA137" s="483" t="n"/>
      <c r="AB137" s="483" t="n"/>
      <c r="AC137" s="483" t="n"/>
      <c r="AD137" s="483" t="n"/>
      <c r="AE137" s="483" t="n"/>
      <c r="AF137" s="483" t="n"/>
      <c r="AG137" s="483" t="n"/>
    </row>
    <row r="138" ht="12" customHeight="1" s="317">
      <c r="O138" s="483" t="n"/>
      <c r="P138" s="483" t="n"/>
      <c r="Q138" s="483" t="n"/>
      <c r="R138" s="483" t="n"/>
      <c r="S138" s="483" t="n"/>
      <c r="T138" s="483" t="n"/>
      <c r="U138" s="483" t="n"/>
      <c r="V138" s="483" t="n"/>
      <c r="W138" s="483" t="n"/>
      <c r="X138" s="483" t="n"/>
      <c r="Y138" s="483" t="n"/>
      <c r="Z138" s="483" t="n"/>
      <c r="AA138" s="483" t="n"/>
      <c r="AB138" s="483" t="n"/>
      <c r="AC138" s="483" t="n"/>
      <c r="AD138" s="483" t="n"/>
      <c r="AE138" s="483" t="n"/>
      <c r="AF138" s="483" t="n"/>
      <c r="AG138" s="483" t="n"/>
    </row>
    <row r="139" ht="12" customHeight="1" s="317">
      <c r="O139" s="483" t="n"/>
      <c r="P139" s="483" t="n"/>
      <c r="Q139" s="483" t="n"/>
      <c r="R139" s="483" t="n"/>
      <c r="S139" s="483" t="n"/>
      <c r="T139" s="483" t="n"/>
      <c r="U139" s="483" t="n"/>
      <c r="V139" s="483" t="n"/>
      <c r="W139" s="483" t="n"/>
      <c r="X139" s="483" t="n"/>
      <c r="Y139" s="483" t="n"/>
      <c r="Z139" s="483" t="n"/>
      <c r="AA139" s="483" t="n"/>
      <c r="AB139" s="483" t="n"/>
      <c r="AC139" s="483" t="n"/>
      <c r="AD139" s="483" t="n"/>
      <c r="AE139" s="483" t="n"/>
      <c r="AF139" s="483" t="n"/>
      <c r="AG139" s="483" t="n"/>
    </row>
    <row r="140" ht="12" customHeight="1" s="317">
      <c r="O140" s="483" t="n"/>
      <c r="P140" s="483" t="n"/>
      <c r="Q140" s="483" t="n"/>
      <c r="R140" s="483" t="n"/>
      <c r="S140" s="483" t="n"/>
      <c r="T140" s="483" t="n"/>
      <c r="U140" s="483" t="n"/>
      <c r="V140" s="483" t="n"/>
      <c r="W140" s="483" t="n"/>
      <c r="X140" s="483" t="n"/>
      <c r="Y140" s="483" t="n"/>
      <c r="Z140" s="483" t="n"/>
      <c r="AA140" s="483" t="n"/>
      <c r="AB140" s="483" t="n"/>
      <c r="AC140" s="483" t="n"/>
      <c r="AD140" s="483" t="n"/>
      <c r="AE140" s="483" t="n"/>
      <c r="AF140" s="483" t="n"/>
      <c r="AG140" s="483" t="n"/>
    </row>
  </sheetData>
  <mergeCells count="6">
    <mergeCell ref="D8:E8"/>
    <mergeCell ref="C49:L49"/>
    <mergeCell ref="C6:L6"/>
    <mergeCell ref="C46:L46"/>
    <mergeCell ref="C47:L47"/>
    <mergeCell ref="A1:N1"/>
  </mergeCells>
  <printOptions horizontalCentered="1" verticalCentered="0" headings="0" gridLines="0" gridLinesSet="1"/>
  <pageMargins left="0.25" right="0.25" top="1.03958333333333" bottom="0.9840277777777779" header="0.5" footer="0.5"/>
  <pageSetup orientation="landscape" paperSize="1" scale="72" fitToHeight="1" fitToWidth="1" pageOrder="downThenOver" blackAndWhite="0" draft="0" horizontalDpi="300" verticalDpi="300" copies="1"/>
  <headerFooter differentOddEven="0" differentFirst="0">
    <oddHeader>&amp;C&amp;"Arial,Bold"&amp;18 Application Description&amp;R&amp;"Arial,Bold"&amp;10 </oddHeader>
    <oddFooter>&amp;L&amp;"Arial,Bold"&amp;10 Proposal 10xxx_x000a_ &amp;C&amp;"Times New Roman,Regular"The information contained herein is proprietary and confidential, and should not be shared outside "nickname"&amp;10 Page 9 of 9_x000a_&amp;R&amp;"Arial,Bold"&amp;10 &amp;D - &amp;T</oddFooter>
    <evenHeader/>
    <evenFooter/>
    <firstHeader/>
    <firstFooter/>
  </headerFooter>
  <rowBreaks count="1" manualBreakCount="1">
    <brk id="42" min="0" max="16383" man="1"/>
  </rowBreaks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" zoomScaleNormal="10" zoomScalePageLayoutView="10" workbookViewId="0">
      <selection pane="topLeft" activeCell="A1" activeCellId="0" sqref="A1"/>
    </sheetView>
  </sheetViews>
  <sheetFormatPr baseColWidth="8" defaultColWidth="9.144531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&amp;A</oddHeader>
    <oddFooter>&amp;C&amp;12 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144531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&amp;A</oddHeader>
    <oddFooter>&amp;C&amp;12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Lukas</dc:creator>
  <dc:title>Value Analysis / Cost Justifcation Spreadsheet</dc:title>
  <dc:language>en-US</dc:language>
  <dcterms:created xsi:type="dcterms:W3CDTF">1997-07-11T11:35:58Z</dcterms:created>
  <dcterms:modified xsi:type="dcterms:W3CDTF">2026-03-05T04:03:42Z</dcterms:modified>
  <cp:lastModifiedBy>bturner</cp:lastModifiedBy>
  <cp:revision>0</cp:revision>
  <cp:lastPrinted>1999-12-06T07:48:31Z</cp:lastPrinted>
</cp:coreProperties>
</file>