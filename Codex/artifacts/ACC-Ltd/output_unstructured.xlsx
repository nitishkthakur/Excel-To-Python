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>
        <f>'DuPoint Analysis'!E9-1443</f>
        <v/>
      </c>
      <c r="C2" s="96">
        <f>'DuPoint Analysis'!F9-1534</f>
        <v/>
      </c>
      <c r="D2" s="96">
        <f>'DuPoint Analysis'!G9-916</f>
        <v/>
      </c>
      <c r="E2" s="96">
        <f>E4*E11</f>
        <v/>
      </c>
      <c r="F2" s="96">
        <f>F4*F11</f>
        <v/>
      </c>
      <c r="G2" s="96">
        <f>G4*G11</f>
        <v/>
      </c>
      <c r="H2" s="96">
        <f>H4*H11</f>
        <v/>
      </c>
      <c r="I2" s="96">
        <f>I4*I11</f>
        <v/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>
        <f>E5*E6</f>
        <v/>
      </c>
      <c r="F4" s="14">
        <f>F5*F6</f>
        <v/>
      </c>
      <c r="G4" s="14">
        <f>G5*G6</f>
        <v/>
      </c>
      <c r="H4" s="14">
        <f>H5*H6</f>
        <v/>
      </c>
      <c r="I4" s="14">
        <f>I5*I6</f>
        <v/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>
        <f>E9*E8</f>
        <v/>
      </c>
      <c r="F5" s="14">
        <f>F9*F8</f>
        <v/>
      </c>
      <c r="G5" s="14">
        <f>G9*G8</f>
        <v/>
      </c>
      <c r="H5" s="14">
        <f>H9*H8</f>
        <v/>
      </c>
      <c r="I5" s="14">
        <f>I9*I8</f>
        <v/>
      </c>
    </row>
    <row r="6">
      <c r="A6" s="19" t="inlineStr">
        <is>
          <t>Sales as % of prodn</t>
        </is>
      </c>
      <c r="B6" s="15">
        <f>B4/B5</f>
        <v/>
      </c>
      <c r="C6" s="15">
        <f>C4/C5</f>
        <v/>
      </c>
      <c r="D6" s="15">
        <f>D4/D5</f>
        <v/>
      </c>
      <c r="E6" s="16">
        <f>$D$6</f>
        <v/>
      </c>
      <c r="F6" s="16">
        <f>$D$6</f>
        <v/>
      </c>
      <c r="G6" s="16">
        <f>$D$6</f>
        <v/>
      </c>
      <c r="H6" s="16">
        <f>$D$6</f>
        <v/>
      </c>
      <c r="I6" s="16">
        <f>$D$6</f>
        <v/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>
        <f>D8+2%</f>
        <v/>
      </c>
      <c r="F8" s="16">
        <f>E8+2%</f>
        <v/>
      </c>
      <c r="G8" s="16">
        <f>F8+2%</f>
        <v/>
      </c>
      <c r="H8" s="16">
        <f>G8+2%</f>
        <v/>
      </c>
      <c r="I8" s="16">
        <f>H8+2%</f>
        <v/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>
        <f>B5*100%/B8</f>
        <v/>
      </c>
      <c r="C9" s="14">
        <f>C5*100%/C8</f>
        <v/>
      </c>
      <c r="D9" s="14">
        <f>D5*100%/D8</f>
        <v/>
      </c>
      <c r="E9" s="17">
        <f>$D$9</f>
        <v/>
      </c>
      <c r="F9" s="17">
        <f>$D$9</f>
        <v/>
      </c>
      <c r="G9" s="17">
        <f>$D$9</f>
        <v/>
      </c>
      <c r="H9" s="17">
        <f>$D$9</f>
        <v/>
      </c>
      <c r="I9" s="17">
        <f>$D$9</f>
        <v/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>
        <f>B2/B4</f>
        <v/>
      </c>
      <c r="C11" s="18">
        <f>C2/C4</f>
        <v/>
      </c>
      <c r="D11" s="18">
        <f>D2/D4</f>
        <v/>
      </c>
      <c r="E11" s="18">
        <f>D11*(1+E12)</f>
        <v/>
      </c>
      <c r="F11" s="18">
        <f>E11*(1+F12)</f>
        <v/>
      </c>
      <c r="G11" s="18">
        <f>F11*(1+G12)</f>
        <v/>
      </c>
      <c r="H11" s="18">
        <f>G11*(1+H12)</f>
        <v/>
      </c>
      <c r="I11" s="18">
        <f>H11*(1+I12)</f>
        <v/>
      </c>
    </row>
    <row r="12">
      <c r="A12" s="19" t="n"/>
      <c r="B12" s="19" t="n"/>
      <c r="C12" s="15">
        <f>C11/B11-1</f>
        <v/>
      </c>
      <c r="D12" s="15">
        <f>D11/C11-1</f>
        <v/>
      </c>
      <c r="E12" s="16">
        <f>DCF!$B$33</f>
        <v/>
      </c>
      <c r="F12" s="16">
        <f>DCF!$B$33</f>
        <v/>
      </c>
      <c r="G12" s="16">
        <f>DCF!$B$33</f>
        <v/>
      </c>
      <c r="H12" s="16">
        <f>DCF!$B$33</f>
        <v/>
      </c>
      <c r="I12" s="16">
        <f>DCF!$B$33</f>
        <v/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>
        <f>B11*10000000/1000000</f>
        <v/>
      </c>
      <c r="C15" s="96">
        <f>C11*10000000/1000000</f>
        <v/>
      </c>
      <c r="D15" s="96">
        <f>D11*10000000/1000000</f>
        <v/>
      </c>
      <c r="E15" s="96">
        <f>E11*10000000/1000000</f>
        <v/>
      </c>
      <c r="F15" s="96">
        <f>F11*10000000/1000000</f>
        <v/>
      </c>
      <c r="G15" s="96">
        <f>G11*10000000/1000000</f>
        <v/>
      </c>
      <c r="H15" s="96">
        <f>H11*10000000/1000000</f>
        <v/>
      </c>
      <c r="I15" s="96">
        <f>I11*10000000/1000000</f>
        <v/>
      </c>
    </row>
    <row r="16">
      <c r="A16" s="20" t="inlineStr">
        <is>
          <t>Average price per kg</t>
        </is>
      </c>
      <c r="B16" s="97">
        <f>B15/1000</f>
        <v/>
      </c>
      <c r="C16" s="97">
        <f>C15/1000</f>
        <v/>
      </c>
      <c r="D16" s="97">
        <f>D15/1000</f>
        <v/>
      </c>
      <c r="E16" s="97">
        <f>E15/1000</f>
        <v/>
      </c>
      <c r="F16" s="97">
        <f>F15/1000</f>
        <v/>
      </c>
      <c r="G16" s="97">
        <f>G15/1000</f>
        <v/>
      </c>
      <c r="H16" s="97">
        <f>H15/1000</f>
        <v/>
      </c>
      <c r="I16" s="97">
        <f>I15/1000</f>
        <v/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>
        <f>E$2*E29</f>
        <v/>
      </c>
      <c r="F19" s="98">
        <f>F$2*F29</f>
        <v/>
      </c>
      <c r="G19" s="98">
        <f>G$2*G29</f>
        <v/>
      </c>
      <c r="H19" s="98">
        <f>H$2*H29</f>
        <v/>
      </c>
      <c r="I19" s="98">
        <f>I$2*I29</f>
        <v/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>
        <f>E$2*E30</f>
        <v/>
      </c>
      <c r="F20" s="98">
        <f>F$2*F30</f>
        <v/>
      </c>
      <c r="G20" s="98">
        <f>G$2*G30</f>
        <v/>
      </c>
      <c r="H20" s="98">
        <f>H$2*H30</f>
        <v/>
      </c>
      <c r="I20" s="98">
        <f>I$2*I30</f>
        <v/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>
        <f>E$2*E31</f>
        <v/>
      </c>
      <c r="F21" s="98">
        <f>F$2*F31</f>
        <v/>
      </c>
      <c r="G21" s="98">
        <f>G$2*G31</f>
        <v/>
      </c>
      <c r="H21" s="98">
        <f>H$2*H31</f>
        <v/>
      </c>
      <c r="I21" s="98">
        <f>I$2*I31</f>
        <v/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>
        <f>E$2*E32</f>
        <v/>
      </c>
      <c r="F22" s="98">
        <f>F$2*F32</f>
        <v/>
      </c>
      <c r="G22" s="98">
        <f>G$2*G32</f>
        <v/>
      </c>
      <c r="H22" s="98">
        <f>H$2*H32</f>
        <v/>
      </c>
      <c r="I22" s="98">
        <f>I$2*I32</f>
        <v/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>
        <f>E$2*E33</f>
        <v/>
      </c>
      <c r="F23" s="99">
        <f>F$2*F33</f>
        <v/>
      </c>
      <c r="G23" s="99">
        <f>G$2*G33</f>
        <v/>
      </c>
      <c r="H23" s="99">
        <f>H$2*H33</f>
        <v/>
      </c>
      <c r="I23" s="99">
        <f>I$2*I33</f>
        <v/>
      </c>
    </row>
    <row r="24">
      <c r="A24" s="36" t="inlineStr">
        <is>
          <t>Total expenses</t>
        </is>
      </c>
      <c r="B24" s="37">
        <f>SUM(B19:B23)</f>
        <v/>
      </c>
      <c r="C24" s="37">
        <f>SUM(C19:C23)</f>
        <v/>
      </c>
      <c r="D24" s="37">
        <f>SUM(D19:D23)</f>
        <v/>
      </c>
      <c r="E24" s="37">
        <f>SUM(E19:E23)</f>
        <v/>
      </c>
      <c r="F24" s="37">
        <f>SUM(F19:F23)</f>
        <v/>
      </c>
      <c r="G24" s="37">
        <f>SUM(G19:G23)</f>
        <v/>
      </c>
      <c r="H24" s="37">
        <f>SUM(H19:H23)</f>
        <v/>
      </c>
      <c r="I24" s="37">
        <f>SUM(I19:I23)</f>
        <v/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>
        <f>B2-B24</f>
        <v/>
      </c>
      <c r="C26" s="26">
        <f>C2-C24</f>
        <v/>
      </c>
      <c r="D26" s="26">
        <f>D2-D24</f>
        <v/>
      </c>
      <c r="E26" s="26">
        <f>E2-E24</f>
        <v/>
      </c>
      <c r="F26" s="26">
        <f>F2-F24</f>
        <v/>
      </c>
      <c r="G26" s="26">
        <f>G2-G24</f>
        <v/>
      </c>
      <c r="H26" s="26">
        <f>H2-H24</f>
        <v/>
      </c>
      <c r="I26" s="26">
        <f>I2-I24</f>
        <v/>
      </c>
      <c r="M26" s="28" t="n"/>
    </row>
    <row r="27" s="74">
      <c r="A27" t="inlineStr">
        <is>
          <t>Margin</t>
        </is>
      </c>
      <c r="B27" s="28">
        <f>B26/B2</f>
        <v/>
      </c>
      <c r="C27" s="28">
        <f>C26/C2</f>
        <v/>
      </c>
      <c r="D27" s="28">
        <f>D26/D2</f>
        <v/>
      </c>
      <c r="E27" s="28">
        <f>E26/E2</f>
        <v/>
      </c>
      <c r="F27" s="28">
        <f>F26/F2</f>
        <v/>
      </c>
      <c r="G27" s="28">
        <f>G26/G2</f>
        <v/>
      </c>
      <c r="H27" s="28">
        <f>H26/H2</f>
        <v/>
      </c>
      <c r="I27" s="28">
        <f>I26/I2</f>
        <v/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>
        <f>B19/B$2</f>
        <v/>
      </c>
      <c r="C29" s="28">
        <f>C19/C$2</f>
        <v/>
      </c>
      <c r="D29" s="28">
        <f>D19/D$2</f>
        <v/>
      </c>
      <c r="E29" s="28">
        <f>D29</f>
        <v/>
      </c>
      <c r="F29" s="28">
        <f>E29</f>
        <v/>
      </c>
      <c r="G29" s="28">
        <f>F29</f>
        <v/>
      </c>
      <c r="H29" s="28">
        <f>G29</f>
        <v/>
      </c>
      <c r="I29" s="28">
        <f>H29</f>
        <v/>
      </c>
    </row>
    <row r="30">
      <c r="A30" t="inlineStr">
        <is>
          <t>Power as % of sales</t>
        </is>
      </c>
      <c r="B30" s="28">
        <f>B20/B$2</f>
        <v/>
      </c>
      <c r="C30" s="28">
        <f>C20/C$2</f>
        <v/>
      </c>
      <c r="D30" s="28">
        <f>D20/D$2</f>
        <v/>
      </c>
      <c r="E30" s="28">
        <f>D30</f>
        <v/>
      </c>
      <c r="F30" s="28">
        <f>E30</f>
        <v/>
      </c>
      <c r="G30" s="28">
        <f>F30</f>
        <v/>
      </c>
      <c r="H30" s="28">
        <f>G30</f>
        <v/>
      </c>
      <c r="I30" s="28">
        <f>H30</f>
        <v/>
      </c>
    </row>
    <row r="31">
      <c r="A31" s="42" t="inlineStr">
        <is>
          <t>Transport as % of sales</t>
        </is>
      </c>
      <c r="B31" s="43">
        <f>B21/B$2</f>
        <v/>
      </c>
      <c r="C31" s="43">
        <f>C21/C$2</f>
        <v/>
      </c>
      <c r="D31" s="43">
        <f>D21/D$2</f>
        <v/>
      </c>
      <c r="E31" s="28">
        <f>D31+1.5%</f>
        <v/>
      </c>
      <c r="F31" s="28">
        <f>E31+0.5%</f>
        <v/>
      </c>
      <c r="G31" s="28">
        <f>F31+0.5%</f>
        <v/>
      </c>
      <c r="H31" s="28">
        <f>G31+0.5%</f>
        <v/>
      </c>
      <c r="I31" s="28">
        <f>H31+0.5%</f>
        <v/>
      </c>
    </row>
    <row r="32">
      <c r="A32" t="inlineStr">
        <is>
          <t>Salaries as % of sales</t>
        </is>
      </c>
      <c r="B32" s="28">
        <f>B22/B$2</f>
        <v/>
      </c>
      <c r="C32" s="28">
        <f>C22/C$2</f>
        <v/>
      </c>
      <c r="D32" s="28">
        <f>D22/D$2</f>
        <v/>
      </c>
      <c r="E32" s="28">
        <f>D32</f>
        <v/>
      </c>
      <c r="F32" s="28">
        <f>E32</f>
        <v/>
      </c>
      <c r="G32" s="28">
        <f>F32</f>
        <v/>
      </c>
      <c r="H32" s="28">
        <f>G32</f>
        <v/>
      </c>
      <c r="I32" s="28">
        <f>H32</f>
        <v/>
      </c>
    </row>
    <row r="33">
      <c r="A33" t="inlineStr">
        <is>
          <t>Other exps as % of sales</t>
        </is>
      </c>
      <c r="B33" s="28">
        <f>B23/B$2</f>
        <v/>
      </c>
      <c r="C33" s="28">
        <f>C23/C$2</f>
        <v/>
      </c>
      <c r="D33" s="28">
        <f>D23/D$2</f>
        <v/>
      </c>
      <c r="E33" s="28">
        <f>D33</f>
        <v/>
      </c>
      <c r="F33" s="28">
        <f>E33</f>
        <v/>
      </c>
      <c r="G33" s="28">
        <f>F33</f>
        <v/>
      </c>
      <c r="H33" s="28">
        <f>G33</f>
        <v/>
      </c>
      <c r="I33" s="28">
        <f>H33</f>
        <v/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>
        <f>C35/B35-1</f>
        <v/>
      </c>
      <c r="D36" s="28">
        <f>D35/C35-1</f>
        <v/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>
        <f>C37/B37-1</f>
        <v/>
      </c>
      <c r="D38" s="28">
        <f>D37/C37-1</f>
        <v/>
      </c>
      <c r="E38" s="28">
        <f>E37/D37-1</f>
        <v/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>
        <f>C39/B39-1</f>
        <v/>
      </c>
      <c r="D40" s="28">
        <f>D39/C39-1</f>
        <v/>
      </c>
    </row>
    <row r="41">
      <c r="A41" s="44" t="n"/>
      <c r="C41" s="28">
        <f>C21/B21-1</f>
        <v/>
      </c>
      <c r="D41" s="28">
        <f>D21/C21-1</f>
        <v/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>
        <f>'Revenue Model'!B2</f>
        <v/>
      </c>
      <c r="C2" s="100">
        <f>'Revenue Model'!C2</f>
        <v/>
      </c>
      <c r="D2" s="100">
        <f>'Revenue Model'!D2</f>
        <v/>
      </c>
      <c r="E2" s="100">
        <f>'Revenue Model'!E2</f>
        <v/>
      </c>
      <c r="F2" s="100">
        <f>'Revenue Model'!F2</f>
        <v/>
      </c>
      <c r="G2" s="100">
        <f>'Revenue Model'!G2</f>
        <v/>
      </c>
      <c r="H2" s="100">
        <f>'Revenue Model'!H2</f>
        <v/>
      </c>
      <c r="I2" s="100">
        <f>'Revenue Model'!I2</f>
        <v/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>
        <f>'Revenue Model'!A19</f>
        <v/>
      </c>
      <c r="B4" s="26">
        <f>'Revenue Model'!B19</f>
        <v/>
      </c>
      <c r="C4" s="26">
        <f>'Revenue Model'!C19</f>
        <v/>
      </c>
      <c r="D4" s="26">
        <f>'Revenue Model'!D19</f>
        <v/>
      </c>
      <c r="E4" s="26">
        <f>'Revenue Model'!E19</f>
        <v/>
      </c>
      <c r="F4" s="26">
        <f>'Revenue Model'!F19</f>
        <v/>
      </c>
      <c r="G4" s="26">
        <f>'Revenue Model'!G19</f>
        <v/>
      </c>
      <c r="H4" s="26">
        <f>'Revenue Model'!H19</f>
        <v/>
      </c>
      <c r="I4" s="26">
        <f>'Revenue Model'!I19</f>
        <v/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>
        <f>N4+E20</f>
        <v/>
      </c>
      <c r="P4" s="98">
        <f>O4+F20</f>
        <v/>
      </c>
      <c r="Q4" s="98">
        <f>P4+G20</f>
        <v/>
      </c>
      <c r="R4" s="98">
        <f>Q4+H20</f>
        <v/>
      </c>
      <c r="S4" s="98">
        <f>R4+I20</f>
        <v/>
      </c>
    </row>
    <row r="5">
      <c r="A5">
        <f>'Revenue Model'!A20</f>
        <v/>
      </c>
      <c r="B5" s="26">
        <f>'Revenue Model'!B20</f>
        <v/>
      </c>
      <c r="C5" s="26">
        <f>'Revenue Model'!C20</f>
        <v/>
      </c>
      <c r="D5" s="26">
        <f>'Revenue Model'!D20</f>
        <v/>
      </c>
      <c r="E5" s="26">
        <f>'Revenue Model'!E20</f>
        <v/>
      </c>
      <c r="F5" s="26">
        <f>'Revenue Model'!F20</f>
        <v/>
      </c>
      <c r="G5" s="26">
        <f>'Revenue Model'!G20</f>
        <v/>
      </c>
      <c r="H5" s="26">
        <f>'Revenue Model'!H20</f>
        <v/>
      </c>
      <c r="I5" s="26">
        <f>'Revenue Model'!I20</f>
        <v/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>
        <f>'Revenue Model'!A21</f>
        <v/>
      </c>
      <c r="B6" s="26">
        <f>'Revenue Model'!B21</f>
        <v/>
      </c>
      <c r="C6" s="26">
        <f>'Revenue Model'!C21</f>
        <v/>
      </c>
      <c r="D6" s="26">
        <f>'Revenue Model'!D21</f>
        <v/>
      </c>
      <c r="E6" s="26">
        <f>'Revenue Model'!E21</f>
        <v/>
      </c>
      <c r="F6" s="26">
        <f>'Revenue Model'!F21</f>
        <v/>
      </c>
      <c r="G6" s="26">
        <f>'Revenue Model'!G21</f>
        <v/>
      </c>
      <c r="H6" s="26">
        <f>'Revenue Model'!H21</f>
        <v/>
      </c>
      <c r="I6" s="26">
        <f>'Revenue Model'!I21</f>
        <v/>
      </c>
      <c r="N6" s="98">
        <f>SUM(N3:N5)</f>
        <v/>
      </c>
      <c r="O6" s="98">
        <f>SUM(O3:O5)</f>
        <v/>
      </c>
      <c r="P6" s="98">
        <f>SUM(P3:P5)</f>
        <v/>
      </c>
      <c r="Q6" s="98">
        <f>SUM(Q3:Q5)</f>
        <v/>
      </c>
      <c r="R6" s="98">
        <f>SUM(R3:R5)</f>
        <v/>
      </c>
      <c r="S6" s="98">
        <f>SUM(S3:S5)</f>
        <v/>
      </c>
    </row>
    <row r="7">
      <c r="A7">
        <f>'Revenue Model'!A22</f>
        <v/>
      </c>
      <c r="B7" s="26">
        <f>'Revenue Model'!B22</f>
        <v/>
      </c>
      <c r="C7" s="26">
        <f>'Revenue Model'!C22</f>
        <v/>
      </c>
      <c r="D7" s="26">
        <f>'Revenue Model'!D22</f>
        <v/>
      </c>
      <c r="E7" s="26">
        <f>'Revenue Model'!E22</f>
        <v/>
      </c>
      <c r="F7" s="26">
        <f>'Revenue Model'!F22</f>
        <v/>
      </c>
      <c r="G7" s="26">
        <f>'Revenue Model'!G22</f>
        <v/>
      </c>
      <c r="H7" s="26">
        <f>'Revenue Model'!H22</f>
        <v/>
      </c>
      <c r="I7" s="26">
        <f>'Revenue Model'!I22</f>
        <v/>
      </c>
      <c r="K7" s="44" t="inlineStr">
        <is>
          <t>Uses of Funds</t>
        </is>
      </c>
      <c r="N7" s="98" t="n"/>
    </row>
    <row r="8">
      <c r="A8">
        <f>'Revenue Model'!A23</f>
        <v/>
      </c>
      <c r="B8" s="26">
        <f>'Revenue Model'!B23</f>
        <v/>
      </c>
      <c r="C8" s="26">
        <f>'Revenue Model'!C23</f>
        <v/>
      </c>
      <c r="D8" s="26">
        <f>'Revenue Model'!D23</f>
        <v/>
      </c>
      <c r="E8" s="26">
        <f>'Revenue Model'!E23</f>
        <v/>
      </c>
      <c r="F8" s="26">
        <f>'Revenue Model'!F23</f>
        <v/>
      </c>
      <c r="G8" s="26">
        <f>'Revenue Model'!G23</f>
        <v/>
      </c>
      <c r="H8" s="26">
        <f>'Revenue Model'!H23</f>
        <v/>
      </c>
      <c r="I8" s="26">
        <f>'Revenue Model'!I23</f>
        <v/>
      </c>
      <c r="K8" s="44" t="inlineStr">
        <is>
          <t>Fixed Assets</t>
        </is>
      </c>
      <c r="L8" s="100" t="n"/>
      <c r="M8" s="100" t="n"/>
      <c r="N8" s="100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O8" s="100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P8" s="100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Q8" s="10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R8" s="100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S8" s="100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9">
      <c r="A9" s="36">
        <f>'Revenue Model'!A24</f>
        <v/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7">
        <f>SUM(F4:F8)</f>
        <v/>
      </c>
      <c r="G9" s="37">
        <f>SUM(G4:G8)</f>
        <v/>
      </c>
      <c r="H9" s="37">
        <f>SUM(H4:H8)</f>
        <v/>
      </c>
      <c r="I9" s="37">
        <f>SUM(I4:I8)</f>
        <v/>
      </c>
      <c r="K9" s="44" t="inlineStr">
        <is>
          <t>Cash</t>
        </is>
      </c>
      <c r="N9" s="100">
        <f>N34</f>
        <v/>
      </c>
      <c r="O9" s="100">
        <f>O34</f>
        <v/>
      </c>
      <c r="P9" s="100">
        <f>P34</f>
        <v/>
      </c>
      <c r="Q9" s="100">
        <f>Q34</f>
        <v/>
      </c>
      <c r="R9" s="100">
        <f>R34</f>
        <v/>
      </c>
      <c r="S9" s="100">
        <f>S34</f>
        <v/>
      </c>
    </row>
    <row r="10">
      <c r="A10" s="44" t="inlineStr">
        <is>
          <t>EBITDA</t>
        </is>
      </c>
      <c r="B10" s="26">
        <f>B2-B9</f>
        <v/>
      </c>
      <c r="C10" s="26">
        <f>C2-C9</f>
        <v/>
      </c>
      <c r="D10" s="26">
        <f>D2-D9</f>
        <v/>
      </c>
      <c r="E10" s="26">
        <f>E2-E9</f>
        <v/>
      </c>
      <c r="F10" s="26">
        <f>F2-F9</f>
        <v/>
      </c>
      <c r="G10" s="26">
        <f>G2-G9</f>
        <v/>
      </c>
      <c r="H10" s="26">
        <f>H2-H9</f>
        <v/>
      </c>
      <c r="I10" s="26">
        <f>I2-I9</f>
        <v/>
      </c>
      <c r="N10" s="98">
        <f>SUM(N8:N9)</f>
        <v/>
      </c>
      <c r="O10" s="98">
        <f>SUM(O8:O9)</f>
        <v/>
      </c>
      <c r="P10" s="98">
        <f>SUM(P8:P9)</f>
        <v/>
      </c>
      <c r="Q10" s="98">
        <f>SUM(Q8:Q9)</f>
        <v/>
      </c>
      <c r="R10" s="98">
        <f>SUM(R8:R9)</f>
        <v/>
      </c>
      <c r="S10" s="98">
        <f>SUM(S8:S9)</f>
        <v/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N11" s="101">
        <f>N6-N10</f>
        <v/>
      </c>
      <c r="O11" s="101">
        <f>O6-O10</f>
        <v/>
      </c>
      <c r="P11" s="101">
        <f>P6-P10</f>
        <v/>
      </c>
      <c r="Q11" s="101">
        <f>Q6-Q10</f>
        <v/>
      </c>
      <c r="R11" s="101">
        <f>R6-R10</f>
        <v/>
      </c>
      <c r="S11" s="101">
        <f>S6-S10</f>
        <v/>
      </c>
    </row>
    <row r="12">
      <c r="A12" s="44" t="inlineStr">
        <is>
          <t>EBIT</t>
        </is>
      </c>
      <c r="B12" s="26">
        <f>B10-B11</f>
        <v/>
      </c>
      <c r="C12" s="26">
        <f>C10-C11</f>
        <v/>
      </c>
      <c r="D12" s="26">
        <f>D10-D11</f>
        <v/>
      </c>
      <c r="E12" s="26">
        <f>E10-E11</f>
        <v/>
      </c>
      <c r="F12" s="26">
        <f>F10-F11</f>
        <v/>
      </c>
      <c r="G12" s="26">
        <f>G10-G11</f>
        <v/>
      </c>
      <c r="H12" s="26">
        <f>H10-H11</f>
        <v/>
      </c>
      <c r="I12" s="26">
        <f>I10-I11</f>
        <v/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>
        <f>D13</f>
        <v/>
      </c>
      <c r="F13" s="41">
        <f>E13</f>
        <v/>
      </c>
      <c r="G13" s="41">
        <f>F13</f>
        <v/>
      </c>
      <c r="H13" s="41">
        <f>G13</f>
        <v/>
      </c>
      <c r="I13" s="41">
        <f>H13</f>
        <v/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>
        <f>B12-B13</f>
        <v/>
      </c>
      <c r="C14" s="100">
        <f>C12-C13</f>
        <v/>
      </c>
      <c r="D14" s="100">
        <f>D12-D13</f>
        <v/>
      </c>
      <c r="E14" s="100">
        <f>E12-E13</f>
        <v/>
      </c>
      <c r="F14" s="100">
        <f>F12-F13</f>
        <v/>
      </c>
      <c r="G14" s="100">
        <f>G12-G13</f>
        <v/>
      </c>
      <c r="H14" s="100">
        <f>H12-H13</f>
        <v/>
      </c>
      <c r="I14" s="100">
        <f>I12-I13</f>
        <v/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>
        <f>E14*E16</f>
        <v/>
      </c>
      <c r="F15" s="41">
        <f>F14*F16</f>
        <v/>
      </c>
      <c r="G15" s="41">
        <f>G14*G16</f>
        <v/>
      </c>
      <c r="H15" s="41">
        <f>H14*H16</f>
        <v/>
      </c>
      <c r="I15" s="41">
        <f>I14*I16</f>
        <v/>
      </c>
      <c r="K15" s="44" t="inlineStr">
        <is>
          <t>PAT</t>
        </is>
      </c>
      <c r="L15" s="98" t="n"/>
      <c r="M15" s="98" t="n"/>
      <c r="N15" s="98" t="n"/>
      <c r="O15" s="98">
        <f>E17</f>
        <v/>
      </c>
      <c r="P15" s="98">
        <f>F17</f>
        <v/>
      </c>
      <c r="Q15" s="98">
        <f>G17</f>
        <v/>
      </c>
      <c r="R15" s="98">
        <f>H17</f>
        <v/>
      </c>
      <c r="S15" s="98">
        <f>I17</f>
        <v/>
      </c>
    </row>
    <row r="16">
      <c r="A16" s="56" t="inlineStr">
        <is>
          <t>Tax rate</t>
        </is>
      </c>
      <c r="B16" s="57">
        <f>B15/B14</f>
        <v/>
      </c>
      <c r="C16" s="57">
        <f>C15/C14</f>
        <v/>
      </c>
      <c r="D16" s="57">
        <f>D15/D14</f>
        <v/>
      </c>
      <c r="E16" s="57">
        <f>AVERAGE($C$16:$D$16)</f>
        <v/>
      </c>
      <c r="F16" s="57">
        <f>AVERAGE($C$16:$D$16)</f>
        <v/>
      </c>
      <c r="G16" s="57">
        <f>AVERAGE($C$16:$D$16)</f>
        <v/>
      </c>
      <c r="H16" s="57">
        <f>AVERAGE($C$16:$D$16)</f>
        <v/>
      </c>
      <c r="I16" s="57">
        <f>AVERAGE($C$16:$D$16)</f>
        <v/>
      </c>
      <c r="K16" s="44" t="inlineStr">
        <is>
          <t>Depreciation</t>
        </is>
      </c>
      <c r="M16" s="41" t="n"/>
      <c r="N16" s="41" t="n"/>
      <c r="O16" s="41">
        <f>E11</f>
        <v/>
      </c>
      <c r="P16" s="41">
        <f>F11</f>
        <v/>
      </c>
      <c r="Q16" s="41">
        <f>G11</f>
        <v/>
      </c>
      <c r="R16" s="41">
        <f>H11</f>
        <v/>
      </c>
      <c r="S16" s="41">
        <f>I11</f>
        <v/>
      </c>
    </row>
    <row r="17">
      <c r="A17" s="44" t="inlineStr">
        <is>
          <t>PAT</t>
        </is>
      </c>
      <c r="B17" s="98">
        <f>B14-B15</f>
        <v/>
      </c>
      <c r="C17" s="98">
        <f>C14-C15</f>
        <v/>
      </c>
      <c r="D17" s="98">
        <f>D14-D15</f>
        <v/>
      </c>
      <c r="E17" s="98">
        <f>E14-E15</f>
        <v/>
      </c>
      <c r="F17" s="98">
        <f>F14-F15</f>
        <v/>
      </c>
      <c r="G17" s="98">
        <f>G14-G15</f>
        <v/>
      </c>
      <c r="H17" s="98">
        <f>H14-H15</f>
        <v/>
      </c>
      <c r="I17" s="98">
        <f>I14-I15</f>
        <v/>
      </c>
      <c r="K17" s="44" t="inlineStr">
        <is>
          <t xml:space="preserve">Interest </t>
        </is>
      </c>
      <c r="L17" s="41" t="n"/>
      <c r="M17" s="41" t="n"/>
      <c r="N17" s="41" t="n"/>
      <c r="O17" s="41">
        <f>E13</f>
        <v/>
      </c>
      <c r="P17" s="41">
        <f>F13</f>
        <v/>
      </c>
      <c r="Q17" s="41">
        <f>G13</f>
        <v/>
      </c>
      <c r="R17" s="41">
        <f>H13</f>
        <v/>
      </c>
      <c r="S17" s="41">
        <f>I13</f>
        <v/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>
        <f>'Balance Sheet'!D18-'Balance Sheet'!E18</f>
        <v/>
      </c>
      <c r="P18" s="41">
        <f>'Balance Sheet'!E18-'Balance Sheet'!F18</f>
        <v/>
      </c>
      <c r="Q18" s="41">
        <f>'Balance Sheet'!F18-'Balance Sheet'!G18</f>
        <v/>
      </c>
      <c r="R18" s="41">
        <f>'Balance Sheet'!G18-'Balance Sheet'!H18</f>
        <v/>
      </c>
      <c r="S18" s="41">
        <f>'Balance Sheet'!H18-'Balance Sheet'!I18</f>
        <v/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>
        <f>E17*E21</f>
        <v/>
      </c>
      <c r="F19" s="98">
        <f>F17*F21</f>
        <v/>
      </c>
      <c r="G19" s="98">
        <f>G17*G21</f>
        <v/>
      </c>
      <c r="H19" s="98">
        <f>H17*H21</f>
        <v/>
      </c>
      <c r="I19" s="98">
        <f>I17*I21</f>
        <v/>
      </c>
      <c r="K19" s="44" t="inlineStr">
        <is>
          <t>Change in receivables</t>
        </is>
      </c>
      <c r="O19" s="41">
        <f>'Balance Sheet'!D21-'Balance Sheet'!E21</f>
        <v/>
      </c>
      <c r="P19" s="41">
        <f>'Balance Sheet'!E21-'Balance Sheet'!F21</f>
        <v/>
      </c>
      <c r="Q19" s="41">
        <f>'Balance Sheet'!F21-'Balance Sheet'!G21</f>
        <v/>
      </c>
      <c r="R19" s="41">
        <f>'Balance Sheet'!G21-'Balance Sheet'!H21</f>
        <v/>
      </c>
      <c r="S19" s="41">
        <f>'Balance Sheet'!H21-'Balance Sheet'!I21</f>
        <v/>
      </c>
    </row>
    <row r="20">
      <c r="A20" s="44" t="inlineStr">
        <is>
          <t>PAT transferred to BS</t>
        </is>
      </c>
      <c r="B20" s="98">
        <f>B17-B19</f>
        <v/>
      </c>
      <c r="C20" s="98">
        <f>C17-C19</f>
        <v/>
      </c>
      <c r="D20" s="98">
        <f>D17-D19</f>
        <v/>
      </c>
      <c r="E20" s="98">
        <f>E17-E19</f>
        <v/>
      </c>
      <c r="F20" s="98">
        <f>F17-F19</f>
        <v/>
      </c>
      <c r="G20" s="98">
        <f>G17-G19</f>
        <v/>
      </c>
      <c r="H20" s="98">
        <f>H17-H19</f>
        <v/>
      </c>
      <c r="I20" s="98">
        <f>I17-I19</f>
        <v/>
      </c>
      <c r="K20" s="44" t="inlineStr">
        <is>
          <t>Change in payables</t>
        </is>
      </c>
      <c r="O20" s="41">
        <f>'Balance Sheet'!E44-'Balance Sheet'!D44</f>
        <v/>
      </c>
      <c r="P20" s="41">
        <f>'Balance Sheet'!F44-'Balance Sheet'!E44</f>
        <v/>
      </c>
      <c r="Q20" s="41">
        <f>'Balance Sheet'!G44-'Balance Sheet'!F44</f>
        <v/>
      </c>
      <c r="R20" s="41">
        <f>'Balance Sheet'!H44-'Balance Sheet'!G44</f>
        <v/>
      </c>
      <c r="S20" s="41">
        <f>'Balance Sheet'!I44-'Balance Sheet'!H44</f>
        <v/>
      </c>
    </row>
    <row r="21">
      <c r="A21" s="44" t="inlineStr">
        <is>
          <t>Dividend payout ratio</t>
        </is>
      </c>
      <c r="B21" s="28">
        <f>B19/B17</f>
        <v/>
      </c>
      <c r="C21" s="28">
        <f>C19/C17</f>
        <v/>
      </c>
      <c r="D21" s="28">
        <f>D19/D17</f>
        <v/>
      </c>
      <c r="E21" s="28">
        <f>D21</f>
        <v/>
      </c>
      <c r="F21" s="28">
        <f>E21</f>
        <v/>
      </c>
      <c r="G21" s="28">
        <f>F21</f>
        <v/>
      </c>
      <c r="H21" s="28">
        <f>G21</f>
        <v/>
      </c>
      <c r="I21" s="28">
        <f>H21</f>
        <v/>
      </c>
      <c r="K21" s="44" t="n"/>
      <c r="L21" s="98" t="n"/>
      <c r="M21" s="98" t="n"/>
      <c r="N21" s="98" t="n"/>
      <c r="O21" s="98">
        <f>SUM(O15:O20)</f>
        <v/>
      </c>
      <c r="P21" s="98">
        <f>SUM(P15:P20)</f>
        <v/>
      </c>
      <c r="Q21" s="98">
        <f>SUM(Q15:Q20)</f>
        <v/>
      </c>
      <c r="R21" s="98">
        <f>SUM(R15:R20)</f>
        <v/>
      </c>
      <c r="S21" s="98">
        <f>SUM(S15:S20)</f>
        <v/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>
        <f>-'Asset schedule'!P2</f>
        <v/>
      </c>
      <c r="P23" s="41">
        <f>-'Asset schedule'!Q2</f>
        <v/>
      </c>
      <c r="Q23" s="41">
        <f>-'Asset schedule'!R2</f>
        <v/>
      </c>
      <c r="R23" s="41">
        <f>-'Asset schedule'!S2</f>
        <v/>
      </c>
      <c r="S23" s="41">
        <f>-'Asset schedule'!T2</f>
        <v/>
      </c>
    </row>
    <row r="24">
      <c r="N24" s="41" t="n"/>
      <c r="O24" s="41">
        <f>SUM(O23)</f>
        <v/>
      </c>
      <c r="P24" s="41">
        <f>SUM(P23)</f>
        <v/>
      </c>
      <c r="Q24" s="41">
        <f>SUM(Q23)</f>
        <v/>
      </c>
      <c r="R24" s="41">
        <f>SUM(R23)</f>
        <v/>
      </c>
      <c r="S24" s="41">
        <f>SUM(S23)</f>
        <v/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>
        <f>-E19</f>
        <v/>
      </c>
      <c r="P28" s="41">
        <f>-F19</f>
        <v/>
      </c>
      <c r="Q28" s="41">
        <f>-G19</f>
        <v/>
      </c>
      <c r="R28" s="41">
        <f>-H19</f>
        <v/>
      </c>
      <c r="S28" s="41">
        <f>-I19</f>
        <v/>
      </c>
    </row>
    <row r="29">
      <c r="K29" s="44" t="inlineStr">
        <is>
          <t>Interest</t>
        </is>
      </c>
      <c r="L29" s="41" t="n"/>
      <c r="M29" s="41" t="n"/>
      <c r="N29" s="41" t="n"/>
      <c r="O29" s="41">
        <f>-E13</f>
        <v/>
      </c>
      <c r="P29" s="41">
        <f>-F13</f>
        <v/>
      </c>
      <c r="Q29" s="41">
        <f>-G13</f>
        <v/>
      </c>
      <c r="R29" s="41">
        <f>-H13</f>
        <v/>
      </c>
      <c r="S29" s="41">
        <f>-I13</f>
        <v/>
      </c>
    </row>
    <row r="30">
      <c r="L30" s="41" t="n"/>
      <c r="M30" s="41" t="n"/>
      <c r="N30" s="41" t="n"/>
      <c r="O30" s="41">
        <f>SUM(O26:O29)</f>
        <v/>
      </c>
      <c r="P30" s="41">
        <f>SUM(P26:P29)</f>
        <v/>
      </c>
      <c r="Q30" s="41">
        <f>SUM(Q26:Q29)</f>
        <v/>
      </c>
      <c r="R30" s="41">
        <f>SUM(R26:R29)</f>
        <v/>
      </c>
      <c r="S30" s="41">
        <f>SUM(S26:S29)</f>
        <v/>
      </c>
    </row>
    <row r="32">
      <c r="K32" s="44" t="inlineStr">
        <is>
          <t>Opening bal</t>
        </is>
      </c>
      <c r="N32" t="n">
        <v>1810</v>
      </c>
      <c r="O32" s="41">
        <f>N34</f>
        <v/>
      </c>
      <c r="P32" s="41">
        <f>O34</f>
        <v/>
      </c>
      <c r="Q32" s="41">
        <f>P34</f>
        <v/>
      </c>
      <c r="R32" s="41">
        <f>Q34</f>
        <v/>
      </c>
      <c r="S32" s="41">
        <f>R34</f>
        <v/>
      </c>
    </row>
    <row r="33">
      <c r="K33" s="44" t="inlineStr">
        <is>
          <t>Cash in</t>
        </is>
      </c>
      <c r="N33" s="98" t="n">
        <v>749.11</v>
      </c>
      <c r="O33" s="98">
        <f>O21+O24+O30</f>
        <v/>
      </c>
      <c r="P33" s="98">
        <f>P21+P24+P30</f>
        <v/>
      </c>
      <c r="Q33" s="98">
        <f>Q21+Q24+Q30</f>
        <v/>
      </c>
      <c r="R33" s="98">
        <f>R21+R24+R30</f>
        <v/>
      </c>
      <c r="S33" s="98">
        <f>S21+S24+S30</f>
        <v/>
      </c>
    </row>
    <row r="34">
      <c r="K34" s="44" t="inlineStr">
        <is>
          <t>Closing bal</t>
        </is>
      </c>
      <c r="N34" s="41">
        <f>N32+N33</f>
        <v/>
      </c>
      <c r="O34" s="41">
        <f>O32+O33</f>
        <v/>
      </c>
      <c r="P34" s="41">
        <f>P32+P33</f>
        <v/>
      </c>
      <c r="Q34" s="41">
        <f>Q32+Q33</f>
        <v/>
      </c>
      <c r="R34" s="41">
        <f>R32+R33</f>
        <v/>
      </c>
      <c r="S34" s="41">
        <f>S32+S33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>
        <f>D6</f>
        <v/>
      </c>
      <c r="F2">
        <f>E6</f>
        <v/>
      </c>
      <c r="G2">
        <f>F6</f>
        <v/>
      </c>
      <c r="H2">
        <f>G6</f>
        <v/>
      </c>
      <c r="I2">
        <f>H6</f>
        <v/>
      </c>
      <c r="L2" s="44" t="inlineStr">
        <is>
          <t>Capex</t>
        </is>
      </c>
      <c r="O2">
        <f>SUM(O5:O15)</f>
        <v/>
      </c>
      <c r="P2" s="102">
        <f>'Financial Statements'!E2*'Asset schedule'!P3</f>
        <v/>
      </c>
      <c r="Q2" s="102">
        <f>'Financial Statements'!F2*'Asset schedule'!Q3</f>
        <v/>
      </c>
      <c r="R2" s="102">
        <f>'Financial Statements'!G2*'Asset schedule'!R3</f>
        <v/>
      </c>
      <c r="S2" s="102">
        <f>'Financial Statements'!H2*'Asset schedule'!S3</f>
        <v/>
      </c>
      <c r="T2" s="102">
        <f>'Financial Statements'!I2*'Asset schedule'!T3</f>
        <v/>
      </c>
    </row>
    <row r="3">
      <c r="A3" s="44" t="inlineStr">
        <is>
          <t>Add: purchase during the year</t>
        </is>
      </c>
      <c r="D3" t="n">
        <v>0</v>
      </c>
      <c r="E3" s="102">
        <f>INDEX($L$4:$T$15,MATCH($A1,$L$4:$L$15,0),MATCH(E1,$L$4:$T$4,0))</f>
        <v/>
      </c>
      <c r="F3" s="102">
        <f>INDEX($L$4:$T$15,MATCH($A1,$L$4:$L$15,0),MATCH(F1,$L$4:$T$4,0))</f>
        <v/>
      </c>
      <c r="G3" s="102">
        <f>INDEX($L$4:$T$15,MATCH($A1,$L$4:$L$15,0),MATCH(G1,$L$4:$T$4,0))</f>
        <v/>
      </c>
      <c r="H3" s="102">
        <f>INDEX($L$4:$T$15,MATCH($A1,$L$4:$L$15,0),MATCH(H1,$L$4:$T$4,0))</f>
        <v/>
      </c>
      <c r="I3" s="102">
        <f>INDEX($L$4:$T$15,MATCH($A1,$L$4:$L$15,0),MATCH(I1,$L$4:$T$4,0))</f>
        <v/>
      </c>
      <c r="L3" s="44" t="inlineStr">
        <is>
          <t>Capex as % of revenue</t>
        </is>
      </c>
      <c r="O3" s="103">
        <f>O2/'Financial Statements'!D2</f>
        <v/>
      </c>
      <c r="P3" s="103">
        <f>O3</f>
        <v/>
      </c>
      <c r="Q3" s="103">
        <f>P3</f>
        <v/>
      </c>
      <c r="R3" s="103">
        <f>Q3</f>
        <v/>
      </c>
      <c r="S3" s="103">
        <f>R3</f>
        <v/>
      </c>
      <c r="T3" s="103">
        <f>S3</f>
        <v/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>
        <f>E2*$B7</f>
        <v/>
      </c>
      <c r="F5" s="41">
        <f>F2*$B$7</f>
        <v/>
      </c>
      <c r="G5" s="41">
        <f>G2*$B$7</f>
        <v/>
      </c>
      <c r="H5" s="41">
        <f>H2*$B$7</f>
        <v/>
      </c>
      <c r="I5" s="41">
        <f>I2*$B$7</f>
        <v/>
      </c>
      <c r="L5" s="36" t="inlineStr">
        <is>
          <t>Freehold Non Mining Land</t>
        </is>
      </c>
      <c r="N5" s="28">
        <f>O5/$O$16</f>
        <v/>
      </c>
      <c r="O5">
        <f>D3</f>
        <v/>
      </c>
      <c r="P5">
        <f>P$2*$N5</f>
        <v/>
      </c>
      <c r="Q5">
        <f>Q$2*$N5</f>
        <v/>
      </c>
      <c r="R5">
        <f>R$2*$N5</f>
        <v/>
      </c>
      <c r="S5">
        <f>S$2*$N5</f>
        <v/>
      </c>
      <c r="T5">
        <f>T$2*$N5</f>
        <v/>
      </c>
    </row>
    <row r="6">
      <c r="A6" s="44" t="inlineStr">
        <is>
          <t>Closing balance</t>
        </is>
      </c>
      <c r="D6" t="n">
        <v>130.61</v>
      </c>
      <c r="E6" s="47">
        <f>E2+E3-E4-E5</f>
        <v/>
      </c>
      <c r="F6" s="47">
        <f>F2+F3-F4-F5</f>
        <v/>
      </c>
      <c r="G6" s="47">
        <f>G2+G3-G4-G5</f>
        <v/>
      </c>
      <c r="H6" s="47">
        <f>H2+H3-H4-H5</f>
        <v/>
      </c>
      <c r="I6" s="47">
        <f>I2+I3-I4-I5</f>
        <v/>
      </c>
      <c r="L6" s="36" t="inlineStr">
        <is>
          <t>Freehold Mining Land</t>
        </is>
      </c>
      <c r="N6" s="28">
        <f>O6/$O$16</f>
        <v/>
      </c>
      <c r="O6">
        <f>D11</f>
        <v/>
      </c>
      <c r="P6" s="47">
        <f>P$2*$N6</f>
        <v/>
      </c>
      <c r="Q6" s="47">
        <f>Q$2*$N6</f>
        <v/>
      </c>
      <c r="R6" s="47">
        <f>R$2*$N6</f>
        <v/>
      </c>
      <c r="S6" s="47">
        <f>S$2*$N6</f>
        <v/>
      </c>
      <c r="T6" s="47">
        <f>T$2*$N6</f>
        <v/>
      </c>
    </row>
    <row r="7">
      <c r="A7" s="44" t="inlineStr">
        <is>
          <t>Depreciation rate</t>
        </is>
      </c>
      <c r="B7" s="28">
        <f>D5/(D2+D3-D4)</f>
        <v/>
      </c>
      <c r="L7" s="36" t="inlineStr">
        <is>
          <t>Leasehold Land</t>
        </is>
      </c>
      <c r="N7" s="28">
        <f>O7/$O$16</f>
        <v/>
      </c>
      <c r="O7">
        <f>D19</f>
        <v/>
      </c>
      <c r="P7" s="47">
        <f>P$2*$N7</f>
        <v/>
      </c>
      <c r="Q7" s="47">
        <f>Q$2*$N7</f>
        <v/>
      </c>
      <c r="R7" s="47">
        <f>R$2*$N7</f>
        <v/>
      </c>
      <c r="S7" s="47">
        <f>S$2*$N7</f>
        <v/>
      </c>
      <c r="T7" s="47">
        <f>T$2*$N7</f>
        <v/>
      </c>
    </row>
    <row r="8">
      <c r="L8" s="36" t="inlineStr">
        <is>
          <t>Buildings</t>
        </is>
      </c>
      <c r="N8" s="28">
        <f>O8/$O$16</f>
        <v/>
      </c>
      <c r="O8">
        <f>D27</f>
        <v/>
      </c>
      <c r="P8" s="47">
        <f>P$2*$N8</f>
        <v/>
      </c>
      <c r="Q8" s="47">
        <f>Q$2*$N8</f>
        <v/>
      </c>
      <c r="R8" s="47">
        <f>R$2*$N8</f>
        <v/>
      </c>
      <c r="S8" s="47">
        <f>S$2*$N8</f>
        <v/>
      </c>
      <c r="T8" s="47">
        <f>T$2*$N8</f>
        <v/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>
        <f>O9/$O$16</f>
        <v/>
      </c>
      <c r="O9">
        <f>D35</f>
        <v/>
      </c>
      <c r="P9" s="47">
        <f>P$2*$N9</f>
        <v/>
      </c>
      <c r="Q9" s="47">
        <f>Q$2*$N9</f>
        <v/>
      </c>
      <c r="R9" s="47">
        <f>R$2*$N9</f>
        <v/>
      </c>
      <c r="S9" s="47">
        <f>S$2*$N9</f>
        <v/>
      </c>
      <c r="T9" s="47">
        <f>T$2*$N9</f>
        <v/>
      </c>
    </row>
    <row r="10">
      <c r="A10" s="44" t="inlineStr">
        <is>
          <t>Opening balance</t>
        </is>
      </c>
      <c r="D10" s="102" t="n">
        <v>303.09</v>
      </c>
      <c r="E10">
        <f>D14</f>
        <v/>
      </c>
      <c r="F10">
        <f>E14</f>
        <v/>
      </c>
      <c r="G10">
        <f>F14</f>
        <v/>
      </c>
      <c r="H10">
        <f>G14</f>
        <v/>
      </c>
      <c r="I10">
        <f>H14</f>
        <v/>
      </c>
      <c r="L10" s="36" t="inlineStr">
        <is>
          <t>Railway sidings</t>
        </is>
      </c>
      <c r="N10" s="28">
        <f>O10/$O$16</f>
        <v/>
      </c>
      <c r="O10">
        <f>D43</f>
        <v/>
      </c>
      <c r="P10" s="47">
        <f>P$2*$N10</f>
        <v/>
      </c>
      <c r="Q10" s="47">
        <f>Q$2*$N10</f>
        <v/>
      </c>
      <c r="R10" s="47">
        <f>R$2*$N10</f>
        <v/>
      </c>
      <c r="S10" s="47">
        <f>S$2*$N10</f>
        <v/>
      </c>
      <c r="T10" s="47">
        <f>T$2*$N10</f>
        <v/>
      </c>
    </row>
    <row r="11">
      <c r="A11" s="44" t="inlineStr">
        <is>
          <t>Add: purchase during the year</t>
        </is>
      </c>
      <c r="D11" t="n">
        <v>2.44</v>
      </c>
      <c r="E11" s="102">
        <f>INDEX($L$4:$T$15,MATCH($A9,$L$4:$L$15,0),MATCH(E9,$L$4:$T$4,0))</f>
        <v/>
      </c>
      <c r="F11" s="102">
        <f>INDEX($L$4:$T$15,MATCH($A9,$L$4:$L$15,0),MATCH(F9,$L$4:$T$4,0))</f>
        <v/>
      </c>
      <c r="G11" s="102">
        <f>INDEX($L$4:$T$15,MATCH($A9,$L$4:$L$15,0),MATCH(G9,$L$4:$T$4,0))</f>
        <v/>
      </c>
      <c r="H11" s="102">
        <f>INDEX($L$4:$T$15,MATCH($A9,$L$4:$L$15,0),MATCH(H9,$L$4:$T$4,0))</f>
        <v/>
      </c>
      <c r="I11" s="102">
        <f>INDEX($L$4:$T$15,MATCH($A9,$L$4:$L$15,0),MATCH(I9,$L$4:$T$4,0))</f>
        <v/>
      </c>
      <c r="L11" s="36" t="inlineStr">
        <is>
          <t>Office Eq</t>
        </is>
      </c>
      <c r="N11" s="28">
        <f>O11/$O$16</f>
        <v/>
      </c>
      <c r="O11">
        <f>D51</f>
        <v/>
      </c>
      <c r="P11" s="47">
        <f>P$2*$N11</f>
        <v/>
      </c>
      <c r="Q11" s="47">
        <f>Q$2*$N11</f>
        <v/>
      </c>
      <c r="R11" s="47">
        <f>R$2*$N11</f>
        <v/>
      </c>
      <c r="S11" s="47">
        <f>S$2*$N11</f>
        <v/>
      </c>
      <c r="T11" s="47">
        <f>T$2*$N11</f>
        <v/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>
        <f>O12/$O$16</f>
        <v/>
      </c>
      <c r="O12">
        <f>D59</f>
        <v/>
      </c>
      <c r="P12" s="47">
        <f>P$2*$N12</f>
        <v/>
      </c>
      <c r="Q12" s="47">
        <f>Q$2*$N12</f>
        <v/>
      </c>
      <c r="R12" s="47">
        <f>R$2*$N12</f>
        <v/>
      </c>
      <c r="S12" s="47">
        <f>S$2*$N12</f>
        <v/>
      </c>
      <c r="T12" s="47">
        <f>T$2*$N12</f>
        <v/>
      </c>
    </row>
    <row r="13">
      <c r="A13" s="44" t="inlineStr">
        <is>
          <t>Less: Dep</t>
        </is>
      </c>
      <c r="D13" t="n">
        <v>0.27</v>
      </c>
      <c r="E13" s="41">
        <f>E10*$B15</f>
        <v/>
      </c>
      <c r="F13" s="41">
        <f>F10*$B15</f>
        <v/>
      </c>
      <c r="G13" s="41">
        <f>G10*$B15</f>
        <v/>
      </c>
      <c r="H13" s="41">
        <f>H10*$B15</f>
        <v/>
      </c>
      <c r="I13" s="41">
        <f>I10*$B15</f>
        <v/>
      </c>
      <c r="L13" s="36" t="inlineStr">
        <is>
          <t>Mining rights</t>
        </is>
      </c>
      <c r="N13" s="28">
        <f>O13/$O$16</f>
        <v/>
      </c>
      <c r="O13">
        <f>D67</f>
        <v/>
      </c>
      <c r="P13" s="47">
        <f>P$2*$N13</f>
        <v/>
      </c>
      <c r="Q13" s="47">
        <f>Q$2*$N13</f>
        <v/>
      </c>
      <c r="R13" s="47">
        <f>R$2*$N13</f>
        <v/>
      </c>
      <c r="S13" s="47">
        <f>S$2*$N13</f>
        <v/>
      </c>
      <c r="T13" s="47">
        <f>T$2*$N13</f>
        <v/>
      </c>
    </row>
    <row r="14">
      <c r="A14" s="44" t="inlineStr">
        <is>
          <t>Closing balance</t>
        </is>
      </c>
      <c r="D14" t="n">
        <v>304.3</v>
      </c>
      <c r="E14" s="47">
        <f>E10+E11-E12-E13</f>
        <v/>
      </c>
      <c r="F14" s="47">
        <f>F10+F11-F12-F13</f>
        <v/>
      </c>
      <c r="G14" s="47">
        <f>G10+G11-G12-G13</f>
        <v/>
      </c>
      <c r="H14" s="47">
        <f>H10+H11-H12-H13</f>
        <v/>
      </c>
      <c r="I14" s="47">
        <f>I10+I11-I12-I13</f>
        <v/>
      </c>
      <c r="L14" s="36" t="inlineStr">
        <is>
          <t>Vehicles</t>
        </is>
      </c>
      <c r="N14" s="28">
        <f>O14/$O$16</f>
        <v/>
      </c>
      <c r="O14">
        <f>D75</f>
        <v/>
      </c>
      <c r="P14" s="47">
        <f>P$2*$N14</f>
        <v/>
      </c>
      <c r="Q14" s="47">
        <f>Q$2*$N14</f>
        <v/>
      </c>
      <c r="R14" s="47">
        <f>R$2*$N14</f>
        <v/>
      </c>
      <c r="S14" s="47">
        <f>S$2*$N14</f>
        <v/>
      </c>
      <c r="T14" s="47">
        <f>T$2*$N14</f>
        <v/>
      </c>
    </row>
    <row r="15">
      <c r="A15" s="44" t="inlineStr">
        <is>
          <t>Depreciation rate</t>
        </is>
      </c>
      <c r="B15" s="28">
        <f>D13/(D10+D11-D12)</f>
        <v/>
      </c>
      <c r="L15" s="36" t="inlineStr">
        <is>
          <t>Furniture</t>
        </is>
      </c>
      <c r="N15" s="28">
        <f>O15/$O$16</f>
        <v/>
      </c>
      <c r="O15">
        <f>D83</f>
        <v/>
      </c>
      <c r="P15" s="47">
        <f>P$2*$N15</f>
        <v/>
      </c>
      <c r="Q15" s="47">
        <f>Q$2*$N15</f>
        <v/>
      </c>
      <c r="R15" s="47">
        <f>R$2*$N15</f>
        <v/>
      </c>
      <c r="S15" s="47">
        <f>S$2*$N15</f>
        <v/>
      </c>
      <c r="T15" s="47">
        <f>T$2*$N15</f>
        <v/>
      </c>
    </row>
    <row r="16">
      <c r="O16">
        <f>SUM(O5:O15)</f>
        <v/>
      </c>
      <c r="P16" s="102">
        <f>SUM(P5:P15)</f>
        <v/>
      </c>
      <c r="Q16" s="102">
        <f>SUM(Q5:Q15)</f>
        <v/>
      </c>
      <c r="R16" s="102">
        <f>SUM(R5:R15)</f>
        <v/>
      </c>
      <c r="S16" s="102">
        <f>SUM(S5:S15)</f>
        <v/>
      </c>
      <c r="T16" s="102">
        <f>SUM(T5:T15)</f>
        <v/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>
        <f>D22</f>
        <v/>
      </c>
      <c r="F18">
        <f>E22</f>
        <v/>
      </c>
      <c r="G18">
        <f>F22</f>
        <v/>
      </c>
      <c r="H18">
        <f>G22</f>
        <v/>
      </c>
      <c r="I18">
        <f>H22</f>
        <v/>
      </c>
    </row>
    <row r="19">
      <c r="A19" s="44" t="inlineStr">
        <is>
          <t>Add: purchase during the year</t>
        </is>
      </c>
      <c r="D19" t="n">
        <v>2.87</v>
      </c>
      <c r="E19" s="102">
        <f>INDEX($L$4:$T$15,MATCH($A17,$L$4:$L$15,0),MATCH(E17,$L$4:$T$4,0))</f>
        <v/>
      </c>
      <c r="F19" s="102">
        <f>INDEX($L$4:$T$15,MATCH($A17,$L$4:$L$15,0),MATCH(F17,$L$4:$T$4,0))</f>
        <v/>
      </c>
      <c r="G19" s="102">
        <f>INDEX($L$4:$T$15,MATCH($A17,$L$4:$L$15,0),MATCH(G17,$L$4:$T$4,0))</f>
        <v/>
      </c>
      <c r="H19" s="102">
        <f>INDEX($L$4:$T$15,MATCH($A17,$L$4:$L$15,0),MATCH(H17,$L$4:$T$4,0))</f>
        <v/>
      </c>
      <c r="I19" s="102">
        <f>INDEX($L$4:$T$15,MATCH($A17,$L$4:$L$15,0),MATCH(I17,$L$4:$T$4,0))</f>
        <v/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>
        <f>E18*$B23</f>
        <v/>
      </c>
      <c r="F21" s="102">
        <f>F18*$B23</f>
        <v/>
      </c>
      <c r="G21" s="102">
        <f>G18*$B23</f>
        <v/>
      </c>
      <c r="H21" s="102">
        <f>H18*$B23</f>
        <v/>
      </c>
      <c r="I21" s="102">
        <f>I18*$B23</f>
        <v/>
      </c>
    </row>
    <row r="22">
      <c r="A22" s="44" t="inlineStr">
        <is>
          <t>Closing balance</t>
        </is>
      </c>
      <c r="D22" t="n">
        <v>38.46</v>
      </c>
      <c r="E22" s="47">
        <f>E18+E19-E20-E21</f>
        <v/>
      </c>
      <c r="F22" s="47">
        <f>F18+F19-F20-F21</f>
        <v/>
      </c>
      <c r="G22" s="47">
        <f>G18+G19-G20-G21</f>
        <v/>
      </c>
      <c r="H22" s="47">
        <f>H18+H19-H20-H21</f>
        <v/>
      </c>
      <c r="I22" s="47">
        <f>I18+I19-I20-I21</f>
        <v/>
      </c>
    </row>
    <row r="23">
      <c r="A23" s="44" t="inlineStr">
        <is>
          <t>Depreciation rate</t>
        </is>
      </c>
      <c r="B23" s="28">
        <f>D21/(D18+D19-D20)</f>
        <v/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>
        <f>D30</f>
        <v/>
      </c>
      <c r="F26">
        <f>E30</f>
        <v/>
      </c>
      <c r="G26">
        <f>F30</f>
        <v/>
      </c>
      <c r="H26">
        <f>G30</f>
        <v/>
      </c>
      <c r="I26">
        <f>H30</f>
        <v/>
      </c>
    </row>
    <row r="27">
      <c r="A27" s="44" t="inlineStr">
        <is>
          <t>Add: purchase during the year</t>
        </is>
      </c>
      <c r="D27" t="n">
        <v>35.77</v>
      </c>
      <c r="E27" s="102">
        <f>INDEX($L$4:$T$15,MATCH($A25,$L$4:$L$15,0),MATCH(E25,$L$4:$T$4,0))</f>
        <v/>
      </c>
      <c r="F27" s="102">
        <f>INDEX($L$4:$T$15,MATCH($A25,$L$4:$L$15,0),MATCH(F25,$L$4:$T$4,0))</f>
        <v/>
      </c>
      <c r="G27" s="102">
        <f>INDEX($L$4:$T$15,MATCH($A25,$L$4:$L$15,0),MATCH(G25,$L$4:$T$4,0))</f>
        <v/>
      </c>
      <c r="H27" s="102">
        <f>INDEX($L$4:$T$15,MATCH($A25,$L$4:$L$15,0),MATCH(H25,$L$4:$T$4,0))</f>
        <v/>
      </c>
      <c r="I27" s="102">
        <f>INDEX($L$4:$T$15,MATCH($A25,$L$4:$L$15,0),MATCH(I25,$L$4:$T$4,0))</f>
        <v/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>
        <f>E26*$B31</f>
        <v/>
      </c>
      <c r="F29" s="102">
        <f>F26*$B31</f>
        <v/>
      </c>
      <c r="G29" s="102">
        <f>G26*$B31</f>
        <v/>
      </c>
      <c r="H29" s="102">
        <f>H26*$B31</f>
        <v/>
      </c>
      <c r="I29" s="102">
        <f>I26*$B31</f>
        <v/>
      </c>
    </row>
    <row r="30">
      <c r="A30" s="44" t="inlineStr">
        <is>
          <t>Closing balance</t>
        </is>
      </c>
      <c r="D30" t="n">
        <v>1472.4</v>
      </c>
      <c r="E30" s="47">
        <f>E26+E27-E28-E29</f>
        <v/>
      </c>
      <c r="F30" s="47">
        <f>F26+F27-F28-F29</f>
        <v/>
      </c>
      <c r="G30" s="47">
        <f>G26+G27-G28-G29</f>
        <v/>
      </c>
      <c r="H30" s="47">
        <f>H26+H27-H28-H29</f>
        <v/>
      </c>
      <c r="I30" s="47">
        <f>I26+I27-I28-I29</f>
        <v/>
      </c>
    </row>
    <row r="31">
      <c r="A31" s="44" t="inlineStr">
        <is>
          <t>Depreciation rate</t>
        </is>
      </c>
      <c r="B31" s="28">
        <f>D29/(D26+D27-D28)</f>
        <v/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>
        <f>D38</f>
        <v/>
      </c>
      <c r="F34">
        <f>E38</f>
        <v/>
      </c>
      <c r="G34">
        <f>F38</f>
        <v/>
      </c>
      <c r="H34">
        <f>G38</f>
        <v/>
      </c>
      <c r="I34">
        <f>H38</f>
        <v/>
      </c>
    </row>
    <row r="35">
      <c r="A35" s="44" t="inlineStr">
        <is>
          <t>Add: purchase during the year</t>
        </is>
      </c>
      <c r="D35" t="n">
        <v>252.46</v>
      </c>
      <c r="E35" s="102">
        <f>INDEX($L$4:$T$15,MATCH($A33,$L$4:$L$15,0),MATCH(E33,$L$4:$T$4,0))</f>
        <v/>
      </c>
      <c r="F35" s="102">
        <f>INDEX($L$4:$T$15,MATCH($A33,$L$4:$L$15,0),MATCH(F33,$L$4:$T$4,0))</f>
        <v/>
      </c>
      <c r="G35" s="102">
        <f>INDEX($L$4:$T$15,MATCH($A33,$L$4:$L$15,0),MATCH(G33,$L$4:$T$4,0))</f>
        <v/>
      </c>
      <c r="H35" s="102">
        <f>INDEX($L$4:$T$15,MATCH($A33,$L$4:$L$15,0),MATCH(H33,$L$4:$T$4,0))</f>
        <v/>
      </c>
      <c r="I35" s="102">
        <f>INDEX($L$4:$T$15,MATCH($A33,$L$4:$L$15,0),MATCH(I33,$L$4:$T$4,0))</f>
        <v/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>
        <f>E34*$B39</f>
        <v/>
      </c>
      <c r="F37" s="102">
        <f>F34*$B39</f>
        <v/>
      </c>
      <c r="G37" s="102">
        <f>G34*$B39</f>
        <v/>
      </c>
      <c r="H37" s="102">
        <f>H34*$B39</f>
        <v/>
      </c>
      <c r="I37" s="102">
        <f>I34*$B39</f>
        <v/>
      </c>
    </row>
    <row r="38">
      <c r="A38" s="44" t="inlineStr">
        <is>
          <t>Closing balance</t>
        </is>
      </c>
      <c r="D38" t="n">
        <v>4984.63</v>
      </c>
      <c r="E38" s="47">
        <f>E34+E35-E36-E37</f>
        <v/>
      </c>
      <c r="F38" s="47">
        <f>F34+F35-F36-F37</f>
        <v/>
      </c>
      <c r="G38" s="47">
        <f>G34+G35-G36-G37</f>
        <v/>
      </c>
      <c r="H38" s="47">
        <f>H34+H35-H36-H37</f>
        <v/>
      </c>
      <c r="I38" s="47">
        <f>I34+I35-I36-I37</f>
        <v/>
      </c>
    </row>
    <row r="39">
      <c r="A39" s="44" t="inlineStr">
        <is>
          <t>Depreciation rate</t>
        </is>
      </c>
      <c r="B39" s="28">
        <f>D37/(D34+D35-D36)</f>
        <v/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>
        <f>D46</f>
        <v/>
      </c>
      <c r="F42">
        <f>E46</f>
        <v/>
      </c>
      <c r="G42">
        <f>F46</f>
        <v/>
      </c>
      <c r="H42">
        <f>G46</f>
        <v/>
      </c>
      <c r="I42">
        <f>H46</f>
        <v/>
      </c>
    </row>
    <row r="43">
      <c r="A43" s="44" t="inlineStr">
        <is>
          <t>Add: purchase during the year</t>
        </is>
      </c>
      <c r="D43" t="n">
        <v>50.34</v>
      </c>
      <c r="E43" s="102">
        <f>INDEX($L$4:$T$15,MATCH($A41,$L$4:$L$15,0),MATCH(E41,$L$4:$T$4,0))</f>
        <v/>
      </c>
      <c r="F43" s="102">
        <f>INDEX($L$4:$T$15,MATCH($A41,$L$4:$L$15,0),MATCH(F41,$L$4:$T$4,0))</f>
        <v/>
      </c>
      <c r="G43" s="102">
        <f>INDEX($L$4:$T$15,MATCH($A41,$L$4:$L$15,0),MATCH(G41,$L$4:$T$4,0))</f>
        <v/>
      </c>
      <c r="H43" s="102">
        <f>INDEX($L$4:$T$15,MATCH($A41,$L$4:$L$15,0),MATCH(H41,$L$4:$T$4,0))</f>
        <v/>
      </c>
      <c r="I43" s="102">
        <f>INDEX($L$4:$T$15,MATCH($A41,$L$4:$L$15,0),MATCH(I41,$L$4:$T$4,0))</f>
        <v/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>
        <f>E42*$B47</f>
        <v/>
      </c>
      <c r="F45" s="102">
        <f>F42*$B47</f>
        <v/>
      </c>
      <c r="G45" s="102">
        <f>G42*$B47</f>
        <v/>
      </c>
      <c r="H45" s="102">
        <f>H42*$B47</f>
        <v/>
      </c>
      <c r="I45" s="102">
        <f>I42*$B47</f>
        <v/>
      </c>
    </row>
    <row r="46">
      <c r="A46" s="44" t="inlineStr">
        <is>
          <t>Closing balance</t>
        </is>
      </c>
      <c r="D46" t="n">
        <v>212.14</v>
      </c>
      <c r="E46" s="47">
        <f>E42+E43-E44-E45</f>
        <v/>
      </c>
      <c r="F46" s="47">
        <f>F42+F43-F44-F45</f>
        <v/>
      </c>
      <c r="G46" s="47">
        <f>G42+G43-G44-G45</f>
        <v/>
      </c>
      <c r="H46" s="47">
        <f>H42+H43-H44-H45</f>
        <v/>
      </c>
      <c r="I46" s="47">
        <f>I42+I43-I44-I45</f>
        <v/>
      </c>
    </row>
    <row r="47">
      <c r="A47" s="44" t="inlineStr">
        <is>
          <t>Depreciation rate</t>
        </is>
      </c>
      <c r="B47" s="28">
        <f>D45/(D42+D43-D44)</f>
        <v/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>
        <f>D54</f>
        <v/>
      </c>
      <c r="F50">
        <f>E54</f>
        <v/>
      </c>
      <c r="G50">
        <f>F54</f>
        <v/>
      </c>
      <c r="H50">
        <f>G54</f>
        <v/>
      </c>
      <c r="I50">
        <f>H54</f>
        <v/>
      </c>
    </row>
    <row r="51">
      <c r="A51" s="44" t="inlineStr">
        <is>
          <t>Add: purchase during the year</t>
        </is>
      </c>
      <c r="D51" t="n">
        <v>7.3</v>
      </c>
      <c r="E51" s="102">
        <f>INDEX($L$4:$T$15,MATCH($A49,$L$4:$L$15,0),MATCH(E49,$L$4:$T$4,0))</f>
        <v/>
      </c>
      <c r="F51" s="102">
        <f>INDEX($L$4:$T$15,MATCH($A49,$L$4:$L$15,0),MATCH(F49,$L$4:$T$4,0))</f>
        <v/>
      </c>
      <c r="G51" s="102">
        <f>INDEX($L$4:$T$15,MATCH($A49,$L$4:$L$15,0),MATCH(G49,$L$4:$T$4,0))</f>
        <v/>
      </c>
      <c r="H51" s="102">
        <f>INDEX($L$4:$T$15,MATCH($A49,$L$4:$L$15,0),MATCH(H49,$L$4:$T$4,0))</f>
        <v/>
      </c>
      <c r="I51" s="102">
        <f>INDEX($L$4:$T$15,MATCH($A49,$L$4:$L$15,0),MATCH(I49,$L$4:$T$4,0))</f>
        <v/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>
        <f>E50*$B55</f>
        <v/>
      </c>
      <c r="F53" s="102">
        <f>F50*$B55</f>
        <v/>
      </c>
      <c r="G53" s="102">
        <f>G50*$B55</f>
        <v/>
      </c>
      <c r="H53" s="102">
        <f>H50*$B55</f>
        <v/>
      </c>
      <c r="I53" s="102">
        <f>I50*$B55</f>
        <v/>
      </c>
    </row>
    <row r="54">
      <c r="A54" s="44" t="inlineStr">
        <is>
          <t>Closing balance</t>
        </is>
      </c>
      <c r="D54" t="n">
        <v>26.08</v>
      </c>
      <c r="E54" s="47">
        <f>E50+E51-E52-E53</f>
        <v/>
      </c>
      <c r="F54" s="47">
        <f>F50+F51-F52-F53</f>
        <v/>
      </c>
      <c r="G54" s="47">
        <f>G50+G51-G52-G53</f>
        <v/>
      </c>
      <c r="H54" s="47">
        <f>H50+H51-H52-H53</f>
        <v/>
      </c>
      <c r="I54" s="47">
        <f>I50+I51-I52-I53</f>
        <v/>
      </c>
    </row>
    <row r="55">
      <c r="A55" s="44" t="inlineStr">
        <is>
          <t>Depreciation rate</t>
        </is>
      </c>
      <c r="B55" s="28">
        <f>D53/(D50+D51-D52)</f>
        <v/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>
        <f>D62</f>
        <v/>
      </c>
      <c r="F58">
        <f>E62</f>
        <v/>
      </c>
      <c r="G58">
        <f>F62</f>
        <v/>
      </c>
      <c r="H58">
        <f>G62</f>
        <v/>
      </c>
      <c r="I58">
        <f>H62</f>
        <v/>
      </c>
    </row>
    <row r="59">
      <c r="A59" s="44" t="inlineStr">
        <is>
          <t>Add: purchase during the year</t>
        </is>
      </c>
      <c r="D59" t="n">
        <v>0.35</v>
      </c>
      <c r="E59" s="102">
        <f>INDEX($L$4:$T$15,MATCH($A57,$L$4:$L$15,0),MATCH(E57,$L$4:$T$4,0))</f>
        <v/>
      </c>
      <c r="F59" s="102">
        <f>INDEX($L$4:$T$15,MATCH($A57,$L$4:$L$15,0),MATCH(F57,$L$4:$T$4,0))</f>
        <v/>
      </c>
      <c r="G59" s="102">
        <f>INDEX($L$4:$T$15,MATCH($A57,$L$4:$L$15,0),MATCH(G57,$L$4:$T$4,0))</f>
        <v/>
      </c>
      <c r="H59" s="102">
        <f>INDEX($L$4:$T$15,MATCH($A57,$L$4:$L$15,0),MATCH(H57,$L$4:$T$4,0))</f>
        <v/>
      </c>
      <c r="I59" s="102">
        <f>INDEX($L$4:$T$15,MATCH($A57,$L$4:$L$15,0),MATCH(I57,$L$4:$T$4,0))</f>
        <v/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>
        <f>E58*$B63</f>
        <v/>
      </c>
      <c r="F61" s="102">
        <f>F58*$B63</f>
        <v/>
      </c>
      <c r="G61" s="102">
        <f>G58*$B63</f>
        <v/>
      </c>
      <c r="H61" s="102">
        <f>H58*$B63</f>
        <v/>
      </c>
      <c r="I61" s="102">
        <f>I58*$B63</f>
        <v/>
      </c>
    </row>
    <row r="62">
      <c r="A62" s="44" t="inlineStr">
        <is>
          <t>Closing balance</t>
        </is>
      </c>
      <c r="D62" t="n">
        <v>1.63</v>
      </c>
      <c r="E62" s="47">
        <f>E58+E59-E60-E61</f>
        <v/>
      </c>
      <c r="F62" s="47">
        <f>F58+F59-F60-F61</f>
        <v/>
      </c>
      <c r="G62" s="47">
        <f>G58+G59-G60-G61</f>
        <v/>
      </c>
      <c r="H62" s="47">
        <f>H58+H59-H60-H61</f>
        <v/>
      </c>
      <c r="I62" s="47">
        <f>I58+I59-I60-I61</f>
        <v/>
      </c>
    </row>
    <row r="63">
      <c r="A63" s="44" t="inlineStr">
        <is>
          <t>Depreciation rate</t>
        </is>
      </c>
      <c r="B63" s="28">
        <f>D61/(D58+D59-D60)</f>
        <v/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>
        <f>D70</f>
        <v/>
      </c>
      <c r="F66">
        <f>E70</f>
        <v/>
      </c>
      <c r="G66">
        <f>F70</f>
        <v/>
      </c>
      <c r="H66">
        <f>G70</f>
        <v/>
      </c>
      <c r="I66">
        <f>H70</f>
        <v/>
      </c>
    </row>
    <row r="67">
      <c r="A67" s="44" t="inlineStr">
        <is>
          <t>Add: purchase during the year</t>
        </is>
      </c>
      <c r="D67" t="n">
        <v>16.78</v>
      </c>
      <c r="E67" s="102">
        <f>INDEX($L$4:$T$15,MATCH($A65,$L$4:$L$15,0),MATCH(E65,$L$4:$T$4,0))</f>
        <v/>
      </c>
      <c r="F67" s="102">
        <f>INDEX($L$4:$T$15,MATCH($A65,$L$4:$L$15,0),MATCH(F65,$L$4:$T$4,0))</f>
        <v/>
      </c>
      <c r="G67" s="102">
        <f>INDEX($L$4:$T$15,MATCH($A65,$L$4:$L$15,0),MATCH(G65,$L$4:$T$4,0))</f>
        <v/>
      </c>
      <c r="H67" s="102">
        <f>INDEX($L$4:$T$15,MATCH($A65,$L$4:$L$15,0),MATCH(H65,$L$4:$T$4,0))</f>
        <v/>
      </c>
      <c r="I67" s="102">
        <f>INDEX($L$4:$T$15,MATCH($A65,$L$4:$L$15,0),MATCH(I65,$L$4:$T$4,0))</f>
        <v/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>
        <f>E66*$B71</f>
        <v/>
      </c>
      <c r="F69" s="102">
        <f>F66*$B71</f>
        <v/>
      </c>
      <c r="G69" s="102">
        <f>G66*$B71</f>
        <v/>
      </c>
      <c r="H69" s="102">
        <f>H66*$B71</f>
        <v/>
      </c>
      <c r="I69" s="102">
        <f>I66*$B71</f>
        <v/>
      </c>
    </row>
    <row r="70">
      <c r="A70" s="44" t="inlineStr">
        <is>
          <t>Closing balance</t>
        </is>
      </c>
      <c r="D70" t="n">
        <v>38.4</v>
      </c>
      <c r="E70" s="47">
        <f>E66+E67-E68-E69</f>
        <v/>
      </c>
      <c r="F70" s="47">
        <f>F66+F67-F68-F69</f>
        <v/>
      </c>
      <c r="G70" s="47">
        <f>G66+G67-G68-G69</f>
        <v/>
      </c>
      <c r="H70" s="47">
        <f>H66+H67-H68-H69</f>
        <v/>
      </c>
      <c r="I70" s="47">
        <f>I66+I67-I68-I69</f>
        <v/>
      </c>
    </row>
    <row r="71">
      <c r="A71" s="44" t="inlineStr">
        <is>
          <t>Depreciation rate</t>
        </is>
      </c>
      <c r="B71" s="28">
        <f>D69/(D66+D67-D68)</f>
        <v/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>
        <f>D78</f>
        <v/>
      </c>
      <c r="F74">
        <f>E78</f>
        <v/>
      </c>
      <c r="G74">
        <f>F78</f>
        <v/>
      </c>
      <c r="H74">
        <f>G78</f>
        <v/>
      </c>
      <c r="I74">
        <f>H78</f>
        <v/>
      </c>
    </row>
    <row r="75">
      <c r="A75" s="44" t="inlineStr">
        <is>
          <t>Add: purchase during the year</t>
        </is>
      </c>
      <c r="D75" t="n">
        <v>7.01</v>
      </c>
      <c r="E75" s="102">
        <f>INDEX($L$4:$T$15,MATCH($A73,$L$4:$L$15,0),MATCH(E73,$L$4:$T$4,0))</f>
        <v/>
      </c>
      <c r="F75" s="102">
        <f>INDEX($L$4:$T$15,MATCH($A73,$L$4:$L$15,0),MATCH(F73,$L$4:$T$4,0))</f>
        <v/>
      </c>
      <c r="G75" s="102">
        <f>INDEX($L$4:$T$15,MATCH($A73,$L$4:$L$15,0),MATCH(G73,$L$4:$T$4,0))</f>
        <v/>
      </c>
      <c r="H75" s="102">
        <f>INDEX($L$4:$T$15,MATCH($A73,$L$4:$L$15,0),MATCH(H73,$L$4:$T$4,0))</f>
        <v/>
      </c>
      <c r="I75" s="102">
        <f>INDEX($L$4:$T$15,MATCH($A73,$L$4:$L$15,0),MATCH(I73,$L$4:$T$4,0))</f>
        <v/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>
        <f>E74*$B79</f>
        <v/>
      </c>
      <c r="F77" s="102">
        <f>F74*$B79</f>
        <v/>
      </c>
      <c r="G77" s="102">
        <f>G74*$B79</f>
        <v/>
      </c>
      <c r="H77" s="102">
        <f>H74*$B79</f>
        <v/>
      </c>
      <c r="I77" s="102">
        <f>I74*$B79</f>
        <v/>
      </c>
    </row>
    <row r="78">
      <c r="A78" s="44" t="inlineStr">
        <is>
          <t>Closing balance</t>
        </is>
      </c>
      <c r="D78" t="n">
        <v>39.33</v>
      </c>
      <c r="E78" s="47">
        <f>E74+E75-E76-E77</f>
        <v/>
      </c>
      <c r="F78" s="47">
        <f>F74+F75-F76-F77</f>
        <v/>
      </c>
      <c r="G78" s="47">
        <f>G74+G75-G76-G77</f>
        <v/>
      </c>
      <c r="H78" s="47">
        <f>H74+H75-H76-H77</f>
        <v/>
      </c>
      <c r="I78" s="47">
        <f>I74+I75-I76-I77</f>
        <v/>
      </c>
    </row>
    <row r="79">
      <c r="A79" s="44" t="inlineStr">
        <is>
          <t>Depreciation rate</t>
        </is>
      </c>
      <c r="B79" s="28">
        <f>D77/(D74+D75-D76)</f>
        <v/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>
        <f>D86</f>
        <v/>
      </c>
      <c r="F82">
        <f>E86</f>
        <v/>
      </c>
      <c r="G82">
        <f>F86</f>
        <v/>
      </c>
      <c r="H82">
        <f>G86</f>
        <v/>
      </c>
      <c r="I82">
        <f>H86</f>
        <v/>
      </c>
    </row>
    <row r="83">
      <c r="A83" s="44" t="inlineStr">
        <is>
          <t>Add: purchase during the year</t>
        </is>
      </c>
      <c r="D83" t="n">
        <v>2.58</v>
      </c>
      <c r="E83" s="102">
        <f>INDEX($L$4:$T$15,MATCH($A81,$L$4:$L$15,0),MATCH(E81,$L$4:$T$4,0))</f>
        <v/>
      </c>
      <c r="F83" s="102">
        <f>INDEX($L$4:$T$15,MATCH($A81,$L$4:$L$15,0),MATCH(F81,$L$4:$T$4,0))</f>
        <v/>
      </c>
      <c r="G83" s="102">
        <f>INDEX($L$4:$T$15,MATCH($A81,$L$4:$L$15,0),MATCH(G81,$L$4:$T$4,0))</f>
        <v/>
      </c>
      <c r="H83" s="102">
        <f>INDEX($L$4:$T$15,MATCH($A81,$L$4:$L$15,0),MATCH(H81,$L$4:$T$4,0))</f>
        <v/>
      </c>
      <c r="I83" s="102">
        <f>INDEX($L$4:$T$15,MATCH($A81,$L$4:$L$15,0),MATCH(I81,$L$4:$T$4,0))</f>
        <v/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>
        <f>E82*$B87</f>
        <v/>
      </c>
      <c r="F85" s="102">
        <f>F82*$B87</f>
        <v/>
      </c>
      <c r="G85" s="102">
        <f>G82*$B87</f>
        <v/>
      </c>
      <c r="H85" s="102">
        <f>H82*$B87</f>
        <v/>
      </c>
      <c r="I85" s="102">
        <f>I82*$B87</f>
        <v/>
      </c>
    </row>
    <row r="86">
      <c r="A86" s="44" t="inlineStr">
        <is>
          <t>Closing balance</t>
        </is>
      </c>
      <c r="D86" t="n">
        <v>16.51</v>
      </c>
      <c r="E86" s="47">
        <f>E82+E83-E84-E85</f>
        <v/>
      </c>
      <c r="F86" s="47">
        <f>F82+F83-F84-F85</f>
        <v/>
      </c>
      <c r="G86" s="47">
        <f>G82+G83-G84-G85</f>
        <v/>
      </c>
      <c r="H86" s="47">
        <f>H82+H83-H84-H85</f>
        <v/>
      </c>
      <c r="I86" s="47">
        <f>I82+I83-I84-I85</f>
        <v/>
      </c>
    </row>
    <row r="87">
      <c r="A87" s="44" t="inlineStr">
        <is>
          <t>Depreciation rate</t>
        </is>
      </c>
      <c r="B87" s="28">
        <f>D85/(D82+D83-D84)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F4" s="104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4" s="104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H4" s="104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I4" s="104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>
        <f>D5</f>
        <v/>
      </c>
      <c r="F5" s="98">
        <f>E5</f>
        <v/>
      </c>
      <c r="G5" s="98">
        <f>F5</f>
        <v/>
      </c>
      <c r="H5" s="98">
        <f>G5</f>
        <v/>
      </c>
      <c r="I5" s="98">
        <f>H5</f>
        <v/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>
        <f>D6</f>
        <v/>
      </c>
      <c r="F6" s="98">
        <f>E6</f>
        <v/>
      </c>
      <c r="G6" s="98">
        <f>F6</f>
        <v/>
      </c>
      <c r="H6" s="98">
        <f>G6</f>
        <v/>
      </c>
      <c r="I6" s="98">
        <f>H6</f>
        <v/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>
        <f>SUM(C4:C15)</f>
        <v/>
      </c>
      <c r="D16" s="105">
        <f>SUM(D4:D15)</f>
        <v/>
      </c>
      <c r="E16" s="105">
        <f>SUM(E4:E15)</f>
        <v/>
      </c>
      <c r="F16" s="105">
        <f>SUM(F4:F15)</f>
        <v/>
      </c>
      <c r="G16" s="105">
        <f>SUM(G4:G15)</f>
        <v/>
      </c>
      <c r="H16" s="105">
        <f>SUM(H4:H15)</f>
        <v/>
      </c>
      <c r="I16" s="105">
        <f>SUM(I4:I15)</f>
        <v/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>
        <f>SUM('Financial Statements'!E4:E7)*'Balance Sheet'!E57</f>
        <v/>
      </c>
      <c r="F18" s="104">
        <f>SUM('Financial Statements'!F4:F7)*'Balance Sheet'!F57</f>
        <v/>
      </c>
      <c r="G18" s="104">
        <f>SUM('Financial Statements'!G4:G7)*'Balance Sheet'!G57</f>
        <v/>
      </c>
      <c r="H18" s="104">
        <f>SUM('Financial Statements'!H4:H7)*'Balance Sheet'!H57</f>
        <v/>
      </c>
      <c r="I18" s="104">
        <f>SUM('Financial Statements'!I4:I7)*'Balance Sheet'!I57</f>
        <v/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>
        <f>'Financial Statements'!E2*'Balance Sheet'!E58</f>
        <v/>
      </c>
      <c r="F21" s="104">
        <f>'Financial Statements'!F2*'Balance Sheet'!F58</f>
        <v/>
      </c>
      <c r="G21" s="104">
        <f>'Financial Statements'!G2*'Balance Sheet'!G58</f>
        <v/>
      </c>
      <c r="H21" s="104">
        <f>'Financial Statements'!H2*'Balance Sheet'!H58</f>
        <v/>
      </c>
      <c r="I21" s="104">
        <f>'Financial Statements'!I2*'Balance Sheet'!I58</f>
        <v/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>
        <f>'Financial Statements'!O34</f>
        <v/>
      </c>
      <c r="F22" s="104">
        <f>'Financial Statements'!P34</f>
        <v/>
      </c>
      <c r="G22" s="104">
        <f>'Financial Statements'!Q34</f>
        <v/>
      </c>
      <c r="H22" s="104">
        <f>'Financial Statements'!R34</f>
        <v/>
      </c>
      <c r="I22" s="104">
        <f>'Financial Statements'!S34</f>
        <v/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>
        <f>SUM(C18:C26)</f>
        <v/>
      </c>
      <c r="D27" s="105">
        <f>SUM(D18:D26)</f>
        <v/>
      </c>
      <c r="E27" s="105">
        <f>SUM(E18:E26)</f>
        <v/>
      </c>
      <c r="F27" s="105">
        <f>SUM(F18:F26)</f>
        <v/>
      </c>
      <c r="G27" s="105">
        <f>SUM(G18:G26)</f>
        <v/>
      </c>
      <c r="H27" s="105">
        <f>SUM(H18:H26)</f>
        <v/>
      </c>
      <c r="I27" s="105">
        <f>SUM(I18:I26)</f>
        <v/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>
        <f>C27+C28</f>
        <v/>
      </c>
      <c r="D29" s="105">
        <f>D27+D28</f>
        <v/>
      </c>
      <c r="E29" s="105">
        <f>E27+E28</f>
        <v/>
      </c>
      <c r="F29" s="105">
        <f>F27+F28</f>
        <v/>
      </c>
      <c r="G29" s="105">
        <f>G27+G28</f>
        <v/>
      </c>
      <c r="H29" s="105">
        <f>H27+H28</f>
        <v/>
      </c>
      <c r="I29" s="105">
        <f>I27+I28</f>
        <v/>
      </c>
    </row>
    <row r="30" ht="15" customHeight="1" s="74" thickBot="1">
      <c r="A30" s="60" t="inlineStr">
        <is>
          <t>TOTAL - ASSETS</t>
        </is>
      </c>
      <c r="B30" s="60" t="n"/>
      <c r="C30" s="106">
        <f>C29+C16</f>
        <v/>
      </c>
      <c r="D30" s="106">
        <f>D29+D16</f>
        <v/>
      </c>
      <c r="E30" s="106">
        <f>E29+E16</f>
        <v/>
      </c>
      <c r="F30" s="106">
        <f>F29+F16</f>
        <v/>
      </c>
      <c r="G30" s="106">
        <f>G29+G16</f>
        <v/>
      </c>
      <c r="H30" s="106">
        <f>H29+H16</f>
        <v/>
      </c>
      <c r="I30" s="106">
        <f>I29+I16</f>
        <v/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>
        <f>D33</f>
        <v/>
      </c>
      <c r="F33" s="107">
        <f>E33</f>
        <v/>
      </c>
      <c r="G33" s="107">
        <f>F33</f>
        <v/>
      </c>
      <c r="H33" s="107">
        <f>G33</f>
        <v/>
      </c>
      <c r="I33" s="107">
        <f>H33</f>
        <v/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>
        <f>D34+'Financial Statements'!E20</f>
        <v/>
      </c>
      <c r="F34" s="107">
        <f>E34+'Financial Statements'!F20</f>
        <v/>
      </c>
      <c r="G34" s="107">
        <f>F34+'Financial Statements'!G20</f>
        <v/>
      </c>
      <c r="H34" s="107">
        <f>G34+'Financial Statements'!H20</f>
        <v/>
      </c>
      <c r="I34" s="107">
        <f>H34+'Financial Statements'!I20</f>
        <v/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>
        <f>C33+C34+C35</f>
        <v/>
      </c>
      <c r="D36" s="105">
        <f>D33+D34+D35</f>
        <v/>
      </c>
      <c r="E36" s="105">
        <f>E33+E34+E35</f>
        <v/>
      </c>
      <c r="F36" s="105">
        <f>F33+F34+F35</f>
        <v/>
      </c>
      <c r="G36" s="105">
        <f>G33+G34+G35</f>
        <v/>
      </c>
      <c r="H36" s="105">
        <f>H33+H34+H35</f>
        <v/>
      </c>
      <c r="I36" s="105">
        <f>I33+I34+I35</f>
        <v/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>
        <f>SUM(C39:C40)</f>
        <v/>
      </c>
      <c r="D41" s="105">
        <f>SUM(D39:D40)</f>
        <v/>
      </c>
      <c r="E41" s="105">
        <f>SUM(E39:E40)</f>
        <v/>
      </c>
      <c r="F41" s="105">
        <f>SUM(F39:F40)</f>
        <v/>
      </c>
      <c r="G41" s="105">
        <f>SUM(G39:G40)</f>
        <v/>
      </c>
      <c r="H41" s="105">
        <f>SUM(H39:H40)</f>
        <v/>
      </c>
      <c r="I41" s="105">
        <f>SUM(I39:I40)</f>
        <v/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>
        <f>SUM('Financial Statements'!E4:E7)*'Balance Sheet'!E59</f>
        <v/>
      </c>
      <c r="F44" s="104">
        <f>SUM('Financial Statements'!F4:F7)*'Balance Sheet'!F59</f>
        <v/>
      </c>
      <c r="G44" s="104">
        <f>SUM('Financial Statements'!G4:G7)*'Balance Sheet'!G59</f>
        <v/>
      </c>
      <c r="H44" s="104">
        <f>SUM('Financial Statements'!H4:H7)*'Balance Sheet'!H59</f>
        <v/>
      </c>
      <c r="I44" s="104">
        <f>SUM('Financial Statements'!I4:I7)*'Balance Sheet'!I59</f>
        <v/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>
        <f>SUM(C44:C48)</f>
        <v/>
      </c>
      <c r="D49" s="105">
        <f>SUM(D44:D48)</f>
        <v/>
      </c>
      <c r="E49" s="105">
        <f>SUM(E44:E48)</f>
        <v/>
      </c>
      <c r="F49" s="105">
        <f>SUM(F44:F48)</f>
        <v/>
      </c>
      <c r="G49" s="105">
        <f>SUM(G44:G48)</f>
        <v/>
      </c>
      <c r="H49" s="105">
        <f>SUM(H44:H48)</f>
        <v/>
      </c>
      <c r="I49" s="105">
        <f>SUM(I44:I48)</f>
        <v/>
      </c>
    </row>
    <row r="50">
      <c r="A50" s="36" t="inlineStr">
        <is>
          <t>Total liabilities</t>
        </is>
      </c>
      <c r="B50" s="36" t="n"/>
      <c r="C50" s="105">
        <f>C49+C41</f>
        <v/>
      </c>
      <c r="D50" s="105">
        <f>D49+D41</f>
        <v/>
      </c>
      <c r="E50" s="105">
        <f>E49+E41</f>
        <v/>
      </c>
      <c r="F50" s="105">
        <f>F49+F41</f>
        <v/>
      </c>
      <c r="G50" s="105">
        <f>G49+G41</f>
        <v/>
      </c>
      <c r="H50" s="105">
        <f>H49+H41</f>
        <v/>
      </c>
      <c r="I50" s="105">
        <f>I49+I41</f>
        <v/>
      </c>
    </row>
    <row r="51" ht="15" customHeight="1" s="74" thickBot="1">
      <c r="A51" s="60" t="inlineStr">
        <is>
          <t>TOTAL-EQUITY AND LIABILITIES</t>
        </is>
      </c>
      <c r="B51" s="60" t="n"/>
      <c r="C51" s="106">
        <f>C50+C36</f>
        <v/>
      </c>
      <c r="D51" s="106">
        <f>D50+D36</f>
        <v/>
      </c>
      <c r="E51" s="106">
        <f>E50+E36</f>
        <v/>
      </c>
      <c r="F51" s="106">
        <f>F50+F36</f>
        <v/>
      </c>
      <c r="G51" s="106">
        <f>G50+G36</f>
        <v/>
      </c>
      <c r="H51" s="106">
        <f>H50+H36</f>
        <v/>
      </c>
      <c r="I51" s="106">
        <f>I50+I36</f>
        <v/>
      </c>
    </row>
    <row r="53">
      <c r="E53" s="101">
        <f>E51-E30</f>
        <v/>
      </c>
      <c r="F53" s="101">
        <f>F51-F30</f>
        <v/>
      </c>
      <c r="G53" s="101">
        <f>G51-G30</f>
        <v/>
      </c>
      <c r="H53" s="101">
        <f>H51-H30</f>
        <v/>
      </c>
      <c r="I53" s="101">
        <f>I51-I30</f>
        <v/>
      </c>
    </row>
    <row r="57">
      <c r="A57" t="inlineStr">
        <is>
          <t>Inventory as % of raw material</t>
        </is>
      </c>
      <c r="C57" s="28">
        <f>C18/SUM('Financial Statements'!C4:C7)</f>
        <v/>
      </c>
      <c r="D57" s="28">
        <f>D18/SUM('Financial Statements'!D4:D7)</f>
        <v/>
      </c>
      <c r="E57" s="28">
        <f>AVERAGE(C57:D57)</f>
        <v/>
      </c>
      <c r="F57" s="28">
        <f>E57</f>
        <v/>
      </c>
      <c r="G57" s="28">
        <f>F57</f>
        <v/>
      </c>
      <c r="H57" s="28">
        <f>G57</f>
        <v/>
      </c>
      <c r="I57" s="28">
        <f>H57</f>
        <v/>
      </c>
    </row>
    <row r="58">
      <c r="A58" t="inlineStr">
        <is>
          <t>Trade receivables as % of Sales</t>
        </is>
      </c>
      <c r="C58" s="28">
        <f>C21/'Financial Statements'!C2</f>
        <v/>
      </c>
      <c r="D58" s="28">
        <f>D21/'Financial Statements'!D2</f>
        <v/>
      </c>
      <c r="E58" s="28">
        <f>AVERAGE(C58:D58)</f>
        <v/>
      </c>
      <c r="F58" s="28">
        <f>E58</f>
        <v/>
      </c>
      <c r="G58" s="28">
        <f>F58</f>
        <v/>
      </c>
      <c r="H58" s="28">
        <f>G58</f>
        <v/>
      </c>
      <c r="I58" s="28">
        <f>H58</f>
        <v/>
      </c>
    </row>
    <row r="59">
      <c r="A59" t="inlineStr">
        <is>
          <t>Trade payables as % of raw material</t>
        </is>
      </c>
      <c r="C59" s="28">
        <f>C44/SUM('Financial Statements'!C4:C7)</f>
        <v/>
      </c>
      <c r="D59" s="28">
        <f>D44/SUM('Financial Statements'!D4:D7)</f>
        <v/>
      </c>
      <c r="E59" s="28">
        <f>AVERAGE(C59:D59)</f>
        <v/>
      </c>
      <c r="F59" s="28">
        <f>E59</f>
        <v/>
      </c>
      <c r="G59" s="28">
        <f>F59</f>
        <v/>
      </c>
      <c r="H59" s="28">
        <f>G59</f>
        <v/>
      </c>
      <c r="I59" s="28">
        <f>H59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>
        <f>'Financial Statements'!E12</f>
        <v/>
      </c>
      <c r="C2" s="26">
        <f>'Financial Statements'!F12</f>
        <v/>
      </c>
      <c r="D2" s="26">
        <f>'Financial Statements'!G12</f>
        <v/>
      </c>
      <c r="E2" s="26">
        <f>'Financial Statements'!H12</f>
        <v/>
      </c>
      <c r="F2" s="26">
        <f>'Financial Statements'!I12</f>
        <v/>
      </c>
    </row>
    <row r="3">
      <c r="A3" s="72" t="inlineStr">
        <is>
          <t>Less: Tax on EBIT</t>
        </is>
      </c>
      <c r="B3" s="66">
        <f>B2*'Financial Statements'!E16</f>
        <v/>
      </c>
      <c r="C3" s="66">
        <f>C2*'Financial Statements'!F16</f>
        <v/>
      </c>
      <c r="D3" s="66">
        <f>D2*'Financial Statements'!G16</f>
        <v/>
      </c>
      <c r="E3" s="66">
        <f>E2*'Financial Statements'!H16</f>
        <v/>
      </c>
      <c r="F3" s="66">
        <f>F2*'Financial Statements'!I16</f>
        <v/>
      </c>
    </row>
    <row r="4">
      <c r="A4" t="inlineStr">
        <is>
          <t>Debt free earning</t>
        </is>
      </c>
      <c r="B4" s="26">
        <f>B2-B3</f>
        <v/>
      </c>
      <c r="C4" s="26">
        <f>C2-C3</f>
        <v/>
      </c>
      <c r="D4" s="26">
        <f>D2-D3</f>
        <v/>
      </c>
      <c r="E4" s="26">
        <f>E2-E3</f>
        <v/>
      </c>
      <c r="F4" s="26">
        <f>F2-F3</f>
        <v/>
      </c>
    </row>
    <row r="6">
      <c r="A6" t="inlineStr">
        <is>
          <t>Add: Dep &amp; Ammo</t>
        </is>
      </c>
      <c r="B6" s="41">
        <f>'Financial Statements'!E11</f>
        <v/>
      </c>
      <c r="C6" s="41">
        <f>'Financial Statements'!F11</f>
        <v/>
      </c>
      <c r="D6" s="41">
        <f>'Financial Statements'!G11</f>
        <v/>
      </c>
      <c r="E6" s="41">
        <f>'Financial Statements'!H11</f>
        <v/>
      </c>
      <c r="F6" s="41">
        <f>'Financial Statements'!I11</f>
        <v/>
      </c>
    </row>
    <row r="7">
      <c r="A7" t="inlineStr">
        <is>
          <t>Less: Capex</t>
        </is>
      </c>
      <c r="B7" s="41">
        <f>-'Asset schedule'!P2</f>
        <v/>
      </c>
      <c r="C7" s="41">
        <f>-'Asset schedule'!Q2</f>
        <v/>
      </c>
      <c r="D7" s="41">
        <f>-'Asset schedule'!R2</f>
        <v/>
      </c>
      <c r="E7" s="41">
        <f>-'Asset schedule'!S2</f>
        <v/>
      </c>
      <c r="F7" s="41">
        <f>-'Asset schedule'!T2</f>
        <v/>
      </c>
    </row>
    <row r="8">
      <c r="A8" s="72" t="inlineStr">
        <is>
          <t>Add/Less: Change in WC</t>
        </is>
      </c>
      <c r="B8" s="66">
        <f>'Financial Statements'!O18+'Financial Statements'!O19+'Financial Statements'!O20</f>
        <v/>
      </c>
      <c r="C8" s="66">
        <f>'Financial Statements'!P18+'Financial Statements'!P19+'Financial Statements'!P20</f>
        <v/>
      </c>
      <c r="D8" s="66">
        <f>'Financial Statements'!Q18+'Financial Statements'!Q19+'Financial Statements'!Q20</f>
        <v/>
      </c>
      <c r="E8" s="66">
        <f>'Financial Statements'!R18+'Financial Statements'!R19+'Financial Statements'!R20</f>
        <v/>
      </c>
      <c r="F8" s="66">
        <f>'Financial Statements'!S18+'Financial Statements'!S19+'Financial Statements'!S20</f>
        <v/>
      </c>
    </row>
    <row r="9">
      <c r="A9" s="36" t="inlineStr">
        <is>
          <t>FCFF</t>
        </is>
      </c>
      <c r="B9" s="67">
        <f>SUM(B4:B8)</f>
        <v/>
      </c>
      <c r="C9" s="67">
        <f>SUM(C4:C8)</f>
        <v/>
      </c>
      <c r="D9" s="67">
        <f>SUM(D4:D8)</f>
        <v/>
      </c>
      <c r="E9" s="67">
        <f>SUM(E4:E8)</f>
        <v/>
      </c>
      <c r="F9" s="67">
        <f>SUM(F4:F8)</f>
        <v/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>
        <f>F9*(1+B27)/(H21-B27)</f>
        <v/>
      </c>
      <c r="G10" t="inlineStr">
        <is>
          <t>FCC*(1+g)/(WACC-g)</t>
        </is>
      </c>
    </row>
    <row r="11">
      <c r="A11" t="inlineStr">
        <is>
          <t>FCFF after TV</t>
        </is>
      </c>
      <c r="B11" s="41">
        <f>SUM(B9:B10)</f>
        <v/>
      </c>
      <c r="C11" s="41">
        <f>SUM(C9:C10)</f>
        <v/>
      </c>
      <c r="D11" s="41">
        <f>SUM(D9:D10)</f>
        <v/>
      </c>
      <c r="E11" s="41">
        <f>SUM(E9:E10)</f>
        <v/>
      </c>
      <c r="F11" s="41">
        <f>SUM(F9:F10)</f>
        <v/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>
        <f>B17+B18*(B19-B17)</f>
        <v/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>
        <f>B21/(B21+B22)</f>
        <v/>
      </c>
      <c r="G21" s="44" t="inlineStr">
        <is>
          <t>WACC</t>
        </is>
      </c>
      <c r="H21" s="28">
        <f>B15*E22+B14*E21*(1-'Financial Statements'!D16)</f>
        <v/>
      </c>
    </row>
    <row r="22">
      <c r="A22" s="44" t="inlineStr">
        <is>
          <t>Equity</t>
        </is>
      </c>
      <c r="B22" s="100">
        <f>B24*B25</f>
        <v/>
      </c>
      <c r="D22" s="44" t="inlineStr">
        <is>
          <t>We</t>
        </is>
      </c>
      <c r="E22" s="28">
        <f>B22/(B21+B22)</f>
        <v/>
      </c>
    </row>
    <row r="23">
      <c r="G23" s="44" t="inlineStr">
        <is>
          <t>EV</t>
        </is>
      </c>
      <c r="H23" s="109">
        <f>NPV(H21,B11:F11)</f>
        <v/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>
        <f>'Balance Sheet'!D22</f>
        <v/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>
        <f>H23+H24</f>
        <v/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>
        <f>H25/B25</f>
        <v/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>
        <f>H27</f>
        <v/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>
        <f t="dataTable" ref="J33:O38" dt2D="1" dtr="1" r1="H21" r2="B33"/>
        <v/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>
        <f>I33+1%</f>
        <v/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>
        <f>I34+1%</f>
        <v/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>
        <f>I35+1%</f>
        <v/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>
        <f>I36+1%</f>
        <v/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>
        <f>I37+1%</f>
        <v/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>
        <f>'Financial Statements'!D17/Relative!$B$8</f>
        <v/>
      </c>
      <c r="C3" s="102">
        <f>'Financial Statements'!E17/Relative!$B$8</f>
        <v/>
      </c>
      <c r="D3" s="102">
        <f>'Financial Statements'!F17/Relative!$B$8</f>
        <v/>
      </c>
      <c r="E3" s="102">
        <f>'Financial Statements'!G17/Relative!$B$8</f>
        <v/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>
        <f>'Financial Statements'!D2</f>
        <v/>
      </c>
      <c r="C4" s="100">
        <f>'Financial Statements'!E2</f>
        <v/>
      </c>
      <c r="D4" s="100">
        <f>'Financial Statements'!F2</f>
        <v/>
      </c>
      <c r="E4" s="100">
        <f>'Financial Statements'!G2</f>
        <v/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>
        <f>'Financial Statements'!D10</f>
        <v/>
      </c>
      <c r="C5" s="26">
        <f>'Financial Statements'!E10</f>
        <v/>
      </c>
      <c r="D5" s="26">
        <f>'Financial Statements'!F10</f>
        <v/>
      </c>
      <c r="E5" s="26">
        <f>'Financial Statements'!G10</f>
        <v/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>
        <f>15863+2763</f>
        <v/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>
        <f>'Balance Sheet'!D22</f>
        <v/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>
        <f>(B9*B8)+B6-B7</f>
        <v/>
      </c>
      <c r="F12" s="98">
        <f>(F9*F8)+F6-F7</f>
        <v/>
      </c>
      <c r="J12" s="98">
        <f>(J9*J8)+J6-J7</f>
        <v/>
      </c>
      <c r="N12" s="98">
        <f>(N9*N8)+N6-N7</f>
        <v/>
      </c>
      <c r="P12" s="98">
        <f>AVERAGE(B12,F12,J12,N12)</f>
        <v/>
      </c>
      <c r="Q12" s="98">
        <f>MEDIAN(B12,F12,J12,N12)</f>
        <v/>
      </c>
    </row>
    <row r="13">
      <c r="A13" t="inlineStr">
        <is>
          <t>Growth</t>
        </is>
      </c>
      <c r="B13" s="103">
        <f>(E4/B4)^(1/3)-1</f>
        <v/>
      </c>
      <c r="F13" s="103">
        <f>(I4/F4)^(1/3)-1</f>
        <v/>
      </c>
      <c r="J13" s="103">
        <f>(M4/J4)^(1/3)-1</f>
        <v/>
      </c>
      <c r="N13" s="103">
        <f>(Q4/N4)^(1/3)-1</f>
        <v/>
      </c>
      <c r="P13" s="98">
        <f>AVERAGE(B13,F13,J13,N13)</f>
        <v/>
      </c>
      <c r="Q13" s="98">
        <f>MEDIAN(B13,F13,J13,N13)</f>
        <v/>
      </c>
    </row>
    <row r="14">
      <c r="A14" t="inlineStr">
        <is>
          <t>Trailing PE</t>
        </is>
      </c>
      <c r="B14" s="102">
        <f>B9/B3</f>
        <v/>
      </c>
      <c r="F14" s="102">
        <f>F9/F3</f>
        <v/>
      </c>
      <c r="J14" s="102">
        <f>J9/J3</f>
        <v/>
      </c>
      <c r="N14" s="102">
        <f>N9/N3</f>
        <v/>
      </c>
      <c r="P14" s="98">
        <f>AVERAGE(B14,F14,J14,N14)</f>
        <v/>
      </c>
      <c r="Q14" s="98">
        <f>MEDIAN(B14,F14,J14,N14)</f>
        <v/>
      </c>
    </row>
    <row r="15">
      <c r="A15" t="inlineStr">
        <is>
          <t>Trailing PS</t>
        </is>
      </c>
      <c r="B15" s="102">
        <f>B9/(B4/B8)</f>
        <v/>
      </c>
      <c r="F15" s="102">
        <f>F9/(F4/F8)</f>
        <v/>
      </c>
      <c r="J15" s="102">
        <f>J9/(J4/J8)</f>
        <v/>
      </c>
      <c r="N15" s="102">
        <f>N9/(N4/N8)</f>
        <v/>
      </c>
      <c r="P15" s="98">
        <f>AVERAGE(B15,F15,J15,N15)</f>
        <v/>
      </c>
      <c r="Q15" s="98">
        <f>MEDIAN(B15,F15,J15,N15)</f>
        <v/>
      </c>
    </row>
    <row r="16">
      <c r="A16" t="inlineStr">
        <is>
          <t>Trailing PEG</t>
        </is>
      </c>
      <c r="B16" s="102">
        <f>B14/B13</f>
        <v/>
      </c>
      <c r="F16" s="102">
        <f>F14/F13</f>
        <v/>
      </c>
      <c r="J16" s="102">
        <f>J14/J13</f>
        <v/>
      </c>
      <c r="N16" s="102">
        <f>N14/N13</f>
        <v/>
      </c>
      <c r="P16" s="98">
        <f>AVERAGE(B16,F16,J16,N16)</f>
        <v/>
      </c>
      <c r="Q16" s="98">
        <f>MEDIAN(B16,F16,J16,N16)</f>
        <v/>
      </c>
    </row>
    <row r="17"/>
    <row r="18">
      <c r="A18" t="inlineStr">
        <is>
          <t>Leading PE</t>
        </is>
      </c>
      <c r="B18" s="102">
        <f>B9/C3</f>
        <v/>
      </c>
      <c r="F18" s="102">
        <f>F9/G3</f>
        <v/>
      </c>
      <c r="J18" s="102">
        <f>J9/K3</f>
        <v/>
      </c>
      <c r="N18" s="102">
        <f>N9/O3</f>
        <v/>
      </c>
      <c r="P18" s="98">
        <f>AVERAGE(B18,F18,J18,N18)</f>
        <v/>
      </c>
      <c r="Q18" s="98">
        <f>MEDIAN(B18,F18,J18,N18)</f>
        <v/>
      </c>
    </row>
    <row r="19">
      <c r="A19" t="inlineStr">
        <is>
          <t>Leading PS</t>
        </is>
      </c>
      <c r="B19" s="47">
        <f>B9/(C4/B8)</f>
        <v/>
      </c>
      <c r="F19" s="47">
        <f>F9/(G4/F8)</f>
        <v/>
      </c>
      <c r="J19" s="47">
        <f>J9/(K4/J8)</f>
        <v/>
      </c>
      <c r="N19" s="47">
        <f>N9/(O4/N8)</f>
        <v/>
      </c>
      <c r="P19" s="98">
        <f>AVERAGE(B19,F19,J19,N19)</f>
        <v/>
      </c>
      <c r="Q19" s="98">
        <f>MEDIAN(B19,F19,J19,N19)</f>
        <v/>
      </c>
    </row>
    <row r="20">
      <c r="A20" t="inlineStr">
        <is>
          <t>Leading PEG</t>
        </is>
      </c>
      <c r="B20" s="102">
        <f>B18/B13</f>
        <v/>
      </c>
      <c r="F20" s="102">
        <f>F18/F13</f>
        <v/>
      </c>
      <c r="J20" s="102">
        <f>J18/J13</f>
        <v/>
      </c>
      <c r="N20" s="102">
        <f>N18/N13</f>
        <v/>
      </c>
      <c r="P20" s="98">
        <f>AVERAGE(B20,F20,J20,N20)</f>
        <v/>
      </c>
      <c r="Q20" s="98">
        <f>MEDIAN(B20,F20,J20,N20)</f>
        <v/>
      </c>
    </row>
    <row r="21"/>
    <row r="22">
      <c r="A22" t="inlineStr">
        <is>
          <t>Trailing EV/EBITDA</t>
        </is>
      </c>
      <c r="B22" s="102">
        <f>B12/B5</f>
        <v/>
      </c>
      <c r="F22" s="102">
        <f>F12/F5</f>
        <v/>
      </c>
      <c r="J22" s="102">
        <f>J12/J5</f>
        <v/>
      </c>
      <c r="N22" s="102">
        <f>N12/N5</f>
        <v/>
      </c>
      <c r="P22" s="98">
        <f>AVERAGE(B22,F22,J22,N22)</f>
        <v/>
      </c>
      <c r="Q22" s="98">
        <f>MEDIAN(B22,F22,J22,N22)</f>
        <v/>
      </c>
    </row>
    <row r="23">
      <c r="A23" t="inlineStr">
        <is>
          <t>Trailing EV/Sales</t>
        </is>
      </c>
      <c r="B23" s="102">
        <f>B12/B4</f>
        <v/>
      </c>
      <c r="F23" s="102">
        <f>F12/F4</f>
        <v/>
      </c>
      <c r="J23" s="102">
        <f>J12/J4</f>
        <v/>
      </c>
      <c r="N23" s="102">
        <f>N12/N4</f>
        <v/>
      </c>
      <c r="P23" s="98">
        <f>AVERAGE(B23,F23,J23,N23)</f>
        <v/>
      </c>
      <c r="Q23" s="98">
        <f>MEDIAN(B23,F23,J23,N23)</f>
        <v/>
      </c>
    </row>
    <row r="24">
      <c r="A24" t="inlineStr">
        <is>
          <t>Leading EV/EBITDA</t>
        </is>
      </c>
      <c r="B24" s="102">
        <f>B12/C5</f>
        <v/>
      </c>
      <c r="F24" s="102">
        <f>F12/G5</f>
        <v/>
      </c>
      <c r="J24" s="102">
        <f>J12/K5</f>
        <v/>
      </c>
      <c r="N24" s="102">
        <f>N12/O5</f>
        <v/>
      </c>
      <c r="P24" s="98">
        <f>AVERAGE(B24,F24,J24,N24)</f>
        <v/>
      </c>
      <c r="Q24" s="98">
        <f>MEDIAN(B24,F24,J24,N24)</f>
        <v/>
      </c>
    </row>
    <row r="25">
      <c r="A25" t="inlineStr">
        <is>
          <t xml:space="preserve">Leading EV/Sales </t>
        </is>
      </c>
      <c r="B25" s="102">
        <f>B12/C4</f>
        <v/>
      </c>
      <c r="F25" s="102">
        <f>F12/G4</f>
        <v/>
      </c>
      <c r="J25" s="102">
        <f>J12/K4</f>
        <v/>
      </c>
      <c r="N25" s="102">
        <f>N12/O4</f>
        <v/>
      </c>
      <c r="P25" s="98">
        <f>AVERAGE(B25,F25,J25,N25)</f>
        <v/>
      </c>
      <c r="Q25" s="98">
        <f>MEDIAN(B25,F25,J25,N25)</f>
        <v/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>
        <f>$Q$14*$B$3*0.8</f>
        <v/>
      </c>
      <c r="C29" s="98">
        <f>$Q$14*$B$3*1.2</f>
        <v/>
      </c>
      <c r="D29" s="28" t="n">
        <v>0.05</v>
      </c>
    </row>
    <row r="30">
      <c r="A30" t="inlineStr">
        <is>
          <t>Trailing PS</t>
        </is>
      </c>
      <c r="B30" s="98">
        <f>$Q$15*($B$4/$B$8)*0.8</f>
        <v/>
      </c>
      <c r="C30" s="98">
        <f>$Q$15*($B$4/$B$8)*1.2</f>
        <v/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>
        <f>$Q$16*$B$3*$B$13*0.8</f>
        <v/>
      </c>
      <c r="C31" s="98">
        <f>$Q$16*$B$3*$B$13*1.2</f>
        <v/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>
        <f>$Q$18*$C$3*0.8</f>
        <v/>
      </c>
      <c r="C32" s="98">
        <f>$Q$18*$C$3*1.2</f>
        <v/>
      </c>
      <c r="D32" s="28" t="n">
        <v>0.05</v>
      </c>
      <c r="I32" s="114">
        <f>SUMPRODUCT(B29:B40,D29:D40)</f>
        <v/>
      </c>
      <c r="J32" s="114">
        <f>SUMPRODUCT(C29:C40,D29:D40)</f>
        <v/>
      </c>
    </row>
    <row r="33">
      <c r="A33" t="inlineStr">
        <is>
          <t>Leading PS</t>
        </is>
      </c>
      <c r="B33" s="98">
        <f>$Q$19*($C$4/$B$8)*0.8</f>
        <v/>
      </c>
      <c r="C33" s="98">
        <f>$Q$19*($C$4/$B$8)*1.2</f>
        <v/>
      </c>
      <c r="D33" s="28" t="n">
        <v>0.05</v>
      </c>
    </row>
    <row r="34">
      <c r="A34" t="inlineStr">
        <is>
          <t>Leading PEG</t>
        </is>
      </c>
      <c r="B34" s="98">
        <f>$Q$20*$C$3*$B$13*0.8</f>
        <v/>
      </c>
      <c r="C34" s="98">
        <f>$Q$20*$C$3*$B$13*1.2</f>
        <v/>
      </c>
      <c r="D34" s="28" t="n">
        <v>0.05</v>
      </c>
    </row>
    <row r="35">
      <c r="A35" t="inlineStr">
        <is>
          <t>Trailing EV/EBITDA</t>
        </is>
      </c>
      <c r="B35" s="100">
        <f>D45*0.8</f>
        <v/>
      </c>
      <c r="C35" s="100">
        <f>D45*1.2</f>
        <v/>
      </c>
      <c r="D35" s="28" t="n">
        <v>0.05</v>
      </c>
    </row>
    <row r="36">
      <c r="A36" t="inlineStr">
        <is>
          <t>Trailing EV/Sales</t>
        </is>
      </c>
      <c r="B36" s="100">
        <f>D46*0.8</f>
        <v/>
      </c>
      <c r="C36" s="100">
        <f>D46*1.2</f>
        <v/>
      </c>
      <c r="D36" s="28" t="n">
        <v>0.05</v>
      </c>
    </row>
    <row r="37">
      <c r="A37" t="inlineStr">
        <is>
          <t>Leading EV/EBITDA</t>
        </is>
      </c>
      <c r="B37" s="100">
        <f>D47*0.8</f>
        <v/>
      </c>
      <c r="C37" s="100">
        <f>D47*1.2</f>
        <v/>
      </c>
      <c r="D37" s="28" t="n">
        <v>0.05</v>
      </c>
    </row>
    <row r="38">
      <c r="A38" t="inlineStr">
        <is>
          <t xml:space="preserve">Leading EV/Sales </t>
        </is>
      </c>
      <c r="B38" s="100">
        <f>D48*0.8</f>
        <v/>
      </c>
      <c r="C38" s="100">
        <f>D48*1.2</f>
        <v/>
      </c>
      <c r="D38" s="28" t="n">
        <v>0.05</v>
      </c>
    </row>
    <row r="40">
      <c r="A40" s="44" t="inlineStr">
        <is>
          <t>DCF</t>
        </is>
      </c>
      <c r="B40" s="100">
        <f>DCF!H27*0.8</f>
        <v/>
      </c>
      <c r="C40" s="100">
        <f>DCF!H27*1.2</f>
        <v/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>
        <f>Q22*B5</f>
        <v/>
      </c>
      <c r="C45" s="98">
        <f>B45-$B$6+$B$7</f>
        <v/>
      </c>
      <c r="D45" s="41">
        <f>C45/$B$8</f>
        <v/>
      </c>
    </row>
    <row r="46">
      <c r="A46" t="inlineStr">
        <is>
          <t>Trailing EV/Sales</t>
        </is>
      </c>
      <c r="B46" s="100">
        <f>Q23*B4</f>
        <v/>
      </c>
      <c r="C46" s="98">
        <f>B46-$B$6+$B$7</f>
        <v/>
      </c>
      <c r="D46" s="41">
        <f>C46/$B$8</f>
        <v/>
      </c>
    </row>
    <row r="47">
      <c r="A47" t="inlineStr">
        <is>
          <t>Leading EV/EBITDA</t>
        </is>
      </c>
      <c r="B47" s="100">
        <f>Q24*C5</f>
        <v/>
      </c>
      <c r="C47" s="98">
        <f>B47-$B$6+$B$7</f>
        <v/>
      </c>
      <c r="D47" s="41">
        <f>C47/$B$8</f>
        <v/>
      </c>
    </row>
    <row r="48">
      <c r="A48" t="inlineStr">
        <is>
          <t xml:space="preserve">Leading EV/Sales </t>
        </is>
      </c>
      <c r="B48" s="100">
        <f>Q25*C4</f>
        <v/>
      </c>
      <c r="C48" s="98">
        <f>B48-$B$6+$B$7</f>
        <v/>
      </c>
      <c r="D48" s="41">
        <f>C48/$B$8</f>
        <v/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>
        <f>B7/E7</f>
        <v/>
      </c>
      <c r="C14" s="15">
        <f>C7/F7</f>
        <v/>
      </c>
      <c r="D14" s="15">
        <f>D7/G7</f>
        <v/>
      </c>
      <c r="E14" s="118">
        <f>E7/H7</f>
        <v/>
      </c>
      <c r="F14" s="118">
        <f>F7/I7</f>
        <v/>
      </c>
      <c r="G14" s="118">
        <f>G7/J7</f>
        <v/>
      </c>
      <c r="H14" s="118">
        <f>H7/K7</f>
        <v/>
      </c>
      <c r="I14" s="118">
        <f>I7/L7</f>
        <v/>
      </c>
      <c r="J14" s="118">
        <f>J7/M7</f>
        <v/>
      </c>
      <c r="K14" s="15">
        <f>B14*E14*H14</f>
        <v/>
      </c>
      <c r="L14" s="15">
        <f>C14*F14*I14</f>
        <v/>
      </c>
      <c r="M14" s="15">
        <f>D14*G14*J14</f>
        <v/>
      </c>
    </row>
    <row r="15">
      <c r="A15" s="19" t="inlineStr">
        <is>
          <t xml:space="preserve">Ambuja </t>
        </is>
      </c>
      <c r="B15" s="15">
        <f>B8/E8</f>
        <v/>
      </c>
      <c r="C15" s="15">
        <f>C8/F8</f>
        <v/>
      </c>
      <c r="D15" s="15">
        <f>D8/G8</f>
        <v/>
      </c>
      <c r="E15" s="118">
        <f>E8/H8</f>
        <v/>
      </c>
      <c r="F15" s="118">
        <f>F8/I8</f>
        <v/>
      </c>
      <c r="G15" s="118">
        <f>G8/J8</f>
        <v/>
      </c>
      <c r="H15" s="118">
        <f>H8/K8</f>
        <v/>
      </c>
      <c r="I15" s="118">
        <f>I8/L8</f>
        <v/>
      </c>
      <c r="J15" s="118">
        <f>J8/M8</f>
        <v/>
      </c>
      <c r="K15" s="15">
        <f>B15*E15*H15</f>
        <v/>
      </c>
      <c r="L15" s="15">
        <f>C15*F15*I15</f>
        <v/>
      </c>
      <c r="M15" s="15">
        <f>D15*G15*J15</f>
        <v/>
      </c>
    </row>
    <row r="16">
      <c r="A16" s="19" t="inlineStr">
        <is>
          <t>ACC</t>
        </is>
      </c>
      <c r="B16" s="15">
        <f>B9/E9</f>
        <v/>
      </c>
      <c r="C16" s="15">
        <f>C9/F9</f>
        <v/>
      </c>
      <c r="D16" s="15">
        <f>D9/G9</f>
        <v/>
      </c>
      <c r="E16" s="118">
        <f>E9/H9</f>
        <v/>
      </c>
      <c r="F16" s="118">
        <f>F9/I9</f>
        <v/>
      </c>
      <c r="G16" s="118">
        <f>G9/J9</f>
        <v/>
      </c>
      <c r="H16" s="118">
        <f>H9/K9</f>
        <v/>
      </c>
      <c r="I16" s="118">
        <f>I9/L9</f>
        <v/>
      </c>
      <c r="J16" s="118">
        <f>J9/M9</f>
        <v/>
      </c>
      <c r="K16" s="15">
        <f>B16*E16*H16</f>
        <v/>
      </c>
      <c r="L16" s="15">
        <f>C16*F16*I16</f>
        <v/>
      </c>
      <c r="M16" s="15">
        <f>D16*G16*J16</f>
        <v/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2026-03-04T20:42:12Z</dcterms:modified>
  <cp:lastModifiedBy>Shravan Paturkar</cp:lastModifiedBy>
</cp:coreProperties>
</file>